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List" sheetId="1" r:id="rId5"/>
    <sheet state="visible" name="RR Games" sheetId="2" r:id="rId6"/>
    <sheet state="visible" name="RR Tables" sheetId="3" r:id="rId7"/>
    <sheet state="visible" name="DE Teams" sheetId="4" r:id="rId8"/>
    <sheet state="visible" name="Bracket" sheetId="5" r:id="rId9"/>
  </sheets>
  <definedNames/>
  <calcPr/>
</workbook>
</file>

<file path=xl/sharedStrings.xml><?xml version="1.0" encoding="utf-8"?>
<sst xmlns="http://schemas.openxmlformats.org/spreadsheetml/2006/main" count="506" uniqueCount="329">
  <si>
    <t>Team Code</t>
  </si>
  <si>
    <t>Advancing Teams</t>
  </si>
  <si>
    <t>Team Name</t>
  </si>
  <si>
    <t>A1</t>
  </si>
  <si>
    <t>Canyon Crest</t>
  </si>
  <si>
    <t>A2</t>
  </si>
  <si>
    <t>Ready for Brackets?</t>
  </si>
  <si>
    <t>Clements</t>
  </si>
  <si>
    <t>A3</t>
  </si>
  <si>
    <t>Palo Alto A</t>
  </si>
  <si>
    <t>A4</t>
  </si>
  <si>
    <t>SciTech Dragons</t>
  </si>
  <si>
    <t>A5</t>
  </si>
  <si>
    <t>AHS Patriots</t>
  </si>
  <si>
    <t>A6</t>
  </si>
  <si>
    <t>Ward Melville A</t>
  </si>
  <si>
    <t>B1</t>
  </si>
  <si>
    <t>Amador Valley</t>
  </si>
  <si>
    <t>B2</t>
  </si>
  <si>
    <t>WWPN</t>
  </si>
  <si>
    <t>B3</t>
  </si>
  <si>
    <t>Collierville B</t>
  </si>
  <si>
    <t>B4</t>
  </si>
  <si>
    <t>Redmond Evergreen MS</t>
  </si>
  <si>
    <t>B5</t>
  </si>
  <si>
    <t>Southern Pirates A</t>
  </si>
  <si>
    <t>B6</t>
  </si>
  <si>
    <t>Iolani B</t>
  </si>
  <si>
    <t>YEAH</t>
  </si>
  <si>
    <t>C1</t>
  </si>
  <si>
    <t>Interlake A</t>
  </si>
  <si>
    <t>C2</t>
  </si>
  <si>
    <t>Iolani A</t>
  </si>
  <si>
    <t>C3</t>
  </si>
  <si>
    <t>Dulles A</t>
  </si>
  <si>
    <t>C4</t>
  </si>
  <si>
    <t>Research Triangle</t>
  </si>
  <si>
    <t>C5</t>
  </si>
  <si>
    <t>Palo Alto B</t>
  </si>
  <si>
    <t>C6</t>
  </si>
  <si>
    <t>QV Raiders</t>
  </si>
  <si>
    <t>D1</t>
  </si>
  <si>
    <t>PPG</t>
  </si>
  <si>
    <t>Lexington</t>
  </si>
  <si>
    <t>Points</t>
  </si>
  <si>
    <t>D2</t>
  </si>
  <si>
    <t>Index</t>
  </si>
  <si>
    <t>Shenendehowa</t>
  </si>
  <si>
    <t>Agg. Rank</t>
  </si>
  <si>
    <t>D3</t>
  </si>
  <si>
    <t>Rickards</t>
  </si>
  <si>
    <t>D4</t>
  </si>
  <si>
    <t>Elkins</t>
  </si>
  <si>
    <t>D5</t>
  </si>
  <si>
    <t>Mansfield Lake Ridge</t>
  </si>
  <si>
    <t>D6</t>
  </si>
  <si>
    <t>Niskayuna</t>
  </si>
  <si>
    <t>J1</t>
  </si>
  <si>
    <t>Lynbrook</t>
  </si>
  <si>
    <t>J2</t>
  </si>
  <si>
    <t>OCSA</t>
  </si>
  <si>
    <t>J3</t>
  </si>
  <si>
    <t>Collierville A</t>
  </si>
  <si>
    <t>J4</t>
  </si>
  <si>
    <t>James Clemens</t>
  </si>
  <si>
    <t>J5</t>
  </si>
  <si>
    <t>North Hollywood A</t>
  </si>
  <si>
    <t>J6</t>
  </si>
  <si>
    <t>East Brunswick</t>
  </si>
  <si>
    <t>K1</t>
  </si>
  <si>
    <t>Mission San Jose</t>
  </si>
  <si>
    <t>K2</t>
  </si>
  <si>
    <t>Frazer</t>
  </si>
  <si>
    <t>K3</t>
  </si>
  <si>
    <t>Clovis North</t>
  </si>
  <si>
    <t>K4</t>
  </si>
  <si>
    <t>Allen</t>
  </si>
  <si>
    <t>K5</t>
  </si>
  <si>
    <t>Ward Melville B</t>
  </si>
  <si>
    <t>K6</t>
  </si>
  <si>
    <t>Seven Lakes</t>
  </si>
  <si>
    <t>L1</t>
  </si>
  <si>
    <t>North Hollywood B</t>
  </si>
  <si>
    <t>L2</t>
  </si>
  <si>
    <t>ASFA</t>
  </si>
  <si>
    <t>L3</t>
  </si>
  <si>
    <t>Arcadia</t>
  </si>
  <si>
    <t>L4</t>
  </si>
  <si>
    <t>Everett Evergreen MS</t>
  </si>
  <si>
    <t>L5</t>
  </si>
  <si>
    <t>Pflugerville Connally</t>
  </si>
  <si>
    <t>L6</t>
  </si>
  <si>
    <t>Blair</t>
  </si>
  <si>
    <t>S1</t>
  </si>
  <si>
    <t>University</t>
  </si>
  <si>
    <t>S2</t>
  </si>
  <si>
    <t>Southern Pirates B</t>
  </si>
  <si>
    <t>S3</t>
  </si>
  <si>
    <t>Dulles B</t>
  </si>
  <si>
    <t>S4</t>
  </si>
  <si>
    <t>TJHSST</t>
  </si>
  <si>
    <t>S5</t>
  </si>
  <si>
    <t>Interlake B</t>
  </si>
  <si>
    <t>S6</t>
  </si>
  <si>
    <t>Wakeland Wolverines</t>
  </si>
  <si>
    <t>CST</t>
  </si>
  <si>
    <t>Room</t>
  </si>
  <si>
    <t>Team</t>
  </si>
  <si>
    <t>Game 1</t>
  </si>
  <si>
    <t>Game 2</t>
  </si>
  <si>
    <t>Game 3</t>
  </si>
  <si>
    <t>Game 4</t>
  </si>
  <si>
    <t>Game 5</t>
  </si>
  <si>
    <t>Credit to:</t>
  </si>
  <si>
    <t>12:40 CST</t>
  </si>
  <si>
    <t>1:20 CST</t>
  </si>
  <si>
    <t>2:00 CST</t>
  </si>
  <si>
    <t>2:40 CST</t>
  </si>
  <si>
    <t>3:20 CST</t>
  </si>
  <si>
    <t xml:space="preserve">Game 1: </t>
  </si>
  <si>
    <t>4:00 CST</t>
  </si>
  <si>
    <t>4:40 CST</t>
  </si>
  <si>
    <t>6:00 CST</t>
  </si>
  <si>
    <t>- BSB</t>
  </si>
  <si>
    <t>Andrews 1</t>
  </si>
  <si>
    <t>Rank</t>
  </si>
  <si>
    <t>A1 vs A4</t>
  </si>
  <si>
    <t>A1 vs A5</t>
  </si>
  <si>
    <t>A1 vs A6</t>
  </si>
  <si>
    <t>A1 vs A2</t>
  </si>
  <si>
    <t>A1 vs A3</t>
  </si>
  <si>
    <t>Blanton 1</t>
  </si>
  <si>
    <t>B1 vs B4</t>
  </si>
  <si>
    <t>B1 vs B5</t>
  </si>
  <si>
    <t>Teams in Orange</t>
  </si>
  <si>
    <t>B1 vs B6</t>
  </si>
  <si>
    <t>B1 vs B2</t>
  </si>
  <si>
    <t>- Challonge</t>
  </si>
  <si>
    <t>B1 vs B3</t>
  </si>
  <si>
    <t>G1 (Andrews 1)</t>
  </si>
  <si>
    <t>Game 2:</t>
  </si>
  <si>
    <t>Andrews 2</t>
  </si>
  <si>
    <t>A2 vs A5</t>
  </si>
  <si>
    <t>A2 vs A6</t>
  </si>
  <si>
    <t>A2 vs A3</t>
  </si>
  <si>
    <t>A3 vs A5</t>
  </si>
  <si>
    <t>A2 vs A4</t>
  </si>
  <si>
    <t>Blanton 2</t>
  </si>
  <si>
    <t>B2 vs B5</t>
  </si>
  <si>
    <t>Scores in Gray</t>
  </si>
  <si>
    <t>B2 vs B6</t>
  </si>
  <si>
    <t>B2 vs B3</t>
  </si>
  <si>
    <t>B3 vs B5</t>
  </si>
  <si>
    <t>B2 vs B4</t>
  </si>
  <si>
    <t>Game 3:</t>
  </si>
  <si>
    <t>Andrews 3</t>
  </si>
  <si>
    <t>A3 vs A6</t>
  </si>
  <si>
    <t>A3 vs A4</t>
  </si>
  <si>
    <t>K1 - Mission San Jose</t>
  </si>
  <si>
    <t>A4 vs A5</t>
  </si>
  <si>
    <t>G13 (Andrews 1)</t>
  </si>
  <si>
    <t>A4 vs A6</t>
  </si>
  <si>
    <t>A5 vs A6</t>
  </si>
  <si>
    <t>Blanton 3</t>
  </si>
  <si>
    <t>B3 vs B6</t>
  </si>
  <si>
    <t>B3 vs B4</t>
  </si>
  <si>
    <t>C1 - Interlake A</t>
  </si>
  <si>
    <t>B4 vs B5</t>
  </si>
  <si>
    <t>B4 vs B6</t>
  </si>
  <si>
    <t>B5 vs B6</t>
  </si>
  <si>
    <t>Game 4:</t>
  </si>
  <si>
    <t>B1 - Amador Valley</t>
  </si>
  <si>
    <t>Game 5:</t>
  </si>
  <si>
    <t>G2 (Andrews 2)</t>
  </si>
  <si>
    <t>A3 - Palo Alto A</t>
  </si>
  <si>
    <t>G23 (Andrews 1)</t>
  </si>
  <si>
    <t>J1 - Lynbrook</t>
  </si>
  <si>
    <t>C3 - Dulles A</t>
  </si>
  <si>
    <t>Carothers 1</t>
  </si>
  <si>
    <t>C1 vs C4</t>
  </si>
  <si>
    <t>L1 - North Hollywood B</t>
  </si>
  <si>
    <t>C1 vs C5</t>
  </si>
  <si>
    <t>G3 (Andrews 3)</t>
  </si>
  <si>
    <t>C1 vs C6</t>
  </si>
  <si>
    <t>C1 vs C2</t>
  </si>
  <si>
    <t>C1 vs C3</t>
  </si>
  <si>
    <t>Duren 1</t>
  </si>
  <si>
    <t>L2 - ASFA</t>
  </si>
  <si>
    <t>D1 vs D4</t>
  </si>
  <si>
    <t>D1 vs D5</t>
  </si>
  <si>
    <t>D1 vs D6</t>
  </si>
  <si>
    <t>D1 vs D2</t>
  </si>
  <si>
    <t>D1 vs D3</t>
  </si>
  <si>
    <t>S4 - TJHSST</t>
  </si>
  <si>
    <t>Carothers 2</t>
  </si>
  <si>
    <t>G14 (Andrews 2)</t>
  </si>
  <si>
    <t>C2 vs C5</t>
  </si>
  <si>
    <t>C2 vs C6</t>
  </si>
  <si>
    <t>D6 - Niskayuna</t>
  </si>
  <si>
    <t>C2 vs C3</t>
  </si>
  <si>
    <t>C3 vs C5</t>
  </si>
  <si>
    <t>C2 vs C4</t>
  </si>
  <si>
    <t>Duren 2</t>
  </si>
  <si>
    <t>D3 - Rickards</t>
  </si>
  <si>
    <t>D2 vs D5</t>
  </si>
  <si>
    <t>D2 vs D6</t>
  </si>
  <si>
    <t>D2 vs D3</t>
  </si>
  <si>
    <t>D3 vs D5</t>
  </si>
  <si>
    <t>D2 vs D4</t>
  </si>
  <si>
    <t>B5 - Southern Pirates A</t>
  </si>
  <si>
    <t>Carothers 3</t>
  </si>
  <si>
    <t>C3 vs C6</t>
  </si>
  <si>
    <t>G4 (Blanton 1)</t>
  </si>
  <si>
    <t>C3 vs C4</t>
  </si>
  <si>
    <t>C4 vs C5</t>
  </si>
  <si>
    <t>K2 - Frazer</t>
  </si>
  <si>
    <t>C4 vs C6</t>
  </si>
  <si>
    <t>C5 vs C6</t>
  </si>
  <si>
    <t>Duren 3</t>
  </si>
  <si>
    <t>D3 vs D6</t>
  </si>
  <si>
    <t>D3 vs D4</t>
  </si>
  <si>
    <t>S5 - Interlake B</t>
  </si>
  <si>
    <t>D4 vs D5</t>
  </si>
  <si>
    <t>D4 vs D6</t>
  </si>
  <si>
    <t>D5 vs D6</t>
  </si>
  <si>
    <t>A1 - Canyon Crest</t>
  </si>
  <si>
    <t>G28 (Andrews 1)</t>
  </si>
  <si>
    <t>G5 (Blanton 2)</t>
  </si>
  <si>
    <t>Jester 1</t>
  </si>
  <si>
    <t>J1 vs J4</t>
  </si>
  <si>
    <t>J1 vs J5</t>
  </si>
  <si>
    <t>J1 vs J6</t>
  </si>
  <si>
    <t>G15 (Andrews 3)</t>
  </si>
  <si>
    <t>J1 vs J2</t>
  </si>
  <si>
    <t>J1 vs J3</t>
  </si>
  <si>
    <t>Kins 1</t>
  </si>
  <si>
    <t>K1 vs K4</t>
  </si>
  <si>
    <t>K1 vs K5</t>
  </si>
  <si>
    <t>K1 vs K6</t>
  </si>
  <si>
    <t>K1 vs K2</t>
  </si>
  <si>
    <t>K1 vs K3</t>
  </si>
  <si>
    <t>Jester 2</t>
  </si>
  <si>
    <t>J2 vs J5</t>
  </si>
  <si>
    <t>J2 vs J6</t>
  </si>
  <si>
    <t>G6 (Blanton 3)</t>
  </si>
  <si>
    <t>J2 vs J3</t>
  </si>
  <si>
    <t>J3 vs J5</t>
  </si>
  <si>
    <t>J2 vs J4</t>
  </si>
  <si>
    <t>Kins 2</t>
  </si>
  <si>
    <t>K2 vs K5</t>
  </si>
  <si>
    <t>K2 vs K6</t>
  </si>
  <si>
    <t>K2 vs K3</t>
  </si>
  <si>
    <t>K3 vs K5</t>
  </si>
  <si>
    <t>K2 vs K4</t>
  </si>
  <si>
    <t>G24 (Andrews 2)</t>
  </si>
  <si>
    <t>Jester 3</t>
  </si>
  <si>
    <t>J3 vs J6</t>
  </si>
  <si>
    <t>J3 vs J4</t>
  </si>
  <si>
    <t>J4 vs J5</t>
  </si>
  <si>
    <t>J4 vs J6</t>
  </si>
  <si>
    <t>J5 vs J6</t>
  </si>
  <si>
    <t>Kins 3</t>
  </si>
  <si>
    <t>K3 vs K6</t>
  </si>
  <si>
    <t>K3 vs K4</t>
  </si>
  <si>
    <t>K4 vs K5</t>
  </si>
  <si>
    <t>G7 (Carothers 1)</t>
  </si>
  <si>
    <t>K4 vs K6</t>
  </si>
  <si>
    <t>K5 vs K6</t>
  </si>
  <si>
    <t>G30 + G31 (MAIN ROOM)</t>
  </si>
  <si>
    <t>Winner:</t>
  </si>
  <si>
    <t>G16 (Blanton 1)</t>
  </si>
  <si>
    <t>Littlefield 1</t>
  </si>
  <si>
    <t>L1 vs L4</t>
  </si>
  <si>
    <t>L1 vs L5</t>
  </si>
  <si>
    <t>L1 vs L6</t>
  </si>
  <si>
    <t>L1 vs L2</t>
  </si>
  <si>
    <t>L1 vs L3</t>
  </si>
  <si>
    <t>G8 (Carothers 2)</t>
  </si>
  <si>
    <t>San Jac 1</t>
  </si>
  <si>
    <t>S1 vs S4</t>
  </si>
  <si>
    <t>S1 vs S5</t>
  </si>
  <si>
    <t>S1 vs S6</t>
  </si>
  <si>
    <t>S1 vs S2</t>
  </si>
  <si>
    <t>S1 vs S3</t>
  </si>
  <si>
    <t>Littlefield 2</t>
  </si>
  <si>
    <t>L2 vs L5</t>
  </si>
  <si>
    <t>L2 vs L6</t>
  </si>
  <si>
    <t>L2 vs L3</t>
  </si>
  <si>
    <t>L3 vs L5</t>
  </si>
  <si>
    <t>L2 vs L4</t>
  </si>
  <si>
    <t>San Jac 2</t>
  </si>
  <si>
    <t>S2 vs S5</t>
  </si>
  <si>
    <t>S2 vs S6</t>
  </si>
  <si>
    <t>S2 vs S3</t>
  </si>
  <si>
    <t>L23</t>
  </si>
  <si>
    <t>S3 vs S5</t>
  </si>
  <si>
    <t>S2 vs S4</t>
  </si>
  <si>
    <t>Littlefield 3</t>
  </si>
  <si>
    <t>L3 vs L6</t>
  </si>
  <si>
    <t>L3 vs L4</t>
  </si>
  <si>
    <t>L4 vs L5</t>
  </si>
  <si>
    <t>L4 vs L6</t>
  </si>
  <si>
    <t>L28</t>
  </si>
  <si>
    <t>L5 vs L6</t>
  </si>
  <si>
    <t>San Jac 3</t>
  </si>
  <si>
    <t>S3 vs S6</t>
  </si>
  <si>
    <t>S3 vs S4</t>
  </si>
  <si>
    <t>L16</t>
  </si>
  <si>
    <t>S4 vs S5</t>
  </si>
  <si>
    <t>S4 vs S6</t>
  </si>
  <si>
    <t>S5 vs S6</t>
  </si>
  <si>
    <t>G20 (Andrews 1)</t>
  </si>
  <si>
    <t>G25 (Andrews 1)</t>
  </si>
  <si>
    <t>G9 (Blanton 2)</t>
  </si>
  <si>
    <t>G29 (MAIN ROOM)</t>
  </si>
  <si>
    <t>G22 (Andrews 3)</t>
  </si>
  <si>
    <t>L15</t>
  </si>
  <si>
    <t>G19 (Andrews 2)</t>
  </si>
  <si>
    <t>G27 (Andrews 2)</t>
  </si>
  <si>
    <t>G10 (Blanton 3)</t>
  </si>
  <si>
    <t>L24</t>
  </si>
  <si>
    <t>L14</t>
  </si>
  <si>
    <t>G18 (Andrews 3)</t>
  </si>
  <si>
    <t>G26 (Andrews 2)</t>
  </si>
  <si>
    <t>G11 (Carothers 1)</t>
  </si>
  <si>
    <t>G21 (Blanton 1)</t>
  </si>
  <si>
    <t>L13</t>
  </si>
  <si>
    <t>G17 (Blanton 1)</t>
  </si>
  <si>
    <t>G12 (Carothers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</si>
</sst>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2">
    <font>
      <sz val="10.0"/>
      <color rgb="FF000000"/>
      <name val="Arial"/>
      <scheme val="minor"/>
    </font>
    <font>
      <b/>
      <sz val="12.0"/>
      <color theme="1"/>
      <name val="Roboto"/>
    </font>
    <font>
      <b/>
      <i/>
      <sz val="14.0"/>
      <color theme="1"/>
      <name val="Cambria Math"/>
    </font>
    <font>
      <sz val="12.0"/>
      <color theme="1"/>
      <name val="Roboto"/>
    </font>
    <font>
      <sz val="12.0"/>
      <color theme="1"/>
      <name val="Cambria Math"/>
    </font>
    <font>
      <b/>
      <sz val="12.0"/>
      <color theme="1"/>
      <name val="Cambria Math"/>
    </font>
    <font>
      <sz val="12.0"/>
      <color rgb="FF000000"/>
      <name val="Cambria Math"/>
    </font>
    <font>
      <b/>
      <sz val="17.0"/>
      <color theme="1"/>
      <name val="Cambria Math"/>
    </font>
    <font>
      <b/>
      <u/>
      <sz val="17.0"/>
      <color theme="1"/>
      <name val="Cambria Math"/>
    </font>
    <font>
      <b/>
      <i/>
      <sz val="12.0"/>
      <color theme="1"/>
      <name val="Cambria Math"/>
    </font>
    <font>
      <u/>
      <sz val="14.0"/>
      <color theme="1"/>
      <name val="Cambria Math"/>
    </font>
    <font>
      <sz val="14.0"/>
      <color theme="1"/>
      <name val="Cambria Math"/>
    </font>
    <font>
      <u/>
      <sz val="12.0"/>
      <color theme="1"/>
      <name val="Cambria Math"/>
    </font>
    <font>
      <i/>
      <sz val="12.0"/>
      <color theme="1"/>
      <name val="Cambria Math"/>
    </font>
    <font>
      <u/>
      <sz val="12.0"/>
      <color rgb="FF9B3642"/>
      <name val="Cambria Math"/>
    </font>
    <font>
      <u/>
      <sz val="12.0"/>
      <color rgb="FFCC0000"/>
      <name val="Cambria Math"/>
    </font>
    <font>
      <u/>
      <sz val="12.0"/>
      <color rgb="FF6AA84F"/>
      <name val="Cambria Math"/>
    </font>
    <font>
      <u/>
      <sz val="12.0"/>
      <color rgb="FF3D85C6"/>
      <name val="Cambria Math"/>
    </font>
    <font>
      <u/>
      <sz val="12.0"/>
      <color rgb="FF5B3F86"/>
      <name val="Cambria Math"/>
    </font>
    <font>
      <u/>
      <sz val="12.0"/>
      <color rgb="FFE69138"/>
      <name val="Cambria Math"/>
    </font>
    <font>
      <u/>
      <sz val="12.0"/>
      <color rgb="FF356854"/>
      <name val="Cambria Math"/>
    </font>
    <font>
      <u/>
      <sz val="12.0"/>
      <color rgb="FF535FC1"/>
      <name val="Cambria Math"/>
    </font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3" fillId="0" fontId="3" numFmtId="0" xfId="0" applyAlignment="1" applyBorder="1" applyFont="1">
      <alignment horizontal="center" readingOrder="0"/>
    </xf>
    <xf borderId="0" fillId="0" fontId="4" numFmtId="0" xfId="0" applyFont="1"/>
    <xf borderId="4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5" fillId="0" fontId="3" numFmtId="0" xfId="0" applyAlignment="1" applyBorder="1" applyFont="1">
      <alignment horizontal="center" readingOrder="0" vertical="bottom"/>
    </xf>
    <xf borderId="0" fillId="0" fontId="6" numFmtId="0" xfId="0" applyFont="1"/>
    <xf borderId="0" fillId="0" fontId="4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12" numFmtId="0" xfId="0" applyAlignment="1" applyFont="1">
      <alignment readingOrder="0" vertical="bottom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4" numFmtId="0" xfId="0" applyAlignment="1" applyFont="1">
      <alignment readingOrder="0" shrinkToFit="0" vertical="center" wrapText="0"/>
    </xf>
    <xf borderId="8" fillId="2" fontId="4" numFmtId="1" xfId="0" applyAlignment="1" applyBorder="1" applyFill="1" applyFont="1" applyNumberFormat="1">
      <alignment vertical="bottom"/>
    </xf>
    <xf borderId="8" fillId="3" fontId="4" numFmtId="0" xfId="0" applyAlignment="1" applyBorder="1" applyFill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9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vertical="center" wrapText="0"/>
    </xf>
    <xf borderId="8" fillId="2" fontId="4" numFmtId="1" xfId="0" applyAlignment="1" applyBorder="1" applyFill="1" applyFont="1" applyNumberFormat="1">
      <alignment readingOrder="0" vertical="bottom"/>
    </xf>
    <xf borderId="1" fillId="4" fontId="4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10" fillId="3" fontId="4" numFmtId="0" xfId="0" applyAlignment="1" applyBorder="1" applyFill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11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center" wrapText="0"/>
    </xf>
    <xf borderId="0" fillId="0" fontId="16" numFmtId="0" xfId="0" applyAlignment="1" applyFont="1">
      <alignment readingOrder="0" vertical="bottom"/>
    </xf>
    <xf borderId="1" fillId="0" fontId="4" numFmtId="0" xfId="0" applyAlignment="1" applyBorder="1" applyFont="1">
      <alignment shrinkToFit="0" vertical="center" wrapText="0"/>
    </xf>
    <xf borderId="0" fillId="0" fontId="4" numFmtId="1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8" fillId="5" fontId="4" numFmtId="0" xfId="0" applyAlignment="1" applyBorder="1" applyFill="1" applyFont="1">
      <alignment horizontal="right" readingOrder="0" vertical="bottom"/>
    </xf>
    <xf borderId="0" fillId="0" fontId="1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8" fillId="6" fontId="4" numFmtId="1" xfId="0" applyAlignment="1" applyBorder="1" applyFill="1" applyFont="1" applyNumberFormat="1">
      <alignment vertical="bottom"/>
    </xf>
    <xf borderId="8" fillId="7" fontId="4" numFmtId="0" xfId="0" applyAlignment="1" applyBorder="1" applyFill="1" applyFont="1">
      <alignment horizontal="right" readingOrder="0" vertical="bottom"/>
    </xf>
    <xf borderId="0" fillId="0" fontId="13" numFmtId="0" xfId="0" applyAlignment="1" applyFont="1">
      <alignment vertical="bottom"/>
    </xf>
    <xf borderId="8" fillId="0" fontId="4" numFmtId="0" xfId="0" applyAlignment="1" applyBorder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10" fillId="7" fontId="4" numFmtId="0" xfId="0" applyAlignment="1" applyBorder="1" applyFill="1" applyFont="1">
      <alignment horizontal="right" readingOrder="0" vertical="bottom"/>
    </xf>
    <xf borderId="0" fillId="0" fontId="21" numFmtId="0" xfId="0" applyAlignment="1" applyFont="1">
      <alignment readingOrder="0" vertical="bottom"/>
    </xf>
    <xf borderId="8" fillId="6" fontId="4" numFmtId="1" xfId="0" applyAlignment="1" applyBorder="1" applyFill="1" applyFont="1" applyNumberFormat="1">
      <alignment readingOrder="0" vertical="bottom"/>
    </xf>
    <xf borderId="10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6">
    <tableStyle count="4" pivot="0" name="RR Ga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T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Gam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R Game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R Game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R Games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RR Games-style 6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6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RR Games-style 7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7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RR Games-style 8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RR Tables-style 8">
      <tableStyleElement dxfId="1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5" displayName="Andrews_Matches" name="Andrews_Matches" id="1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" showColumnStripes="0" showFirstColumn="1" showLastColumn="1" showRowStripes="1"/>
</table>
</file>

<file path=xl/tables/table2.xml><?xml version="1.0" encoding="utf-8"?>
<table xmlns="http://schemas.openxmlformats.org/spreadsheetml/2006/main" ref="H2:M5" displayName="Blanton_Games" name="Blanton_Games" id="3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2" showColumnStripes="0" showFirstColumn="1" showLastColumn="1" showRowStripes="1"/>
</table>
</file>

<file path=xl/tables/table3.xml><?xml version="1.0" encoding="utf-8"?>
<table xmlns="http://schemas.openxmlformats.org/spreadsheetml/2006/main" ref="A9:F12" displayName="Carothers_Games" name="Carothers_Games" id="5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3" showColumnStripes="0" showFirstColumn="1" showLastColumn="1" showRowStripes="1"/>
</table>
</file>

<file path=xl/tables/table4.xml><?xml version="1.0" encoding="utf-8"?>
<table xmlns="http://schemas.openxmlformats.org/spreadsheetml/2006/main" ref="H9:M12" displayName="Duren_Games" name="Duren_Games" id="7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4" showColumnStripes="0" showFirstColumn="1" showLastColumn="1" showRowStripes="1"/>
</table>
</file>

<file path=xl/tables/table5.xml><?xml version="1.0" encoding="utf-8"?>
<table xmlns="http://schemas.openxmlformats.org/spreadsheetml/2006/main" ref="A16:F19" displayName="Jester_Games" name="Jester_Games" id="9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5" showColumnStripes="0" showFirstColumn="1" showLastColumn="1" showRowStripes="1"/>
</table>
</file>

<file path=xl/tables/table6.xml><?xml version="1.0" encoding="utf-8"?>
<table xmlns="http://schemas.openxmlformats.org/spreadsheetml/2006/main" ref="H16:M19" displayName="Kinsolving_Games" name="Kinsolving_Games" id="11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6" showColumnStripes="0" showFirstColumn="1" showLastColumn="1" showRowStripes="1"/>
</table>
</file>

<file path=xl/tables/table7.xml><?xml version="1.0" encoding="utf-8"?>
<table xmlns="http://schemas.openxmlformats.org/spreadsheetml/2006/main" ref="A23:F26" displayName="Littlefield_Games" name="Littlefield_Games" id="13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7" showColumnStripes="0" showFirstColumn="1" showLastColumn="1" showRowStripes="1"/>
</table>
</file>

<file path=xl/tables/table8.xml><?xml version="1.0" encoding="utf-8"?>
<table xmlns="http://schemas.openxmlformats.org/spreadsheetml/2006/main" ref="H23:M26" displayName="San_Jac_Games" name="San_Jac_Games" id="14">
  <tableColumns count="6">
    <tableColumn name="Room" id="1"/>
    <tableColumn name="Game 1" id="2"/>
    <tableColumn name="Game 2" id="3"/>
    <tableColumn name="Game 3" id="4"/>
    <tableColumn name="Game 4" id="5"/>
    <tableColumn name="Game 5" id="6"/>
  </tableColumns>
  <tableStyleInfo name="RR Games-style 8" showColumnStripes="0" showFirstColumn="1" showLastColumn="1" showRowStripes="1"/>
</table>
</file>

<file path=xl/tables/table9.xml><?xml version="1.0" encoding="utf-8"?>
<table xmlns="http://schemas.openxmlformats.org/spreadsheetml/2006/main" ref="A2:K8" displayName="Andrews" name="Andrews" id="2">
  <tableColumns count="11">
    <tableColumn name="Team" id="1"/>
    <tableColumn name="A1" id="2"/>
    <tableColumn name="A2" id="3"/>
    <tableColumn name="A3" id="4"/>
    <tableColumn name="A4" id="5"/>
    <tableColumn name="A5" id="6"/>
    <tableColumn name="A6" id="7"/>
    <tableColumn name="PPG" id="8"/>
    <tableColumn name="Points" id="9"/>
    <tableColumn name="Index" id="10"/>
    <tableColumn name="Rank" id="11"/>
  </tableColumns>
  <tableStyleInfo name="RR Tables-style" showColumnStripes="0" showFirstColumn="1" showLastColumn="1" showRowStripes="1"/>
</table>
</file>

<file path=xl/tables/table10.xml><?xml version="1.0" encoding="utf-8"?>
<table xmlns="http://schemas.openxmlformats.org/spreadsheetml/2006/main" ref="M2:W8" displayName="Blanton" name="Blanton" id="4">
  <tableColumns count="11">
    <tableColumn name="Team" id="1"/>
    <tableColumn name="B1" id="2"/>
    <tableColumn name="B2" id="3"/>
    <tableColumn name="B3" id="4"/>
    <tableColumn name="B4" id="5"/>
    <tableColumn name="B5" id="6"/>
    <tableColumn name="B6" id="7"/>
    <tableColumn name="PPG" id="8"/>
    <tableColumn name="Points" id="9"/>
    <tableColumn name="Index" id="10"/>
    <tableColumn name="Rank" id="11"/>
  </tableColumns>
  <tableStyleInfo name="RR Tables-style 2" showColumnStripes="0" showFirstColumn="1" showLastColumn="1" showRowStripes="1"/>
</table>
</file>

<file path=xl/tables/table11.xml><?xml version="1.0" encoding="utf-8"?>
<table xmlns="http://schemas.openxmlformats.org/spreadsheetml/2006/main" ref="A12:K18" displayName="Carothers" name="Carothers" id="6">
  <tableColumns count="11">
    <tableColumn name="Team" id="1"/>
    <tableColumn name="C1" id="2"/>
    <tableColumn name="C2" id="3"/>
    <tableColumn name="C3" id="4"/>
    <tableColumn name="C4" id="5"/>
    <tableColumn name="C5" id="6"/>
    <tableColumn name="C6" id="7"/>
    <tableColumn name="PPG" id="8"/>
    <tableColumn name="Points" id="9"/>
    <tableColumn name="Index" id="10"/>
    <tableColumn name="Rank" id="11"/>
  </tableColumns>
  <tableStyleInfo name="RR Tables-style 3" showColumnStripes="0" showFirstColumn="1" showLastColumn="1" showRowStripes="1"/>
</table>
</file>

<file path=xl/tables/table12.xml><?xml version="1.0" encoding="utf-8"?>
<table xmlns="http://schemas.openxmlformats.org/spreadsheetml/2006/main" ref="M12:W18" displayName="Duren" name="Duren" id="8">
  <tableColumns count="11">
    <tableColumn name="Team" id="1"/>
    <tableColumn name="D1" id="2"/>
    <tableColumn name="D2" id="3"/>
    <tableColumn name="D3" id="4"/>
    <tableColumn name="D4" id="5"/>
    <tableColumn name="D5" id="6"/>
    <tableColumn name="D6" id="7"/>
    <tableColumn name="PPG" id="8"/>
    <tableColumn name="Points" id="9"/>
    <tableColumn name="Index" id="10"/>
    <tableColumn name="Rank" id="11"/>
  </tableColumns>
  <tableStyleInfo name="RR Tables-style 4" showColumnStripes="0" showFirstColumn="1" showLastColumn="1" showRowStripes="1"/>
</table>
</file>

<file path=xl/tables/table13.xml><?xml version="1.0" encoding="utf-8"?>
<table xmlns="http://schemas.openxmlformats.org/spreadsheetml/2006/main" ref="A22:K28" displayName="Jester" name="Jester" id="10">
  <tableColumns count="11">
    <tableColumn name="Team" id="1"/>
    <tableColumn name="J1" id="2"/>
    <tableColumn name="J2" id="3"/>
    <tableColumn name="J3" id="4"/>
    <tableColumn name="J4" id="5"/>
    <tableColumn name="J5" id="6"/>
    <tableColumn name="J6" id="7"/>
    <tableColumn name="PPG" id="8"/>
    <tableColumn name="Points" id="9"/>
    <tableColumn name="Index" id="10"/>
    <tableColumn name="Rank" id="11"/>
  </tableColumns>
  <tableStyleInfo name="RR Tables-style 5" showColumnStripes="0" showFirstColumn="1" showLastColumn="1" showRowStripes="1"/>
</table>
</file>

<file path=xl/tables/table14.xml><?xml version="1.0" encoding="utf-8"?>
<table xmlns="http://schemas.openxmlformats.org/spreadsheetml/2006/main" ref="M22:W28" displayName="Kinsolving" name="Kinsolving" id="12">
  <tableColumns count="11">
    <tableColumn name="Team" id="1"/>
    <tableColumn name="K1" id="2"/>
    <tableColumn name="K2" id="3"/>
    <tableColumn name="K3" id="4"/>
    <tableColumn name="K4" id="5"/>
    <tableColumn name="K5" id="6"/>
    <tableColumn name="K6" id="7"/>
    <tableColumn name="PPG" id="8"/>
    <tableColumn name="Points" id="9"/>
    <tableColumn name="Index" id="10"/>
    <tableColumn name="Rank" id="11"/>
  </tableColumns>
  <tableStyleInfo name="RR Tables-style 6" showColumnStripes="0" showFirstColumn="1" showLastColumn="1" showRowStripes="1"/>
</table>
</file>

<file path=xl/tables/table15.xml><?xml version="1.0" encoding="utf-8"?>
<table xmlns="http://schemas.openxmlformats.org/spreadsheetml/2006/main" ref="A32:K38" displayName="Littlefield" name="Littlefield" id="15">
  <tableColumns count="11">
    <tableColumn name="Team" id="1"/>
    <tableColumn name="L1" id="2"/>
    <tableColumn name="L2" id="3"/>
    <tableColumn name="L3" id="4"/>
    <tableColumn name="L4" id="5"/>
    <tableColumn name="L5" id="6"/>
    <tableColumn name="L6" id="7"/>
    <tableColumn name="PPG" id="8"/>
    <tableColumn name="Points" id="9"/>
    <tableColumn name="Index" id="10"/>
    <tableColumn name="Rank" id="11"/>
  </tableColumns>
  <tableStyleInfo name="RR Tables-style 7" showColumnStripes="0" showFirstColumn="1" showLastColumn="1" showRowStripes="1"/>
</table>
</file>

<file path=xl/tables/table16.xml><?xml version="1.0" encoding="utf-8"?>
<table xmlns="http://schemas.openxmlformats.org/spreadsheetml/2006/main" ref="M32:W38" displayName="SanJac" name="SanJac" id="16">
  <tableColumns count="11">
    <tableColumn name="Team" id="1"/>
    <tableColumn name="S1" id="2"/>
    <tableColumn name="S2" id="3"/>
    <tableColumn name="S3" id="4"/>
    <tableColumn name="S4" id="5"/>
    <tableColumn name="S5" id="6"/>
    <tableColumn name="S6" id="7"/>
    <tableColumn name="PPG" id="8"/>
    <tableColumn name="Points" id="9"/>
    <tableColumn name="Index" id="10"/>
    <tableColumn name="Rank" id="11"/>
  </tableColumns>
  <tableStyleInfo name="RR Table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33.5"/>
  </cols>
  <sheetData>
    <row r="2">
      <c r="B2" s="1" t="s">
        <v>0</v>
      </c>
      <c r="C2" s="1" t="s">
        <v>2</v>
      </c>
    </row>
    <row r="3">
      <c r="B3" s="3" t="s">
        <v>3</v>
      </c>
      <c r="C3" s="5" t="s">
        <v>4</v>
      </c>
    </row>
    <row r="4">
      <c r="B4" s="7" t="s">
        <v>5</v>
      </c>
      <c r="C4" s="9" t="s">
        <v>7</v>
      </c>
    </row>
    <row r="5">
      <c r="B5" s="7" t="s">
        <v>8</v>
      </c>
      <c r="C5" s="9" t="s">
        <v>9</v>
      </c>
    </row>
    <row r="6">
      <c r="B6" s="7" t="s">
        <v>10</v>
      </c>
      <c r="C6" s="9" t="s">
        <v>11</v>
      </c>
    </row>
    <row r="7">
      <c r="B7" s="7" t="s">
        <v>12</v>
      </c>
      <c r="C7" s="9" t="s">
        <v>13</v>
      </c>
    </row>
    <row r="8">
      <c r="B8" s="10" t="s">
        <v>14</v>
      </c>
      <c r="C8" s="11" t="s">
        <v>15</v>
      </c>
    </row>
    <row r="9">
      <c r="B9" s="3" t="s">
        <v>16</v>
      </c>
      <c r="C9" s="5" t="s">
        <v>17</v>
      </c>
    </row>
    <row r="10">
      <c r="B10" s="7" t="s">
        <v>18</v>
      </c>
      <c r="C10" s="9" t="s">
        <v>19</v>
      </c>
    </row>
    <row r="11">
      <c r="B11" s="7" t="s">
        <v>20</v>
      </c>
      <c r="C11" s="9" t="s">
        <v>21</v>
      </c>
    </row>
    <row r="12">
      <c r="B12" s="7" t="s">
        <v>22</v>
      </c>
      <c r="C12" s="9" t="s">
        <v>23</v>
      </c>
    </row>
    <row r="13">
      <c r="B13" s="7" t="s">
        <v>24</v>
      </c>
      <c r="C13" s="9" t="s">
        <v>25</v>
      </c>
    </row>
    <row r="14">
      <c r="B14" s="10" t="s">
        <v>26</v>
      </c>
      <c r="C14" s="11" t="s">
        <v>27</v>
      </c>
    </row>
    <row r="15">
      <c r="B15" s="3" t="s">
        <v>29</v>
      </c>
      <c r="C15" s="5" t="s">
        <v>30</v>
      </c>
    </row>
    <row r="16">
      <c r="B16" s="7" t="s">
        <v>31</v>
      </c>
      <c r="C16" s="9" t="s">
        <v>32</v>
      </c>
    </row>
    <row r="17">
      <c r="B17" s="7" t="s">
        <v>33</v>
      </c>
      <c r="C17" s="9" t="s">
        <v>34</v>
      </c>
    </row>
    <row r="18">
      <c r="B18" s="7" t="s">
        <v>35</v>
      </c>
      <c r="C18" s="9" t="s">
        <v>36</v>
      </c>
    </row>
    <row r="19">
      <c r="B19" s="7" t="s">
        <v>37</v>
      </c>
      <c r="C19" s="12" t="s">
        <v>38</v>
      </c>
    </row>
    <row r="20">
      <c r="B20" s="10" t="s">
        <v>39</v>
      </c>
      <c r="C20" s="11" t="s">
        <v>40</v>
      </c>
    </row>
    <row r="21">
      <c r="B21" s="3" t="s">
        <v>41</v>
      </c>
      <c r="C21" s="5" t="s">
        <v>43</v>
      </c>
    </row>
    <row r="22">
      <c r="B22" s="7" t="s">
        <v>45</v>
      </c>
      <c r="C22" s="9" t="s">
        <v>47</v>
      </c>
    </row>
    <row r="23">
      <c r="B23" s="7" t="s">
        <v>49</v>
      </c>
      <c r="C23" s="9" t="s">
        <v>50</v>
      </c>
    </row>
    <row r="24">
      <c r="B24" s="7" t="s">
        <v>51</v>
      </c>
      <c r="C24" s="9" t="s">
        <v>52</v>
      </c>
    </row>
    <row r="25">
      <c r="B25" s="7" t="s">
        <v>53</v>
      </c>
      <c r="C25" s="9" t="s">
        <v>54</v>
      </c>
    </row>
    <row r="26">
      <c r="B26" s="10" t="s">
        <v>55</v>
      </c>
      <c r="C26" s="11" t="s">
        <v>56</v>
      </c>
    </row>
    <row r="27">
      <c r="B27" s="3" t="s">
        <v>57</v>
      </c>
      <c r="C27" s="5" t="s">
        <v>58</v>
      </c>
    </row>
    <row r="28">
      <c r="B28" s="7" t="s">
        <v>59</v>
      </c>
      <c r="C28" s="9" t="s">
        <v>60</v>
      </c>
    </row>
    <row r="29">
      <c r="B29" s="7" t="s">
        <v>61</v>
      </c>
      <c r="C29" s="9" t="s">
        <v>62</v>
      </c>
    </row>
    <row r="30">
      <c r="B30" s="7" t="s">
        <v>63</v>
      </c>
      <c r="C30" s="9" t="s">
        <v>64</v>
      </c>
    </row>
    <row r="31">
      <c r="B31" s="7" t="s">
        <v>65</v>
      </c>
      <c r="C31" s="14" t="s">
        <v>66</v>
      </c>
    </row>
    <row r="32">
      <c r="B32" s="10" t="s">
        <v>67</v>
      </c>
      <c r="C32" s="11" t="s">
        <v>68</v>
      </c>
    </row>
    <row r="33">
      <c r="B33" s="3" t="s">
        <v>69</v>
      </c>
      <c r="C33" s="5" t="s">
        <v>70</v>
      </c>
    </row>
    <row r="34">
      <c r="B34" s="7" t="s">
        <v>71</v>
      </c>
      <c r="C34" s="9" t="s">
        <v>72</v>
      </c>
    </row>
    <row r="35">
      <c r="B35" s="7" t="s">
        <v>73</v>
      </c>
      <c r="C35" s="9" t="s">
        <v>74</v>
      </c>
    </row>
    <row r="36">
      <c r="B36" s="7" t="s">
        <v>75</v>
      </c>
      <c r="C36" s="9" t="s">
        <v>76</v>
      </c>
    </row>
    <row r="37">
      <c r="B37" s="7" t="s">
        <v>77</v>
      </c>
      <c r="C37" s="9" t="s">
        <v>78</v>
      </c>
    </row>
    <row r="38">
      <c r="B38" s="10" t="s">
        <v>79</v>
      </c>
      <c r="C38" s="11" t="s">
        <v>80</v>
      </c>
    </row>
    <row r="39">
      <c r="B39" s="3" t="s">
        <v>81</v>
      </c>
      <c r="C39" s="5" t="s">
        <v>82</v>
      </c>
    </row>
    <row r="40">
      <c r="B40" s="7" t="s">
        <v>83</v>
      </c>
      <c r="C40" s="9" t="s">
        <v>84</v>
      </c>
    </row>
    <row r="41">
      <c r="B41" s="7" t="s">
        <v>85</v>
      </c>
      <c r="C41" s="9" t="s">
        <v>86</v>
      </c>
    </row>
    <row r="42">
      <c r="B42" s="7" t="s">
        <v>87</v>
      </c>
      <c r="C42" s="9" t="s">
        <v>88</v>
      </c>
    </row>
    <row r="43">
      <c r="B43" s="7" t="s">
        <v>89</v>
      </c>
      <c r="C43" s="9" t="s">
        <v>90</v>
      </c>
    </row>
    <row r="44">
      <c r="B44" s="10" t="s">
        <v>91</v>
      </c>
      <c r="C44" s="11" t="s">
        <v>92</v>
      </c>
    </row>
    <row r="45">
      <c r="B45" s="3" t="s">
        <v>93</v>
      </c>
      <c r="C45" s="5" t="s">
        <v>94</v>
      </c>
    </row>
    <row r="46">
      <c r="B46" s="7" t="s">
        <v>95</v>
      </c>
      <c r="C46" s="12" t="s">
        <v>96</v>
      </c>
    </row>
    <row r="47">
      <c r="B47" s="7" t="s">
        <v>97</v>
      </c>
      <c r="C47" s="12" t="s">
        <v>98</v>
      </c>
    </row>
    <row r="48">
      <c r="B48" s="7" t="s">
        <v>99</v>
      </c>
      <c r="C48" s="9" t="s">
        <v>100</v>
      </c>
    </row>
    <row r="49">
      <c r="B49" s="7" t="s">
        <v>101</v>
      </c>
      <c r="C49" s="12" t="s">
        <v>102</v>
      </c>
    </row>
    <row r="50">
      <c r="B50" s="10" t="s">
        <v>103</v>
      </c>
      <c r="C50" s="11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7"/>
      <c r="P1" s="18" t="s">
        <v>105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19" t="s">
        <v>106</v>
      </c>
      <c r="B2" s="20" t="s">
        <v>108</v>
      </c>
      <c r="C2" s="20" t="s">
        <v>109</v>
      </c>
      <c r="D2" s="20" t="s">
        <v>110</v>
      </c>
      <c r="E2" s="20" t="s">
        <v>111</v>
      </c>
      <c r="F2" s="20" t="s">
        <v>112</v>
      </c>
      <c r="G2" s="6"/>
      <c r="H2" s="19" t="s">
        <v>106</v>
      </c>
      <c r="I2" s="20" t="s">
        <v>108</v>
      </c>
      <c r="J2" s="20" t="s">
        <v>109</v>
      </c>
      <c r="K2" s="20" t="s">
        <v>110</v>
      </c>
      <c r="L2" s="20" t="s">
        <v>111</v>
      </c>
      <c r="M2" s="20" t="s">
        <v>112</v>
      </c>
      <c r="N2" s="6"/>
      <c r="O2" s="27" t="s">
        <v>119</v>
      </c>
      <c r="P2" s="28">
        <v>0.3680555555555556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33" t="s">
        <v>124</v>
      </c>
      <c r="B3" s="33" t="s">
        <v>126</v>
      </c>
      <c r="C3" s="33" t="s">
        <v>127</v>
      </c>
      <c r="D3" s="33" t="s">
        <v>128</v>
      </c>
      <c r="E3" s="33" t="s">
        <v>129</v>
      </c>
      <c r="F3" s="33" t="s">
        <v>130</v>
      </c>
      <c r="G3" s="6"/>
      <c r="H3" s="33" t="s">
        <v>131</v>
      </c>
      <c r="I3" s="33" t="s">
        <v>132</v>
      </c>
      <c r="J3" s="33" t="s">
        <v>133</v>
      </c>
      <c r="K3" s="33" t="s">
        <v>135</v>
      </c>
      <c r="L3" s="33" t="s">
        <v>136</v>
      </c>
      <c r="M3" s="33" t="s">
        <v>138</v>
      </c>
      <c r="N3" s="6"/>
      <c r="O3" s="27" t="s">
        <v>140</v>
      </c>
      <c r="P3" s="28">
        <v>0.3958333333333333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3" t="s">
        <v>141</v>
      </c>
      <c r="B4" s="33" t="s">
        <v>142</v>
      </c>
      <c r="C4" s="33" t="s">
        <v>143</v>
      </c>
      <c r="D4" s="33" t="s">
        <v>144</v>
      </c>
      <c r="E4" s="33" t="s">
        <v>145</v>
      </c>
      <c r="F4" s="33" t="s">
        <v>146</v>
      </c>
      <c r="G4" s="6"/>
      <c r="H4" s="33" t="s">
        <v>147</v>
      </c>
      <c r="I4" s="33" t="s">
        <v>148</v>
      </c>
      <c r="J4" s="33" t="s">
        <v>150</v>
      </c>
      <c r="K4" s="33" t="s">
        <v>151</v>
      </c>
      <c r="L4" s="33" t="s">
        <v>152</v>
      </c>
      <c r="M4" s="33" t="s">
        <v>153</v>
      </c>
      <c r="N4" s="6"/>
      <c r="O4" s="27" t="s">
        <v>154</v>
      </c>
      <c r="P4" s="28">
        <v>0.4236111111111111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33" t="s">
        <v>155</v>
      </c>
      <c r="B5" s="33" t="s">
        <v>156</v>
      </c>
      <c r="C5" s="33" t="s">
        <v>157</v>
      </c>
      <c r="D5" s="33" t="s">
        <v>159</v>
      </c>
      <c r="E5" s="33" t="s">
        <v>161</v>
      </c>
      <c r="F5" s="33" t="s">
        <v>162</v>
      </c>
      <c r="G5" s="6"/>
      <c r="H5" s="33" t="s">
        <v>163</v>
      </c>
      <c r="I5" s="33" t="s">
        <v>164</v>
      </c>
      <c r="J5" s="33" t="s">
        <v>165</v>
      </c>
      <c r="K5" s="33" t="s">
        <v>167</v>
      </c>
      <c r="L5" s="33" t="s">
        <v>168</v>
      </c>
      <c r="M5" s="33" t="s">
        <v>169</v>
      </c>
      <c r="N5" s="6"/>
      <c r="O5" s="27" t="s">
        <v>170</v>
      </c>
      <c r="P5" s="28">
        <v>0.4513888888888889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4"/>
      <c r="I6" s="4"/>
      <c r="J6" s="4"/>
      <c r="K6" s="6"/>
      <c r="L6" s="6"/>
      <c r="M6" s="6"/>
      <c r="N6" s="6"/>
      <c r="O6" s="27" t="s">
        <v>172</v>
      </c>
      <c r="P6" s="28">
        <v>0.4791666666666667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9" t="s">
        <v>106</v>
      </c>
      <c r="B9" s="20" t="s">
        <v>108</v>
      </c>
      <c r="C9" s="20" t="s">
        <v>109</v>
      </c>
      <c r="D9" s="20" t="s">
        <v>110</v>
      </c>
      <c r="E9" s="20" t="s">
        <v>111</v>
      </c>
      <c r="F9" s="20" t="s">
        <v>112</v>
      </c>
      <c r="G9" s="6"/>
      <c r="H9" s="19" t="s">
        <v>106</v>
      </c>
      <c r="I9" s="20" t="s">
        <v>108</v>
      </c>
      <c r="J9" s="20" t="s">
        <v>109</v>
      </c>
      <c r="K9" s="20" t="s">
        <v>110</v>
      </c>
      <c r="L9" s="20" t="s">
        <v>111</v>
      </c>
      <c r="M9" s="20" t="s">
        <v>112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3" t="s">
        <v>178</v>
      </c>
      <c r="B10" s="33" t="s">
        <v>179</v>
      </c>
      <c r="C10" s="33" t="s">
        <v>181</v>
      </c>
      <c r="D10" s="33" t="s">
        <v>183</v>
      </c>
      <c r="E10" s="33" t="s">
        <v>184</v>
      </c>
      <c r="F10" s="33" t="s">
        <v>185</v>
      </c>
      <c r="G10" s="6"/>
      <c r="H10" s="33" t="s">
        <v>186</v>
      </c>
      <c r="I10" s="33" t="s">
        <v>188</v>
      </c>
      <c r="J10" s="33" t="s">
        <v>189</v>
      </c>
      <c r="K10" s="33" t="s">
        <v>190</v>
      </c>
      <c r="L10" s="33" t="s">
        <v>191</v>
      </c>
      <c r="M10" s="33" t="s">
        <v>192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33" t="s">
        <v>194</v>
      </c>
      <c r="B11" s="33" t="s">
        <v>196</v>
      </c>
      <c r="C11" s="33" t="s">
        <v>197</v>
      </c>
      <c r="D11" s="33" t="s">
        <v>199</v>
      </c>
      <c r="E11" s="33" t="s">
        <v>200</v>
      </c>
      <c r="F11" s="33" t="s">
        <v>201</v>
      </c>
      <c r="G11" s="6"/>
      <c r="H11" s="33" t="s">
        <v>202</v>
      </c>
      <c r="I11" s="33" t="s">
        <v>204</v>
      </c>
      <c r="J11" s="33" t="s">
        <v>205</v>
      </c>
      <c r="K11" s="33" t="s">
        <v>206</v>
      </c>
      <c r="L11" s="33" t="s">
        <v>207</v>
      </c>
      <c r="M11" s="33" t="s">
        <v>208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33" t="s">
        <v>210</v>
      </c>
      <c r="B12" s="33" t="s">
        <v>211</v>
      </c>
      <c r="C12" s="33" t="s">
        <v>213</v>
      </c>
      <c r="D12" s="33" t="s">
        <v>214</v>
      </c>
      <c r="E12" s="33" t="s">
        <v>216</v>
      </c>
      <c r="F12" s="33" t="s">
        <v>217</v>
      </c>
      <c r="G12" s="6"/>
      <c r="H12" s="33" t="s">
        <v>218</v>
      </c>
      <c r="I12" s="33" t="s">
        <v>219</v>
      </c>
      <c r="J12" s="33" t="s">
        <v>220</v>
      </c>
      <c r="K12" s="33" t="s">
        <v>222</v>
      </c>
      <c r="L12" s="33" t="s">
        <v>223</v>
      </c>
      <c r="M12" s="33" t="s">
        <v>224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19" t="s">
        <v>106</v>
      </c>
      <c r="B16" s="20" t="s">
        <v>108</v>
      </c>
      <c r="C16" s="20" t="s">
        <v>109</v>
      </c>
      <c r="D16" s="20" t="s">
        <v>110</v>
      </c>
      <c r="E16" s="20" t="s">
        <v>111</v>
      </c>
      <c r="F16" s="20" t="s">
        <v>112</v>
      </c>
      <c r="G16" s="6"/>
      <c r="H16" s="19" t="s">
        <v>106</v>
      </c>
      <c r="I16" s="20" t="s">
        <v>108</v>
      </c>
      <c r="J16" s="20" t="s">
        <v>109</v>
      </c>
      <c r="K16" s="20" t="s">
        <v>110</v>
      </c>
      <c r="L16" s="20" t="s">
        <v>111</v>
      </c>
      <c r="M16" s="20" t="s">
        <v>112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3" t="s">
        <v>228</v>
      </c>
      <c r="B17" s="33" t="s">
        <v>229</v>
      </c>
      <c r="C17" s="33" t="s">
        <v>230</v>
      </c>
      <c r="D17" s="33" t="s">
        <v>231</v>
      </c>
      <c r="E17" s="33" t="s">
        <v>233</v>
      </c>
      <c r="F17" s="33" t="s">
        <v>234</v>
      </c>
      <c r="G17" s="6"/>
      <c r="H17" s="33" t="s">
        <v>235</v>
      </c>
      <c r="I17" s="33" t="s">
        <v>236</v>
      </c>
      <c r="J17" s="33" t="s">
        <v>237</v>
      </c>
      <c r="K17" s="33" t="s">
        <v>238</v>
      </c>
      <c r="L17" s="33" t="s">
        <v>239</v>
      </c>
      <c r="M17" s="33" t="s">
        <v>240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33" t="s">
        <v>241</v>
      </c>
      <c r="B18" s="33" t="s">
        <v>242</v>
      </c>
      <c r="C18" s="33" t="s">
        <v>243</v>
      </c>
      <c r="D18" s="33" t="s">
        <v>245</v>
      </c>
      <c r="E18" s="33" t="s">
        <v>246</v>
      </c>
      <c r="F18" s="33" t="s">
        <v>247</v>
      </c>
      <c r="G18" s="6"/>
      <c r="H18" s="33" t="s">
        <v>248</v>
      </c>
      <c r="I18" s="33" t="s">
        <v>249</v>
      </c>
      <c r="J18" s="33" t="s">
        <v>250</v>
      </c>
      <c r="K18" s="33" t="s">
        <v>251</v>
      </c>
      <c r="L18" s="33" t="s">
        <v>252</v>
      </c>
      <c r="M18" s="33" t="s">
        <v>253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33" t="s">
        <v>255</v>
      </c>
      <c r="B19" s="33" t="s">
        <v>256</v>
      </c>
      <c r="C19" s="33" t="s">
        <v>257</v>
      </c>
      <c r="D19" s="33" t="s">
        <v>258</v>
      </c>
      <c r="E19" s="33" t="s">
        <v>259</v>
      </c>
      <c r="F19" s="33" t="s">
        <v>260</v>
      </c>
      <c r="G19" s="6"/>
      <c r="H19" s="33" t="s">
        <v>261</v>
      </c>
      <c r="I19" s="33" t="s">
        <v>262</v>
      </c>
      <c r="J19" s="33" t="s">
        <v>263</v>
      </c>
      <c r="K19" s="33" t="s">
        <v>264</v>
      </c>
      <c r="L19" s="33" t="s">
        <v>266</v>
      </c>
      <c r="M19" s="33" t="s">
        <v>267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19" t="s">
        <v>106</v>
      </c>
      <c r="B23" s="20" t="s">
        <v>108</v>
      </c>
      <c r="C23" s="20" t="s">
        <v>109</v>
      </c>
      <c r="D23" s="20" t="s">
        <v>110</v>
      </c>
      <c r="E23" s="20" t="s">
        <v>111</v>
      </c>
      <c r="F23" s="20" t="s">
        <v>112</v>
      </c>
      <c r="G23" s="6"/>
      <c r="H23" s="19" t="s">
        <v>106</v>
      </c>
      <c r="I23" s="20" t="s">
        <v>108</v>
      </c>
      <c r="J23" s="20" t="s">
        <v>109</v>
      </c>
      <c r="K23" s="20" t="s">
        <v>110</v>
      </c>
      <c r="L23" s="20" t="s">
        <v>111</v>
      </c>
      <c r="M23" s="20" t="s">
        <v>112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33" t="s">
        <v>271</v>
      </c>
      <c r="B24" s="33" t="s">
        <v>272</v>
      </c>
      <c r="C24" s="33" t="s">
        <v>273</v>
      </c>
      <c r="D24" s="33" t="s">
        <v>274</v>
      </c>
      <c r="E24" s="33" t="s">
        <v>275</v>
      </c>
      <c r="F24" s="33" t="s">
        <v>276</v>
      </c>
      <c r="G24" s="6"/>
      <c r="H24" s="33" t="s">
        <v>278</v>
      </c>
      <c r="I24" s="33" t="s">
        <v>279</v>
      </c>
      <c r="J24" s="33" t="s">
        <v>280</v>
      </c>
      <c r="K24" s="33" t="s">
        <v>281</v>
      </c>
      <c r="L24" s="33" t="s">
        <v>282</v>
      </c>
      <c r="M24" s="33" t="s">
        <v>283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33" t="s">
        <v>284</v>
      </c>
      <c r="B25" s="33" t="s">
        <v>285</v>
      </c>
      <c r="C25" s="33" t="s">
        <v>286</v>
      </c>
      <c r="D25" s="33" t="s">
        <v>287</v>
      </c>
      <c r="E25" s="33" t="s">
        <v>288</v>
      </c>
      <c r="F25" s="33" t="s">
        <v>289</v>
      </c>
      <c r="G25" s="6"/>
      <c r="H25" s="33" t="s">
        <v>290</v>
      </c>
      <c r="I25" s="33" t="s">
        <v>291</v>
      </c>
      <c r="J25" s="33" t="s">
        <v>292</v>
      </c>
      <c r="K25" s="33" t="s">
        <v>293</v>
      </c>
      <c r="L25" s="33" t="s">
        <v>295</v>
      </c>
      <c r="M25" s="33" t="s">
        <v>296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33" t="s">
        <v>297</v>
      </c>
      <c r="B26" s="33" t="s">
        <v>298</v>
      </c>
      <c r="C26" s="33" t="s">
        <v>299</v>
      </c>
      <c r="D26" s="33" t="s">
        <v>300</v>
      </c>
      <c r="E26" s="33" t="s">
        <v>301</v>
      </c>
      <c r="F26" s="33" t="s">
        <v>303</v>
      </c>
      <c r="G26" s="6"/>
      <c r="H26" s="33" t="s">
        <v>304</v>
      </c>
      <c r="I26" s="33" t="s">
        <v>305</v>
      </c>
      <c r="J26" s="33" t="s">
        <v>306</v>
      </c>
      <c r="K26" s="33" t="s">
        <v>308</v>
      </c>
      <c r="L26" s="33" t="s">
        <v>309</v>
      </c>
      <c r="M26" s="33" t="s">
        <v>310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/>
      <c r="C1" s="13"/>
      <c r="D1" s="13"/>
      <c r="E1" s="13"/>
      <c r="F1" s="13"/>
      <c r="G1" s="13"/>
      <c r="H1" s="13"/>
      <c r="I1" s="6"/>
      <c r="J1" s="6"/>
      <c r="K1" s="6"/>
      <c r="L1" s="13"/>
      <c r="M1" s="13"/>
      <c r="N1" s="13"/>
      <c r="O1" s="13"/>
      <c r="P1" s="13"/>
      <c r="Q1" s="13"/>
      <c r="R1" s="13"/>
      <c r="S1" s="13"/>
      <c r="T1" s="6"/>
      <c r="U1" s="6"/>
      <c r="V1" s="6"/>
      <c r="W1" s="6"/>
      <c r="X1" s="6"/>
    </row>
    <row r="2" ht="22.5" customHeight="1">
      <c r="A2" s="21" t="s">
        <v>107</v>
      </c>
      <c r="B2" s="21" t="s">
        <v>3</v>
      </c>
      <c r="C2" s="21" t="s">
        <v>5</v>
      </c>
      <c r="D2" s="21" t="s">
        <v>8</v>
      </c>
      <c r="E2" s="21" t="s">
        <v>10</v>
      </c>
      <c r="F2" s="21" t="s">
        <v>12</v>
      </c>
      <c r="G2" s="26" t="s">
        <v>14</v>
      </c>
      <c r="H2" s="21" t="s">
        <v>42</v>
      </c>
      <c r="I2" s="30" t="s">
        <v>44</v>
      </c>
      <c r="J2" s="30" t="s">
        <v>46</v>
      </c>
      <c r="K2" s="30" t="s">
        <v>125</v>
      </c>
      <c r="L2" s="6"/>
      <c r="M2" s="21" t="s">
        <v>107</v>
      </c>
      <c r="N2" s="21" t="s">
        <v>16</v>
      </c>
      <c r="O2" s="21" t="s">
        <v>18</v>
      </c>
      <c r="P2" s="21" t="s">
        <v>20</v>
      </c>
      <c r="Q2" s="21" t="s">
        <v>22</v>
      </c>
      <c r="R2" s="21" t="s">
        <v>24</v>
      </c>
      <c r="S2" s="26" t="s">
        <v>26</v>
      </c>
      <c r="T2" s="21" t="s">
        <v>42</v>
      </c>
      <c r="U2" s="30" t="s">
        <v>44</v>
      </c>
      <c r="V2" s="30" t="s">
        <v>46</v>
      </c>
      <c r="W2" s="30" t="s">
        <v>125</v>
      </c>
      <c r="X2" s="6"/>
    </row>
    <row r="3" ht="22.5" customHeight="1">
      <c r="A3" s="38" t="s">
        <v>3</v>
      </c>
      <c r="B3" s="40"/>
      <c r="C3" s="38">
        <v>110.0</v>
      </c>
      <c r="D3" s="38">
        <v>84.0</v>
      </c>
      <c r="E3" s="38">
        <v>124.0</v>
      </c>
      <c r="F3" s="38">
        <v>146.0</v>
      </c>
      <c r="G3" s="38">
        <v>96.0</v>
      </c>
      <c r="H3" s="47">
        <f t="shared" ref="H3:H8" si="1">IFERROR(AVERAGE(B3:G3),0)</f>
        <v>112</v>
      </c>
      <c r="I3" s="49">
        <f t="array" ref="I3">COUNTIF(INDEX(Andrews[[A1]:[A6]] &gt; TRANSPOSE(Andrews[[A1]:[A6]]), ROW()-2, 0), TRUE) * 2 + COUNTIF(INDEX(IF(ISBLANK(Andrews[[A1]:[A6]]) + ISBLANK(TRANSPOSE(Andrews[[A1]:[A6]])), FALSE, Andrews[[A1]:[A6]] = TRANSPOSE(Andrews[[A1]:[A6]])), ROW()-2, 0), TRUE)</f>
        <v>7</v>
      </c>
      <c r="J3" s="49">
        <f t="shared" ref="J3:J8" si="2">I3*1000+H3</f>
        <v>7112</v>
      </c>
      <c r="K3" s="49">
        <f>RANK(J3,Andrews[Index])</f>
        <v>2</v>
      </c>
      <c r="L3" s="6"/>
      <c r="M3" s="38" t="s">
        <v>16</v>
      </c>
      <c r="N3" s="40"/>
      <c r="O3" s="38">
        <v>108.0</v>
      </c>
      <c r="P3" s="38">
        <v>158.0</v>
      </c>
      <c r="Q3" s="38">
        <v>126.0</v>
      </c>
      <c r="R3" s="38">
        <v>100.0</v>
      </c>
      <c r="S3" s="38">
        <v>94.0</v>
      </c>
      <c r="T3" s="47">
        <f t="shared" ref="T3:T8" si="3">IFERROR(AVERAGE(N3:S3),0)</f>
        <v>117.2</v>
      </c>
      <c r="U3" s="49">
        <f t="array" ref="U3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10</v>
      </c>
      <c r="V3" s="49">
        <f t="shared" ref="V3:V8" si="4">U3*1000+T3</f>
        <v>10117.2</v>
      </c>
      <c r="W3" s="49">
        <f>RANK(V3,Blanton[Index])</f>
        <v>1</v>
      </c>
      <c r="X3" s="6"/>
    </row>
    <row r="4" ht="22.5" customHeight="1">
      <c r="A4" s="38" t="s">
        <v>5</v>
      </c>
      <c r="B4" s="38">
        <v>94.0</v>
      </c>
      <c r="C4" s="40"/>
      <c r="D4" s="38">
        <v>80.0</v>
      </c>
      <c r="E4" s="38">
        <v>124.0</v>
      </c>
      <c r="F4" s="38">
        <v>130.0</v>
      </c>
      <c r="G4" s="38">
        <v>98.0</v>
      </c>
      <c r="H4" s="47">
        <f t="shared" si="1"/>
        <v>105.2</v>
      </c>
      <c r="I4" s="49">
        <f t="array" ref="I4">COUNTIF(INDEX(Andrews[[A1]:[A6]] &gt; TRANSPOSE(Andrews[[A1]:[A6]]), ROW()-2, 0), TRUE) * 2 + COUNTIF(INDEX(IF(ISBLANK(Andrews[[A1]:[A6]]) + ISBLANK(TRANSPOSE(Andrews[[A1]:[A6]])), FALSE, Andrews[[A1]:[A6]] = TRANSPOSE(Andrews[[A1]:[A6]])), ROW()-2, 0), TRUE)</f>
        <v>6</v>
      </c>
      <c r="J4" s="49">
        <f t="shared" si="2"/>
        <v>6105.2</v>
      </c>
      <c r="K4" s="49">
        <f>RANK(J4,Andrews[Index])</f>
        <v>3</v>
      </c>
      <c r="L4" s="6"/>
      <c r="M4" s="38" t="s">
        <v>18</v>
      </c>
      <c r="N4" s="38">
        <v>98.0</v>
      </c>
      <c r="O4" s="40"/>
      <c r="P4" s="38">
        <v>110.0</v>
      </c>
      <c r="Q4" s="38">
        <v>92.0</v>
      </c>
      <c r="R4" s="38">
        <v>42.0</v>
      </c>
      <c r="S4" s="38">
        <v>110.0</v>
      </c>
      <c r="T4" s="47">
        <f t="shared" si="3"/>
        <v>90.4</v>
      </c>
      <c r="U4" s="49">
        <f t="array" ref="U4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6</v>
      </c>
      <c r="V4" s="49">
        <f t="shared" si="4"/>
        <v>6090.4</v>
      </c>
      <c r="W4" s="49">
        <f>RANK(V4,Blanton[Index])</f>
        <v>3</v>
      </c>
      <c r="X4" s="6"/>
    </row>
    <row r="5" ht="22.5" customHeight="1">
      <c r="A5" s="38" t="s">
        <v>8</v>
      </c>
      <c r="B5" s="38">
        <v>96.0</v>
      </c>
      <c r="C5" s="38">
        <v>92.0</v>
      </c>
      <c r="D5" s="40"/>
      <c r="E5" s="38">
        <v>124.0</v>
      </c>
      <c r="F5" s="38">
        <v>132.0</v>
      </c>
      <c r="G5" s="38">
        <v>132.0</v>
      </c>
      <c r="H5" s="47">
        <f t="shared" si="1"/>
        <v>115.2</v>
      </c>
      <c r="I5" s="49">
        <f t="array" ref="I5">COUNTIF(INDEX(Andrews[[A1]:[A6]] &gt; TRANSPOSE(Andrews[[A1]:[A6]]), ROW()-2, 0), TRUE) * 2 + COUNTIF(INDEX(IF(ISBLANK(Andrews[[A1]:[A6]]) + ISBLANK(TRANSPOSE(Andrews[[A1]:[A6]])), FALSE, Andrews[[A1]:[A6]] = TRANSPOSE(Andrews[[A1]:[A6]])), ROW()-2, 0), TRUE)</f>
        <v>10</v>
      </c>
      <c r="J5" s="49">
        <f t="shared" si="2"/>
        <v>10115.2</v>
      </c>
      <c r="K5" s="49">
        <f>RANK(J5,Andrews[Index])</f>
        <v>1</v>
      </c>
      <c r="L5" s="6"/>
      <c r="M5" s="38" t="s">
        <v>20</v>
      </c>
      <c r="N5" s="38">
        <v>8.0</v>
      </c>
      <c r="O5" s="38">
        <v>30.0</v>
      </c>
      <c r="P5" s="40"/>
      <c r="Q5" s="38">
        <v>46.0</v>
      </c>
      <c r="R5" s="38">
        <v>18.0</v>
      </c>
      <c r="S5" s="38">
        <v>56.0</v>
      </c>
      <c r="T5" s="47">
        <f t="shared" si="3"/>
        <v>31.6</v>
      </c>
      <c r="U5" s="49">
        <f t="array" ref="U5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2</v>
      </c>
      <c r="V5" s="49">
        <f t="shared" si="4"/>
        <v>2031.6</v>
      </c>
      <c r="W5" s="49">
        <f>RANK(V5,Blanton[Index])</f>
        <v>5</v>
      </c>
      <c r="X5" s="6"/>
    </row>
    <row r="6" ht="22.5" customHeight="1">
      <c r="A6" s="38" t="s">
        <v>10</v>
      </c>
      <c r="B6" s="38">
        <v>22.0</v>
      </c>
      <c r="C6" s="38">
        <v>28.0</v>
      </c>
      <c r="D6" s="38">
        <v>38.0</v>
      </c>
      <c r="E6" s="40"/>
      <c r="F6" s="38">
        <v>38.0</v>
      </c>
      <c r="G6" s="38">
        <v>36.0</v>
      </c>
      <c r="H6" s="47">
        <f t="shared" si="1"/>
        <v>32.4</v>
      </c>
      <c r="I6" s="49">
        <f t="array" ref="I6">COUNTIF(INDEX(Andrews[[A1]:[A6]] &gt; TRANSPOSE(Andrews[[A1]:[A6]]), ROW()-2, 0), TRUE) * 2 + COUNTIF(INDEX(IF(ISBLANK(Andrews[[A1]:[A6]]) + ISBLANK(TRANSPOSE(Andrews[[A1]:[A6]])), FALSE, Andrews[[A1]:[A6]] = TRANSPOSE(Andrews[[A1]:[A6]])), ROW()-2, 0), TRUE)</f>
        <v>0</v>
      </c>
      <c r="J6" s="49">
        <f t="shared" si="2"/>
        <v>32.4</v>
      </c>
      <c r="K6" s="49">
        <f>RANK(J6,Andrews[Index])</f>
        <v>6</v>
      </c>
      <c r="L6" s="6"/>
      <c r="M6" s="38" t="s">
        <v>22</v>
      </c>
      <c r="N6" s="38">
        <v>70.0</v>
      </c>
      <c r="O6" s="38">
        <v>46.0</v>
      </c>
      <c r="P6" s="38">
        <v>120.0</v>
      </c>
      <c r="Q6" s="40"/>
      <c r="R6" s="38">
        <v>52.0</v>
      </c>
      <c r="S6" s="38">
        <v>72.0</v>
      </c>
      <c r="T6" s="47">
        <f t="shared" si="3"/>
        <v>72</v>
      </c>
      <c r="U6" s="49">
        <f t="array" ref="U6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4</v>
      </c>
      <c r="V6" s="49">
        <f t="shared" si="4"/>
        <v>4072</v>
      </c>
      <c r="W6" s="49">
        <f>RANK(V6,Blanton[Index])</f>
        <v>4</v>
      </c>
      <c r="X6" s="6"/>
    </row>
    <row r="7" ht="22.5" customHeight="1">
      <c r="A7" s="38" t="s">
        <v>12</v>
      </c>
      <c r="B7" s="38">
        <v>56.0</v>
      </c>
      <c r="C7" s="38">
        <v>56.0</v>
      </c>
      <c r="D7" s="38">
        <v>18.0</v>
      </c>
      <c r="E7" s="38">
        <v>100.0</v>
      </c>
      <c r="F7" s="40"/>
      <c r="G7" s="38">
        <v>80.0</v>
      </c>
      <c r="H7" s="47">
        <f t="shared" si="1"/>
        <v>62</v>
      </c>
      <c r="I7" s="49">
        <f t="array" ref="I7">COUNTIF(INDEX(Andrews[[A1]:[A6]] &gt; TRANSPOSE(Andrews[[A1]:[A6]]), ROW()-2, 0), TRUE) * 2 + COUNTIF(INDEX(IF(ISBLANK(Andrews[[A1]:[A6]]) + ISBLANK(TRANSPOSE(Andrews[[A1]:[A6]])), FALSE, Andrews[[A1]:[A6]] = TRANSPOSE(Andrews[[A1]:[A6]])), ROW()-2, 0), TRUE)</f>
        <v>2</v>
      </c>
      <c r="J7" s="49">
        <f t="shared" si="2"/>
        <v>2062</v>
      </c>
      <c r="K7" s="49">
        <f>RANK(J7,Andrews[Index])</f>
        <v>5</v>
      </c>
      <c r="L7" s="6"/>
      <c r="M7" s="38" t="s">
        <v>24</v>
      </c>
      <c r="N7" s="38">
        <v>70.0</v>
      </c>
      <c r="O7" s="38">
        <v>120.0</v>
      </c>
      <c r="P7" s="38">
        <v>144.0</v>
      </c>
      <c r="Q7" s="38">
        <v>140.0</v>
      </c>
      <c r="R7" s="40"/>
      <c r="S7" s="38">
        <v>68.0</v>
      </c>
      <c r="T7" s="47">
        <f t="shared" si="3"/>
        <v>108.4</v>
      </c>
      <c r="U7" s="49">
        <f t="array" ref="U7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8</v>
      </c>
      <c r="V7" s="49">
        <f t="shared" si="4"/>
        <v>8108.4</v>
      </c>
      <c r="W7" s="49">
        <f>RANK(V7,Blanton[Index])</f>
        <v>2</v>
      </c>
      <c r="X7" s="6"/>
    </row>
    <row r="8" ht="22.5" customHeight="1">
      <c r="A8" s="38" t="s">
        <v>14</v>
      </c>
      <c r="B8" s="38">
        <v>96.0</v>
      </c>
      <c r="C8" s="38">
        <v>96.0</v>
      </c>
      <c r="D8" s="38">
        <v>74.0</v>
      </c>
      <c r="E8" s="38">
        <v>160.0</v>
      </c>
      <c r="F8" s="38">
        <v>112.0</v>
      </c>
      <c r="G8" s="40"/>
      <c r="H8" s="47">
        <f t="shared" si="1"/>
        <v>107.6</v>
      </c>
      <c r="I8" s="49">
        <f t="array" ref="I8">COUNTIF(INDEX(Andrews[[A1]:[A6]] &gt; TRANSPOSE(Andrews[[A1]:[A6]]), ROW()-2, 0), TRUE) * 2 + COUNTIF(INDEX(IF(ISBLANK(Andrews[[A1]:[A6]]) + ISBLANK(TRANSPOSE(Andrews[[A1]:[A6]])), FALSE, Andrews[[A1]:[A6]] = TRANSPOSE(Andrews[[A1]:[A6]])), ROW()-2, 0), TRUE)</f>
        <v>5</v>
      </c>
      <c r="J8" s="49">
        <f t="shared" si="2"/>
        <v>5107.6</v>
      </c>
      <c r="K8" s="49">
        <f>RANK(J8,Andrews[Index])</f>
        <v>4</v>
      </c>
      <c r="L8" s="6"/>
      <c r="M8" s="38" t="s">
        <v>26</v>
      </c>
      <c r="N8" s="38">
        <v>44.0</v>
      </c>
      <c r="O8" s="38">
        <v>86.0</v>
      </c>
      <c r="P8" s="38">
        <v>50.0</v>
      </c>
      <c r="Q8" s="38">
        <v>36.0</v>
      </c>
      <c r="R8" s="38">
        <v>22.0</v>
      </c>
      <c r="S8" s="40"/>
      <c r="T8" s="47">
        <f t="shared" si="3"/>
        <v>47.6</v>
      </c>
      <c r="U8" s="49">
        <f t="array" ref="U8">COUNTIF(INDEX(Blanton[[B1]:[PPG]] &gt; TRANSPOSE(Blanton[[B1]:[PPG]]), ROW()-2, 0), TRUE) * 2 + COUNTIF(INDEX(IF(ISBLANK(Blanton[[B1]:[PPG]]) + ISBLANK(TRANSPOSE(Blanton[[B1]:[PPG]])), FALSE, Blanton[[B1]:[PPG]] = TRANSPOSE(Blanton[[B1]:[PPG]])), ROW()-2, 0), TRUE)</f>
        <v>0</v>
      </c>
      <c r="V8" s="49">
        <f t="shared" si="4"/>
        <v>47.6</v>
      </c>
      <c r="W8" s="49">
        <f>RANK(V8,Blanton[Index])</f>
        <v>6</v>
      </c>
      <c r="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3"/>
      <c r="B11" s="13"/>
      <c r="C11" s="13"/>
      <c r="D11" s="13"/>
      <c r="E11" s="13"/>
      <c r="F11" s="13"/>
      <c r="G11" s="13"/>
      <c r="H11" s="13"/>
      <c r="I11" s="6"/>
      <c r="J11" s="6"/>
      <c r="K11" s="6"/>
      <c r="L11" s="13"/>
      <c r="M11" s="13"/>
      <c r="N11" s="13"/>
      <c r="O11" s="13"/>
      <c r="P11" s="13"/>
      <c r="Q11" s="13"/>
      <c r="R11" s="13"/>
      <c r="S11" s="13"/>
      <c r="T11" s="6"/>
      <c r="U11" s="6"/>
      <c r="V11" s="6"/>
      <c r="W11" s="6"/>
      <c r="X11" s="6"/>
    </row>
    <row r="12" ht="22.5" customHeight="1">
      <c r="A12" s="21" t="s">
        <v>107</v>
      </c>
      <c r="B12" s="21" t="s">
        <v>29</v>
      </c>
      <c r="C12" s="21" t="s">
        <v>31</v>
      </c>
      <c r="D12" s="21" t="s">
        <v>33</v>
      </c>
      <c r="E12" s="21" t="s">
        <v>35</v>
      </c>
      <c r="F12" s="21" t="s">
        <v>37</v>
      </c>
      <c r="G12" s="26" t="s">
        <v>39</v>
      </c>
      <c r="H12" s="21" t="s">
        <v>42</v>
      </c>
      <c r="I12" s="30" t="s">
        <v>44</v>
      </c>
      <c r="J12" s="30" t="s">
        <v>46</v>
      </c>
      <c r="K12" s="30" t="s">
        <v>125</v>
      </c>
      <c r="L12" s="6"/>
      <c r="M12" s="21" t="s">
        <v>107</v>
      </c>
      <c r="N12" s="21" t="s">
        <v>41</v>
      </c>
      <c r="O12" s="21" t="s">
        <v>45</v>
      </c>
      <c r="P12" s="21" t="s">
        <v>49</v>
      </c>
      <c r="Q12" s="21" t="s">
        <v>51</v>
      </c>
      <c r="R12" s="21" t="s">
        <v>53</v>
      </c>
      <c r="S12" s="26" t="s">
        <v>55</v>
      </c>
      <c r="T12" s="21" t="s">
        <v>42</v>
      </c>
      <c r="U12" s="30" t="s">
        <v>44</v>
      </c>
      <c r="V12" s="30" t="s">
        <v>46</v>
      </c>
      <c r="W12" s="30" t="s">
        <v>125</v>
      </c>
      <c r="X12" s="6"/>
    </row>
    <row r="13" ht="22.5" customHeight="1">
      <c r="A13" s="38" t="s">
        <v>29</v>
      </c>
      <c r="B13" s="40"/>
      <c r="C13" s="38">
        <v>134.0</v>
      </c>
      <c r="D13" s="38">
        <v>102.0</v>
      </c>
      <c r="E13" s="38">
        <v>144.0</v>
      </c>
      <c r="F13" s="38">
        <v>156.0</v>
      </c>
      <c r="G13" s="38">
        <v>140.0</v>
      </c>
      <c r="H13" s="47">
        <f t="shared" ref="H13:H18" si="5">IFERROR(AVERAGE(B13:G13),0)</f>
        <v>135.2</v>
      </c>
      <c r="I13" s="49">
        <f t="array" ref="I13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10</v>
      </c>
      <c r="J13" s="49">
        <f t="shared" ref="J13:J18" si="6">I13*1000+H13</f>
        <v>10135.2</v>
      </c>
      <c r="K13" s="49">
        <f>RANK(J13,Carothers[Index])</f>
        <v>1</v>
      </c>
      <c r="L13" s="6"/>
      <c r="M13" s="38" t="s">
        <v>41</v>
      </c>
      <c r="N13" s="40"/>
      <c r="O13" s="38">
        <v>30.0</v>
      </c>
      <c r="P13" s="38">
        <v>26.0</v>
      </c>
      <c r="Q13" s="38">
        <v>36.0</v>
      </c>
      <c r="R13" s="38">
        <v>72.0</v>
      </c>
      <c r="S13" s="38">
        <v>54.0</v>
      </c>
      <c r="T13" s="47">
        <f t="shared" ref="T13:T18" si="7">IFERROR(AVERAGE(N13:S13),0)</f>
        <v>43.6</v>
      </c>
      <c r="U13" s="49">
        <f t="array" ref="U13">COUNTIF(INDEX(Duren[[D1]:[PPG]] &gt; TRANSPOSE(Duren[[D1]:[PPG]]), ROW()-12, 0), TRUE) * 2 + COUNTIF(INDEX(IF(ISBLANK(Duren[[D1]:[PPG]]) + ISBLANK(TRANSPOSE(Duren[[D1]:[PPG]])), FALSE, Duren[[D1]:[PPG]] = TRANSPOSE(Duren[[D1]:[PPG]])), ROW()-12, 0), TRUE)</f>
        <v>2</v>
      </c>
      <c r="V13" s="49">
        <f t="shared" ref="V13:V18" si="8">U13*1000+T13</f>
        <v>2043.6</v>
      </c>
      <c r="W13" s="49">
        <f>RANK(V13,Duren[Index])</f>
        <v>5</v>
      </c>
      <c r="X13" s="6"/>
    </row>
    <row r="14" ht="22.5" customHeight="1">
      <c r="A14" s="38" t="s">
        <v>31</v>
      </c>
      <c r="B14" s="38">
        <v>70.0</v>
      </c>
      <c r="C14" s="40"/>
      <c r="D14" s="38">
        <v>102.0</v>
      </c>
      <c r="E14" s="38">
        <v>116.0</v>
      </c>
      <c r="F14" s="38">
        <v>154.0</v>
      </c>
      <c r="G14" s="38">
        <v>142.0</v>
      </c>
      <c r="H14" s="47">
        <f t="shared" si="5"/>
        <v>116.8</v>
      </c>
      <c r="I14" s="49">
        <f t="array" ref="I14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6</v>
      </c>
      <c r="J14" s="49">
        <f t="shared" si="6"/>
        <v>6116.8</v>
      </c>
      <c r="K14" s="49">
        <f>RANK(J14,Carothers[Index])</f>
        <v>3</v>
      </c>
      <c r="L14" s="6"/>
      <c r="M14" s="38" t="s">
        <v>45</v>
      </c>
      <c r="N14" s="38">
        <v>40.0</v>
      </c>
      <c r="O14" s="40"/>
      <c r="P14" s="38">
        <v>36.0</v>
      </c>
      <c r="Q14" s="38">
        <v>26.0</v>
      </c>
      <c r="R14" s="38">
        <v>118.0</v>
      </c>
      <c r="S14" s="38">
        <v>40.0</v>
      </c>
      <c r="T14" s="47">
        <f t="shared" si="7"/>
        <v>52</v>
      </c>
      <c r="U14" s="49">
        <f t="array" ref="U14">COUNTIF(INDEX(Duren[[D1]:[PPG]] &gt; TRANSPOSE(Duren[[D1]:[PPG]]), ROW()-12, 0), TRUE) * 2 + COUNTIF(INDEX(IF(ISBLANK(Duren[[D1]:[PPG]]) + ISBLANK(TRANSPOSE(Duren[[D1]:[PPG]])), FALSE, Duren[[D1]:[PPG]] = TRANSPOSE(Duren[[D1]:[PPG]])), ROW()-12, 0), TRUE)</f>
        <v>4</v>
      </c>
      <c r="V14" s="49">
        <f t="shared" si="8"/>
        <v>4052</v>
      </c>
      <c r="W14" s="49">
        <f>RANK(V14,Duren[Index])</f>
        <v>4</v>
      </c>
      <c r="X14" s="6"/>
    </row>
    <row r="15" ht="22.5" customHeight="1">
      <c r="A15" s="38" t="s">
        <v>33</v>
      </c>
      <c r="B15" s="38">
        <v>88.0</v>
      </c>
      <c r="C15" s="38">
        <v>106.0</v>
      </c>
      <c r="D15" s="40"/>
      <c r="E15" s="38">
        <v>178.0</v>
      </c>
      <c r="F15" s="38">
        <v>148.0</v>
      </c>
      <c r="G15" s="38">
        <v>130.0</v>
      </c>
      <c r="H15" s="47">
        <f t="shared" si="5"/>
        <v>130</v>
      </c>
      <c r="I15" s="49">
        <f t="array" ref="I15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8</v>
      </c>
      <c r="J15" s="49">
        <f t="shared" si="6"/>
        <v>8130</v>
      </c>
      <c r="K15" s="49">
        <f>RANK(J15,Carothers[Index])</f>
        <v>2</v>
      </c>
      <c r="L15" s="6"/>
      <c r="M15" s="38" t="s">
        <v>49</v>
      </c>
      <c r="N15" s="38">
        <v>134.0</v>
      </c>
      <c r="O15" s="38">
        <v>110.0</v>
      </c>
      <c r="P15" s="40"/>
      <c r="Q15" s="38">
        <v>118.0</v>
      </c>
      <c r="R15" s="38">
        <v>98.0</v>
      </c>
      <c r="S15" s="38">
        <v>86.0</v>
      </c>
      <c r="T15" s="47">
        <f t="shared" si="7"/>
        <v>109.2</v>
      </c>
      <c r="U15" s="49">
        <f t="array" ref="U15">COUNTIF(INDEX(Duren[[D1]:[PPG]] &gt; TRANSPOSE(Duren[[D1]:[PPG]]), ROW()-12, 0), TRUE) * 2 + COUNTIF(INDEX(IF(ISBLANK(Duren[[D1]:[PPG]]) + ISBLANK(TRANSPOSE(Duren[[D1]:[PPG]])), FALSE, Duren[[D1]:[PPG]] = TRANSPOSE(Duren[[D1]:[PPG]])), ROW()-12, 0), TRUE)</f>
        <v>8</v>
      </c>
      <c r="V15" s="49">
        <f t="shared" si="8"/>
        <v>8109.2</v>
      </c>
      <c r="W15" s="49">
        <f>RANK(V15,Duren[Index])</f>
        <v>2</v>
      </c>
      <c r="X15" s="6"/>
    </row>
    <row r="16" ht="22.5" customHeight="1">
      <c r="A16" s="38" t="s">
        <v>35</v>
      </c>
      <c r="B16" s="38">
        <v>22.0</v>
      </c>
      <c r="C16" s="38">
        <v>18.0</v>
      </c>
      <c r="D16" s="38">
        <v>32.0</v>
      </c>
      <c r="E16" s="40"/>
      <c r="F16" s="38">
        <v>74.0</v>
      </c>
      <c r="G16" s="38">
        <v>90.0</v>
      </c>
      <c r="H16" s="47">
        <f t="shared" si="5"/>
        <v>47.2</v>
      </c>
      <c r="I16" s="49">
        <f t="array" ref="I16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4</v>
      </c>
      <c r="J16" s="49">
        <f t="shared" si="6"/>
        <v>4047.2</v>
      </c>
      <c r="K16" s="49">
        <f>RANK(J16,Carothers[Index])</f>
        <v>4</v>
      </c>
      <c r="L16" s="6"/>
      <c r="M16" s="38" t="s">
        <v>51</v>
      </c>
      <c r="N16" s="38">
        <v>120.0</v>
      </c>
      <c r="O16" s="38">
        <v>86.0</v>
      </c>
      <c r="P16" s="38">
        <v>70.0</v>
      </c>
      <c r="Q16" s="40"/>
      <c r="R16" s="38">
        <v>88.0</v>
      </c>
      <c r="S16" s="38">
        <v>88.0</v>
      </c>
      <c r="T16" s="47">
        <f t="shared" si="7"/>
        <v>90.4</v>
      </c>
      <c r="U16" s="49">
        <f t="array" ref="U16">COUNTIF(INDEX(Duren[[D1]:[PPG]] &gt; TRANSPOSE(Duren[[D1]:[PPG]]), ROW()-12, 0), TRUE) * 2 + COUNTIF(INDEX(IF(ISBLANK(Duren[[D1]:[PPG]]) + ISBLANK(TRANSPOSE(Duren[[D1]:[PPG]])), FALSE, Duren[[D1]:[PPG]] = TRANSPOSE(Duren[[D1]:[PPG]])), ROW()-12, 0), TRUE)</f>
        <v>8</v>
      </c>
      <c r="V16" s="49">
        <f t="shared" si="8"/>
        <v>8090.4</v>
      </c>
      <c r="W16" s="49">
        <f>RANK(V16,Duren[Index])</f>
        <v>3</v>
      </c>
      <c r="X16" s="6"/>
    </row>
    <row r="17" ht="22.5" customHeight="1">
      <c r="A17" s="38" t="s">
        <v>37</v>
      </c>
      <c r="B17" s="38">
        <v>50.0</v>
      </c>
      <c r="C17" s="38">
        <v>70.0</v>
      </c>
      <c r="D17" s="38">
        <v>54.0</v>
      </c>
      <c r="E17" s="38">
        <v>28.0</v>
      </c>
      <c r="F17" s="40"/>
      <c r="G17" s="38">
        <v>80.0</v>
      </c>
      <c r="H17" s="47">
        <f t="shared" si="5"/>
        <v>56.4</v>
      </c>
      <c r="I17" s="49">
        <f t="array" ref="I17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2</v>
      </c>
      <c r="J17" s="49">
        <f t="shared" si="6"/>
        <v>2056.4</v>
      </c>
      <c r="K17" s="49">
        <f>RANK(J17,Carothers[Index])</f>
        <v>5</v>
      </c>
      <c r="L17" s="6"/>
      <c r="M17" s="38" t="s">
        <v>53</v>
      </c>
      <c r="N17" s="38">
        <v>36.0</v>
      </c>
      <c r="O17" s="38">
        <v>10.0</v>
      </c>
      <c r="P17" s="38">
        <v>18.0</v>
      </c>
      <c r="Q17" s="38">
        <v>40.0</v>
      </c>
      <c r="R17" s="40"/>
      <c r="S17" s="38">
        <v>6.0</v>
      </c>
      <c r="T17" s="47">
        <f t="shared" si="7"/>
        <v>22</v>
      </c>
      <c r="U17" s="49">
        <f t="array" ref="U17">COUNTIF(INDEX(Duren[[D1]:[PPG]] &gt; TRANSPOSE(Duren[[D1]:[PPG]]), ROW()-12, 0), TRUE) * 2 + COUNTIF(INDEX(IF(ISBLANK(Duren[[D1]:[PPG]]) + ISBLANK(TRANSPOSE(Duren[[D1]:[PPG]])), FALSE, Duren[[D1]:[PPG]] = TRANSPOSE(Duren[[D1]:[PPG]])), ROW()-12, 0), TRUE)</f>
        <v>0</v>
      </c>
      <c r="V17" s="49">
        <f t="shared" si="8"/>
        <v>22</v>
      </c>
      <c r="W17" s="49">
        <f>RANK(V17,Duren[Index])</f>
        <v>6</v>
      </c>
      <c r="X17" s="6"/>
    </row>
    <row r="18" ht="22.5" customHeight="1">
      <c r="A18" s="38" t="s">
        <v>39</v>
      </c>
      <c r="B18" s="38">
        <v>46.0</v>
      </c>
      <c r="C18" s="38">
        <v>74.0</v>
      </c>
      <c r="D18" s="38">
        <v>88.0</v>
      </c>
      <c r="E18" s="38">
        <v>74.0</v>
      </c>
      <c r="F18" s="38">
        <v>14.0</v>
      </c>
      <c r="G18" s="40"/>
      <c r="H18" s="47">
        <f t="shared" si="5"/>
        <v>59.2</v>
      </c>
      <c r="I18" s="49">
        <f t="array" ref="I18">COUNTIF(INDEX(Carothers[[C1]:[C6]] &gt; TRANSPOSE(Carothers[[C1]:[C6]]), ROW()-12, 0), TRUE) * 2 + COUNTIF(INDEX(IF(ISBLANK(Carothers[[C1]:[C6]]) + ISBLANK(TRANSPOSE(Carothers[[C1]:[C6]])), FALSE, Carothers[[C1]:[C6]] = TRANSPOSE(Carothers[[C1]:[C6]])), ROW()-12, 0), TRUE)</f>
        <v>0</v>
      </c>
      <c r="J18" s="49">
        <f t="shared" si="6"/>
        <v>59.2</v>
      </c>
      <c r="K18" s="49">
        <f>RANK(J18,Carothers[Index])</f>
        <v>6</v>
      </c>
      <c r="L18" s="6"/>
      <c r="M18" s="38" t="s">
        <v>55</v>
      </c>
      <c r="N18" s="38">
        <v>146.0</v>
      </c>
      <c r="O18" s="38">
        <v>146.0</v>
      </c>
      <c r="P18" s="38">
        <v>106.0</v>
      </c>
      <c r="Q18" s="38">
        <v>78.0</v>
      </c>
      <c r="R18" s="38">
        <v>88.0</v>
      </c>
      <c r="S18" s="40"/>
      <c r="T18" s="47">
        <f t="shared" si="7"/>
        <v>112.8</v>
      </c>
      <c r="U18" s="49">
        <f t="array" ref="U18">COUNTIF(INDEX(Duren[[D1]:[PPG]] &gt; TRANSPOSE(Duren[[D1]:[PPG]]), ROW()-12, 0), TRUE) * 2 + COUNTIF(INDEX(IF(ISBLANK(Duren[[D1]:[PPG]]) + ISBLANK(TRANSPOSE(Duren[[D1]:[PPG]])), FALSE, Duren[[D1]:[PPG]] = TRANSPOSE(Duren[[D1]:[PPG]])), ROW()-12, 0), TRUE)</f>
        <v>8</v>
      </c>
      <c r="V18" s="49">
        <f t="shared" si="8"/>
        <v>8112.8</v>
      </c>
      <c r="W18" s="49">
        <f>RANK(V18,Duren[Index])</f>
        <v>1</v>
      </c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3"/>
      <c r="B21" s="13"/>
      <c r="C21" s="13"/>
      <c r="D21" s="13"/>
      <c r="E21" s="13"/>
      <c r="F21" s="13"/>
      <c r="G21" s="13"/>
      <c r="H21" s="13"/>
      <c r="I21" s="6"/>
      <c r="J21" s="6"/>
      <c r="K21" s="6"/>
      <c r="L21" s="13"/>
      <c r="M21" s="13"/>
      <c r="N21" s="13"/>
      <c r="O21" s="13"/>
      <c r="P21" s="13"/>
      <c r="Q21" s="13"/>
      <c r="R21" s="13"/>
      <c r="S21" s="13"/>
      <c r="T21" s="6"/>
      <c r="U21" s="6"/>
      <c r="V21" s="6"/>
      <c r="W21" s="6"/>
      <c r="X21" s="6"/>
    </row>
    <row r="22" ht="22.5" customHeight="1">
      <c r="A22" s="21" t="s">
        <v>107</v>
      </c>
      <c r="B22" s="21" t="s">
        <v>57</v>
      </c>
      <c r="C22" s="21" t="s">
        <v>59</v>
      </c>
      <c r="D22" s="21" t="s">
        <v>61</v>
      </c>
      <c r="E22" s="21" t="s">
        <v>63</v>
      </c>
      <c r="F22" s="21" t="s">
        <v>65</v>
      </c>
      <c r="G22" s="26" t="s">
        <v>67</v>
      </c>
      <c r="H22" s="21" t="s">
        <v>42</v>
      </c>
      <c r="I22" s="30" t="s">
        <v>44</v>
      </c>
      <c r="J22" s="30" t="s">
        <v>46</v>
      </c>
      <c r="K22" s="30" t="s">
        <v>125</v>
      </c>
      <c r="L22" s="6"/>
      <c r="M22" s="21" t="s">
        <v>107</v>
      </c>
      <c r="N22" s="21" t="s">
        <v>69</v>
      </c>
      <c r="O22" s="21" t="s">
        <v>71</v>
      </c>
      <c r="P22" s="21" t="s">
        <v>73</v>
      </c>
      <c r="Q22" s="21" t="s">
        <v>75</v>
      </c>
      <c r="R22" s="21" t="s">
        <v>77</v>
      </c>
      <c r="S22" s="26" t="s">
        <v>79</v>
      </c>
      <c r="T22" s="21" t="s">
        <v>42</v>
      </c>
      <c r="U22" s="30" t="s">
        <v>44</v>
      </c>
      <c r="V22" s="30" t="s">
        <v>46</v>
      </c>
      <c r="W22" s="30" t="s">
        <v>125</v>
      </c>
      <c r="X22" s="6"/>
    </row>
    <row r="23" ht="22.5" customHeight="1">
      <c r="A23" s="38" t="s">
        <v>57</v>
      </c>
      <c r="B23" s="40"/>
      <c r="C23" s="38">
        <v>188.0</v>
      </c>
      <c r="D23" s="38">
        <v>132.0</v>
      </c>
      <c r="E23" s="38">
        <v>108.0</v>
      </c>
      <c r="F23" s="38">
        <v>170.0</v>
      </c>
      <c r="G23" s="38">
        <v>168.0</v>
      </c>
      <c r="H23" s="47">
        <f t="shared" ref="H23:H28" si="9">IFERROR(AVERAGE(B23:G23),0)</f>
        <v>153.2</v>
      </c>
      <c r="I23" s="49">
        <f t="array" ref="I23">COUNTIF(INDEX(Jester[[J1]:[J6]] &gt; TRANSPOSE(Jester[[J1]:[J6]]), ROW()-22, 0), TRUE) * 2 + COUNTIF(INDEX(IF(ISBLANK(Jester[[J1]:[J6]]) + ISBLANK(TRANSPOSE(Jester[[J1]:[J6]])), FALSE, Jester[[J1]:[J6]] = TRANSPOSE(Jester[[J1]:[J6]])), ROW()-22, 0), TRUE)</f>
        <v>8</v>
      </c>
      <c r="J23" s="49">
        <f t="shared" ref="J23:J28" si="10">I23*1000+H23</f>
        <v>8153.2</v>
      </c>
      <c r="K23" s="49">
        <f>RANK(J23,Jester[Index])</f>
        <v>2</v>
      </c>
      <c r="L23" s="6"/>
      <c r="M23" s="38" t="s">
        <v>69</v>
      </c>
      <c r="N23" s="40"/>
      <c r="O23" s="38">
        <v>204.0</v>
      </c>
      <c r="P23" s="38">
        <v>112.0</v>
      </c>
      <c r="Q23" s="38">
        <v>88.0</v>
      </c>
      <c r="R23" s="38">
        <v>138.0</v>
      </c>
      <c r="S23" s="38">
        <v>158.0</v>
      </c>
      <c r="T23" s="47">
        <f t="shared" ref="T23:T28" si="11">IFERROR(AVERAGE(N23:S23),0)</f>
        <v>140</v>
      </c>
      <c r="U23" s="49">
        <f t="array" ref="U23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10</v>
      </c>
      <c r="V23" s="49">
        <f t="shared" ref="V23:V28" si="12">U23*1000+T23</f>
        <v>10140</v>
      </c>
      <c r="W23" s="49">
        <f>RANK(V23,Kinsolving[Index])</f>
        <v>1</v>
      </c>
      <c r="X23" s="6"/>
    </row>
    <row r="24" ht="22.5" customHeight="1">
      <c r="A24" s="38" t="s">
        <v>59</v>
      </c>
      <c r="B24" s="38">
        <v>50.0</v>
      </c>
      <c r="C24" s="40"/>
      <c r="D24" s="38">
        <v>44.0</v>
      </c>
      <c r="E24" s="38">
        <v>26.0</v>
      </c>
      <c r="F24" s="38">
        <v>36.0</v>
      </c>
      <c r="G24" s="38">
        <v>110.0</v>
      </c>
      <c r="H24" s="47">
        <f t="shared" si="9"/>
        <v>53.2</v>
      </c>
      <c r="I24" s="49">
        <f t="array" ref="I24">COUNTIF(INDEX(Jester[[J1]:[J6]] &gt; TRANSPOSE(Jester[[J1]:[J6]]), ROW()-22, 0), TRUE) * 2 + COUNTIF(INDEX(IF(ISBLANK(Jester[[J1]:[J6]]) + ISBLANK(TRANSPOSE(Jester[[J1]:[J6]])), FALSE, Jester[[J1]:[J6]] = TRANSPOSE(Jester[[J1]:[J6]])), ROW()-22, 0), TRUE)</f>
        <v>2</v>
      </c>
      <c r="J24" s="49">
        <f t="shared" si="10"/>
        <v>2053.2</v>
      </c>
      <c r="K24" s="49">
        <f>RANK(J24,Jester[Index])</f>
        <v>4</v>
      </c>
      <c r="L24" s="6"/>
      <c r="M24" s="38" t="s">
        <v>71</v>
      </c>
      <c r="N24" s="38">
        <v>20.0</v>
      </c>
      <c r="O24" s="40"/>
      <c r="P24" s="38">
        <v>130.0</v>
      </c>
      <c r="Q24" s="38">
        <v>118.0</v>
      </c>
      <c r="R24" s="38">
        <v>120.0</v>
      </c>
      <c r="S24" s="38">
        <v>134.0</v>
      </c>
      <c r="T24" s="47">
        <f t="shared" si="11"/>
        <v>104.4</v>
      </c>
      <c r="U24" s="49">
        <f t="array" ref="U24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8</v>
      </c>
      <c r="V24" s="49">
        <f t="shared" si="12"/>
        <v>8104.4</v>
      </c>
      <c r="W24" s="49">
        <f>RANK(V24,Kinsolving[Index])</f>
        <v>2</v>
      </c>
      <c r="X24" s="6"/>
    </row>
    <row r="25" ht="22.5" customHeight="1">
      <c r="A25" s="38" t="s">
        <v>61</v>
      </c>
      <c r="B25" s="38">
        <v>30.0</v>
      </c>
      <c r="C25" s="38">
        <v>54.0</v>
      </c>
      <c r="D25" s="40"/>
      <c r="E25" s="38">
        <v>42.0</v>
      </c>
      <c r="F25" s="38">
        <v>8.0</v>
      </c>
      <c r="G25" s="38">
        <v>54.0</v>
      </c>
      <c r="H25" s="47">
        <f t="shared" si="9"/>
        <v>37.6</v>
      </c>
      <c r="I25" s="49">
        <f t="array" ref="I25">COUNTIF(INDEX(Jester[[J1]:[J6]] &gt; TRANSPOSE(Jester[[J1]:[J6]]), ROW()-22, 0), TRUE) * 2 + COUNTIF(INDEX(IF(ISBLANK(Jester[[J1]:[J6]]) + ISBLANK(TRANSPOSE(Jester[[J1]:[J6]])), FALSE, Jester[[J1]:[J6]] = TRANSPOSE(Jester[[J1]:[J6]])), ROW()-22, 0), TRUE)</f>
        <v>2</v>
      </c>
      <c r="J25" s="49">
        <f t="shared" si="10"/>
        <v>2037.6</v>
      </c>
      <c r="K25" s="49">
        <f>RANK(J25,Jester[Index])</f>
        <v>5</v>
      </c>
      <c r="L25" s="6"/>
      <c r="M25" s="38" t="s">
        <v>73</v>
      </c>
      <c r="N25" s="38">
        <v>52.0</v>
      </c>
      <c r="O25" s="38">
        <v>92.0</v>
      </c>
      <c r="P25" s="40"/>
      <c r="Q25" s="38">
        <v>120.0</v>
      </c>
      <c r="R25" s="38">
        <v>84.0</v>
      </c>
      <c r="S25" s="38">
        <v>90.0</v>
      </c>
      <c r="T25" s="47">
        <f t="shared" si="11"/>
        <v>87.6</v>
      </c>
      <c r="U25" s="49">
        <f t="array" ref="U25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6</v>
      </c>
      <c r="V25" s="49">
        <f t="shared" si="12"/>
        <v>6087.6</v>
      </c>
      <c r="W25" s="49">
        <f>RANK(V25,Kinsolving[Index])</f>
        <v>3</v>
      </c>
      <c r="X25" s="6"/>
    </row>
    <row r="26" ht="22.5" customHeight="1">
      <c r="A26" s="38" t="s">
        <v>63</v>
      </c>
      <c r="B26" s="38">
        <v>112.0</v>
      </c>
      <c r="C26" s="38">
        <v>138.0</v>
      </c>
      <c r="D26" s="38">
        <v>194.0</v>
      </c>
      <c r="E26" s="40"/>
      <c r="F26" s="38">
        <v>86.0</v>
      </c>
      <c r="G26" s="38">
        <v>202.0</v>
      </c>
      <c r="H26" s="47">
        <f t="shared" si="9"/>
        <v>146.4</v>
      </c>
      <c r="I26" s="49">
        <f t="array" ref="I26">COUNTIF(INDEX(Jester[[J1]:[J6]] &gt; TRANSPOSE(Jester[[J1]:[J6]]), ROW()-22, 0), TRUE) * 2 + COUNTIF(INDEX(IF(ISBLANK(Jester[[J1]:[J6]]) + ISBLANK(TRANSPOSE(Jester[[J1]:[J6]])), FALSE, Jester[[J1]:[J6]] = TRANSPOSE(Jester[[J1]:[J6]])), ROW()-22, 0), TRUE)</f>
        <v>10</v>
      </c>
      <c r="J26" s="49">
        <f t="shared" si="10"/>
        <v>10146.4</v>
      </c>
      <c r="K26" s="49">
        <f>RANK(J26,Jester[Index])</f>
        <v>1</v>
      </c>
      <c r="L26" s="6"/>
      <c r="M26" s="38" t="s">
        <v>75</v>
      </c>
      <c r="N26" s="38">
        <v>40.0</v>
      </c>
      <c r="O26" s="38">
        <v>22.0</v>
      </c>
      <c r="P26" s="38">
        <v>14.0</v>
      </c>
      <c r="Q26" s="40"/>
      <c r="R26" s="38">
        <v>46.0</v>
      </c>
      <c r="S26" s="38">
        <v>40.0</v>
      </c>
      <c r="T26" s="47">
        <f t="shared" si="11"/>
        <v>32.4</v>
      </c>
      <c r="U26" s="49">
        <f t="array" ref="U26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0</v>
      </c>
      <c r="V26" s="49">
        <f t="shared" si="12"/>
        <v>32.4</v>
      </c>
      <c r="W26" s="49">
        <f>RANK(V26,Kinsolving[Index])</f>
        <v>6</v>
      </c>
      <c r="X26" s="6"/>
    </row>
    <row r="27" ht="22.5" customHeight="1">
      <c r="A27" s="38" t="s">
        <v>65</v>
      </c>
      <c r="B27" s="38">
        <v>52.0</v>
      </c>
      <c r="C27" s="38">
        <v>128.0</v>
      </c>
      <c r="D27" s="38">
        <v>102.0</v>
      </c>
      <c r="E27" s="38">
        <v>78.0</v>
      </c>
      <c r="F27" s="40"/>
      <c r="G27" s="38">
        <v>128.0</v>
      </c>
      <c r="H27" s="47">
        <f t="shared" si="9"/>
        <v>97.6</v>
      </c>
      <c r="I27" s="49">
        <f t="array" ref="I27">COUNTIF(INDEX(Jester[[J1]:[J6]] &gt; TRANSPOSE(Jester[[J1]:[J6]]), ROW()-22, 0), TRUE) * 2 + COUNTIF(INDEX(IF(ISBLANK(Jester[[J1]:[J6]]) + ISBLANK(TRANSPOSE(Jester[[J1]:[J6]])), FALSE, Jester[[J1]:[J6]] = TRANSPOSE(Jester[[J1]:[J6]])), ROW()-22, 0), TRUE)</f>
        <v>6</v>
      </c>
      <c r="J27" s="49">
        <f t="shared" si="10"/>
        <v>6097.6</v>
      </c>
      <c r="K27" s="49">
        <f>RANK(J27,Jester[Index])</f>
        <v>3</v>
      </c>
      <c r="L27" s="6"/>
      <c r="M27" s="38" t="s">
        <v>77</v>
      </c>
      <c r="N27" s="38">
        <v>26.0</v>
      </c>
      <c r="O27" s="38">
        <v>32.0</v>
      </c>
      <c r="P27" s="38">
        <v>58.0</v>
      </c>
      <c r="Q27" s="38">
        <v>52.0</v>
      </c>
      <c r="R27" s="40"/>
      <c r="S27" s="38">
        <v>36.0</v>
      </c>
      <c r="T27" s="47">
        <f t="shared" si="11"/>
        <v>40.8</v>
      </c>
      <c r="U27" s="49">
        <f t="array" ref="U27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2</v>
      </c>
      <c r="V27" s="49">
        <f t="shared" si="12"/>
        <v>2040.8</v>
      </c>
      <c r="W27" s="49">
        <f>RANK(V27,Kinsolving[Index])</f>
        <v>5</v>
      </c>
      <c r="X27" s="6"/>
    </row>
    <row r="28" ht="22.5" customHeight="1">
      <c r="A28" s="38" t="s">
        <v>67</v>
      </c>
      <c r="B28" s="38">
        <v>18.0</v>
      </c>
      <c r="C28" s="38">
        <v>12.0</v>
      </c>
      <c r="D28" s="38">
        <v>70.0</v>
      </c>
      <c r="E28" s="38">
        <v>14.0</v>
      </c>
      <c r="F28" s="38">
        <v>36.0</v>
      </c>
      <c r="G28" s="40"/>
      <c r="H28" s="47">
        <f t="shared" si="9"/>
        <v>30</v>
      </c>
      <c r="I28" s="49">
        <f t="array" ref="I28">COUNTIF(INDEX(Jester[[J1]:[J6]] &gt; TRANSPOSE(Jester[[J1]:[J6]]), ROW()-22, 0), TRUE) * 2 + COUNTIF(INDEX(IF(ISBLANK(Jester[[J1]:[J6]]) + ISBLANK(TRANSPOSE(Jester[[J1]:[J6]])), FALSE, Jester[[J1]:[J6]] = TRANSPOSE(Jester[[J1]:[J6]])), ROW()-22, 0), TRUE)</f>
        <v>2</v>
      </c>
      <c r="J28" s="49">
        <f t="shared" si="10"/>
        <v>2030</v>
      </c>
      <c r="K28" s="49">
        <f>RANK(J28,Jester[Index])</f>
        <v>6</v>
      </c>
      <c r="L28" s="6"/>
      <c r="M28" s="38" t="s">
        <v>79</v>
      </c>
      <c r="N28" s="38">
        <v>60.0</v>
      </c>
      <c r="O28" s="38">
        <v>88.0</v>
      </c>
      <c r="P28" s="38">
        <v>64.0</v>
      </c>
      <c r="Q28" s="38">
        <v>96.0</v>
      </c>
      <c r="R28" s="38">
        <v>78.0</v>
      </c>
      <c r="S28" s="40"/>
      <c r="T28" s="47">
        <f t="shared" si="11"/>
        <v>77.2</v>
      </c>
      <c r="U28" s="49">
        <f t="array" ref="U28">COUNTIF(INDEX(Kinsolving[[K1]:[PPG]] &gt; TRANSPOSE(Kinsolving[[K1]:[PPG]]), ROW()-22, 0), TRUE) * 2 + COUNTIF(INDEX(IF(ISBLANK(Kinsolving[[K1]:[PPG]]) + ISBLANK(TRANSPOSE(Kinsolving[[K1]:[PPG]])), FALSE, Kinsolving[[K1]:[PPG]] = TRANSPOSE(Kinsolving[[K1]:[PPG]])), ROW()-22, 0), TRUE)</f>
        <v>4</v>
      </c>
      <c r="V28" s="49">
        <f t="shared" si="12"/>
        <v>4077.2</v>
      </c>
      <c r="W28" s="49">
        <f>RANK(V28,Kinsolving[Index])</f>
        <v>4</v>
      </c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X30" s="6"/>
    </row>
    <row r="31">
      <c r="A31" s="13"/>
      <c r="B31" s="13"/>
      <c r="C31" s="13"/>
      <c r="D31" s="13"/>
      <c r="E31" s="13"/>
      <c r="F31" s="13"/>
      <c r="G31" s="13"/>
      <c r="H31" s="13"/>
      <c r="I31" s="6"/>
      <c r="J31" s="6"/>
      <c r="K31" s="6"/>
      <c r="L31" s="13"/>
      <c r="M31" s="13"/>
      <c r="N31" s="13"/>
      <c r="O31" s="13"/>
      <c r="P31" s="13"/>
      <c r="Q31" s="13"/>
      <c r="R31" s="13"/>
      <c r="S31" s="13"/>
      <c r="T31" s="6"/>
      <c r="U31" s="6"/>
      <c r="V31" s="6"/>
      <c r="W31" s="6"/>
      <c r="X31" s="6"/>
    </row>
    <row r="32" ht="22.5" customHeight="1">
      <c r="A32" s="21" t="s">
        <v>107</v>
      </c>
      <c r="B32" s="21" t="s">
        <v>81</v>
      </c>
      <c r="C32" s="21" t="s">
        <v>83</v>
      </c>
      <c r="D32" s="21" t="s">
        <v>85</v>
      </c>
      <c r="E32" s="21" t="s">
        <v>87</v>
      </c>
      <c r="F32" s="21" t="s">
        <v>89</v>
      </c>
      <c r="G32" s="26" t="s">
        <v>91</v>
      </c>
      <c r="H32" s="21" t="s">
        <v>42</v>
      </c>
      <c r="I32" s="30" t="s">
        <v>44</v>
      </c>
      <c r="J32" s="30" t="s">
        <v>46</v>
      </c>
      <c r="K32" s="30" t="s">
        <v>125</v>
      </c>
      <c r="L32" s="6"/>
      <c r="M32" s="21" t="s">
        <v>107</v>
      </c>
      <c r="N32" s="21" t="s">
        <v>93</v>
      </c>
      <c r="O32" s="21" t="s">
        <v>95</v>
      </c>
      <c r="P32" s="21" t="s">
        <v>97</v>
      </c>
      <c r="Q32" s="21" t="s">
        <v>99</v>
      </c>
      <c r="R32" s="21" t="s">
        <v>101</v>
      </c>
      <c r="S32" s="26" t="s">
        <v>103</v>
      </c>
      <c r="T32" s="21" t="s">
        <v>42</v>
      </c>
      <c r="U32" s="30" t="s">
        <v>44</v>
      </c>
      <c r="V32" s="30" t="s">
        <v>46</v>
      </c>
      <c r="W32" s="30" t="s">
        <v>125</v>
      </c>
      <c r="X32" s="6"/>
    </row>
    <row r="33" ht="22.5" customHeight="1">
      <c r="A33" s="38" t="s">
        <v>81</v>
      </c>
      <c r="B33" s="40"/>
      <c r="C33" s="38">
        <v>54.0</v>
      </c>
      <c r="D33" s="38">
        <v>102.0</v>
      </c>
      <c r="E33" s="38">
        <v>178.0</v>
      </c>
      <c r="F33" s="38">
        <v>188.0</v>
      </c>
      <c r="G33" s="38">
        <v>102.0</v>
      </c>
      <c r="H33" s="47">
        <f t="shared" ref="H33:H38" si="13">IFERROR(AVERAGE(B33:G33),0)</f>
        <v>124.8</v>
      </c>
      <c r="I33" s="49">
        <f t="array" ref="I33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8</v>
      </c>
      <c r="J33" s="49">
        <f t="shared" ref="J33:J38" si="14">I33*1000+H33</f>
        <v>8124.8</v>
      </c>
      <c r="K33" s="49">
        <f>RANK(J33,Littlefield[Index])</f>
        <v>1</v>
      </c>
      <c r="L33" s="6"/>
      <c r="M33" s="38" t="s">
        <v>93</v>
      </c>
      <c r="N33" s="40"/>
      <c r="O33" s="38">
        <v>36.0</v>
      </c>
      <c r="P33" s="38">
        <v>40.0</v>
      </c>
      <c r="Q33" s="38">
        <v>112.0</v>
      </c>
      <c r="R33" s="38">
        <v>62.0</v>
      </c>
      <c r="S33" s="38">
        <v>58.0</v>
      </c>
      <c r="T33" s="47">
        <f t="shared" ref="T33:T38" si="15">IFERROR(AVERAGE(N33:S33),0)</f>
        <v>61.6</v>
      </c>
      <c r="U33" s="49">
        <f t="array" ref="U33">COUNTIF(INDEX(SanJac[[S1]:[S6]] &gt; TRANSPOSE(SanJac[[S1]:[S6]]), ROW()-32, 0), TRUE) * 2 + COUNTIF(INDEX(IF(ISBLANK(SanJac[[S1]:[S6]]) + ISBLANK(TRANSPOSE(SanJac[[S1]:[S6]])), FALSE, SanJac[[S1]:[S6]] = TRANSPOSE(SanJac[[S1]:[S6]])), ROW()-32, 0), TRUE)</f>
        <v>4</v>
      </c>
      <c r="V33" s="49">
        <f t="shared" ref="V33:V38" si="16">U33*1000+T33</f>
        <v>4061.6</v>
      </c>
      <c r="W33" s="49">
        <f>RANK(V33,SanJac[Index])</f>
        <v>5</v>
      </c>
      <c r="X33" s="6"/>
    </row>
    <row r="34" ht="22.5" customHeight="1">
      <c r="A34" s="38" t="s">
        <v>83</v>
      </c>
      <c r="B34" s="38">
        <v>138.0</v>
      </c>
      <c r="C34" s="40"/>
      <c r="D34" s="38">
        <v>96.0</v>
      </c>
      <c r="E34" s="38">
        <v>178.0</v>
      </c>
      <c r="F34" s="38">
        <v>110.0</v>
      </c>
      <c r="G34" s="38">
        <v>74.0</v>
      </c>
      <c r="H34" s="47">
        <f t="shared" si="13"/>
        <v>119.2</v>
      </c>
      <c r="I34" s="49">
        <f t="array" ref="I34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8</v>
      </c>
      <c r="J34" s="49">
        <f t="shared" si="14"/>
        <v>8119.2</v>
      </c>
      <c r="K34" s="49">
        <f>RANK(J34,Littlefield[Index])</f>
        <v>2</v>
      </c>
      <c r="L34" s="6"/>
      <c r="M34" s="38" t="s">
        <v>95</v>
      </c>
      <c r="N34" s="38">
        <v>106.0</v>
      </c>
      <c r="O34" s="40"/>
      <c r="P34" s="38">
        <v>92.0</v>
      </c>
      <c r="Q34" s="38">
        <v>50.0</v>
      </c>
      <c r="R34" s="38">
        <v>74.0</v>
      </c>
      <c r="S34" s="38">
        <v>102.0</v>
      </c>
      <c r="T34" s="47">
        <f t="shared" si="15"/>
        <v>84.8</v>
      </c>
      <c r="U34" s="49">
        <f t="array" ref="U34">COUNTIF(INDEX(SanJac[[S1]:[S6]] &gt; TRANSPOSE(SanJac[[S1]:[S6]]), ROW()-32, 0), TRUE) * 2 + COUNTIF(INDEX(IF(ISBLANK(SanJac[[S1]:[S6]]) + ISBLANK(TRANSPOSE(SanJac[[S1]:[S6]])), FALSE, SanJac[[S1]:[S6]] = TRANSPOSE(SanJac[[S1]:[S6]])), ROW()-32, 0), TRUE)</f>
        <v>6</v>
      </c>
      <c r="V34" s="49">
        <f t="shared" si="16"/>
        <v>6084.8</v>
      </c>
      <c r="W34" s="49">
        <f>RANK(V34,SanJac[Index])</f>
        <v>3</v>
      </c>
      <c r="X34" s="6"/>
    </row>
    <row r="35" ht="22.5" customHeight="1">
      <c r="A35" s="38" t="s">
        <v>85</v>
      </c>
      <c r="B35" s="38">
        <v>36.0</v>
      </c>
      <c r="C35" s="38">
        <v>76.0</v>
      </c>
      <c r="D35" s="40"/>
      <c r="E35" s="38">
        <v>178.0</v>
      </c>
      <c r="F35" s="38">
        <v>94.0</v>
      </c>
      <c r="G35" s="38">
        <v>102.0</v>
      </c>
      <c r="H35" s="47">
        <f t="shared" si="13"/>
        <v>97.2</v>
      </c>
      <c r="I35" s="49">
        <f t="array" ref="I35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6</v>
      </c>
      <c r="J35" s="49">
        <f t="shared" si="14"/>
        <v>6097.2</v>
      </c>
      <c r="K35" s="49">
        <f>RANK(J35,Littlefield[Index])</f>
        <v>4</v>
      </c>
      <c r="L35" s="6"/>
      <c r="M35" s="38" t="s">
        <v>97</v>
      </c>
      <c r="N35" s="38">
        <v>66.0</v>
      </c>
      <c r="O35" s="38">
        <v>68.0</v>
      </c>
      <c r="P35" s="40"/>
      <c r="Q35" s="38">
        <v>72.0</v>
      </c>
      <c r="R35" s="38">
        <v>46.0</v>
      </c>
      <c r="S35" s="38">
        <v>138.0</v>
      </c>
      <c r="T35" s="47">
        <f t="shared" si="15"/>
        <v>78</v>
      </c>
      <c r="U35" s="49">
        <f t="array" ref="U35">COUNTIF(INDEX(SanJac[[S1]:[S6]] &gt; TRANSPOSE(SanJac[[S1]:[S6]]), ROW()-32, 0), TRUE) * 2 + COUNTIF(INDEX(IF(ISBLANK(SanJac[[S1]:[S6]]) + ISBLANK(TRANSPOSE(SanJac[[S1]:[S6]])), FALSE, SanJac[[S1]:[S6]] = TRANSPOSE(SanJac[[S1]:[S6]])), ROW()-32, 0), TRUE)</f>
        <v>4</v>
      </c>
      <c r="V35" s="49">
        <f t="shared" si="16"/>
        <v>4078</v>
      </c>
      <c r="W35" s="49">
        <f>RANK(V35,SanJac[Index])</f>
        <v>4</v>
      </c>
      <c r="X35" s="6"/>
    </row>
    <row r="36" ht="22.5" customHeight="1">
      <c r="A36" s="38" t="s">
        <v>87</v>
      </c>
      <c r="B36" s="38">
        <v>0.0</v>
      </c>
      <c r="C36" s="38">
        <v>0.0</v>
      </c>
      <c r="D36" s="38">
        <v>0.0</v>
      </c>
      <c r="E36" s="40"/>
      <c r="F36" s="38">
        <v>0.0</v>
      </c>
      <c r="G36" s="38">
        <v>0.0</v>
      </c>
      <c r="H36" s="47">
        <f t="shared" si="13"/>
        <v>0</v>
      </c>
      <c r="I36" s="49">
        <f t="array" ref="I36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0</v>
      </c>
      <c r="J36" s="49">
        <f t="shared" si="14"/>
        <v>0</v>
      </c>
      <c r="K36" s="49">
        <f>RANK(J36,Littlefield[Index])</f>
        <v>6</v>
      </c>
      <c r="L36" s="6"/>
      <c r="M36" s="38" t="s">
        <v>99</v>
      </c>
      <c r="N36" s="38">
        <v>106.0</v>
      </c>
      <c r="O36" s="38">
        <v>138.0</v>
      </c>
      <c r="P36" s="38">
        <v>96.0</v>
      </c>
      <c r="Q36" s="40"/>
      <c r="R36" s="38">
        <v>140.0</v>
      </c>
      <c r="S36" s="38">
        <v>112.0</v>
      </c>
      <c r="T36" s="47">
        <f t="shared" si="15"/>
        <v>118.4</v>
      </c>
      <c r="U36" s="49">
        <f t="array" ref="U36">COUNTIF(INDEX(SanJac[[S1]:[S6]] &gt; TRANSPOSE(SanJac[[S1]:[S6]]), ROW()-32, 0), TRUE) * 2 + COUNTIF(INDEX(IF(ISBLANK(SanJac[[S1]:[S6]]) + ISBLANK(TRANSPOSE(SanJac[[S1]:[S6]])), FALSE, SanJac[[S1]:[S6]] = TRANSPOSE(SanJac[[S1]:[S6]])), ROW()-32, 0), TRUE)</f>
        <v>8</v>
      </c>
      <c r="V36" s="49">
        <f t="shared" si="16"/>
        <v>8118.4</v>
      </c>
      <c r="W36" s="49">
        <f>RANK(V36,SanJac[Index])</f>
        <v>1</v>
      </c>
      <c r="X36" s="6"/>
    </row>
    <row r="37" ht="22.5" customHeight="1">
      <c r="A37" s="38" t="s">
        <v>89</v>
      </c>
      <c r="B37" s="38">
        <v>0.0</v>
      </c>
      <c r="C37" s="38">
        <v>8.0</v>
      </c>
      <c r="D37" s="38">
        <v>22.0</v>
      </c>
      <c r="E37" s="38">
        <v>178.0</v>
      </c>
      <c r="F37" s="40"/>
      <c r="G37" s="38">
        <v>4.0</v>
      </c>
      <c r="H37" s="47">
        <f t="shared" si="13"/>
        <v>42.4</v>
      </c>
      <c r="I37" s="49">
        <f t="array" ref="I37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2</v>
      </c>
      <c r="J37" s="49">
        <f t="shared" si="14"/>
        <v>2042.4</v>
      </c>
      <c r="K37" s="49">
        <f>RANK(J37,Littlefield[Index])</f>
        <v>5</v>
      </c>
      <c r="L37" s="6"/>
      <c r="M37" s="38" t="s">
        <v>101</v>
      </c>
      <c r="N37" s="38">
        <v>86.0</v>
      </c>
      <c r="O37" s="38">
        <v>76.0</v>
      </c>
      <c r="P37" s="38">
        <v>86.0</v>
      </c>
      <c r="Q37" s="38">
        <v>36.0</v>
      </c>
      <c r="R37" s="40"/>
      <c r="S37" s="38">
        <v>90.0</v>
      </c>
      <c r="T37" s="47">
        <f t="shared" si="15"/>
        <v>74.8</v>
      </c>
      <c r="U37" s="49">
        <f t="array" ref="U37">COUNTIF(INDEX(SanJac[[S1]:[S6]] &gt; TRANSPOSE(SanJac[[S1]:[S6]]), ROW()-32, 0), TRUE) * 2 + COUNTIF(INDEX(IF(ISBLANK(SanJac[[S1]:[S6]]) + ISBLANK(TRANSPOSE(SanJac[[S1]:[S6]])), FALSE, SanJac[[S1]:[S6]] = TRANSPOSE(SanJac[[S1]:[S6]])), ROW()-32, 0), TRUE)</f>
        <v>8</v>
      </c>
      <c r="V37" s="49">
        <f t="shared" si="16"/>
        <v>8074.8</v>
      </c>
      <c r="W37" s="49">
        <f>RANK(V37,SanJac[Index])</f>
        <v>2</v>
      </c>
      <c r="X37" s="6"/>
    </row>
    <row r="38" ht="22.5" customHeight="1">
      <c r="A38" s="38" t="s">
        <v>91</v>
      </c>
      <c r="B38" s="38">
        <v>88.0</v>
      </c>
      <c r="C38" s="38">
        <v>116.0</v>
      </c>
      <c r="D38" s="38">
        <v>90.0</v>
      </c>
      <c r="E38" s="38">
        <v>178.0</v>
      </c>
      <c r="F38" s="38">
        <v>130.0</v>
      </c>
      <c r="G38" s="40"/>
      <c r="H38" s="47">
        <f t="shared" si="13"/>
        <v>120.4</v>
      </c>
      <c r="I38" s="49">
        <f t="array" ref="I38">COUNTIF(INDEX(Littlefield[[L1]:[L6]] &gt; TRANSPOSE(Littlefield[[L1]:[L6]]), ROW()-32, 0), TRUE) * 2 + COUNTIF(INDEX(IF(ISBLANK(Littlefield[[L1]:[L6]]) + ISBLANK(TRANSPOSE(Littlefield[[L1]:[L6]])), FALSE, Littlefield[[L1]:[L6]] = TRANSPOSE(Littlefield[[L1]:[L6]])), ROW()-32, 0), TRUE)</f>
        <v>6</v>
      </c>
      <c r="J38" s="49">
        <f t="shared" si="14"/>
        <v>6120.4</v>
      </c>
      <c r="K38" s="49">
        <f>RANK(J38,Littlefield[Index])</f>
        <v>3</v>
      </c>
      <c r="L38" s="6"/>
      <c r="M38" s="38" t="s">
        <v>103</v>
      </c>
      <c r="N38" s="38">
        <v>22.0</v>
      </c>
      <c r="O38" s="38">
        <v>-4.0</v>
      </c>
      <c r="P38" s="38">
        <v>10.0</v>
      </c>
      <c r="Q38" s="38">
        <v>4.0</v>
      </c>
      <c r="R38" s="38">
        <v>12.0</v>
      </c>
      <c r="S38" s="40"/>
      <c r="T38" s="47">
        <f t="shared" si="15"/>
        <v>8.8</v>
      </c>
      <c r="U38" s="49">
        <f t="array" ref="U38">COUNTIF(INDEX(SanJac[[S1]:[S6]] &gt; TRANSPOSE(SanJac[[S1]:[S6]]), ROW()-32, 0), TRUE) * 2 + COUNTIF(INDEX(IF(ISBLANK(SanJac[[S1]:[S6]]) + ISBLANK(TRANSPOSE(SanJac[[S1]:[S6]])), FALSE, SanJac[[S1]:[S6]] = TRANSPOSE(SanJac[[S1]:[S6]])), ROW()-32, 0), TRUE)</f>
        <v>0</v>
      </c>
      <c r="V38" s="49">
        <f t="shared" si="16"/>
        <v>8.8</v>
      </c>
      <c r="W38" s="49">
        <f>RANK(V38,SanJac[Index])</f>
        <v>6</v>
      </c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</sheetData>
  <conditionalFormatting sqref="K3:K8 W3:W8 K13:K18 W13:W18 K23:K28 W23:W28 K32:K38 W32:W38">
    <cfRule type="cellIs" dxfId="13" priority="1" operator="equal">
      <formula>1</formula>
    </cfRule>
  </conditionalFormatting>
  <conditionalFormatting sqref="K3:K8 W3:W8 K13:K18 W13:W18 K23:K28 W23:W28 K32:K38 W32:W38">
    <cfRule type="cellIs" dxfId="14" priority="2" operator="equal">
      <formula>2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3.5"/>
    <col customWidth="1" min="5" max="5" width="14.0"/>
    <col customWidth="1" min="7" max="7" width="23.25"/>
  </cols>
  <sheetData>
    <row r="1">
      <c r="A1" s="2" t="s">
        <v>1</v>
      </c>
      <c r="C1" s="4"/>
      <c r="D1" s="4"/>
      <c r="E1" s="4"/>
      <c r="F1" s="6"/>
      <c r="G1" s="8" t="s">
        <v>6</v>
      </c>
      <c r="I1" s="4" t="s">
        <v>28</v>
      </c>
      <c r="J1" s="6"/>
      <c r="K1" s="6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" t="s">
        <v>2</v>
      </c>
      <c r="B2" s="13" t="s">
        <v>42</v>
      </c>
      <c r="C2" s="4" t="s">
        <v>44</v>
      </c>
      <c r="D2" s="4" t="s">
        <v>46</v>
      </c>
      <c r="E2" s="4" t="s">
        <v>48</v>
      </c>
      <c r="F2" s="6"/>
      <c r="J2" s="4"/>
      <c r="K2" s="4"/>
      <c r="L2" s="6"/>
      <c r="M2" s="4"/>
      <c r="N2" s="4"/>
      <c r="O2" s="4"/>
      <c r="P2" s="4"/>
      <c r="Q2" s="4"/>
      <c r="R2" s="6"/>
      <c r="S2" s="6"/>
      <c r="T2" s="6"/>
      <c r="U2" s="6"/>
      <c r="V2" s="6"/>
      <c r="W2" s="6"/>
      <c r="X2" s="6"/>
      <c r="Y2" s="6"/>
      <c r="Z2" s="6"/>
    </row>
    <row r="3">
      <c r="A3" s="15" t="str">
        <f>IFERROR(__xludf.DUMMYFUNCTION("IF(I1=""no"","""",ARRAYFORMULA(SORT({FILTER({Andrews[Team], Andrews[PPG], Andrews[Points], Andrews[Index]}, (Andrews[Rank]=1)+(Andrews[Rank]=2)); FILTER({Blanton[Team], Blanton[PPG], Blanton[Points], Blanton[Index]}, (Blanton[Rank]=1)+(Blanton[Rank]=2)); "&amp;"FILTER({Carothers[Team], Carothers[PPG], Carothers[Points], Carothers[Index]}, (Carothers[Rank]=1)+(Carothers[Rank]=2));FILTER({Duren[Team], Duren[PPG], Duren[Points], Duren[Index]}, (Duren[Rank]=1)+(Duren[Rank]=2));FILTER({Jester[Team], Jester[PPG], Jest"&amp;"er[Points], Jester[Index]}, (Jester[Rank]=1)+(Jester[Rank]=2));FILTER({Kinsolving[Team], Kinsolving[PPG], Kinsolving[Points], Kinsolving[Index]}, (Kinsolving[Rank]=1)+(Kinsolving[Rank]=2));FILTER({Littlefield[Team], Littlefield[PPG], Littlefield[Points], "&amp;"Littlefield[Index]}, (Littlefield[Rank]=1)+(Littlefield[Rank]=2));FILTER({SanJac[Team], SanJac[PPG], SanJac[Points], SanJac[Index]}, (SanJac[Rank]=1)+(SanJac[Rank]=2))}, 4, FALSE)))"),"J4")</f>
        <v>J4</v>
      </c>
      <c r="B3" s="16">
        <f>IFERROR(__xludf.DUMMYFUNCTION("""COMPUTED_VALUE"""),146.4)</f>
        <v>146.4</v>
      </c>
      <c r="C3" s="16">
        <f>IFERROR(__xludf.DUMMYFUNCTION("""COMPUTED_VALUE"""),10.0)</f>
        <v>10</v>
      </c>
      <c r="D3" s="16">
        <f>IFERROR(__xludf.DUMMYFUNCTION("""COMPUTED_VALUE"""),10146.4)</f>
        <v>10146.4</v>
      </c>
      <c r="E3" s="16">
        <f t="array" ref="E3:E18">IF(I1="no",0,RANK(D3:D18,$D$3:$D$100))</f>
        <v>1</v>
      </c>
      <c r="F3" s="6"/>
      <c r="G3" s="4" t="str">
        <f t="array" ref="G3:K18">{IF(A3:A18="","",A3:A18 &amp; " - " &amp; VLOOKUP(A3:A18,'Team List'!B3:C50, 2, false)), B3:E18}</f>
        <v>J4 - James Clemens</v>
      </c>
      <c r="H3" s="4">
        <v>146.4</v>
      </c>
      <c r="I3" s="4">
        <v>10.0</v>
      </c>
      <c r="J3" s="4">
        <v>10146.4</v>
      </c>
      <c r="K3" s="4">
        <v>1.0</v>
      </c>
      <c r="L3" s="6"/>
      <c r="M3" s="4"/>
      <c r="N3" s="4"/>
      <c r="O3" s="4"/>
      <c r="P3" s="4"/>
      <c r="Q3" s="4"/>
      <c r="R3" s="6"/>
      <c r="S3" s="6"/>
      <c r="T3" s="6"/>
      <c r="U3" s="6"/>
      <c r="V3" s="6"/>
      <c r="W3" s="6"/>
      <c r="X3" s="6"/>
      <c r="Y3" s="6"/>
      <c r="Z3" s="6"/>
    </row>
    <row r="4">
      <c r="A4" s="16" t="str">
        <f>IFERROR(__xludf.DUMMYFUNCTION("""COMPUTED_VALUE"""),"K1")</f>
        <v>K1</v>
      </c>
      <c r="B4" s="16">
        <f>IFERROR(__xludf.DUMMYFUNCTION("""COMPUTED_VALUE"""),140.0)</f>
        <v>140</v>
      </c>
      <c r="C4" s="16">
        <f>IFERROR(__xludf.DUMMYFUNCTION("""COMPUTED_VALUE"""),10.0)</f>
        <v>10</v>
      </c>
      <c r="D4" s="16">
        <f>IFERROR(__xludf.DUMMYFUNCTION("""COMPUTED_VALUE"""),10140.0)</f>
        <v>10140</v>
      </c>
      <c r="E4" s="16">
        <v>2.0</v>
      </c>
      <c r="F4" s="6"/>
      <c r="G4" s="6" t="s">
        <v>158</v>
      </c>
      <c r="H4" s="6">
        <v>140.0</v>
      </c>
      <c r="I4" s="6">
        <v>10.0</v>
      </c>
      <c r="J4" s="6">
        <v>10140.0</v>
      </c>
      <c r="K4" s="6">
        <v>2.0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 t="str">
        <f>IFERROR(__xludf.DUMMYFUNCTION("""COMPUTED_VALUE"""),"C1")</f>
        <v>C1</v>
      </c>
      <c r="B5" s="16">
        <f>IFERROR(__xludf.DUMMYFUNCTION("""COMPUTED_VALUE"""),135.2)</f>
        <v>135.2</v>
      </c>
      <c r="C5" s="16">
        <f>IFERROR(__xludf.DUMMYFUNCTION("""COMPUTED_VALUE"""),10.0)</f>
        <v>10</v>
      </c>
      <c r="D5" s="16">
        <f>IFERROR(__xludf.DUMMYFUNCTION("""COMPUTED_VALUE"""),10135.2)</f>
        <v>10135.2</v>
      </c>
      <c r="E5" s="16">
        <v>3.0</v>
      </c>
      <c r="F5" s="6"/>
      <c r="G5" s="6" t="s">
        <v>166</v>
      </c>
      <c r="H5" s="6">
        <v>135.2</v>
      </c>
      <c r="I5" s="6">
        <v>10.0</v>
      </c>
      <c r="J5" s="6">
        <v>10135.2</v>
      </c>
      <c r="K5" s="6">
        <v>3.0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" t="str">
        <f>IFERROR(__xludf.DUMMYFUNCTION("""COMPUTED_VALUE"""),"B1")</f>
        <v>B1</v>
      </c>
      <c r="B6" s="16">
        <f>IFERROR(__xludf.DUMMYFUNCTION("""COMPUTED_VALUE"""),117.2)</f>
        <v>117.2</v>
      </c>
      <c r="C6" s="16">
        <f>IFERROR(__xludf.DUMMYFUNCTION("""COMPUTED_VALUE"""),10.0)</f>
        <v>10</v>
      </c>
      <c r="D6" s="16">
        <f>IFERROR(__xludf.DUMMYFUNCTION("""COMPUTED_VALUE"""),10117.2)</f>
        <v>10117.2</v>
      </c>
      <c r="E6" s="16">
        <v>4.0</v>
      </c>
      <c r="F6" s="6"/>
      <c r="G6" s="6" t="s">
        <v>171</v>
      </c>
      <c r="H6" s="6">
        <v>117.2</v>
      </c>
      <c r="I6" s="6">
        <v>10.0</v>
      </c>
      <c r="J6" s="6">
        <v>10117.2</v>
      </c>
      <c r="K6" s="6">
        <v>4.0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 t="str">
        <f>IFERROR(__xludf.DUMMYFUNCTION("""COMPUTED_VALUE"""),"A3")</f>
        <v>A3</v>
      </c>
      <c r="B7" s="16">
        <f>IFERROR(__xludf.DUMMYFUNCTION("""COMPUTED_VALUE"""),115.2)</f>
        <v>115.2</v>
      </c>
      <c r="C7" s="16">
        <f>IFERROR(__xludf.DUMMYFUNCTION("""COMPUTED_VALUE"""),10.0)</f>
        <v>10</v>
      </c>
      <c r="D7" s="16">
        <f>IFERROR(__xludf.DUMMYFUNCTION("""COMPUTED_VALUE"""),10115.2)</f>
        <v>10115.2</v>
      </c>
      <c r="E7" s="16">
        <v>5.0</v>
      </c>
      <c r="F7" s="6"/>
      <c r="G7" s="6" t="s">
        <v>174</v>
      </c>
      <c r="H7" s="6">
        <v>115.2</v>
      </c>
      <c r="I7" s="6">
        <v>10.0</v>
      </c>
      <c r="J7" s="6">
        <v>10115.2</v>
      </c>
      <c r="K7" s="6">
        <v>5.0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 t="str">
        <f>IFERROR(__xludf.DUMMYFUNCTION("""COMPUTED_VALUE"""),"J1")</f>
        <v>J1</v>
      </c>
      <c r="B8" s="16">
        <f>IFERROR(__xludf.DUMMYFUNCTION("""COMPUTED_VALUE"""),153.2)</f>
        <v>153.2</v>
      </c>
      <c r="C8" s="16">
        <f>IFERROR(__xludf.DUMMYFUNCTION("""COMPUTED_VALUE"""),8.0)</f>
        <v>8</v>
      </c>
      <c r="D8" s="16">
        <f>IFERROR(__xludf.DUMMYFUNCTION("""COMPUTED_VALUE"""),8153.2)</f>
        <v>8153.2</v>
      </c>
      <c r="E8" s="16">
        <v>6.0</v>
      </c>
      <c r="F8" s="6"/>
      <c r="G8" s="4" t="s">
        <v>176</v>
      </c>
      <c r="H8" s="6">
        <v>153.2</v>
      </c>
      <c r="I8" s="6">
        <v>8.0</v>
      </c>
      <c r="J8" s="6">
        <v>8153.2</v>
      </c>
      <c r="K8" s="6">
        <v>6.0</v>
      </c>
      <c r="L8" s="6"/>
      <c r="M8" s="4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 t="str">
        <f>IFERROR(__xludf.DUMMYFUNCTION("""COMPUTED_VALUE"""),"C3")</f>
        <v>C3</v>
      </c>
      <c r="B9" s="16">
        <f>IFERROR(__xludf.DUMMYFUNCTION("""COMPUTED_VALUE"""),130.0)</f>
        <v>130</v>
      </c>
      <c r="C9" s="16">
        <f>IFERROR(__xludf.DUMMYFUNCTION("""COMPUTED_VALUE"""),8.0)</f>
        <v>8</v>
      </c>
      <c r="D9" s="16">
        <f>IFERROR(__xludf.DUMMYFUNCTION("""COMPUTED_VALUE"""),8130.0)</f>
        <v>8130</v>
      </c>
      <c r="E9" s="16">
        <v>7.0</v>
      </c>
      <c r="F9" s="6"/>
      <c r="G9" s="4" t="s">
        <v>177</v>
      </c>
      <c r="H9" s="4">
        <v>130.0</v>
      </c>
      <c r="I9" s="4">
        <v>8.0</v>
      </c>
      <c r="J9" s="4">
        <v>8130.0</v>
      </c>
      <c r="K9" s="4">
        <v>7.0</v>
      </c>
      <c r="L9" s="6"/>
      <c r="M9" s="4"/>
      <c r="N9" s="4"/>
      <c r="O9" s="4"/>
      <c r="P9" s="4"/>
      <c r="Q9" s="4"/>
      <c r="R9" s="6"/>
      <c r="S9" s="6"/>
      <c r="T9" s="6"/>
      <c r="U9" s="6"/>
      <c r="V9" s="6"/>
      <c r="W9" s="6"/>
      <c r="X9" s="6"/>
      <c r="Y9" s="6"/>
      <c r="Z9" s="6"/>
    </row>
    <row r="10">
      <c r="A10" s="16" t="str">
        <f>IFERROR(__xludf.DUMMYFUNCTION("""COMPUTED_VALUE"""),"L1")</f>
        <v>L1</v>
      </c>
      <c r="B10" s="16">
        <f>IFERROR(__xludf.DUMMYFUNCTION("""COMPUTED_VALUE"""),124.8)</f>
        <v>124.8</v>
      </c>
      <c r="C10" s="16">
        <f>IFERROR(__xludf.DUMMYFUNCTION("""COMPUTED_VALUE"""),8.0)</f>
        <v>8</v>
      </c>
      <c r="D10" s="16">
        <f>IFERROR(__xludf.DUMMYFUNCTION("""COMPUTED_VALUE"""),8124.8)</f>
        <v>8124.8</v>
      </c>
      <c r="E10" s="16">
        <v>8.0</v>
      </c>
      <c r="F10" s="6"/>
      <c r="G10" s="6" t="s">
        <v>180</v>
      </c>
      <c r="H10" s="6">
        <v>124.8</v>
      </c>
      <c r="I10" s="6">
        <v>8.0</v>
      </c>
      <c r="J10" s="6">
        <v>8124.8</v>
      </c>
      <c r="K10" s="6">
        <v>8.0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>IFERROR(__xludf.DUMMYFUNCTION("""COMPUTED_VALUE"""),"L2")</f>
        <v>L2</v>
      </c>
      <c r="B11" s="6">
        <f>IFERROR(__xludf.DUMMYFUNCTION("""COMPUTED_VALUE"""),119.2)</f>
        <v>119.2</v>
      </c>
      <c r="C11" s="6">
        <f>IFERROR(__xludf.DUMMYFUNCTION("""COMPUTED_VALUE"""),8.0)</f>
        <v>8</v>
      </c>
      <c r="D11" s="6">
        <f>IFERROR(__xludf.DUMMYFUNCTION("""COMPUTED_VALUE"""),8119.2)</f>
        <v>8119.2</v>
      </c>
      <c r="E11" s="16">
        <v>9.0</v>
      </c>
      <c r="F11" s="6"/>
      <c r="G11" s="6" t="s">
        <v>187</v>
      </c>
      <c r="H11" s="6">
        <v>119.2</v>
      </c>
      <c r="I11" s="6">
        <v>8.0</v>
      </c>
      <c r="J11" s="6">
        <v>8119.2</v>
      </c>
      <c r="K11" s="6">
        <v>9.0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tr">
        <f>IFERROR(__xludf.DUMMYFUNCTION("""COMPUTED_VALUE"""),"S4")</f>
        <v>S4</v>
      </c>
      <c r="B12" s="6">
        <f>IFERROR(__xludf.DUMMYFUNCTION("""COMPUTED_VALUE"""),118.4)</f>
        <v>118.4</v>
      </c>
      <c r="C12" s="6">
        <f>IFERROR(__xludf.DUMMYFUNCTION("""COMPUTED_VALUE"""),8.0)</f>
        <v>8</v>
      </c>
      <c r="D12" s="6">
        <f>IFERROR(__xludf.DUMMYFUNCTION("""COMPUTED_VALUE"""),8118.4)</f>
        <v>8118.4</v>
      </c>
      <c r="E12" s="16">
        <v>10.0</v>
      </c>
      <c r="F12" s="6"/>
      <c r="G12" s="6" t="s">
        <v>193</v>
      </c>
      <c r="H12" s="6">
        <v>118.4</v>
      </c>
      <c r="I12" s="6">
        <v>8.0</v>
      </c>
      <c r="J12" s="6">
        <v>8118.4</v>
      </c>
      <c r="K12" s="6">
        <v>10.0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tr">
        <f>IFERROR(__xludf.DUMMYFUNCTION("""COMPUTED_VALUE"""),"D6")</f>
        <v>D6</v>
      </c>
      <c r="B13" s="6">
        <f>IFERROR(__xludf.DUMMYFUNCTION("""COMPUTED_VALUE"""),112.8)</f>
        <v>112.8</v>
      </c>
      <c r="C13" s="6">
        <f>IFERROR(__xludf.DUMMYFUNCTION("""COMPUTED_VALUE"""),8.0)</f>
        <v>8</v>
      </c>
      <c r="D13" s="6">
        <f>IFERROR(__xludf.DUMMYFUNCTION("""COMPUTED_VALUE"""),8112.8)</f>
        <v>8112.8</v>
      </c>
      <c r="E13" s="16">
        <v>11.0</v>
      </c>
      <c r="F13" s="6"/>
      <c r="G13" s="6" t="s">
        <v>198</v>
      </c>
      <c r="H13" s="6">
        <v>112.8</v>
      </c>
      <c r="I13" s="6">
        <v>8.0</v>
      </c>
      <c r="J13" s="6">
        <v>8112.8</v>
      </c>
      <c r="K13" s="6">
        <v>11.0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tr">
        <f>IFERROR(__xludf.DUMMYFUNCTION("""COMPUTED_VALUE"""),"D3")</f>
        <v>D3</v>
      </c>
      <c r="B14" s="4">
        <f>IFERROR(__xludf.DUMMYFUNCTION("""COMPUTED_VALUE"""),109.2)</f>
        <v>109.2</v>
      </c>
      <c r="C14" s="4">
        <f>IFERROR(__xludf.DUMMYFUNCTION("""COMPUTED_VALUE"""),8.0)</f>
        <v>8</v>
      </c>
      <c r="D14" s="4">
        <f>IFERROR(__xludf.DUMMYFUNCTION("""COMPUTED_VALUE"""),8109.2)</f>
        <v>8109.2</v>
      </c>
      <c r="E14" s="16">
        <v>12.0</v>
      </c>
      <c r="F14" s="6"/>
      <c r="G14" s="4" t="s">
        <v>203</v>
      </c>
      <c r="H14" s="6">
        <v>109.2</v>
      </c>
      <c r="I14" s="6">
        <v>8.0</v>
      </c>
      <c r="J14" s="6">
        <v>8109.2</v>
      </c>
      <c r="K14" s="6">
        <v>12.0</v>
      </c>
      <c r="L14" s="6"/>
      <c r="M14" s="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>IFERROR(__xludf.DUMMYFUNCTION("""COMPUTED_VALUE"""),"B5")</f>
        <v>B5</v>
      </c>
      <c r="B15" s="6">
        <f>IFERROR(__xludf.DUMMYFUNCTION("""COMPUTED_VALUE"""),108.4)</f>
        <v>108.4</v>
      </c>
      <c r="C15" s="6">
        <f>IFERROR(__xludf.DUMMYFUNCTION("""COMPUTED_VALUE"""),8.0)</f>
        <v>8</v>
      </c>
      <c r="D15" s="6">
        <f>IFERROR(__xludf.DUMMYFUNCTION("""COMPUTED_VALUE"""),8108.4)</f>
        <v>8108.4</v>
      </c>
      <c r="E15" s="16">
        <v>13.0</v>
      </c>
      <c r="F15" s="6"/>
      <c r="G15" s="4" t="s">
        <v>209</v>
      </c>
      <c r="H15" s="4">
        <v>108.4</v>
      </c>
      <c r="I15" s="4">
        <v>8.0</v>
      </c>
      <c r="J15" s="4">
        <v>8108.4</v>
      </c>
      <c r="K15" s="4">
        <v>13.0</v>
      </c>
      <c r="L15" s="6"/>
      <c r="M15" s="4"/>
      <c r="N15" s="4"/>
      <c r="O15" s="4"/>
      <c r="P15" s="4"/>
      <c r="Q15" s="4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tr">
        <f>IFERROR(__xludf.DUMMYFUNCTION("""COMPUTED_VALUE"""),"K2")</f>
        <v>K2</v>
      </c>
      <c r="B16" s="6">
        <f>IFERROR(__xludf.DUMMYFUNCTION("""COMPUTED_VALUE"""),104.4)</f>
        <v>104.4</v>
      </c>
      <c r="C16" s="6">
        <f>IFERROR(__xludf.DUMMYFUNCTION("""COMPUTED_VALUE"""),8.0)</f>
        <v>8</v>
      </c>
      <c r="D16" s="6">
        <f>IFERROR(__xludf.DUMMYFUNCTION("""COMPUTED_VALUE"""),8104.4)</f>
        <v>8104.4</v>
      </c>
      <c r="E16" s="16">
        <v>14.0</v>
      </c>
      <c r="F16" s="6"/>
      <c r="G16" s="6" t="s">
        <v>215</v>
      </c>
      <c r="H16" s="6">
        <v>104.4</v>
      </c>
      <c r="I16" s="6">
        <v>8.0</v>
      </c>
      <c r="J16" s="6">
        <v>8104.4</v>
      </c>
      <c r="K16" s="6">
        <v>14.0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>IFERROR(__xludf.DUMMYFUNCTION("""COMPUTED_VALUE"""),"S5")</f>
        <v>S5</v>
      </c>
      <c r="B17" s="6">
        <f>IFERROR(__xludf.DUMMYFUNCTION("""COMPUTED_VALUE"""),74.8)</f>
        <v>74.8</v>
      </c>
      <c r="C17" s="6">
        <f>IFERROR(__xludf.DUMMYFUNCTION("""COMPUTED_VALUE"""),8.0)</f>
        <v>8</v>
      </c>
      <c r="D17" s="6">
        <f>IFERROR(__xludf.DUMMYFUNCTION("""COMPUTED_VALUE"""),8074.8)</f>
        <v>8074.8</v>
      </c>
      <c r="E17" s="16">
        <v>15.0</v>
      </c>
      <c r="F17" s="6"/>
      <c r="G17" s="6" t="s">
        <v>221</v>
      </c>
      <c r="H17" s="6">
        <v>74.8</v>
      </c>
      <c r="I17" s="6">
        <v>8.0</v>
      </c>
      <c r="J17" s="6">
        <v>8074.8</v>
      </c>
      <c r="K17" s="6">
        <v>15.0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tr">
        <f>IFERROR(__xludf.DUMMYFUNCTION("""COMPUTED_VALUE"""),"A1")</f>
        <v>A1</v>
      </c>
      <c r="B18" s="6">
        <f>IFERROR(__xludf.DUMMYFUNCTION("""COMPUTED_VALUE"""),112.0)</f>
        <v>112</v>
      </c>
      <c r="C18" s="6">
        <f>IFERROR(__xludf.DUMMYFUNCTION("""COMPUTED_VALUE"""),7.0)</f>
        <v>7</v>
      </c>
      <c r="D18" s="6">
        <f>IFERROR(__xludf.DUMMYFUNCTION("""COMPUTED_VALUE"""),7112.0)</f>
        <v>7112</v>
      </c>
      <c r="E18" s="16">
        <v>16.0</v>
      </c>
      <c r="F18" s="6"/>
      <c r="G18" s="6" t="s">
        <v>225</v>
      </c>
      <c r="H18" s="6">
        <v>112.0</v>
      </c>
      <c r="I18" s="6">
        <v>7.0</v>
      </c>
      <c r="J18" s="6">
        <v>7112.0</v>
      </c>
      <c r="K18" s="6">
        <v>16.0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1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1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2">
    <mergeCell ref="A1:B1"/>
    <mergeCell ref="G1:H1"/>
  </mergeCells>
  <dataValidations>
    <dataValidation type="list" allowBlank="1" showErrorMessage="1" sqref="I1">
      <formula1>"YEAH,no"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  <col customWidth="1" min="4" max="4" width="6.38"/>
    <col customWidth="1" min="5" max="5" width="22.0"/>
    <col customWidth="1" min="6" max="7" width="6.38"/>
    <col customWidth="1" min="8" max="8" width="22.0"/>
    <col customWidth="1" min="9" max="9" width="6.38"/>
    <col customWidth="1" min="10" max="10" width="22.0"/>
    <col customWidth="1" min="11" max="11" width="6.38"/>
    <col customWidth="1" min="12" max="12" width="22.0"/>
    <col customWidth="1" min="13" max="13" width="6.38"/>
    <col customWidth="1" min="14" max="14" width="22.0"/>
    <col customWidth="1" min="15" max="15" width="6.38"/>
    <col customWidth="1" min="16" max="16" width="22.0"/>
    <col customWidth="1" min="17" max="17" width="6.38"/>
    <col customWidth="1" min="18" max="18" width="23.75"/>
    <col customWidth="1" min="19" max="19" width="6.38"/>
    <col customWidth="1" min="21" max="21" width="6.38"/>
    <col customWidth="1" min="23" max="23" width="22.0"/>
  </cols>
  <sheetData>
    <row r="1">
      <c r="A1" s="22" t="s">
        <v>113</v>
      </c>
      <c r="B1" s="23"/>
      <c r="C1" s="24" t="s">
        <v>114</v>
      </c>
      <c r="D1" s="25"/>
      <c r="E1" s="24" t="s">
        <v>115</v>
      </c>
      <c r="F1" s="25"/>
      <c r="G1" s="25"/>
      <c r="H1" s="24" t="s">
        <v>116</v>
      </c>
      <c r="I1" s="25"/>
      <c r="J1" s="24" t="s">
        <v>117</v>
      </c>
      <c r="K1" s="25"/>
      <c r="L1" s="24" t="s">
        <v>118</v>
      </c>
      <c r="M1" s="25"/>
      <c r="N1" s="24" t="s">
        <v>120</v>
      </c>
      <c r="O1" s="25"/>
      <c r="P1" s="24" t="s">
        <v>121</v>
      </c>
      <c r="Q1" s="24"/>
      <c r="R1" s="24" t="s">
        <v>122</v>
      </c>
      <c r="S1" s="29"/>
      <c r="T1" s="29"/>
      <c r="U1" s="29"/>
      <c r="V1" s="29"/>
      <c r="W1" s="29"/>
      <c r="X1" s="23"/>
      <c r="Y1" s="23"/>
      <c r="Z1" s="23"/>
      <c r="AA1" s="23"/>
    </row>
    <row r="2">
      <c r="A2" s="31" t="s">
        <v>123</v>
      </c>
      <c r="B2" s="32">
        <v>1.0</v>
      </c>
      <c r="C2" s="34" t="str">
        <f>IFERROR(__xludf.DUMMYFUNCTION("IFERROR(INDEX(FILTER('DE Teams'!$G$3:$G$18,'DE Teams'!$K$3:$K$18 = B2),1))"),"J4 - James Clemens")</f>
        <v>J4 - James Clemens</v>
      </c>
      <c r="D2" s="35">
        <v>96.0</v>
      </c>
      <c r="E2" s="23"/>
      <c r="F2" s="23"/>
      <c r="G2" s="23"/>
      <c r="H2" s="31" t="s">
        <v>134</v>
      </c>
      <c r="I2" s="23"/>
      <c r="J2" s="23"/>
      <c r="K2" s="23"/>
      <c r="L2" s="23"/>
      <c r="M2" s="23"/>
      <c r="N2" s="23"/>
      <c r="O2" s="23"/>
      <c r="P2" s="29"/>
      <c r="Q2" s="29"/>
      <c r="R2" s="29"/>
      <c r="S2" s="29"/>
      <c r="T2" s="29"/>
      <c r="U2" s="29"/>
      <c r="V2" s="29"/>
      <c r="W2" s="29"/>
      <c r="X2" s="23"/>
      <c r="Y2" s="23"/>
      <c r="Z2" s="23"/>
      <c r="AA2" s="23"/>
    </row>
    <row r="3">
      <c r="A3" s="31" t="s">
        <v>137</v>
      </c>
      <c r="B3" s="23"/>
      <c r="C3" s="36" t="s">
        <v>139</v>
      </c>
      <c r="D3" s="37"/>
      <c r="E3" s="39" t="str">
        <f>IF(D2="","",IF(D2 &gt; D4, C2, C4))</f>
        <v>A1 - Canyon Crest</v>
      </c>
      <c r="F3" s="35">
        <v>70.0</v>
      </c>
      <c r="G3" s="41"/>
      <c r="H3" s="31" t="s">
        <v>149</v>
      </c>
      <c r="I3" s="23"/>
      <c r="J3" s="23"/>
      <c r="K3" s="23"/>
      <c r="L3" s="23"/>
      <c r="M3" s="23"/>
      <c r="N3" s="23"/>
      <c r="O3" s="23"/>
      <c r="P3" s="29"/>
      <c r="Q3" s="29"/>
      <c r="R3" s="29"/>
      <c r="S3" s="29"/>
      <c r="T3" s="29"/>
      <c r="U3" s="29"/>
      <c r="V3" s="29"/>
      <c r="W3" s="29"/>
      <c r="X3" s="23"/>
      <c r="Y3" s="23"/>
      <c r="Z3" s="23"/>
      <c r="AA3" s="23"/>
    </row>
    <row r="4">
      <c r="A4" s="42"/>
      <c r="B4" s="32">
        <v>16.0</v>
      </c>
      <c r="C4" s="34" t="str">
        <f>IFERROR(__xludf.DUMMYFUNCTION("IFERROR(INDEX(FILTER('DE Teams'!$G$3:$G$18,'DE Teams'!$K$3:$K$18 = B4),1))"),"A1 - Canyon Crest")</f>
        <v>A1 - Canyon Crest</v>
      </c>
      <c r="D4" s="43">
        <v>100.0</v>
      </c>
      <c r="E4" s="23"/>
      <c r="F4" s="37"/>
      <c r="H4" s="23"/>
      <c r="I4" s="23"/>
      <c r="J4" s="23"/>
      <c r="K4" s="23"/>
      <c r="L4" s="23"/>
      <c r="M4" s="23"/>
      <c r="N4" s="23"/>
      <c r="O4" s="23"/>
      <c r="P4" s="29"/>
      <c r="Q4" s="29"/>
      <c r="R4" s="29"/>
      <c r="S4" s="29"/>
      <c r="T4" s="29"/>
      <c r="U4" s="29"/>
      <c r="V4" s="29"/>
      <c r="W4" s="29"/>
      <c r="X4" s="23"/>
      <c r="Y4" s="23"/>
      <c r="Z4" s="23"/>
      <c r="AA4" s="23"/>
    </row>
    <row r="5">
      <c r="A5" s="23"/>
      <c r="B5" s="23"/>
      <c r="C5" s="23"/>
      <c r="D5" s="23"/>
      <c r="E5" s="44" t="s">
        <v>160</v>
      </c>
      <c r="F5" s="37"/>
      <c r="G5" s="45"/>
      <c r="H5" s="45"/>
      <c r="I5" s="46"/>
      <c r="J5" s="34" t="str">
        <f>IF(F3="","",IF(F3 &gt; F7, E3, E7))</f>
        <v>A1 - Canyon Crest</v>
      </c>
      <c r="K5" s="35">
        <v>52.0</v>
      </c>
      <c r="L5" s="23"/>
      <c r="M5" s="23"/>
      <c r="N5" s="23"/>
      <c r="O5" s="23"/>
      <c r="P5" s="29"/>
      <c r="Q5" s="29"/>
      <c r="R5" s="29"/>
      <c r="S5" s="29"/>
      <c r="T5" s="29"/>
      <c r="U5" s="29"/>
      <c r="V5" s="29"/>
      <c r="W5" s="29"/>
      <c r="X5" s="23"/>
      <c r="Y5" s="23"/>
      <c r="Z5" s="23"/>
      <c r="AA5" s="23"/>
    </row>
    <row r="6">
      <c r="A6" s="23"/>
      <c r="B6" s="32">
        <v>8.0</v>
      </c>
      <c r="C6" s="34" t="str">
        <f>IFERROR(__xludf.DUMMYFUNCTION("IFERROR(INDEX(FILTER('DE Teams'!$G$3:$G$18,'DE Teams'!$K$3:$K$18 = B6),1))"),"L1 - North Hollywood B")</f>
        <v>L1 - North Hollywood B</v>
      </c>
      <c r="D6" s="35">
        <v>46.0</v>
      </c>
      <c r="E6" s="23"/>
      <c r="F6" s="37"/>
      <c r="H6" s="23"/>
      <c r="I6" s="23"/>
      <c r="J6" s="23"/>
      <c r="K6" s="37"/>
      <c r="L6" s="23"/>
      <c r="M6" s="23"/>
      <c r="N6" s="23"/>
      <c r="O6" s="23"/>
      <c r="P6" s="29"/>
      <c r="Q6" s="29"/>
      <c r="R6" s="29"/>
      <c r="S6" s="29"/>
      <c r="T6" s="29"/>
      <c r="U6" s="29"/>
      <c r="V6" s="29"/>
      <c r="W6" s="29"/>
      <c r="X6" s="23"/>
      <c r="Y6" s="23"/>
      <c r="Z6" s="23"/>
      <c r="AA6" s="23"/>
    </row>
    <row r="7">
      <c r="A7" s="23"/>
      <c r="B7" s="23"/>
      <c r="C7" s="36" t="s">
        <v>173</v>
      </c>
      <c r="D7" s="37"/>
      <c r="E7" s="39" t="str">
        <f>IF(D6="","",IF(D6 &gt; D8, C6, C8))</f>
        <v>L2 - ASFA</v>
      </c>
      <c r="F7" s="43">
        <v>16.0</v>
      </c>
      <c r="H7" s="23"/>
      <c r="I7" s="23"/>
      <c r="J7" s="23"/>
      <c r="K7" s="37"/>
      <c r="L7" s="23"/>
      <c r="M7" s="23"/>
      <c r="N7" s="23"/>
      <c r="O7" s="23"/>
      <c r="P7" s="29"/>
      <c r="Q7" s="29"/>
      <c r="R7" s="29"/>
      <c r="S7" s="29"/>
      <c r="T7" s="29"/>
      <c r="U7" s="29"/>
      <c r="V7" s="29"/>
      <c r="W7" s="29"/>
      <c r="X7" s="23"/>
      <c r="Y7" s="23"/>
      <c r="Z7" s="23"/>
      <c r="AA7" s="23"/>
    </row>
    <row r="8">
      <c r="A8" s="23"/>
      <c r="B8" s="32">
        <v>9.0</v>
      </c>
      <c r="C8" s="34" t="str">
        <f>IFERROR(__xludf.DUMMYFUNCTION("IFERROR(INDEX(FILTER('DE Teams'!$G$3:$G$18,'DE Teams'!$K$3:$K$18 = B8),1))"),"L2 - ASFA")</f>
        <v>L2 - ASFA</v>
      </c>
      <c r="D8" s="43">
        <v>114.0</v>
      </c>
      <c r="E8" s="23"/>
      <c r="F8" s="23"/>
      <c r="H8" s="23"/>
      <c r="I8" s="23"/>
      <c r="J8" s="23"/>
      <c r="K8" s="37"/>
      <c r="L8" s="23"/>
      <c r="M8" s="23"/>
      <c r="N8" s="23"/>
      <c r="O8" s="23"/>
      <c r="P8" s="29"/>
      <c r="Q8" s="29"/>
      <c r="R8" s="29"/>
      <c r="S8" s="29"/>
      <c r="T8" s="29"/>
      <c r="U8" s="29"/>
      <c r="V8" s="29"/>
      <c r="W8" s="29"/>
      <c r="X8" s="23"/>
      <c r="Y8" s="23"/>
      <c r="Z8" s="23"/>
      <c r="AA8" s="23"/>
    </row>
    <row r="9">
      <c r="A9" s="23"/>
      <c r="B9" s="23"/>
      <c r="C9" s="23"/>
      <c r="D9" s="23"/>
      <c r="E9" s="23"/>
      <c r="F9" s="23"/>
      <c r="H9" s="23"/>
      <c r="I9" s="23"/>
      <c r="J9" s="48" t="s">
        <v>175</v>
      </c>
      <c r="K9" s="37"/>
      <c r="L9" s="45"/>
      <c r="M9" s="46"/>
      <c r="N9" s="34" t="str">
        <f>IF(K5="","",IF(K5&gt;K13,J5,J13))</f>
        <v>A1 - Canyon Crest</v>
      </c>
      <c r="O9" s="35">
        <v>58.0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32">
        <v>5.0</v>
      </c>
      <c r="C10" s="34" t="str">
        <f>IFERROR(__xludf.DUMMYFUNCTION("IFERROR(INDEX(FILTER('DE Teams'!$G$3:$G$18,'DE Teams'!$K$3:$K$18 = B10),1))"),"A3 - Palo Alto A")</f>
        <v>A3 - Palo Alto A</v>
      </c>
      <c r="D10" s="35">
        <v>72.0</v>
      </c>
      <c r="E10" s="23"/>
      <c r="F10" s="23"/>
      <c r="H10" s="23"/>
      <c r="I10" s="23"/>
      <c r="J10" s="23"/>
      <c r="K10" s="37"/>
      <c r="L10" s="23"/>
      <c r="M10" s="23"/>
      <c r="N10" s="23"/>
      <c r="O10" s="37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23"/>
      <c r="C11" s="36" t="s">
        <v>182</v>
      </c>
      <c r="D11" s="37"/>
      <c r="E11" s="39" t="str">
        <f>IF(D10="","",IF(D10 &gt; D12, C10, C12))</f>
        <v>D3 - Rickards</v>
      </c>
      <c r="F11" s="35">
        <v>104.0</v>
      </c>
      <c r="H11" s="23"/>
      <c r="I11" s="23"/>
      <c r="J11" s="23"/>
      <c r="K11" s="37"/>
      <c r="L11" s="23"/>
      <c r="M11" s="23"/>
      <c r="N11" s="23"/>
      <c r="O11" s="37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32">
        <v>12.0</v>
      </c>
      <c r="C12" s="34" t="str">
        <f>IFERROR(__xludf.DUMMYFUNCTION("IFERROR(INDEX(FILTER('DE Teams'!$G$3:$G$18,'DE Teams'!$K$3:$K$18 = B12),1))"),"D3 - Rickards")</f>
        <v>D3 - Rickards</v>
      </c>
      <c r="D12" s="43">
        <v>78.0</v>
      </c>
      <c r="E12" s="23"/>
      <c r="F12" s="37"/>
      <c r="H12" s="23"/>
      <c r="I12" s="23"/>
      <c r="J12" s="23"/>
      <c r="K12" s="37"/>
      <c r="L12" s="23"/>
      <c r="M12" s="23"/>
      <c r="N12" s="23"/>
      <c r="O12" s="37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23"/>
      <c r="C13" s="23"/>
      <c r="D13" s="23"/>
      <c r="E13" s="44" t="s">
        <v>195</v>
      </c>
      <c r="F13" s="37"/>
      <c r="G13" s="45"/>
      <c r="H13" s="45"/>
      <c r="I13" s="46"/>
      <c r="J13" s="34" t="str">
        <f>IF(F11="","",IF(F11 &gt; F15, E11, E15))</f>
        <v>D3 - Rickards</v>
      </c>
      <c r="K13" s="43">
        <v>42.0</v>
      </c>
      <c r="L13" s="23"/>
      <c r="M13" s="23"/>
      <c r="N13" s="23"/>
      <c r="O13" s="37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32">
        <v>13.0</v>
      </c>
      <c r="C14" s="34" t="str">
        <f>IFERROR(__xludf.DUMMYFUNCTION("IFERROR(INDEX(FILTER('DE Teams'!$G$3:$G$18,'DE Teams'!$K$3:$K$18 = B14),1))"),"B5 - Southern Pirates A")</f>
        <v>B5 - Southern Pirates A</v>
      </c>
      <c r="D14" s="35">
        <v>120.0</v>
      </c>
      <c r="E14" s="23"/>
      <c r="F14" s="37"/>
      <c r="H14" s="23"/>
      <c r="I14" s="23"/>
      <c r="J14" s="23"/>
      <c r="K14" s="23"/>
      <c r="L14" s="23"/>
      <c r="M14" s="23"/>
      <c r="N14" s="23"/>
      <c r="O14" s="37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23"/>
      <c r="C15" s="36" t="s">
        <v>212</v>
      </c>
      <c r="D15" s="37"/>
      <c r="E15" s="39" t="str">
        <f>IF(D14="","",IF(D14 &gt; D16, C14, C16))</f>
        <v>B5 - Southern Pirates A</v>
      </c>
      <c r="F15" s="43">
        <v>96.0</v>
      </c>
      <c r="H15" s="23"/>
      <c r="I15" s="23"/>
      <c r="J15" s="23"/>
      <c r="K15" s="23"/>
      <c r="L15" s="23"/>
      <c r="M15" s="23"/>
      <c r="N15" s="23"/>
      <c r="O15" s="37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32">
        <v>4.0</v>
      </c>
      <c r="C16" s="34" t="str">
        <f>IFERROR(__xludf.DUMMYFUNCTION("IFERROR(INDEX(FILTER('DE Teams'!$G$3:$G$18,'DE Teams'!$K$3:$K$18 = B16),1))"),"B1 - Amador Valley")</f>
        <v>B1 - Amador Valley</v>
      </c>
      <c r="D16" s="43">
        <v>40.0</v>
      </c>
      <c r="E16" s="23"/>
      <c r="F16" s="23"/>
      <c r="H16" s="23"/>
      <c r="I16" s="23"/>
      <c r="J16" s="23"/>
      <c r="K16" s="23"/>
      <c r="L16" s="23"/>
      <c r="M16" s="23"/>
      <c r="N16" s="23"/>
      <c r="O16" s="37"/>
      <c r="P16" s="23"/>
      <c r="Q16" s="23"/>
      <c r="R16" s="50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/>
      <c r="B17" s="23"/>
      <c r="C17" s="23"/>
      <c r="D17" s="23"/>
      <c r="E17" s="23"/>
      <c r="F17" s="23"/>
      <c r="H17" s="23"/>
      <c r="I17" s="23"/>
      <c r="J17" s="23"/>
      <c r="K17" s="23"/>
      <c r="L17" s="23"/>
      <c r="M17" s="23"/>
      <c r="N17" s="51" t="s">
        <v>226</v>
      </c>
      <c r="O17" s="37"/>
      <c r="P17" s="45"/>
      <c r="Q17" s="46"/>
      <c r="R17" s="39" t="str">
        <f>IF(O9="","",IF(O9&gt;O25,N9,N25))</f>
        <v>K1 - Mission San Jose</v>
      </c>
      <c r="S17" s="35">
        <v>60.0</v>
      </c>
      <c r="T17" s="52"/>
      <c r="U17" s="23"/>
      <c r="V17" s="23"/>
      <c r="W17" s="23"/>
      <c r="X17" s="23"/>
      <c r="Y17" s="23"/>
      <c r="Z17" s="23"/>
      <c r="AA17" s="23"/>
    </row>
    <row r="18">
      <c r="A18" s="23"/>
      <c r="B18" s="32">
        <v>3.0</v>
      </c>
      <c r="C18" s="34" t="str">
        <f>IFERROR(__xludf.DUMMYFUNCTION("IFERROR(INDEX(FILTER('DE Teams'!$G$3:$G$18,'DE Teams'!$K$3:$K$18 = B18),1))"),"C1 - Interlake A")</f>
        <v>C1 - Interlake A</v>
      </c>
      <c r="D18" s="35">
        <v>106.0</v>
      </c>
      <c r="E18" s="23"/>
      <c r="F18" s="23"/>
      <c r="H18" s="23"/>
      <c r="I18" s="23"/>
      <c r="J18" s="23"/>
      <c r="K18" s="23"/>
      <c r="L18" s="23"/>
      <c r="M18" s="23"/>
      <c r="N18" s="23"/>
      <c r="O18" s="37"/>
      <c r="P18" s="23"/>
      <c r="Q18" s="23"/>
      <c r="R18" s="23"/>
      <c r="S18" s="37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23"/>
      <c r="C19" s="36" t="s">
        <v>227</v>
      </c>
      <c r="D19" s="37"/>
      <c r="E19" s="39" t="str">
        <f>IF(D18="","",IF(D18 &gt; D20, C18, C20))</f>
        <v>C1 - Interlake A</v>
      </c>
      <c r="F19" s="35">
        <v>54.0</v>
      </c>
      <c r="H19" s="23"/>
      <c r="I19" s="23"/>
      <c r="J19" s="23"/>
      <c r="K19" s="23"/>
      <c r="L19" s="23"/>
      <c r="M19" s="23"/>
      <c r="N19" s="23"/>
      <c r="O19" s="37"/>
      <c r="P19" s="23"/>
      <c r="Q19" s="23"/>
      <c r="R19" s="23"/>
      <c r="S19" s="37"/>
      <c r="T19" s="23"/>
      <c r="U19" s="23"/>
      <c r="V19" s="23"/>
      <c r="W19" s="23"/>
      <c r="X19" s="23"/>
      <c r="Y19" s="23"/>
      <c r="Z19" s="23"/>
      <c r="AA19" s="23"/>
    </row>
    <row r="20">
      <c r="A20" s="23"/>
      <c r="B20" s="32">
        <v>14.0</v>
      </c>
      <c r="C20" s="34" t="str">
        <f>IFERROR(__xludf.DUMMYFUNCTION("IFERROR(INDEX(FILTER('DE Teams'!$G$3:$G$18,'DE Teams'!$K$3:$K$18 = B20),1))"),"K2 - Frazer")</f>
        <v>K2 - Frazer</v>
      </c>
      <c r="D20" s="43">
        <v>80.0</v>
      </c>
      <c r="E20" s="23"/>
      <c r="F20" s="37"/>
      <c r="H20" s="23"/>
      <c r="I20" s="23"/>
      <c r="J20" s="23"/>
      <c r="K20" s="23"/>
      <c r="L20" s="23"/>
      <c r="M20" s="23"/>
      <c r="N20" s="23"/>
      <c r="O20" s="37"/>
      <c r="P20" s="23"/>
      <c r="Q20" s="23"/>
      <c r="R20" s="23"/>
      <c r="S20" s="37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23"/>
      <c r="C21" s="23"/>
      <c r="D21" s="23"/>
      <c r="E21" s="44" t="s">
        <v>232</v>
      </c>
      <c r="F21" s="37"/>
      <c r="G21" s="45"/>
      <c r="H21" s="45"/>
      <c r="I21" s="46"/>
      <c r="J21" s="34" t="str">
        <f>IF(F19="","",IF(F19 &gt; F23, E19, E23))</f>
        <v>J1 - Lynbrook</v>
      </c>
      <c r="K21" s="35">
        <v>42.0</v>
      </c>
      <c r="L21" s="23"/>
      <c r="M21" s="23"/>
      <c r="N21" s="23"/>
      <c r="O21" s="37"/>
      <c r="P21" s="23"/>
      <c r="Q21" s="23"/>
      <c r="R21" s="23"/>
      <c r="S21" s="37"/>
      <c r="T21" s="23"/>
      <c r="U21" s="23"/>
      <c r="V21" s="23"/>
      <c r="W21" s="23"/>
      <c r="X21" s="42"/>
      <c r="Y21" s="42"/>
      <c r="Z21" s="23"/>
      <c r="AA21" s="23"/>
    </row>
    <row r="22">
      <c r="A22" s="23"/>
      <c r="B22" s="32">
        <v>6.0</v>
      </c>
      <c r="C22" s="34" t="str">
        <f>IFERROR(__xludf.DUMMYFUNCTION("IFERROR(INDEX(FILTER('DE Teams'!$G$3:$G$18,'DE Teams'!$K$3:$K$18 = B22),1))"),"J1 - Lynbrook")</f>
        <v>J1 - Lynbrook</v>
      </c>
      <c r="D22" s="35">
        <v>176.0</v>
      </c>
      <c r="E22" s="23"/>
      <c r="F22" s="37"/>
      <c r="H22" s="23"/>
      <c r="I22" s="23"/>
      <c r="J22" s="23"/>
      <c r="K22" s="37"/>
      <c r="L22" s="23"/>
      <c r="M22" s="23"/>
      <c r="N22" s="23"/>
      <c r="O22" s="37"/>
      <c r="P22" s="23"/>
      <c r="Q22" s="23"/>
      <c r="R22" s="23"/>
      <c r="S22" s="37"/>
      <c r="T22" s="23"/>
      <c r="U22" s="23"/>
      <c r="V22" s="23"/>
      <c r="W22" s="23"/>
      <c r="X22" s="42"/>
      <c r="Y22" s="42"/>
      <c r="Z22" s="23"/>
      <c r="AA22" s="23"/>
    </row>
    <row r="23">
      <c r="A23" s="23"/>
      <c r="B23" s="23"/>
      <c r="C23" s="36" t="s">
        <v>244</v>
      </c>
      <c r="D23" s="37"/>
      <c r="E23" s="39" t="str">
        <f>IF(D22="","",IF(D22 &gt; D24, C22, C24))</f>
        <v>J1 - Lynbrook</v>
      </c>
      <c r="F23" s="43">
        <v>128.0</v>
      </c>
      <c r="H23" s="23"/>
      <c r="I23" s="23"/>
      <c r="J23" s="23"/>
      <c r="K23" s="37"/>
      <c r="L23" s="23"/>
      <c r="M23" s="23"/>
      <c r="N23" s="23"/>
      <c r="O23" s="37"/>
      <c r="P23" s="23"/>
      <c r="Q23" s="23"/>
      <c r="R23" s="23"/>
      <c r="S23" s="37"/>
      <c r="T23" s="23"/>
      <c r="U23" s="23"/>
      <c r="V23" s="23"/>
      <c r="W23" s="23"/>
      <c r="X23" s="42"/>
      <c r="Y23" s="42"/>
      <c r="Z23" s="23"/>
      <c r="AA23" s="23"/>
    </row>
    <row r="24">
      <c r="A24" s="23"/>
      <c r="B24" s="32">
        <v>11.0</v>
      </c>
      <c r="C24" s="34" t="str">
        <f>IFERROR(__xludf.DUMMYFUNCTION("IFERROR(INDEX(FILTER('DE Teams'!$G$3:$G$18,'DE Teams'!$K$3:$K$18 = B24),1))"),"D6 - Niskayuna")</f>
        <v>D6 - Niskayuna</v>
      </c>
      <c r="D24" s="43">
        <v>6.0</v>
      </c>
      <c r="E24" s="23"/>
      <c r="F24" s="23"/>
      <c r="H24" s="23"/>
      <c r="I24" s="23"/>
      <c r="J24" s="23"/>
      <c r="K24" s="37"/>
      <c r="L24" s="23"/>
      <c r="M24" s="23"/>
      <c r="N24" s="23"/>
      <c r="O24" s="37"/>
      <c r="P24" s="23"/>
      <c r="Q24" s="23"/>
      <c r="R24" s="23"/>
      <c r="S24" s="37"/>
      <c r="T24" s="23"/>
      <c r="U24" s="23"/>
      <c r="V24" s="23"/>
      <c r="W24" s="23"/>
      <c r="X24" s="42"/>
      <c r="Y24" s="42"/>
      <c r="Z24" s="23"/>
      <c r="AA24" s="23"/>
    </row>
    <row r="25">
      <c r="A25" s="23"/>
      <c r="B25" s="23"/>
      <c r="C25" s="23"/>
      <c r="D25" s="23"/>
      <c r="E25" s="23"/>
      <c r="F25" s="23"/>
      <c r="H25" s="23"/>
      <c r="I25" s="23"/>
      <c r="J25" s="48" t="s">
        <v>254</v>
      </c>
      <c r="K25" s="37"/>
      <c r="L25" s="45"/>
      <c r="M25" s="46"/>
      <c r="N25" s="34" t="str">
        <f>IF(K21="","",IF(K21&gt;K29,J21,J29))</f>
        <v>K1 - Mission San Jose</v>
      </c>
      <c r="O25" s="43">
        <v>74.0</v>
      </c>
      <c r="P25" s="23"/>
      <c r="Q25" s="23"/>
      <c r="R25" s="23"/>
      <c r="S25" s="37"/>
      <c r="T25" s="23"/>
      <c r="U25" s="23"/>
      <c r="V25" s="23"/>
      <c r="W25" s="23"/>
      <c r="X25" s="42"/>
      <c r="Y25" s="42"/>
      <c r="Z25" s="23"/>
      <c r="AA25" s="23"/>
    </row>
    <row r="26">
      <c r="A26" s="23"/>
      <c r="B26" s="32">
        <v>7.0</v>
      </c>
      <c r="C26" s="34" t="str">
        <f>IFERROR(__xludf.DUMMYFUNCTION("IFERROR(INDEX(FILTER('DE Teams'!$G$3:$G$18,'DE Teams'!$K$3:$K$18 = B26),1))"),"C3 - Dulles A")</f>
        <v>C3 - Dulles A</v>
      </c>
      <c r="D26" s="35">
        <v>58.0</v>
      </c>
      <c r="E26" s="23"/>
      <c r="F26" s="23"/>
      <c r="H26" s="23"/>
      <c r="I26" s="23"/>
      <c r="J26" s="23"/>
      <c r="K26" s="37"/>
      <c r="L26" s="23"/>
      <c r="M26" s="23"/>
      <c r="N26" s="23"/>
      <c r="O26" s="23"/>
      <c r="P26" s="23"/>
      <c r="Q26" s="23"/>
      <c r="R26" s="23"/>
      <c r="S26" s="37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36" t="s">
        <v>265</v>
      </c>
      <c r="D27" s="37"/>
      <c r="E27" s="39" t="str">
        <f>IF(D26="","",IF(D26 &gt; D28, C26, C28))</f>
        <v>S4 - TJHSST</v>
      </c>
      <c r="F27" s="35">
        <v>70.0</v>
      </c>
      <c r="H27" s="23"/>
      <c r="I27" s="23"/>
      <c r="J27" s="23"/>
      <c r="K27" s="37"/>
      <c r="L27" s="23"/>
      <c r="M27" s="23"/>
      <c r="N27" s="23"/>
      <c r="O27" s="23"/>
      <c r="P27" s="23"/>
      <c r="Q27" s="23"/>
      <c r="R27" s="53" t="s">
        <v>268</v>
      </c>
      <c r="S27" s="37"/>
      <c r="T27" s="50"/>
      <c r="U27" s="41"/>
      <c r="V27" s="54" t="s">
        <v>269</v>
      </c>
      <c r="W27" s="50" t="str">
        <f>IF(S17="", "Undecided", IF(S17&gt;S37, R17, IF(T17="", "Undecided", IF(T17&gt;T37, R17, R37))))</f>
        <v>K1 - Mission San Jose</v>
      </c>
      <c r="X27" s="23"/>
      <c r="Y27" s="23"/>
      <c r="Z27" s="23"/>
      <c r="AA27" s="23"/>
    </row>
    <row r="28">
      <c r="A28" s="23"/>
      <c r="B28" s="32">
        <v>10.0</v>
      </c>
      <c r="C28" s="34" t="str">
        <f>IFERROR(__xludf.DUMMYFUNCTION("IFERROR(INDEX(FILTER('DE Teams'!$G$3:$G$18,'DE Teams'!$K$3:$K$18 = B28),1))"),"S4 - TJHSST")</f>
        <v>S4 - TJHSST</v>
      </c>
      <c r="D28" s="43">
        <v>106.0</v>
      </c>
      <c r="E28" s="23"/>
      <c r="F28" s="37"/>
      <c r="H28" s="23"/>
      <c r="I28" s="23"/>
      <c r="J28" s="23"/>
      <c r="K28" s="37"/>
      <c r="L28" s="23"/>
      <c r="M28" s="23"/>
      <c r="N28" s="23"/>
      <c r="O28" s="23"/>
      <c r="P28" s="23"/>
      <c r="Q28" s="23"/>
      <c r="R28" s="23"/>
      <c r="S28" s="37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44" t="s">
        <v>270</v>
      </c>
      <c r="F29" s="37"/>
      <c r="G29" s="45"/>
      <c r="H29" s="45"/>
      <c r="I29" s="46"/>
      <c r="J29" s="34" t="str">
        <f>IF(F27="","",IF(F27 &gt; F31, E27, E31))</f>
        <v>K1 - Mission San Jose</v>
      </c>
      <c r="K29" s="43">
        <v>120.0</v>
      </c>
      <c r="L29" s="23"/>
      <c r="M29" s="23"/>
      <c r="N29" s="23"/>
      <c r="O29" s="23"/>
      <c r="P29" s="23"/>
      <c r="Q29" s="23"/>
      <c r="R29" s="23"/>
      <c r="S29" s="37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32">
        <v>15.0</v>
      </c>
      <c r="C30" s="34" t="str">
        <f>IFERROR(__xludf.DUMMYFUNCTION("IFERROR(INDEX(FILTER('DE Teams'!$G$3:$G$18,'DE Teams'!$K$3:$K$18 = B30),1))"),"S5 - Interlake B")</f>
        <v>S5 - Interlake B</v>
      </c>
      <c r="D30" s="35">
        <v>18.0</v>
      </c>
      <c r="E30" s="23"/>
      <c r="F30" s="37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37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36" t="s">
        <v>277</v>
      </c>
      <c r="D31" s="37"/>
      <c r="E31" s="39" t="str">
        <f>IF(D30="","",IF(D30 &gt; D32, C30, C32))</f>
        <v>K1 - Mission San Jose</v>
      </c>
      <c r="F31" s="43">
        <v>98.0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37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32">
        <v>2.0</v>
      </c>
      <c r="C32" s="34" t="str">
        <f>IFERROR(__xludf.DUMMYFUNCTION("IFERROR(INDEX(FILTER('DE Teams'!$G$3:$G$18,'DE Teams'!$K$3:$K$18 = B32),1))"),"K1 - Mission San Jose")</f>
        <v>K1 - Mission San Jose</v>
      </c>
      <c r="D32" s="43">
        <v>186.0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37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6"/>
      <c r="M33" s="6"/>
      <c r="N33" s="6"/>
      <c r="O33" s="6"/>
      <c r="P33" s="6"/>
      <c r="Q33" s="6"/>
      <c r="R33" s="23"/>
      <c r="S33" s="37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6"/>
      <c r="E34" s="6"/>
      <c r="F34" s="6"/>
      <c r="G34" s="6"/>
      <c r="H34" s="6"/>
      <c r="I34" s="6"/>
      <c r="J34" s="6"/>
      <c r="K34" s="55" t="s">
        <v>294</v>
      </c>
      <c r="L34" s="56" t="str">
        <f>IF(K5="","",IF(K5&lt;K13,J5,J13))</f>
        <v>D3 - Rickards</v>
      </c>
      <c r="M34" s="57">
        <v>10.0</v>
      </c>
      <c r="N34" s="23"/>
      <c r="O34" s="31" t="s">
        <v>302</v>
      </c>
      <c r="P34" s="56" t="str">
        <f>IF(O9="","",IF(O9&lt;O25,N9,N25))</f>
        <v>A1 - Canyon Crest</v>
      </c>
      <c r="Q34" s="57">
        <v>18.0</v>
      </c>
      <c r="R34" s="6"/>
      <c r="S34" s="37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3"/>
      <c r="F35" s="31"/>
      <c r="G35" s="31" t="s">
        <v>307</v>
      </c>
      <c r="H35" s="56" t="str">
        <f>IF(F27="","",IF(F27&lt;F31,E27,E31))</f>
        <v>S4 - TJHSST</v>
      </c>
      <c r="I35" s="57">
        <v>60.0</v>
      </c>
      <c r="J35" s="23"/>
      <c r="K35" s="23"/>
      <c r="L35" s="23"/>
      <c r="M35" s="37"/>
      <c r="N35" s="23"/>
      <c r="O35" s="23"/>
      <c r="P35" s="23"/>
      <c r="Q35" s="37"/>
      <c r="R35" s="23"/>
      <c r="S35" s="37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58"/>
      <c r="E36" s="56" t="str">
        <f>IF(D2="","",IF(D2&lt;D4,C2,C4))</f>
        <v>J4 - James Clemens</v>
      </c>
      <c r="F36" s="57">
        <v>46.0</v>
      </c>
      <c r="G36" s="59"/>
      <c r="H36" s="60" t="s">
        <v>311</v>
      </c>
      <c r="I36" s="37"/>
      <c r="J36" s="56" t="str">
        <f>IF(I35="","",IF(I35&gt;I37,H35,H37))</f>
        <v>L1 - North Hollywood B</v>
      </c>
      <c r="K36" s="57">
        <v>40.0</v>
      </c>
      <c r="L36" s="61" t="s">
        <v>312</v>
      </c>
      <c r="M36" s="37"/>
      <c r="N36" s="56" t="str">
        <f>IF(M34="","",IF(M34&gt;M38,L34,L38))</f>
        <v>A3 - Palo Alto A</v>
      </c>
      <c r="O36" s="57">
        <v>56.0</v>
      </c>
      <c r="P36" s="23"/>
      <c r="Q36" s="37"/>
      <c r="R36" s="23"/>
      <c r="S36" s="37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58"/>
      <c r="E37" s="44" t="s">
        <v>313</v>
      </c>
      <c r="F37" s="23"/>
      <c r="G37" s="37"/>
      <c r="H37" s="56" t="str">
        <f>IF(F36="","",IF(F36&gt;F38,E36,E38))</f>
        <v>L1 - North Hollywood B</v>
      </c>
      <c r="I37" s="62">
        <v>94.0</v>
      </c>
      <c r="J37" s="23"/>
      <c r="K37" s="37"/>
      <c r="L37" s="23"/>
      <c r="M37" s="37"/>
      <c r="N37" s="23"/>
      <c r="O37" s="37"/>
      <c r="P37" s="63" t="s">
        <v>314</v>
      </c>
      <c r="Q37" s="37"/>
      <c r="R37" s="64" t="str">
        <f>IF(Q34="","",IF(Q34&gt;Q40,P34,P40))</f>
        <v>K2 - Frazer</v>
      </c>
      <c r="S37" s="62">
        <v>36.0</v>
      </c>
      <c r="T37" s="52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58"/>
      <c r="E38" s="56" t="str">
        <f>IF(D6="","",IF(D6&lt;D8,C6,C8))</f>
        <v>L1 - North Hollywood B</v>
      </c>
      <c r="F38" s="57">
        <v>90.0</v>
      </c>
      <c r="G38" s="65"/>
      <c r="H38" s="23"/>
      <c r="I38" s="23"/>
      <c r="J38" s="48" t="s">
        <v>315</v>
      </c>
      <c r="K38" s="37"/>
      <c r="L38" s="56" t="str">
        <f>IF(K36="","",IF(K36&gt;K40,J36,J40))</f>
        <v>A3 - Palo Alto A</v>
      </c>
      <c r="M38" s="62">
        <v>30.0</v>
      </c>
      <c r="N38" s="23"/>
      <c r="O38" s="37"/>
      <c r="P38" s="23"/>
      <c r="Q38" s="37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58"/>
      <c r="E39" s="23"/>
      <c r="F39" s="31"/>
      <c r="G39" s="31" t="s">
        <v>316</v>
      </c>
      <c r="H39" s="56" t="str">
        <f>IF(F19="","",IF(F19&lt;F23,E19,E23))</f>
        <v>C1 - Interlake A</v>
      </c>
      <c r="I39" s="57">
        <v>52.0</v>
      </c>
      <c r="J39" s="23"/>
      <c r="K39" s="37"/>
      <c r="L39" s="23"/>
      <c r="M39" s="23"/>
      <c r="N39" s="23"/>
      <c r="O39" s="37"/>
      <c r="P39" s="23"/>
      <c r="Q39" s="37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58"/>
      <c r="E40" s="56" t="str">
        <f>IF(D10="","",IF(D10&lt;D12,C10,C12))</f>
        <v>A3 - Palo Alto A</v>
      </c>
      <c r="F40" s="57">
        <v>98.0</v>
      </c>
      <c r="G40" s="59"/>
      <c r="H40" s="60" t="s">
        <v>317</v>
      </c>
      <c r="I40" s="37"/>
      <c r="J40" s="56" t="str">
        <f>IF(I39="","",IF(I39&gt;I41,H39,H41))</f>
        <v>A3 - Palo Alto A</v>
      </c>
      <c r="K40" s="62">
        <v>98.0</v>
      </c>
      <c r="L40" s="23"/>
      <c r="M40" s="23"/>
      <c r="N40" s="51" t="s">
        <v>318</v>
      </c>
      <c r="O40" s="37"/>
      <c r="P40" s="56" t="str">
        <f>IF(O36="","",IF(O36&gt;O44,N36,N44))</f>
        <v>K2 - Frazer</v>
      </c>
      <c r="Q40" s="62">
        <v>80.0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58"/>
      <c r="E41" s="44" t="s">
        <v>319</v>
      </c>
      <c r="F41" s="23"/>
      <c r="G41" s="37"/>
      <c r="H41" s="56" t="str">
        <f>IF(F40="","",IF(F40&gt;F42,E40,E42))</f>
        <v>A3 - Palo Alto A</v>
      </c>
      <c r="I41" s="62">
        <v>68.0</v>
      </c>
      <c r="J41" s="23"/>
      <c r="K41" s="23"/>
      <c r="L41" s="23"/>
      <c r="M41" s="23"/>
      <c r="N41" s="23"/>
      <c r="O41" s="37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58"/>
      <c r="E42" s="56" t="str">
        <f>IF(D14="","",IF(D14&lt;D16,C14,C16))</f>
        <v>B1 - Amador Valley</v>
      </c>
      <c r="F42" s="57">
        <v>78.0</v>
      </c>
      <c r="G42" s="65"/>
      <c r="H42" s="23"/>
      <c r="I42" s="23"/>
      <c r="J42" s="23"/>
      <c r="K42" s="31" t="s">
        <v>320</v>
      </c>
      <c r="L42" s="56" t="str">
        <f>IF(K21="","",IF(K21&lt;K29,J21,J29))</f>
        <v>J1 - Lynbrook</v>
      </c>
      <c r="M42" s="57">
        <v>42.0</v>
      </c>
      <c r="N42" s="23"/>
      <c r="O42" s="37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58"/>
      <c r="E43" s="23"/>
      <c r="F43" s="31"/>
      <c r="G43" s="31" t="s">
        <v>321</v>
      </c>
      <c r="H43" s="56" t="str">
        <f>IF(F11="","",IF(F11&lt;D15,E11,E15))</f>
        <v>B5 - Southern Pirates A</v>
      </c>
      <c r="I43" s="57">
        <v>24.0</v>
      </c>
      <c r="J43" s="23"/>
      <c r="K43" s="23"/>
      <c r="L43" s="23"/>
      <c r="M43" s="37"/>
      <c r="N43" s="23"/>
      <c r="O43" s="37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58"/>
      <c r="E44" s="56" t="str">
        <f>IF(D18="","",IF(D18&lt;D20,C18,C20))</f>
        <v>K2 - Frazer</v>
      </c>
      <c r="F44" s="57">
        <v>86.0</v>
      </c>
      <c r="G44" s="59"/>
      <c r="H44" s="60" t="s">
        <v>322</v>
      </c>
      <c r="I44" s="37"/>
      <c r="J44" s="56" t="str">
        <f>IF(I43="","",IF(I43&gt;I45,H43,H45))</f>
        <v>K2 - Frazer</v>
      </c>
      <c r="K44" s="57">
        <v>36.0</v>
      </c>
      <c r="L44" s="61" t="s">
        <v>323</v>
      </c>
      <c r="M44" s="37"/>
      <c r="N44" s="56" t="str">
        <f>IF(M42="","",IF(M42&gt;M46,L42,L46))</f>
        <v>K2 - Frazer</v>
      </c>
      <c r="O44" s="62">
        <v>58.0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58"/>
      <c r="E45" s="44" t="s">
        <v>324</v>
      </c>
      <c r="F45" s="23"/>
      <c r="G45" s="37"/>
      <c r="H45" s="56" t="str">
        <f>IF(F44="","",IF(F44&gt;F46,E44,E46))</f>
        <v>K2 - Frazer</v>
      </c>
      <c r="I45" s="62">
        <v>56.0</v>
      </c>
      <c r="J45" s="23"/>
      <c r="K45" s="37"/>
      <c r="L45" s="23"/>
      <c r="M45" s="37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58"/>
      <c r="E46" s="56" t="str">
        <f>IF(D22="","",IF(D22&lt;D24,C22,C24))</f>
        <v>D6 - Niskayuna</v>
      </c>
      <c r="F46" s="57">
        <v>36.0</v>
      </c>
      <c r="G46" s="65"/>
      <c r="H46" s="23"/>
      <c r="I46" s="23"/>
      <c r="J46" s="48" t="s">
        <v>325</v>
      </c>
      <c r="K46" s="37"/>
      <c r="L46" s="56" t="str">
        <f>IF(K44="","",IF(K44&gt;K48,J44,J48))</f>
        <v>K2 - Frazer</v>
      </c>
      <c r="M46" s="62">
        <v>44.0</v>
      </c>
      <c r="N46" s="23"/>
      <c r="O46" s="23"/>
      <c r="P46" s="23"/>
      <c r="Q46" s="23"/>
      <c r="R46" s="23"/>
      <c r="S46" s="23"/>
      <c r="T46" s="50"/>
      <c r="U46" s="41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58"/>
      <c r="E47" s="23"/>
      <c r="F47" s="31"/>
      <c r="G47" s="31" t="s">
        <v>326</v>
      </c>
      <c r="H47" s="56" t="str">
        <f>IF(F3="","",IF(F3&lt;D7,E3,E7))</f>
        <v>L2 - ASFA</v>
      </c>
      <c r="I47" s="57">
        <v>62.0</v>
      </c>
      <c r="J47" s="23"/>
      <c r="K47" s="37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58"/>
      <c r="E48" s="56" t="str">
        <f>IF(D26="","",IF(D26&lt;D28,C26,C28))</f>
        <v>C3 - Dulles A</v>
      </c>
      <c r="F48" s="57">
        <v>46.0</v>
      </c>
      <c r="G48" s="59"/>
      <c r="H48" s="60" t="s">
        <v>327</v>
      </c>
      <c r="I48" s="37"/>
      <c r="J48" s="56" t="str">
        <f>IF(I47="","",IF(I47&gt;I49,H47,H49))</f>
        <v>L2 - ASFA</v>
      </c>
      <c r="K48" s="62">
        <v>30.0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58"/>
      <c r="E49" s="44" t="s">
        <v>328</v>
      </c>
      <c r="F49" s="23"/>
      <c r="G49" s="37"/>
      <c r="H49" s="56" t="str">
        <f>IF(F48="","",IF(F48&gt;F50,E48,E50))</f>
        <v>S5 - Interlake B</v>
      </c>
      <c r="I49" s="62">
        <v>48.0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58"/>
      <c r="E50" s="56" t="str">
        <f>IF(D30="","",IF(D30&lt;D32,C30,C32))</f>
        <v>S5 - Interlake B</v>
      </c>
      <c r="F50" s="57">
        <v>72.0</v>
      </c>
      <c r="G50" s="65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W27">
    <cfRule type="notContainsText" dxfId="12" priority="1" operator="notContains" text="Undecided">
      <formula>ISERROR(SEARCH(("Undecided"),(W27)))</formula>
    </cfRule>
  </conditionalFormatting>
  <drawing r:id="rId1"/>
</worksheet>
</file>