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Groups" sheetId="1" r:id="rId5"/>
    <sheet state="visible" name="Schedule + Room Assignments" sheetId="2" r:id="rId6"/>
    <sheet state="visible" name="RR Scores" sheetId="3" r:id="rId7"/>
    <sheet state="visible" name="DE Seeding" sheetId="4" r:id="rId8"/>
    <sheet state="visible" name="DE Bracket" sheetId="5" r:id="rId9"/>
  </sheets>
  <definedNames/>
  <calcPr/>
</workbook>
</file>

<file path=xl/sharedStrings.xml><?xml version="1.0" encoding="utf-8"?>
<sst xmlns="http://schemas.openxmlformats.org/spreadsheetml/2006/main" count="558" uniqueCount="250">
  <si>
    <t>w</t>
  </si>
  <si>
    <t>Category Statistics</t>
  </si>
  <si>
    <t>Group A</t>
  </si>
  <si>
    <t>Room</t>
  </si>
  <si>
    <t>RR 1</t>
  </si>
  <si>
    <t>RR 2</t>
  </si>
  <si>
    <t>RR 3</t>
  </si>
  <si>
    <t>RR 4</t>
  </si>
  <si>
    <t>RR 5</t>
  </si>
  <si>
    <t>Event</t>
  </si>
  <si>
    <t>Time (EST)</t>
  </si>
  <si>
    <t>Team</t>
  </si>
  <si>
    <t>Room 1</t>
  </si>
  <si>
    <t>A1 BYE</t>
  </si>
  <si>
    <t>A4— A5</t>
  </si>
  <si>
    <t>A1 — A4</t>
  </si>
  <si>
    <t>RR Score</t>
  </si>
  <si>
    <t>A1 — A5</t>
  </si>
  <si>
    <t>A3 — A4</t>
  </si>
  <si>
    <t>Opening Meeting</t>
  </si>
  <si>
    <t>10:55 a.m. - 11:10 a.m.</t>
  </si>
  <si>
    <t>DE Seed</t>
  </si>
  <si>
    <t>Teams</t>
  </si>
  <si>
    <t>Payment Status</t>
  </si>
  <si>
    <t>Room 2</t>
  </si>
  <si>
    <t>A3 — A5</t>
  </si>
  <si>
    <t>A1 — A3</t>
  </si>
  <si>
    <t>A5 — A6</t>
  </si>
  <si>
    <t>A3 — A6</t>
  </si>
  <si>
    <t>A1 — A6</t>
  </si>
  <si>
    <t>11:10 a.m. - 11:55 a.m.</t>
  </si>
  <si>
    <t>MSJ A</t>
  </si>
  <si>
    <t>BYE</t>
  </si>
  <si>
    <t>Princeton</t>
  </si>
  <si>
    <t>Room 3</t>
  </si>
  <si>
    <t>Basis Silicon Valley</t>
  </si>
  <si>
    <t>A4 — A6</t>
  </si>
  <si>
    <t>A6 BYE</t>
  </si>
  <si>
    <t>Collierville</t>
  </si>
  <si>
    <t>A3 BYE</t>
  </si>
  <si>
    <t>A4 BYE</t>
  </si>
  <si>
    <t>A5 BYE</t>
  </si>
  <si>
    <t>Centreville A</t>
  </si>
  <si>
    <t>11:55 a.m. - 12:30 p.m.</t>
  </si>
  <si>
    <t>Wins</t>
  </si>
  <si>
    <t>Ties</t>
  </si>
  <si>
    <t>MSJ B</t>
  </si>
  <si>
    <t>Room 4</t>
  </si>
  <si>
    <t>Losses</t>
  </si>
  <si>
    <t>Points</t>
  </si>
  <si>
    <t>Round Robin Groups</t>
  </si>
  <si>
    <t>PPG</t>
  </si>
  <si>
    <t>RR Score * 5/4</t>
  </si>
  <si>
    <t>B1 — B2</t>
  </si>
  <si>
    <t>B4— B5</t>
  </si>
  <si>
    <t>Iolani A</t>
  </si>
  <si>
    <t>B2 — B3</t>
  </si>
  <si>
    <t>B1 — B5</t>
  </si>
  <si>
    <t>B3 — B4</t>
  </si>
  <si>
    <t>12:30 p.m. - 1:05 p.m.</t>
  </si>
  <si>
    <t>Mission San Jose A</t>
  </si>
  <si>
    <t>Iolani B</t>
  </si>
  <si>
    <t>Room 5</t>
  </si>
  <si>
    <t>B3 — B5</t>
  </si>
  <si>
    <t>B1 — B3</t>
  </si>
  <si>
    <t>B5 — B6</t>
  </si>
  <si>
    <t>B2 — B4</t>
  </si>
  <si>
    <t>B1 — B6</t>
  </si>
  <si>
    <t>1:05 p.m. - 1:40 p.m.</t>
  </si>
  <si>
    <t>ASFA</t>
  </si>
  <si>
    <t>Room 6</t>
  </si>
  <si>
    <t>B4 — B6</t>
  </si>
  <si>
    <t>B2 — B6</t>
  </si>
  <si>
    <t>B1 — B4</t>
  </si>
  <si>
    <t>B3 — B6</t>
  </si>
  <si>
    <t>B2 — B5</t>
  </si>
  <si>
    <t>Group B</t>
  </si>
  <si>
    <t>1:40 p.m. - 2:15 p.m.</t>
  </si>
  <si>
    <t>Group C</t>
  </si>
  <si>
    <t>Room 7</t>
  </si>
  <si>
    <t>Group D</t>
  </si>
  <si>
    <t>C1 — C2</t>
  </si>
  <si>
    <t>C4— C5</t>
  </si>
  <si>
    <t>C2 — C3</t>
  </si>
  <si>
    <t>C1 — C5</t>
  </si>
  <si>
    <t>Group E</t>
  </si>
  <si>
    <t>C3 — C4</t>
  </si>
  <si>
    <t>Lunch</t>
  </si>
  <si>
    <t>2:45 p.m. - 3:30p.m.</t>
  </si>
  <si>
    <t>Group F</t>
  </si>
  <si>
    <t>Room 8</t>
  </si>
  <si>
    <t>C3 — C5</t>
  </si>
  <si>
    <t>C1 — C3</t>
  </si>
  <si>
    <t>C1 — C4</t>
  </si>
  <si>
    <t>C2 — C4</t>
  </si>
  <si>
    <t>C2 — C5</t>
  </si>
  <si>
    <t>Palo Alto</t>
  </si>
  <si>
    <t>James Clemens</t>
  </si>
  <si>
    <t>DE 1</t>
  </si>
  <si>
    <t>3:30 p.m. - 4:00 p.m.</t>
  </si>
  <si>
    <t>Room 9</t>
  </si>
  <si>
    <t>C4 BYE</t>
  </si>
  <si>
    <t>Enloe</t>
  </si>
  <si>
    <t>C2 BYE</t>
  </si>
  <si>
    <t>C5 BYE</t>
  </si>
  <si>
    <t>C3 BYE</t>
  </si>
  <si>
    <t>C1 BYE</t>
  </si>
  <si>
    <t>DE 2</t>
  </si>
  <si>
    <t>Evergreen</t>
  </si>
  <si>
    <t>4:00 p.m. - 4:30 p.m.</t>
  </si>
  <si>
    <t>Commonwealth School</t>
  </si>
  <si>
    <t>North Hollywood</t>
  </si>
  <si>
    <t>Misson San Jose B</t>
  </si>
  <si>
    <t>Lakeside</t>
  </si>
  <si>
    <t>Room 10</t>
  </si>
  <si>
    <t>D1 — D2</t>
  </si>
  <si>
    <t>D4— D5</t>
  </si>
  <si>
    <t>D2 — D3</t>
  </si>
  <si>
    <t>D1 — D5</t>
  </si>
  <si>
    <t>D3 — D4</t>
  </si>
  <si>
    <t>DE 3</t>
  </si>
  <si>
    <t>4:30 p.m. - 5:00 p.m.</t>
  </si>
  <si>
    <t>Basis Chandler A</t>
  </si>
  <si>
    <t>Whitney Young</t>
  </si>
  <si>
    <t>School of Biology</t>
  </si>
  <si>
    <t>Room 11</t>
  </si>
  <si>
    <t>D3 — D5</t>
  </si>
  <si>
    <t>D1 — D3</t>
  </si>
  <si>
    <t>D1 — D4</t>
  </si>
  <si>
    <t>D2 — D4</t>
  </si>
  <si>
    <t>D2 — D5</t>
  </si>
  <si>
    <t>DE Break</t>
  </si>
  <si>
    <t>5:00 p.m. - 5:15 p.m.</t>
  </si>
  <si>
    <t>Winston Churchill</t>
  </si>
  <si>
    <t>Montgomery Blair A</t>
  </si>
  <si>
    <t>Montgomery Blair B</t>
  </si>
  <si>
    <t>Brooklyn Tech A</t>
  </si>
  <si>
    <t>Wayzata</t>
  </si>
  <si>
    <t xml:space="preserve">Temple City </t>
  </si>
  <si>
    <t>Room 12</t>
  </si>
  <si>
    <t>D4 BYE</t>
  </si>
  <si>
    <t>D2 BYE</t>
  </si>
  <si>
    <t>D5 BYE</t>
  </si>
  <si>
    <t>D3 BYE</t>
  </si>
  <si>
    <t>D1 BYE</t>
  </si>
  <si>
    <t>DE 4</t>
  </si>
  <si>
    <t>5:15 p.m. - 5:45 p.m.</t>
  </si>
  <si>
    <t>Plano West</t>
  </si>
  <si>
    <t>Canyon Crest A</t>
  </si>
  <si>
    <t>Saratoga</t>
  </si>
  <si>
    <t>Room 13</t>
  </si>
  <si>
    <t>E1 — E2</t>
  </si>
  <si>
    <t>E4— E5</t>
  </si>
  <si>
    <t>E2 — E3</t>
  </si>
  <si>
    <t>E1 — E5</t>
  </si>
  <si>
    <t>E3 — E4</t>
  </si>
  <si>
    <t>DE 5</t>
  </si>
  <si>
    <t>5:45 p.m. - 6:15 p.m.</t>
  </si>
  <si>
    <t>Temple City</t>
  </si>
  <si>
    <t>Canyon Crest B</t>
  </si>
  <si>
    <t>Room 14</t>
  </si>
  <si>
    <t>WWPS A</t>
  </si>
  <si>
    <t>E3 — E5</t>
  </si>
  <si>
    <t>East Brunswick</t>
  </si>
  <si>
    <t>E1 — E3</t>
  </si>
  <si>
    <t>E5 — E6</t>
  </si>
  <si>
    <t>E2 — E4</t>
  </si>
  <si>
    <t>E1 — E6</t>
  </si>
  <si>
    <t>DE 6</t>
  </si>
  <si>
    <t>6:15 p.m. - 6:30 p.m.</t>
  </si>
  <si>
    <t>Brooklyn Tech B</t>
  </si>
  <si>
    <t>Room 15</t>
  </si>
  <si>
    <t>E4 — E6</t>
  </si>
  <si>
    <t>E2 — E6</t>
  </si>
  <si>
    <t>E1 — E4</t>
  </si>
  <si>
    <t>E3 — E6</t>
  </si>
  <si>
    <t>E2 — E5</t>
  </si>
  <si>
    <t>6:30 p.m. - 7:00 p.m.</t>
  </si>
  <si>
    <t>Room 16</t>
  </si>
  <si>
    <t>F1 — F2</t>
  </si>
  <si>
    <t>F4— F5</t>
  </si>
  <si>
    <t>F2 — F3</t>
  </si>
  <si>
    <t>F1 — F5</t>
  </si>
  <si>
    <t>F3 — F4</t>
  </si>
  <si>
    <t>DE 7</t>
  </si>
  <si>
    <t>7:00 p.m. - 7:30 p.m.</t>
  </si>
  <si>
    <t>Room 17</t>
  </si>
  <si>
    <t>F3 — F5</t>
  </si>
  <si>
    <t>F1 — F3</t>
  </si>
  <si>
    <t>F1 — F4</t>
  </si>
  <si>
    <t>F2 — F4</t>
  </si>
  <si>
    <t>BASIS Chandler A</t>
  </si>
  <si>
    <t>F2 — F5</t>
  </si>
  <si>
    <t>DE 8</t>
  </si>
  <si>
    <t>7:30 p.m. - 8:00 p.m.</t>
  </si>
  <si>
    <t>Room 18</t>
  </si>
  <si>
    <t>F4 BYE</t>
  </si>
  <si>
    <t>F2 BYE</t>
  </si>
  <si>
    <t>F5 BYE</t>
  </si>
  <si>
    <t>F3 BYE</t>
  </si>
  <si>
    <t>F1 BYE</t>
  </si>
  <si>
    <t>DE 9</t>
  </si>
  <si>
    <t>8:00 p.m. - 8:30 p.m.</t>
  </si>
  <si>
    <t>Closing Ceremony</t>
  </si>
  <si>
    <t>8:30 p.m. - 8:45 p.m.</t>
  </si>
  <si>
    <t>Blair A</t>
  </si>
  <si>
    <t>Blair B</t>
  </si>
  <si>
    <t>Mission San Jose B</t>
  </si>
  <si>
    <t>CCA A</t>
  </si>
  <si>
    <t>CCA B</t>
  </si>
  <si>
    <t>Clemens</t>
  </si>
  <si>
    <t>DE 8, 9</t>
  </si>
  <si>
    <t>Results</t>
  </si>
  <si>
    <t>G1 - Room DE A</t>
  </si>
  <si>
    <t>1st</t>
  </si>
  <si>
    <t>2nd</t>
  </si>
  <si>
    <t>G9 - Room DE A</t>
  </si>
  <si>
    <t>3rd</t>
  </si>
  <si>
    <t>4th</t>
  </si>
  <si>
    <t>G2 - Room DE B</t>
  </si>
  <si>
    <t>G21 - Room DE A</t>
  </si>
  <si>
    <t>G3 - Room DE C</t>
  </si>
  <si>
    <t>G10 - Room DE B</t>
  </si>
  <si>
    <t>G4 - Room DE D</t>
  </si>
  <si>
    <t>E</t>
  </si>
  <si>
    <t>G27 - Finals Stage 1</t>
  </si>
  <si>
    <t>G5 - Room DE E</t>
  </si>
  <si>
    <t>G11 - Room DE C</t>
  </si>
  <si>
    <t>G6 - Room DE F</t>
  </si>
  <si>
    <t>G22 - Room DE B</t>
  </si>
  <si>
    <t>G7 - Room DE G</t>
  </si>
  <si>
    <t>G30,31 - Finals Stage 1</t>
  </si>
  <si>
    <t>G12 - Room DE D</t>
  </si>
  <si>
    <t>champion</t>
  </si>
  <si>
    <t>G8 - Room DE H</t>
  </si>
  <si>
    <t>G17 - Room DE E</t>
  </si>
  <si>
    <t>G25 - Finals Stage 1</t>
  </si>
  <si>
    <t>G29 - Finals Stage 1</t>
  </si>
  <si>
    <t>G13 - Room DE E</t>
  </si>
  <si>
    <t>G23 - Room DE C</t>
  </si>
  <si>
    <t>G18 - Room DE F</t>
  </si>
  <si>
    <t>G28 - Finals Stage 2</t>
  </si>
  <si>
    <t>G14 - Room DE F</t>
  </si>
  <si>
    <t>G19 - Room DE G</t>
  </si>
  <si>
    <t>G26 - Finals Stage 2</t>
  </si>
  <si>
    <t>G15 - Room DE G</t>
  </si>
  <si>
    <t>Basis Chandler</t>
  </si>
  <si>
    <t>G24 - Room DE D</t>
  </si>
  <si>
    <t>G20 - Room DE H</t>
  </si>
  <si>
    <t>G16 - Room DE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</si>
</sst>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0.0"/>
      <color rgb="FF000000"/>
      <name val="Arial"/>
      <scheme val="minor"/>
    </font>
    <font>
      <color theme="1"/>
      <name val="Cambria Math"/>
    </font>
    <font>
      <b/>
      <color theme="1"/>
      <name val="Cambria Math"/>
    </font>
    <font/>
    <font>
      <u/>
      <sz val="25.0"/>
      <color rgb="FF0000FF"/>
      <name val="Cambria Math"/>
    </font>
    <font>
      <sz val="25.0"/>
      <color theme="1"/>
      <name val="Cambria Math"/>
    </font>
    <font>
      <sz val="48.0"/>
      <color theme="1"/>
      <name val="Cambria Math"/>
    </font>
    <font>
      <i/>
      <color theme="1"/>
      <name val="Cambria Math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3" fontId="1" numFmtId="0" xfId="0" applyFill="1" applyFont="1"/>
    <xf borderId="4" fillId="0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3" fontId="2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3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5" fontId="1" numFmtId="0" xfId="0" applyAlignment="1" applyBorder="1" applyFill="1" applyFont="1">
      <alignment horizontal="center"/>
    </xf>
    <xf borderId="0" fillId="5" fontId="1" numFmtId="0" xfId="0" applyAlignment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3" fontId="1" numFmtId="0" xfId="0" applyAlignment="1" applyFill="1" applyFont="1">
      <alignment readingOrder="0"/>
    </xf>
    <xf borderId="4" fillId="2" fontId="1" numFmtId="0" xfId="0" applyAlignment="1" applyBorder="1" applyFill="1" applyFont="1">
      <alignment horizontal="center" readingOrder="0"/>
    </xf>
    <xf borderId="0" fillId="5" fontId="1" numFmtId="0" xfId="0" applyFill="1" applyFont="1"/>
    <xf borderId="6" fillId="6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0" fillId="7" fontId="1" numFmtId="0" xfId="0" applyAlignment="1" applyFill="1" applyFont="1">
      <alignment readingOrder="0"/>
    </xf>
    <xf borderId="0" fillId="6" fontId="1" numFmtId="0" xfId="0" applyAlignment="1" applyFill="1" applyFont="1">
      <alignment horizontal="center"/>
    </xf>
    <xf borderId="4" fillId="8" fontId="1" numFmtId="0" xfId="0" applyAlignment="1" applyBorder="1" applyFill="1" applyFont="1">
      <alignment horizontal="center" readingOrder="0"/>
    </xf>
    <xf borderId="4" fillId="9" fontId="1" numFmtId="0" xfId="0" applyAlignment="1" applyBorder="1" applyFill="1" applyFont="1">
      <alignment horizontal="center" readingOrder="0"/>
    </xf>
    <xf borderId="4" fillId="10" fontId="1" numFmtId="0" xfId="0" applyAlignment="1" applyBorder="1" applyFill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readingOrder="0"/>
    </xf>
    <xf borderId="7" fillId="6" fontId="1" numFmtId="0" xfId="0" applyAlignment="1" applyBorder="1" applyFill="1" applyFont="1">
      <alignment horizontal="center" readingOrder="0"/>
    </xf>
    <xf borderId="6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/>
    </xf>
    <xf borderId="11" fillId="0" fontId="1" numFmtId="0" xfId="0" applyAlignment="1" applyBorder="1" applyFont="1">
      <alignment horizontal="center" readingOrder="0"/>
    </xf>
    <xf borderId="7" fillId="5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10" fontId="1" numFmtId="0" xfId="0" applyAlignment="1" applyFill="1" applyFont="1">
      <alignment readingOrder="0"/>
    </xf>
    <xf borderId="12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12" fillId="5" fontId="1" numFmtId="0" xfId="0" applyAlignment="1" applyBorder="1" applyFill="1" applyFont="1">
      <alignment horizontal="center"/>
    </xf>
    <xf borderId="11" fillId="6" fontId="1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center" readingOrder="0"/>
    </xf>
    <xf borderId="4" fillId="6" fontId="1" numFmtId="0" xfId="0" applyAlignment="1" applyBorder="1" applyFill="1" applyFont="1">
      <alignment horizontal="center"/>
    </xf>
    <xf borderId="12" fillId="6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8" fillId="3" fontId="1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horizontal="center"/>
    </xf>
    <xf borderId="11" fillId="3" fontId="2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center"/>
    </xf>
    <xf borderId="7" fillId="3" fontId="1" numFmtId="0" xfId="0" applyAlignment="1" applyBorder="1" applyFill="1" applyFont="1">
      <alignment horizontal="center"/>
    </xf>
    <xf borderId="12" fillId="3" fontId="1" numFmtId="0" xfId="0" applyAlignment="1" applyBorder="1" applyFill="1" applyFont="1">
      <alignment horizontal="center" readingOrder="0"/>
    </xf>
    <xf borderId="11" fillId="5" fontId="1" numFmtId="0" xfId="0" applyAlignment="1" applyBorder="1" applyFill="1" applyFont="1">
      <alignment horizontal="center" readingOrder="0"/>
    </xf>
    <xf borderId="11" fillId="5" fontId="1" numFmtId="0" xfId="0" applyAlignment="1" applyBorder="1" applyFill="1" applyFont="1">
      <alignment horizontal="center"/>
    </xf>
    <xf borderId="4" fillId="5" fontId="1" numFmtId="0" xfId="0" applyAlignment="1" applyBorder="1" applyFill="1" applyFont="1">
      <alignment horizontal="center"/>
    </xf>
    <xf borderId="12" fillId="5" fontId="1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6" fillId="10" fontId="1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0" fillId="10" fontId="1" numFmtId="0" xfId="0" applyAlignment="1" applyFill="1" applyFont="1">
      <alignment horizontal="center"/>
    </xf>
    <xf borderId="6" fillId="10" fontId="1" numFmtId="0" xfId="0" applyAlignment="1" applyBorder="1" applyFill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5wOm5sB49kAma4l-V_XWAb_KFoVi5AuEcRNZ-RNQNf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  <col customWidth="1" min="3" max="3" width="13.5"/>
    <col customWidth="1" min="5" max="5" width="16.0"/>
    <col customWidth="1" min="6" max="6" width="13.38"/>
    <col customWidth="1" min="7" max="7" width="17.88"/>
    <col customWidth="1" min="8" max="8" width="17.75"/>
    <col customWidth="1" min="9" max="9" width="15.63"/>
    <col customWidth="1" min="10" max="10" width="14.63"/>
  </cols>
  <sheetData>
    <row r="1">
      <c r="A1" s="2" t="s">
        <v>0</v>
      </c>
      <c r="B1" s="1"/>
      <c r="C1" s="1"/>
      <c r="D1" s="3"/>
      <c r="E1" s="10" t="s">
        <v>1</v>
      </c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7" t="s">
        <v>22</v>
      </c>
      <c r="C2" s="17" t="s">
        <v>23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"/>
      <c r="B3" s="2" t="s">
        <v>31</v>
      </c>
      <c r="C3" s="2" t="b">
        <v>1</v>
      </c>
      <c r="D3" s="19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2" t="s">
        <v>46</v>
      </c>
      <c r="C4" s="2" t="b">
        <v>1</v>
      </c>
      <c r="D4" s="19"/>
      <c r="E4" s="24" t="s">
        <v>50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2" t="s">
        <v>55</v>
      </c>
      <c r="C5" s="2" t="b">
        <v>1</v>
      </c>
      <c r="D5" s="3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2" t="s">
        <v>61</v>
      </c>
      <c r="C6" s="2" t="b">
        <v>1</v>
      </c>
      <c r="D6" s="3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2" t="s">
        <v>38</v>
      </c>
      <c r="C7" s="2" t="b">
        <v>1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2" t="s">
        <v>69</v>
      </c>
      <c r="C8" s="2" t="b">
        <v>1</v>
      </c>
      <c r="D8" s="3"/>
      <c r="E8" s="32" t="s">
        <v>2</v>
      </c>
      <c r="F8" s="35" t="s">
        <v>76</v>
      </c>
      <c r="G8" s="37" t="s">
        <v>78</v>
      </c>
      <c r="H8" s="40" t="s">
        <v>80</v>
      </c>
      <c r="I8" s="41" t="s">
        <v>85</v>
      </c>
      <c r="J8" s="42" t="s">
        <v>89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2" t="s">
        <v>96</v>
      </c>
      <c r="C9" s="2" t="b">
        <v>1</v>
      </c>
      <c r="D9" s="19">
        <v>1.0</v>
      </c>
      <c r="E9" s="43" t="s">
        <v>60</v>
      </c>
      <c r="F9" s="44" t="s">
        <v>102</v>
      </c>
      <c r="G9" s="44" t="s">
        <v>108</v>
      </c>
      <c r="H9" s="44" t="s">
        <v>110</v>
      </c>
      <c r="I9" s="44" t="s">
        <v>112</v>
      </c>
      <c r="J9" s="45" t="s">
        <v>113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2" t="s">
        <v>42</v>
      </c>
      <c r="C10" s="2" t="b">
        <v>1</v>
      </c>
      <c r="D10" s="19">
        <v>2.0</v>
      </c>
      <c r="E10" s="27" t="s">
        <v>32</v>
      </c>
      <c r="F10" s="2" t="s">
        <v>55</v>
      </c>
      <c r="G10" s="2" t="s">
        <v>122</v>
      </c>
      <c r="H10" s="2" t="s">
        <v>123</v>
      </c>
      <c r="I10" s="2" t="s">
        <v>124</v>
      </c>
      <c r="J10" s="30" t="s">
        <v>61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2" t="s">
        <v>111</v>
      </c>
      <c r="C11" s="2" t="b">
        <v>1</v>
      </c>
      <c r="D11" s="19">
        <v>3.0</v>
      </c>
      <c r="E11" s="27" t="s">
        <v>33</v>
      </c>
      <c r="F11" s="2" t="s">
        <v>133</v>
      </c>
      <c r="G11" s="2" t="s">
        <v>134</v>
      </c>
      <c r="H11" s="2" t="s">
        <v>135</v>
      </c>
      <c r="I11" s="2" t="s">
        <v>136</v>
      </c>
      <c r="J11" s="30" t="s">
        <v>137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2" t="s">
        <v>138</v>
      </c>
      <c r="C12" s="2" t="b">
        <v>1</v>
      </c>
      <c r="D12" s="19">
        <v>4.0</v>
      </c>
      <c r="E12" s="27" t="s">
        <v>35</v>
      </c>
      <c r="F12" s="2" t="s">
        <v>111</v>
      </c>
      <c r="G12" s="2" t="s">
        <v>147</v>
      </c>
      <c r="H12" s="2" t="s">
        <v>148</v>
      </c>
      <c r="I12" s="2" t="s">
        <v>149</v>
      </c>
      <c r="J12" s="30" t="s">
        <v>96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2" t="s">
        <v>136</v>
      </c>
      <c r="C13" s="2" t="b">
        <v>1</v>
      </c>
      <c r="D13" s="19">
        <v>5.0</v>
      </c>
      <c r="E13" s="27" t="s">
        <v>38</v>
      </c>
      <c r="F13" s="2" t="s">
        <v>158</v>
      </c>
      <c r="G13" s="2" t="s">
        <v>159</v>
      </c>
      <c r="H13" s="2" t="s">
        <v>97</v>
      </c>
      <c r="I13" s="2" t="s">
        <v>161</v>
      </c>
      <c r="J13" s="30" t="s">
        <v>163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2" t="s">
        <v>170</v>
      </c>
      <c r="C14" s="2" t="b">
        <v>1</v>
      </c>
      <c r="D14" s="19">
        <v>6.0</v>
      </c>
      <c r="E14" s="52" t="s">
        <v>42</v>
      </c>
      <c r="F14" s="54" t="s">
        <v>170</v>
      </c>
      <c r="G14" s="54" t="s">
        <v>32</v>
      </c>
      <c r="H14" s="54" t="s">
        <v>32</v>
      </c>
      <c r="I14" s="54" t="s">
        <v>69</v>
      </c>
      <c r="J14" s="56" t="s">
        <v>32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2" t="s">
        <v>124</v>
      </c>
      <c r="C15" s="2" t="b">
        <v>1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2" t="s">
        <v>161</v>
      </c>
      <c r="C16" s="2" t="b">
        <v>1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2" t="s">
        <v>33</v>
      </c>
      <c r="C17" s="2" t="b">
        <v>1</v>
      </c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2" t="s">
        <v>163</v>
      </c>
      <c r="C18" s="2" t="b">
        <v>1</v>
      </c>
      <c r="D18" s="57"/>
      <c r="E18" s="58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2" t="s">
        <v>205</v>
      </c>
      <c r="C19" s="2" t="b">
        <v>1</v>
      </c>
      <c r="D19" s="19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2" t="s">
        <v>206</v>
      </c>
      <c r="C20" s="2" t="b">
        <v>1</v>
      </c>
      <c r="D20" s="19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2" t="s">
        <v>113</v>
      </c>
      <c r="C21" s="2" t="b">
        <v>1</v>
      </c>
      <c r="D21" s="19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2" t="s">
        <v>147</v>
      </c>
      <c r="C22" s="2" t="b">
        <v>1</v>
      </c>
      <c r="D22" s="19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2" t="s">
        <v>122</v>
      </c>
      <c r="C23" s="2" t="b">
        <v>1</v>
      </c>
      <c r="D23" s="19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2" t="s">
        <v>208</v>
      </c>
      <c r="C24" s="2" t="b">
        <v>1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2" t="s">
        <v>209</v>
      </c>
      <c r="C25" s="2" t="b">
        <v>1</v>
      </c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2" t="s">
        <v>108</v>
      </c>
      <c r="C26" s="2" t="b">
        <v>1</v>
      </c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2" t="s">
        <v>210</v>
      </c>
      <c r="C27" s="2" t="b">
        <v>1</v>
      </c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2" t="s">
        <v>110</v>
      </c>
      <c r="C28" s="2" t="b">
        <v>1</v>
      </c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2" t="s">
        <v>123</v>
      </c>
      <c r="C29" s="2" t="b">
        <v>1</v>
      </c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2" t="s">
        <v>133</v>
      </c>
      <c r="C30" s="2" t="b">
        <v>1</v>
      </c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2" t="s">
        <v>137</v>
      </c>
      <c r="C31" s="2" t="b">
        <v>1</v>
      </c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2" t="s">
        <v>35</v>
      </c>
      <c r="C32" s="2" t="b">
        <v>1</v>
      </c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2" t="s">
        <v>149</v>
      </c>
      <c r="C33" s="2" t="b">
        <v>1</v>
      </c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2" t="s">
        <v>102</v>
      </c>
      <c r="C34" s="2" t="b">
        <v>1</v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</sheetData>
  <mergeCells count="1">
    <mergeCell ref="E4:J6"/>
  </mergeCells>
  <hyperlinks>
    <hyperlink r:id="rId1" ref="E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7" width="13.88"/>
    <col customWidth="1" min="9" max="9" width="16.75"/>
    <col customWidth="1" min="10" max="10" width="18.1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4"/>
      <c r="I2" s="9" t="s">
        <v>9</v>
      </c>
      <c r="J2" s="9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17</v>
      </c>
      <c r="G3" s="13" t="s">
        <v>18</v>
      </c>
      <c r="H3" s="4"/>
      <c r="I3" s="15" t="s">
        <v>19</v>
      </c>
      <c r="J3" s="15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13" t="s">
        <v>24</v>
      </c>
      <c r="C4" s="13" t="s">
        <v>25</v>
      </c>
      <c r="D4" s="13" t="s">
        <v>26</v>
      </c>
      <c r="E4" s="13" t="s">
        <v>27</v>
      </c>
      <c r="F4" s="13" t="s">
        <v>28</v>
      </c>
      <c r="G4" s="13" t="s">
        <v>29</v>
      </c>
      <c r="H4" s="4"/>
      <c r="I4" s="15" t="s">
        <v>4</v>
      </c>
      <c r="J4" s="15" t="s">
        <v>30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3" t="s">
        <v>34</v>
      </c>
      <c r="C5" s="13" t="s">
        <v>36</v>
      </c>
      <c r="D5" s="13" t="s">
        <v>37</v>
      </c>
      <c r="E5" s="13" t="s">
        <v>39</v>
      </c>
      <c r="F5" s="13" t="s">
        <v>40</v>
      </c>
      <c r="G5" s="13" t="s">
        <v>41</v>
      </c>
      <c r="H5" s="4"/>
      <c r="I5" s="15" t="s">
        <v>5</v>
      </c>
      <c r="J5" s="15" t="s">
        <v>43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23" t="s">
        <v>47</v>
      </c>
      <c r="C6" s="23" t="s">
        <v>53</v>
      </c>
      <c r="D6" s="23" t="s">
        <v>54</v>
      </c>
      <c r="E6" s="23" t="s">
        <v>56</v>
      </c>
      <c r="F6" s="23" t="s">
        <v>57</v>
      </c>
      <c r="G6" s="23" t="s">
        <v>58</v>
      </c>
      <c r="H6" s="4"/>
      <c r="I6" s="15" t="s">
        <v>6</v>
      </c>
      <c r="J6" s="15" t="s">
        <v>59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23" t="s">
        <v>62</v>
      </c>
      <c r="C7" s="23" t="s">
        <v>63</v>
      </c>
      <c r="D7" s="23" t="s">
        <v>64</v>
      </c>
      <c r="E7" s="23" t="s">
        <v>65</v>
      </c>
      <c r="F7" s="23" t="s">
        <v>66</v>
      </c>
      <c r="G7" s="23" t="s">
        <v>67</v>
      </c>
      <c r="H7" s="4"/>
      <c r="I7" s="15" t="s">
        <v>7</v>
      </c>
      <c r="J7" s="15" t="s">
        <v>68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23" t="s">
        <v>70</v>
      </c>
      <c r="C8" s="23" t="s">
        <v>71</v>
      </c>
      <c r="D8" s="23" t="s">
        <v>72</v>
      </c>
      <c r="E8" s="23" t="s">
        <v>73</v>
      </c>
      <c r="F8" s="23" t="s">
        <v>74</v>
      </c>
      <c r="G8" s="23" t="s">
        <v>75</v>
      </c>
      <c r="H8" s="4"/>
      <c r="I8" s="15" t="s">
        <v>8</v>
      </c>
      <c r="J8" s="15" t="s">
        <v>77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8" t="s">
        <v>79</v>
      </c>
      <c r="C9" s="38" t="s">
        <v>81</v>
      </c>
      <c r="D9" s="38" t="s">
        <v>82</v>
      </c>
      <c r="E9" s="38" t="s">
        <v>83</v>
      </c>
      <c r="F9" s="38" t="s">
        <v>84</v>
      </c>
      <c r="G9" s="38" t="s">
        <v>86</v>
      </c>
      <c r="H9" s="4"/>
      <c r="I9" s="15" t="s">
        <v>87</v>
      </c>
      <c r="J9" s="15" t="s">
        <v>88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38" t="s">
        <v>90</v>
      </c>
      <c r="C10" s="38" t="s">
        <v>91</v>
      </c>
      <c r="D10" s="38" t="s">
        <v>92</v>
      </c>
      <c r="E10" s="38" t="s">
        <v>93</v>
      </c>
      <c r="F10" s="38" t="s">
        <v>94</v>
      </c>
      <c r="G10" s="38" t="s">
        <v>95</v>
      </c>
      <c r="H10" s="4"/>
      <c r="I10" s="15" t="s">
        <v>98</v>
      </c>
      <c r="J10" s="15" t="s">
        <v>99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38" t="s">
        <v>100</v>
      </c>
      <c r="C11" s="38" t="s">
        <v>101</v>
      </c>
      <c r="D11" s="38" t="s">
        <v>103</v>
      </c>
      <c r="E11" s="38" t="s">
        <v>104</v>
      </c>
      <c r="F11" s="38" t="s">
        <v>105</v>
      </c>
      <c r="G11" s="38" t="s">
        <v>106</v>
      </c>
      <c r="H11" s="4"/>
      <c r="I11" s="15" t="s">
        <v>107</v>
      </c>
      <c r="J11" s="15" t="s">
        <v>109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6" t="s">
        <v>114</v>
      </c>
      <c r="C12" s="46" t="s">
        <v>115</v>
      </c>
      <c r="D12" s="46" t="s">
        <v>116</v>
      </c>
      <c r="E12" s="46" t="s">
        <v>117</v>
      </c>
      <c r="F12" s="46" t="s">
        <v>118</v>
      </c>
      <c r="G12" s="46" t="s">
        <v>119</v>
      </c>
      <c r="H12" s="4"/>
      <c r="I12" s="15" t="s">
        <v>120</v>
      </c>
      <c r="J12" s="15" t="s">
        <v>121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6" t="s">
        <v>125</v>
      </c>
      <c r="C13" s="46" t="s">
        <v>126</v>
      </c>
      <c r="D13" s="46" t="s">
        <v>127</v>
      </c>
      <c r="E13" s="46" t="s">
        <v>128</v>
      </c>
      <c r="F13" s="46" t="s">
        <v>129</v>
      </c>
      <c r="G13" s="46" t="s">
        <v>130</v>
      </c>
      <c r="H13" s="4"/>
      <c r="I13" s="15" t="s">
        <v>131</v>
      </c>
      <c r="J13" s="47" t="s">
        <v>132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6" t="s">
        <v>139</v>
      </c>
      <c r="C14" s="46" t="s">
        <v>140</v>
      </c>
      <c r="D14" s="46" t="s">
        <v>141</v>
      </c>
      <c r="E14" s="46" t="s">
        <v>142</v>
      </c>
      <c r="F14" s="46" t="s">
        <v>143</v>
      </c>
      <c r="G14" s="46" t="s">
        <v>144</v>
      </c>
      <c r="H14" s="4"/>
      <c r="I14" s="15" t="s">
        <v>145</v>
      </c>
      <c r="J14" s="47" t="s">
        <v>146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8" t="s">
        <v>150</v>
      </c>
      <c r="C15" s="48" t="s">
        <v>151</v>
      </c>
      <c r="D15" s="48" t="s">
        <v>152</v>
      </c>
      <c r="E15" s="48" t="s">
        <v>153</v>
      </c>
      <c r="F15" s="48" t="s">
        <v>154</v>
      </c>
      <c r="G15" s="48" t="s">
        <v>155</v>
      </c>
      <c r="H15" s="4"/>
      <c r="I15" s="15" t="s">
        <v>156</v>
      </c>
      <c r="J15" s="47" t="s">
        <v>157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8" t="s">
        <v>160</v>
      </c>
      <c r="C16" s="48" t="s">
        <v>162</v>
      </c>
      <c r="D16" s="48" t="s">
        <v>164</v>
      </c>
      <c r="E16" s="48" t="s">
        <v>165</v>
      </c>
      <c r="F16" s="48" t="s">
        <v>166</v>
      </c>
      <c r="G16" s="48" t="s">
        <v>167</v>
      </c>
      <c r="H16" s="4"/>
      <c r="I16" s="15" t="s">
        <v>168</v>
      </c>
      <c r="J16" s="15" t="s">
        <v>169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8" t="s">
        <v>171</v>
      </c>
      <c r="C17" s="48" t="s">
        <v>172</v>
      </c>
      <c r="D17" s="48" t="s">
        <v>173</v>
      </c>
      <c r="E17" s="48" t="s">
        <v>174</v>
      </c>
      <c r="F17" s="48" t="s">
        <v>175</v>
      </c>
      <c r="G17" s="48" t="s">
        <v>176</v>
      </c>
      <c r="H17" s="4"/>
      <c r="I17" s="15" t="s">
        <v>131</v>
      </c>
      <c r="J17" s="47" t="s">
        <v>177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55" t="s">
        <v>178</v>
      </c>
      <c r="C18" s="55" t="s">
        <v>179</v>
      </c>
      <c r="D18" s="55" t="s">
        <v>180</v>
      </c>
      <c r="E18" s="55" t="s">
        <v>181</v>
      </c>
      <c r="F18" s="55" t="s">
        <v>182</v>
      </c>
      <c r="G18" s="55" t="s">
        <v>183</v>
      </c>
      <c r="H18" s="4"/>
      <c r="I18" s="15" t="s">
        <v>184</v>
      </c>
      <c r="J18" s="47" t="s">
        <v>185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55" t="s">
        <v>186</v>
      </c>
      <c r="C19" s="55" t="s">
        <v>187</v>
      </c>
      <c r="D19" s="55" t="s">
        <v>188</v>
      </c>
      <c r="E19" s="55" t="s">
        <v>189</v>
      </c>
      <c r="F19" s="55" t="s">
        <v>190</v>
      </c>
      <c r="G19" s="55" t="s">
        <v>192</v>
      </c>
      <c r="H19" s="4"/>
      <c r="I19" s="15" t="s">
        <v>193</v>
      </c>
      <c r="J19" s="47" t="s">
        <v>194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55" t="s">
        <v>195</v>
      </c>
      <c r="C20" s="55" t="s">
        <v>196</v>
      </c>
      <c r="D20" s="55" t="s">
        <v>197</v>
      </c>
      <c r="E20" s="55" t="s">
        <v>198</v>
      </c>
      <c r="F20" s="55" t="s">
        <v>199</v>
      </c>
      <c r="G20" s="55" t="s">
        <v>200</v>
      </c>
      <c r="H20" s="4"/>
      <c r="I20" s="15" t="s">
        <v>201</v>
      </c>
      <c r="J20" s="15" t="s">
        <v>202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15"/>
      <c r="F21" s="4"/>
      <c r="G21" s="4"/>
      <c r="H21" s="4"/>
      <c r="I21" s="15" t="s">
        <v>203</v>
      </c>
      <c r="J21" s="15" t="s">
        <v>204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9.5"/>
    <col customWidth="1" min="4" max="7" width="18.75"/>
    <col customWidth="1" min="8" max="8" width="1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1"/>
      <c r="B2" s="5" t="s">
        <v>2</v>
      </c>
      <c r="C2" s="6"/>
      <c r="D2" s="6"/>
      <c r="E2" s="6"/>
      <c r="F2" s="6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1"/>
      <c r="B3" s="16">
        <f>sum(C4:H9)*3/2</f>
        <v>2763</v>
      </c>
      <c r="C3" s="18" t="str">
        <f t="array" ref="C3:H3">TRANSPOSE(B4:B9)</f>
        <v>Mission San Jose A</v>
      </c>
      <c r="D3" s="18" t="s">
        <v>32</v>
      </c>
      <c r="E3" s="18" t="s">
        <v>33</v>
      </c>
      <c r="F3" s="18" t="s">
        <v>35</v>
      </c>
      <c r="G3" s="18" t="s">
        <v>38</v>
      </c>
      <c r="H3" s="20" t="s">
        <v>42</v>
      </c>
      <c r="I3" s="21" t="s">
        <v>44</v>
      </c>
      <c r="J3" s="22" t="s">
        <v>45</v>
      </c>
      <c r="K3" s="22" t="s">
        <v>48</v>
      </c>
      <c r="L3" s="22" t="s">
        <v>49</v>
      </c>
      <c r="M3" s="22" t="s">
        <v>51</v>
      </c>
      <c r="N3" s="25" t="s">
        <v>52</v>
      </c>
      <c r="O3" s="1"/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1"/>
      <c r="B4" s="27" t="s">
        <v>60</v>
      </c>
      <c r="C4" s="28"/>
      <c r="D4" s="29"/>
      <c r="E4" s="2">
        <v>184.0</v>
      </c>
      <c r="F4" s="2">
        <v>166.0</v>
      </c>
      <c r="G4" s="2">
        <v>146.0</v>
      </c>
      <c r="H4" s="30">
        <v>134.0</v>
      </c>
      <c r="I4" s="34">
        <f>COUNTIF(K68:P68, 1)</f>
        <v>4</v>
      </c>
      <c r="J4" s="36">
        <v>0.0</v>
      </c>
      <c r="K4" s="39">
        <f>COUNTIF(K68:P68, 0)</f>
        <v>0</v>
      </c>
      <c r="L4" s="39">
        <f>I4+0.5*J4</f>
        <v>4</v>
      </c>
      <c r="M4" s="39">
        <f>AVERAGE(C4:H4)</f>
        <v>157.5</v>
      </c>
      <c r="N4" s="49">
        <f>(L4*500+M4*2*B3/(IF(AVERAGE($B$3, $B$12, $B$21, $B$30, $B$39, $B$48)=0, 1, AVERAGE($B$3, $B$12, $B$21, $B$30, $B$39, $B$48))))*5/4</f>
        <v>2896.12753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>
      <c r="A5" s="1"/>
      <c r="B5" s="27" t="s">
        <v>32</v>
      </c>
      <c r="C5" s="50"/>
      <c r="D5" s="51"/>
      <c r="E5" s="29"/>
      <c r="F5" s="29"/>
      <c r="G5" s="29"/>
      <c r="H5" s="53"/>
      <c r="I5" s="28"/>
      <c r="J5" s="51"/>
      <c r="K5" s="51"/>
      <c r="L5" s="51"/>
      <c r="M5" s="51"/>
      <c r="N5" s="53">
        <v>0.0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1"/>
      <c r="B6" s="27" t="s">
        <v>33</v>
      </c>
      <c r="C6" s="27">
        <v>94.0</v>
      </c>
      <c r="D6" s="29"/>
      <c r="E6" s="51"/>
      <c r="F6" s="2">
        <v>34.0</v>
      </c>
      <c r="G6" s="2">
        <v>160.0</v>
      </c>
      <c r="H6" s="30">
        <v>98.0</v>
      </c>
      <c r="I6" s="34">
        <f t="shared" ref="I6:I9" si="1">COUNTIF(K70:P70, 1)</f>
        <v>2</v>
      </c>
      <c r="J6" s="36">
        <v>0.0</v>
      </c>
      <c r="K6" s="39">
        <f t="shared" ref="K6:K9" si="2">COUNTIF(K70:P70, 0)</f>
        <v>2</v>
      </c>
      <c r="L6" s="39">
        <f t="shared" ref="L6:L9" si="3">I6+0.5*J6</f>
        <v>2</v>
      </c>
      <c r="M6" s="39">
        <f t="shared" ref="M6:M9" si="4">AVERAGE(C6:H6)</f>
        <v>96.5</v>
      </c>
      <c r="N6" s="49">
        <f>(L6*500+M6*2*B3/(IF(AVERAGE($B$3, $B$12, $B$21, $B$30, $B$39, $B$48)=0, 1, AVERAGE($B$3, $B$12, $B$21, $B$30, $B$39, $B$48))))*5/4</f>
        <v>1492.706709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1"/>
      <c r="B7" s="27" t="s">
        <v>35</v>
      </c>
      <c r="C7" s="27">
        <v>38.0</v>
      </c>
      <c r="D7" s="29"/>
      <c r="E7" s="2">
        <v>176.0</v>
      </c>
      <c r="F7" s="51"/>
      <c r="G7" s="2">
        <v>124.0</v>
      </c>
      <c r="H7" s="30">
        <v>140.0</v>
      </c>
      <c r="I7" s="34">
        <f t="shared" si="1"/>
        <v>3</v>
      </c>
      <c r="J7" s="36">
        <v>0.0</v>
      </c>
      <c r="K7" s="39">
        <f t="shared" si="2"/>
        <v>1</v>
      </c>
      <c r="L7" s="39">
        <f t="shared" si="3"/>
        <v>3</v>
      </c>
      <c r="M7" s="39">
        <f t="shared" si="4"/>
        <v>119.5</v>
      </c>
      <c r="N7" s="49">
        <f>(L7*500+M7*2*B3/(IF(AVERAGE($B$3, $B$12, $B$21, $B$30, $B$39, $B$48)=0, 1, AVERAGE($B$3, $B$12, $B$21, $B$30, $B$39, $B$48))))*5/4</f>
        <v>2175.553904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1"/>
      <c r="B8" s="27" t="s">
        <v>38</v>
      </c>
      <c r="C8" s="27">
        <v>6.0</v>
      </c>
      <c r="D8" s="29"/>
      <c r="E8" s="2">
        <v>12.0</v>
      </c>
      <c r="F8" s="2">
        <v>32.0</v>
      </c>
      <c r="G8" s="51"/>
      <c r="H8" s="30">
        <v>34.0</v>
      </c>
      <c r="I8" s="34">
        <f t="shared" si="1"/>
        <v>0</v>
      </c>
      <c r="J8" s="36">
        <v>0.0</v>
      </c>
      <c r="K8" s="39">
        <f t="shared" si="2"/>
        <v>4</v>
      </c>
      <c r="L8" s="39">
        <f t="shared" si="3"/>
        <v>0</v>
      </c>
      <c r="M8" s="39">
        <f t="shared" si="4"/>
        <v>21</v>
      </c>
      <c r="N8" s="49">
        <f>(L8*500+M8*2*B3/(IF(AVERAGE($B$3, $B$12, $B$21, $B$30, $B$39, $B$48)=0, 1, AVERAGE($B$3, $B$12, $B$21, $B$30, $B$39, $B$48))))*5/4</f>
        <v>52.81700397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>
      <c r="A9" s="1"/>
      <c r="B9" s="52" t="s">
        <v>42</v>
      </c>
      <c r="C9" s="52">
        <v>46.0</v>
      </c>
      <c r="D9" s="59"/>
      <c r="E9" s="54">
        <v>92.0</v>
      </c>
      <c r="F9" s="54">
        <v>22.0</v>
      </c>
      <c r="G9" s="54">
        <v>104.0</v>
      </c>
      <c r="H9" s="60"/>
      <c r="I9" s="61">
        <f t="shared" si="1"/>
        <v>1</v>
      </c>
      <c r="J9" s="62">
        <v>0.0</v>
      </c>
      <c r="K9" s="63">
        <f t="shared" si="2"/>
        <v>3</v>
      </c>
      <c r="L9" s="63">
        <f t="shared" si="3"/>
        <v>1</v>
      </c>
      <c r="M9" s="63">
        <f t="shared" si="4"/>
        <v>66</v>
      </c>
      <c r="N9" s="64">
        <f>(L9*500+M9*2*B3/(IF(AVERAGE($B$3, $B$12, $B$21, $B$30, $B$39, $B$48)=0, 1, AVERAGE($B$3, $B$12, $B$21, $B$30, $B$39, $B$48))))*5/4</f>
        <v>790.9962982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1"/>
      <c r="B11" s="65" t="s">
        <v>76</v>
      </c>
      <c r="C11" s="6"/>
      <c r="D11" s="6"/>
      <c r="E11" s="6"/>
      <c r="F11" s="6"/>
      <c r="G11" s="6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1"/>
      <c r="B12" s="16">
        <f>sum(C13:H18)</f>
        <v>2876</v>
      </c>
      <c r="C12" s="18" t="str">
        <f t="array" ref="C12:H12">TRANSPOSE(B13:B18)</f>
        <v>Enloe</v>
      </c>
      <c r="D12" s="18" t="s">
        <v>55</v>
      </c>
      <c r="E12" s="18" t="s">
        <v>133</v>
      </c>
      <c r="F12" s="18" t="s">
        <v>111</v>
      </c>
      <c r="G12" s="18" t="s">
        <v>158</v>
      </c>
      <c r="H12" s="20" t="s">
        <v>170</v>
      </c>
      <c r="I12" s="21" t="s">
        <v>44</v>
      </c>
      <c r="J12" s="22" t="s">
        <v>45</v>
      </c>
      <c r="K12" s="22" t="s">
        <v>48</v>
      </c>
      <c r="L12" s="22" t="s">
        <v>49</v>
      </c>
      <c r="M12" s="22" t="s">
        <v>51</v>
      </c>
      <c r="N12" s="25" t="s">
        <v>16</v>
      </c>
      <c r="O12" s="1"/>
      <c r="P12" s="26"/>
      <c r="Q12" s="1"/>
      <c r="R12" s="1"/>
      <c r="S12" s="1"/>
      <c r="T12" s="1"/>
      <c r="U12" s="1"/>
      <c r="V12" s="1"/>
      <c r="W12" s="1"/>
      <c r="X12" s="1"/>
      <c r="Y12" s="1"/>
      <c r="Z12" s="1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1"/>
      <c r="B13" s="27" t="s">
        <v>102</v>
      </c>
      <c r="C13" s="28"/>
      <c r="D13" s="2">
        <v>60.0</v>
      </c>
      <c r="E13" s="2">
        <v>200.0</v>
      </c>
      <c r="F13" s="2">
        <v>64.0</v>
      </c>
      <c r="G13" s="2">
        <v>162.0</v>
      </c>
      <c r="H13" s="30">
        <v>158.0</v>
      </c>
      <c r="I13" s="34">
        <f t="shared" ref="I13:I18" si="5">COUNTIF(K77:P77, 1)</f>
        <v>3</v>
      </c>
      <c r="J13" s="39">
        <f t="shared" ref="J13:J18" si="6">COUNTIF(K77:P77, 0.5)</f>
        <v>0</v>
      </c>
      <c r="K13" s="39">
        <f t="shared" ref="K13:K18" si="7">COUNTIF(K77:P77, 0)</f>
        <v>2</v>
      </c>
      <c r="L13" s="39">
        <f t="shared" ref="L13:L18" si="8">I13+0.5*J13</f>
        <v>3</v>
      </c>
      <c r="M13" s="39">
        <f t="shared" ref="M13:M18" si="9">AVERAGE(C13:H13)</f>
        <v>128.8</v>
      </c>
      <c r="N13" s="49">
        <f>L13*500+M13*2*B12/(IF(AVERAGE($B$3, $B$12, $B$21, $B$30, $B$39, $B$48)=0, 1, AVERAGE($B$3, $B$12, $B$21, $B$30, $B$39, $B$48)))</f>
        <v>1769.754262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>
      <c r="A14" s="1"/>
      <c r="B14" s="27" t="s">
        <v>55</v>
      </c>
      <c r="C14" s="27">
        <v>146.0</v>
      </c>
      <c r="D14" s="51"/>
      <c r="E14" s="2">
        <v>172.0</v>
      </c>
      <c r="F14" s="2">
        <v>100.0</v>
      </c>
      <c r="G14" s="2">
        <v>176.0</v>
      </c>
      <c r="H14" s="30">
        <v>148.0</v>
      </c>
      <c r="I14" s="34">
        <f t="shared" si="5"/>
        <v>4</v>
      </c>
      <c r="J14" s="39">
        <f t="shared" si="6"/>
        <v>0</v>
      </c>
      <c r="K14" s="39">
        <f t="shared" si="7"/>
        <v>1</v>
      </c>
      <c r="L14" s="39">
        <f t="shared" si="8"/>
        <v>4</v>
      </c>
      <c r="M14" s="39">
        <f t="shared" si="9"/>
        <v>148.4</v>
      </c>
      <c r="N14" s="49">
        <f>L14*500+M14*2*B12/(IF(AVERAGE($B$3, $B$12, $B$21, $B$30, $B$39, $B$48)=0, 1, AVERAGE($B$3, $B$12, $B$21, $B$30, $B$39, $B$48)))</f>
        <v>2310.803823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>
      <c r="A15" s="1"/>
      <c r="B15" s="27" t="s">
        <v>133</v>
      </c>
      <c r="C15" s="27">
        <v>18.0</v>
      </c>
      <c r="D15" s="2">
        <v>54.0</v>
      </c>
      <c r="E15" s="51"/>
      <c r="F15" s="2">
        <v>8.0</v>
      </c>
      <c r="G15" s="2">
        <v>36.0</v>
      </c>
      <c r="H15" s="30">
        <v>48.0</v>
      </c>
      <c r="I15" s="34">
        <f t="shared" si="5"/>
        <v>1</v>
      </c>
      <c r="J15" s="39">
        <f t="shared" si="6"/>
        <v>0</v>
      </c>
      <c r="K15" s="39">
        <f t="shared" si="7"/>
        <v>4</v>
      </c>
      <c r="L15" s="39">
        <f t="shared" si="8"/>
        <v>1</v>
      </c>
      <c r="M15" s="39">
        <f t="shared" si="9"/>
        <v>32.8</v>
      </c>
      <c r="N15" s="49">
        <f>L15*500+M15*2*B12/(IF(AVERAGE($B$3, $B$12, $B$21, $B$30, $B$39, $B$48)=0, 1, AVERAGE($B$3, $B$12, $B$21, $B$30, $B$39, $B$48)))</f>
        <v>568.6951846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>
      <c r="A16" s="1"/>
      <c r="B16" s="27" t="s">
        <v>111</v>
      </c>
      <c r="C16" s="27">
        <v>118.0</v>
      </c>
      <c r="D16" s="2">
        <v>124.0</v>
      </c>
      <c r="E16" s="2">
        <v>194.0</v>
      </c>
      <c r="F16" s="51"/>
      <c r="G16" s="2">
        <v>192.0</v>
      </c>
      <c r="H16" s="30">
        <v>200.0</v>
      </c>
      <c r="I16" s="34">
        <f t="shared" si="5"/>
        <v>5</v>
      </c>
      <c r="J16" s="39">
        <f t="shared" si="6"/>
        <v>0</v>
      </c>
      <c r="K16" s="39">
        <f t="shared" si="7"/>
        <v>0</v>
      </c>
      <c r="L16" s="39">
        <f t="shared" si="8"/>
        <v>5</v>
      </c>
      <c r="M16" s="39">
        <f t="shared" si="9"/>
        <v>165.6</v>
      </c>
      <c r="N16" s="49">
        <f>L16*500+M16*2*B12/(IF(AVERAGE($B$3, $B$12, $B$21, $B$30, $B$39, $B$48)=0, 1, AVERAGE($B$3, $B$12, $B$21, $B$30, $B$39, $B$48)))</f>
        <v>2846.826908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>
      <c r="A17" s="1"/>
      <c r="B17" s="27" t="s">
        <v>158</v>
      </c>
      <c r="C17" s="27">
        <v>42.0</v>
      </c>
      <c r="D17" s="2">
        <v>62.0</v>
      </c>
      <c r="E17" s="2">
        <v>140.0</v>
      </c>
      <c r="F17" s="2">
        <v>48.0</v>
      </c>
      <c r="G17" s="51"/>
      <c r="H17" s="30">
        <v>82.0</v>
      </c>
      <c r="I17" s="34">
        <f t="shared" si="5"/>
        <v>2</v>
      </c>
      <c r="J17" s="39">
        <f t="shared" si="6"/>
        <v>0</v>
      </c>
      <c r="K17" s="39">
        <f t="shared" si="7"/>
        <v>3</v>
      </c>
      <c r="L17" s="39">
        <f t="shared" si="8"/>
        <v>2</v>
      </c>
      <c r="M17" s="39">
        <f t="shared" si="9"/>
        <v>74.8</v>
      </c>
      <c r="N17" s="49">
        <f>L17*500+M17*2*B12/(IF(AVERAGE($B$3, $B$12, $B$21, $B$30, $B$39, $B$48)=0, 1, AVERAGE($B$3, $B$12, $B$21, $B$30, $B$39, $B$48)))</f>
        <v>1156.658531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>
      <c r="A18" s="1"/>
      <c r="B18" s="52" t="s">
        <v>170</v>
      </c>
      <c r="C18" s="52">
        <v>8.0</v>
      </c>
      <c r="D18" s="54">
        <v>40.0</v>
      </c>
      <c r="E18" s="54">
        <v>18.0</v>
      </c>
      <c r="F18" s="54">
        <v>18.0</v>
      </c>
      <c r="G18" s="54">
        <v>40.0</v>
      </c>
      <c r="H18" s="60"/>
      <c r="I18" s="61">
        <f t="shared" si="5"/>
        <v>0</v>
      </c>
      <c r="J18" s="63">
        <f t="shared" si="6"/>
        <v>0</v>
      </c>
      <c r="K18" s="63">
        <f t="shared" si="7"/>
        <v>5</v>
      </c>
      <c r="L18" s="63">
        <f t="shared" si="8"/>
        <v>0</v>
      </c>
      <c r="M18" s="63">
        <f t="shared" si="9"/>
        <v>24.8</v>
      </c>
      <c r="N18" s="64">
        <f>L18*500+M18*2*B12/(IF(AVERAGE($B$3, $B$12, $B$21, $B$30, $B$39, $B$48)=0, 1, AVERAGE($B$3, $B$12, $B$21, $B$30, $B$39, $B$48)))</f>
        <v>51.94026155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>
      <c r="A20" s="1"/>
      <c r="B20" s="70" t="s">
        <v>78</v>
      </c>
      <c r="C20" s="6"/>
      <c r="D20" s="6"/>
      <c r="E20" s="6"/>
      <c r="F20" s="6"/>
      <c r="G20" s="6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1"/>
      <c r="B21" s="16">
        <f>sum(C22:H27)*3/2</f>
        <v>2859</v>
      </c>
      <c r="C21" s="18" t="str">
        <f t="array" ref="C21:H21">TRANSPOSE(B22:B27)</f>
        <v>Evergreen</v>
      </c>
      <c r="D21" s="18" t="s">
        <v>191</v>
      </c>
      <c r="E21" s="18" t="s">
        <v>134</v>
      </c>
      <c r="F21" s="18" t="s">
        <v>147</v>
      </c>
      <c r="G21" s="18" t="s">
        <v>159</v>
      </c>
      <c r="H21" s="20" t="s">
        <v>32</v>
      </c>
      <c r="I21" s="21" t="s">
        <v>44</v>
      </c>
      <c r="J21" s="22" t="s">
        <v>45</v>
      </c>
      <c r="K21" s="22" t="s">
        <v>48</v>
      </c>
      <c r="L21" s="22" t="s">
        <v>49</v>
      </c>
      <c r="M21" s="22" t="s">
        <v>51</v>
      </c>
      <c r="N21" s="25" t="s">
        <v>52</v>
      </c>
      <c r="O21" s="1"/>
      <c r="P21" s="26"/>
      <c r="Q21" s="1"/>
      <c r="R21" s="1"/>
      <c r="S21" s="1"/>
      <c r="T21" s="1"/>
      <c r="U21" s="1"/>
      <c r="V21" s="1"/>
      <c r="W21" s="1"/>
      <c r="X21" s="1"/>
      <c r="Y21" s="1"/>
      <c r="Z21" s="1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1"/>
      <c r="B22" s="27" t="s">
        <v>108</v>
      </c>
      <c r="C22" s="28"/>
      <c r="D22" s="2">
        <v>62.0</v>
      </c>
      <c r="E22" s="2">
        <v>54.0</v>
      </c>
      <c r="F22" s="2">
        <v>88.0</v>
      </c>
      <c r="G22" s="2">
        <v>88.0</v>
      </c>
      <c r="H22" s="53">
        <v>0.0</v>
      </c>
      <c r="I22" s="34">
        <f t="shared" ref="I22:I27" si="10">COUNTIF(K86:P86, 1)</f>
        <v>1</v>
      </c>
      <c r="J22" s="39">
        <f t="shared" ref="J22:J27" si="11">COUNTIF(K86:P86, 0.5)</f>
        <v>0</v>
      </c>
      <c r="K22" s="39">
        <f t="shared" ref="K22:K27" si="12">COUNTIF(K86:P86, 0)</f>
        <v>3</v>
      </c>
      <c r="L22" s="39">
        <f t="shared" ref="L22:L27" si="13">I22+0.5*J22</f>
        <v>1</v>
      </c>
      <c r="M22" s="39">
        <f t="shared" ref="M22:M26" si="14">AVERAGE(C22:H22)</f>
        <v>58.4</v>
      </c>
      <c r="N22" s="49">
        <f>(L22*500+M22*2*B21/(IF(AVERAGE($B$3, $B$12, $B$21, $B$30, $B$39, $B$48)=0, 1, AVERAGE($B$3, $B$12, $B$21, $B$30, $B$39, $B$48))))*5/4</f>
        <v>776.9849501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1"/>
      <c r="B23" s="27" t="s">
        <v>191</v>
      </c>
      <c r="C23" s="27">
        <v>76.0</v>
      </c>
      <c r="D23" s="51"/>
      <c r="E23" s="2">
        <v>30.0</v>
      </c>
      <c r="F23" s="2">
        <v>80.0</v>
      </c>
      <c r="G23" s="2">
        <v>120.0</v>
      </c>
      <c r="H23" s="53">
        <v>0.0</v>
      </c>
      <c r="I23" s="34">
        <f t="shared" si="10"/>
        <v>3</v>
      </c>
      <c r="J23" s="39">
        <f t="shared" si="11"/>
        <v>0</v>
      </c>
      <c r="K23" s="39">
        <f t="shared" si="12"/>
        <v>1</v>
      </c>
      <c r="L23" s="39">
        <f t="shared" si="13"/>
        <v>3</v>
      </c>
      <c r="M23" s="39">
        <f t="shared" si="14"/>
        <v>61.2</v>
      </c>
      <c r="N23" s="49">
        <f>(L23*500+M23*2*B21/(IF(AVERAGE($B$3, $B$12, $B$21, $B$30, $B$39, $B$48)=0, 1, AVERAGE($B$3, $B$12, $B$21, $B$30, $B$39, $B$48))))*5/4</f>
        <v>2034.2719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>
      <c r="A24" s="1"/>
      <c r="B24" s="27" t="s">
        <v>134</v>
      </c>
      <c r="C24" s="27">
        <v>178.0</v>
      </c>
      <c r="D24" s="2">
        <v>236.0</v>
      </c>
      <c r="E24" s="51"/>
      <c r="F24" s="2">
        <v>264.0</v>
      </c>
      <c r="G24" s="2">
        <v>238.0</v>
      </c>
      <c r="H24" s="53">
        <v>0.0</v>
      </c>
      <c r="I24" s="34">
        <f t="shared" si="10"/>
        <v>4</v>
      </c>
      <c r="J24" s="39">
        <f t="shared" si="11"/>
        <v>0</v>
      </c>
      <c r="K24" s="39">
        <f t="shared" si="12"/>
        <v>0</v>
      </c>
      <c r="L24" s="39">
        <f t="shared" si="13"/>
        <v>4</v>
      </c>
      <c r="M24" s="39">
        <f t="shared" si="14"/>
        <v>183.2</v>
      </c>
      <c r="N24" s="49">
        <f>(L24*500+M24*2*B21/(IF(AVERAGE($B$3, $B$12, $B$21, $B$30, $B$39, $B$48)=0, 1, AVERAGE($B$3, $B$12, $B$21, $B$30, $B$39, $B$48))))*5/4</f>
        <v>2976.774706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>
      <c r="A25" s="1"/>
      <c r="B25" s="27" t="s">
        <v>147</v>
      </c>
      <c r="C25" s="27">
        <v>96.0</v>
      </c>
      <c r="D25" s="2">
        <v>30.0</v>
      </c>
      <c r="E25" s="2">
        <v>6.0</v>
      </c>
      <c r="F25" s="51"/>
      <c r="G25" s="2">
        <v>86.0</v>
      </c>
      <c r="H25" s="53">
        <v>0.0</v>
      </c>
      <c r="I25" s="34">
        <f t="shared" si="10"/>
        <v>2</v>
      </c>
      <c r="J25" s="39">
        <f t="shared" si="11"/>
        <v>0</v>
      </c>
      <c r="K25" s="39">
        <f t="shared" si="12"/>
        <v>2</v>
      </c>
      <c r="L25" s="39">
        <f t="shared" si="13"/>
        <v>2</v>
      </c>
      <c r="M25" s="39">
        <f t="shared" si="14"/>
        <v>43.6</v>
      </c>
      <c r="N25" s="49">
        <f>(L25*500+M25*2*B21/(IF(AVERAGE($B$3, $B$12, $B$21, $B$30, $B$39, $B$48)=0, 1, AVERAGE($B$3, $B$12, $B$21, $B$30, $B$39, $B$48))))*5/4</f>
        <v>1363.468216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>
      <c r="A26" s="1"/>
      <c r="B26" s="27" t="s">
        <v>159</v>
      </c>
      <c r="C26" s="27">
        <v>32.0</v>
      </c>
      <c r="D26" s="2">
        <v>26.0</v>
      </c>
      <c r="E26" s="2">
        <v>32.0</v>
      </c>
      <c r="F26" s="2">
        <v>84.0</v>
      </c>
      <c r="G26" s="51"/>
      <c r="H26" s="53">
        <v>0.0</v>
      </c>
      <c r="I26" s="34">
        <f t="shared" si="10"/>
        <v>0</v>
      </c>
      <c r="J26" s="39">
        <f t="shared" si="11"/>
        <v>0</v>
      </c>
      <c r="K26" s="39">
        <f t="shared" si="12"/>
        <v>4</v>
      </c>
      <c r="L26" s="39">
        <f t="shared" si="13"/>
        <v>0</v>
      </c>
      <c r="M26" s="39">
        <f t="shared" si="14"/>
        <v>34.8</v>
      </c>
      <c r="N26" s="49">
        <f>(L26*500+M26*2*B21/(IF(AVERAGE($B$3, $B$12, $B$21, $B$30, $B$39, $B$48)=0, 1, AVERAGE($B$3, $B$12, $B$21, $B$30, $B$39, $B$48))))*5/4</f>
        <v>90.56637437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>
      <c r="A27" s="1"/>
      <c r="B27" s="52" t="s">
        <v>32</v>
      </c>
      <c r="C27" s="79">
        <v>0.0</v>
      </c>
      <c r="D27" s="59">
        <v>0.0</v>
      </c>
      <c r="E27" s="59">
        <v>0.0</v>
      </c>
      <c r="F27" s="59">
        <v>0.0</v>
      </c>
      <c r="G27" s="59">
        <v>0.0</v>
      </c>
      <c r="H27" s="60"/>
      <c r="I27" s="80">
        <f t="shared" si="10"/>
        <v>0</v>
      </c>
      <c r="J27" s="81">
        <f t="shared" si="11"/>
        <v>0</v>
      </c>
      <c r="K27" s="81">
        <f t="shared" si="12"/>
        <v>0</v>
      </c>
      <c r="L27" s="81">
        <f t="shared" si="13"/>
        <v>0</v>
      </c>
      <c r="M27" s="81"/>
      <c r="N27" s="82">
        <f>L27*500+M27*2*B21/(IF(AVERAGE($B$3, $B$12, $B$21, $B$30, $B$39, $B$48)=0, 1, AVERAGE($B$3, $B$12, $B$21, $B$30, $B$39, $B$48)))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1"/>
      <c r="B29" s="83" t="s">
        <v>80</v>
      </c>
      <c r="C29" s="6"/>
      <c r="D29" s="6"/>
      <c r="E29" s="6"/>
      <c r="F29" s="6"/>
      <c r="G29" s="6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>
      <c r="A30" s="1"/>
      <c r="B30" s="16">
        <f>sum(C31:H36)*3/2</f>
        <v>2814</v>
      </c>
      <c r="C30" s="18" t="str">
        <f t="array" ref="C30:H30">TRANSPOSE(B31:B36)</f>
        <v>Commonwealth School</v>
      </c>
      <c r="D30" s="18" t="s">
        <v>123</v>
      </c>
      <c r="E30" s="18" t="s">
        <v>135</v>
      </c>
      <c r="F30" s="18" t="s">
        <v>148</v>
      </c>
      <c r="G30" s="18" t="s">
        <v>97</v>
      </c>
      <c r="H30" s="20" t="s">
        <v>32</v>
      </c>
      <c r="I30" s="21" t="s">
        <v>44</v>
      </c>
      <c r="J30" s="22" t="s">
        <v>45</v>
      </c>
      <c r="K30" s="22" t="s">
        <v>48</v>
      </c>
      <c r="L30" s="22" t="s">
        <v>49</v>
      </c>
      <c r="M30" s="22" t="s">
        <v>51</v>
      </c>
      <c r="N30" s="25" t="s">
        <v>52</v>
      </c>
      <c r="O30" s="1"/>
      <c r="P30" s="26"/>
      <c r="Q30" s="1"/>
      <c r="R30" s="1"/>
      <c r="S30" s="1"/>
      <c r="T30" s="1"/>
      <c r="U30" s="1"/>
      <c r="V30" s="1"/>
      <c r="W30" s="1"/>
      <c r="X30" s="1"/>
      <c r="Y30" s="1"/>
      <c r="Z30" s="1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>
      <c r="A31" s="1"/>
      <c r="B31" s="27" t="s">
        <v>110</v>
      </c>
      <c r="C31" s="28"/>
      <c r="D31" s="2">
        <v>44.0</v>
      </c>
      <c r="E31" s="2">
        <v>40.0</v>
      </c>
      <c r="F31" s="2">
        <v>12.0</v>
      </c>
      <c r="G31" s="2">
        <v>38.0</v>
      </c>
      <c r="H31" s="53"/>
      <c r="I31" s="34">
        <f t="shared" ref="I31:I35" si="15">COUNTIF(K95:P95, 1)</f>
        <v>0</v>
      </c>
      <c r="J31" s="39">
        <f t="shared" ref="J31:J35" si="16">COUNTIF(K95:P95, 0.5)</f>
        <v>0</v>
      </c>
      <c r="K31" s="39">
        <f t="shared" ref="K31:K35" si="17">COUNTIF(K95:P95, 0)</f>
        <v>4</v>
      </c>
      <c r="L31" s="39">
        <f t="shared" ref="L31:L35" si="18">I31+0.5*J31</f>
        <v>0</v>
      </c>
      <c r="M31" s="39">
        <f t="shared" ref="M31:M35" si="19">AVERAGE(C31:H31)</f>
        <v>33.5</v>
      </c>
      <c r="N31" s="49">
        <f>(L31*500+M31*2*B30/(IF(AVERAGE($B$3, $B$12, $B$21, $B$30, $B$39, $B$48)=0, 1, AVERAGE($B$3, $B$12, $B$21, $B$30, $B$39, $B$48))))*5/4</f>
        <v>85.81090512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>
      <c r="A32" s="1"/>
      <c r="B32" s="27" t="s">
        <v>123</v>
      </c>
      <c r="C32" s="27">
        <v>112.0</v>
      </c>
      <c r="D32" s="51"/>
      <c r="E32" s="2">
        <v>48.0</v>
      </c>
      <c r="F32" s="2">
        <v>68.0</v>
      </c>
      <c r="G32" s="2">
        <v>36.0</v>
      </c>
      <c r="H32" s="53"/>
      <c r="I32" s="34">
        <f t="shared" si="15"/>
        <v>1</v>
      </c>
      <c r="J32" s="39">
        <f t="shared" si="16"/>
        <v>0</v>
      </c>
      <c r="K32" s="39">
        <f t="shared" si="17"/>
        <v>3</v>
      </c>
      <c r="L32" s="39">
        <f t="shared" si="18"/>
        <v>1</v>
      </c>
      <c r="M32" s="39">
        <f t="shared" si="19"/>
        <v>66</v>
      </c>
      <c r="N32" s="49">
        <f>(L32*500+M32*2*B30/(IF(AVERAGE($B$3, $B$12, $B$21, $B$30, $B$39, $B$48)=0, 1, AVERAGE($B$3, $B$12, $B$21, $B$30, $B$39, $B$48))))*5/4</f>
        <v>794.0602907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>
      <c r="A33" s="1"/>
      <c r="B33" s="27" t="s">
        <v>135</v>
      </c>
      <c r="C33" s="27">
        <v>132.0</v>
      </c>
      <c r="D33" s="2">
        <v>184.0</v>
      </c>
      <c r="E33" s="51"/>
      <c r="F33" s="2">
        <v>86.0</v>
      </c>
      <c r="G33" s="2">
        <v>90.0</v>
      </c>
      <c r="H33" s="53"/>
      <c r="I33" s="34">
        <f t="shared" si="15"/>
        <v>2</v>
      </c>
      <c r="J33" s="39">
        <f t="shared" si="16"/>
        <v>0</v>
      </c>
      <c r="K33" s="39">
        <f t="shared" si="17"/>
        <v>2</v>
      </c>
      <c r="L33" s="39">
        <f t="shared" si="18"/>
        <v>2</v>
      </c>
      <c r="M33" s="39">
        <f t="shared" si="19"/>
        <v>123</v>
      </c>
      <c r="N33" s="49">
        <f>(L33*500+M33*2*B30/(IF(AVERAGE($B$3, $B$12, $B$21, $B$30, $B$39, $B$48)=0, 1, AVERAGE($B$3, $B$12, $B$21, $B$30, $B$39, $B$48))))*5/4</f>
        <v>1565.066905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>
      <c r="A34" s="1"/>
      <c r="B34" s="27" t="s">
        <v>148</v>
      </c>
      <c r="C34" s="27">
        <v>148.0</v>
      </c>
      <c r="D34" s="2">
        <v>98.0</v>
      </c>
      <c r="E34" s="2">
        <v>110.0</v>
      </c>
      <c r="F34" s="51"/>
      <c r="G34" s="2">
        <v>62.0</v>
      </c>
      <c r="H34" s="53"/>
      <c r="I34" s="34">
        <f t="shared" si="15"/>
        <v>3</v>
      </c>
      <c r="J34" s="39">
        <f t="shared" si="16"/>
        <v>0</v>
      </c>
      <c r="K34" s="39">
        <f t="shared" si="17"/>
        <v>1</v>
      </c>
      <c r="L34" s="39">
        <f t="shared" si="18"/>
        <v>3</v>
      </c>
      <c r="M34" s="39">
        <f t="shared" si="19"/>
        <v>104.5</v>
      </c>
      <c r="N34" s="49">
        <f>(L34*500+M34*2*B30/(IF(AVERAGE($B$3, $B$12, $B$21, $B$30, $B$39, $B$48)=0, 1, AVERAGE($B$3, $B$12, $B$21, $B$30, $B$39, $B$48))))*5/4</f>
        <v>2142.678794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>
      <c r="A35" s="1"/>
      <c r="B35" s="27" t="s">
        <v>97</v>
      </c>
      <c r="C35" s="27">
        <v>150.0</v>
      </c>
      <c r="D35" s="2">
        <v>168.0</v>
      </c>
      <c r="E35" s="2">
        <v>116.0</v>
      </c>
      <c r="F35" s="2">
        <v>134.0</v>
      </c>
      <c r="G35" s="51"/>
      <c r="H35" s="53"/>
      <c r="I35" s="34">
        <f t="shared" si="15"/>
        <v>4</v>
      </c>
      <c r="J35" s="39">
        <f t="shared" si="16"/>
        <v>0</v>
      </c>
      <c r="K35" s="39">
        <f t="shared" si="17"/>
        <v>0</v>
      </c>
      <c r="L35" s="39">
        <f t="shared" si="18"/>
        <v>4</v>
      </c>
      <c r="M35" s="39">
        <f t="shared" si="19"/>
        <v>142</v>
      </c>
      <c r="N35" s="49">
        <f>(L35*500+M35*2*B30/(IF(AVERAGE($B$3, $B$12, $B$21, $B$30, $B$39, $B$48)=0, 1, AVERAGE($B$3, $B$12, $B$21, $B$30, $B$39, $B$48))))*5/4</f>
        <v>2863.735777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>
      <c r="A36" s="1"/>
      <c r="B36" s="52" t="s">
        <v>32</v>
      </c>
      <c r="C36" s="79"/>
      <c r="D36" s="59"/>
      <c r="E36" s="59"/>
      <c r="F36" s="59"/>
      <c r="G36" s="59"/>
      <c r="H36" s="60"/>
      <c r="I36" s="80"/>
      <c r="J36" s="81"/>
      <c r="K36" s="81"/>
      <c r="L36" s="81"/>
      <c r="M36" s="81"/>
      <c r="N36" s="8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>
      <c r="A38" s="1"/>
      <c r="B38" s="84" t="s">
        <v>85</v>
      </c>
      <c r="C38" s="6"/>
      <c r="D38" s="6"/>
      <c r="E38" s="6"/>
      <c r="F38" s="6"/>
      <c r="G38" s="6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>
      <c r="A39" s="1"/>
      <c r="B39" s="16">
        <f>sum(C40:H45)</f>
        <v>2716.5</v>
      </c>
      <c r="C39" s="18" t="str">
        <f t="array" ref="C39:H39">TRANSPOSE(B40:B45)</f>
        <v>Mission San Jose B</v>
      </c>
      <c r="D39" s="18" t="s">
        <v>124</v>
      </c>
      <c r="E39" s="18" t="s">
        <v>136</v>
      </c>
      <c r="F39" s="18" t="s">
        <v>149</v>
      </c>
      <c r="G39" s="18" t="s">
        <v>161</v>
      </c>
      <c r="H39" s="20" t="s">
        <v>69</v>
      </c>
      <c r="I39" s="21" t="s">
        <v>44</v>
      </c>
      <c r="J39" s="22" t="s">
        <v>45</v>
      </c>
      <c r="K39" s="22" t="s">
        <v>48</v>
      </c>
      <c r="L39" s="22" t="s">
        <v>49</v>
      </c>
      <c r="M39" s="22" t="s">
        <v>51</v>
      </c>
      <c r="N39" s="25" t="s">
        <v>16</v>
      </c>
      <c r="O39" s="1"/>
      <c r="P39" s="26"/>
      <c r="Q39" s="1"/>
      <c r="R39" s="1"/>
      <c r="S39" s="1"/>
      <c r="T39" s="1"/>
      <c r="U39" s="1"/>
      <c r="V39" s="1"/>
      <c r="W39" s="1"/>
      <c r="X39" s="1"/>
      <c r="Y39" s="1"/>
      <c r="Z39" s="1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>
      <c r="A40" s="1"/>
      <c r="B40" s="27" t="s">
        <v>207</v>
      </c>
      <c r="C40" s="28"/>
      <c r="D40" s="85">
        <v>54.0</v>
      </c>
      <c r="E40" s="2">
        <v>84.0</v>
      </c>
      <c r="F40" s="2">
        <v>60.0</v>
      </c>
      <c r="G40" s="2">
        <v>74.0</v>
      </c>
      <c r="H40" s="30">
        <v>-2.0</v>
      </c>
      <c r="I40" s="34">
        <v>3.0</v>
      </c>
      <c r="J40" s="39">
        <v>0.0</v>
      </c>
      <c r="K40" s="39">
        <v>2.0</v>
      </c>
      <c r="L40" s="39">
        <f t="shared" ref="L40:L45" si="20">I40+0.5*J40</f>
        <v>3</v>
      </c>
      <c r="M40" s="39">
        <f t="shared" ref="M40:M45" si="21">AVERAGE(C40:H40)</f>
        <v>54</v>
      </c>
      <c r="N40" s="49">
        <f>L40*500+M40*2*B39/(IF(AVERAGE($B$3, $B$12, $B$21, $B$30, $B$39, $B$48)=0, 1, AVERAGE($B$3, $B$12, $B$21, $B$30, $B$39, $B$48)))</f>
        <v>1606.823558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>
      <c r="A41" s="1"/>
      <c r="B41" s="27" t="s">
        <v>124</v>
      </c>
      <c r="C41" s="86">
        <v>130.5</v>
      </c>
      <c r="D41" s="51"/>
      <c r="E41" s="2">
        <v>152.0</v>
      </c>
      <c r="F41" s="2">
        <v>118.0</v>
      </c>
      <c r="G41" s="2">
        <v>168.0</v>
      </c>
      <c r="H41" s="30">
        <v>84.0</v>
      </c>
      <c r="I41" s="34">
        <v>3.0</v>
      </c>
      <c r="J41" s="39">
        <v>0.0</v>
      </c>
      <c r="K41" s="39">
        <v>2.0</v>
      </c>
      <c r="L41" s="39">
        <f t="shared" si="20"/>
        <v>3</v>
      </c>
      <c r="M41" s="39">
        <f t="shared" si="21"/>
        <v>130.5</v>
      </c>
      <c r="N41" s="49">
        <f>L41*500+M41*2*B39/(IF(AVERAGE($B$3, $B$12, $B$21, $B$30, $B$39, $B$48)=0, 1, AVERAGE($B$3, $B$12, $B$21, $B$30, $B$39, $B$48)))</f>
        <v>1758.156932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>
      <c r="A42" s="1"/>
      <c r="B42" s="27" t="s">
        <v>136</v>
      </c>
      <c r="C42" s="27">
        <v>76.0</v>
      </c>
      <c r="D42" s="2">
        <v>60.0</v>
      </c>
      <c r="E42" s="51"/>
      <c r="F42" s="2">
        <v>64.0</v>
      </c>
      <c r="G42" s="2">
        <v>28.0</v>
      </c>
      <c r="H42" s="30">
        <v>100.0</v>
      </c>
      <c r="I42" s="34">
        <v>1.0</v>
      </c>
      <c r="J42" s="39">
        <v>0.0</v>
      </c>
      <c r="K42" s="39">
        <v>4.0</v>
      </c>
      <c r="L42" s="39">
        <f t="shared" si="20"/>
        <v>1</v>
      </c>
      <c r="M42" s="39">
        <f t="shared" si="21"/>
        <v>65.6</v>
      </c>
      <c r="N42" s="49">
        <f>L42*500+M42*2*B39/(IF(AVERAGE($B$3, $B$12, $B$21, $B$30, $B$39, $B$48)=0, 1, AVERAGE($B$3, $B$12, $B$21, $B$30, $B$39, $B$48)))</f>
        <v>629.7708408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>
      <c r="A43" s="1"/>
      <c r="B43" s="27" t="s">
        <v>149</v>
      </c>
      <c r="C43" s="27">
        <v>118.0</v>
      </c>
      <c r="D43" s="2">
        <v>54.0</v>
      </c>
      <c r="E43" s="2">
        <v>114.0</v>
      </c>
      <c r="F43" s="51"/>
      <c r="G43" s="2">
        <v>148.0</v>
      </c>
      <c r="H43" s="30">
        <v>52.0</v>
      </c>
      <c r="I43" s="34">
        <v>3.0</v>
      </c>
      <c r="J43" s="39">
        <v>0.0</v>
      </c>
      <c r="K43" s="39">
        <v>2.0</v>
      </c>
      <c r="L43" s="39">
        <f t="shared" si="20"/>
        <v>3</v>
      </c>
      <c r="M43" s="39">
        <f t="shared" si="21"/>
        <v>97.2</v>
      </c>
      <c r="N43" s="49">
        <f>L43*500+M43*2*B39/(IF(AVERAGE($B$3, $B$12, $B$21, $B$30, $B$39, $B$48)=0, 1, AVERAGE($B$3, $B$12, $B$21, $B$30, $B$39, $B$48)))</f>
        <v>1692.282404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>
      <c r="A44" s="1"/>
      <c r="B44" s="27" t="s">
        <v>161</v>
      </c>
      <c r="C44" s="27">
        <v>66.0</v>
      </c>
      <c r="D44" s="2">
        <v>98.0</v>
      </c>
      <c r="E44" s="2">
        <v>146.0</v>
      </c>
      <c r="F44" s="2">
        <v>60.0</v>
      </c>
      <c r="G44" s="51"/>
      <c r="H44" s="30">
        <v>110.0</v>
      </c>
      <c r="I44" s="34">
        <v>2.0</v>
      </c>
      <c r="J44" s="39">
        <v>0.0</v>
      </c>
      <c r="K44" s="39">
        <v>3.0</v>
      </c>
      <c r="L44" s="39">
        <f t="shared" si="20"/>
        <v>2</v>
      </c>
      <c r="M44" s="39">
        <f t="shared" si="21"/>
        <v>96</v>
      </c>
      <c r="N44" s="49">
        <f>L44*500+M44*2*B39/(IF(AVERAGE($B$3, $B$12, $B$21, $B$30, $B$39, $B$48)=0, 1, AVERAGE($B$3, $B$12, $B$21, $B$30, $B$39, $B$48)))</f>
        <v>1189.908548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>
      <c r="A45" s="1"/>
      <c r="B45" s="52" t="s">
        <v>69</v>
      </c>
      <c r="C45" s="52">
        <v>128.0</v>
      </c>
      <c r="D45" s="54">
        <v>134.0</v>
      </c>
      <c r="E45" s="54">
        <v>38.0</v>
      </c>
      <c r="F45" s="54">
        <v>100.0</v>
      </c>
      <c r="G45" s="54">
        <v>100.0</v>
      </c>
      <c r="H45" s="60"/>
      <c r="I45" s="61">
        <v>3.0</v>
      </c>
      <c r="J45" s="63">
        <v>0.0</v>
      </c>
      <c r="K45" s="63">
        <v>2.0</v>
      </c>
      <c r="L45" s="63">
        <f t="shared" si="20"/>
        <v>3</v>
      </c>
      <c r="M45" s="63">
        <f t="shared" si="21"/>
        <v>100</v>
      </c>
      <c r="N45" s="64">
        <f>L45*500+M45*2*B39/(IF(AVERAGE($B$3, $B$12, $B$21, $B$30, $B$39, $B$48)=0, 1, AVERAGE($B$3, $B$12, $B$21, $B$30, $B$39, $B$48)))</f>
        <v>1697.821404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>
      <c r="A47" s="1"/>
      <c r="B47" s="87" t="s">
        <v>89</v>
      </c>
      <c r="C47" s="6"/>
      <c r="D47" s="6"/>
      <c r="E47" s="6"/>
      <c r="F47" s="6"/>
      <c r="G47" s="6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>
      <c r="A48" s="1"/>
      <c r="B48" s="16">
        <f>sum(C49:H54)*3/2</f>
        <v>2450</v>
      </c>
      <c r="C48" s="18" t="str">
        <f t="array" ref="C48:H48">TRANSPOSE(B49:B54)</f>
        <v>Lakeside</v>
      </c>
      <c r="D48" s="18" t="s">
        <v>61</v>
      </c>
      <c r="E48" s="18" t="s">
        <v>137</v>
      </c>
      <c r="F48" s="18" t="s">
        <v>96</v>
      </c>
      <c r="G48" s="18" t="s">
        <v>163</v>
      </c>
      <c r="H48" s="20" t="s">
        <v>32</v>
      </c>
      <c r="I48" s="21" t="s">
        <v>44</v>
      </c>
      <c r="J48" s="22" t="s">
        <v>45</v>
      </c>
      <c r="K48" s="22" t="s">
        <v>48</v>
      </c>
      <c r="L48" s="22" t="s">
        <v>49</v>
      </c>
      <c r="M48" s="22" t="s">
        <v>51</v>
      </c>
      <c r="N48" s="25" t="s">
        <v>52</v>
      </c>
      <c r="O48" s="1"/>
      <c r="P48" s="26"/>
      <c r="Q48" s="1"/>
      <c r="R48" s="1"/>
      <c r="S48" s="1"/>
      <c r="T48" s="1"/>
      <c r="U48" s="1"/>
      <c r="V48" s="1"/>
      <c r="W48" s="1"/>
      <c r="X48" s="1"/>
      <c r="Y48" s="1"/>
      <c r="Z48" s="1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>
      <c r="A49" s="1"/>
      <c r="B49" s="27" t="s">
        <v>113</v>
      </c>
      <c r="C49" s="28"/>
      <c r="D49" s="88">
        <v>154.66666666666666</v>
      </c>
      <c r="E49" s="2">
        <v>166.0</v>
      </c>
      <c r="F49" s="2">
        <v>166.0</v>
      </c>
      <c r="G49" s="2">
        <v>132.0</v>
      </c>
      <c r="H49" s="53"/>
      <c r="I49" s="34">
        <f t="shared" ref="I49:I53" si="22">COUNTIF(K113:P113, 1)</f>
        <v>4</v>
      </c>
      <c r="J49" s="39">
        <f t="shared" ref="J49:J53" si="23">COUNTIF(K113:P113, 0.5)</f>
        <v>0</v>
      </c>
      <c r="K49" s="39">
        <f t="shared" ref="K49:K53" si="24">COUNTIF(K113:P113, 0)</f>
        <v>0</v>
      </c>
      <c r="L49" s="39">
        <f t="shared" ref="L49:L53" si="25">(I49+0.5*J49)</f>
        <v>4</v>
      </c>
      <c r="M49" s="39">
        <f>AVERAGE(C49:H49)</f>
        <v>154.6666667</v>
      </c>
      <c r="N49" s="49">
        <f>(L49*500+M49*2*B48/(IF(AVERAGE($B$3, $B$12, $B$21, $B$30, $B$39, $B$48)=0, 1, AVERAGE($B$3, $B$12, $B$21, $B$30, $B$39, $B$48))))*5/4</f>
        <v>2844.934308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>
      <c r="A50" s="1"/>
      <c r="B50" s="27" t="s">
        <v>61</v>
      </c>
      <c r="C50" s="89">
        <v>34.666666666666664</v>
      </c>
      <c r="D50" s="51"/>
      <c r="E50" s="2">
        <v>32.0</v>
      </c>
      <c r="F50" s="2">
        <v>20.0</v>
      </c>
      <c r="G50" s="2">
        <v>52.0</v>
      </c>
      <c r="H50" s="53"/>
      <c r="I50" s="34">
        <f t="shared" si="22"/>
        <v>1</v>
      </c>
      <c r="J50" s="39">
        <f t="shared" si="23"/>
        <v>0</v>
      </c>
      <c r="K50" s="39">
        <f t="shared" si="24"/>
        <v>3</v>
      </c>
      <c r="L50" s="39">
        <f t="shared" si="25"/>
        <v>1</v>
      </c>
      <c r="M50" s="39">
        <v>34.666666666666664</v>
      </c>
      <c r="N50" s="49">
        <f>(L50*500+M50*2*B48/(IF(AVERAGE($B$3, $B$12, $B$21, $B$30, $B$39, $B$48)=0, 1, AVERAGE($B$3, $B$12, $B$21, $B$30, $B$39, $B$48))))*5/4</f>
        <v>702.3128622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>
      <c r="A51" s="1"/>
      <c r="B51" s="27" t="s">
        <v>137</v>
      </c>
      <c r="C51" s="27">
        <v>60.0</v>
      </c>
      <c r="D51" s="2">
        <v>72.0</v>
      </c>
      <c r="E51" s="51"/>
      <c r="F51" s="2">
        <v>78.0</v>
      </c>
      <c r="G51" s="2">
        <v>166.0</v>
      </c>
      <c r="H51" s="53"/>
      <c r="I51" s="34">
        <f t="shared" si="22"/>
        <v>2</v>
      </c>
      <c r="J51" s="39">
        <f t="shared" si="23"/>
        <v>0</v>
      </c>
      <c r="K51" s="39">
        <f t="shared" si="24"/>
        <v>2</v>
      </c>
      <c r="L51" s="39">
        <f t="shared" si="25"/>
        <v>2</v>
      </c>
      <c r="M51" s="39">
        <f t="shared" ref="M51:M53" si="26">AVERAGE(C51:H51)</f>
        <v>94</v>
      </c>
      <c r="N51" s="49">
        <f>(L51*500+M51*2*B48/(IF(AVERAGE($B$3, $B$12, $B$21, $B$30, $B$39, $B$48)=0, 1, AVERAGE($B$3, $B$12, $B$21, $B$30, $B$39, $B$48))))*5/4</f>
        <v>1459.636799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1"/>
      <c r="B52" s="27" t="s">
        <v>96</v>
      </c>
      <c r="C52" s="27">
        <v>78.0</v>
      </c>
      <c r="D52" s="2">
        <v>142.0</v>
      </c>
      <c r="E52" s="2">
        <v>116.0</v>
      </c>
      <c r="F52" s="51"/>
      <c r="G52" s="2">
        <v>88.0</v>
      </c>
      <c r="H52" s="53"/>
      <c r="I52" s="34">
        <f t="shared" si="22"/>
        <v>3</v>
      </c>
      <c r="J52" s="39">
        <f t="shared" si="23"/>
        <v>0</v>
      </c>
      <c r="K52" s="39">
        <f t="shared" si="24"/>
        <v>1</v>
      </c>
      <c r="L52" s="39">
        <f t="shared" si="25"/>
        <v>3</v>
      </c>
      <c r="M52" s="39">
        <f t="shared" si="26"/>
        <v>106</v>
      </c>
      <c r="N52" s="49">
        <f>(L52*500+M52*2*B48/(IF(AVERAGE($B$3, $B$12, $B$21, $B$30, $B$39, $B$48)=0, 1, AVERAGE($B$3, $B$12, $B$21, $B$30, $B$39, $B$48))))*5/4</f>
        <v>2111.398944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1"/>
      <c r="B53" s="27" t="s">
        <v>163</v>
      </c>
      <c r="C53" s="27">
        <v>8.0</v>
      </c>
      <c r="D53" s="2">
        <v>18.0</v>
      </c>
      <c r="E53" s="2">
        <v>12.0</v>
      </c>
      <c r="F53" s="2">
        <v>38.0</v>
      </c>
      <c r="G53" s="51"/>
      <c r="H53" s="53"/>
      <c r="I53" s="34">
        <f t="shared" si="22"/>
        <v>0</v>
      </c>
      <c r="J53" s="39">
        <f t="shared" si="23"/>
        <v>0</v>
      </c>
      <c r="K53" s="39">
        <f t="shared" si="24"/>
        <v>4</v>
      </c>
      <c r="L53" s="39">
        <f t="shared" si="25"/>
        <v>0</v>
      </c>
      <c r="M53" s="39">
        <f t="shared" si="26"/>
        <v>19</v>
      </c>
      <c r="N53" s="49">
        <f>(L53*500+M53*2*B48/(IF(AVERAGE($B$3, $B$12, $B$21, $B$30, $B$39, $B$48)=0, 1, AVERAGE($B$3, $B$12, $B$21, $B$30, $B$39, $B$48))))*5/4</f>
        <v>42.37339564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1"/>
      <c r="B54" s="52" t="s">
        <v>32</v>
      </c>
      <c r="C54" s="79"/>
      <c r="D54" s="59"/>
      <c r="E54" s="59"/>
      <c r="F54" s="59"/>
      <c r="G54" s="59"/>
      <c r="H54" s="60"/>
      <c r="I54" s="80"/>
      <c r="J54" s="81"/>
      <c r="K54" s="81"/>
      <c r="L54" s="81"/>
      <c r="M54" s="81"/>
      <c r="N54" s="8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1"/>
      <c r="B55" s="9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1"/>
      <c r="B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idden="1">
      <c r="A66" s="1"/>
      <c r="B66" s="2" t="str">
        <f t="shared" ref="B66:B118" si="27">B2</f>
        <v>Group A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idden="1">
      <c r="A67" s="1"/>
      <c r="B67" s="2">
        <f t="shared" si="27"/>
        <v>2763</v>
      </c>
      <c r="C67" s="1" t="str">
        <f t="array" ref="C67:H67">TRANSPOSE(B68:B73)</f>
        <v>Mission San Jose A</v>
      </c>
      <c r="D67" s="1" t="s">
        <v>32</v>
      </c>
      <c r="E67" s="1" t="s">
        <v>33</v>
      </c>
      <c r="F67" s="1" t="s">
        <v>35</v>
      </c>
      <c r="G67" s="1" t="s">
        <v>38</v>
      </c>
      <c r="H67" s="1" t="s">
        <v>42</v>
      </c>
      <c r="I67" s="1"/>
      <c r="J67" s="1"/>
      <c r="K67" s="1" t="str">
        <f t="array" ref="K67:P67">transpose(J68:J73)</f>
        <v>Mission San Jose A</v>
      </c>
      <c r="L67" s="1" t="s">
        <v>32</v>
      </c>
      <c r="M67" s="1" t="s">
        <v>33</v>
      </c>
      <c r="N67" s="1" t="s">
        <v>35</v>
      </c>
      <c r="O67" s="1" t="s">
        <v>38</v>
      </c>
      <c r="P67" s="1" t="s">
        <v>42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idden="1">
      <c r="A68" s="1"/>
      <c r="B68" s="2" t="str">
        <f t="shared" si="27"/>
        <v>Mission San Jose A</v>
      </c>
      <c r="C68" s="51" t="str">
        <f t="shared" ref="C68:H68" si="28">C4</f>
        <v/>
      </c>
      <c r="D68" s="1" t="str">
        <f t="shared" si="28"/>
        <v/>
      </c>
      <c r="E68" s="1">
        <f t="shared" si="28"/>
        <v>184</v>
      </c>
      <c r="F68" s="1">
        <f t="shared" si="28"/>
        <v>166</v>
      </c>
      <c r="G68" s="1">
        <f t="shared" si="28"/>
        <v>146</v>
      </c>
      <c r="H68" s="1">
        <f t="shared" si="28"/>
        <v>134</v>
      </c>
      <c r="I68" s="1"/>
      <c r="J68" s="1" t="str">
        <f t="shared" ref="J68:J73" si="30">B68</f>
        <v>Mission San Jose A</v>
      </c>
      <c r="K68" s="51"/>
      <c r="L68" s="1">
        <f>IF(D68&gt;C69, 1, IF(D68=C69, 0.5, 0))</f>
        <v>0.5</v>
      </c>
      <c r="M68" s="1">
        <f>IF(E68&gt;C70, 1, IF(E68=C70, 0.5, 0))</f>
        <v>1</v>
      </c>
      <c r="N68" s="1">
        <f>IF(F68&gt;C71, 1, IF(F68=C71, 0.5, 0))</f>
        <v>1</v>
      </c>
      <c r="O68" s="1">
        <f>IF(G68&gt;C72, 1, IF(G68=C72, 0.5, 0))</f>
        <v>1</v>
      </c>
      <c r="P68" s="1">
        <f>IF(H68&gt;C73, 1, IF(H68=C73, 0.5, 0))</f>
        <v>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idden="1">
      <c r="A69" s="1"/>
      <c r="B69" s="2" t="str">
        <f t="shared" si="27"/>
        <v>BYE</v>
      </c>
      <c r="C69" s="1" t="str">
        <f t="shared" ref="C69:H69" si="29">C5</f>
        <v/>
      </c>
      <c r="D69" s="51" t="str">
        <f t="shared" si="29"/>
        <v/>
      </c>
      <c r="E69" s="1" t="str">
        <f t="shared" si="29"/>
        <v/>
      </c>
      <c r="F69" s="1" t="str">
        <f t="shared" si="29"/>
        <v/>
      </c>
      <c r="G69" s="1" t="str">
        <f t="shared" si="29"/>
        <v/>
      </c>
      <c r="H69" s="1" t="str">
        <f t="shared" si="29"/>
        <v/>
      </c>
      <c r="I69" s="1"/>
      <c r="J69" s="1" t="str">
        <f t="shared" si="30"/>
        <v>BYE</v>
      </c>
      <c r="K69" s="1">
        <f>1-L68</f>
        <v>0.5</v>
      </c>
      <c r="L69" s="51"/>
      <c r="M69" s="1">
        <f>IF(E69&gt;D70, 1, IF(E69=D70, 0.5, 0))</f>
        <v>0.5</v>
      </c>
      <c r="N69" s="1">
        <f>IF(F69&gt;D71, 1, IF(F69=D71, 0.5, 0))</f>
        <v>0.5</v>
      </c>
      <c r="O69" s="1">
        <f>IF(G69&gt;D72, 1, IF(G69=D72, 0.5, 0))</f>
        <v>0.5</v>
      </c>
      <c r="P69" s="1">
        <f>IF(H69&gt;D73, 1, IF(H69=D73, 0.5, 0))</f>
        <v>0.5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idden="1">
      <c r="A70" s="1"/>
      <c r="B70" s="2" t="str">
        <f t="shared" si="27"/>
        <v>Princeton</v>
      </c>
      <c r="C70" s="1">
        <f t="shared" ref="C70:H70" si="31">C6</f>
        <v>94</v>
      </c>
      <c r="D70" s="1" t="str">
        <f t="shared" si="31"/>
        <v/>
      </c>
      <c r="E70" s="51" t="str">
        <f t="shared" si="31"/>
        <v/>
      </c>
      <c r="F70" s="1">
        <f t="shared" si="31"/>
        <v>34</v>
      </c>
      <c r="G70" s="1">
        <f t="shared" si="31"/>
        <v>160</v>
      </c>
      <c r="H70" s="1">
        <f t="shared" si="31"/>
        <v>98</v>
      </c>
      <c r="I70" s="1"/>
      <c r="J70" s="1" t="str">
        <f t="shared" si="30"/>
        <v>Princeton</v>
      </c>
      <c r="K70" s="1">
        <f>1-M68</f>
        <v>0</v>
      </c>
      <c r="L70" s="1">
        <f>1-M69</f>
        <v>0.5</v>
      </c>
      <c r="M70" s="51"/>
      <c r="N70" s="1">
        <f>IF(F70&gt;E71, 1, IF(F70=E71, 0.5, 0))</f>
        <v>0</v>
      </c>
      <c r="O70" s="1">
        <f>IF(G70&gt;E72, 1, IF(G70=E72, 0.5, 0))</f>
        <v>1</v>
      </c>
      <c r="P70" s="1">
        <f>IF(H70&gt;E74, 1, IF(H70=E74, 0.5, 0))</f>
        <v>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idden="1">
      <c r="A71" s="1"/>
      <c r="B71" s="2" t="str">
        <f t="shared" si="27"/>
        <v>Basis Silicon Valley</v>
      </c>
      <c r="C71" s="1">
        <f t="shared" ref="C71:H71" si="32">C7</f>
        <v>38</v>
      </c>
      <c r="D71" s="1" t="str">
        <f t="shared" si="32"/>
        <v/>
      </c>
      <c r="E71" s="1">
        <f t="shared" si="32"/>
        <v>176</v>
      </c>
      <c r="F71" s="51" t="str">
        <f t="shared" si="32"/>
        <v/>
      </c>
      <c r="G71" s="1">
        <f t="shared" si="32"/>
        <v>124</v>
      </c>
      <c r="H71" s="1">
        <f t="shared" si="32"/>
        <v>140</v>
      </c>
      <c r="I71" s="1"/>
      <c r="J71" s="1" t="str">
        <f t="shared" si="30"/>
        <v>Basis Silicon Valley</v>
      </c>
      <c r="K71" s="1">
        <f>1-N68</f>
        <v>0</v>
      </c>
      <c r="L71" s="1">
        <f>1-N69</f>
        <v>0.5</v>
      </c>
      <c r="M71" s="1">
        <f>1-N70</f>
        <v>1</v>
      </c>
      <c r="N71" s="51"/>
      <c r="O71" s="1">
        <f>IF(G71&gt;F72, 1, IF(G71=F72, 0.5, 0))</f>
        <v>1</v>
      </c>
      <c r="P71" s="1">
        <f>IF(H71&gt;F73, 1, IF(H71=F73, 0.5, 0))</f>
        <v>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idden="1">
      <c r="A72" s="1"/>
      <c r="B72" s="2" t="str">
        <f t="shared" si="27"/>
        <v>Collierville</v>
      </c>
      <c r="C72" s="1">
        <f t="shared" ref="C72:H72" si="33">C8</f>
        <v>6</v>
      </c>
      <c r="D72" s="1" t="str">
        <f t="shared" si="33"/>
        <v/>
      </c>
      <c r="E72" s="1">
        <f t="shared" si="33"/>
        <v>12</v>
      </c>
      <c r="F72" s="1">
        <f t="shared" si="33"/>
        <v>32</v>
      </c>
      <c r="G72" s="51" t="str">
        <f t="shared" si="33"/>
        <v/>
      </c>
      <c r="H72" s="1">
        <f t="shared" si="33"/>
        <v>34</v>
      </c>
      <c r="I72" s="1"/>
      <c r="J72" s="1" t="str">
        <f t="shared" si="30"/>
        <v>Collierville</v>
      </c>
      <c r="K72" s="1">
        <f>1-O68</f>
        <v>0</v>
      </c>
      <c r="L72" s="1">
        <f>1-O69</f>
        <v>0.5</v>
      </c>
      <c r="M72" s="1">
        <f>1-O70</f>
        <v>0</v>
      </c>
      <c r="N72" s="1">
        <f>1-O71</f>
        <v>0</v>
      </c>
      <c r="O72" s="51"/>
      <c r="P72" s="1">
        <f>IF(H72&gt;G73, 1, IF(H72=G73, 0.5, 0))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idden="1">
      <c r="A73" s="1"/>
      <c r="B73" s="2" t="str">
        <f t="shared" si="27"/>
        <v>Centreville A</v>
      </c>
      <c r="C73" s="1">
        <f t="shared" ref="C73:H73" si="34">C9</f>
        <v>46</v>
      </c>
      <c r="D73" s="1" t="str">
        <f t="shared" si="34"/>
        <v/>
      </c>
      <c r="E73" s="1">
        <f t="shared" si="34"/>
        <v>92</v>
      </c>
      <c r="F73" s="1">
        <f t="shared" si="34"/>
        <v>22</v>
      </c>
      <c r="G73" s="1">
        <f t="shared" si="34"/>
        <v>104</v>
      </c>
      <c r="H73" s="51" t="str">
        <f t="shared" si="34"/>
        <v/>
      </c>
      <c r="I73" s="1"/>
      <c r="J73" s="1" t="str">
        <f t="shared" si="30"/>
        <v>Centreville A</v>
      </c>
      <c r="K73" s="1">
        <f>1-P68</f>
        <v>0</v>
      </c>
      <c r="L73" s="1">
        <f>1-P69</f>
        <v>0.5</v>
      </c>
      <c r="M73" s="1">
        <f>1-P70</f>
        <v>0</v>
      </c>
      <c r="N73" s="1">
        <f>1-P71</f>
        <v>0</v>
      </c>
      <c r="O73" s="1">
        <f>1-P72</f>
        <v>1</v>
      </c>
      <c r="P73" s="51"/>
      <c r="Q73" s="1"/>
      <c r="R73" s="1"/>
      <c r="S73" s="1"/>
      <c r="T73" s="1"/>
      <c r="U73" s="1"/>
      <c r="V73" s="1"/>
      <c r="W73" s="1"/>
      <c r="X73" s="1"/>
      <c r="Y73" s="1"/>
      <c r="Z73" s="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idden="1">
      <c r="A74" s="1"/>
      <c r="B74" s="2" t="str">
        <f t="shared" si="27"/>
        <v/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idden="1">
      <c r="A75" s="1"/>
      <c r="B75" s="2" t="str">
        <f t="shared" si="27"/>
        <v>Group B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idden="1">
      <c r="A76" s="1"/>
      <c r="B76" s="2">
        <f t="shared" si="27"/>
        <v>2876</v>
      </c>
      <c r="C76" s="1" t="str">
        <f t="array" ref="C76:H76">TRANSPOSE(B77:B82)</f>
        <v>Enloe</v>
      </c>
      <c r="D76" s="1" t="s">
        <v>55</v>
      </c>
      <c r="E76" s="1" t="s">
        <v>133</v>
      </c>
      <c r="F76" s="1" t="s">
        <v>111</v>
      </c>
      <c r="G76" s="1" t="s">
        <v>158</v>
      </c>
      <c r="H76" s="1" t="s">
        <v>170</v>
      </c>
      <c r="I76" s="1"/>
      <c r="J76" s="1"/>
      <c r="K76" s="1" t="str">
        <f t="array" ref="K76:P76">transpose(J77:J82)</f>
        <v>Enloe</v>
      </c>
      <c r="L76" s="1" t="s">
        <v>55</v>
      </c>
      <c r="M76" s="1" t="s">
        <v>133</v>
      </c>
      <c r="N76" s="1" t="s">
        <v>111</v>
      </c>
      <c r="O76" s="1" t="s">
        <v>158</v>
      </c>
      <c r="P76" s="1" t="s">
        <v>170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idden="1">
      <c r="A77" s="1"/>
      <c r="B77" s="2" t="str">
        <f t="shared" si="27"/>
        <v>Enloe</v>
      </c>
      <c r="C77" s="1" t="str">
        <f t="shared" ref="C77:H77" si="35">C13</f>
        <v/>
      </c>
      <c r="D77" s="1">
        <f t="shared" si="35"/>
        <v>60</v>
      </c>
      <c r="E77" s="1">
        <f t="shared" si="35"/>
        <v>200</v>
      </c>
      <c r="F77" s="1">
        <f t="shared" si="35"/>
        <v>64</v>
      </c>
      <c r="G77" s="1">
        <f t="shared" si="35"/>
        <v>162</v>
      </c>
      <c r="H77" s="1">
        <f t="shared" si="35"/>
        <v>158</v>
      </c>
      <c r="I77" s="1"/>
      <c r="J77" s="1" t="str">
        <f t="shared" ref="J77:J82" si="37">B77</f>
        <v>Enloe</v>
      </c>
      <c r="K77" s="51"/>
      <c r="L77" s="1">
        <f>IF(D77&gt;C78, 1, IF(D77=C78, 0.5, 0))</f>
        <v>0</v>
      </c>
      <c r="M77" s="1">
        <f>IF(E77&gt;C79, 1, IF(E77=C79, 0.5, 0))</f>
        <v>1</v>
      </c>
      <c r="N77" s="1">
        <f>IF(F77&gt;C80, 1, IF(F77=C80, 0.5, 0))</f>
        <v>0</v>
      </c>
      <c r="O77" s="1">
        <f>IF(G77&gt;C81, 1, IF(G77=C81, 0.5, 0))</f>
        <v>1</v>
      </c>
      <c r="P77" s="1">
        <f>IF(H77&gt;C82, 1, IF(H77=C82, 0.5, 0))</f>
        <v>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idden="1">
      <c r="A78" s="1"/>
      <c r="B78" s="2" t="str">
        <f t="shared" si="27"/>
        <v>Iolani A</v>
      </c>
      <c r="C78" s="1">
        <f t="shared" ref="C78:H78" si="36">C14</f>
        <v>146</v>
      </c>
      <c r="D78" s="1" t="str">
        <f t="shared" si="36"/>
        <v/>
      </c>
      <c r="E78" s="1">
        <f t="shared" si="36"/>
        <v>172</v>
      </c>
      <c r="F78" s="1">
        <f t="shared" si="36"/>
        <v>100</v>
      </c>
      <c r="G78" s="1">
        <f t="shared" si="36"/>
        <v>176</v>
      </c>
      <c r="H78" s="1">
        <f t="shared" si="36"/>
        <v>148</v>
      </c>
      <c r="I78" s="1"/>
      <c r="J78" s="1" t="str">
        <f t="shared" si="37"/>
        <v>Iolani A</v>
      </c>
      <c r="K78" s="1">
        <f>1-L77</f>
        <v>1</v>
      </c>
      <c r="L78" s="51"/>
      <c r="M78" s="1">
        <f>IF(E78&gt;D79, 1, IF(E78=D79, 0.5, 0))</f>
        <v>1</v>
      </c>
      <c r="N78" s="1">
        <f>IF(F78&gt;D80, 1, IF(F78=D80, 0.5, 0))</f>
        <v>0</v>
      </c>
      <c r="O78" s="1">
        <f>IF(G78&gt;D81, 1, IF(G78=D81, 0.5, 0))</f>
        <v>1</v>
      </c>
      <c r="P78" s="1">
        <f>IF(H78&gt;D82, 1, IF(H78=D82, 0.5, 0))</f>
        <v>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idden="1">
      <c r="A79" s="1"/>
      <c r="B79" s="2" t="str">
        <f t="shared" si="27"/>
        <v>Winston Churchill</v>
      </c>
      <c r="C79" s="1">
        <f t="shared" ref="C79:H79" si="38">C15</f>
        <v>18</v>
      </c>
      <c r="D79" s="1">
        <f t="shared" si="38"/>
        <v>54</v>
      </c>
      <c r="E79" s="1" t="str">
        <f t="shared" si="38"/>
        <v/>
      </c>
      <c r="F79" s="1">
        <f t="shared" si="38"/>
        <v>8</v>
      </c>
      <c r="G79" s="1">
        <f t="shared" si="38"/>
        <v>36</v>
      </c>
      <c r="H79" s="1">
        <f t="shared" si="38"/>
        <v>48</v>
      </c>
      <c r="I79" s="1"/>
      <c r="J79" s="1" t="str">
        <f t="shared" si="37"/>
        <v>Winston Churchill</v>
      </c>
      <c r="K79" s="1">
        <f>1-M77</f>
        <v>0</v>
      </c>
      <c r="L79" s="1">
        <f>1-M78</f>
        <v>0</v>
      </c>
      <c r="M79" s="51"/>
      <c r="N79" s="1">
        <f>IF(F79&gt;E80, 1, IF(F79=E80, 0.5, 0))</f>
        <v>0</v>
      </c>
      <c r="O79" s="1">
        <f>IF(G79&gt;E81, 1, IF(G79=E81, 0.5, 0))</f>
        <v>0</v>
      </c>
      <c r="P79" s="1">
        <f>IF(H79&gt;E83, 1, IF(H79=E83, 0.5, 0))</f>
        <v>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idden="1">
      <c r="A80" s="1"/>
      <c r="B80" s="2" t="str">
        <f t="shared" si="27"/>
        <v>North Hollywood</v>
      </c>
      <c r="C80" s="1">
        <f t="shared" ref="C80:H80" si="39">C16</f>
        <v>118</v>
      </c>
      <c r="D80" s="1">
        <f t="shared" si="39"/>
        <v>124</v>
      </c>
      <c r="E80" s="1">
        <f t="shared" si="39"/>
        <v>194</v>
      </c>
      <c r="F80" s="1" t="str">
        <f t="shared" si="39"/>
        <v/>
      </c>
      <c r="G80" s="1">
        <f t="shared" si="39"/>
        <v>192</v>
      </c>
      <c r="H80" s="1">
        <f t="shared" si="39"/>
        <v>200</v>
      </c>
      <c r="I80" s="1"/>
      <c r="J80" s="1" t="str">
        <f t="shared" si="37"/>
        <v>North Hollywood</v>
      </c>
      <c r="K80" s="1">
        <f>1-N77</f>
        <v>1</v>
      </c>
      <c r="L80" s="1">
        <f>1-N78</f>
        <v>1</v>
      </c>
      <c r="M80" s="1">
        <f>1-N79</f>
        <v>1</v>
      </c>
      <c r="N80" s="51"/>
      <c r="O80" s="1">
        <f>IF(G80&gt;F81, 1, IF(G80=F81, 0.5, 0))</f>
        <v>1</v>
      </c>
      <c r="P80" s="1">
        <f>IF(H80&gt;F82, 1, IF(H80=F82, 0.5, 0))</f>
        <v>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idden="1">
      <c r="A81" s="1"/>
      <c r="B81" s="2" t="str">
        <f t="shared" si="27"/>
        <v>Temple City</v>
      </c>
      <c r="C81" s="1">
        <f t="shared" ref="C81:H81" si="40">C17</f>
        <v>42</v>
      </c>
      <c r="D81" s="1">
        <f t="shared" si="40"/>
        <v>62</v>
      </c>
      <c r="E81" s="1">
        <f t="shared" si="40"/>
        <v>140</v>
      </c>
      <c r="F81" s="1">
        <f t="shared" si="40"/>
        <v>48</v>
      </c>
      <c r="G81" s="1" t="str">
        <f t="shared" si="40"/>
        <v/>
      </c>
      <c r="H81" s="1">
        <f t="shared" si="40"/>
        <v>82</v>
      </c>
      <c r="I81" s="1"/>
      <c r="J81" s="1" t="str">
        <f t="shared" si="37"/>
        <v>Temple City</v>
      </c>
      <c r="K81" s="1">
        <f>1-O77</f>
        <v>0</v>
      </c>
      <c r="L81" s="1">
        <f>1-O78</f>
        <v>0</v>
      </c>
      <c r="M81" s="1">
        <f>1-O79</f>
        <v>1</v>
      </c>
      <c r="N81" s="1">
        <f>1-O80</f>
        <v>0</v>
      </c>
      <c r="O81" s="51"/>
      <c r="P81" s="1">
        <f>IF(H81&gt;G82, 1, IF(H81=G82, 0.5, 0))</f>
        <v>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idden="1">
      <c r="A82" s="1"/>
      <c r="B82" s="2" t="str">
        <f t="shared" si="27"/>
        <v>Brooklyn Tech B</v>
      </c>
      <c r="C82" s="1">
        <f t="shared" ref="C82:H82" si="41">C18</f>
        <v>8</v>
      </c>
      <c r="D82" s="1">
        <f t="shared" si="41"/>
        <v>40</v>
      </c>
      <c r="E82" s="1">
        <f t="shared" si="41"/>
        <v>18</v>
      </c>
      <c r="F82" s="1">
        <f t="shared" si="41"/>
        <v>18</v>
      </c>
      <c r="G82" s="1">
        <f t="shared" si="41"/>
        <v>40</v>
      </c>
      <c r="H82" s="1" t="str">
        <f t="shared" si="41"/>
        <v/>
      </c>
      <c r="I82" s="1"/>
      <c r="J82" s="1" t="str">
        <f t="shared" si="37"/>
        <v>Brooklyn Tech B</v>
      </c>
      <c r="K82" s="1">
        <f>1-P77</f>
        <v>0</v>
      </c>
      <c r="L82" s="1">
        <f>1-P78</f>
        <v>0</v>
      </c>
      <c r="M82" s="1">
        <f>1-P79</f>
        <v>0</v>
      </c>
      <c r="N82" s="1">
        <f>1-P80</f>
        <v>0</v>
      </c>
      <c r="O82" s="1">
        <f>1-P81</f>
        <v>0</v>
      </c>
      <c r="P82" s="51"/>
      <c r="Q82" s="1"/>
      <c r="R82" s="1"/>
      <c r="S82" s="1"/>
      <c r="T82" s="1"/>
      <c r="U82" s="1"/>
      <c r="V82" s="1"/>
      <c r="W82" s="1"/>
      <c r="X82" s="1"/>
      <c r="Y82" s="1"/>
      <c r="Z82" s="1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idden="1">
      <c r="A83" s="1"/>
      <c r="B83" s="2" t="str">
        <f t="shared" si="27"/>
        <v/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idden="1">
      <c r="A84" s="1"/>
      <c r="B84" s="2" t="str">
        <f t="shared" si="27"/>
        <v>Group C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idden="1">
      <c r="A85" s="1"/>
      <c r="B85" s="2">
        <f t="shared" si="27"/>
        <v>2859</v>
      </c>
      <c r="C85" s="1" t="str">
        <f t="array" ref="C85:H85">TRANSPOSE(B86:B91)</f>
        <v>Evergreen</v>
      </c>
      <c r="D85" s="1" t="s">
        <v>191</v>
      </c>
      <c r="E85" s="1" t="s">
        <v>134</v>
      </c>
      <c r="F85" s="1" t="s">
        <v>147</v>
      </c>
      <c r="G85" s="1" t="s">
        <v>159</v>
      </c>
      <c r="H85" s="1" t="s">
        <v>32</v>
      </c>
      <c r="I85" s="1"/>
      <c r="J85" s="1"/>
      <c r="K85" s="1" t="str">
        <f t="array" ref="K85:P85">transpose(J86:J91)</f>
        <v>Evergreen</v>
      </c>
      <c r="L85" s="1" t="s">
        <v>191</v>
      </c>
      <c r="M85" s="1" t="s">
        <v>134</v>
      </c>
      <c r="N85" s="1" t="s">
        <v>147</v>
      </c>
      <c r="O85" s="1" t="s">
        <v>159</v>
      </c>
      <c r="P85" s="1" t="s">
        <v>32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idden="1">
      <c r="A86" s="1"/>
      <c r="B86" s="2" t="str">
        <f t="shared" si="27"/>
        <v>Evergreen</v>
      </c>
      <c r="C86" s="1" t="str">
        <f t="shared" ref="C86:H86" si="42">C22</f>
        <v/>
      </c>
      <c r="D86" s="1">
        <f t="shared" si="42"/>
        <v>62</v>
      </c>
      <c r="E86" s="1">
        <f t="shared" si="42"/>
        <v>54</v>
      </c>
      <c r="F86" s="1">
        <f t="shared" si="42"/>
        <v>88</v>
      </c>
      <c r="G86" s="1">
        <f t="shared" si="42"/>
        <v>88</v>
      </c>
      <c r="H86" s="1">
        <f t="shared" si="42"/>
        <v>0</v>
      </c>
      <c r="I86" s="1"/>
      <c r="J86" s="1" t="str">
        <f t="shared" ref="J86:J91" si="44">B86</f>
        <v>Evergreen</v>
      </c>
      <c r="K86" s="51"/>
      <c r="L86" s="1">
        <f>IF(D86&gt;C87, 1, IF(D86=C87, 0.5, 0))</f>
        <v>0</v>
      </c>
      <c r="M86" s="1">
        <f>IF(E86&gt;C88, 1, IF(E86=C88, 0.5, 0))</f>
        <v>0</v>
      </c>
      <c r="N86" s="1">
        <f>IF(F86&gt;C89, 1, IF(F86=C89, 0.5, 0))</f>
        <v>0</v>
      </c>
      <c r="O86" s="1">
        <f>IF(G86&gt;C90, 1, IF(G86=C90, 0.5, 0))</f>
        <v>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idden="1">
      <c r="A87" s="1"/>
      <c r="B87" s="2" t="str">
        <f t="shared" si="27"/>
        <v>BASIS Chandler A</v>
      </c>
      <c r="C87" s="1">
        <f t="shared" ref="C87:H87" si="43">C23</f>
        <v>76</v>
      </c>
      <c r="D87" s="1" t="str">
        <f t="shared" si="43"/>
        <v/>
      </c>
      <c r="E87" s="1">
        <f t="shared" si="43"/>
        <v>30</v>
      </c>
      <c r="F87" s="1">
        <f t="shared" si="43"/>
        <v>80</v>
      </c>
      <c r="G87" s="1">
        <f t="shared" si="43"/>
        <v>120</v>
      </c>
      <c r="H87" s="1">
        <f t="shared" si="43"/>
        <v>0</v>
      </c>
      <c r="I87" s="1"/>
      <c r="J87" s="1" t="str">
        <f t="shared" si="44"/>
        <v>BASIS Chandler A</v>
      </c>
      <c r="K87" s="1">
        <f>1-L86</f>
        <v>1</v>
      </c>
      <c r="L87" s="51"/>
      <c r="M87" s="1">
        <f>IF(E87&gt;D88, 1, IF(E87=D88, 0.5, 0))</f>
        <v>0</v>
      </c>
      <c r="N87" s="1">
        <f>IF(F87&gt;D89, 1, IF(F87=D89, 0.5, 0))</f>
        <v>1</v>
      </c>
      <c r="O87" s="1">
        <f>IF(G87&gt;D90, 1, IF(G87=D90, 0.5, 0))</f>
        <v>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idden="1">
      <c r="A88" s="1"/>
      <c r="B88" s="2" t="str">
        <f t="shared" si="27"/>
        <v>Montgomery Blair A</v>
      </c>
      <c r="C88" s="1">
        <f t="shared" ref="C88:H88" si="45">C24</f>
        <v>178</v>
      </c>
      <c r="D88" s="1">
        <f t="shared" si="45"/>
        <v>236</v>
      </c>
      <c r="E88" s="1" t="str">
        <f t="shared" si="45"/>
        <v/>
      </c>
      <c r="F88" s="1">
        <f t="shared" si="45"/>
        <v>264</v>
      </c>
      <c r="G88" s="1">
        <f t="shared" si="45"/>
        <v>238</v>
      </c>
      <c r="H88" s="1">
        <f t="shared" si="45"/>
        <v>0</v>
      </c>
      <c r="I88" s="1"/>
      <c r="J88" s="1" t="str">
        <f t="shared" si="44"/>
        <v>Montgomery Blair A</v>
      </c>
      <c r="K88" s="1">
        <f>1-M86</f>
        <v>1</v>
      </c>
      <c r="L88" s="1">
        <f>1-M87</f>
        <v>1</v>
      </c>
      <c r="M88" s="51"/>
      <c r="N88" s="1">
        <f>IF(F88&gt;E89, 1, IF(F88=E89, 0.5, 0))</f>
        <v>1</v>
      </c>
      <c r="O88" s="1">
        <f>IF(G88&gt;E90, 1, IF(G88=E90, 0.5, 0))</f>
        <v>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idden="1">
      <c r="A89" s="1"/>
      <c r="B89" s="2" t="str">
        <f t="shared" si="27"/>
        <v>Plano West</v>
      </c>
      <c r="C89" s="1">
        <f t="shared" ref="C89:H89" si="46">C25</f>
        <v>96</v>
      </c>
      <c r="D89" s="1">
        <f t="shared" si="46"/>
        <v>30</v>
      </c>
      <c r="E89" s="1">
        <f t="shared" si="46"/>
        <v>6</v>
      </c>
      <c r="F89" s="1" t="str">
        <f t="shared" si="46"/>
        <v/>
      </c>
      <c r="G89" s="1">
        <f t="shared" si="46"/>
        <v>86</v>
      </c>
      <c r="H89" s="1">
        <f t="shared" si="46"/>
        <v>0</v>
      </c>
      <c r="I89" s="1"/>
      <c r="J89" s="1" t="str">
        <f t="shared" si="44"/>
        <v>Plano West</v>
      </c>
      <c r="K89" s="1">
        <f>1-N86</f>
        <v>1</v>
      </c>
      <c r="L89" s="1">
        <f>1-N87</f>
        <v>0</v>
      </c>
      <c r="M89" s="1">
        <f>1-N88</f>
        <v>0</v>
      </c>
      <c r="N89" s="51"/>
      <c r="O89" s="1">
        <f>IF(G89&gt;F90, 1, IF(G89=F90, 0.5, 0))</f>
        <v>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idden="1">
      <c r="A90" s="1"/>
      <c r="B90" s="2" t="str">
        <f t="shared" si="27"/>
        <v>Canyon Crest B</v>
      </c>
      <c r="C90" s="1">
        <f t="shared" ref="C90:H90" si="47">C26</f>
        <v>32</v>
      </c>
      <c r="D90" s="1">
        <f t="shared" si="47"/>
        <v>26</v>
      </c>
      <c r="E90" s="1">
        <f t="shared" si="47"/>
        <v>32</v>
      </c>
      <c r="F90" s="1">
        <f t="shared" si="47"/>
        <v>84</v>
      </c>
      <c r="G90" s="1" t="str">
        <f t="shared" si="47"/>
        <v/>
      </c>
      <c r="H90" s="1">
        <f t="shared" si="47"/>
        <v>0</v>
      </c>
      <c r="I90" s="1"/>
      <c r="J90" s="1" t="str">
        <f t="shared" si="44"/>
        <v>Canyon Crest B</v>
      </c>
      <c r="K90" s="1">
        <f>1-O86</f>
        <v>0</v>
      </c>
      <c r="L90" s="1">
        <f>1-O87</f>
        <v>0</v>
      </c>
      <c r="M90" s="1">
        <f>1-O88</f>
        <v>0</v>
      </c>
      <c r="N90" s="1">
        <f>1-O89</f>
        <v>0</v>
      </c>
      <c r="O90" s="5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idden="1">
      <c r="A91" s="1"/>
      <c r="B91" s="2" t="str">
        <f t="shared" si="27"/>
        <v>BYE</v>
      </c>
      <c r="C91" s="1">
        <f t="shared" ref="C91:H91" si="48">C27</f>
        <v>0</v>
      </c>
      <c r="D91" s="1">
        <f t="shared" si="48"/>
        <v>0</v>
      </c>
      <c r="E91" s="1">
        <f t="shared" si="48"/>
        <v>0</v>
      </c>
      <c r="F91" s="1">
        <f t="shared" si="48"/>
        <v>0</v>
      </c>
      <c r="G91" s="1">
        <f t="shared" si="48"/>
        <v>0</v>
      </c>
      <c r="H91" s="1" t="str">
        <f t="shared" si="48"/>
        <v/>
      </c>
      <c r="I91" s="1"/>
      <c r="J91" s="1" t="str">
        <f t="shared" si="44"/>
        <v>BYE</v>
      </c>
      <c r="K91" s="1"/>
      <c r="L91" s="1"/>
      <c r="M91" s="1"/>
      <c r="N91" s="1"/>
      <c r="O91" s="1"/>
      <c r="P91" s="51"/>
      <c r="Q91" s="1"/>
      <c r="R91" s="1"/>
      <c r="S91" s="1"/>
      <c r="T91" s="1"/>
      <c r="U91" s="1"/>
      <c r="V91" s="1"/>
      <c r="W91" s="1"/>
      <c r="X91" s="1"/>
      <c r="Y91" s="1"/>
      <c r="Z91" s="1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idden="1">
      <c r="A92" s="1"/>
      <c r="B92" s="2" t="str">
        <f t="shared" si="27"/>
        <v/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idden="1">
      <c r="A93" s="1"/>
      <c r="B93" s="2" t="str">
        <f t="shared" si="27"/>
        <v>Group D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idden="1">
      <c r="A94" s="1"/>
      <c r="B94" s="2">
        <f t="shared" si="27"/>
        <v>2814</v>
      </c>
      <c r="C94" s="1" t="str">
        <f t="array" ref="C94:H94">TRANSPOSE(B95:B100)</f>
        <v>Commonwealth School</v>
      </c>
      <c r="D94" s="1" t="s">
        <v>123</v>
      </c>
      <c r="E94" s="1" t="s">
        <v>135</v>
      </c>
      <c r="F94" s="1" t="s">
        <v>148</v>
      </c>
      <c r="G94" s="1" t="s">
        <v>97</v>
      </c>
      <c r="H94" s="1" t="s">
        <v>32</v>
      </c>
      <c r="I94" s="1"/>
      <c r="J94" s="1"/>
      <c r="K94" s="1" t="str">
        <f t="array" ref="K94:P94">transpose(J95:J100)</f>
        <v>Commonwealth School</v>
      </c>
      <c r="L94" s="1" t="s">
        <v>123</v>
      </c>
      <c r="M94" s="1" t="s">
        <v>135</v>
      </c>
      <c r="N94" s="1" t="s">
        <v>148</v>
      </c>
      <c r="O94" s="1" t="s">
        <v>97</v>
      </c>
      <c r="P94" s="1" t="s">
        <v>32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idden="1">
      <c r="A95" s="1"/>
      <c r="B95" s="2" t="str">
        <f t="shared" si="27"/>
        <v>Commonwealth School</v>
      </c>
      <c r="C95" s="1" t="str">
        <f t="shared" ref="C95:H95" si="49">C31</f>
        <v/>
      </c>
      <c r="D95" s="1">
        <f t="shared" si="49"/>
        <v>44</v>
      </c>
      <c r="E95" s="1">
        <f t="shared" si="49"/>
        <v>40</v>
      </c>
      <c r="F95" s="1">
        <f t="shared" si="49"/>
        <v>12</v>
      </c>
      <c r="G95" s="1">
        <f t="shared" si="49"/>
        <v>38</v>
      </c>
      <c r="H95" s="1" t="str">
        <f t="shared" si="49"/>
        <v/>
      </c>
      <c r="I95" s="1"/>
      <c r="J95" s="1" t="str">
        <f t="shared" ref="J95:J100" si="51">B95</f>
        <v>Commonwealth School</v>
      </c>
      <c r="K95" s="51"/>
      <c r="L95" s="1">
        <f>IF(D95&gt;C96, 1, IF(D95=C96, 0.5, 0))</f>
        <v>0</v>
      </c>
      <c r="M95" s="1">
        <f>IF(E95&gt;C97, 1, IF(E95=C97, 0.5, 0))</f>
        <v>0</v>
      </c>
      <c r="N95" s="1">
        <f>IF(F95&gt;C98, 1, IF(F95=C98, 0.5, 0))</f>
        <v>0</v>
      </c>
      <c r="O95" s="1">
        <f>IF(G95&gt;C99, 1, IF(G95=C99, 0.5, 0))</f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idden="1">
      <c r="A96" s="1"/>
      <c r="B96" s="2" t="str">
        <f t="shared" si="27"/>
        <v>Whitney Young</v>
      </c>
      <c r="C96" s="1">
        <f t="shared" ref="C96:H96" si="50">C32</f>
        <v>112</v>
      </c>
      <c r="D96" s="1" t="str">
        <f t="shared" si="50"/>
        <v/>
      </c>
      <c r="E96" s="1">
        <f t="shared" si="50"/>
        <v>48</v>
      </c>
      <c r="F96" s="1">
        <f t="shared" si="50"/>
        <v>68</v>
      </c>
      <c r="G96" s="1">
        <f t="shared" si="50"/>
        <v>36</v>
      </c>
      <c r="H96" s="1" t="str">
        <f t="shared" si="50"/>
        <v/>
      </c>
      <c r="I96" s="1"/>
      <c r="J96" s="1" t="str">
        <f t="shared" si="51"/>
        <v>Whitney Young</v>
      </c>
      <c r="K96" s="1">
        <f>1-L95</f>
        <v>1</v>
      </c>
      <c r="L96" s="51"/>
      <c r="M96" s="1">
        <f>IF(E96&gt;D97, 1, IF(E96=D97, 0.5, 0))</f>
        <v>0</v>
      </c>
      <c r="N96" s="1">
        <f>IF(F96&gt;D98, 1, IF(F96=D98, 0.5, 0))</f>
        <v>0</v>
      </c>
      <c r="O96" s="1">
        <f>IF(G96&gt;D99, 1, IF(G96=D99, 0.5, 0))</f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idden="1">
      <c r="A97" s="1"/>
      <c r="B97" s="2" t="str">
        <f t="shared" si="27"/>
        <v>Montgomery Blair B</v>
      </c>
      <c r="C97" s="1">
        <f t="shared" ref="C97:H97" si="52">C33</f>
        <v>132</v>
      </c>
      <c r="D97" s="1">
        <f t="shared" si="52"/>
        <v>184</v>
      </c>
      <c r="E97" s="1" t="str">
        <f t="shared" si="52"/>
        <v/>
      </c>
      <c r="F97" s="1">
        <f t="shared" si="52"/>
        <v>86</v>
      </c>
      <c r="G97" s="1">
        <f t="shared" si="52"/>
        <v>90</v>
      </c>
      <c r="H97" s="1" t="str">
        <f t="shared" si="52"/>
        <v/>
      </c>
      <c r="I97" s="1"/>
      <c r="J97" s="1" t="str">
        <f t="shared" si="51"/>
        <v>Montgomery Blair B</v>
      </c>
      <c r="K97" s="1">
        <f>1-M95</f>
        <v>1</v>
      </c>
      <c r="L97" s="1">
        <f>1-M96</f>
        <v>1</v>
      </c>
      <c r="M97" s="51"/>
      <c r="N97" s="1">
        <f>IF(F97&gt;E98, 1, IF(F97=E98, 0.5, 0))</f>
        <v>0</v>
      </c>
      <c r="O97" s="1">
        <f>IF(G97&gt;E99, 1, IF(G97=E99, 0.5, 0))</f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idden="1">
      <c r="A98" s="1"/>
      <c r="B98" s="2" t="str">
        <f t="shared" si="27"/>
        <v>Canyon Crest A</v>
      </c>
      <c r="C98" s="1">
        <f t="shared" ref="C98:H98" si="53">C34</f>
        <v>148</v>
      </c>
      <c r="D98" s="1">
        <f t="shared" si="53"/>
        <v>98</v>
      </c>
      <c r="E98" s="1">
        <f t="shared" si="53"/>
        <v>110</v>
      </c>
      <c r="F98" s="1" t="str">
        <f t="shared" si="53"/>
        <v/>
      </c>
      <c r="G98" s="1">
        <f t="shared" si="53"/>
        <v>62</v>
      </c>
      <c r="H98" s="1" t="str">
        <f t="shared" si="53"/>
        <v/>
      </c>
      <c r="I98" s="1"/>
      <c r="J98" s="1" t="str">
        <f t="shared" si="51"/>
        <v>Canyon Crest A</v>
      </c>
      <c r="K98" s="1">
        <f>1-N95</f>
        <v>1</v>
      </c>
      <c r="L98" s="1">
        <f>1-N96</f>
        <v>1</v>
      </c>
      <c r="M98" s="1">
        <f>1-N97</f>
        <v>1</v>
      </c>
      <c r="N98" s="51"/>
      <c r="O98" s="1">
        <f>IF(G98&gt;F99, 1, IF(G98=F99, 0.5, 0))</f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idden="1">
      <c r="A99" s="1"/>
      <c r="B99" s="2" t="str">
        <f t="shared" si="27"/>
        <v>James Clemens</v>
      </c>
      <c r="C99" s="1">
        <f t="shared" ref="C99:H99" si="54">C35</f>
        <v>150</v>
      </c>
      <c r="D99" s="1">
        <f t="shared" si="54"/>
        <v>168</v>
      </c>
      <c r="E99" s="1">
        <f t="shared" si="54"/>
        <v>116</v>
      </c>
      <c r="F99" s="1">
        <f t="shared" si="54"/>
        <v>134</v>
      </c>
      <c r="G99" s="1" t="str">
        <f t="shared" si="54"/>
        <v/>
      </c>
      <c r="H99" s="1" t="str">
        <f t="shared" si="54"/>
        <v/>
      </c>
      <c r="I99" s="1"/>
      <c r="J99" s="1" t="str">
        <f t="shared" si="51"/>
        <v>James Clemens</v>
      </c>
      <c r="K99" s="1">
        <f>1-O95</f>
        <v>1</v>
      </c>
      <c r="L99" s="1">
        <f>1-O96</f>
        <v>1</v>
      </c>
      <c r="M99" s="1">
        <f>1-O97</f>
        <v>1</v>
      </c>
      <c r="N99" s="1">
        <f>1-O98</f>
        <v>1</v>
      </c>
      <c r="O99" s="5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idden="1">
      <c r="A100" s="1"/>
      <c r="B100" s="2" t="str">
        <f t="shared" si="27"/>
        <v>BYE</v>
      </c>
      <c r="C100" s="1" t="str">
        <f t="shared" ref="C100:H100" si="55">C36</f>
        <v/>
      </c>
      <c r="D100" s="1" t="str">
        <f t="shared" si="55"/>
        <v/>
      </c>
      <c r="E100" s="1" t="str">
        <f t="shared" si="55"/>
        <v/>
      </c>
      <c r="F100" s="1" t="str">
        <f t="shared" si="55"/>
        <v/>
      </c>
      <c r="G100" s="1" t="str">
        <f t="shared" si="55"/>
        <v/>
      </c>
      <c r="H100" s="1" t="str">
        <f t="shared" si="55"/>
        <v/>
      </c>
      <c r="I100" s="1"/>
      <c r="J100" s="1" t="str">
        <f t="shared" si="51"/>
        <v>BYE</v>
      </c>
      <c r="K100" s="1"/>
      <c r="L100" s="1"/>
      <c r="M100" s="1"/>
      <c r="N100" s="1"/>
      <c r="O100" s="1"/>
      <c r="P100" s="5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idden="1">
      <c r="A101" s="1"/>
      <c r="B101" s="2" t="str">
        <f t="shared" si="27"/>
        <v/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idden="1">
      <c r="A102" s="1"/>
      <c r="B102" s="2" t="str">
        <f t="shared" si="27"/>
        <v>Group E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idden="1">
      <c r="A103" s="1"/>
      <c r="B103" s="2">
        <f t="shared" si="27"/>
        <v>2716.5</v>
      </c>
      <c r="C103" s="1" t="str">
        <f t="array" ref="C103:H103">TRANSPOSE(B104:B109)</f>
        <v>Mission San Jose B</v>
      </c>
      <c r="D103" s="1" t="s">
        <v>124</v>
      </c>
      <c r="E103" s="1" t="s">
        <v>136</v>
      </c>
      <c r="F103" s="1" t="s">
        <v>149</v>
      </c>
      <c r="G103" s="1" t="s">
        <v>161</v>
      </c>
      <c r="H103" s="1" t="s">
        <v>69</v>
      </c>
      <c r="I103" s="1"/>
      <c r="J103" s="1"/>
      <c r="K103" s="1" t="str">
        <f t="array" ref="K103:P103">transpose(J104:J109)</f>
        <v>Mission San Jose B</v>
      </c>
      <c r="L103" s="1" t="s">
        <v>124</v>
      </c>
      <c r="M103" s="1" t="s">
        <v>136</v>
      </c>
      <c r="N103" s="1" t="s">
        <v>149</v>
      </c>
      <c r="O103" s="1" t="s">
        <v>161</v>
      </c>
      <c r="P103" s="1" t="s">
        <v>69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idden="1">
      <c r="A104" s="1"/>
      <c r="B104" s="2" t="str">
        <f t="shared" si="27"/>
        <v>Mission San Jose B</v>
      </c>
      <c r="C104" s="1" t="str">
        <f t="shared" ref="C104:H104" si="56">C40</f>
        <v/>
      </c>
      <c r="D104" s="1">
        <f t="shared" si="56"/>
        <v>54</v>
      </c>
      <c r="E104" s="1">
        <f t="shared" si="56"/>
        <v>84</v>
      </c>
      <c r="F104" s="1">
        <f t="shared" si="56"/>
        <v>60</v>
      </c>
      <c r="G104" s="1">
        <f t="shared" si="56"/>
        <v>74</v>
      </c>
      <c r="H104" s="1">
        <f t="shared" si="56"/>
        <v>-2</v>
      </c>
      <c r="I104" s="1"/>
      <c r="J104" s="1" t="str">
        <f t="shared" ref="J104:J109" si="58">B104</f>
        <v>Mission San Jose B</v>
      </c>
      <c r="K104" s="51"/>
      <c r="L104" s="1">
        <f>IF(D104&gt;C105, 1, IF(D104=C105, 0.5, 0))</f>
        <v>0</v>
      </c>
      <c r="M104" s="1">
        <f>IF(E104&gt;C106, 1, IF(E104=C106, 0.5, 0))</f>
        <v>1</v>
      </c>
      <c r="N104" s="1">
        <f>IF(F104&gt;C107, 1, IF(F104=C107, 0.5, 0))</f>
        <v>0</v>
      </c>
      <c r="O104" s="1">
        <f>IF(G104&gt;C108, 1, IF(G104=C108, 0.5, 0))</f>
        <v>1</v>
      </c>
      <c r="P104" s="1">
        <f>IF(H104&gt;C109, 1, IF(H104=C109, 0.5, 0))</f>
        <v>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idden="1">
      <c r="A105" s="1"/>
      <c r="B105" s="2" t="str">
        <f t="shared" si="27"/>
        <v>School of Biology</v>
      </c>
      <c r="C105" s="1">
        <f t="shared" ref="C105:H105" si="57">C41</f>
        <v>130.5</v>
      </c>
      <c r="D105" s="1" t="str">
        <f t="shared" si="57"/>
        <v/>
      </c>
      <c r="E105" s="1">
        <f t="shared" si="57"/>
        <v>152</v>
      </c>
      <c r="F105" s="1">
        <f t="shared" si="57"/>
        <v>118</v>
      </c>
      <c r="G105" s="1">
        <f t="shared" si="57"/>
        <v>168</v>
      </c>
      <c r="H105" s="1">
        <f t="shared" si="57"/>
        <v>84</v>
      </c>
      <c r="I105" s="1"/>
      <c r="J105" s="1" t="str">
        <f t="shared" si="58"/>
        <v>School of Biology</v>
      </c>
      <c r="K105" s="1">
        <f>1-L104</f>
        <v>1</v>
      </c>
      <c r="L105" s="51"/>
      <c r="M105" s="1">
        <f>IF(E105&gt;D106, 1, IF(E105=D106, 0.5, 0))</f>
        <v>1</v>
      </c>
      <c r="N105" s="1">
        <f>IF(F105&gt;D107, 1, IF(F105=D107, 0.5, 0))</f>
        <v>1</v>
      </c>
      <c r="O105" s="1">
        <f>IF(G105&gt;D108, 1, IF(G105=D108, 0.5, 0))</f>
        <v>1</v>
      </c>
      <c r="P105" s="1">
        <f>IF(H105&gt;D109, 1, IF(H105=D109, 0.5, 0))</f>
        <v>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idden="1">
      <c r="A106" s="1"/>
      <c r="B106" s="2" t="str">
        <f t="shared" si="27"/>
        <v>Brooklyn Tech A</v>
      </c>
      <c r="C106" s="1">
        <f t="shared" ref="C106:H106" si="59">C42</f>
        <v>76</v>
      </c>
      <c r="D106" s="1">
        <f t="shared" si="59"/>
        <v>60</v>
      </c>
      <c r="E106" s="1" t="str">
        <f t="shared" si="59"/>
        <v/>
      </c>
      <c r="F106" s="1">
        <f t="shared" si="59"/>
        <v>64</v>
      </c>
      <c r="G106" s="1">
        <f t="shared" si="59"/>
        <v>28</v>
      </c>
      <c r="H106" s="1">
        <f t="shared" si="59"/>
        <v>100</v>
      </c>
      <c r="I106" s="1"/>
      <c r="J106" s="1" t="str">
        <f t="shared" si="58"/>
        <v>Brooklyn Tech A</v>
      </c>
      <c r="K106" s="1">
        <f>1-M104</f>
        <v>0</v>
      </c>
      <c r="L106" s="1">
        <f>1-M105</f>
        <v>0</v>
      </c>
      <c r="M106" s="51"/>
      <c r="N106" s="1">
        <f>IF(F106&gt;E107, 1, IF(F106=E107, 0.5, 0))</f>
        <v>0</v>
      </c>
      <c r="O106" s="1">
        <f>IF(G106&gt;E108, 1, IF(G106=E108, 0.5, 0))</f>
        <v>0</v>
      </c>
      <c r="P106" s="1">
        <f>IF(H106&gt;E110, 1, IF(H106=E110, 0.5, 0))</f>
        <v>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idden="1">
      <c r="A107" s="1"/>
      <c r="B107" s="2" t="str">
        <f t="shared" si="27"/>
        <v>Saratoga</v>
      </c>
      <c r="C107" s="1">
        <f t="shared" ref="C107:H107" si="60">C43</f>
        <v>118</v>
      </c>
      <c r="D107" s="1">
        <f t="shared" si="60"/>
        <v>54</v>
      </c>
      <c r="E107" s="1">
        <f t="shared" si="60"/>
        <v>114</v>
      </c>
      <c r="F107" s="1" t="str">
        <f t="shared" si="60"/>
        <v/>
      </c>
      <c r="G107" s="1">
        <f t="shared" si="60"/>
        <v>148</v>
      </c>
      <c r="H107" s="1">
        <f t="shared" si="60"/>
        <v>52</v>
      </c>
      <c r="I107" s="1"/>
      <c r="J107" s="1" t="str">
        <f t="shared" si="58"/>
        <v>Saratoga</v>
      </c>
      <c r="K107" s="1">
        <f>1-N104</f>
        <v>1</v>
      </c>
      <c r="L107" s="1">
        <f>1-N105</f>
        <v>0</v>
      </c>
      <c r="M107" s="1">
        <f>1-N106</f>
        <v>1</v>
      </c>
      <c r="N107" s="51"/>
      <c r="O107" s="1">
        <f>IF(G107&gt;F108, 1, IF(G107=F108, 0.5, 0))</f>
        <v>1</v>
      </c>
      <c r="P107" s="1">
        <f>IF(H107&gt;F109, 1, IF(H107=F109, 0.5, 0))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idden="1">
      <c r="A108" s="1"/>
      <c r="B108" s="2" t="str">
        <f t="shared" si="27"/>
        <v>WWPS A</v>
      </c>
      <c r="C108" s="1">
        <f t="shared" ref="C108:H108" si="61">C44</f>
        <v>66</v>
      </c>
      <c r="D108" s="1">
        <f t="shared" si="61"/>
        <v>98</v>
      </c>
      <c r="E108" s="1">
        <f t="shared" si="61"/>
        <v>146</v>
      </c>
      <c r="F108" s="1">
        <f t="shared" si="61"/>
        <v>60</v>
      </c>
      <c r="G108" s="1" t="str">
        <f t="shared" si="61"/>
        <v/>
      </c>
      <c r="H108" s="1">
        <f t="shared" si="61"/>
        <v>110</v>
      </c>
      <c r="I108" s="1"/>
      <c r="J108" s="1" t="str">
        <f t="shared" si="58"/>
        <v>WWPS A</v>
      </c>
      <c r="K108" s="1">
        <f>1-O104</f>
        <v>0</v>
      </c>
      <c r="L108" s="1">
        <f>1-O105</f>
        <v>0</v>
      </c>
      <c r="M108" s="1">
        <f>1-O106</f>
        <v>1</v>
      </c>
      <c r="N108" s="1">
        <f>1-O107</f>
        <v>0</v>
      </c>
      <c r="O108" s="51"/>
      <c r="P108" s="1">
        <f>IF(H108&gt;G109, 1, IF(H108=G109, 0.5, 0))</f>
        <v>1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idden="1">
      <c r="A109" s="1"/>
      <c r="B109" s="2" t="str">
        <f t="shared" si="27"/>
        <v>ASFA</v>
      </c>
      <c r="C109" s="1">
        <f t="shared" ref="C109:H109" si="62">C45</f>
        <v>128</v>
      </c>
      <c r="D109" s="1">
        <f t="shared" si="62"/>
        <v>134</v>
      </c>
      <c r="E109" s="1">
        <f t="shared" si="62"/>
        <v>38</v>
      </c>
      <c r="F109" s="1">
        <f t="shared" si="62"/>
        <v>100</v>
      </c>
      <c r="G109" s="1">
        <f t="shared" si="62"/>
        <v>100</v>
      </c>
      <c r="H109" s="1" t="str">
        <f t="shared" si="62"/>
        <v/>
      </c>
      <c r="I109" s="1"/>
      <c r="J109" s="1" t="str">
        <f t="shared" si="58"/>
        <v>ASFA</v>
      </c>
      <c r="K109" s="1">
        <f>1-P104</f>
        <v>1</v>
      </c>
      <c r="L109" s="1">
        <f>1-P105</f>
        <v>1</v>
      </c>
      <c r="M109" s="1">
        <f>1-P106</f>
        <v>0</v>
      </c>
      <c r="N109" s="1">
        <f>1-P107</f>
        <v>1</v>
      </c>
      <c r="O109" s="1">
        <f>1-P108</f>
        <v>0</v>
      </c>
      <c r="P109" s="5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idden="1">
      <c r="A110" s="1"/>
      <c r="B110" s="2" t="str">
        <f t="shared" si="27"/>
        <v/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idden="1">
      <c r="A111" s="1"/>
      <c r="B111" s="2" t="str">
        <f t="shared" si="27"/>
        <v>Group F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idden="1">
      <c r="A112" s="1"/>
      <c r="B112" s="2">
        <f t="shared" si="27"/>
        <v>2450</v>
      </c>
      <c r="C112" s="1" t="str">
        <f t="array" ref="C112:H112">TRANSPOSE(B113:B118)</f>
        <v>Lakeside</v>
      </c>
      <c r="D112" s="1" t="s">
        <v>61</v>
      </c>
      <c r="E112" s="1" t="s">
        <v>137</v>
      </c>
      <c r="F112" s="1" t="s">
        <v>96</v>
      </c>
      <c r="G112" s="1" t="s">
        <v>163</v>
      </c>
      <c r="H112" s="1" t="s">
        <v>32</v>
      </c>
      <c r="I112" s="1"/>
      <c r="J112" s="1"/>
      <c r="K112" s="1" t="str">
        <f t="array" ref="K112:P112">transpose(J113:J118)</f>
        <v>Lakeside</v>
      </c>
      <c r="L112" s="1" t="s">
        <v>61</v>
      </c>
      <c r="M112" s="1" t="s">
        <v>137</v>
      </c>
      <c r="N112" s="1" t="s">
        <v>96</v>
      </c>
      <c r="O112" s="1" t="s">
        <v>163</v>
      </c>
      <c r="P112" s="1" t="s">
        <v>32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idden="1">
      <c r="A113" s="1"/>
      <c r="B113" s="2" t="str">
        <f t="shared" si="27"/>
        <v>Lakeside</v>
      </c>
      <c r="C113" s="1" t="str">
        <f t="shared" ref="C113:H113" si="63">C49</f>
        <v/>
      </c>
      <c r="D113" s="1">
        <f t="shared" si="63"/>
        <v>154.6666667</v>
      </c>
      <c r="E113" s="1">
        <f t="shared" si="63"/>
        <v>166</v>
      </c>
      <c r="F113" s="1">
        <f t="shared" si="63"/>
        <v>166</v>
      </c>
      <c r="G113" s="1">
        <f t="shared" si="63"/>
        <v>132</v>
      </c>
      <c r="H113" s="1" t="str">
        <f t="shared" si="63"/>
        <v/>
      </c>
      <c r="I113" s="1"/>
      <c r="J113" s="1" t="str">
        <f t="shared" ref="J113:J118" si="65">B113</f>
        <v>Lakeside</v>
      </c>
      <c r="K113" s="51"/>
      <c r="L113" s="1">
        <f>IF(D113&gt;C114, 1, IF(D113=C114, 0.5, 0))</f>
        <v>1</v>
      </c>
      <c r="M113" s="1">
        <f>IF(E113&gt;C115, 1, IF(E113=C115, 0.5, 0))</f>
        <v>1</v>
      </c>
      <c r="N113" s="1">
        <f>IF(F113&gt;C116, 1, IF(F113=C116, 0.5, 0))</f>
        <v>1</v>
      </c>
      <c r="O113" s="1">
        <f>IF(G113&gt;C117, 1, IF(G113=C117, 0.5, 0))</f>
        <v>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idden="1">
      <c r="A114" s="1"/>
      <c r="B114" s="2" t="str">
        <f t="shared" si="27"/>
        <v>Iolani B</v>
      </c>
      <c r="C114" s="1">
        <f t="shared" ref="C114:H114" si="64">C50</f>
        <v>34.66666667</v>
      </c>
      <c r="D114" s="1" t="str">
        <f t="shared" si="64"/>
        <v/>
      </c>
      <c r="E114" s="1">
        <f t="shared" si="64"/>
        <v>32</v>
      </c>
      <c r="F114" s="1">
        <f t="shared" si="64"/>
        <v>20</v>
      </c>
      <c r="G114" s="1">
        <f t="shared" si="64"/>
        <v>52</v>
      </c>
      <c r="H114" s="1" t="str">
        <f t="shared" si="64"/>
        <v/>
      </c>
      <c r="I114" s="1"/>
      <c r="J114" s="1" t="str">
        <f t="shared" si="65"/>
        <v>Iolani B</v>
      </c>
      <c r="K114" s="1">
        <f>1-L113</f>
        <v>0</v>
      </c>
      <c r="L114" s="51"/>
      <c r="M114" s="1">
        <f>IF(E114&gt;D115, 1, IF(E114=D115, 0.5, 0))</f>
        <v>0</v>
      </c>
      <c r="N114" s="1">
        <f>IF(F114&gt;D116, 1, IF(F114=D116, 0.5, 0))</f>
        <v>0</v>
      </c>
      <c r="O114" s="1">
        <f>IF(G114&gt;D117, 1, IF(G114=D117, 0.5, 0))</f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idden="1">
      <c r="A115" s="1"/>
      <c r="B115" s="2" t="str">
        <f t="shared" si="27"/>
        <v>Wayzata</v>
      </c>
      <c r="C115" s="1">
        <f t="shared" ref="C115:H115" si="66">C51</f>
        <v>60</v>
      </c>
      <c r="D115" s="1">
        <f t="shared" si="66"/>
        <v>72</v>
      </c>
      <c r="E115" s="1" t="str">
        <f t="shared" si="66"/>
        <v/>
      </c>
      <c r="F115" s="1">
        <f t="shared" si="66"/>
        <v>78</v>
      </c>
      <c r="G115" s="1">
        <f t="shared" si="66"/>
        <v>166</v>
      </c>
      <c r="H115" s="1" t="str">
        <f t="shared" si="66"/>
        <v/>
      </c>
      <c r="I115" s="1"/>
      <c r="J115" s="1" t="str">
        <f t="shared" si="65"/>
        <v>Wayzata</v>
      </c>
      <c r="K115" s="1">
        <f>1-M113</f>
        <v>0</v>
      </c>
      <c r="L115" s="1">
        <f>1-M114</f>
        <v>1</v>
      </c>
      <c r="M115" s="51"/>
      <c r="N115" s="1">
        <f>IF(F115&gt;E116, 1, IF(F115=E116, 0.5, 0))</f>
        <v>0</v>
      </c>
      <c r="O115" s="1">
        <f>IF(G115&gt;E117, 1, IF(G115=E117, 0.5, 0))</f>
        <v>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idden="1">
      <c r="A116" s="1"/>
      <c r="B116" s="2" t="str">
        <f t="shared" si="27"/>
        <v>Palo Alto</v>
      </c>
      <c r="C116" s="1">
        <f t="shared" ref="C116:H116" si="67">C52</f>
        <v>78</v>
      </c>
      <c r="D116" s="1">
        <f t="shared" si="67"/>
        <v>142</v>
      </c>
      <c r="E116" s="1">
        <f t="shared" si="67"/>
        <v>116</v>
      </c>
      <c r="F116" s="1" t="str">
        <f t="shared" si="67"/>
        <v/>
      </c>
      <c r="G116" s="1">
        <f t="shared" si="67"/>
        <v>88</v>
      </c>
      <c r="H116" s="1" t="str">
        <f t="shared" si="67"/>
        <v/>
      </c>
      <c r="I116" s="1"/>
      <c r="J116" s="1" t="str">
        <f t="shared" si="65"/>
        <v>Palo Alto</v>
      </c>
      <c r="K116" s="1">
        <f>1-N113</f>
        <v>0</v>
      </c>
      <c r="L116" s="1">
        <f>1-N114</f>
        <v>1</v>
      </c>
      <c r="M116" s="1">
        <f>1-N115</f>
        <v>1</v>
      </c>
      <c r="N116" s="51"/>
      <c r="O116" s="1">
        <f>IF(G116&gt;F117, 1, IF(G116=F117, 0.5, 0))</f>
        <v>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idden="1">
      <c r="A117" s="1"/>
      <c r="B117" s="2" t="str">
        <f t="shared" si="27"/>
        <v>East Brunswick</v>
      </c>
      <c r="C117" s="1">
        <f t="shared" ref="C117:H117" si="68">C53</f>
        <v>8</v>
      </c>
      <c r="D117" s="1">
        <f t="shared" si="68"/>
        <v>18</v>
      </c>
      <c r="E117" s="1">
        <f t="shared" si="68"/>
        <v>12</v>
      </c>
      <c r="F117" s="1">
        <f t="shared" si="68"/>
        <v>38</v>
      </c>
      <c r="G117" s="1" t="str">
        <f t="shared" si="68"/>
        <v/>
      </c>
      <c r="H117" s="1" t="str">
        <f t="shared" si="68"/>
        <v/>
      </c>
      <c r="I117" s="1"/>
      <c r="J117" s="1" t="str">
        <f t="shared" si="65"/>
        <v>East Brunswick</v>
      </c>
      <c r="K117" s="1">
        <f>1-O113</f>
        <v>0</v>
      </c>
      <c r="L117" s="1">
        <f>1-O114</f>
        <v>0</v>
      </c>
      <c r="M117" s="1">
        <f>1-O115</f>
        <v>0</v>
      </c>
      <c r="N117" s="1">
        <f>1-O116</f>
        <v>0</v>
      </c>
      <c r="O117" s="5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idden="1">
      <c r="A118" s="1"/>
      <c r="B118" s="2" t="str">
        <f t="shared" si="27"/>
        <v>BYE</v>
      </c>
      <c r="C118" s="1" t="str">
        <f t="shared" ref="C118:H118" si="69">C54</f>
        <v/>
      </c>
      <c r="D118" s="1" t="str">
        <f t="shared" si="69"/>
        <v/>
      </c>
      <c r="E118" s="1" t="str">
        <f t="shared" si="69"/>
        <v/>
      </c>
      <c r="F118" s="1" t="str">
        <f t="shared" si="69"/>
        <v/>
      </c>
      <c r="G118" s="1" t="str">
        <f t="shared" si="69"/>
        <v/>
      </c>
      <c r="H118" s="1" t="str">
        <f t="shared" si="69"/>
        <v/>
      </c>
      <c r="I118" s="1"/>
      <c r="J118" s="1" t="str">
        <f t="shared" si="65"/>
        <v>BYE</v>
      </c>
      <c r="K118" s="1"/>
      <c r="L118" s="1"/>
      <c r="M118" s="1"/>
      <c r="N118" s="1"/>
      <c r="O118" s="1"/>
      <c r="P118" s="5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</sheetData>
  <mergeCells count="8">
    <mergeCell ref="B2:H2"/>
    <mergeCell ref="B11:H11"/>
    <mergeCell ref="B20:H20"/>
    <mergeCell ref="B29:H29"/>
    <mergeCell ref="B38:H38"/>
    <mergeCell ref="B47:H47"/>
    <mergeCell ref="B55:H55"/>
    <mergeCell ref="B56:H5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  <col customWidth="1" min="5" max="5" width="16.88"/>
  </cols>
  <sheetData>
    <row r="1">
      <c r="A1" s="8"/>
      <c r="B1" s="8"/>
      <c r="C1" s="8"/>
      <c r="D1" s="8"/>
      <c r="E1" s="8"/>
      <c r="F1" s="8"/>
      <c r="G1" s="8"/>
      <c r="H1" s="8"/>
    </row>
    <row r="2">
      <c r="A2" s="8"/>
      <c r="B2" s="12" t="s">
        <v>11</v>
      </c>
      <c r="C2" s="12" t="s">
        <v>16</v>
      </c>
      <c r="D2" s="14"/>
      <c r="E2" s="12" t="s">
        <v>11</v>
      </c>
      <c r="F2" s="12" t="s">
        <v>16</v>
      </c>
      <c r="G2" s="12" t="s">
        <v>21</v>
      </c>
      <c r="H2" s="8"/>
    </row>
    <row r="3">
      <c r="A3" s="8"/>
      <c r="B3" s="8" t="str">
        <f>'RR Scores'!B4</f>
        <v>Mission San Jose A</v>
      </c>
      <c r="C3" s="8">
        <f>'RR Scores'!N4</f>
        <v>2896.12753</v>
      </c>
      <c r="D3" s="8"/>
      <c r="E3" s="8" t="str">
        <f t="array" ref="E3:F38">SORT(B3:C38, 2, FALSE)</f>
        <v>Montgomery Blair A</v>
      </c>
      <c r="F3" s="8">
        <v>2976.7747064356586</v>
      </c>
      <c r="G3" s="31">
        <v>1.0</v>
      </c>
      <c r="H3" s="8"/>
    </row>
    <row r="4">
      <c r="A4" s="8"/>
      <c r="B4" s="33" t="str">
        <f>'RR Scores'!B5</f>
        <v>BYE</v>
      </c>
      <c r="C4" s="33">
        <f>'RR Scores'!N5</f>
        <v>0</v>
      </c>
      <c r="D4" s="8"/>
      <c r="E4" s="8" t="s">
        <v>60</v>
      </c>
      <c r="F4" s="8">
        <v>2896.1275298115725</v>
      </c>
      <c r="G4" s="8">
        <f t="shared" ref="G4:G18" si="1">1+G3</f>
        <v>2</v>
      </c>
      <c r="H4" s="8"/>
    </row>
    <row r="5">
      <c r="A5" s="8"/>
      <c r="B5" s="8" t="str">
        <f>'RR Scores'!B6</f>
        <v>Princeton</v>
      </c>
      <c r="C5" s="8">
        <f>'RR Scores'!N6</f>
        <v>1492.706709</v>
      </c>
      <c r="D5" s="8"/>
      <c r="E5" s="8" t="s">
        <v>97</v>
      </c>
      <c r="F5" s="8">
        <v>2863.735776921443</v>
      </c>
      <c r="G5" s="8">
        <f t="shared" si="1"/>
        <v>3</v>
      </c>
      <c r="H5" s="8"/>
    </row>
    <row r="6">
      <c r="A6" s="8"/>
      <c r="B6" s="8" t="str">
        <f>'RR Scores'!B7</f>
        <v>Basis Silicon Valley</v>
      </c>
      <c r="C6" s="8">
        <f>'RR Scores'!N7</f>
        <v>2175.553904</v>
      </c>
      <c r="D6" s="8"/>
      <c r="E6" s="8" t="s">
        <v>111</v>
      </c>
      <c r="F6" s="8">
        <v>2846.826907788937</v>
      </c>
      <c r="G6" s="8">
        <f t="shared" si="1"/>
        <v>4</v>
      </c>
      <c r="H6" s="8"/>
    </row>
    <row r="7">
      <c r="A7" s="8"/>
      <c r="B7" s="8" t="str">
        <f>'RR Scores'!B8</f>
        <v>Collierville</v>
      </c>
      <c r="C7" s="8">
        <f>'RR Scores'!N8</f>
        <v>52.81700397</v>
      </c>
      <c r="D7" s="8"/>
      <c r="E7" s="8" t="s">
        <v>113</v>
      </c>
      <c r="F7" s="8">
        <v>2844.934308341172</v>
      </c>
      <c r="G7" s="8">
        <f t="shared" si="1"/>
        <v>5</v>
      </c>
      <c r="H7" s="8"/>
    </row>
    <row r="8">
      <c r="A8" s="8"/>
      <c r="B8" s="8" t="str">
        <f>'RR Scores'!B9</f>
        <v>Centreville A</v>
      </c>
      <c r="C8" s="8">
        <f>'RR Scores'!N9</f>
        <v>790.9962982</v>
      </c>
      <c r="D8" s="8"/>
      <c r="E8" s="8" t="s">
        <v>55</v>
      </c>
      <c r="F8" s="8">
        <v>2310.803823163516</v>
      </c>
      <c r="G8" s="8">
        <f t="shared" si="1"/>
        <v>6</v>
      </c>
      <c r="H8" s="8"/>
    </row>
    <row r="9">
      <c r="A9" s="8"/>
      <c r="B9" s="8" t="str">
        <f>'RR Scores'!B13</f>
        <v>Enloe</v>
      </c>
      <c r="C9" s="8">
        <f>'RR Scores'!N13</f>
        <v>1769.754262</v>
      </c>
      <c r="D9" s="8"/>
      <c r="E9" s="8" t="s">
        <v>35</v>
      </c>
      <c r="F9" s="8">
        <v>2175.55390357132</v>
      </c>
      <c r="G9" s="8">
        <f t="shared" si="1"/>
        <v>7</v>
      </c>
      <c r="H9" s="8"/>
    </row>
    <row r="10">
      <c r="A10" s="8"/>
      <c r="B10" s="8" t="str">
        <f>'RR Scores'!B14</f>
        <v>Iolani A</v>
      </c>
      <c r="C10" s="8">
        <f>'RR Scores'!N14</f>
        <v>2310.803823</v>
      </c>
      <c r="D10" s="8"/>
      <c r="E10" s="8" t="s">
        <v>148</v>
      </c>
      <c r="F10" s="8">
        <v>2142.678793579513</v>
      </c>
      <c r="G10" s="8">
        <f t="shared" si="1"/>
        <v>8</v>
      </c>
      <c r="H10" s="8"/>
    </row>
    <row r="11">
      <c r="A11" s="8"/>
      <c r="B11" s="8" t="str">
        <f>'RR Scores'!B15</f>
        <v>Winston Churchill</v>
      </c>
      <c r="C11" s="8">
        <f>'RR Scores'!N15</f>
        <v>568.6951846</v>
      </c>
      <c r="D11" s="8"/>
      <c r="E11" s="8" t="s">
        <v>96</v>
      </c>
      <c r="F11" s="8">
        <v>2111.398944078648</v>
      </c>
      <c r="G11" s="8">
        <f t="shared" si="1"/>
        <v>9</v>
      </c>
      <c r="H11" s="8"/>
    </row>
    <row r="12">
      <c r="A12" s="8"/>
      <c r="B12" s="8" t="str">
        <f>'RR Scores'!B16</f>
        <v>North Hollywood</v>
      </c>
      <c r="C12" s="8">
        <f>'RR Scores'!N16</f>
        <v>2846.826908</v>
      </c>
      <c r="D12" s="8"/>
      <c r="E12" s="8" t="s">
        <v>191</v>
      </c>
      <c r="F12" s="8">
        <v>2034.2718997481566</v>
      </c>
      <c r="G12" s="8">
        <f t="shared" si="1"/>
        <v>10</v>
      </c>
      <c r="H12" s="8"/>
    </row>
    <row r="13">
      <c r="A13" s="8"/>
      <c r="B13" s="8" t="str">
        <f>'RR Scores'!B17</f>
        <v>Temple City</v>
      </c>
      <c r="C13" s="8">
        <f>'RR Scores'!N17</f>
        <v>1156.658531</v>
      </c>
      <c r="D13" s="8"/>
      <c r="E13" s="8" t="s">
        <v>102</v>
      </c>
      <c r="F13" s="8">
        <v>1769.754261613618</v>
      </c>
      <c r="G13" s="8">
        <f t="shared" si="1"/>
        <v>11</v>
      </c>
      <c r="H13" s="8"/>
    </row>
    <row r="14">
      <c r="A14" s="8"/>
      <c r="B14" s="8" t="str">
        <f>'RR Scores'!B18</f>
        <v>Brooklyn Tech B</v>
      </c>
      <c r="C14" s="8">
        <f>'RR Scores'!N18</f>
        <v>51.94026155</v>
      </c>
      <c r="D14" s="8"/>
      <c r="E14" s="8" t="s">
        <v>124</v>
      </c>
      <c r="F14" s="8">
        <v>1758.1569317595654</v>
      </c>
      <c r="G14" s="8">
        <f t="shared" si="1"/>
        <v>12</v>
      </c>
      <c r="H14" s="8"/>
    </row>
    <row r="15">
      <c r="A15" s="8"/>
      <c r="B15" s="8" t="str">
        <f>'RR Scores'!B22</f>
        <v>Evergreen</v>
      </c>
      <c r="C15" s="8">
        <f>'RR Scores'!N22</f>
        <v>776.9849501</v>
      </c>
      <c r="D15" s="8"/>
      <c r="E15" s="8" t="s">
        <v>69</v>
      </c>
      <c r="F15" s="8">
        <v>1697.8214036471766</v>
      </c>
      <c r="G15" s="8">
        <f t="shared" si="1"/>
        <v>13</v>
      </c>
      <c r="H15" s="8"/>
    </row>
    <row r="16">
      <c r="A16" s="8"/>
      <c r="B16" s="8" t="str">
        <f>'RR Scores'!B23</f>
        <v>BASIS Chandler A</v>
      </c>
      <c r="C16" s="8">
        <f>'RR Scores'!N23</f>
        <v>2034.2719</v>
      </c>
      <c r="D16" s="8"/>
      <c r="E16" s="8" t="s">
        <v>149</v>
      </c>
      <c r="F16" s="8">
        <v>1692.2824043450557</v>
      </c>
      <c r="G16" s="8">
        <f t="shared" si="1"/>
        <v>14</v>
      </c>
      <c r="H16" s="8"/>
    </row>
    <row r="17">
      <c r="A17" s="8"/>
      <c r="B17" s="8" t="str">
        <f>'RR Scores'!B24</f>
        <v>Montgomery Blair A</v>
      </c>
      <c r="C17" s="8">
        <f>'RR Scores'!N24</f>
        <v>2976.774706</v>
      </c>
      <c r="D17" s="8"/>
      <c r="E17" s="8" t="s">
        <v>207</v>
      </c>
      <c r="F17" s="8">
        <v>1606.8235579694754</v>
      </c>
      <c r="G17" s="8">
        <f t="shared" si="1"/>
        <v>15</v>
      </c>
      <c r="H17" s="8"/>
    </row>
    <row r="18">
      <c r="A18" s="8"/>
      <c r="B18" s="8" t="str">
        <f>'RR Scores'!B25</f>
        <v>Plano West</v>
      </c>
      <c r="C18" s="8">
        <f>'RR Scores'!N25</f>
        <v>1363.468216</v>
      </c>
      <c r="D18" s="8"/>
      <c r="E18" s="8" t="s">
        <v>135</v>
      </c>
      <c r="F18" s="8">
        <v>1565.0669053615318</v>
      </c>
      <c r="G18" s="8">
        <f t="shared" si="1"/>
        <v>16</v>
      </c>
      <c r="H18" s="8"/>
    </row>
    <row r="19">
      <c r="A19" s="8"/>
      <c r="B19" s="8" t="str">
        <f>'RR Scores'!B26</f>
        <v>Canyon Crest B</v>
      </c>
      <c r="C19" s="8">
        <f>'RR Scores'!N26</f>
        <v>90.56637437</v>
      </c>
      <c r="D19" s="8"/>
      <c r="E19" s="8" t="s">
        <v>33</v>
      </c>
      <c r="F19" s="8">
        <v>1492.7067087416938</v>
      </c>
      <c r="G19" s="8"/>
      <c r="H19" s="8"/>
    </row>
    <row r="20">
      <c r="A20" s="8"/>
      <c r="B20" s="33" t="str">
        <f>'RR Scores'!B27</f>
        <v>BYE</v>
      </c>
      <c r="C20" s="33">
        <f>'RR Scores'!N27</f>
        <v>0</v>
      </c>
      <c r="D20" s="8"/>
      <c r="E20" s="8" t="s">
        <v>137</v>
      </c>
      <c r="F20" s="8">
        <v>1459.6367994659709</v>
      </c>
      <c r="G20" s="8"/>
      <c r="H20" s="8"/>
    </row>
    <row r="21">
      <c r="A21" s="8"/>
      <c r="B21" s="8" t="str">
        <f>'RR Scores'!B31</f>
        <v>Commonwealth School</v>
      </c>
      <c r="C21" s="8">
        <f>'RR Scores'!N31</f>
        <v>85.81090512</v>
      </c>
      <c r="D21" s="8"/>
      <c r="E21" s="8" t="s">
        <v>147</v>
      </c>
      <c r="F21" s="8">
        <v>1363.4682161604517</v>
      </c>
      <c r="G21" s="8"/>
      <c r="H21" s="8"/>
    </row>
    <row r="22">
      <c r="A22" s="8"/>
      <c r="B22" s="8" t="str">
        <f>'RR Scores'!B32</f>
        <v>Whitney Young</v>
      </c>
      <c r="C22" s="8">
        <f>'RR Scores'!N32</f>
        <v>794.0602907</v>
      </c>
      <c r="D22" s="8"/>
      <c r="E22" s="8" t="s">
        <v>161</v>
      </c>
      <c r="F22" s="8">
        <v>1189.9085475012896</v>
      </c>
      <c r="G22" s="8"/>
      <c r="H22" s="8"/>
    </row>
    <row r="23">
      <c r="A23" s="8"/>
      <c r="B23" s="8" t="str">
        <f>'RR Scores'!B33</f>
        <v>Montgomery Blair B</v>
      </c>
      <c r="C23" s="8">
        <f>'RR Scores'!N33</f>
        <v>1565.066905</v>
      </c>
      <c r="D23" s="8"/>
      <c r="E23" s="8" t="s">
        <v>158</v>
      </c>
      <c r="F23" s="8">
        <v>1156.6585308128774</v>
      </c>
      <c r="G23" s="8"/>
      <c r="H23" s="8"/>
    </row>
    <row r="24">
      <c r="A24" s="8"/>
      <c r="B24" s="8" t="str">
        <f>'RR Scores'!B34</f>
        <v>Canyon Crest A</v>
      </c>
      <c r="C24" s="8">
        <f>'RR Scores'!N34</f>
        <v>2142.678794</v>
      </c>
      <c r="D24" s="8"/>
      <c r="E24" s="8" t="s">
        <v>123</v>
      </c>
      <c r="F24" s="8">
        <v>794.0602906817975</v>
      </c>
      <c r="G24" s="8"/>
      <c r="H24" s="8"/>
    </row>
    <row r="25">
      <c r="A25" s="8"/>
      <c r="B25" s="8" t="str">
        <f>'RR Scores'!B35</f>
        <v>James Clemens</v>
      </c>
      <c r="C25" s="8">
        <f>'RR Scores'!N35</f>
        <v>2863.735777</v>
      </c>
      <c r="D25" s="8"/>
      <c r="E25" s="8" t="s">
        <v>42</v>
      </c>
      <c r="F25" s="8">
        <v>790.9962982067543</v>
      </c>
      <c r="G25" s="8"/>
      <c r="H25" s="8"/>
    </row>
    <row r="26">
      <c r="A26" s="8"/>
      <c r="B26" s="33" t="str">
        <f>'RR Scores'!B36</f>
        <v>BYE</v>
      </c>
      <c r="C26" s="33" t="str">
        <f>'RR Scores'!N36</f>
        <v/>
      </c>
      <c r="D26" s="8"/>
      <c r="E26" s="8" t="s">
        <v>108</v>
      </c>
      <c r="F26" s="8">
        <v>776.9849500864763</v>
      </c>
      <c r="G26" s="8"/>
      <c r="H26" s="8"/>
    </row>
    <row r="27">
      <c r="A27" s="8"/>
      <c r="B27" s="8" t="str">
        <f>'RR Scores'!B40</f>
        <v>Mission San Jose B</v>
      </c>
      <c r="C27" s="8">
        <f>'RR Scores'!N40</f>
        <v>1606.823558</v>
      </c>
      <c r="D27" s="8"/>
      <c r="E27" s="8" t="s">
        <v>61</v>
      </c>
      <c r="F27" s="8">
        <v>702.3128622144006</v>
      </c>
      <c r="G27" s="8"/>
      <c r="H27" s="8"/>
    </row>
    <row r="28">
      <c r="A28" s="8"/>
      <c r="B28" s="8" t="str">
        <f>'RR Scores'!B41</f>
        <v>School of Biology</v>
      </c>
      <c r="C28" s="8">
        <f>'RR Scores'!N41</f>
        <v>1758.156932</v>
      </c>
      <c r="D28" s="8"/>
      <c r="E28" s="8" t="s">
        <v>136</v>
      </c>
      <c r="F28" s="8">
        <v>629.7708407925479</v>
      </c>
      <c r="G28" s="8"/>
      <c r="H28" s="8"/>
    </row>
    <row r="29">
      <c r="A29" s="8"/>
      <c r="B29" s="8" t="str">
        <f>'RR Scores'!B42</f>
        <v>Brooklyn Tech A</v>
      </c>
      <c r="C29" s="8">
        <f>'RR Scores'!N42</f>
        <v>629.7708408</v>
      </c>
      <c r="D29" s="8"/>
      <c r="E29" s="8" t="s">
        <v>133</v>
      </c>
      <c r="F29" s="8">
        <v>568.6951846345238</v>
      </c>
      <c r="G29" s="8"/>
      <c r="H29" s="8"/>
    </row>
    <row r="30">
      <c r="A30" s="8"/>
      <c r="B30" s="8" t="str">
        <f>'RR Scores'!B43</f>
        <v>Saratoga</v>
      </c>
      <c r="C30" s="8">
        <f>'RR Scores'!N43</f>
        <v>1692.282404</v>
      </c>
      <c r="D30" s="8"/>
      <c r="E30" s="8" t="s">
        <v>159</v>
      </c>
      <c r="F30" s="8">
        <v>90.56637436659891</v>
      </c>
      <c r="G30" s="8"/>
      <c r="H30" s="8"/>
    </row>
    <row r="31">
      <c r="A31" s="8"/>
      <c r="B31" s="8" t="str">
        <f>'RR Scores'!B44</f>
        <v>WWPS A</v>
      </c>
      <c r="C31" s="8">
        <f>'RR Scores'!N44</f>
        <v>1189.908548</v>
      </c>
      <c r="D31" s="8"/>
      <c r="E31" s="8" t="s">
        <v>110</v>
      </c>
      <c r="F31" s="8">
        <v>85.81090511879117</v>
      </c>
      <c r="G31" s="8"/>
      <c r="H31" s="8"/>
    </row>
    <row r="32">
      <c r="A32" s="8"/>
      <c r="B32" s="8" t="str">
        <f>'RR Scores'!B45</f>
        <v>ASFA</v>
      </c>
      <c r="C32" s="8">
        <f>'RR Scores'!N45</f>
        <v>1697.821404</v>
      </c>
      <c r="D32" s="8"/>
      <c r="E32" s="8" t="s">
        <v>38</v>
      </c>
      <c r="F32" s="8">
        <v>52.81700397487636</v>
      </c>
      <c r="G32" s="8"/>
      <c r="H32" s="8"/>
    </row>
    <row r="33">
      <c r="A33" s="8"/>
      <c r="B33" s="8" t="str">
        <f>'RR Scores'!B49</f>
        <v>Lakeside</v>
      </c>
      <c r="C33" s="8">
        <f>'RR Scores'!N49</f>
        <v>2844.934308</v>
      </c>
      <c r="D33" s="8"/>
      <c r="E33" s="8" t="s">
        <v>170</v>
      </c>
      <c r="F33" s="8">
        <v>51.94026155293261</v>
      </c>
      <c r="G33" s="8"/>
      <c r="H33" s="8"/>
    </row>
    <row r="34">
      <c r="A34" s="8"/>
      <c r="B34" s="8" t="str">
        <f>'RR Scores'!B50</f>
        <v>Iolani B</v>
      </c>
      <c r="C34" s="8">
        <f>'RR Scores'!N50</f>
        <v>702.3128622</v>
      </c>
      <c r="D34" s="8"/>
      <c r="E34" s="8" t="s">
        <v>163</v>
      </c>
      <c r="F34" s="8">
        <v>42.373395636738785</v>
      </c>
      <c r="G34" s="8"/>
      <c r="H34" s="8"/>
    </row>
    <row r="35">
      <c r="A35" s="8"/>
      <c r="B35" s="8" t="str">
        <f>'RR Scores'!B51</f>
        <v>Wayzata</v>
      </c>
      <c r="C35" s="8">
        <f>'RR Scores'!N51</f>
        <v>1459.636799</v>
      </c>
      <c r="D35" s="8"/>
      <c r="E35" s="33" t="s">
        <v>32</v>
      </c>
      <c r="F35" s="33">
        <v>0.0</v>
      </c>
      <c r="G35" s="33"/>
      <c r="H35" s="8"/>
    </row>
    <row r="36">
      <c r="A36" s="8"/>
      <c r="B36" s="8" t="str">
        <f>'RR Scores'!B52</f>
        <v>Palo Alto</v>
      </c>
      <c r="C36" s="8">
        <f>'RR Scores'!N52</f>
        <v>2111.398944</v>
      </c>
      <c r="D36" s="8"/>
      <c r="E36" s="33" t="s">
        <v>32</v>
      </c>
      <c r="F36" s="33">
        <v>0.0</v>
      </c>
      <c r="G36" s="33"/>
      <c r="H36" s="8"/>
    </row>
    <row r="37">
      <c r="A37" s="8"/>
      <c r="B37" s="8" t="str">
        <f>'RR Scores'!B53</f>
        <v>East Brunswick</v>
      </c>
      <c r="C37" s="8">
        <f>'RR Scores'!N53</f>
        <v>42.37339564</v>
      </c>
      <c r="D37" s="8"/>
      <c r="E37" s="33" t="s">
        <v>32</v>
      </c>
      <c r="F37" s="33"/>
      <c r="G37" s="33"/>
      <c r="H37" s="8"/>
    </row>
    <row r="38">
      <c r="A38" s="8"/>
      <c r="B38" s="33" t="str">
        <f>'RR Scores'!B54</f>
        <v>BYE</v>
      </c>
      <c r="C38" s="33" t="str">
        <f>'RR Scores'!N54</f>
        <v/>
      </c>
      <c r="D38" s="8"/>
      <c r="E38" s="33" t="s">
        <v>32</v>
      </c>
      <c r="F38" s="33"/>
      <c r="G38" s="33"/>
      <c r="H38" s="8"/>
    </row>
    <row r="39">
      <c r="A39" s="8"/>
      <c r="B39" s="8"/>
      <c r="C39" s="8"/>
      <c r="D39" s="8"/>
      <c r="E39" s="8"/>
      <c r="F39" s="8"/>
      <c r="G39" s="8"/>
      <c r="H39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38"/>
    <col customWidth="1" min="2" max="2" width="3.75"/>
    <col customWidth="1" min="3" max="3" width="21.38"/>
    <col customWidth="1" min="4" max="4" width="3.75"/>
    <col customWidth="1" min="5" max="5" width="21.38"/>
    <col customWidth="1" min="6" max="6" width="3.75"/>
    <col customWidth="1" min="7" max="7" width="21.5"/>
    <col customWidth="1" min="8" max="8" width="3.75"/>
    <col customWidth="1" min="9" max="9" width="21.5"/>
    <col customWidth="1" min="10" max="10" width="3.75"/>
    <col customWidth="1" min="11" max="11" width="21.5"/>
    <col customWidth="1" min="12" max="12" width="3.75"/>
    <col customWidth="1" min="13" max="13" width="21.5"/>
    <col customWidth="1" min="14" max="14" width="3.75"/>
    <col customWidth="1" min="15" max="15" width="23.75"/>
    <col customWidth="1" min="16" max="17" width="3.75"/>
    <col customWidth="1" min="18" max="18" width="25.5"/>
    <col customWidth="1" min="19" max="19" width="5.63"/>
  </cols>
  <sheetData>
    <row r="1">
      <c r="A1" s="66" t="s">
        <v>98</v>
      </c>
      <c r="B1" s="7"/>
      <c r="C1" s="66" t="s">
        <v>107</v>
      </c>
      <c r="D1" s="7"/>
      <c r="E1" s="66" t="s">
        <v>120</v>
      </c>
      <c r="F1" s="7"/>
      <c r="G1" s="66" t="s">
        <v>145</v>
      </c>
      <c r="H1" s="7"/>
      <c r="I1" s="66" t="s">
        <v>156</v>
      </c>
      <c r="J1" s="7"/>
      <c r="K1" s="66" t="s">
        <v>168</v>
      </c>
      <c r="L1" s="7"/>
      <c r="M1" s="66" t="s">
        <v>184</v>
      </c>
      <c r="N1" s="7"/>
      <c r="O1" s="66" t="s">
        <v>211</v>
      </c>
      <c r="P1" s="6"/>
      <c r="Q1" s="7"/>
      <c r="R1" s="67"/>
      <c r="S1" s="67"/>
    </row>
    <row r="2">
      <c r="A2" s="68"/>
      <c r="B2" s="67"/>
      <c r="C2" s="68"/>
      <c r="D2" s="67"/>
      <c r="E2" s="68"/>
      <c r="F2" s="67"/>
      <c r="G2" s="68"/>
      <c r="H2" s="67"/>
      <c r="I2" s="68"/>
      <c r="J2" s="67"/>
      <c r="K2" s="68"/>
      <c r="L2" s="67"/>
      <c r="M2" s="68"/>
      <c r="N2" s="67"/>
      <c r="O2" s="68"/>
      <c r="P2" s="67"/>
      <c r="Q2" s="67"/>
      <c r="R2" s="67"/>
      <c r="S2" s="67"/>
    </row>
    <row r="3">
      <c r="A3" s="32" t="s">
        <v>134</v>
      </c>
      <c r="B3" s="69">
        <v>176.0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 t="s">
        <v>212</v>
      </c>
    </row>
    <row r="4">
      <c r="A4" s="68" t="s">
        <v>213</v>
      </c>
      <c r="B4" s="67"/>
      <c r="C4" s="71" t="s">
        <v>134</v>
      </c>
      <c r="D4" s="69">
        <v>124.0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72" t="s">
        <v>134</v>
      </c>
      <c r="S4" s="72" t="s">
        <v>214</v>
      </c>
    </row>
    <row r="5">
      <c r="A5" s="32" t="s">
        <v>135</v>
      </c>
      <c r="B5" s="69">
        <v>40.0</v>
      </c>
      <c r="C5" s="73"/>
      <c r="D5" s="67"/>
      <c r="E5" s="74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72" t="s">
        <v>113</v>
      </c>
      <c r="S5" s="72" t="s">
        <v>215</v>
      </c>
    </row>
    <row r="6">
      <c r="A6" s="67"/>
      <c r="B6" s="67"/>
      <c r="C6" s="68" t="s">
        <v>216</v>
      </c>
      <c r="D6" s="67"/>
      <c r="E6" s="75" t="s">
        <v>32</v>
      </c>
      <c r="F6" s="76"/>
      <c r="G6" s="32" t="s">
        <v>134</v>
      </c>
      <c r="H6" s="69">
        <v>152.0</v>
      </c>
      <c r="I6" s="67"/>
      <c r="J6" s="67"/>
      <c r="K6" s="67"/>
      <c r="L6" s="67"/>
      <c r="M6" s="67"/>
      <c r="N6" s="67"/>
      <c r="O6" s="67"/>
      <c r="P6" s="67"/>
      <c r="Q6" s="67"/>
      <c r="R6" s="72" t="s">
        <v>60</v>
      </c>
      <c r="S6" s="72" t="s">
        <v>217</v>
      </c>
    </row>
    <row r="7">
      <c r="A7" s="32" t="s">
        <v>148</v>
      </c>
      <c r="B7" s="69">
        <v>60.0</v>
      </c>
      <c r="C7" s="67"/>
      <c r="D7" s="67"/>
      <c r="E7" s="74"/>
      <c r="F7" s="67"/>
      <c r="G7" s="67"/>
      <c r="H7" s="67"/>
      <c r="I7" s="74"/>
      <c r="J7" s="67"/>
      <c r="K7" s="67"/>
      <c r="L7" s="67"/>
      <c r="M7" s="67"/>
      <c r="N7" s="67"/>
      <c r="O7" s="67"/>
      <c r="P7" s="67"/>
      <c r="Q7" s="67"/>
      <c r="R7" s="72" t="s">
        <v>35</v>
      </c>
      <c r="S7" s="72" t="s">
        <v>218</v>
      </c>
    </row>
    <row r="8">
      <c r="A8" s="68" t="s">
        <v>219</v>
      </c>
      <c r="B8" s="67"/>
      <c r="C8" s="71" t="s">
        <v>96</v>
      </c>
      <c r="D8" s="69">
        <v>48.0</v>
      </c>
      <c r="E8" s="74"/>
      <c r="F8" s="67"/>
      <c r="G8" s="67"/>
      <c r="H8" s="67"/>
      <c r="I8" s="74"/>
      <c r="J8" s="67"/>
      <c r="K8" s="67"/>
      <c r="L8" s="67"/>
      <c r="M8" s="67"/>
      <c r="N8" s="67"/>
      <c r="O8" s="67"/>
      <c r="P8" s="67"/>
      <c r="Q8" s="67"/>
      <c r="R8" s="67"/>
      <c r="S8" s="67"/>
    </row>
    <row r="9">
      <c r="A9" s="32" t="s">
        <v>96</v>
      </c>
      <c r="B9" s="69">
        <v>68.0</v>
      </c>
      <c r="C9" s="73"/>
      <c r="D9" s="67"/>
      <c r="E9" s="67"/>
      <c r="F9" s="67"/>
      <c r="G9" s="67"/>
      <c r="H9" s="67"/>
      <c r="I9" s="74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>
      <c r="A10" s="67"/>
      <c r="B10" s="67"/>
      <c r="C10" s="68"/>
      <c r="D10" s="67"/>
      <c r="E10" s="67"/>
      <c r="F10" s="67"/>
      <c r="G10" s="68" t="s">
        <v>220</v>
      </c>
      <c r="H10" s="67"/>
      <c r="I10" s="75" t="s">
        <v>32</v>
      </c>
      <c r="J10" s="76"/>
      <c r="K10" s="32" t="s">
        <v>134</v>
      </c>
      <c r="L10" s="69">
        <v>106.0</v>
      </c>
      <c r="M10" s="67"/>
      <c r="N10" s="67"/>
      <c r="O10" s="67"/>
      <c r="P10" s="67"/>
      <c r="Q10" s="67"/>
      <c r="R10" s="67"/>
      <c r="S10" s="67"/>
    </row>
    <row r="11">
      <c r="A11" s="32" t="s">
        <v>111</v>
      </c>
      <c r="B11" s="69">
        <v>68.0</v>
      </c>
      <c r="C11" s="67"/>
      <c r="D11" s="67"/>
      <c r="E11" s="67"/>
      <c r="F11" s="67"/>
      <c r="G11" s="67"/>
      <c r="H11" s="67"/>
      <c r="I11" s="74"/>
      <c r="J11" s="67"/>
      <c r="K11" s="67"/>
      <c r="L11" s="77"/>
      <c r="M11" s="67"/>
      <c r="N11" s="67"/>
      <c r="O11" s="67"/>
      <c r="P11" s="67"/>
      <c r="Q11" s="67"/>
      <c r="R11" s="67"/>
      <c r="S11" s="67"/>
    </row>
    <row r="12">
      <c r="A12" s="68" t="s">
        <v>221</v>
      </c>
      <c r="B12" s="67"/>
      <c r="C12" s="71" t="s">
        <v>111</v>
      </c>
      <c r="D12" s="69">
        <v>80.0</v>
      </c>
      <c r="E12" s="67"/>
      <c r="F12" s="67"/>
      <c r="G12" s="67"/>
      <c r="H12" s="67"/>
      <c r="I12" s="74"/>
      <c r="J12" s="67"/>
      <c r="K12" s="67"/>
      <c r="L12" s="77"/>
      <c r="M12" s="67"/>
      <c r="N12" s="67"/>
      <c r="O12" s="67"/>
      <c r="P12" s="67"/>
      <c r="Q12" s="67"/>
      <c r="R12" s="67"/>
      <c r="S12" s="67"/>
    </row>
    <row r="13">
      <c r="A13" s="32" t="s">
        <v>69</v>
      </c>
      <c r="B13" s="69">
        <v>16.0</v>
      </c>
      <c r="C13" s="73"/>
      <c r="D13" s="67"/>
      <c r="E13" s="74"/>
      <c r="F13" s="67"/>
      <c r="G13" s="67"/>
      <c r="H13" s="67"/>
      <c r="I13" s="74"/>
      <c r="J13" s="67"/>
      <c r="K13" s="67"/>
      <c r="L13" s="77"/>
      <c r="M13" s="67"/>
      <c r="N13" s="67"/>
      <c r="O13" s="67"/>
      <c r="P13" s="67"/>
      <c r="Q13" s="67"/>
      <c r="R13" s="67"/>
      <c r="S13" s="67"/>
    </row>
    <row r="14">
      <c r="A14" s="67"/>
      <c r="B14" s="67"/>
      <c r="C14" s="68" t="s">
        <v>222</v>
      </c>
      <c r="D14" s="67"/>
      <c r="E14" s="75" t="s">
        <v>32</v>
      </c>
      <c r="F14" s="76"/>
      <c r="G14" s="32" t="s">
        <v>113</v>
      </c>
      <c r="H14" s="69">
        <v>24.0</v>
      </c>
      <c r="I14" s="74"/>
      <c r="J14" s="67"/>
      <c r="K14" s="67"/>
      <c r="L14" s="77"/>
      <c r="M14" s="67"/>
      <c r="N14" s="67"/>
      <c r="O14" s="67"/>
      <c r="P14" s="67"/>
      <c r="Q14" s="67"/>
      <c r="R14" s="67"/>
      <c r="S14" s="67"/>
    </row>
    <row r="15">
      <c r="A15" s="32" t="s">
        <v>113</v>
      </c>
      <c r="B15" s="69">
        <v>108.0</v>
      </c>
      <c r="C15" s="67"/>
      <c r="D15" s="67"/>
      <c r="E15" s="74"/>
      <c r="F15" s="67"/>
      <c r="G15" s="67"/>
      <c r="H15" s="67"/>
      <c r="I15" s="67"/>
      <c r="J15" s="67"/>
      <c r="K15" s="67"/>
      <c r="L15" s="77"/>
      <c r="M15" s="67"/>
      <c r="N15" s="67"/>
      <c r="O15" s="67"/>
      <c r="P15" s="67"/>
      <c r="Q15" s="67"/>
      <c r="R15" s="67"/>
      <c r="S15" s="67"/>
    </row>
    <row r="16">
      <c r="A16" s="68" t="s">
        <v>223</v>
      </c>
      <c r="B16" s="67"/>
      <c r="C16" s="71" t="s">
        <v>113</v>
      </c>
      <c r="D16" s="69">
        <v>84.0</v>
      </c>
      <c r="E16" s="74"/>
      <c r="F16" s="67"/>
      <c r="G16" s="67"/>
      <c r="H16" s="67"/>
      <c r="I16" s="67"/>
      <c r="J16" s="67"/>
      <c r="K16" s="67"/>
      <c r="L16" s="77"/>
      <c r="M16" s="67"/>
      <c r="N16" s="67"/>
      <c r="O16" s="67"/>
      <c r="P16" s="67"/>
      <c r="Q16" s="67"/>
      <c r="R16" s="67"/>
      <c r="S16" s="67"/>
    </row>
    <row r="17">
      <c r="A17" s="32" t="s">
        <v>124</v>
      </c>
      <c r="B17" s="69">
        <v>62.0</v>
      </c>
      <c r="C17" s="73"/>
      <c r="D17" s="67"/>
      <c r="E17" s="67"/>
      <c r="F17" s="67"/>
      <c r="G17" s="72" t="s">
        <v>224</v>
      </c>
      <c r="H17" s="67"/>
      <c r="I17" s="67"/>
      <c r="J17" s="67"/>
      <c r="K17" s="67"/>
      <c r="L17" s="77"/>
      <c r="M17" s="67"/>
      <c r="N17" s="67"/>
      <c r="O17" s="67"/>
      <c r="P17" s="72"/>
      <c r="Q17" s="67"/>
      <c r="R17" s="67"/>
      <c r="S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8" t="s">
        <v>225</v>
      </c>
      <c r="L18" s="77"/>
      <c r="M18" s="75" t="s">
        <v>32</v>
      </c>
      <c r="N18" s="76"/>
      <c r="O18" s="32" t="s">
        <v>134</v>
      </c>
      <c r="P18" s="69">
        <v>102.0</v>
      </c>
      <c r="Q18" s="69"/>
      <c r="R18" s="67"/>
      <c r="S18" s="67"/>
    </row>
    <row r="19">
      <c r="A19" s="32" t="s">
        <v>55</v>
      </c>
      <c r="B19" s="69">
        <v>104.0</v>
      </c>
      <c r="C19" s="67"/>
      <c r="D19" s="67"/>
      <c r="E19" s="67"/>
      <c r="F19" s="67"/>
      <c r="G19" s="67"/>
      <c r="H19" s="67"/>
      <c r="I19" s="67"/>
      <c r="J19" s="67"/>
      <c r="K19" s="67"/>
      <c r="L19" s="77"/>
      <c r="M19" s="67"/>
      <c r="N19" s="67"/>
      <c r="O19" s="67"/>
      <c r="P19" s="67"/>
      <c r="Q19" s="77"/>
      <c r="R19" s="67"/>
      <c r="S19" s="67"/>
    </row>
    <row r="20">
      <c r="A20" s="68" t="s">
        <v>226</v>
      </c>
      <c r="B20" s="67"/>
      <c r="C20" s="71" t="s">
        <v>55</v>
      </c>
      <c r="D20" s="69">
        <v>94.0</v>
      </c>
      <c r="E20" s="67"/>
      <c r="F20" s="67"/>
      <c r="G20" s="67"/>
      <c r="H20" s="67"/>
      <c r="I20" s="67"/>
      <c r="J20" s="67"/>
      <c r="K20" s="67"/>
      <c r="L20" s="77"/>
      <c r="M20" s="67"/>
      <c r="N20" s="67"/>
      <c r="O20" s="67"/>
      <c r="P20" s="67"/>
      <c r="Q20" s="77"/>
      <c r="R20" s="67"/>
      <c r="S20" s="67"/>
    </row>
    <row r="21">
      <c r="A21" s="32" t="s">
        <v>102</v>
      </c>
      <c r="B21" s="69">
        <v>44.0</v>
      </c>
      <c r="C21" s="73"/>
      <c r="D21" s="67"/>
      <c r="E21" s="74"/>
      <c r="F21" s="67"/>
      <c r="G21" s="67"/>
      <c r="H21" s="67"/>
      <c r="I21" s="67"/>
      <c r="J21" s="67"/>
      <c r="K21" s="67"/>
      <c r="L21" s="77"/>
      <c r="M21" s="67"/>
      <c r="N21" s="67"/>
      <c r="O21" s="67"/>
      <c r="P21" s="67"/>
      <c r="Q21" s="77"/>
      <c r="R21" s="67"/>
      <c r="S21" s="67"/>
    </row>
    <row r="22">
      <c r="A22" s="67"/>
      <c r="B22" s="67"/>
      <c r="C22" s="68" t="s">
        <v>227</v>
      </c>
      <c r="D22" s="67"/>
      <c r="E22" s="75" t="s">
        <v>32</v>
      </c>
      <c r="F22" s="76"/>
      <c r="G22" s="32" t="s">
        <v>35</v>
      </c>
      <c r="H22" s="69">
        <v>18.0</v>
      </c>
      <c r="I22" s="67"/>
      <c r="J22" s="67"/>
      <c r="K22" s="67"/>
      <c r="L22" s="77"/>
      <c r="M22" s="67"/>
      <c r="N22" s="67"/>
      <c r="O22" s="67"/>
      <c r="P22" s="67"/>
      <c r="Q22" s="77"/>
      <c r="R22" s="67"/>
      <c r="S22" s="67"/>
    </row>
    <row r="23">
      <c r="A23" s="32" t="s">
        <v>35</v>
      </c>
      <c r="B23" s="69">
        <v>56.0</v>
      </c>
      <c r="C23" s="67"/>
      <c r="D23" s="67"/>
      <c r="E23" s="74"/>
      <c r="F23" s="67"/>
      <c r="G23" s="67"/>
      <c r="H23" s="67"/>
      <c r="I23" s="74"/>
      <c r="J23" s="67"/>
      <c r="K23" s="67"/>
      <c r="L23" s="77"/>
      <c r="M23" s="67"/>
      <c r="N23" s="67"/>
      <c r="O23" s="67"/>
      <c r="P23" s="67"/>
      <c r="Q23" s="77"/>
      <c r="R23" s="67"/>
      <c r="S23" s="67"/>
    </row>
    <row r="24">
      <c r="A24" s="68" t="s">
        <v>228</v>
      </c>
      <c r="B24" s="67"/>
      <c r="C24" s="71" t="s">
        <v>35</v>
      </c>
      <c r="D24" s="69">
        <v>104.0</v>
      </c>
      <c r="E24" s="74"/>
      <c r="F24" s="67"/>
      <c r="G24" s="67"/>
      <c r="H24" s="67"/>
      <c r="I24" s="74"/>
      <c r="J24" s="67"/>
      <c r="K24" s="67"/>
      <c r="L24" s="77"/>
      <c r="M24" s="67"/>
      <c r="N24" s="67"/>
      <c r="O24" s="67"/>
      <c r="P24" s="67"/>
      <c r="Q24" s="77"/>
      <c r="R24" s="67"/>
      <c r="S24" s="67"/>
    </row>
    <row r="25">
      <c r="A25" s="32" t="s">
        <v>122</v>
      </c>
      <c r="B25" s="69">
        <v>46.0</v>
      </c>
      <c r="C25" s="73"/>
      <c r="D25" s="67"/>
      <c r="E25" s="67"/>
      <c r="F25" s="67"/>
      <c r="G25" s="67"/>
      <c r="H25" s="67"/>
      <c r="I25" s="74"/>
      <c r="J25" s="67"/>
      <c r="K25" s="67"/>
      <c r="L25" s="77"/>
      <c r="M25" s="67"/>
      <c r="N25" s="67"/>
      <c r="O25" s="67"/>
      <c r="P25" s="67"/>
      <c r="Q25" s="77"/>
      <c r="R25" s="67"/>
      <c r="S25" s="67"/>
    </row>
    <row r="26">
      <c r="A26" s="67"/>
      <c r="B26" s="67"/>
      <c r="C26" s="68"/>
      <c r="D26" s="67"/>
      <c r="E26" s="67"/>
      <c r="F26" s="67"/>
      <c r="G26" s="68" t="s">
        <v>229</v>
      </c>
      <c r="H26" s="67"/>
      <c r="I26" s="75" t="s">
        <v>32</v>
      </c>
      <c r="J26" s="76"/>
      <c r="K26" s="32" t="s">
        <v>60</v>
      </c>
      <c r="L26" s="78">
        <v>30.0</v>
      </c>
      <c r="M26" s="67"/>
      <c r="N26" s="67"/>
      <c r="O26" s="67"/>
      <c r="P26" s="67"/>
      <c r="Q26" s="77"/>
      <c r="R26" s="67"/>
      <c r="S26" s="67"/>
    </row>
    <row r="27">
      <c r="A27" s="32" t="s">
        <v>97</v>
      </c>
      <c r="B27" s="69">
        <v>62.0</v>
      </c>
      <c r="C27" s="67"/>
      <c r="D27" s="67"/>
      <c r="E27" s="67"/>
      <c r="F27" s="67"/>
      <c r="G27" s="67"/>
      <c r="H27" s="67"/>
      <c r="I27" s="74"/>
      <c r="J27" s="67"/>
      <c r="K27" s="67"/>
      <c r="L27" s="67"/>
      <c r="M27" s="67"/>
      <c r="N27" s="67"/>
      <c r="O27" s="67"/>
      <c r="P27" s="67"/>
      <c r="Q27" s="77"/>
      <c r="R27" s="72"/>
      <c r="S27" s="67"/>
    </row>
    <row r="28">
      <c r="A28" s="68" t="s">
        <v>230</v>
      </c>
      <c r="B28" s="67"/>
      <c r="C28" s="71" t="s">
        <v>149</v>
      </c>
      <c r="D28" s="69">
        <v>70.0</v>
      </c>
      <c r="E28" s="67"/>
      <c r="F28" s="67"/>
      <c r="G28" s="67"/>
      <c r="H28" s="67"/>
      <c r="I28" s="74"/>
      <c r="J28" s="67"/>
      <c r="K28" s="67"/>
      <c r="L28" s="67"/>
      <c r="M28" s="67"/>
      <c r="N28" s="67"/>
      <c r="O28" s="72"/>
      <c r="P28" s="67"/>
      <c r="Q28" s="77"/>
      <c r="R28" s="72"/>
      <c r="S28" s="67"/>
    </row>
    <row r="29">
      <c r="A29" s="32" t="s">
        <v>149</v>
      </c>
      <c r="B29" s="69">
        <v>70.0</v>
      </c>
      <c r="C29" s="73"/>
      <c r="D29" s="67"/>
      <c r="E29" s="74"/>
      <c r="F29" s="67"/>
      <c r="G29" s="67"/>
      <c r="H29" s="67"/>
      <c r="I29" s="74"/>
      <c r="J29" s="67"/>
      <c r="K29" s="67"/>
      <c r="L29" s="67"/>
      <c r="M29" s="67"/>
      <c r="N29" s="67"/>
      <c r="O29" s="68" t="s">
        <v>231</v>
      </c>
      <c r="P29" s="67"/>
      <c r="Q29" s="77"/>
      <c r="R29" s="32" t="s">
        <v>134</v>
      </c>
      <c r="S29" s="67"/>
    </row>
    <row r="30">
      <c r="A30" s="67"/>
      <c r="B30" s="67"/>
      <c r="C30" s="68" t="s">
        <v>232</v>
      </c>
      <c r="D30" s="67"/>
      <c r="E30" s="75" t="s">
        <v>32</v>
      </c>
      <c r="F30" s="76"/>
      <c r="G30" s="32" t="s">
        <v>60</v>
      </c>
      <c r="H30" s="69">
        <v>50.0</v>
      </c>
      <c r="I30" s="74"/>
      <c r="J30" s="67"/>
      <c r="K30" s="67"/>
      <c r="L30" s="67"/>
      <c r="M30" s="32" t="s">
        <v>60</v>
      </c>
      <c r="N30" s="69">
        <v>64.0</v>
      </c>
      <c r="O30" s="67"/>
      <c r="P30" s="67"/>
      <c r="Q30" s="77"/>
      <c r="R30" s="68" t="s">
        <v>233</v>
      </c>
      <c r="S30" s="67"/>
    </row>
    <row r="31">
      <c r="A31" s="32" t="s">
        <v>60</v>
      </c>
      <c r="B31" s="69">
        <v>126.0</v>
      </c>
      <c r="C31" s="67"/>
      <c r="D31" s="67"/>
      <c r="E31" s="74"/>
      <c r="F31" s="67"/>
      <c r="G31" s="67"/>
      <c r="H31" s="67"/>
      <c r="I31" s="67"/>
      <c r="J31" s="67"/>
      <c r="K31" s="67"/>
      <c r="L31" s="67"/>
      <c r="M31" s="67"/>
      <c r="N31" s="77"/>
      <c r="O31" s="67"/>
      <c r="P31" s="67"/>
      <c r="Q31" s="77"/>
      <c r="R31" s="67"/>
      <c r="S31" s="67"/>
    </row>
    <row r="32">
      <c r="A32" s="68" t="s">
        <v>234</v>
      </c>
      <c r="B32" s="67"/>
      <c r="C32" s="71" t="s">
        <v>60</v>
      </c>
      <c r="D32" s="69">
        <v>122.0</v>
      </c>
      <c r="E32" s="74"/>
      <c r="F32" s="67"/>
      <c r="G32" s="67"/>
      <c r="H32" s="67"/>
      <c r="I32" s="67"/>
      <c r="J32" s="67"/>
      <c r="K32" s="67"/>
      <c r="L32" s="67"/>
      <c r="M32" s="67"/>
      <c r="N32" s="77"/>
      <c r="O32" s="67"/>
      <c r="P32" s="67"/>
      <c r="Q32" s="77"/>
      <c r="R32" s="67"/>
      <c r="S32" s="67"/>
    </row>
    <row r="33">
      <c r="A33" s="32" t="s">
        <v>207</v>
      </c>
      <c r="B33" s="69">
        <v>16.0</v>
      </c>
      <c r="C33" s="73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77"/>
      <c r="O33" s="67"/>
      <c r="P33" s="67"/>
      <c r="Q33" s="77"/>
      <c r="R33" s="67"/>
      <c r="S33" s="67"/>
    </row>
    <row r="34">
      <c r="A34" s="67"/>
      <c r="B34" s="67"/>
      <c r="C34" s="67"/>
      <c r="D34" s="67"/>
      <c r="E34" s="67"/>
      <c r="F34" s="67"/>
      <c r="G34" s="67"/>
      <c r="H34" s="67"/>
      <c r="I34" s="32" t="s">
        <v>113</v>
      </c>
      <c r="J34" s="69">
        <v>64.0</v>
      </c>
      <c r="K34" s="67"/>
      <c r="L34" s="67"/>
      <c r="M34" s="67"/>
      <c r="N34" s="77"/>
      <c r="O34" s="67"/>
      <c r="P34" s="67"/>
      <c r="Q34" s="77"/>
      <c r="R34" s="67"/>
      <c r="S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77"/>
      <c r="K35" s="67"/>
      <c r="L35" s="67"/>
      <c r="M35" s="67"/>
      <c r="N35" s="77"/>
      <c r="O35" s="67"/>
      <c r="P35" s="67"/>
      <c r="Q35" s="77"/>
      <c r="R35" s="67"/>
      <c r="S35" s="67"/>
    </row>
    <row r="36">
      <c r="A36" s="67"/>
      <c r="B36" s="67"/>
      <c r="C36" s="67"/>
      <c r="D36" s="67"/>
      <c r="E36" s="32" t="s">
        <v>149</v>
      </c>
      <c r="F36" s="69">
        <v>44.0</v>
      </c>
      <c r="G36" s="67"/>
      <c r="H36" s="67"/>
      <c r="I36" s="67"/>
      <c r="J36" s="77"/>
      <c r="K36" s="67"/>
      <c r="L36" s="67"/>
      <c r="M36" s="67"/>
      <c r="N36" s="77"/>
      <c r="O36" s="67"/>
      <c r="P36" s="67"/>
      <c r="Q36" s="77"/>
      <c r="R36" s="67"/>
      <c r="S36" s="67"/>
    </row>
    <row r="37">
      <c r="A37" s="67"/>
      <c r="B37" s="67"/>
      <c r="C37" s="67"/>
      <c r="D37" s="67"/>
      <c r="E37" s="67"/>
      <c r="F37" s="77"/>
      <c r="G37" s="67"/>
      <c r="H37" s="67"/>
      <c r="I37" s="67"/>
      <c r="J37" s="77"/>
      <c r="K37" s="67"/>
      <c r="L37" s="67"/>
      <c r="M37" s="67"/>
      <c r="N37" s="77"/>
      <c r="O37" s="67"/>
      <c r="P37" s="67"/>
      <c r="Q37" s="77"/>
      <c r="R37" s="67"/>
      <c r="S37" s="67"/>
    </row>
    <row r="38">
      <c r="A38" s="67"/>
      <c r="B38" s="67"/>
      <c r="C38" s="67"/>
      <c r="D38" s="67"/>
      <c r="E38" s="68" t="s">
        <v>235</v>
      </c>
      <c r="F38" s="77"/>
      <c r="G38" s="32" t="s">
        <v>148</v>
      </c>
      <c r="H38" s="69">
        <v>54.0</v>
      </c>
      <c r="I38" s="68" t="s">
        <v>236</v>
      </c>
      <c r="J38" s="77"/>
      <c r="K38" s="32" t="s">
        <v>113</v>
      </c>
      <c r="L38" s="69">
        <v>94.0</v>
      </c>
      <c r="M38" s="68" t="s">
        <v>237</v>
      </c>
      <c r="N38" s="77"/>
      <c r="O38" s="32" t="s">
        <v>113</v>
      </c>
      <c r="P38" s="69">
        <v>42.0</v>
      </c>
      <c r="Q38" s="78"/>
      <c r="R38" s="67"/>
      <c r="S38" s="67"/>
    </row>
    <row r="39">
      <c r="A39" s="67"/>
      <c r="B39" s="67"/>
      <c r="C39" s="32" t="s">
        <v>135</v>
      </c>
      <c r="D39" s="69">
        <v>88.0</v>
      </c>
      <c r="E39" s="67"/>
      <c r="F39" s="77"/>
      <c r="G39" s="67"/>
      <c r="H39" s="77"/>
      <c r="I39" s="67"/>
      <c r="J39" s="77"/>
      <c r="K39" s="72"/>
      <c r="L39" s="77"/>
      <c r="M39" s="67"/>
      <c r="N39" s="77"/>
      <c r="O39" s="67"/>
      <c r="P39" s="67"/>
      <c r="Q39" s="67"/>
      <c r="R39" s="67"/>
      <c r="S39" s="67"/>
    </row>
    <row r="40">
      <c r="A40" s="67"/>
      <c r="B40" s="67"/>
      <c r="C40" s="68" t="s">
        <v>238</v>
      </c>
      <c r="D40" s="67"/>
      <c r="E40" s="71" t="s">
        <v>148</v>
      </c>
      <c r="F40" s="78">
        <v>68.0</v>
      </c>
      <c r="G40" s="67"/>
      <c r="H40" s="77"/>
      <c r="I40" s="67"/>
      <c r="J40" s="77"/>
      <c r="K40" s="67"/>
      <c r="L40" s="77"/>
      <c r="M40" s="67"/>
      <c r="N40" s="77"/>
      <c r="O40" s="67"/>
      <c r="P40" s="67"/>
      <c r="Q40" s="67"/>
      <c r="R40" s="67"/>
      <c r="S40" s="67"/>
    </row>
    <row r="41">
      <c r="A41" s="67"/>
      <c r="B41" s="67"/>
      <c r="C41" s="32" t="s">
        <v>148</v>
      </c>
      <c r="D41" s="69">
        <v>90.0</v>
      </c>
      <c r="E41" s="73"/>
      <c r="F41" s="67"/>
      <c r="G41" s="67"/>
      <c r="H41" s="77"/>
      <c r="I41" s="67"/>
      <c r="J41" s="77"/>
      <c r="K41" s="67"/>
      <c r="L41" s="77"/>
      <c r="M41" s="67"/>
      <c r="N41" s="77"/>
      <c r="O41" s="67"/>
      <c r="P41" s="67"/>
      <c r="Q41" s="67"/>
      <c r="R41" s="67"/>
      <c r="S41" s="67"/>
    </row>
    <row r="42">
      <c r="A42" s="67"/>
      <c r="B42" s="67"/>
      <c r="C42" s="67"/>
      <c r="D42" s="67"/>
      <c r="E42" s="67"/>
      <c r="F42" s="67"/>
      <c r="G42" s="68" t="s">
        <v>239</v>
      </c>
      <c r="H42" s="77"/>
      <c r="I42" s="32" t="s">
        <v>124</v>
      </c>
      <c r="J42" s="78">
        <v>62.0</v>
      </c>
      <c r="K42" s="67"/>
      <c r="L42" s="77"/>
      <c r="M42" s="67"/>
      <c r="N42" s="77"/>
      <c r="O42" s="67"/>
      <c r="P42" s="67"/>
      <c r="Q42" s="67"/>
      <c r="R42" s="67"/>
      <c r="S42" s="67"/>
    </row>
    <row r="43">
      <c r="A43" s="67"/>
      <c r="B43" s="67"/>
      <c r="C43" s="67"/>
      <c r="D43" s="67"/>
      <c r="E43" s="67"/>
      <c r="F43" s="67"/>
      <c r="G43" s="67"/>
      <c r="H43" s="77"/>
      <c r="I43" s="67"/>
      <c r="J43" s="67"/>
      <c r="K43" s="67"/>
      <c r="L43" s="77"/>
      <c r="M43" s="67"/>
      <c r="N43" s="77"/>
      <c r="O43" s="67"/>
      <c r="P43" s="67"/>
      <c r="Q43" s="67"/>
      <c r="R43" s="67"/>
      <c r="S43" s="67"/>
    </row>
    <row r="44">
      <c r="A44" s="67"/>
      <c r="B44" s="67"/>
      <c r="C44" s="67"/>
      <c r="D44" s="67"/>
      <c r="E44" s="32" t="s">
        <v>55</v>
      </c>
      <c r="F44" s="69">
        <v>70.0</v>
      </c>
      <c r="G44" s="67"/>
      <c r="H44" s="77"/>
      <c r="I44" s="67"/>
      <c r="J44" s="67"/>
      <c r="K44" s="67"/>
      <c r="L44" s="77"/>
      <c r="M44" s="67"/>
      <c r="N44" s="77"/>
      <c r="O44" s="67"/>
      <c r="P44" s="67"/>
      <c r="Q44" s="67"/>
      <c r="R44" s="67"/>
      <c r="S44" s="67"/>
    </row>
    <row r="45">
      <c r="A45" s="67"/>
      <c r="B45" s="67"/>
      <c r="C45" s="67"/>
      <c r="D45" s="67"/>
      <c r="E45" s="67"/>
      <c r="F45" s="77"/>
      <c r="G45" s="67"/>
      <c r="H45" s="77"/>
      <c r="I45" s="67"/>
      <c r="J45" s="67"/>
      <c r="K45" s="67"/>
      <c r="L45" s="77"/>
      <c r="M45" s="67"/>
      <c r="N45" s="77"/>
      <c r="O45" s="67"/>
      <c r="P45" s="67"/>
      <c r="Q45" s="67"/>
      <c r="R45" s="67"/>
      <c r="S45" s="67"/>
    </row>
    <row r="46">
      <c r="A46" s="67"/>
      <c r="B46" s="67"/>
      <c r="C46" s="67"/>
      <c r="D46" s="67"/>
      <c r="E46" s="68" t="s">
        <v>240</v>
      </c>
      <c r="F46" s="77"/>
      <c r="G46" s="32" t="s">
        <v>124</v>
      </c>
      <c r="H46" s="78">
        <v>90.0</v>
      </c>
      <c r="I46" s="67"/>
      <c r="J46" s="67"/>
      <c r="K46" s="68" t="s">
        <v>241</v>
      </c>
      <c r="L46" s="77"/>
      <c r="M46" s="32" t="s">
        <v>113</v>
      </c>
      <c r="N46" s="78">
        <v>80.0</v>
      </c>
      <c r="O46" s="67"/>
      <c r="P46" s="67"/>
      <c r="Q46" s="67"/>
      <c r="R46" s="67"/>
      <c r="S46" s="67"/>
    </row>
    <row r="47">
      <c r="A47" s="67"/>
      <c r="B47" s="67"/>
      <c r="C47" s="32" t="s">
        <v>69</v>
      </c>
      <c r="D47" s="69">
        <v>14.0</v>
      </c>
      <c r="E47" s="67"/>
      <c r="F47" s="77"/>
      <c r="G47" s="67"/>
      <c r="H47" s="67"/>
      <c r="I47" s="67"/>
      <c r="J47" s="67"/>
      <c r="K47" s="67"/>
      <c r="L47" s="77"/>
      <c r="M47" s="67"/>
      <c r="N47" s="67"/>
      <c r="O47" s="67"/>
      <c r="P47" s="67"/>
      <c r="Q47" s="67"/>
      <c r="R47" s="67"/>
      <c r="S47" s="67"/>
    </row>
    <row r="48">
      <c r="A48" s="67"/>
      <c r="B48" s="67"/>
      <c r="C48" s="68" t="s">
        <v>242</v>
      </c>
      <c r="D48" s="67"/>
      <c r="E48" s="71" t="s">
        <v>124</v>
      </c>
      <c r="F48" s="78">
        <v>108.0</v>
      </c>
      <c r="G48" s="67"/>
      <c r="H48" s="67"/>
      <c r="I48" s="67"/>
      <c r="J48" s="67"/>
      <c r="K48" s="67"/>
      <c r="L48" s="77"/>
      <c r="M48" s="67"/>
      <c r="N48" s="67"/>
      <c r="O48" s="67"/>
      <c r="P48" s="67"/>
      <c r="Q48" s="67"/>
      <c r="R48" s="67"/>
      <c r="S48" s="67"/>
    </row>
    <row r="49">
      <c r="A49" s="67"/>
      <c r="B49" s="67"/>
      <c r="C49" s="32" t="s">
        <v>124</v>
      </c>
      <c r="D49" s="69">
        <v>92.0</v>
      </c>
      <c r="E49" s="73"/>
      <c r="F49" s="67"/>
      <c r="G49" s="67"/>
      <c r="H49" s="67"/>
      <c r="I49" s="67"/>
      <c r="J49" s="67"/>
      <c r="K49" s="67"/>
      <c r="L49" s="77"/>
      <c r="M49" s="67"/>
      <c r="N49" s="67"/>
      <c r="O49" s="67"/>
      <c r="P49" s="67"/>
      <c r="Q49" s="67"/>
      <c r="R49" s="67"/>
      <c r="S49" s="67"/>
    </row>
    <row r="50">
      <c r="A50" s="67"/>
      <c r="B50" s="67"/>
      <c r="C50" s="67"/>
      <c r="D50" s="67"/>
      <c r="E50" s="67"/>
      <c r="F50" s="67"/>
      <c r="G50" s="67"/>
      <c r="H50" s="67"/>
      <c r="I50" s="32" t="s">
        <v>35</v>
      </c>
      <c r="J50" s="69">
        <v>76.0</v>
      </c>
      <c r="K50" s="67"/>
      <c r="L50" s="77"/>
      <c r="M50" s="67"/>
      <c r="N50" s="67"/>
      <c r="O50" s="67"/>
      <c r="P50" s="67"/>
      <c r="Q50" s="67"/>
      <c r="R50" s="67"/>
      <c r="S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77"/>
      <c r="K51" s="67"/>
      <c r="L51" s="77"/>
      <c r="M51" s="67"/>
      <c r="N51" s="67"/>
      <c r="O51" s="67"/>
      <c r="P51" s="67"/>
      <c r="Q51" s="67"/>
      <c r="R51" s="67"/>
      <c r="S51" s="67"/>
    </row>
    <row r="52">
      <c r="A52" s="67"/>
      <c r="B52" s="67"/>
      <c r="C52" s="67"/>
      <c r="D52" s="67"/>
      <c r="E52" s="32" t="s">
        <v>111</v>
      </c>
      <c r="F52" s="69">
        <v>54.0</v>
      </c>
      <c r="G52" s="67"/>
      <c r="H52" s="67"/>
      <c r="I52" s="67"/>
      <c r="J52" s="77"/>
      <c r="K52" s="67"/>
      <c r="L52" s="77"/>
      <c r="M52" s="67"/>
      <c r="N52" s="67"/>
      <c r="O52" s="67"/>
      <c r="P52" s="67"/>
      <c r="Q52" s="67"/>
      <c r="R52" s="67"/>
      <c r="S52" s="67"/>
    </row>
    <row r="53">
      <c r="A53" s="67"/>
      <c r="B53" s="67"/>
      <c r="C53" s="67"/>
      <c r="D53" s="67"/>
      <c r="E53" s="67"/>
      <c r="F53" s="77"/>
      <c r="G53" s="67"/>
      <c r="H53" s="67"/>
      <c r="I53" s="67"/>
      <c r="J53" s="77"/>
      <c r="K53" s="67"/>
      <c r="L53" s="77"/>
      <c r="M53" s="67"/>
      <c r="N53" s="67"/>
      <c r="O53" s="67"/>
      <c r="P53" s="67"/>
      <c r="Q53" s="67"/>
      <c r="R53" s="67"/>
      <c r="S53" s="67"/>
    </row>
    <row r="54">
      <c r="A54" s="67"/>
      <c r="B54" s="67"/>
      <c r="C54" s="67"/>
      <c r="D54" s="67"/>
      <c r="E54" s="68" t="s">
        <v>243</v>
      </c>
      <c r="F54" s="77"/>
      <c r="G54" s="32" t="s">
        <v>111</v>
      </c>
      <c r="H54" s="69">
        <v>58.0</v>
      </c>
      <c r="I54" s="68" t="s">
        <v>244</v>
      </c>
      <c r="J54" s="77"/>
      <c r="K54" s="32" t="s">
        <v>35</v>
      </c>
      <c r="L54" s="78">
        <v>68.0</v>
      </c>
      <c r="M54" s="67"/>
      <c r="N54" s="67"/>
      <c r="O54" s="67"/>
      <c r="P54" s="67"/>
      <c r="Q54" s="67"/>
      <c r="R54" s="67"/>
      <c r="S54" s="67"/>
    </row>
    <row r="55">
      <c r="A55" s="67"/>
      <c r="B55" s="67"/>
      <c r="C55" s="32" t="s">
        <v>102</v>
      </c>
      <c r="D55" s="69">
        <v>158.0</v>
      </c>
      <c r="E55" s="67"/>
      <c r="F55" s="77"/>
      <c r="G55" s="67"/>
      <c r="H55" s="77"/>
      <c r="I55" s="67"/>
      <c r="J55" s="77"/>
      <c r="K55" s="67"/>
      <c r="L55" s="67"/>
      <c r="M55" s="67"/>
      <c r="N55" s="67"/>
      <c r="O55" s="67"/>
      <c r="P55" s="67"/>
      <c r="Q55" s="67"/>
      <c r="R55" s="67"/>
      <c r="S55" s="67"/>
    </row>
    <row r="56" ht="15.75" customHeight="1">
      <c r="A56" s="67"/>
      <c r="B56" s="67"/>
      <c r="C56" s="68" t="s">
        <v>245</v>
      </c>
      <c r="D56" s="67"/>
      <c r="E56" s="71" t="s">
        <v>102</v>
      </c>
      <c r="F56" s="78">
        <v>48.0</v>
      </c>
      <c r="G56" s="67"/>
      <c r="H56" s="77"/>
      <c r="I56" s="67"/>
      <c r="J56" s="77"/>
      <c r="K56" s="67"/>
      <c r="L56" s="67"/>
      <c r="M56" s="67"/>
      <c r="N56" s="67"/>
      <c r="O56" s="67"/>
      <c r="P56" s="67"/>
      <c r="Q56" s="67"/>
      <c r="R56" s="67"/>
      <c r="S56" s="67"/>
    </row>
    <row r="57">
      <c r="A57" s="67"/>
      <c r="B57" s="67"/>
      <c r="C57" s="32" t="s">
        <v>246</v>
      </c>
      <c r="D57" s="69">
        <v>36.0</v>
      </c>
      <c r="E57" s="73"/>
      <c r="F57" s="67"/>
      <c r="G57" s="67"/>
      <c r="H57" s="77"/>
      <c r="I57" s="67"/>
      <c r="J57" s="77"/>
      <c r="K57" s="67"/>
      <c r="L57" s="67"/>
      <c r="M57" s="67"/>
      <c r="N57" s="67"/>
      <c r="O57" s="67"/>
      <c r="P57" s="67"/>
      <c r="Q57" s="67"/>
      <c r="R57" s="67"/>
      <c r="S57" s="67"/>
    </row>
    <row r="58">
      <c r="A58" s="67"/>
      <c r="B58" s="67"/>
      <c r="C58" s="67"/>
      <c r="D58" s="67"/>
      <c r="E58" s="67"/>
      <c r="F58" s="67"/>
      <c r="G58" s="68" t="s">
        <v>247</v>
      </c>
      <c r="H58" s="77"/>
      <c r="I58" s="32" t="s">
        <v>97</v>
      </c>
      <c r="J58" s="78">
        <v>22.0</v>
      </c>
      <c r="K58" s="67"/>
      <c r="L58" s="67"/>
      <c r="M58" s="67"/>
      <c r="N58" s="67"/>
      <c r="O58" s="67"/>
      <c r="P58" s="67"/>
      <c r="Q58" s="67"/>
      <c r="R58" s="67"/>
      <c r="S58" s="67"/>
    </row>
    <row r="59">
      <c r="A59" s="67"/>
      <c r="B59" s="67"/>
      <c r="C59" s="67"/>
      <c r="D59" s="67"/>
      <c r="E59" s="67"/>
      <c r="F59" s="67"/>
      <c r="G59" s="67"/>
      <c r="H59" s="7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</row>
    <row r="60">
      <c r="A60" s="67"/>
      <c r="B60" s="67"/>
      <c r="C60" s="67"/>
      <c r="D60" s="67"/>
      <c r="E60" s="32" t="s">
        <v>96</v>
      </c>
      <c r="F60" s="69">
        <v>-2.0</v>
      </c>
      <c r="G60" s="67"/>
      <c r="H60" s="7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</row>
    <row r="61">
      <c r="A61" s="67"/>
      <c r="B61" s="67"/>
      <c r="C61" s="67"/>
      <c r="D61" s="67"/>
      <c r="E61" s="67"/>
      <c r="F61" s="77"/>
      <c r="G61" s="67"/>
      <c r="H61" s="7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</row>
    <row r="62">
      <c r="A62" s="67"/>
      <c r="B62" s="67"/>
      <c r="C62" s="67"/>
      <c r="D62" s="67"/>
      <c r="E62" s="68" t="s">
        <v>248</v>
      </c>
      <c r="F62" s="77"/>
      <c r="G62" s="32" t="s">
        <v>97</v>
      </c>
      <c r="H62" s="78">
        <v>72.0</v>
      </c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</row>
    <row r="63">
      <c r="A63" s="67"/>
      <c r="B63" s="67"/>
      <c r="C63" s="32" t="s">
        <v>97</v>
      </c>
      <c r="D63" s="69">
        <v>74.0</v>
      </c>
      <c r="E63" s="67"/>
      <c r="F63" s="7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</row>
    <row r="64">
      <c r="A64" s="67"/>
      <c r="B64" s="67"/>
      <c r="C64" s="68" t="s">
        <v>249</v>
      </c>
      <c r="D64" s="67"/>
      <c r="E64" s="71" t="s">
        <v>97</v>
      </c>
      <c r="F64" s="78">
        <v>74.0</v>
      </c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</row>
    <row r="65">
      <c r="A65" s="67"/>
      <c r="B65" s="67"/>
      <c r="C65" s="32" t="s">
        <v>207</v>
      </c>
      <c r="D65" s="69">
        <v>18.0</v>
      </c>
      <c r="E65" s="73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</row>
  </sheetData>
  <mergeCells count="9">
    <mergeCell ref="O1:Q1"/>
    <mergeCell ref="R3:S3"/>
    <mergeCell ref="A1:B1"/>
    <mergeCell ref="C1:D1"/>
    <mergeCell ref="E1:F1"/>
    <mergeCell ref="G1:H1"/>
    <mergeCell ref="I1:J1"/>
    <mergeCell ref="K1:L1"/>
    <mergeCell ref="M1:N1"/>
  </mergeCells>
  <drawing r:id="rId1"/>
</worksheet>
</file>