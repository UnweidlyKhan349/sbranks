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" sheetId="1" r:id="rId5"/>
  </sheets>
  <definedNames/>
  <calcPr/>
</workbook>
</file>

<file path=xl/sharedStrings.xml><?xml version="1.0" encoding="utf-8"?>
<sst xmlns="http://schemas.openxmlformats.org/spreadsheetml/2006/main" count="103" uniqueCount="20">
  <si>
    <t>Rank</t>
  </si>
  <si>
    <t>Team</t>
  </si>
  <si>
    <t>W</t>
  </si>
  <si>
    <t>L</t>
  </si>
  <si>
    <t>Round</t>
  </si>
  <si>
    <t>Room 1</t>
  </si>
  <si>
    <t>Room 2</t>
  </si>
  <si>
    <t>Room 3</t>
  </si>
  <si>
    <t>Room 4</t>
  </si>
  <si>
    <t>BYE</t>
  </si>
  <si>
    <t>Saratoga A</t>
  </si>
  <si>
    <t>Cupertino B</t>
  </si>
  <si>
    <t>Stanford OHS</t>
  </si>
  <si>
    <t>Mira Loma A</t>
  </si>
  <si>
    <t>Saratoga B</t>
  </si>
  <si>
    <t>Mira Loma B</t>
  </si>
  <si>
    <t>Palo Alto A</t>
  </si>
  <si>
    <t>Palo Alto B</t>
  </si>
  <si>
    <t>Cupertino A</t>
  </si>
  <si>
    <t>Finals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</si>
</sst>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sap"/>
    </font>
    <font>
      <b/>
      <sz val="12.0"/>
      <color theme="1"/>
      <name val="Asap"/>
    </font>
    <font/>
    <font>
      <sz val="12.0"/>
      <color rgb="FFBF9000"/>
      <name val="Asap"/>
    </font>
    <font>
      <sz val="12.0"/>
      <color theme="1"/>
      <name val="Asap"/>
    </font>
    <font>
      <sz val="12.0"/>
      <color rgb="FF666666"/>
      <name val="Asap"/>
    </font>
    <font>
      <sz val="12.0"/>
      <color rgb="FF85200C"/>
      <name val="Asap"/>
    </font>
    <font>
      <b/>
      <sz val="18.0"/>
      <color theme="1"/>
      <name val="Asap"/>
    </font>
  </fonts>
  <fills count="2">
    <fill>
      <patternFill patternType="none"/>
    </fill>
    <fill>
      <patternFill patternType="lightGray"/>
    </fill>
  </fills>
  <borders count="35">
    <border/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double">
        <color rgb="FF000000"/>
      </right>
      <top style="double">
        <color rgb="FF000000"/>
      </top>
      <bottom style="thin">
        <color rgb="FF000000"/>
      </bottom>
    </border>
    <border>
      <right style="dotted">
        <color rgb="FF000000"/>
      </right>
      <top style="double">
        <color rgb="FF000000"/>
      </top>
      <bottom style="thin">
        <color rgb="FF000000"/>
      </bottom>
    </border>
    <border>
      <left style="dotted">
        <color rgb="FF000000"/>
      </left>
      <top style="double">
        <color rgb="FF000000"/>
      </top>
      <bottom style="thin">
        <color rgb="FF000000"/>
      </bottom>
    </border>
    <border>
      <left style="dotted">
        <color rgb="FF000000"/>
      </left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</border>
    <border>
      <right style="double">
        <color rgb="FF000000"/>
      </right>
    </border>
    <border>
      <left style="double">
        <color rgb="FF000000"/>
      </left>
    </border>
    <border>
      <left style="thin">
        <color rgb="FF000000"/>
      </left>
    </border>
    <border>
      <right style="dotted">
        <color rgb="FF000000"/>
      </right>
    </border>
    <border>
      <left style="dotted">
        <color rgb="FF000000"/>
      </left>
    </border>
    <border>
      <left style="dotted">
        <color rgb="FF000000"/>
      </left>
      <right style="double">
        <color rgb="FF000000"/>
      </right>
    </border>
    <border>
      <left style="double">
        <color rgb="FF000000"/>
      </left>
      <top style="dotted">
        <color rgb="FF000000"/>
      </top>
    </border>
    <border>
      <left style="thin">
        <color rgb="FF000000"/>
      </left>
      <top style="dotted">
        <color rgb="FF000000"/>
      </top>
    </border>
    <border>
      <top style="dotted">
        <color rgb="FF000000"/>
      </top>
    </border>
    <border>
      <left style="dotted">
        <color rgb="FF000000"/>
      </left>
      <top style="dotted">
        <color rgb="FF000000"/>
      </top>
    </border>
    <border>
      <right style="dotted">
        <color rgb="FF000000"/>
      </right>
      <top style="dotted">
        <color rgb="FF000000"/>
      </top>
    </border>
    <border>
      <left style="dotted">
        <color rgb="FF000000"/>
      </left>
      <right style="double">
        <color rgb="FF000000"/>
      </right>
      <top style="dotted">
        <color rgb="FF000000"/>
      </top>
    </border>
    <border>
      <left style="double">
        <color rgb="FF000000"/>
      </left>
      <bottom style="dotted">
        <color rgb="FF000000"/>
      </bottom>
    </border>
    <border>
      <left style="thin">
        <color rgb="FF000000"/>
      </left>
      <bottom style="dotted">
        <color rgb="FF000000"/>
      </bottom>
    </border>
    <border>
      <bottom style="dotted">
        <color rgb="FF000000"/>
      </bottom>
    </border>
    <border>
      <left style="dotted">
        <color rgb="FF000000"/>
      </left>
      <bottom style="dotted">
        <color rgb="FF000000"/>
      </bottom>
    </border>
    <border>
      <right style="dotted">
        <color rgb="FF000000"/>
      </right>
      <bottom style="dotted">
        <color rgb="FF000000"/>
      </bottom>
    </border>
    <border>
      <left style="dotted">
        <color rgb="FF000000"/>
      </left>
      <right style="double">
        <color rgb="FF000000"/>
      </right>
      <bottom style="dotted">
        <color rgb="FF000000"/>
      </bottom>
    </border>
    <border>
      <top style="double">
        <color rgb="FF000000"/>
      </top>
    </border>
    <border>
      <left style="dotted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tted">
        <color rgb="FF000000"/>
      </right>
      <bottom style="double">
        <color rgb="FF000000"/>
      </bottom>
    </border>
    <border>
      <left style="dotted">
        <color rgb="FF000000"/>
      </left>
      <right style="double">
        <color rgb="FF000000"/>
      </right>
      <bottom style="double">
        <color rgb="FF000000"/>
      </bottom>
    </border>
    <border>
      <right style="double">
        <color rgb="FF000000"/>
      </right>
      <top style="dotted">
        <color rgb="FF000000"/>
      </top>
    </border>
    <border>
      <left style="double">
        <color rgb="FF000000"/>
      </left>
      <bottom style="double">
        <color rgb="FF000000"/>
      </bottom>
    </border>
    <border>
      <left style="thin">
        <color rgb="FF000000"/>
      </left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1" fillId="0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 readingOrder="0"/>
    </xf>
    <xf borderId="3" fillId="0" fontId="2" numFmtId="0" xfId="0" applyAlignment="1" applyBorder="1" applyFont="1">
      <alignment horizontal="center" readingOrder="0"/>
    </xf>
    <xf borderId="4" fillId="0" fontId="3" numFmtId="0" xfId="0" applyBorder="1" applyFont="1"/>
    <xf borderId="5" fillId="0" fontId="2" numFmtId="0" xfId="0" applyAlignment="1" applyBorder="1" applyFont="1">
      <alignment horizontal="center" readingOrder="0"/>
    </xf>
    <xf borderId="6" fillId="0" fontId="2" numFmtId="0" xfId="0" applyAlignment="1" applyBorder="1" applyFont="1">
      <alignment horizontal="center" readingOrder="0"/>
    </xf>
    <xf borderId="7" fillId="0" fontId="4" numFmtId="0" xfId="0" applyAlignment="1" applyBorder="1" applyFont="1">
      <alignment horizontal="center" readingOrder="0"/>
    </xf>
    <xf borderId="0" fillId="0" fontId="4" numFmtId="0" xfId="0" applyAlignment="1" applyFont="1">
      <alignment horizontal="center" readingOrder="0"/>
    </xf>
    <xf borderId="8" fillId="0" fontId="4" numFmtId="0" xfId="0" applyAlignment="1" applyBorder="1" applyFont="1">
      <alignment horizontal="center" readingOrder="0"/>
    </xf>
    <xf borderId="9" fillId="0" fontId="2" numFmtId="0" xfId="0" applyAlignment="1" applyBorder="1" applyFont="1">
      <alignment horizontal="center" readingOrder="0" vertical="center"/>
    </xf>
    <xf borderId="10" fillId="0" fontId="5" numFmtId="0" xfId="0" applyAlignment="1" applyBorder="1" applyFont="1">
      <alignment horizontal="center" readingOrder="0"/>
    </xf>
    <xf borderId="11" fillId="0" fontId="5" numFmtId="0" xfId="0" applyAlignment="1" applyBorder="1" applyFont="1">
      <alignment horizontal="center" readingOrder="0"/>
    </xf>
    <xf borderId="12" fillId="0" fontId="5" numFmtId="0" xfId="0" applyAlignment="1" applyBorder="1" applyFont="1">
      <alignment horizontal="center" readingOrder="0"/>
    </xf>
    <xf borderId="0" fillId="0" fontId="5" numFmtId="0" xfId="0" applyAlignment="1" applyFont="1">
      <alignment horizontal="center" readingOrder="0"/>
    </xf>
    <xf borderId="13" fillId="0" fontId="5" numFmtId="0" xfId="0" applyAlignment="1" applyBorder="1" applyFont="1">
      <alignment horizontal="center" readingOrder="0"/>
    </xf>
    <xf borderId="7" fillId="0" fontId="6" numFmtId="0" xfId="0" applyAlignment="1" applyBorder="1" applyFont="1">
      <alignment horizontal="center" readingOrder="0"/>
    </xf>
    <xf borderId="0" fillId="0" fontId="6" numFmtId="0" xfId="0" applyAlignment="1" applyFont="1">
      <alignment horizontal="center" readingOrder="0"/>
    </xf>
    <xf borderId="8" fillId="0" fontId="6" numFmtId="0" xfId="0" applyAlignment="1" applyBorder="1" applyFont="1">
      <alignment horizontal="center" readingOrder="0"/>
    </xf>
    <xf borderId="9" fillId="0" fontId="3" numFmtId="0" xfId="0" applyBorder="1" applyFont="1"/>
    <xf borderId="7" fillId="0" fontId="7" numFmtId="0" xfId="0" applyAlignment="1" applyBorder="1" applyFont="1">
      <alignment horizontal="center" readingOrder="0"/>
    </xf>
    <xf borderId="0" fillId="0" fontId="7" numFmtId="0" xfId="0" applyAlignment="1" applyFont="1">
      <alignment horizontal="center" readingOrder="0"/>
    </xf>
    <xf borderId="8" fillId="0" fontId="7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center"/>
    </xf>
    <xf borderId="15" fillId="0" fontId="5" numFmtId="0" xfId="0" applyAlignment="1" applyBorder="1" applyFont="1">
      <alignment horizontal="center" readingOrder="0"/>
    </xf>
    <xf borderId="16" fillId="0" fontId="5" numFmtId="0" xfId="0" applyAlignment="1" applyBorder="1" applyFont="1">
      <alignment horizontal="center" readingOrder="0"/>
    </xf>
    <xf borderId="17" fillId="0" fontId="5" numFmtId="0" xfId="0" applyAlignment="1" applyBorder="1" applyFont="1">
      <alignment horizontal="center" readingOrder="0"/>
    </xf>
    <xf borderId="18" fillId="0" fontId="5" numFmtId="0" xfId="0" applyAlignment="1" applyBorder="1" applyFont="1">
      <alignment horizontal="center" readingOrder="0"/>
    </xf>
    <xf borderId="19" fillId="0" fontId="5" numFmtId="0" xfId="0" applyAlignment="1" applyBorder="1" applyFont="1">
      <alignment horizontal="center" readingOrder="0"/>
    </xf>
    <xf borderId="7" fillId="0" fontId="5" numFmtId="0" xfId="0" applyAlignment="1" applyBorder="1" applyFont="1">
      <alignment horizontal="center" readingOrder="0"/>
    </xf>
    <xf borderId="8" fillId="0" fontId="5" numFmtId="0" xfId="0" applyAlignment="1" applyBorder="1" applyFont="1">
      <alignment horizontal="center" readingOrder="0"/>
    </xf>
    <xf borderId="20" fillId="0" fontId="3" numFmtId="0" xfId="0" applyBorder="1" applyFont="1"/>
    <xf borderId="21" fillId="0" fontId="5" numFmtId="0" xfId="0" applyAlignment="1" applyBorder="1" applyFont="1">
      <alignment horizontal="center" readingOrder="0"/>
    </xf>
    <xf borderId="22" fillId="0" fontId="5" numFmtId="0" xfId="0" applyAlignment="1" applyBorder="1" applyFont="1">
      <alignment horizontal="center" readingOrder="0"/>
    </xf>
    <xf borderId="23" fillId="0" fontId="5" numFmtId="0" xfId="0" applyAlignment="1" applyBorder="1" applyFont="1">
      <alignment horizontal="center" readingOrder="0"/>
    </xf>
    <xf borderId="24" fillId="0" fontId="5" numFmtId="0" xfId="0" applyAlignment="1" applyBorder="1" applyFont="1">
      <alignment horizontal="center" readingOrder="0"/>
    </xf>
    <xf borderId="25" fillId="0" fontId="5" numFmtId="0" xfId="0" applyAlignment="1" applyBorder="1" applyFont="1">
      <alignment horizontal="center" readingOrder="0"/>
    </xf>
    <xf borderId="26" fillId="0" fontId="5" numFmtId="0" xfId="0" applyAlignment="1" applyBorder="1" applyFont="1">
      <alignment horizontal="center" readingOrder="0"/>
    </xf>
    <xf borderId="0" fillId="0" fontId="8" numFmtId="0" xfId="0" applyAlignment="1" applyFont="1">
      <alignment horizontal="center" readingOrder="0" vertical="center"/>
    </xf>
    <xf borderId="23" fillId="0" fontId="5" numFmtId="0" xfId="0" applyAlignment="1" applyBorder="1" applyFont="1">
      <alignment horizontal="center" vertical="bottom"/>
    </xf>
    <xf borderId="24" fillId="0" fontId="5" numFmtId="0" xfId="0" applyAlignment="1" applyBorder="1" applyFont="1">
      <alignment horizontal="center" vertical="bottom"/>
    </xf>
    <xf borderId="22" fillId="0" fontId="5" numFmtId="0" xfId="0" applyAlignment="1" applyBorder="1" applyFont="1">
      <alignment horizontal="center" vertical="bottom"/>
    </xf>
    <xf borderId="17" fillId="0" fontId="5" numFmtId="0" xfId="0" applyAlignment="1" applyBorder="1" applyFont="1">
      <alignment horizontal="center" readingOrder="0" vertical="bottom"/>
    </xf>
    <xf borderId="18" fillId="0" fontId="5" numFmtId="0" xfId="0" applyAlignment="1" applyBorder="1" applyFont="1">
      <alignment horizontal="center" readingOrder="0" vertical="bottom"/>
    </xf>
    <xf borderId="16" fillId="0" fontId="5" numFmtId="0" xfId="0" applyAlignment="1" applyBorder="1" applyFont="1">
      <alignment horizontal="center" readingOrder="0" vertical="bottom"/>
    </xf>
    <xf borderId="27" fillId="0" fontId="5" numFmtId="0" xfId="0" applyAlignment="1" applyBorder="1" applyFont="1">
      <alignment horizontal="center" readingOrder="0"/>
    </xf>
    <xf borderId="28" fillId="0" fontId="5" numFmtId="0" xfId="0" applyAlignment="1" applyBorder="1" applyFont="1">
      <alignment horizontal="center" readingOrder="0"/>
    </xf>
    <xf borderId="29" fillId="0" fontId="5" numFmtId="0" xfId="0" applyAlignment="1" applyBorder="1" applyFont="1">
      <alignment horizontal="center" readingOrder="0"/>
    </xf>
    <xf borderId="30" fillId="0" fontId="5" numFmtId="0" xfId="0" applyAlignment="1" applyBorder="1" applyFont="1">
      <alignment horizontal="center" readingOrder="0"/>
    </xf>
    <xf borderId="31" fillId="0" fontId="5" numFmtId="0" xfId="0" applyAlignment="1" applyBorder="1" applyFont="1">
      <alignment horizontal="center" readingOrder="0"/>
    </xf>
    <xf borderId="32" fillId="0" fontId="3" numFmtId="0" xfId="0" applyBorder="1" applyFont="1"/>
    <xf borderId="33" fillId="0" fontId="5" numFmtId="0" xfId="0" applyAlignment="1" applyBorder="1" applyFont="1">
      <alignment horizontal="center" readingOrder="0"/>
    </xf>
    <xf borderId="34" fillId="0" fontId="5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6.38"/>
    <col customWidth="1" min="3" max="3" width="13.88"/>
    <col customWidth="1" min="4" max="6" width="3.88"/>
    <col customWidth="1" min="7" max="7" width="7.0"/>
    <col customWidth="1" min="8" max="16" width="13.88"/>
  </cols>
  <sheetData>
    <row r="1">
      <c r="A1" s="1"/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ht="18.75" customHeight="1">
      <c r="A2" s="2"/>
      <c r="B2" s="3" t="s">
        <v>0</v>
      </c>
      <c r="C2" s="4" t="s">
        <v>1</v>
      </c>
      <c r="D2" s="4" t="s">
        <v>2</v>
      </c>
      <c r="E2" s="5" t="s">
        <v>3</v>
      </c>
      <c r="F2" s="2"/>
      <c r="G2" s="3" t="s">
        <v>4</v>
      </c>
      <c r="H2" s="4" t="s">
        <v>5</v>
      </c>
      <c r="I2" s="6"/>
      <c r="J2" s="7" t="s">
        <v>6</v>
      </c>
      <c r="K2" s="6"/>
      <c r="L2" s="7" t="s">
        <v>7</v>
      </c>
      <c r="M2" s="6"/>
      <c r="N2" s="7" t="s">
        <v>8</v>
      </c>
      <c r="O2" s="6"/>
      <c r="P2" s="8" t="s">
        <v>9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ht="18.75" customHeight="1">
      <c r="A3" s="2"/>
      <c r="B3" s="9">
        <v>1.0</v>
      </c>
      <c r="C3" s="10" t="s">
        <v>10</v>
      </c>
      <c r="D3" s="10">
        <v>9.0</v>
      </c>
      <c r="E3" s="11">
        <v>1.0</v>
      </c>
      <c r="F3" s="2"/>
      <c r="G3" s="12">
        <v>1.0</v>
      </c>
      <c r="H3" s="13" t="s">
        <v>11</v>
      </c>
      <c r="I3" s="14" t="s">
        <v>12</v>
      </c>
      <c r="J3" s="15" t="s">
        <v>13</v>
      </c>
      <c r="K3" s="16" t="s">
        <v>14</v>
      </c>
      <c r="L3" s="15" t="s">
        <v>15</v>
      </c>
      <c r="M3" s="14" t="s">
        <v>10</v>
      </c>
      <c r="N3" s="16" t="s">
        <v>16</v>
      </c>
      <c r="O3" s="16" t="s">
        <v>17</v>
      </c>
      <c r="P3" s="17" t="s">
        <v>18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ht="18.75" customHeight="1">
      <c r="A4" s="2"/>
      <c r="B4" s="18">
        <v>2.0</v>
      </c>
      <c r="C4" s="19" t="s">
        <v>13</v>
      </c>
      <c r="D4" s="19">
        <v>8.0</v>
      </c>
      <c r="E4" s="20">
        <v>2.0</v>
      </c>
      <c r="F4" s="1"/>
      <c r="G4" s="21"/>
      <c r="H4" s="13">
        <f>IFERROR(__xludf.DUMMYFUNCTION("IMPORTRANGE(""https://docs.google.com/spreadsheets/d/14bJrm_Tof4OfCF7E4D5ODKSHjFt96M55d-qV5wnUK2Q/edit?usp=sharing"",""Round 1!C29"")"),12.0)</f>
        <v>12</v>
      </c>
      <c r="I4" s="16">
        <f>IFERROR(__xludf.DUMMYFUNCTION("IMPORTRANGE(""https://docs.google.com/spreadsheets/d/14bJrm_Tof4OfCF7E4D5ODKSHjFt96M55d-qV5wnUK2Q/edit?usp=sharing"",""Round 1!J29"")"),112.0)</f>
        <v>112</v>
      </c>
      <c r="J4" s="15">
        <f>IFERROR(__xludf.DUMMYFUNCTION("IMPORTRANGE(""https://docs.google.com/spreadsheets/d/1t2aGKuXNR3tdAGcrJe029-qTbxWOXSCjeYM4jVvm5FI/edit?usp=sharing"",""Round 1!C29"")"),222.0)</f>
        <v>222</v>
      </c>
      <c r="K4" s="16">
        <f>IFERROR(__xludf.DUMMYFUNCTION("IMPORTRANGE(""https://docs.google.com/spreadsheets/d/1t2aGKuXNR3tdAGcrJe029-qTbxWOXSCjeYM4jVvm5FI/edit?usp=sharing"",""Round 1!J29"")"),38.0)</f>
        <v>38</v>
      </c>
      <c r="L4" s="15">
        <f>IFERROR(__xludf.DUMMYFUNCTION("IMPORTRANGE(""https://docs.google.com/spreadsheets/d/1PyPrpe-xT8Nww1428tv0x_rEl9lYsENyTPm7HR48Itk/edit?usp=sharing"",""Round 1!C29"")"),106.0)</f>
        <v>106</v>
      </c>
      <c r="M4" s="14">
        <f>IFERROR(__xludf.DUMMYFUNCTION("IMPORTRANGE(""https://docs.google.com/spreadsheets/d/1PyPrpe-xT8Nww1428tv0x_rEl9lYsENyTPm7HR48Itk/edit?usp=sharing"",""Round 1!J29"")"),180.0)</f>
        <v>180</v>
      </c>
      <c r="N4" s="15">
        <f>IFERROR(__xludf.DUMMYFUNCTION("IMPORTRANGE(""https://docs.google.com/spreadsheets/d/1i6tVFwMecbKCZgxQARWAp0hOSjYeHoRknB8mdkfPLPo/edit?usp=sharing"",""Round 1!C29"")"),176.0)</f>
        <v>176</v>
      </c>
      <c r="O4" s="14">
        <f>IFERROR(__xludf.DUMMYFUNCTION("IMPORTRANGE(""https://docs.google.com/spreadsheets/d/1i6tVFwMecbKCZgxQARWAp0hOSjYeHoRknB8mdkfPLPo/edit?usp=sharing"",""Round 1!J29"")"),74.0)</f>
        <v>74</v>
      </c>
      <c r="P4" s="17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ht="18.75" customHeight="1">
      <c r="A5" s="2"/>
      <c r="B5" s="22">
        <v>3.0</v>
      </c>
      <c r="C5" s="23" t="s">
        <v>18</v>
      </c>
      <c r="D5" s="23">
        <v>6.0</v>
      </c>
      <c r="E5" s="24">
        <v>2.0</v>
      </c>
      <c r="F5" s="2"/>
      <c r="G5" s="25">
        <v>2.0</v>
      </c>
      <c r="H5" s="26" t="s">
        <v>15</v>
      </c>
      <c r="I5" s="27" t="s">
        <v>17</v>
      </c>
      <c r="J5" s="28" t="s">
        <v>18</v>
      </c>
      <c r="K5" s="27" t="s">
        <v>12</v>
      </c>
      <c r="L5" s="28" t="s">
        <v>11</v>
      </c>
      <c r="M5" s="29" t="s">
        <v>14</v>
      </c>
      <c r="N5" s="27" t="s">
        <v>13</v>
      </c>
      <c r="O5" s="27" t="s">
        <v>10</v>
      </c>
      <c r="P5" s="30" t="s">
        <v>16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ht="18.75" customHeight="1">
      <c r="A6" s="2"/>
      <c r="B6" s="31">
        <v>4.0</v>
      </c>
      <c r="C6" s="16" t="s">
        <v>15</v>
      </c>
      <c r="D6" s="16">
        <v>5.0</v>
      </c>
      <c r="E6" s="32">
        <v>3.0</v>
      </c>
      <c r="F6" s="2"/>
      <c r="G6" s="33"/>
      <c r="H6" s="34">
        <f>IFERROR(__xludf.DUMMYFUNCTION("IMPORTRANGE(""https://docs.google.com/spreadsheets/d/14bJrm_Tof4OfCF7E4D5ODKSHjFt96M55d-qV5wnUK2Q/edit?usp=sharing"",""Round 2!C29"")"),180.0)</f>
        <v>180</v>
      </c>
      <c r="I6" s="35">
        <f>IFERROR(__xludf.DUMMYFUNCTION("IMPORTRANGE(""https://docs.google.com/spreadsheets/d/14bJrm_Tof4OfCF7E4D5ODKSHjFt96M55d-qV5wnUK2Q/edit?usp=sharing"",""Round 2!J29"")"),26.0)</f>
        <v>26</v>
      </c>
      <c r="J6" s="36">
        <f>IFERROR(__xludf.DUMMYFUNCTION("IMPORTRANGE(""https://docs.google.com/spreadsheets/d/1t2aGKuXNR3tdAGcrJe029-qTbxWOXSCjeYM4jVvm5FI/edit?usp=sharing"",""Round 2!C29"")"),164.0)</f>
        <v>164</v>
      </c>
      <c r="K6" s="35">
        <f>IFERROR(__xludf.DUMMYFUNCTION("IMPORTRANGE(""https://docs.google.com/spreadsheets/d/1t2aGKuXNR3tdAGcrJe029-qTbxWOXSCjeYM4jVvm5FI/edit?usp=sharing"",""Round 2!J29"")"),64.0)</f>
        <v>64</v>
      </c>
      <c r="L6" s="36">
        <f>IFERROR(__xludf.DUMMYFUNCTION("IMPORTRANGE(""https://docs.google.com/spreadsheets/d/1PyPrpe-xT8Nww1428tv0x_rEl9lYsENyTPm7HR48Itk/edit?usp=sharing"",""Round 2!C29"")"),92.0)</f>
        <v>92</v>
      </c>
      <c r="M6" s="37">
        <f>IFERROR(__xludf.DUMMYFUNCTION("IMPORTRANGE(""https://docs.google.com/spreadsheets/d/1PyPrpe-xT8Nww1428tv0x_rEl9lYsENyTPm7HR48Itk/edit?usp=sharing"",""Round 2!J29"")"),50.0)</f>
        <v>50</v>
      </c>
      <c r="N6" s="36">
        <f>IFERROR(__xludf.DUMMYFUNCTION("IMPORTRANGE(""https://docs.google.com/spreadsheets/d/1i6tVFwMecbKCZgxQARWAp0hOSjYeHoRknB8mdkfPLPo/edit?usp=sharing"",""Round 2!C29"")"),212.0)</f>
        <v>212</v>
      </c>
      <c r="O6" s="37">
        <f>IFERROR(__xludf.DUMMYFUNCTION("IMPORTRANGE(""https://docs.google.com/spreadsheets/d/1i6tVFwMecbKCZgxQARWAp0hOSjYeHoRknB8mdkfPLPo/edit?usp=sharing"",""Round 2!J29"")"),80.0)</f>
        <v>80</v>
      </c>
      <c r="P6" s="38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ht="18.75" customHeight="1">
      <c r="A7" s="2"/>
      <c r="B7" s="31">
        <v>5.0</v>
      </c>
      <c r="C7" s="16" t="s">
        <v>16</v>
      </c>
      <c r="D7" s="16">
        <v>4.0</v>
      </c>
      <c r="E7" s="32">
        <v>4.0</v>
      </c>
      <c r="F7" s="1"/>
      <c r="G7" s="12">
        <v>3.0</v>
      </c>
      <c r="H7" s="13" t="s">
        <v>10</v>
      </c>
      <c r="I7" s="16" t="s">
        <v>11</v>
      </c>
      <c r="J7" s="15" t="s">
        <v>13</v>
      </c>
      <c r="K7" s="14" t="s">
        <v>15</v>
      </c>
      <c r="L7" s="15" t="s">
        <v>16</v>
      </c>
      <c r="M7" s="14" t="s">
        <v>12</v>
      </c>
      <c r="N7" s="16" t="s">
        <v>18</v>
      </c>
      <c r="O7" s="16" t="s">
        <v>14</v>
      </c>
      <c r="P7" s="17" t="s">
        <v>17</v>
      </c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ht="18.75" customHeight="1">
      <c r="A8" s="2"/>
      <c r="B8" s="31">
        <v>6.0</v>
      </c>
      <c r="C8" s="16" t="s">
        <v>12</v>
      </c>
      <c r="D8" s="16">
        <v>2.0</v>
      </c>
      <c r="E8" s="32">
        <v>6.0</v>
      </c>
      <c r="F8" s="1"/>
      <c r="G8" s="21"/>
      <c r="H8" s="13">
        <f>IFERROR(__xludf.DUMMYFUNCTION("IMPORTRANGE(""https://docs.google.com/spreadsheets/d/14bJrm_Tof4OfCF7E4D5ODKSHjFt96M55d-qV5wnUK2Q/edit?usp=sharing"",""Round 3!C29"")"),198.0)</f>
        <v>198</v>
      </c>
      <c r="I8" s="16">
        <f>IFERROR(__xludf.DUMMYFUNCTION("IMPORTRANGE(""https://docs.google.com/spreadsheets/d/14bJrm_Tof4OfCF7E4D5ODKSHjFt96M55d-qV5wnUK2Q/edit?usp=sharing"",""Round 3!J29"")"),30.0)</f>
        <v>30</v>
      </c>
      <c r="J8" s="15">
        <f>IFERROR(__xludf.DUMMYFUNCTION("IMPORTRANGE(""https://docs.google.com/spreadsheets/d/1t2aGKuXNR3tdAGcrJe029-qTbxWOXSCjeYM4jVvm5FI/edit?usp=sharing"",""Round 3!C29"")"),162.0)</f>
        <v>162</v>
      </c>
      <c r="K8" s="16">
        <f>IFERROR(__xludf.DUMMYFUNCTION("IMPORTRANGE(""https://docs.google.com/spreadsheets/d/1t2aGKuXNR3tdAGcrJe029-qTbxWOXSCjeYM4jVvm5FI/edit?usp=sharing"",""Round 3!J29"")"),92.0)</f>
        <v>92</v>
      </c>
      <c r="L8" s="15">
        <f>IFERROR(__xludf.DUMMYFUNCTION("IMPORTRANGE(""https://docs.google.com/spreadsheets/d/1PyPrpe-xT8Nww1428tv0x_rEl9lYsENyTPm7HR48Itk/edit?usp=sharing"",""Round 3!C29"")"),112.0)</f>
        <v>112</v>
      </c>
      <c r="M8" s="14">
        <f>IFERROR(__xludf.DUMMYFUNCTION("IMPORTRANGE(""https://docs.google.com/spreadsheets/d/1PyPrpe-xT8Nww1428tv0x_rEl9lYsENyTPm7HR48Itk/edit?usp=sharing"",""Round 3!J29"")"),68.0)</f>
        <v>68</v>
      </c>
      <c r="N8" s="15">
        <f>IFERROR(__xludf.DUMMYFUNCTION("IMPORTRANGE(""https://docs.google.com/spreadsheets/d/1i6tVFwMecbKCZgxQARWAp0hOSjYeHoRknB8mdkfPLPo/edit?usp=sharing"",""Round 3!C29"")"),132.0)</f>
        <v>132</v>
      </c>
      <c r="O8" s="14">
        <f>IFERROR(__xludf.DUMMYFUNCTION("IMPORTRANGE(""https://docs.google.com/spreadsheets/d/1i6tVFwMecbKCZgxQARWAp0hOSjYeHoRknB8mdkfPLPo/edit?usp=sharing"",""Round 3!J29"")"),24.0)</f>
        <v>24</v>
      </c>
      <c r="P8" s="17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ht="18.75" customHeight="1">
      <c r="A9" s="2"/>
      <c r="B9" s="31">
        <v>6.0</v>
      </c>
      <c r="C9" s="16" t="s">
        <v>17</v>
      </c>
      <c r="D9" s="16">
        <v>2.0</v>
      </c>
      <c r="E9" s="32">
        <v>6.0</v>
      </c>
      <c r="F9" s="2"/>
      <c r="G9" s="25">
        <v>4.0</v>
      </c>
      <c r="H9" s="26" t="s">
        <v>16</v>
      </c>
      <c r="I9" s="29" t="s">
        <v>14</v>
      </c>
      <c r="J9" s="28" t="s">
        <v>10</v>
      </c>
      <c r="K9" s="27" t="s">
        <v>18</v>
      </c>
      <c r="L9" s="28" t="s">
        <v>11</v>
      </c>
      <c r="M9" s="29" t="s">
        <v>15</v>
      </c>
      <c r="N9" s="27" t="s">
        <v>13</v>
      </c>
      <c r="O9" s="27" t="s">
        <v>17</v>
      </c>
      <c r="P9" s="30" t="s">
        <v>12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ht="18.75" customHeight="1">
      <c r="A10" s="2"/>
      <c r="B10" s="31">
        <v>8.0</v>
      </c>
      <c r="C10" s="16" t="s">
        <v>11</v>
      </c>
      <c r="D10" s="16">
        <v>1.0</v>
      </c>
      <c r="E10" s="32">
        <v>7.0</v>
      </c>
      <c r="F10" s="2"/>
      <c r="G10" s="33"/>
      <c r="H10" s="34">
        <f>IFERROR(__xludf.DUMMYFUNCTION("IMPORTRANGE(""https://docs.google.com/spreadsheets/d/14bJrm_Tof4OfCF7E4D5ODKSHjFt96M55d-qV5wnUK2Q/edit?usp=sharing"",""Round 4!C29"")"),80.0)</f>
        <v>80</v>
      </c>
      <c r="I10" s="35">
        <f>IFERROR(__xludf.DUMMYFUNCTION("IMPORTRANGE(""https://docs.google.com/spreadsheets/d/14bJrm_Tof4OfCF7E4D5ODKSHjFt96M55d-qV5wnUK2Q/edit?usp=sharing"",""Round 4!J29"")"),26.0)</f>
        <v>26</v>
      </c>
      <c r="J10" s="36">
        <f>IFERROR(__xludf.DUMMYFUNCTION("IMPORTRANGE(""https://docs.google.com/spreadsheets/d/1t2aGKuXNR3tdAGcrJe029-qTbxWOXSCjeYM4jVvm5FI/edit?usp=sharing"",""Round 4!C29"")"),122.0)</f>
        <v>122</v>
      </c>
      <c r="K10" s="35">
        <f>IFERROR(__xludf.DUMMYFUNCTION("IMPORTRANGE(""https://docs.google.com/spreadsheets/d/1t2aGKuXNR3tdAGcrJe029-qTbxWOXSCjeYM4jVvm5FI/edit?usp=sharing"",""Round 4!J29"")"),84.0)</f>
        <v>84</v>
      </c>
      <c r="L10" s="36">
        <f>IFERROR(__xludf.DUMMYFUNCTION("IMPORTRANGE(""https://docs.google.com/spreadsheets/d/1PyPrpe-xT8Nww1428tv0x_rEl9lYsENyTPm7HR48Itk/edit?usp=sharing"",""Round 4!C29"")"),48.0)</f>
        <v>48</v>
      </c>
      <c r="M10" s="37">
        <f>IFERROR(__xludf.DUMMYFUNCTION("IMPORTRANGE(""https://docs.google.com/spreadsheets/d/1PyPrpe-xT8Nww1428tv0x_rEl9lYsENyTPm7HR48Itk/edit?usp=sharing"",""Round 4!J29"")"),146.0)</f>
        <v>146</v>
      </c>
      <c r="N10" s="36">
        <f>IFERROR(__xludf.DUMMYFUNCTION("IMPORTRANGE(""https://docs.google.com/spreadsheets/d/1i6tVFwMecbKCZgxQARWAp0hOSjYeHoRknB8mdkfPLPo/edit?usp=sharing"",""Round 4!C29"")"),170.0)</f>
        <v>170</v>
      </c>
      <c r="O10" s="37">
        <f>IFERROR(__xludf.DUMMYFUNCTION("IMPORTRANGE(""https://docs.google.com/spreadsheets/d/1i6tVFwMecbKCZgxQARWAp0hOSjYeHoRknB8mdkfPLPo/edit?usp=sharing"",""Round 4!J29"")"),46.0)</f>
        <v>46</v>
      </c>
      <c r="P10" s="38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ht="18.75" customHeight="1">
      <c r="A11" s="2"/>
      <c r="B11" s="31">
        <v>8.0</v>
      </c>
      <c r="C11" s="16" t="s">
        <v>14</v>
      </c>
      <c r="D11" s="16">
        <v>1.0</v>
      </c>
      <c r="E11" s="32">
        <v>7.0</v>
      </c>
      <c r="F11" s="2"/>
      <c r="G11" s="12">
        <v>5.0</v>
      </c>
      <c r="H11" s="13" t="s">
        <v>11</v>
      </c>
      <c r="I11" s="16" t="s">
        <v>13</v>
      </c>
      <c r="J11" s="15" t="s">
        <v>17</v>
      </c>
      <c r="K11" s="14" t="s">
        <v>12</v>
      </c>
      <c r="L11" s="15" t="s">
        <v>16</v>
      </c>
      <c r="M11" s="14" t="s">
        <v>10</v>
      </c>
      <c r="N11" s="16" t="s">
        <v>15</v>
      </c>
      <c r="O11" s="16" t="s">
        <v>18</v>
      </c>
      <c r="P11" s="17" t="s">
        <v>14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ht="18.75" customHeight="1">
      <c r="A12" s="2"/>
      <c r="B12" s="39"/>
      <c r="C12" s="39"/>
      <c r="D12" s="39"/>
      <c r="E12" s="39"/>
      <c r="F12" s="2"/>
      <c r="G12" s="21"/>
      <c r="H12" s="13">
        <f>IFERROR(__xludf.DUMMYFUNCTION("IMPORTRANGE(""https://docs.google.com/spreadsheets/d/14bJrm_Tof4OfCF7E4D5ODKSHjFt96M55d-qV5wnUK2Q/edit?usp=sharing"",""Round 5!C29"")"),20.0)</f>
        <v>20</v>
      </c>
      <c r="I12" s="16">
        <f>IFERROR(__xludf.DUMMYFUNCTION("IMPORTRANGE(""https://docs.google.com/spreadsheets/d/14bJrm_Tof4OfCF7E4D5ODKSHjFt96M55d-qV5wnUK2Q/edit?usp=sharing"",""Round 5!J29"")"),198.0)</f>
        <v>198</v>
      </c>
      <c r="J12" s="15">
        <f>IFERROR(__xludf.DUMMYFUNCTION("IMPORTRANGE(""https://docs.google.com/spreadsheets/d/1t2aGKuXNR3tdAGcrJe029-qTbxWOXSCjeYM4jVvm5FI/edit?usp=sharing"",""Round 5!C29"")"),26.0)</f>
        <v>26</v>
      </c>
      <c r="K12" s="16">
        <f>IFERROR(__xludf.DUMMYFUNCTION("IMPORTRANGE(""https://docs.google.com/spreadsheets/d/1t2aGKuXNR3tdAGcrJe029-qTbxWOXSCjeYM4jVvm5FI/edit?usp=sharing"",""Round 5!J29"")"),16.0)</f>
        <v>16</v>
      </c>
      <c r="L12" s="15">
        <f>IFERROR(__xludf.DUMMYFUNCTION("IMPORTRANGE(""https://docs.google.com/spreadsheets/d/1PyPrpe-xT8Nww1428tv0x_rEl9lYsENyTPm7HR48Itk/edit?usp=sharing"",""Round 5!C29"")"),66.0)</f>
        <v>66</v>
      </c>
      <c r="M12" s="14">
        <f>IFERROR(__xludf.DUMMYFUNCTION("IMPORTRANGE(""https://docs.google.com/spreadsheets/d/1PyPrpe-xT8Nww1428tv0x_rEl9lYsENyTPm7HR48Itk/edit?usp=sharing"",""Round 5!J29"")"),132.0)</f>
        <v>132</v>
      </c>
      <c r="N12" s="15">
        <f>IFERROR(__xludf.DUMMYFUNCTION("IMPORTRANGE(""https://docs.google.com/spreadsheets/d/1i6tVFwMecbKCZgxQARWAp0hOSjYeHoRknB8mdkfPLPo/edit?usp=sharing"",""Round 5!C29"")"),84.0)</f>
        <v>84</v>
      </c>
      <c r="O12" s="14">
        <f>IFERROR(__xludf.DUMMYFUNCTION("IMPORTRANGE(""https://docs.google.com/spreadsheets/d/1i6tVFwMecbKCZgxQARWAp0hOSjYeHoRknB8mdkfPLPo/edit?usp=sharing"",""Round 5!J29"")"),120.0)</f>
        <v>120</v>
      </c>
      <c r="P12" s="17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ht="18.75" customHeight="1">
      <c r="A13" s="2"/>
      <c r="C13" s="16"/>
      <c r="D13" s="16"/>
      <c r="E13" s="16"/>
      <c r="F13" s="2"/>
      <c r="G13" s="25">
        <v>6.0</v>
      </c>
      <c r="H13" s="26" t="s">
        <v>14</v>
      </c>
      <c r="I13" s="27" t="s">
        <v>12</v>
      </c>
      <c r="J13" s="28" t="s">
        <v>15</v>
      </c>
      <c r="K13" s="29" t="s">
        <v>16</v>
      </c>
      <c r="L13" s="27" t="s">
        <v>18</v>
      </c>
      <c r="M13" s="27" t="s">
        <v>13</v>
      </c>
      <c r="N13" s="28" t="s">
        <v>17</v>
      </c>
      <c r="O13" s="29" t="s">
        <v>11</v>
      </c>
      <c r="P13" s="30" t="s">
        <v>10</v>
      </c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ht="18.75" customHeight="1">
      <c r="A14" s="2"/>
      <c r="B14" s="40"/>
      <c r="C14" s="16"/>
      <c r="D14" s="16"/>
      <c r="E14" s="16"/>
      <c r="F14" s="2"/>
      <c r="G14" s="33"/>
      <c r="H14" s="34">
        <f>IFERROR(__xludf.DUMMYFUNCTION("IMPORTRANGE(""https://docs.google.com/spreadsheets/d/14bJrm_Tof4OfCF7E4D5ODKSHjFt96M55d-qV5wnUK2Q/edit?usp=sharing"",""Round 6!C29"")"),38.0)</f>
        <v>38</v>
      </c>
      <c r="I14" s="35">
        <f>IFERROR(__xludf.DUMMYFUNCTION("IMPORTRANGE(""https://docs.google.com/spreadsheets/d/14bJrm_Tof4OfCF7E4D5ODKSHjFt96M55d-qV5wnUK2Q/edit?usp=sharing"",""Round 6!J29"")"),78.0)</f>
        <v>78</v>
      </c>
      <c r="J14" s="36">
        <f>IFERROR(__xludf.DUMMYFUNCTION("IMPORTRANGE(""https://docs.google.com/spreadsheets/d/1t2aGKuXNR3tdAGcrJe029-qTbxWOXSCjeYM4jVvm5FI/edit?usp=sharing"",""Round 6!C29"")"),96.0)</f>
        <v>96</v>
      </c>
      <c r="K14" s="35">
        <f>IFERROR(__xludf.DUMMYFUNCTION("IMPORTRANGE(""https://docs.google.com/spreadsheets/d/1t2aGKuXNR3tdAGcrJe029-qTbxWOXSCjeYM4jVvm5FI/edit?usp=sharing"",""Round 6!J29"")"),58.0)</f>
        <v>58</v>
      </c>
      <c r="L14" s="36">
        <f>IFERROR(__xludf.DUMMYFUNCTION("IMPORTRANGE(""https://docs.google.com/spreadsheets/d/1PyPrpe-xT8Nww1428tv0x_rEl9lYsENyTPm7HR48Itk/edit?usp=sharing"",""Round 6!C29"")"),100.0)</f>
        <v>100</v>
      </c>
      <c r="M14" s="37">
        <f>IFERROR(__xludf.DUMMYFUNCTION("IMPORTRANGE(""https://docs.google.com/spreadsheets/d/1PyPrpe-xT8Nww1428tv0x_rEl9lYsENyTPm7HR48Itk/edit?usp=sharing"",""Round 6!J29"")"),190.0)</f>
        <v>190</v>
      </c>
      <c r="N14" s="36">
        <f>IFERROR(__xludf.DUMMYFUNCTION("IMPORTRANGE(""https://docs.google.com/spreadsheets/d/1i6tVFwMecbKCZgxQARWAp0hOSjYeHoRknB8mdkfPLPo/edit?usp=sharing"",""Round 6!C29"")"),36.0)</f>
        <v>36</v>
      </c>
      <c r="O14" s="37">
        <f>IFERROR(__xludf.DUMMYFUNCTION("IMPORTRANGE(""https://docs.google.com/spreadsheets/d/1i6tVFwMecbKCZgxQARWAp0hOSjYeHoRknB8mdkfPLPo/edit?usp=sharing"",""Round 6!J29"")"),24.0)</f>
        <v>24</v>
      </c>
      <c r="P14" s="38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ht="18.75" customHeight="1">
      <c r="A15" s="2"/>
      <c r="B15" s="40"/>
      <c r="C15" s="16"/>
      <c r="D15" s="16"/>
      <c r="E15" s="16"/>
      <c r="F15" s="2"/>
      <c r="G15" s="12">
        <v>7.0</v>
      </c>
      <c r="H15" s="13" t="s">
        <v>18</v>
      </c>
      <c r="I15" s="16" t="s">
        <v>11</v>
      </c>
      <c r="J15" s="15" t="s">
        <v>10</v>
      </c>
      <c r="K15" s="14" t="s">
        <v>12</v>
      </c>
      <c r="L15" s="16" t="s">
        <v>17</v>
      </c>
      <c r="M15" s="16" t="s">
        <v>14</v>
      </c>
      <c r="N15" s="15" t="s">
        <v>16</v>
      </c>
      <c r="O15" s="16" t="s">
        <v>13</v>
      </c>
      <c r="P15" s="17" t="s">
        <v>15</v>
      </c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ht="18.75" customHeight="1">
      <c r="A16" s="2"/>
      <c r="B16" s="40"/>
      <c r="C16" s="16"/>
      <c r="D16" s="16"/>
      <c r="E16" s="16"/>
      <c r="F16" s="2"/>
      <c r="G16" s="21"/>
      <c r="H16" s="13">
        <f>IFERROR(__xludf.DUMMYFUNCTION("IMPORTRANGE(""https://docs.google.com/spreadsheets/d/14bJrm_Tof4OfCF7E4D5ODKSHjFt96M55d-qV5wnUK2Q/edit?usp=sharing"",""Round 7!C29"")"),92.0)</f>
        <v>92</v>
      </c>
      <c r="I16" s="16">
        <f>IFERROR(__xludf.DUMMYFUNCTION("IMPORTRANGE(""https://docs.google.com/spreadsheets/d/14bJrm_Tof4OfCF7E4D5ODKSHjFt96M55d-qV5wnUK2Q/edit?usp=sharing"",""Round 7!J29"")"),44.0)</f>
        <v>44</v>
      </c>
      <c r="J16" s="41">
        <f>IFERROR(__xludf.DUMMYFUNCTION("IMPORTRANGE(""https://docs.google.com/spreadsheets/d/1t2aGKuXNR3tdAGcrJe029-qTbxWOXSCjeYM4jVvm5FI/edit?usp=sharing"",""Round 7!C29"")"),152.0)</f>
        <v>152</v>
      </c>
      <c r="K16" s="42">
        <f>IFERROR(__xludf.DUMMYFUNCTION("IMPORTRANGE(""https://docs.google.com/spreadsheets/d/1t2aGKuXNR3tdAGcrJe029-qTbxWOXSCjeYM4jVvm5FI/edit?usp=sharing"",""Round 7!J29"")"),22.0)</f>
        <v>22</v>
      </c>
      <c r="L16" s="43">
        <f>IFERROR(__xludf.DUMMYFUNCTION("IMPORTRANGE(""https://docs.google.com/spreadsheets/d/1PyPrpe-xT8Nww1428tv0x_rEl9lYsENyTPm7HR48Itk/edit?usp=sharing"",""Round 7!C29"")"),12.0)</f>
        <v>12</v>
      </c>
      <c r="M16" s="42">
        <f>IFERROR(__xludf.DUMMYFUNCTION("IMPORTRANGE(""https://docs.google.com/spreadsheets/d/1PyPrpe-xT8Nww1428tv0x_rEl9lYsENyTPm7HR48Itk/edit?usp=sharing"",""Round 7!J29"")"),50.0)</f>
        <v>50</v>
      </c>
      <c r="N16" s="15">
        <f>IFERROR(__xludf.DUMMYFUNCTION("IMPORTRANGE(""https://docs.google.com/spreadsheets/d/1i6tVFwMecbKCZgxQARWAp0hOSjYeHoRknB8mdkfPLPo/edit?usp=sharing"",""Round 7!C29"")"),66.0)</f>
        <v>66</v>
      </c>
      <c r="O16" s="14">
        <f>IFERROR(__xludf.DUMMYFUNCTION("IMPORTRANGE(""https://docs.google.com/spreadsheets/d/1i6tVFwMecbKCZgxQARWAp0hOSjYeHoRknB8mdkfPLPo/edit?usp=sharing"",""Round 7!J29"")"),100.0)</f>
        <v>100</v>
      </c>
      <c r="P16" s="17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>
      <c r="A17" s="2"/>
      <c r="B17" s="40"/>
      <c r="C17" s="16"/>
      <c r="D17" s="16"/>
      <c r="E17" s="16"/>
      <c r="F17" s="2"/>
      <c r="G17" s="25">
        <v>8.0</v>
      </c>
      <c r="H17" s="26" t="s">
        <v>10</v>
      </c>
      <c r="I17" s="27" t="s">
        <v>14</v>
      </c>
      <c r="J17" s="44" t="s">
        <v>12</v>
      </c>
      <c r="K17" s="45" t="s">
        <v>15</v>
      </c>
      <c r="L17" s="46" t="s">
        <v>16</v>
      </c>
      <c r="M17" s="45" t="s">
        <v>11</v>
      </c>
      <c r="N17" s="46" t="s">
        <v>17</v>
      </c>
      <c r="O17" s="46" t="s">
        <v>18</v>
      </c>
      <c r="P17" s="30" t="s">
        <v>13</v>
      </c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>
      <c r="A18" s="2"/>
      <c r="B18" s="2"/>
      <c r="C18" s="16"/>
      <c r="D18" s="16"/>
      <c r="E18" s="16"/>
      <c r="F18" s="2"/>
      <c r="G18" s="33"/>
      <c r="H18" s="34">
        <f>IFERROR(__xludf.DUMMYFUNCTION("IMPORTRANGE(""https://docs.google.com/spreadsheets/d/14bJrm_Tof4OfCF7E4D5ODKSHjFt96M55d-qV5wnUK2Q/edit?usp=sharing"",""Round 8!C29"")"),84.0)</f>
        <v>84</v>
      </c>
      <c r="I18" s="35">
        <f>IFERROR(__xludf.DUMMYFUNCTION("IMPORTRANGE(""https://docs.google.com/spreadsheets/d/14bJrm_Tof4OfCF7E4D5ODKSHjFt96M55d-qV5wnUK2Q/edit?usp=sharing"",""Round 8!J29"")"),24.0)</f>
        <v>24</v>
      </c>
      <c r="J18" s="36">
        <f>IFERROR(__xludf.DUMMYFUNCTION("IMPORTRANGE(""https://docs.google.com/spreadsheets/d/1t2aGKuXNR3tdAGcrJe029-qTbxWOXSCjeYM4jVvm5FI/edit?usp=sharing"",""Round 8!C29"")"),40.0)</f>
        <v>40</v>
      </c>
      <c r="K18" s="35">
        <f>IFERROR(__xludf.DUMMYFUNCTION("IMPORTRANGE(""https://docs.google.com/spreadsheets/d/1t2aGKuXNR3tdAGcrJe029-qTbxWOXSCjeYM4jVvm5FI/edit?usp=sharing"",""Round 8!J29"")"),60.0)</f>
        <v>60</v>
      </c>
      <c r="L18" s="36">
        <f>IFERROR(__xludf.DUMMYFUNCTION("IMPORTRANGE(""https://docs.google.com/spreadsheets/d/1PyPrpe-xT8Nww1428tv0x_rEl9lYsENyTPm7HR48Itk/edit?usp=sharing"",""Round 8!C29"")"),50.0)</f>
        <v>50</v>
      </c>
      <c r="M18" s="37">
        <f>IFERROR(__xludf.DUMMYFUNCTION("IMPORTRANGE(""https://docs.google.com/spreadsheets/d/1PyPrpe-xT8Nww1428tv0x_rEl9lYsENyTPm7HR48Itk/edit?usp=sharing"",""Round 8!J29"")"),30.0)</f>
        <v>30</v>
      </c>
      <c r="N18" s="36">
        <f>IFERROR(__xludf.DUMMYFUNCTION("IMPORTRANGE(""https://docs.google.com/spreadsheets/d/1i6tVFwMecbKCZgxQARWAp0hOSjYeHoRknB8mdkfPLPo/edit?usp=sharing"",""Round 8!C29"")"),40.0)</f>
        <v>40</v>
      </c>
      <c r="O18" s="37">
        <f>IFERROR(__xludf.DUMMYFUNCTION("IMPORTRANGE(""https://docs.google.com/spreadsheets/d/1i6tVFwMecbKCZgxQARWAp0hOSjYeHoRknB8mdkfPLPo/edit?usp=sharing"",""Round 8!J29"")"),94.0)</f>
        <v>94</v>
      </c>
      <c r="P18" s="38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>
      <c r="A19" s="2"/>
      <c r="B19" s="2"/>
      <c r="C19" s="16"/>
      <c r="D19" s="16"/>
      <c r="E19" s="16"/>
      <c r="F19" s="2"/>
      <c r="G19" s="12">
        <v>9.0</v>
      </c>
      <c r="H19" s="13" t="s">
        <v>18</v>
      </c>
      <c r="I19" s="16" t="s">
        <v>16</v>
      </c>
      <c r="J19" s="15" t="s">
        <v>14</v>
      </c>
      <c r="K19" s="14" t="s">
        <v>15</v>
      </c>
      <c r="L19" s="16" t="s">
        <v>17</v>
      </c>
      <c r="M19" s="16" t="s">
        <v>10</v>
      </c>
      <c r="N19" s="15" t="s">
        <v>13</v>
      </c>
      <c r="O19" s="14" t="s">
        <v>12</v>
      </c>
      <c r="P19" s="17" t="s">
        <v>11</v>
      </c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>
      <c r="A20" s="2"/>
      <c r="B20" s="2"/>
      <c r="C20" s="16"/>
      <c r="D20" s="16"/>
      <c r="E20" s="16"/>
      <c r="F20" s="2"/>
      <c r="G20" s="33"/>
      <c r="H20" s="13">
        <f>IFERROR(__xludf.DUMMYFUNCTION("IMPORTRANGE(""https://docs.google.com/spreadsheets/d/14bJrm_Tof4OfCF7E4D5ODKSHjFt96M55d-qV5wnUK2Q/edit?usp=sharing"",""Round 9!C29"")"),48.0)</f>
        <v>48</v>
      </c>
      <c r="I20" s="16">
        <f>IFERROR(__xludf.DUMMYFUNCTION("IMPORTRANGE(""https://docs.google.com/spreadsheets/d/14bJrm_Tof4OfCF7E4D5ODKSHjFt96M55d-qV5wnUK2Q/edit?usp=sharing"",""Round 9!J29"")"),42.0)</f>
        <v>42</v>
      </c>
      <c r="J20" s="47">
        <f>IFERROR(__xludf.DUMMYFUNCTION("IMPORTRANGE(""https://docs.google.com/spreadsheets/d/1t2aGKuXNR3tdAGcrJe029-qTbxWOXSCjeYM4jVvm5FI/edit?usp=sharing"",""Round 9!C29"")"),12.0)</f>
        <v>12</v>
      </c>
      <c r="K20" s="48">
        <f>IFERROR(__xludf.DUMMYFUNCTION("IMPORTRANGE(""https://docs.google.com/spreadsheets/d/1t2aGKuXNR3tdAGcrJe029-qTbxWOXSCjeYM4jVvm5FI/edit?usp=sharing"",""Round 9!J29"")"),78.0)</f>
        <v>78</v>
      </c>
      <c r="L20" s="47">
        <f>IFERROR(__xludf.DUMMYFUNCTION("IMPORTRANGE(""https://docs.google.com/spreadsheets/d/1PyPrpe-xT8Nww1428tv0x_rEl9lYsENyTPm7HR48Itk/edit?usp=sharing"",""Round 9!C29"")"),8.0)</f>
        <v>8</v>
      </c>
      <c r="M20" s="49">
        <f>IFERROR(__xludf.DUMMYFUNCTION("IMPORTRANGE(""https://docs.google.com/spreadsheets/d/1PyPrpe-xT8Nww1428tv0x_rEl9lYsENyTPm7HR48Itk/edit?usp=sharing"",""Round 9!J29"")"),112.0)</f>
        <v>112</v>
      </c>
      <c r="N20" s="47">
        <f>IFERROR(__xludf.DUMMYFUNCTION("IMPORTRANGE(""https://docs.google.com/spreadsheets/d/1i6tVFwMecbKCZgxQARWAp0hOSjYeHoRknB8mdkfPLPo/edit?usp=sharing"",""Round 9!C29"")"),154.0)</f>
        <v>154</v>
      </c>
      <c r="O20" s="49">
        <f>IFERROR(__xludf.DUMMYFUNCTION("IMPORTRANGE(""https://docs.google.com/spreadsheets/d/1i6tVFwMecbKCZgxQARWAp0hOSjYeHoRknB8mdkfPLPo/edit?usp=sharing"",""Round 9!J29"")"),4.0)</f>
        <v>4</v>
      </c>
      <c r="P20" s="50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>
      <c r="A21" s="2"/>
      <c r="B21" s="2"/>
      <c r="C21" s="16"/>
      <c r="D21" s="16"/>
      <c r="E21" s="16"/>
      <c r="F21" s="2"/>
      <c r="G21" s="25" t="s">
        <v>19</v>
      </c>
      <c r="H21" s="26" t="s">
        <v>13</v>
      </c>
      <c r="I21" s="51" t="s">
        <v>10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>
      <c r="A22" s="2"/>
      <c r="B22" s="2"/>
      <c r="C22" s="2"/>
      <c r="D22" s="2"/>
      <c r="E22" s="2"/>
      <c r="F22" s="2"/>
      <c r="G22" s="21"/>
      <c r="H22" s="13">
        <f>IFERROR(__xludf.DUMMYFUNCTION("IMPORTRANGE(""https://docs.google.com/spreadsheets/d/14bJrm_Tof4OfCF7E4D5ODKSHjFt96M55d-qV5wnUK2Q/edit?usp=sharing"",""Round 10!C29"")"),86.0)</f>
        <v>86</v>
      </c>
      <c r="I22" s="32">
        <f>IFERROR(__xludf.DUMMYFUNCTION("IMPORTRANGE(""https://docs.google.com/spreadsheets/d/14bJrm_Tof4OfCF7E4D5ODKSHjFt96M55d-qV5wnUK2Q/edit?usp=sharing"",""Round 10!J29"")"),124.0)</f>
        <v>124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>
      <c r="A23" s="2"/>
      <c r="B23" s="2"/>
      <c r="C23" s="2"/>
      <c r="D23" s="2"/>
      <c r="E23" s="2"/>
      <c r="F23" s="2"/>
      <c r="G23" s="52"/>
      <c r="H23" s="53">
        <f>IFERROR(__xludf.DUMMYFUNCTION("IMPORTRANGE(""https://docs.google.com/spreadsheets/d/14bJrm_Tof4OfCF7E4D5ODKSHjFt96M55d-qV5wnUK2Q/edit?usp=sharing"",""Round 11!C29"")"),64.0)</f>
        <v>64</v>
      </c>
      <c r="I23" s="54">
        <f>IFERROR(__xludf.DUMMYFUNCTION("IMPORTRANGE(""https://docs.google.com/spreadsheets/d/14bJrm_Tof4OfCF7E4D5ODKSHjFt96M55d-qV5wnUK2Q/edit?usp=sharing"",""Round 11!J29"")"),76.0)</f>
        <v>76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</row>
  </sheetData>
  <mergeCells count="14">
    <mergeCell ref="G9:G10"/>
    <mergeCell ref="G11:G12"/>
    <mergeCell ref="G13:G14"/>
    <mergeCell ref="G15:G16"/>
    <mergeCell ref="G17:G18"/>
    <mergeCell ref="G19:G20"/>
    <mergeCell ref="G21:G23"/>
    <mergeCell ref="H2:I2"/>
    <mergeCell ref="J2:K2"/>
    <mergeCell ref="L2:M2"/>
    <mergeCell ref="N2:O2"/>
    <mergeCell ref="G3:G4"/>
    <mergeCell ref="G5:G6"/>
    <mergeCell ref="G7:G8"/>
  </mergeCells>
  <drawing r:id="rId1"/>
</worksheet>
</file>