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5"/>
    <sheet state="hidden" name="Sorted" sheetId="2" r:id="rId6"/>
    <sheet state="hidden" name="Full" sheetId="3" r:id="rId7"/>
    <sheet state="hidden" name="Sorted Team" sheetId="4" r:id="rId8"/>
    <sheet state="visible" name="Stats" sheetId="5" r:id="rId9"/>
    <sheet state="visible" name="Team Stats" sheetId="6" r:id="rId10"/>
    <sheet state="visible" name="X-Risk" sheetId="7" r:id="rId11"/>
    <sheet state="visible" name="Math" sheetId="8" r:id="rId12"/>
    <sheet state="visible" name="Chemistry" sheetId="9" r:id="rId13"/>
    <sheet state="visible" name="EarthSpace" sheetId="10" r:id="rId14"/>
    <sheet state="visible" name="Biology" sheetId="11" r:id="rId15"/>
    <sheet state="visible" name="Physics" sheetId="12" r:id="rId16"/>
  </sheets>
  <definedNames/>
  <calcPr/>
</workbook>
</file>

<file path=xl/sharedStrings.xml><?xml version="1.0" encoding="utf-8"?>
<sst xmlns="http://schemas.openxmlformats.org/spreadsheetml/2006/main" count="3021" uniqueCount="98">
  <si>
    <t>Cupertino B</t>
  </si>
  <si>
    <t>Stanford OHS</t>
  </si>
  <si>
    <t>Mira Loma A</t>
  </si>
  <si>
    <t>Saratoga B</t>
  </si>
  <si>
    <t>Mira Loma B</t>
  </si>
  <si>
    <t>Saratoga A</t>
  </si>
  <si>
    <t>Palo Alto A</t>
  </si>
  <si>
    <t>Palo Alto B</t>
  </si>
  <si>
    <t>Cupertino A</t>
  </si>
  <si>
    <t>Mithilesh</t>
  </si>
  <si>
    <t>Amitabh</t>
  </si>
  <si>
    <t>Namita</t>
  </si>
  <si>
    <t>Richard</t>
  </si>
  <si>
    <t>Shubhi</t>
  </si>
  <si>
    <t>Tanish</t>
  </si>
  <si>
    <t>Syaon</t>
  </si>
  <si>
    <t>Bonus</t>
  </si>
  <si>
    <t>Nipun</t>
  </si>
  <si>
    <t>Aditya</t>
  </si>
  <si>
    <t>Score</t>
  </si>
  <si>
    <t>Sarthak</t>
  </si>
  <si>
    <t>Shohom</t>
  </si>
  <si>
    <t>Levana</t>
  </si>
  <si>
    <t>Nolan</t>
  </si>
  <si>
    <t>Arjun</t>
  </si>
  <si>
    <t>Warren</t>
  </si>
  <si>
    <t>Harish</t>
  </si>
  <si>
    <t>Elyas</t>
  </si>
  <si>
    <t>Tanay</t>
  </si>
  <si>
    <t>Ashrith</t>
  </si>
  <si>
    <t>Adam</t>
  </si>
  <si>
    <t>Nilay</t>
  </si>
  <si>
    <t>Anthony</t>
  </si>
  <si>
    <t>Advaith</t>
  </si>
  <si>
    <t>Carissa</t>
  </si>
  <si>
    <t>Forrest</t>
  </si>
  <si>
    <t>Johnathan</t>
  </si>
  <si>
    <t>Atticus</t>
  </si>
  <si>
    <t>Matthew</t>
  </si>
  <si>
    <t>Nathan</t>
  </si>
  <si>
    <t>Jeremy</t>
  </si>
  <si>
    <t>Jarvis</t>
  </si>
  <si>
    <t>Claire</t>
  </si>
  <si>
    <t>Aaditya</t>
  </si>
  <si>
    <t>Jake</t>
  </si>
  <si>
    <t>Aditi</t>
  </si>
  <si>
    <t>Minseo</t>
  </si>
  <si>
    <t>X</t>
  </si>
  <si>
    <t>M</t>
  </si>
  <si>
    <t>C</t>
  </si>
  <si>
    <t>E</t>
  </si>
  <si>
    <t>B</t>
  </si>
  <si>
    <t>P</t>
  </si>
  <si>
    <t>Jonathen</t>
  </si>
  <si>
    <t>Sholom</t>
  </si>
  <si>
    <t>Johnathen</t>
  </si>
  <si>
    <t>Player</t>
  </si>
  <si>
    <t>Team</t>
  </si>
  <si>
    <t>GP</t>
  </si>
  <si>
    <t>TU</t>
  </si>
  <si>
    <t>Neg</t>
  </si>
  <si>
    <t>TU/Neg</t>
  </si>
  <si>
    <t>Points</t>
  </si>
  <si>
    <t>PPG</t>
  </si>
  <si>
    <t>X TU</t>
  </si>
  <si>
    <t>X Neg</t>
  </si>
  <si>
    <t>X PPG</t>
  </si>
  <si>
    <t>M TU</t>
  </si>
  <si>
    <t>M Neg</t>
  </si>
  <si>
    <t>M PPG</t>
  </si>
  <si>
    <t>C TU</t>
  </si>
  <si>
    <t>C Neg</t>
  </si>
  <si>
    <t>C PPG</t>
  </si>
  <si>
    <t>E TU</t>
  </si>
  <si>
    <t>E Neg</t>
  </si>
  <si>
    <t>E PPG</t>
  </si>
  <si>
    <t>B TU</t>
  </si>
  <si>
    <t>B Neg</t>
  </si>
  <si>
    <t>B PPG</t>
  </si>
  <si>
    <t>P TU</t>
  </si>
  <si>
    <t>P Neg</t>
  </si>
  <si>
    <t>P PPG</t>
  </si>
  <si>
    <t>Infinity</t>
  </si>
  <si>
    <t>Bonus %</t>
  </si>
  <si>
    <t>X Bonus</t>
  </si>
  <si>
    <t>X Bonus %</t>
  </si>
  <si>
    <t>M Bonus</t>
  </si>
  <si>
    <t>M Bonus %</t>
  </si>
  <si>
    <t>C Bonus</t>
  </si>
  <si>
    <t>C Bonus %</t>
  </si>
  <si>
    <t>E Bonus</t>
  </si>
  <si>
    <t>E Bonus %</t>
  </si>
  <si>
    <t>B Bonus</t>
  </si>
  <si>
    <t>B Bonus %</t>
  </si>
  <si>
    <t>P Bonus</t>
  </si>
  <si>
    <t>P Bonus %</t>
  </si>
  <si>
    <t>Overall</t>
  </si>
  <si>
    <t>TUH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</si>
</sst>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9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3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6" width="6.38"/>
  </cols>
  <sheetData>
    <row r="1">
      <c r="A1" s="1"/>
      <c r="B1" s="1" t="s">
        <v>0</v>
      </c>
      <c r="G1" s="1" t="s">
        <v>1</v>
      </c>
      <c r="L1" s="1" t="s">
        <v>2</v>
      </c>
      <c r="Q1" s="1" t="s">
        <v>3</v>
      </c>
      <c r="V1" s="1" t="s">
        <v>4</v>
      </c>
      <c r="AA1" s="1" t="s">
        <v>5</v>
      </c>
      <c r="AF1" s="1" t="s">
        <v>6</v>
      </c>
      <c r="AK1" s="1" t="s">
        <v>7</v>
      </c>
      <c r="AP1" s="1" t="s">
        <v>8</v>
      </c>
    </row>
    <row r="2">
      <c r="A2" s="1"/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L2" s="1" t="s">
        <v>17</v>
      </c>
      <c r="M2" s="1" t="s">
        <v>18</v>
      </c>
      <c r="N2" s="1" t="s">
        <v>20</v>
      </c>
      <c r="O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/>
      <c r="AA2" s="1" t="s">
        <v>30</v>
      </c>
      <c r="AB2" s="1" t="s">
        <v>31</v>
      </c>
      <c r="AC2" s="1" t="s">
        <v>32</v>
      </c>
      <c r="AD2" s="1" t="s">
        <v>33</v>
      </c>
      <c r="AE2" s="1"/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36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</row>
    <row r="3">
      <c r="A3" s="1"/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0</v>
      </c>
      <c r="J3" s="1" t="b">
        <v>0</v>
      </c>
      <c r="K3" s="1" t="b">
        <v>0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0</v>
      </c>
      <c r="Q3" s="1" t="b">
        <v>1</v>
      </c>
      <c r="R3" s="1" t="b">
        <v>0</v>
      </c>
      <c r="S3" s="1" t="b">
        <v>1</v>
      </c>
      <c r="T3" s="1" t="b">
        <v>0</v>
      </c>
      <c r="U3" s="1" t="b">
        <v>0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0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0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0</v>
      </c>
      <c r="AK3" s="1" t="b">
        <v>1</v>
      </c>
      <c r="AL3" s="1" t="b">
        <v>1</v>
      </c>
      <c r="AM3" s="1" t="b">
        <v>1</v>
      </c>
      <c r="AN3" s="1" t="b">
        <v>1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</row>
    <row r="4">
      <c r="A4" s="1" t="s">
        <v>47</v>
      </c>
      <c r="D4" s="1">
        <v>4.0</v>
      </c>
      <c r="I4" s="1"/>
      <c r="J4" s="1"/>
      <c r="K4" s="1"/>
      <c r="L4" s="1">
        <v>4.0</v>
      </c>
      <c r="P4" s="1"/>
      <c r="R4" s="1"/>
      <c r="T4" s="1"/>
      <c r="U4" s="1"/>
      <c r="V4" s="1"/>
      <c r="W4" s="1">
        <v>4.0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>
        <v>4.0</v>
      </c>
      <c r="AN4" s="1"/>
      <c r="AO4" s="1"/>
    </row>
    <row r="5">
      <c r="A5" s="1" t="s">
        <v>48</v>
      </c>
      <c r="G5" s="1">
        <v>4.0</v>
      </c>
      <c r="I5" s="1"/>
      <c r="J5" s="1"/>
      <c r="K5" s="1"/>
      <c r="M5" s="1">
        <v>-4.0</v>
      </c>
      <c r="P5" s="1"/>
      <c r="R5" s="1"/>
      <c r="T5" s="1"/>
      <c r="U5" s="1"/>
      <c r="V5" s="1"/>
      <c r="W5" s="1"/>
      <c r="X5" s="1"/>
      <c r="Y5" s="1"/>
      <c r="Z5" s="1"/>
      <c r="AA5" s="1"/>
      <c r="AB5" s="1">
        <v>4.0</v>
      </c>
      <c r="AC5" s="1"/>
      <c r="AD5" s="1"/>
      <c r="AE5" s="1"/>
      <c r="AF5" s="1"/>
      <c r="AG5" s="1">
        <v>4.0</v>
      </c>
      <c r="AH5" s="1"/>
      <c r="AI5" s="1"/>
      <c r="AJ5" s="1"/>
      <c r="AK5" s="1"/>
      <c r="AL5" s="1"/>
      <c r="AM5" s="1"/>
      <c r="AN5" s="1"/>
      <c r="AO5" s="1"/>
    </row>
    <row r="6">
      <c r="A6" s="1" t="s">
        <v>49</v>
      </c>
      <c r="G6" s="1">
        <v>4.0</v>
      </c>
      <c r="I6" s="1"/>
      <c r="J6" s="1"/>
      <c r="K6" s="1"/>
      <c r="L6" s="1">
        <v>4.0</v>
      </c>
      <c r="P6" s="1"/>
      <c r="R6" s="1"/>
      <c r="T6" s="1"/>
      <c r="U6" s="1"/>
      <c r="V6" s="1"/>
      <c r="W6" s="1">
        <v>4.0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>
        <v>4.0</v>
      </c>
      <c r="AJ6" s="1"/>
      <c r="AK6" s="1"/>
      <c r="AL6" s="1"/>
      <c r="AM6" s="1"/>
      <c r="AN6" s="1"/>
      <c r="AO6" s="1"/>
    </row>
    <row r="7">
      <c r="A7" s="1" t="s">
        <v>50</v>
      </c>
      <c r="I7" s="1"/>
      <c r="J7" s="1"/>
      <c r="K7" s="1"/>
      <c r="L7" s="1">
        <v>-4.0</v>
      </c>
      <c r="P7" s="1"/>
      <c r="R7" s="1"/>
      <c r="T7" s="1"/>
      <c r="U7" s="1"/>
      <c r="V7" s="1"/>
      <c r="W7" s="1"/>
      <c r="X7" s="1"/>
      <c r="Y7" s="1"/>
      <c r="Z7" s="1"/>
      <c r="AA7" s="1"/>
      <c r="AB7" s="1"/>
      <c r="AC7" s="1">
        <v>4.0</v>
      </c>
      <c r="AD7" s="1"/>
      <c r="AE7" s="1"/>
      <c r="AF7" s="1"/>
      <c r="AG7" s="1"/>
      <c r="AH7" s="1"/>
      <c r="AI7" s="1">
        <v>-4.0</v>
      </c>
      <c r="AJ7" s="1"/>
      <c r="AK7" s="1"/>
      <c r="AL7" s="1">
        <v>4.0</v>
      </c>
      <c r="AM7" s="1"/>
      <c r="AN7" s="1"/>
      <c r="AO7" s="1"/>
    </row>
    <row r="8">
      <c r="A8" s="1" t="s">
        <v>51</v>
      </c>
      <c r="G8" s="1">
        <v>4.0</v>
      </c>
      <c r="I8" s="1"/>
      <c r="J8" s="1"/>
      <c r="K8" s="1"/>
      <c r="M8" s="1">
        <v>4.0</v>
      </c>
      <c r="P8" s="1"/>
      <c r="R8" s="1"/>
      <c r="T8" s="1"/>
      <c r="U8" s="1"/>
      <c r="V8" s="1"/>
      <c r="W8" s="1"/>
      <c r="X8" s="1"/>
      <c r="Y8" s="1"/>
      <c r="Z8" s="1"/>
      <c r="AA8" s="1">
        <v>4.0</v>
      </c>
      <c r="AB8" s="1"/>
      <c r="AC8" s="1"/>
      <c r="AD8" s="1"/>
      <c r="AE8" s="1"/>
      <c r="AF8" s="1"/>
      <c r="AG8" s="1"/>
      <c r="AH8" s="1">
        <v>-4.0</v>
      </c>
      <c r="AI8" s="1"/>
      <c r="AJ8" s="1"/>
      <c r="AK8" s="1"/>
      <c r="AL8" s="1"/>
      <c r="AM8" s="1"/>
      <c r="AN8" s="1"/>
      <c r="AO8" s="1"/>
    </row>
    <row r="9">
      <c r="A9" s="1" t="s">
        <v>52</v>
      </c>
      <c r="I9" s="1"/>
      <c r="J9" s="1"/>
      <c r="K9" s="1"/>
      <c r="N9" s="1">
        <v>4.0</v>
      </c>
      <c r="P9" s="1"/>
      <c r="R9" s="1"/>
      <c r="T9" s="1"/>
      <c r="U9" s="1"/>
      <c r="V9" s="1">
        <v>4.0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>
        <v>4.0</v>
      </c>
      <c r="AL9" s="1"/>
      <c r="AM9" s="1"/>
      <c r="AN9" s="1"/>
      <c r="AO9" s="1"/>
    </row>
    <row r="10">
      <c r="A10" s="1" t="s">
        <v>47</v>
      </c>
      <c r="I10" s="1"/>
      <c r="J10" s="1"/>
      <c r="K10" s="1"/>
      <c r="M10" s="1">
        <v>4.0</v>
      </c>
      <c r="P10" s="1"/>
      <c r="R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>
        <v>4.0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1" t="s">
        <v>48</v>
      </c>
      <c r="I11" s="1"/>
      <c r="J11" s="1"/>
      <c r="K11" s="1"/>
      <c r="P11" s="1"/>
      <c r="R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>
        <v>4.0</v>
      </c>
      <c r="AE11" s="1"/>
      <c r="AF11" s="1"/>
      <c r="AG11" s="1">
        <v>4.0</v>
      </c>
      <c r="AH11" s="1"/>
      <c r="AI11" s="1"/>
      <c r="AJ11" s="1"/>
      <c r="AK11" s="1"/>
      <c r="AL11" s="1"/>
      <c r="AM11" s="1"/>
      <c r="AN11" s="1"/>
      <c r="AO11" s="1"/>
    </row>
    <row r="12">
      <c r="A12" s="1" t="s">
        <v>49</v>
      </c>
      <c r="G12" s="1">
        <v>4.0</v>
      </c>
      <c r="I12" s="1"/>
      <c r="J12" s="1"/>
      <c r="K12" s="1"/>
      <c r="L12" s="1">
        <v>4.0</v>
      </c>
      <c r="P12" s="1"/>
      <c r="R12" s="1"/>
      <c r="T12" s="1"/>
      <c r="U12" s="1"/>
      <c r="V12" s="1"/>
      <c r="W12" s="1"/>
      <c r="X12" s="1">
        <v>4.0</v>
      </c>
      <c r="Y12" s="1"/>
      <c r="Z12" s="1"/>
      <c r="AA12" s="1"/>
      <c r="AB12" s="1"/>
      <c r="AC12" s="1"/>
      <c r="AD12" s="1"/>
      <c r="AE12" s="1"/>
      <c r="AF12" s="1"/>
      <c r="AG12" s="1">
        <v>4.0</v>
      </c>
      <c r="AH12" s="1"/>
      <c r="AI12" s="1"/>
      <c r="AJ12" s="1"/>
      <c r="AK12" s="1"/>
      <c r="AL12" s="1"/>
      <c r="AM12" s="1"/>
      <c r="AN12" s="1"/>
      <c r="AO12" s="1"/>
    </row>
    <row r="13">
      <c r="A13" s="1" t="s">
        <v>50</v>
      </c>
      <c r="I13" s="1"/>
      <c r="J13" s="1"/>
      <c r="K13" s="1"/>
      <c r="O13" s="1">
        <v>4.0</v>
      </c>
      <c r="P13" s="1"/>
      <c r="R13" s="1"/>
      <c r="T13" s="1"/>
      <c r="U13" s="1"/>
      <c r="V13" s="1"/>
      <c r="W13" s="1"/>
      <c r="X13" s="1"/>
      <c r="Y13" s="1"/>
      <c r="Z13" s="1"/>
      <c r="AA13" s="1"/>
      <c r="AB13" s="1"/>
      <c r="AC13" s="1">
        <v>4.0</v>
      </c>
      <c r="AD13" s="1"/>
      <c r="AE13" s="1"/>
      <c r="AF13" s="1"/>
      <c r="AG13" s="1"/>
      <c r="AH13" s="1"/>
      <c r="AI13" s="1"/>
      <c r="AJ13" s="1"/>
      <c r="AK13" s="1"/>
      <c r="AL13" s="1"/>
      <c r="AM13" s="1">
        <v>4.0</v>
      </c>
      <c r="AN13" s="1"/>
      <c r="AO13" s="1"/>
    </row>
    <row r="14">
      <c r="A14" s="1" t="s">
        <v>51</v>
      </c>
      <c r="I14" s="1"/>
      <c r="J14" s="1"/>
      <c r="K14" s="1"/>
      <c r="M14" s="1">
        <v>4.0</v>
      </c>
      <c r="P14" s="1"/>
      <c r="R14" s="1"/>
      <c r="T14" s="1"/>
      <c r="U14" s="1"/>
      <c r="V14" s="1"/>
      <c r="W14" s="1"/>
      <c r="X14" s="1"/>
      <c r="Y14" s="1"/>
      <c r="Z14" s="1"/>
      <c r="AA14" s="1"/>
      <c r="AB14" s="1"/>
      <c r="AC14" s="1">
        <v>4.0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>
        <v>4.0</v>
      </c>
    </row>
    <row r="15">
      <c r="A15" s="1" t="s">
        <v>52</v>
      </c>
      <c r="G15" s="1">
        <v>4.0</v>
      </c>
      <c r="I15" s="1"/>
      <c r="J15" s="1"/>
      <c r="K15" s="1"/>
      <c r="O15" s="1">
        <v>-4.0</v>
      </c>
      <c r="P15" s="1"/>
      <c r="R15" s="1"/>
      <c r="S15" s="1">
        <v>4.0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>
        <v>4.0</v>
      </c>
      <c r="AE15" s="1"/>
      <c r="AF15" s="1"/>
      <c r="AG15" s="1"/>
      <c r="AH15" s="1"/>
      <c r="AI15" s="1"/>
      <c r="AJ15" s="1"/>
      <c r="AK15" s="1"/>
      <c r="AL15" s="1">
        <v>4.0</v>
      </c>
      <c r="AM15" s="1"/>
      <c r="AN15" s="1"/>
      <c r="AO15" s="1"/>
    </row>
    <row r="16">
      <c r="A16" s="1"/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0</v>
      </c>
      <c r="J16" s="1" t="b">
        <v>0</v>
      </c>
      <c r="K16" s="1" t="b">
        <v>0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0</v>
      </c>
      <c r="Q16" s="1" t="b">
        <v>1</v>
      </c>
      <c r="R16" s="1" t="b">
        <v>0</v>
      </c>
      <c r="S16" s="1" t="b">
        <v>1</v>
      </c>
      <c r="T16" s="1" t="b">
        <v>0</v>
      </c>
      <c r="U16" s="1" t="b">
        <v>0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0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0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0</v>
      </c>
      <c r="AK16" s="1" t="b">
        <v>1</v>
      </c>
      <c r="AL16" s="1" t="b">
        <v>1</v>
      </c>
      <c r="AM16" s="1" t="b">
        <v>1</v>
      </c>
      <c r="AN16" s="1" t="b">
        <v>1</v>
      </c>
      <c r="AO16" s="1" t="b">
        <v>1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</row>
    <row r="17">
      <c r="A17" s="1" t="s">
        <v>47</v>
      </c>
      <c r="C17" s="1">
        <v>-4.0</v>
      </c>
      <c r="G17" s="1">
        <v>4.0</v>
      </c>
      <c r="I17" s="1"/>
      <c r="J17" s="1"/>
      <c r="K17" s="1"/>
      <c r="M17" s="1">
        <v>4.0</v>
      </c>
      <c r="P17" s="1"/>
      <c r="R17" s="1"/>
      <c r="T17" s="1"/>
      <c r="U17" s="1"/>
      <c r="V17" s="1"/>
      <c r="W17" s="1"/>
      <c r="X17" s="1"/>
      <c r="Y17" s="1"/>
      <c r="Z17" s="1"/>
      <c r="AA17" s="1">
        <v>4.0</v>
      </c>
      <c r="AB17" s="1"/>
      <c r="AC17" s="1"/>
      <c r="AD17" s="1"/>
      <c r="AE17" s="1"/>
      <c r="AF17" s="1"/>
      <c r="AG17" s="1"/>
      <c r="AH17" s="1">
        <v>4.0</v>
      </c>
      <c r="AI17" s="1"/>
      <c r="AJ17" s="1"/>
      <c r="AK17" s="1"/>
      <c r="AL17" s="1"/>
      <c r="AM17" s="1"/>
      <c r="AN17" s="1"/>
      <c r="AO17" s="1"/>
    </row>
    <row r="18">
      <c r="A18" s="1" t="s">
        <v>48</v>
      </c>
      <c r="I18" s="1"/>
      <c r="J18" s="1"/>
      <c r="K18" s="1"/>
      <c r="L18" s="1">
        <v>-4.0</v>
      </c>
      <c r="P18" s="1"/>
      <c r="R18" s="1"/>
      <c r="S18" s="1">
        <v>4.0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>
        <v>4.0</v>
      </c>
      <c r="AE18" s="1"/>
      <c r="AF18" s="1"/>
      <c r="AG18" s="1"/>
      <c r="AH18" s="1">
        <v>4.0</v>
      </c>
      <c r="AI18" s="1"/>
      <c r="AJ18" s="1"/>
      <c r="AK18" s="1"/>
      <c r="AL18" s="1"/>
      <c r="AM18" s="1"/>
      <c r="AN18" s="1"/>
      <c r="AO18" s="1"/>
    </row>
    <row r="19">
      <c r="A19" s="1" t="s">
        <v>49</v>
      </c>
      <c r="G19" s="1">
        <v>4.0</v>
      </c>
      <c r="I19" s="1"/>
      <c r="J19" s="1"/>
      <c r="K19" s="1"/>
      <c r="L19" s="1">
        <v>-4.0</v>
      </c>
      <c r="P19" s="1"/>
      <c r="R19" s="1"/>
      <c r="T19" s="1"/>
      <c r="U19" s="1"/>
      <c r="V19" s="1"/>
      <c r="W19" s="1"/>
      <c r="X19" s="1">
        <v>4.0</v>
      </c>
      <c r="Y19" s="1"/>
      <c r="Z19" s="1"/>
      <c r="AA19" s="1"/>
      <c r="AB19" s="1"/>
      <c r="AC19" s="1"/>
      <c r="AD19" s="1"/>
      <c r="AE19" s="1"/>
      <c r="AF19" s="1"/>
      <c r="AG19" s="1"/>
      <c r="AH19" s="1">
        <v>4.0</v>
      </c>
      <c r="AI19" s="1"/>
      <c r="AJ19" s="1"/>
      <c r="AK19" s="1"/>
      <c r="AL19" s="1"/>
      <c r="AM19" s="1"/>
      <c r="AN19" s="1"/>
      <c r="AO19" s="1"/>
    </row>
    <row r="20">
      <c r="A20" s="1" t="s">
        <v>50</v>
      </c>
      <c r="D20" s="1">
        <v>4.0</v>
      </c>
      <c r="I20" s="1"/>
      <c r="J20" s="1"/>
      <c r="K20" s="1"/>
      <c r="M20" s="1">
        <v>4.0</v>
      </c>
      <c r="P20" s="1"/>
      <c r="R20" s="1"/>
      <c r="T20" s="1"/>
      <c r="U20" s="1"/>
      <c r="V20" s="1"/>
      <c r="W20" s="1"/>
      <c r="X20" s="1"/>
      <c r="Y20" s="1"/>
      <c r="Z20" s="1"/>
      <c r="AA20" s="1"/>
      <c r="AB20" s="1"/>
      <c r="AC20" s="1">
        <v>4.0</v>
      </c>
      <c r="AD20" s="1"/>
      <c r="AE20" s="1"/>
      <c r="AF20" s="1"/>
      <c r="AG20" s="1"/>
      <c r="AH20" s="1"/>
      <c r="AI20" s="1"/>
      <c r="AJ20" s="1"/>
      <c r="AK20" s="1"/>
      <c r="AL20" s="1">
        <v>4.0</v>
      </c>
      <c r="AM20" s="1"/>
      <c r="AN20" s="1"/>
      <c r="AO20" s="1"/>
    </row>
    <row r="21">
      <c r="A21" s="1" t="s">
        <v>51</v>
      </c>
      <c r="G21" s="1">
        <v>4.0</v>
      </c>
      <c r="I21" s="1"/>
      <c r="J21" s="1"/>
      <c r="K21" s="1"/>
      <c r="M21" s="1">
        <v>4.0</v>
      </c>
      <c r="P21" s="1"/>
      <c r="R21" s="1"/>
      <c r="T21" s="1"/>
      <c r="U21" s="1"/>
      <c r="V21" s="1"/>
      <c r="W21" s="1"/>
      <c r="X21" s="1"/>
      <c r="Y21" s="1">
        <v>4.0</v>
      </c>
      <c r="Z21" s="1"/>
      <c r="AA21" s="1"/>
      <c r="AB21" s="1"/>
      <c r="AC21" s="1"/>
      <c r="AD21" s="1"/>
      <c r="AE21" s="1"/>
      <c r="AF21" s="1"/>
      <c r="AG21" s="1"/>
      <c r="AH21" s="1">
        <v>4.0</v>
      </c>
      <c r="AI21" s="1"/>
      <c r="AJ21" s="1"/>
      <c r="AK21" s="1"/>
      <c r="AL21" s="1"/>
      <c r="AM21" s="1"/>
      <c r="AN21" s="1"/>
      <c r="AO21" s="1"/>
    </row>
    <row r="22">
      <c r="A22" s="1" t="s">
        <v>52</v>
      </c>
      <c r="C22" s="1">
        <v>4.0</v>
      </c>
      <c r="I22" s="1"/>
      <c r="J22" s="1"/>
      <c r="K22" s="1"/>
      <c r="O22" s="1">
        <v>4.0</v>
      </c>
      <c r="P22" s="1"/>
      <c r="R22" s="1"/>
      <c r="T22" s="1"/>
      <c r="U22" s="1"/>
      <c r="V22" s="1">
        <v>4.0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>
        <v>4.0</v>
      </c>
      <c r="AJ22" s="1"/>
      <c r="AK22" s="1">
        <v>-4.0</v>
      </c>
      <c r="AL22" s="1"/>
      <c r="AM22" s="1"/>
      <c r="AN22" s="1"/>
      <c r="AO22" s="1"/>
    </row>
    <row r="23">
      <c r="A23" s="1" t="s">
        <v>47</v>
      </c>
      <c r="I23" s="1"/>
      <c r="J23" s="1"/>
      <c r="K23" s="1"/>
      <c r="O23" s="1">
        <v>4.0</v>
      </c>
      <c r="P23" s="1"/>
      <c r="R23" s="1"/>
      <c r="T23" s="1"/>
      <c r="U23" s="1"/>
      <c r="V23" s="1"/>
      <c r="W23" s="1"/>
      <c r="X23" s="1"/>
      <c r="Y23" s="1"/>
      <c r="Z23" s="1"/>
      <c r="AA23" s="1"/>
      <c r="AB23" s="1"/>
      <c r="AC23" s="1">
        <v>4.0</v>
      </c>
      <c r="AD23" s="1"/>
      <c r="AE23" s="1"/>
      <c r="AF23" s="1"/>
      <c r="AG23" s="1"/>
      <c r="AH23" s="1"/>
      <c r="AI23" s="1"/>
      <c r="AJ23" s="1"/>
      <c r="AK23" s="1"/>
      <c r="AL23" s="1">
        <v>4.0</v>
      </c>
      <c r="AM23" s="1"/>
      <c r="AN23" s="1"/>
      <c r="AO23" s="1"/>
    </row>
    <row r="24">
      <c r="A24" s="1" t="s">
        <v>48</v>
      </c>
      <c r="G24" s="1">
        <v>4.0</v>
      </c>
      <c r="I24" s="1"/>
      <c r="J24" s="1"/>
      <c r="K24" s="1"/>
      <c r="M24" s="1">
        <v>4.0</v>
      </c>
      <c r="P24" s="1"/>
      <c r="R24" s="1"/>
      <c r="T24" s="1"/>
      <c r="U24" s="1"/>
      <c r="V24" s="1"/>
      <c r="W24" s="1"/>
      <c r="X24" s="1"/>
      <c r="Y24" s="1"/>
      <c r="Z24" s="1"/>
      <c r="AA24" s="1"/>
      <c r="AB24" s="1">
        <v>4.0</v>
      </c>
      <c r="AC24" s="1"/>
      <c r="AD24" s="1"/>
      <c r="AE24" s="1"/>
      <c r="AF24" s="1"/>
      <c r="AG24" s="1">
        <v>4.0</v>
      </c>
      <c r="AH24" s="1"/>
      <c r="AI24" s="1"/>
      <c r="AJ24" s="1"/>
      <c r="AK24" s="1"/>
      <c r="AL24" s="1"/>
      <c r="AM24" s="1"/>
      <c r="AN24" s="1"/>
      <c r="AO24" s="1"/>
    </row>
    <row r="25">
      <c r="A25" s="1" t="s">
        <v>49</v>
      </c>
      <c r="G25" s="1">
        <v>4.0</v>
      </c>
      <c r="I25" s="1"/>
      <c r="J25" s="1"/>
      <c r="K25" s="1"/>
      <c r="M25" s="1">
        <v>4.0</v>
      </c>
      <c r="P25" s="1"/>
      <c r="R25" s="1"/>
      <c r="T25" s="1"/>
      <c r="U25" s="1"/>
      <c r="V25" s="1"/>
      <c r="W25" s="1">
        <v>4.0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>
        <v>4.0</v>
      </c>
      <c r="AN25" s="1"/>
      <c r="AO25" s="1"/>
    </row>
    <row r="26">
      <c r="A26" s="1" t="s">
        <v>50</v>
      </c>
      <c r="G26" s="1">
        <v>4.0</v>
      </c>
      <c r="I26" s="1"/>
      <c r="J26" s="1"/>
      <c r="K26" s="1"/>
      <c r="M26" s="1">
        <v>4.0</v>
      </c>
      <c r="P26" s="1"/>
      <c r="R26" s="1"/>
      <c r="T26" s="1"/>
      <c r="U26" s="1"/>
      <c r="V26" s="1"/>
      <c r="W26" s="1"/>
      <c r="X26" s="1"/>
      <c r="Y26" s="1"/>
      <c r="Z26" s="1"/>
      <c r="AA26" s="1"/>
      <c r="AB26" s="1"/>
      <c r="AC26" s="1">
        <v>4.0</v>
      </c>
      <c r="AD26" s="1"/>
      <c r="AE26" s="1"/>
      <c r="AF26" s="1"/>
      <c r="AG26" s="1">
        <v>4.0</v>
      </c>
      <c r="AH26" s="1"/>
      <c r="AI26" s="1"/>
      <c r="AJ26" s="1"/>
      <c r="AK26" s="1"/>
      <c r="AL26" s="1"/>
      <c r="AM26" s="1"/>
      <c r="AN26" s="1"/>
      <c r="AO26" s="1"/>
    </row>
    <row r="27">
      <c r="A27" s="1" t="s">
        <v>51</v>
      </c>
      <c r="I27" s="1"/>
      <c r="J27" s="1"/>
      <c r="K27" s="1"/>
      <c r="M27" s="1">
        <v>4.0</v>
      </c>
      <c r="P27" s="1"/>
      <c r="R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>
        <v>4.0</v>
      </c>
      <c r="AE27" s="1"/>
      <c r="AF27" s="1"/>
      <c r="AG27" s="1"/>
      <c r="AH27" s="1">
        <v>4.0</v>
      </c>
      <c r="AI27" s="1"/>
      <c r="AJ27" s="1"/>
      <c r="AK27" s="1"/>
      <c r="AL27" s="1"/>
      <c r="AM27" s="1"/>
      <c r="AN27" s="1"/>
      <c r="AO27" s="1"/>
    </row>
    <row r="28">
      <c r="A28" s="1" t="s">
        <v>52</v>
      </c>
      <c r="G28" s="1">
        <v>4.0</v>
      </c>
      <c r="I28" s="1"/>
      <c r="J28" s="1"/>
      <c r="K28" s="1"/>
      <c r="M28" s="1">
        <v>4.0</v>
      </c>
      <c r="P28" s="1"/>
      <c r="R28" s="1"/>
      <c r="T28" s="1"/>
      <c r="U28" s="1"/>
      <c r="V28" s="1">
        <v>4.0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>
        <v>4.0</v>
      </c>
      <c r="AJ28" s="1"/>
      <c r="AK28" s="1"/>
      <c r="AL28" s="1"/>
      <c r="AM28" s="1"/>
      <c r="AN28" s="1"/>
      <c r="AO28" s="1"/>
    </row>
    <row r="31">
      <c r="A31" s="1"/>
      <c r="B31" s="1" t="s">
        <v>4</v>
      </c>
      <c r="G31" s="1" t="s">
        <v>7</v>
      </c>
      <c r="L31" s="1" t="s">
        <v>8</v>
      </c>
      <c r="Q31" s="1" t="s">
        <v>1</v>
      </c>
      <c r="V31" s="1" t="s">
        <v>0</v>
      </c>
      <c r="AA31" s="1" t="s">
        <v>3</v>
      </c>
      <c r="AF31" s="1" t="s">
        <v>2</v>
      </c>
      <c r="AK31" s="1" t="s">
        <v>5</v>
      </c>
      <c r="AP31" s="1" t="s">
        <v>6</v>
      </c>
    </row>
    <row r="32">
      <c r="A32" s="1"/>
      <c r="B32" s="1" t="s">
        <v>26</v>
      </c>
      <c r="C32" s="1" t="s">
        <v>27</v>
      </c>
      <c r="D32" s="1" t="s">
        <v>28</v>
      </c>
      <c r="E32" s="1" t="s">
        <v>29</v>
      </c>
      <c r="G32" s="1" t="s">
        <v>42</v>
      </c>
      <c r="H32" s="1" t="s">
        <v>40</v>
      </c>
      <c r="I32" s="1" t="s">
        <v>41</v>
      </c>
      <c r="J32" s="1" t="s">
        <v>39</v>
      </c>
      <c r="K32" s="1" t="s">
        <v>53</v>
      </c>
      <c r="L32" s="1" t="s">
        <v>43</v>
      </c>
      <c r="M32" s="1" t="s">
        <v>44</v>
      </c>
      <c r="N32" s="1" t="s">
        <v>45</v>
      </c>
      <c r="O32" s="1" t="s">
        <v>46</v>
      </c>
      <c r="Q32" s="1" t="s">
        <v>14</v>
      </c>
      <c r="R32" s="1" t="s">
        <v>15</v>
      </c>
      <c r="V32" s="1" t="s">
        <v>9</v>
      </c>
      <c r="W32" s="1" t="s">
        <v>10</v>
      </c>
      <c r="X32" s="1" t="s">
        <v>11</v>
      </c>
      <c r="Y32" s="1" t="s">
        <v>12</v>
      </c>
      <c r="Z32" s="1" t="s">
        <v>13</v>
      </c>
      <c r="AA32" s="1" t="s">
        <v>22</v>
      </c>
      <c r="AB32" s="1" t="s">
        <v>23</v>
      </c>
      <c r="AC32" s="1" t="s">
        <v>24</v>
      </c>
      <c r="AD32" s="1" t="s">
        <v>25</v>
      </c>
      <c r="AE32" s="1"/>
      <c r="AF32" s="1" t="s">
        <v>54</v>
      </c>
      <c r="AG32" s="1" t="s">
        <v>20</v>
      </c>
      <c r="AH32" s="1" t="s">
        <v>17</v>
      </c>
      <c r="AI32" s="1" t="s">
        <v>18</v>
      </c>
      <c r="AJ32" s="1"/>
      <c r="AK32" s="1"/>
      <c r="AL32" s="1" t="s">
        <v>32</v>
      </c>
      <c r="AM32" s="1" t="s">
        <v>33</v>
      </c>
      <c r="AN32" s="1" t="s">
        <v>31</v>
      </c>
      <c r="AO32" s="1" t="s">
        <v>30</v>
      </c>
      <c r="AP32" s="1" t="s">
        <v>34</v>
      </c>
      <c r="AQ32" s="1" t="s">
        <v>35</v>
      </c>
      <c r="AR32" s="1" t="s">
        <v>36</v>
      </c>
      <c r="AS32" s="1" t="s">
        <v>37</v>
      </c>
      <c r="AT32" s="1" t="s">
        <v>38</v>
      </c>
    </row>
    <row r="33">
      <c r="A33" s="1"/>
      <c r="B33" s="1" t="b">
        <v>1</v>
      </c>
      <c r="C33" s="1" t="b">
        <v>1</v>
      </c>
      <c r="D33" s="1" t="b">
        <v>1</v>
      </c>
      <c r="E33" s="1" t="b">
        <v>1</v>
      </c>
      <c r="F33" s="1" t="b">
        <v>0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0</v>
      </c>
      <c r="Q33" s="1" t="b">
        <v>1</v>
      </c>
      <c r="R33" s="1" t="b">
        <v>1</v>
      </c>
      <c r="S33" s="1" t="b">
        <v>0</v>
      </c>
      <c r="T33" s="1" t="b">
        <v>0</v>
      </c>
      <c r="U33" s="1" t="b">
        <v>0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0</v>
      </c>
      <c r="AC33" s="1" t="b">
        <v>1</v>
      </c>
      <c r="AD33" s="1" t="b">
        <v>0</v>
      </c>
      <c r="AE33" s="1" t="b">
        <v>0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0</v>
      </c>
      <c r="AK33" s="1" t="b">
        <v>0</v>
      </c>
      <c r="AL33" s="1" t="b">
        <v>1</v>
      </c>
      <c r="AM33" s="1" t="b">
        <v>1</v>
      </c>
      <c r="AN33" s="1" t="b">
        <v>1</v>
      </c>
      <c r="AO33" s="1" t="b">
        <v>1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</row>
    <row r="34">
      <c r="A34" s="1" t="s">
        <v>47</v>
      </c>
      <c r="F34" s="1"/>
      <c r="P34" s="1"/>
      <c r="Q34" s="1">
        <v>4.0</v>
      </c>
      <c r="S34" s="1"/>
      <c r="T34" s="1"/>
      <c r="U34" s="1"/>
      <c r="V34" s="1">
        <v>4.0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>
        <v>4.0</v>
      </c>
      <c r="AO34" s="1"/>
    </row>
    <row r="35">
      <c r="A35" s="1" t="s">
        <v>48</v>
      </c>
      <c r="D35" s="1">
        <v>4.0</v>
      </c>
      <c r="F35" s="1"/>
      <c r="P35" s="1"/>
      <c r="Q35" s="1">
        <v>4.0</v>
      </c>
      <c r="S35" s="1"/>
      <c r="T35" s="1"/>
      <c r="U35" s="1"/>
      <c r="V35" s="1"/>
      <c r="W35" s="1"/>
      <c r="X35" s="1"/>
      <c r="Y35" s="1"/>
      <c r="Z35" s="1"/>
      <c r="AA35" s="1">
        <v>4.0</v>
      </c>
      <c r="AB35" s="1"/>
      <c r="AC35" s="1"/>
      <c r="AD35" s="1"/>
      <c r="AE35" s="1"/>
      <c r="AF35" s="1">
        <v>4.0</v>
      </c>
      <c r="AG35" s="1"/>
      <c r="AH35" s="1"/>
      <c r="AI35" s="1"/>
      <c r="AJ35" s="1"/>
      <c r="AK35" s="1"/>
      <c r="AL35" s="1"/>
      <c r="AM35" s="1">
        <v>-4.0</v>
      </c>
      <c r="AN35" s="1"/>
      <c r="AO35" s="1"/>
    </row>
    <row r="36">
      <c r="A36" s="1" t="s">
        <v>49</v>
      </c>
      <c r="C36" s="1">
        <v>4.0</v>
      </c>
      <c r="F36" s="1"/>
      <c r="M36" s="1">
        <v>-4.0</v>
      </c>
      <c r="P36" s="1"/>
      <c r="S36" s="1"/>
      <c r="T36" s="1"/>
      <c r="U36" s="1"/>
      <c r="V36" s="1"/>
      <c r="W36" s="1"/>
      <c r="X36" s="1"/>
      <c r="Y36" s="1"/>
      <c r="Z36" s="1"/>
      <c r="AA36" s="1">
        <v>4.0</v>
      </c>
      <c r="AB36" s="1"/>
      <c r="AC36" s="1"/>
      <c r="AD36" s="1"/>
      <c r="AE36" s="1"/>
      <c r="AF36" s="1"/>
      <c r="AG36" s="1"/>
      <c r="AH36" s="1">
        <v>4.0</v>
      </c>
      <c r="AI36" s="1"/>
      <c r="AJ36" s="1"/>
      <c r="AK36" s="1"/>
      <c r="AL36" s="1"/>
      <c r="AM36" s="1"/>
      <c r="AN36" s="1"/>
      <c r="AO36" s="1"/>
    </row>
    <row r="37">
      <c r="A37" s="1" t="s">
        <v>50</v>
      </c>
      <c r="C37" s="1">
        <v>4.0</v>
      </c>
      <c r="F37" s="1"/>
      <c r="L37" s="1">
        <v>4.0</v>
      </c>
      <c r="P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>
        <v>4.0</v>
      </c>
      <c r="AJ37" s="1"/>
      <c r="AK37" s="1"/>
      <c r="AL37" s="1"/>
      <c r="AM37" s="1"/>
      <c r="AN37" s="1"/>
      <c r="AO37" s="1"/>
    </row>
    <row r="38">
      <c r="A38" s="1" t="s">
        <v>51</v>
      </c>
      <c r="B38" s="1">
        <v>4.0</v>
      </c>
      <c r="F38" s="1"/>
      <c r="M38" s="1">
        <v>4.0</v>
      </c>
      <c r="P38" s="1"/>
      <c r="S38" s="1"/>
      <c r="T38" s="1"/>
      <c r="U38" s="1"/>
      <c r="V38" s="1"/>
      <c r="W38" s="1"/>
      <c r="X38" s="1"/>
      <c r="Y38" s="1"/>
      <c r="Z38" s="1">
        <v>4.0</v>
      </c>
      <c r="AA38" s="1"/>
      <c r="AB38" s="1"/>
      <c r="AC38" s="1"/>
      <c r="AD38" s="1"/>
      <c r="AE38" s="1"/>
      <c r="AF38" s="1"/>
      <c r="AG38" s="1"/>
      <c r="AH38" s="1"/>
      <c r="AI38" s="1">
        <v>4.0</v>
      </c>
      <c r="AJ38" s="1"/>
      <c r="AK38" s="1"/>
      <c r="AL38" s="1"/>
      <c r="AM38" s="1"/>
      <c r="AN38" s="1"/>
      <c r="AO38" s="1"/>
    </row>
    <row r="39">
      <c r="A39" s="1" t="s">
        <v>52</v>
      </c>
      <c r="C39" s="1">
        <v>4.0</v>
      </c>
      <c r="F39" s="1"/>
      <c r="M39" s="1">
        <v>4.0</v>
      </c>
      <c r="P39" s="1"/>
      <c r="S39" s="1"/>
      <c r="T39" s="1"/>
      <c r="U39" s="1"/>
      <c r="V39" s="1"/>
      <c r="W39" s="1"/>
      <c r="X39" s="1"/>
      <c r="Y39" s="1"/>
      <c r="Z39" s="1"/>
      <c r="AA39" s="1">
        <v>4.0</v>
      </c>
      <c r="AB39" s="1"/>
      <c r="AC39" s="1"/>
      <c r="AD39" s="1"/>
      <c r="AE39" s="1"/>
      <c r="AF39" s="1"/>
      <c r="AG39" s="1"/>
      <c r="AH39" s="1"/>
      <c r="AI39" s="1">
        <v>4.0</v>
      </c>
      <c r="AJ39" s="1"/>
      <c r="AK39" s="1"/>
      <c r="AL39" s="1"/>
      <c r="AM39" s="1"/>
      <c r="AN39" s="1"/>
      <c r="AO39" s="1"/>
    </row>
    <row r="40">
      <c r="A40" s="1" t="s">
        <v>47</v>
      </c>
      <c r="C40" s="1">
        <v>4.0</v>
      </c>
      <c r="F40" s="1"/>
      <c r="M40" s="1">
        <v>4.0</v>
      </c>
      <c r="P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>
        <v>4.0</v>
      </c>
      <c r="AI40" s="1"/>
      <c r="AJ40" s="1"/>
      <c r="AK40" s="1"/>
      <c r="AL40" s="1"/>
      <c r="AM40" s="1"/>
      <c r="AN40" s="1"/>
      <c r="AO40" s="1"/>
    </row>
    <row r="41">
      <c r="A41" s="1" t="s">
        <v>48</v>
      </c>
      <c r="F41" s="1"/>
      <c r="J41" s="1">
        <v>4.0</v>
      </c>
      <c r="M41" s="1">
        <v>4.0</v>
      </c>
      <c r="P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4.0</v>
      </c>
      <c r="AO41" s="1"/>
    </row>
    <row r="42">
      <c r="A42" s="1" t="s">
        <v>49</v>
      </c>
      <c r="F42" s="1"/>
      <c r="K42" s="1">
        <v>4.0</v>
      </c>
      <c r="M42" s="1">
        <v>4.0</v>
      </c>
      <c r="P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>
        <v>4.0</v>
      </c>
      <c r="AI42" s="1"/>
      <c r="AJ42" s="1"/>
      <c r="AK42" s="1"/>
      <c r="AL42" s="1"/>
      <c r="AM42" s="1"/>
      <c r="AN42" s="1"/>
      <c r="AO42" s="1"/>
    </row>
    <row r="43">
      <c r="A43" s="1" t="s">
        <v>50</v>
      </c>
      <c r="F43" s="1"/>
      <c r="K43" s="1">
        <v>4.0</v>
      </c>
      <c r="M43" s="1">
        <v>4.0</v>
      </c>
      <c r="P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>
        <v>-4.0</v>
      </c>
      <c r="AJ43" s="1"/>
      <c r="AK43" s="1"/>
      <c r="AL43" s="1">
        <v>4.0</v>
      </c>
      <c r="AM43" s="1"/>
      <c r="AN43" s="1"/>
      <c r="AO43" s="1"/>
    </row>
    <row r="44">
      <c r="A44" s="1" t="s">
        <v>51</v>
      </c>
      <c r="F44" s="1"/>
      <c r="L44" s="1">
        <v>4.0</v>
      </c>
      <c r="P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>
        <v>4.0</v>
      </c>
      <c r="AJ44" s="1"/>
      <c r="AK44" s="1"/>
      <c r="AL44" s="1"/>
      <c r="AM44" s="1"/>
      <c r="AN44" s="1"/>
      <c r="AO44" s="1"/>
    </row>
    <row r="45">
      <c r="A45" s="1" t="s">
        <v>52</v>
      </c>
      <c r="F45" s="1"/>
      <c r="J45" s="1">
        <v>4.0</v>
      </c>
      <c r="P45" s="1"/>
      <c r="Q45" s="1">
        <v>4.0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>
        <v>4.0</v>
      </c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1"/>
      <c r="B46" s="1" t="b">
        <v>1</v>
      </c>
      <c r="C46" s="1" t="b">
        <v>1</v>
      </c>
      <c r="D46" s="1" t="b">
        <v>1</v>
      </c>
      <c r="E46" s="1" t="b">
        <v>1</v>
      </c>
      <c r="F46" s="1" t="b">
        <v>0</v>
      </c>
      <c r="G46" s="1" t="b">
        <v>1</v>
      </c>
      <c r="H46" s="1" t="b">
        <v>1</v>
      </c>
      <c r="I46" s="1" t="b">
        <v>1</v>
      </c>
      <c r="J46" s="1" t="b">
        <v>1</v>
      </c>
      <c r="K46" s="1" t="b">
        <v>1</v>
      </c>
      <c r="L46" s="1" t="b">
        <v>1</v>
      </c>
      <c r="M46" s="1" t="b">
        <v>1</v>
      </c>
      <c r="N46" s="1" t="b">
        <v>1</v>
      </c>
      <c r="O46" s="1" t="b">
        <v>1</v>
      </c>
      <c r="P46" s="1" t="b">
        <v>0</v>
      </c>
      <c r="Q46" s="1" t="b">
        <v>1</v>
      </c>
      <c r="R46" s="1" t="b">
        <v>1</v>
      </c>
      <c r="S46" s="1" t="b">
        <v>0</v>
      </c>
      <c r="T46" s="1" t="b">
        <v>0</v>
      </c>
      <c r="U46" s="1" t="b">
        <v>0</v>
      </c>
      <c r="V46" s="1" t="b">
        <v>1</v>
      </c>
      <c r="W46" s="1" t="b">
        <v>1</v>
      </c>
      <c r="X46" s="1" t="b">
        <v>1</v>
      </c>
      <c r="Y46" s="1" t="b">
        <v>1</v>
      </c>
      <c r="Z46" s="1" t="b">
        <v>1</v>
      </c>
      <c r="AA46" s="1" t="b">
        <v>1</v>
      </c>
      <c r="AB46" s="1" t="b">
        <v>0</v>
      </c>
      <c r="AC46" s="1" t="b">
        <v>1</v>
      </c>
      <c r="AD46" s="1" t="b">
        <v>0</v>
      </c>
      <c r="AE46" s="1" t="b">
        <v>0</v>
      </c>
      <c r="AF46" s="1" t="b">
        <v>1</v>
      </c>
      <c r="AG46" s="1" t="b">
        <v>1</v>
      </c>
      <c r="AH46" s="1" t="b">
        <v>1</v>
      </c>
      <c r="AI46" s="1" t="b">
        <v>1</v>
      </c>
      <c r="AJ46" s="1" t="b">
        <v>0</v>
      </c>
      <c r="AK46" s="1" t="b">
        <v>0</v>
      </c>
      <c r="AL46" s="1" t="b">
        <v>1</v>
      </c>
      <c r="AM46" s="1" t="b">
        <v>1</v>
      </c>
      <c r="AN46" s="1" t="b">
        <v>1</v>
      </c>
      <c r="AO46" s="1" t="b">
        <v>1</v>
      </c>
      <c r="AP46" s="1" t="b">
        <v>0</v>
      </c>
      <c r="AQ46" s="1" t="b">
        <v>0</v>
      </c>
      <c r="AR46" s="1" t="b">
        <v>0</v>
      </c>
      <c r="AS46" s="1" t="b">
        <v>0</v>
      </c>
      <c r="AT46" s="1" t="b">
        <v>0</v>
      </c>
    </row>
    <row r="47">
      <c r="A47" s="1" t="s">
        <v>47</v>
      </c>
      <c r="F47" s="1"/>
      <c r="P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>
        <v>-4.0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>
      <c r="A48" s="1" t="s">
        <v>48</v>
      </c>
      <c r="B48" s="1">
        <v>4.0</v>
      </c>
      <c r="F48" s="1"/>
      <c r="O48" s="1">
        <v>4.0</v>
      </c>
      <c r="P48" s="1"/>
      <c r="S48" s="1"/>
      <c r="T48" s="1"/>
      <c r="U48" s="1"/>
      <c r="V48" s="1">
        <v>4.0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>
        <v>4.0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>
      <c r="A49" s="1" t="s">
        <v>49</v>
      </c>
      <c r="D49" s="1">
        <v>4.0</v>
      </c>
      <c r="F49" s="1"/>
      <c r="P49" s="1"/>
      <c r="Q49" s="1">
        <v>4.0</v>
      </c>
      <c r="S49" s="1"/>
      <c r="T49" s="1"/>
      <c r="U49" s="1"/>
      <c r="V49" s="1"/>
      <c r="W49" s="1"/>
      <c r="X49" s="1"/>
      <c r="Y49" s="1"/>
      <c r="Z49" s="1"/>
      <c r="AA49" s="1">
        <v>4.0</v>
      </c>
      <c r="AB49" s="1"/>
      <c r="AC49" s="1"/>
      <c r="AD49" s="1"/>
      <c r="AE49" s="1"/>
      <c r="AF49" s="1"/>
      <c r="AG49" s="1"/>
      <c r="AH49" s="1"/>
      <c r="AI49" s="1">
        <v>4.0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>
      <c r="A50" s="1" t="s">
        <v>50</v>
      </c>
      <c r="F50" s="1"/>
      <c r="M50" s="1">
        <v>4.0</v>
      </c>
      <c r="P50" s="1"/>
      <c r="S50" s="1"/>
      <c r="T50" s="1"/>
      <c r="U50" s="1"/>
      <c r="V50" s="1"/>
      <c r="W50" s="1"/>
      <c r="X50" s="1">
        <v>4.0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>
        <v>4.0</v>
      </c>
      <c r="AM50" s="1"/>
      <c r="AN50" s="1"/>
      <c r="AO50" s="1"/>
      <c r="AP50" s="1"/>
      <c r="AQ50" s="1"/>
      <c r="AR50" s="1"/>
      <c r="AS50" s="1"/>
      <c r="AT50" s="1"/>
    </row>
    <row r="51">
      <c r="A51" s="1" t="s">
        <v>51</v>
      </c>
      <c r="B51" s="1">
        <v>4.0</v>
      </c>
      <c r="F51" s="1"/>
      <c r="L51" s="1">
        <v>4.0</v>
      </c>
      <c r="P51" s="1"/>
      <c r="S51" s="1"/>
      <c r="T51" s="1"/>
      <c r="U51" s="1"/>
      <c r="V51" s="1">
        <v>4.0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>
        <v>4.0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>
      <c r="A52" s="1" t="s">
        <v>52</v>
      </c>
      <c r="E52" s="1">
        <v>4.0</v>
      </c>
      <c r="F52" s="1"/>
      <c r="N52" s="1">
        <v>4.0</v>
      </c>
      <c r="P52" s="1"/>
      <c r="S52" s="1"/>
      <c r="T52" s="1"/>
      <c r="U52" s="1"/>
      <c r="V52" s="1"/>
      <c r="W52" s="1">
        <v>4.0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>
        <v>4.0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>
      <c r="A53" s="1" t="s">
        <v>47</v>
      </c>
      <c r="C53" s="1">
        <v>4.0</v>
      </c>
      <c r="F53" s="1"/>
      <c r="L53" s="1">
        <v>4.0</v>
      </c>
      <c r="P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>
        <v>4.0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>
      <c r="A54" s="1" t="s">
        <v>48</v>
      </c>
      <c r="B54" s="1">
        <v>4.0</v>
      </c>
      <c r="F54" s="1"/>
      <c r="O54" s="1">
        <v>4.0</v>
      </c>
      <c r="P54" s="1"/>
      <c r="S54" s="1"/>
      <c r="T54" s="1"/>
      <c r="U54" s="1"/>
      <c r="V54" s="1"/>
      <c r="W54" s="1">
        <v>4.0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>
        <v>4.0</v>
      </c>
      <c r="AJ54" s="1"/>
      <c r="AK54" s="1"/>
      <c r="AL54" s="1"/>
      <c r="AM54" s="1"/>
      <c r="AN54" s="1">
        <v>-4.0</v>
      </c>
      <c r="AO54" s="1"/>
      <c r="AP54" s="1"/>
      <c r="AQ54" s="1"/>
      <c r="AR54" s="1"/>
      <c r="AS54" s="1"/>
      <c r="AT54" s="1"/>
    </row>
    <row r="55">
      <c r="A55" s="1" t="s">
        <v>49</v>
      </c>
      <c r="C55" s="1">
        <v>4.0</v>
      </c>
      <c r="F55" s="1"/>
      <c r="P55" s="1"/>
      <c r="Q55" s="1">
        <v>4.0</v>
      </c>
      <c r="S55" s="1"/>
      <c r="T55" s="1"/>
      <c r="U55" s="1"/>
      <c r="V55" s="1">
        <v>4.0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>
        <v>4.0</v>
      </c>
      <c r="AO55" s="1"/>
      <c r="AP55" s="1"/>
      <c r="AQ55" s="1"/>
      <c r="AR55" s="1"/>
      <c r="AS55" s="1"/>
      <c r="AT55" s="1"/>
    </row>
    <row r="56">
      <c r="A56" s="1" t="s">
        <v>50</v>
      </c>
      <c r="E56" s="1">
        <v>4.0</v>
      </c>
      <c r="F56" s="1"/>
      <c r="M56" s="1">
        <v>4.0</v>
      </c>
      <c r="P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>
        <v>4.0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>
      <c r="A57" s="1" t="s">
        <v>51</v>
      </c>
      <c r="E57" s="1">
        <v>4.0</v>
      </c>
      <c r="F57" s="1"/>
      <c r="L57" s="1">
        <v>4.0</v>
      </c>
      <c r="P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>
        <v>4.0</v>
      </c>
      <c r="AD57" s="1"/>
      <c r="AE57" s="1"/>
      <c r="AF57" s="1"/>
      <c r="AG57" s="1"/>
      <c r="AH57" s="1"/>
      <c r="AI57" s="1">
        <v>-4.0</v>
      </c>
      <c r="AJ57" s="1"/>
      <c r="AK57" s="1"/>
      <c r="AL57" s="1"/>
      <c r="AM57" s="1"/>
      <c r="AN57" s="1"/>
      <c r="AO57" s="1">
        <v>4.0</v>
      </c>
      <c r="AP57" s="1"/>
      <c r="AQ57" s="1"/>
      <c r="AR57" s="1"/>
      <c r="AS57" s="1"/>
      <c r="AT57" s="1"/>
    </row>
    <row r="58">
      <c r="A58" s="1" t="s">
        <v>52</v>
      </c>
      <c r="F58" s="1"/>
      <c r="P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>
        <v>-4.0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61">
      <c r="A61" s="1"/>
      <c r="B61" s="1" t="s">
        <v>5</v>
      </c>
      <c r="G61" s="1" t="s">
        <v>0</v>
      </c>
      <c r="L61" s="1" t="s">
        <v>2</v>
      </c>
      <c r="Q61" s="1" t="s">
        <v>4</v>
      </c>
      <c r="V61" s="1" t="s">
        <v>6</v>
      </c>
      <c r="AA61" s="1" t="s">
        <v>1</v>
      </c>
      <c r="AF61" s="1" t="s">
        <v>8</v>
      </c>
      <c r="AK61" s="1" t="s">
        <v>3</v>
      </c>
      <c r="AP61" s="7" t="s">
        <v>7</v>
      </c>
      <c r="AQ61" s="4"/>
      <c r="AR61" s="4"/>
      <c r="AS61" s="4"/>
      <c r="AT61" s="4"/>
    </row>
    <row r="62">
      <c r="A62" s="1"/>
      <c r="B62" s="1" t="s">
        <v>30</v>
      </c>
      <c r="C62" s="1" t="s">
        <v>31</v>
      </c>
      <c r="D62" s="1" t="s">
        <v>32</v>
      </c>
      <c r="E62" s="1" t="s">
        <v>33</v>
      </c>
      <c r="G62" s="1" t="s">
        <v>9</v>
      </c>
      <c r="H62" s="1" t="s">
        <v>10</v>
      </c>
      <c r="I62" s="1" t="s">
        <v>11</v>
      </c>
      <c r="J62" s="1" t="s">
        <v>12</v>
      </c>
      <c r="K62" s="1" t="s">
        <v>13</v>
      </c>
      <c r="L62" s="1" t="s">
        <v>17</v>
      </c>
      <c r="M62" s="1" t="s">
        <v>18</v>
      </c>
      <c r="N62" s="1" t="s">
        <v>20</v>
      </c>
      <c r="O62" s="1" t="s">
        <v>21</v>
      </c>
      <c r="Q62" s="1" t="s">
        <v>26</v>
      </c>
      <c r="R62" s="1" t="s">
        <v>27</v>
      </c>
      <c r="S62" s="1" t="s">
        <v>28</v>
      </c>
      <c r="T62" s="1" t="s">
        <v>29</v>
      </c>
      <c r="V62" s="1" t="s">
        <v>55</v>
      </c>
      <c r="W62" s="1" t="s">
        <v>38</v>
      </c>
      <c r="X62" s="1" t="s">
        <v>37</v>
      </c>
      <c r="Y62" s="1" t="s">
        <v>35</v>
      </c>
      <c r="Z62" s="1" t="s">
        <v>34</v>
      </c>
      <c r="AA62" s="1" t="s">
        <v>14</v>
      </c>
      <c r="AB62" s="1" t="s">
        <v>15</v>
      </c>
      <c r="AC62" s="1"/>
      <c r="AD62" s="1"/>
      <c r="AE62" s="1"/>
      <c r="AF62" s="1" t="s">
        <v>43</v>
      </c>
      <c r="AG62" s="1" t="s">
        <v>44</v>
      </c>
      <c r="AH62" s="1" t="s">
        <v>45</v>
      </c>
      <c r="AI62" s="1" t="s">
        <v>46</v>
      </c>
      <c r="AJ62" s="1"/>
      <c r="AK62" s="1" t="s">
        <v>22</v>
      </c>
      <c r="AL62" s="1" t="s">
        <v>23</v>
      </c>
      <c r="AM62" s="1" t="s">
        <v>24</v>
      </c>
      <c r="AN62" s="1" t="s">
        <v>25</v>
      </c>
      <c r="AO62" s="1"/>
      <c r="AP62" s="3" t="s">
        <v>42</v>
      </c>
      <c r="AQ62" s="3" t="s">
        <v>40</v>
      </c>
      <c r="AR62" s="3" t="s">
        <v>41</v>
      </c>
      <c r="AS62" s="3" t="s">
        <v>39</v>
      </c>
      <c r="AT62" s="3" t="s">
        <v>53</v>
      </c>
    </row>
    <row r="63">
      <c r="A63" s="1"/>
      <c r="B63" s="1" t="b">
        <v>1</v>
      </c>
      <c r="C63" s="1" t="b">
        <v>1</v>
      </c>
      <c r="D63" s="1" t="b">
        <v>1</v>
      </c>
      <c r="E63" s="1" t="b">
        <v>1</v>
      </c>
      <c r="F63" s="1" t="b">
        <v>0</v>
      </c>
      <c r="G63" s="1" t="b">
        <v>1</v>
      </c>
      <c r="H63" s="1" t="b">
        <v>1</v>
      </c>
      <c r="I63" s="1" t="b">
        <v>1</v>
      </c>
      <c r="J63" s="1" t="b">
        <v>1</v>
      </c>
      <c r="K63" s="1" t="b">
        <v>1</v>
      </c>
      <c r="L63" s="1" t="b">
        <v>1</v>
      </c>
      <c r="M63" s="1" t="b">
        <v>1</v>
      </c>
      <c r="N63" s="1" t="b">
        <v>1</v>
      </c>
      <c r="O63" s="1" t="b">
        <v>1</v>
      </c>
      <c r="P63" s="1" t="b">
        <v>0</v>
      </c>
      <c r="Q63" s="1" t="b">
        <v>1</v>
      </c>
      <c r="R63" s="1" t="b">
        <v>1</v>
      </c>
      <c r="S63" s="1" t="b">
        <v>1</v>
      </c>
      <c r="T63" s="1" t="b">
        <v>1</v>
      </c>
      <c r="U63" s="1" t="b">
        <v>0</v>
      </c>
      <c r="V63" s="1" t="b">
        <v>1</v>
      </c>
      <c r="W63" s="1" t="b">
        <v>0</v>
      </c>
      <c r="X63" s="1" t="b">
        <v>1</v>
      </c>
      <c r="Y63" s="1" t="b">
        <v>1</v>
      </c>
      <c r="Z63" s="1" t="b">
        <v>1</v>
      </c>
      <c r="AA63" s="1" t="b">
        <v>1</v>
      </c>
      <c r="AB63" s="1" t="b">
        <v>1</v>
      </c>
      <c r="AC63" s="1" t="b">
        <v>0</v>
      </c>
      <c r="AD63" s="1" t="b">
        <v>0</v>
      </c>
      <c r="AE63" s="1" t="b">
        <v>0</v>
      </c>
      <c r="AF63" s="1" t="b">
        <v>1</v>
      </c>
      <c r="AG63" s="1" t="b">
        <v>1</v>
      </c>
      <c r="AH63" s="1" t="b">
        <v>1</v>
      </c>
      <c r="AI63" s="1" t="b">
        <v>1</v>
      </c>
      <c r="AJ63" s="1" t="b">
        <v>1</v>
      </c>
      <c r="AK63" s="1" t="b">
        <v>1</v>
      </c>
      <c r="AL63" s="1" t="b">
        <v>0</v>
      </c>
      <c r="AM63" s="1" t="b">
        <v>1</v>
      </c>
      <c r="AN63" s="1" t="b">
        <v>0</v>
      </c>
      <c r="AO63" s="1" t="b">
        <v>0</v>
      </c>
      <c r="AP63" s="1" t="b">
        <v>0</v>
      </c>
      <c r="AQ63" s="1" t="b">
        <v>0</v>
      </c>
      <c r="AR63" s="1" t="b">
        <v>0</v>
      </c>
      <c r="AS63" s="1" t="b">
        <v>0</v>
      </c>
      <c r="AT63" s="1" t="b">
        <v>0</v>
      </c>
    </row>
    <row r="64">
      <c r="A64" s="1" t="s">
        <v>47</v>
      </c>
      <c r="D64" s="1">
        <v>4.0</v>
      </c>
      <c r="F64" s="1"/>
      <c r="O64" s="1">
        <v>4.0</v>
      </c>
      <c r="P64" s="1"/>
      <c r="U64" s="1"/>
      <c r="V64" s="1"/>
      <c r="W64" s="1"/>
      <c r="X64" s="1"/>
      <c r="Y64" s="1"/>
      <c r="Z64" s="1">
        <v>4.0</v>
      </c>
      <c r="AA64" s="1"/>
      <c r="AB64" s="1"/>
      <c r="AC64" s="1"/>
      <c r="AD64" s="1"/>
      <c r="AE64" s="1"/>
      <c r="AF64" s="1">
        <v>4.0</v>
      </c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1" t="s">
        <v>48</v>
      </c>
      <c r="C65" s="1">
        <v>4.0</v>
      </c>
      <c r="F65" s="1"/>
      <c r="O65" s="1">
        <v>-4.0</v>
      </c>
      <c r="P65" s="1"/>
      <c r="R65" s="1">
        <v>4.0</v>
      </c>
      <c r="U65" s="1"/>
      <c r="V65" s="1"/>
      <c r="W65" s="1"/>
      <c r="X65" s="1"/>
      <c r="Y65" s="1">
        <v>4.0</v>
      </c>
      <c r="Z65" s="1"/>
      <c r="AA65" s="1"/>
      <c r="AB65" s="1"/>
      <c r="AC65" s="1"/>
      <c r="AD65" s="1"/>
      <c r="AE65" s="1"/>
      <c r="AF65" s="1"/>
      <c r="AG65" s="1">
        <v>4.0</v>
      </c>
      <c r="AH65" s="1"/>
      <c r="AI65" s="1"/>
      <c r="AJ65" s="1"/>
      <c r="AK65" s="1"/>
      <c r="AL65" s="1"/>
      <c r="AM65" s="1"/>
      <c r="AN65" s="1"/>
      <c r="AO65" s="1"/>
    </row>
    <row r="66">
      <c r="A66" s="1" t="s">
        <v>49</v>
      </c>
      <c r="F66" s="1"/>
      <c r="M66" s="1">
        <v>-4.0</v>
      </c>
      <c r="P66" s="1"/>
      <c r="S66" s="1">
        <v>4.0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1" t="s">
        <v>50</v>
      </c>
      <c r="D67" s="1">
        <v>-4.0</v>
      </c>
      <c r="F67" s="1"/>
      <c r="G67" s="1">
        <v>4.0</v>
      </c>
      <c r="L67" s="1">
        <v>4.0</v>
      </c>
      <c r="P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>
        <v>4.0</v>
      </c>
      <c r="AH67" s="1"/>
      <c r="AI67" s="1"/>
      <c r="AJ67" s="1"/>
      <c r="AK67" s="1"/>
      <c r="AL67" s="1"/>
      <c r="AM67" s="1"/>
      <c r="AN67" s="1"/>
      <c r="AO67" s="1"/>
    </row>
    <row r="68">
      <c r="A68" s="1" t="s">
        <v>51</v>
      </c>
      <c r="E68" s="1">
        <v>-4.0</v>
      </c>
      <c r="F68" s="1"/>
      <c r="O68" s="1">
        <v>-4.0</v>
      </c>
      <c r="P68" s="1"/>
      <c r="R68" s="1">
        <v>4.0</v>
      </c>
      <c r="U68" s="1"/>
      <c r="V68" s="1">
        <v>4.0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>
        <v>4.0</v>
      </c>
      <c r="AI68" s="1"/>
      <c r="AJ68" s="1"/>
      <c r="AK68" s="1"/>
      <c r="AL68" s="1"/>
      <c r="AM68" s="1"/>
      <c r="AN68" s="1"/>
      <c r="AO68" s="1"/>
    </row>
    <row r="69">
      <c r="A69" s="1" t="s">
        <v>52</v>
      </c>
      <c r="E69" s="1">
        <v>4.0</v>
      </c>
      <c r="F69" s="1"/>
      <c r="O69" s="1">
        <v>-4.0</v>
      </c>
      <c r="P69" s="1"/>
      <c r="Q69" s="1">
        <v>4.0</v>
      </c>
      <c r="U69" s="1"/>
      <c r="V69" s="1"/>
      <c r="W69" s="1"/>
      <c r="X69" s="1"/>
      <c r="Y69" s="1">
        <v>4.0</v>
      </c>
      <c r="Z69" s="1"/>
      <c r="AA69" s="1">
        <v>-4.0</v>
      </c>
      <c r="AB69" s="1"/>
      <c r="AC69" s="1"/>
      <c r="AD69" s="1"/>
      <c r="AE69" s="1"/>
      <c r="AF69" s="1"/>
      <c r="AG69" s="1">
        <v>4.0</v>
      </c>
      <c r="AH69" s="1"/>
      <c r="AI69" s="1"/>
      <c r="AJ69" s="1"/>
      <c r="AK69" s="1"/>
      <c r="AL69" s="1"/>
      <c r="AM69" s="1"/>
      <c r="AN69" s="1"/>
      <c r="AO69" s="1"/>
    </row>
    <row r="70">
      <c r="A70" s="1" t="s">
        <v>47</v>
      </c>
      <c r="C70" s="1">
        <v>4.0</v>
      </c>
      <c r="F70" s="1"/>
      <c r="M70" s="1">
        <v>4.0</v>
      </c>
      <c r="P70" s="1"/>
      <c r="U70" s="1"/>
      <c r="V70" s="1"/>
      <c r="W70" s="1"/>
      <c r="X70" s="1">
        <v>4.0</v>
      </c>
      <c r="Y70" s="1"/>
      <c r="Z70" s="1"/>
      <c r="AA70" s="1"/>
      <c r="AB70" s="1"/>
      <c r="AC70" s="1"/>
      <c r="AD70" s="1"/>
      <c r="AE70" s="1"/>
      <c r="AF70" s="1"/>
      <c r="AG70" s="1">
        <v>4.0</v>
      </c>
      <c r="AH70" s="1"/>
      <c r="AI70" s="1"/>
      <c r="AJ70" s="1"/>
      <c r="AK70" s="1"/>
      <c r="AL70" s="1"/>
      <c r="AM70" s="1"/>
      <c r="AN70" s="1"/>
      <c r="AO70" s="1"/>
    </row>
    <row r="71">
      <c r="A71" s="1" t="s">
        <v>48</v>
      </c>
      <c r="C71" s="1">
        <v>4.0</v>
      </c>
      <c r="F71" s="1"/>
      <c r="L71" s="1"/>
      <c r="P71" s="1"/>
      <c r="Q71" s="1">
        <v>4.0</v>
      </c>
      <c r="U71" s="1"/>
      <c r="V71" s="1"/>
      <c r="W71" s="1"/>
      <c r="X71" s="1"/>
      <c r="Y71" s="1"/>
      <c r="Z71" s="1">
        <v>4.0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>
        <v>4.0</v>
      </c>
      <c r="AL71" s="1"/>
      <c r="AM71" s="1"/>
      <c r="AN71" s="1"/>
      <c r="AO71" s="1"/>
    </row>
    <row r="72">
      <c r="A72" s="1" t="s">
        <v>49</v>
      </c>
      <c r="F72" s="1"/>
      <c r="P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1" t="s">
        <v>50</v>
      </c>
      <c r="D73" s="1">
        <v>4.0</v>
      </c>
      <c r="F73" s="1"/>
      <c r="M73" s="1">
        <v>4.0</v>
      </c>
      <c r="P73" s="1"/>
      <c r="U73" s="1"/>
      <c r="V73" s="1"/>
      <c r="W73" s="1"/>
      <c r="X73" s="1"/>
      <c r="Y73" s="1"/>
      <c r="Z73" s="1"/>
      <c r="AA73" s="1">
        <v>4.0</v>
      </c>
      <c r="AB73" s="1"/>
      <c r="AC73" s="1"/>
      <c r="AD73" s="1"/>
      <c r="AE73" s="1"/>
      <c r="AF73" s="1"/>
      <c r="AG73" s="1">
        <v>4.0</v>
      </c>
      <c r="AH73" s="1"/>
      <c r="AI73" s="1"/>
      <c r="AJ73" s="1"/>
      <c r="AK73" s="1"/>
      <c r="AL73" s="1"/>
      <c r="AM73" s="1"/>
      <c r="AN73" s="1"/>
      <c r="AO73" s="1"/>
    </row>
    <row r="74">
      <c r="A74" s="1" t="s">
        <v>51</v>
      </c>
      <c r="F74" s="1"/>
      <c r="M74" s="1">
        <v>4.0</v>
      </c>
      <c r="P74" s="1"/>
      <c r="U74" s="1"/>
      <c r="V74" s="1"/>
      <c r="W74" s="1"/>
      <c r="X74" s="1"/>
      <c r="Y74" s="1"/>
      <c r="Z74" s="1"/>
      <c r="AA74" s="1">
        <v>4.0</v>
      </c>
      <c r="AB74" s="1"/>
      <c r="AC74" s="1"/>
      <c r="AD74" s="1"/>
      <c r="AE74" s="1"/>
      <c r="AF74" s="1">
        <v>-4.0</v>
      </c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1" t="s">
        <v>52</v>
      </c>
      <c r="E75" s="1">
        <v>4.0</v>
      </c>
      <c r="F75" s="1"/>
      <c r="P75" s="1"/>
      <c r="Q75" s="1">
        <v>4.0</v>
      </c>
      <c r="U75" s="1"/>
      <c r="V75" s="1"/>
      <c r="W75" s="1"/>
      <c r="X75" s="1"/>
      <c r="Y75" s="1"/>
      <c r="Z75" s="1"/>
      <c r="AA75" s="1">
        <v>4.0</v>
      </c>
      <c r="AB75" s="1"/>
      <c r="AC75" s="1"/>
      <c r="AD75" s="1"/>
      <c r="AE75" s="1"/>
      <c r="AF75" s="1">
        <v>4.0</v>
      </c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1"/>
      <c r="B76" s="1" t="b">
        <v>1</v>
      </c>
      <c r="C76" s="1" t="b">
        <v>1</v>
      </c>
      <c r="D76" s="1" t="b">
        <v>1</v>
      </c>
      <c r="E76" s="1" t="b">
        <v>1</v>
      </c>
      <c r="F76" s="1" t="b">
        <v>0</v>
      </c>
      <c r="G76" s="1" t="b">
        <v>1</v>
      </c>
      <c r="H76" s="1" t="b">
        <v>1</v>
      </c>
      <c r="I76" s="1" t="b">
        <v>1</v>
      </c>
      <c r="J76" s="1" t="b">
        <v>1</v>
      </c>
      <c r="K76" s="1" t="b">
        <v>1</v>
      </c>
      <c r="L76" s="1" t="b">
        <v>1</v>
      </c>
      <c r="M76" s="1" t="b">
        <v>1</v>
      </c>
      <c r="N76" s="1" t="b">
        <v>1</v>
      </c>
      <c r="O76" s="1" t="b">
        <v>1</v>
      </c>
      <c r="P76" s="1" t="b">
        <v>0</v>
      </c>
      <c r="Q76" s="1" t="b">
        <v>1</v>
      </c>
      <c r="R76" s="1" t="b">
        <v>1</v>
      </c>
      <c r="S76" s="1" t="b">
        <v>1</v>
      </c>
      <c r="T76" s="1" t="b">
        <v>1</v>
      </c>
      <c r="U76" s="1" t="b">
        <v>0</v>
      </c>
      <c r="V76" s="1" t="b">
        <v>1</v>
      </c>
      <c r="W76" s="1" t="b">
        <v>0</v>
      </c>
      <c r="X76" s="1" t="b">
        <v>1</v>
      </c>
      <c r="Y76" s="1" t="b">
        <v>1</v>
      </c>
      <c r="Z76" s="1" t="b">
        <v>1</v>
      </c>
      <c r="AA76" s="1" t="b">
        <v>1</v>
      </c>
      <c r="AB76" s="1" t="b">
        <v>1</v>
      </c>
      <c r="AC76" s="1" t="b">
        <v>0</v>
      </c>
      <c r="AD76" s="1" t="b">
        <v>0</v>
      </c>
      <c r="AE76" s="1" t="b">
        <v>0</v>
      </c>
      <c r="AF76" s="1" t="b">
        <v>1</v>
      </c>
      <c r="AG76" s="1" t="b">
        <v>1</v>
      </c>
      <c r="AH76" s="1" t="b">
        <v>1</v>
      </c>
      <c r="AI76" s="1" t="b">
        <v>1</v>
      </c>
      <c r="AJ76" s="1" t="b">
        <v>1</v>
      </c>
      <c r="AK76" s="1" t="b">
        <v>1</v>
      </c>
      <c r="AL76" s="1" t="b">
        <v>0</v>
      </c>
      <c r="AM76" s="1" t="b">
        <v>1</v>
      </c>
      <c r="AN76" s="1" t="b">
        <v>0</v>
      </c>
      <c r="AO76" s="1" t="b">
        <v>0</v>
      </c>
      <c r="AP76" s="1" t="b">
        <v>0</v>
      </c>
      <c r="AQ76" s="1" t="b">
        <v>0</v>
      </c>
      <c r="AR76" s="1" t="b">
        <v>0</v>
      </c>
      <c r="AS76" s="1" t="b">
        <v>0</v>
      </c>
      <c r="AT76" s="1" t="b">
        <v>0</v>
      </c>
    </row>
    <row r="77">
      <c r="A77" s="1" t="s">
        <v>47</v>
      </c>
      <c r="B77" s="1">
        <v>4.0</v>
      </c>
      <c r="F77" s="1"/>
      <c r="M77" s="1">
        <v>4.0</v>
      </c>
      <c r="P77" s="1"/>
      <c r="U77" s="1"/>
      <c r="V77" s="1">
        <v>4.0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>
        <v>4.0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>
      <c r="A78" s="1" t="s">
        <v>48</v>
      </c>
      <c r="C78" s="1">
        <v>-4.0</v>
      </c>
      <c r="F78" s="1"/>
      <c r="H78" s="1">
        <v>4.0</v>
      </c>
      <c r="P78" s="1"/>
      <c r="U78" s="1"/>
      <c r="V78" s="1"/>
      <c r="W78" s="1"/>
      <c r="X78" s="1"/>
      <c r="Y78" s="1">
        <v>-4.0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>
        <v>4.0</v>
      </c>
      <c r="AN78" s="1"/>
      <c r="AO78" s="1"/>
      <c r="AP78" s="1"/>
      <c r="AQ78" s="1"/>
      <c r="AR78" s="1"/>
      <c r="AS78" s="1"/>
      <c r="AT78" s="1"/>
    </row>
    <row r="79">
      <c r="A79" s="1" t="s">
        <v>49</v>
      </c>
      <c r="B79" s="1">
        <v>4.0</v>
      </c>
      <c r="F79" s="1"/>
      <c r="L79" s="1">
        <v>4.0</v>
      </c>
      <c r="P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>
      <c r="A80" s="1" t="s">
        <v>50</v>
      </c>
      <c r="E80" s="1">
        <v>4.0</v>
      </c>
      <c r="F80" s="1"/>
      <c r="L80" s="1">
        <v>4.0</v>
      </c>
      <c r="P80" s="1"/>
      <c r="U80" s="1"/>
      <c r="V80" s="1"/>
      <c r="W80" s="1"/>
      <c r="X80" s="1"/>
      <c r="Y80" s="1"/>
      <c r="Z80" s="1"/>
      <c r="AA80" s="1">
        <v>4.0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>
      <c r="A81" s="1" t="s">
        <v>51</v>
      </c>
      <c r="E81" s="1">
        <v>4.0</v>
      </c>
      <c r="F81" s="1"/>
      <c r="M81" s="1">
        <v>4.0</v>
      </c>
      <c r="P81" s="1"/>
      <c r="U81" s="1"/>
      <c r="V81" s="1"/>
      <c r="W81" s="1"/>
      <c r="X81" s="1"/>
      <c r="Y81" s="1"/>
      <c r="Z81" s="1"/>
      <c r="AA81" s="1">
        <v>4.0</v>
      </c>
      <c r="AB81" s="1"/>
      <c r="AC81" s="1"/>
      <c r="AD81" s="1"/>
      <c r="AE81" s="1"/>
      <c r="AF81" s="1">
        <v>4.0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>
      <c r="A82" s="1" t="s">
        <v>52</v>
      </c>
      <c r="D82" s="1">
        <v>4.0</v>
      </c>
      <c r="F82" s="1"/>
      <c r="M82" s="1">
        <v>4.0</v>
      </c>
      <c r="P82" s="1"/>
      <c r="U82" s="1"/>
      <c r="V82" s="1"/>
      <c r="W82" s="1"/>
      <c r="X82" s="1"/>
      <c r="Y82" s="1"/>
      <c r="Z82" s="1"/>
      <c r="AA82" s="1">
        <v>4.0</v>
      </c>
      <c r="AB82" s="1"/>
      <c r="AC82" s="1"/>
      <c r="AD82" s="1"/>
      <c r="AE82" s="1"/>
      <c r="AF82" s="1">
        <v>4.0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>
      <c r="A83" s="1" t="s">
        <v>47</v>
      </c>
      <c r="E83" s="1">
        <v>4.0</v>
      </c>
      <c r="F83" s="1"/>
      <c r="M83" s="1">
        <v>4.0</v>
      </c>
      <c r="P83" s="1"/>
      <c r="U83" s="1"/>
      <c r="V83" s="1">
        <v>4.0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>
        <v>4.0</v>
      </c>
      <c r="AN83" s="1"/>
      <c r="AO83" s="1"/>
      <c r="AP83" s="1"/>
      <c r="AQ83" s="1"/>
      <c r="AR83" s="1"/>
      <c r="AS83" s="1"/>
      <c r="AT83" s="1"/>
    </row>
    <row r="84">
      <c r="A84" s="1" t="s">
        <v>48</v>
      </c>
      <c r="C84" s="1">
        <v>4.0</v>
      </c>
      <c r="F84" s="1"/>
      <c r="P84" s="1"/>
      <c r="Q84" s="1">
        <v>4.0</v>
      </c>
      <c r="U84" s="1"/>
      <c r="V84" s="1"/>
      <c r="W84" s="1"/>
      <c r="X84" s="1"/>
      <c r="Y84" s="1">
        <v>4.0</v>
      </c>
      <c r="Z84" s="1"/>
      <c r="AA84" s="1"/>
      <c r="AB84" s="1"/>
      <c r="AC84" s="1"/>
      <c r="AD84" s="1"/>
      <c r="AE84" s="1"/>
      <c r="AF84" s="1"/>
      <c r="AG84" s="1"/>
      <c r="AH84" s="1">
        <v>4.0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>
      <c r="A85" s="1" t="s">
        <v>49</v>
      </c>
      <c r="E85" s="1">
        <v>4.0</v>
      </c>
      <c r="F85" s="1"/>
      <c r="H85" s="1">
        <v>-4.0</v>
      </c>
      <c r="O85" s="1">
        <v>4.0</v>
      </c>
      <c r="P85" s="1"/>
      <c r="U85" s="1"/>
      <c r="V85" s="1">
        <v>4.0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>
      <c r="A86" s="1" t="s">
        <v>50</v>
      </c>
      <c r="F86" s="1"/>
      <c r="L86" s="1">
        <v>4.0</v>
      </c>
      <c r="P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>
        <v>4.0</v>
      </c>
      <c r="AN86" s="1"/>
      <c r="AO86" s="1"/>
      <c r="AP86" s="1"/>
      <c r="AQ86" s="1"/>
      <c r="AR86" s="1"/>
      <c r="AS86" s="1"/>
      <c r="AT86" s="1"/>
    </row>
    <row r="87">
      <c r="A87" s="1" t="s">
        <v>51</v>
      </c>
      <c r="F87" s="1"/>
      <c r="P87" s="1"/>
      <c r="T87" s="1">
        <v>4.0</v>
      </c>
      <c r="U87" s="1"/>
      <c r="V87" s="1"/>
      <c r="W87" s="1"/>
      <c r="X87" s="1"/>
      <c r="Y87" s="1">
        <v>4.0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>
        <v>4.0</v>
      </c>
      <c r="AN87" s="1"/>
      <c r="AO87" s="1"/>
      <c r="AP87" s="1"/>
      <c r="AQ87" s="1"/>
      <c r="AR87" s="1"/>
      <c r="AS87" s="1"/>
      <c r="AT87" s="1"/>
    </row>
    <row r="88">
      <c r="A88" s="1" t="s">
        <v>52</v>
      </c>
      <c r="C88" s="1">
        <v>4.0</v>
      </c>
      <c r="F88" s="1"/>
      <c r="P88" s="1"/>
      <c r="Q88" s="1">
        <v>4.0</v>
      </c>
      <c r="U88" s="1"/>
      <c r="V88" s="1"/>
      <c r="W88" s="1"/>
      <c r="X88" s="1"/>
      <c r="Y88" s="1">
        <v>4.0</v>
      </c>
      <c r="Z88" s="1"/>
      <c r="AA88" s="1"/>
      <c r="AB88" s="1"/>
      <c r="AC88" s="1"/>
      <c r="AD88" s="1"/>
      <c r="AE88" s="1"/>
      <c r="AF88" s="1"/>
      <c r="AG88" s="1">
        <v>4.0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91">
      <c r="A91" s="1"/>
      <c r="B91" s="1" t="s">
        <v>6</v>
      </c>
      <c r="G91" s="1" t="s">
        <v>3</v>
      </c>
      <c r="L91" s="1" t="s">
        <v>5</v>
      </c>
      <c r="Q91" s="1" t="s">
        <v>8</v>
      </c>
      <c r="V91" s="1" t="s">
        <v>0</v>
      </c>
      <c r="AA91" s="1" t="s">
        <v>4</v>
      </c>
      <c r="AF91" s="1" t="s">
        <v>2</v>
      </c>
      <c r="AK91" s="1" t="s">
        <v>7</v>
      </c>
      <c r="AP91" s="1" t="s">
        <v>1</v>
      </c>
    </row>
    <row r="92">
      <c r="A92" s="1"/>
      <c r="B92" s="1" t="s">
        <v>55</v>
      </c>
      <c r="C92" s="1" t="s">
        <v>38</v>
      </c>
      <c r="D92" s="1" t="s">
        <v>37</v>
      </c>
      <c r="E92" s="1" t="s">
        <v>35</v>
      </c>
      <c r="F92" s="1" t="s">
        <v>34</v>
      </c>
      <c r="G92" s="1" t="s">
        <v>22</v>
      </c>
      <c r="H92" s="1" t="s">
        <v>23</v>
      </c>
      <c r="I92" s="1" t="s">
        <v>24</v>
      </c>
      <c r="J92" s="1" t="s">
        <v>25</v>
      </c>
      <c r="L92" s="1" t="s">
        <v>30</v>
      </c>
      <c r="M92" s="1" t="s">
        <v>31</v>
      </c>
      <c r="N92" s="1" t="s">
        <v>32</v>
      </c>
      <c r="O92" s="1" t="s">
        <v>33</v>
      </c>
      <c r="Q92" s="1" t="s">
        <v>43</v>
      </c>
      <c r="R92" s="1" t="s">
        <v>44</v>
      </c>
      <c r="S92" s="1" t="s">
        <v>45</v>
      </c>
      <c r="T92" s="1" t="s">
        <v>46</v>
      </c>
      <c r="V92" s="1" t="s">
        <v>9</v>
      </c>
      <c r="W92" s="1" t="s">
        <v>10</v>
      </c>
      <c r="X92" s="1" t="s">
        <v>11</v>
      </c>
      <c r="Y92" s="1" t="s">
        <v>12</v>
      </c>
      <c r="Z92" s="1" t="s">
        <v>13</v>
      </c>
      <c r="AA92" s="1" t="s">
        <v>26</v>
      </c>
      <c r="AB92" s="1" t="s">
        <v>27</v>
      </c>
      <c r="AC92" s="1" t="s">
        <v>28</v>
      </c>
      <c r="AD92" s="1" t="s">
        <v>29</v>
      </c>
      <c r="AE92" s="1"/>
      <c r="AF92" s="1" t="s">
        <v>17</v>
      </c>
      <c r="AG92" s="1" t="s">
        <v>18</v>
      </c>
      <c r="AH92" s="1" t="s">
        <v>20</v>
      </c>
      <c r="AI92" s="1" t="s">
        <v>21</v>
      </c>
      <c r="AJ92" s="1"/>
      <c r="AK92" s="1" t="s">
        <v>42</v>
      </c>
      <c r="AL92" s="1" t="s">
        <v>40</v>
      </c>
      <c r="AM92" s="1" t="s">
        <v>41</v>
      </c>
      <c r="AN92" s="1" t="s">
        <v>39</v>
      </c>
      <c r="AO92" s="1" t="s">
        <v>53</v>
      </c>
      <c r="AP92" s="1" t="s">
        <v>14</v>
      </c>
      <c r="AQ92" s="1" t="s">
        <v>15</v>
      </c>
      <c r="AR92" s="1"/>
      <c r="AS92" s="1"/>
      <c r="AT92" s="1"/>
    </row>
    <row r="93">
      <c r="A93" s="1"/>
      <c r="B93" s="1" t="b">
        <v>1</v>
      </c>
      <c r="C93" s="1" t="b">
        <v>0</v>
      </c>
      <c r="D93" s="1" t="b">
        <v>1</v>
      </c>
      <c r="E93" s="1" t="b">
        <v>1</v>
      </c>
      <c r="F93" s="1" t="b">
        <v>1</v>
      </c>
      <c r="G93" s="1" t="b">
        <v>1</v>
      </c>
      <c r="H93" s="1" t="b">
        <v>0</v>
      </c>
      <c r="I93" s="1" t="b">
        <v>1</v>
      </c>
      <c r="J93" s="1" t="b">
        <v>0</v>
      </c>
      <c r="K93" s="1" t="b">
        <v>0</v>
      </c>
      <c r="L93" s="1" t="b">
        <v>1</v>
      </c>
      <c r="M93" s="1" t="b">
        <v>1</v>
      </c>
      <c r="N93" s="1" t="b">
        <v>1</v>
      </c>
      <c r="O93" s="1" t="b">
        <v>1</v>
      </c>
      <c r="P93" s="1" t="b">
        <v>0</v>
      </c>
      <c r="Q93" s="1" t="b">
        <v>1</v>
      </c>
      <c r="R93" s="1" t="b">
        <v>1</v>
      </c>
      <c r="S93" s="1" t="b">
        <v>1</v>
      </c>
      <c r="T93" s="1" t="b">
        <v>1</v>
      </c>
      <c r="U93" s="1" t="b">
        <v>0</v>
      </c>
      <c r="V93" s="1" t="b">
        <v>1</v>
      </c>
      <c r="W93" s="1" t="b">
        <v>1</v>
      </c>
      <c r="X93" s="1" t="b">
        <v>1</v>
      </c>
      <c r="Y93" s="1" t="b">
        <v>1</v>
      </c>
      <c r="Z93" s="1" t="b">
        <v>1</v>
      </c>
      <c r="AA93" s="1" t="b">
        <v>1</v>
      </c>
      <c r="AB93" s="1" t="b">
        <v>1</v>
      </c>
      <c r="AC93" s="1" t="b">
        <v>1</v>
      </c>
      <c r="AD93" s="1" t="b">
        <v>1</v>
      </c>
      <c r="AE93" s="1" t="b">
        <v>0</v>
      </c>
      <c r="AF93" s="1" t="b">
        <v>1</v>
      </c>
      <c r="AG93" s="1" t="b">
        <v>1</v>
      </c>
      <c r="AH93" s="1" t="b">
        <v>1</v>
      </c>
      <c r="AI93" s="1" t="b">
        <v>1</v>
      </c>
      <c r="AJ93" s="1" t="b">
        <v>0</v>
      </c>
      <c r="AK93" s="1" t="b">
        <v>1</v>
      </c>
      <c r="AL93" s="1" t="b">
        <v>1</v>
      </c>
      <c r="AM93" s="1" t="b">
        <v>1</v>
      </c>
      <c r="AN93" s="1" t="b">
        <v>1</v>
      </c>
      <c r="AO93" s="1" t="b">
        <v>1</v>
      </c>
      <c r="AP93" s="1" t="b">
        <v>0</v>
      </c>
      <c r="AQ93" s="1" t="b">
        <v>0</v>
      </c>
      <c r="AR93" s="1" t="b">
        <v>0</v>
      </c>
      <c r="AS93" s="1" t="b">
        <v>0</v>
      </c>
      <c r="AT93" s="1" t="b">
        <v>0</v>
      </c>
    </row>
    <row r="94">
      <c r="A94" s="1" t="s">
        <v>47</v>
      </c>
      <c r="C94" s="1"/>
      <c r="H94" s="1"/>
      <c r="J94" s="1"/>
      <c r="K94" s="1"/>
      <c r="M94" s="1">
        <v>4.0</v>
      </c>
      <c r="P94" s="1"/>
      <c r="U94" s="1"/>
      <c r="V94" s="1"/>
      <c r="W94" s="1"/>
      <c r="X94" s="1"/>
      <c r="Y94" s="1"/>
      <c r="Z94" s="1"/>
      <c r="AA94" s="1"/>
      <c r="AB94" s="1"/>
      <c r="AC94" s="1">
        <v>4.0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1" t="s">
        <v>48</v>
      </c>
      <c r="C95" s="1"/>
      <c r="H95" s="1"/>
      <c r="J95" s="1"/>
      <c r="K95" s="1"/>
      <c r="M95" s="1">
        <v>4.0</v>
      </c>
      <c r="P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1" t="s">
        <v>49</v>
      </c>
      <c r="C96" s="1"/>
      <c r="H96" s="1"/>
      <c r="J96" s="1"/>
      <c r="K96" s="1"/>
      <c r="P96" s="1"/>
      <c r="S96" s="1">
        <v>4.0</v>
      </c>
      <c r="U96" s="1"/>
      <c r="V96" s="1">
        <v>4.0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>
        <v>-4.0</v>
      </c>
      <c r="AH96" s="1"/>
      <c r="AI96" s="1"/>
      <c r="AJ96" s="1"/>
      <c r="AK96" s="1"/>
      <c r="AL96" s="1"/>
      <c r="AM96" s="1"/>
      <c r="AN96" s="1"/>
      <c r="AO96" s="1"/>
    </row>
    <row r="97">
      <c r="A97" s="1" t="s">
        <v>50</v>
      </c>
      <c r="C97" s="1"/>
      <c r="H97" s="1"/>
      <c r="J97" s="1"/>
      <c r="K97" s="1"/>
      <c r="N97" s="1">
        <v>4.0</v>
      </c>
      <c r="P97" s="1"/>
      <c r="U97" s="1"/>
      <c r="V97" s="1"/>
      <c r="W97" s="1"/>
      <c r="X97" s="1"/>
      <c r="Y97" s="1"/>
      <c r="Z97" s="1"/>
      <c r="AA97" s="1"/>
      <c r="AB97" s="1"/>
      <c r="AC97" s="1">
        <v>4.0</v>
      </c>
      <c r="AD97" s="1"/>
      <c r="AE97" s="1"/>
      <c r="AF97" s="1"/>
      <c r="AG97" s="1"/>
      <c r="AH97" s="1"/>
      <c r="AI97" s="1">
        <v>4.0</v>
      </c>
      <c r="AJ97" s="1"/>
      <c r="AK97" s="1"/>
      <c r="AL97" s="1"/>
      <c r="AM97" s="1"/>
      <c r="AN97" s="1"/>
      <c r="AO97" s="1"/>
    </row>
    <row r="98">
      <c r="A98" s="1" t="s">
        <v>51</v>
      </c>
      <c r="C98" s="1"/>
      <c r="H98" s="1"/>
      <c r="I98" s="1">
        <v>4.0</v>
      </c>
      <c r="J98" s="1"/>
      <c r="K98" s="1"/>
      <c r="P98" s="1"/>
      <c r="S98" s="1">
        <v>4.0</v>
      </c>
      <c r="U98" s="1"/>
      <c r="V98" s="1"/>
      <c r="W98" s="1"/>
      <c r="X98" s="1"/>
      <c r="Y98" s="1"/>
      <c r="Z98" s="1"/>
      <c r="AA98" s="1"/>
      <c r="AB98" s="1"/>
      <c r="AC98" s="1"/>
      <c r="AD98" s="1">
        <v>4.0</v>
      </c>
      <c r="AE98" s="1"/>
      <c r="AF98" s="1"/>
      <c r="AG98" s="1">
        <v>4.0</v>
      </c>
      <c r="AH98" s="1"/>
      <c r="AI98" s="1"/>
      <c r="AJ98" s="1"/>
      <c r="AK98" s="1"/>
      <c r="AL98" s="1"/>
      <c r="AM98" s="1"/>
      <c r="AN98" s="1"/>
      <c r="AO98" s="1"/>
    </row>
    <row r="99">
      <c r="A99" s="1" t="s">
        <v>52</v>
      </c>
      <c r="C99" s="1"/>
      <c r="E99" s="1">
        <v>4.0</v>
      </c>
      <c r="H99" s="1"/>
      <c r="J99" s="1"/>
      <c r="K99" s="1"/>
      <c r="N99" s="1">
        <v>-4.0</v>
      </c>
      <c r="P99" s="1"/>
      <c r="U99" s="1"/>
      <c r="V99" s="1"/>
      <c r="W99" s="1"/>
      <c r="X99" s="1"/>
      <c r="Y99" s="1"/>
      <c r="Z99" s="1"/>
      <c r="AA99" s="1"/>
      <c r="AB99" s="1">
        <v>4.0</v>
      </c>
      <c r="AC99" s="1"/>
      <c r="AD99" s="1"/>
      <c r="AE99" s="1"/>
      <c r="AF99" s="1"/>
      <c r="AG99" s="1"/>
      <c r="AH99" s="1">
        <v>-4.0</v>
      </c>
      <c r="AI99" s="1"/>
      <c r="AJ99" s="1"/>
      <c r="AK99" s="1"/>
      <c r="AL99" s="1"/>
      <c r="AM99" s="1"/>
      <c r="AN99" s="1">
        <v>4.0</v>
      </c>
      <c r="AO99" s="1"/>
    </row>
    <row r="100">
      <c r="A100" s="1" t="s">
        <v>47</v>
      </c>
      <c r="C100" s="1"/>
      <c r="F100" s="1">
        <v>4.0</v>
      </c>
      <c r="H100" s="1"/>
      <c r="J100" s="1"/>
      <c r="K100" s="1"/>
      <c r="P100" s="1"/>
      <c r="T100" s="1">
        <v>4.0</v>
      </c>
      <c r="U100" s="1"/>
      <c r="V100" s="1"/>
      <c r="W100" s="1"/>
      <c r="X100" s="1"/>
      <c r="Y100" s="1"/>
      <c r="Z100" s="1"/>
      <c r="AA100" s="1"/>
      <c r="AB100" s="1">
        <v>4.0</v>
      </c>
      <c r="AC100" s="1"/>
      <c r="AD100" s="1"/>
      <c r="AE100" s="1"/>
      <c r="AF100" s="1"/>
      <c r="AG100" s="1"/>
      <c r="AH100" s="1"/>
      <c r="AI100" s="1">
        <v>-4.0</v>
      </c>
      <c r="AJ100" s="1"/>
      <c r="AK100" s="1"/>
      <c r="AL100" s="1"/>
      <c r="AM100" s="1"/>
      <c r="AN100" s="1"/>
      <c r="AO100" s="1"/>
    </row>
    <row r="101">
      <c r="A101" s="1" t="s">
        <v>48</v>
      </c>
      <c r="C101" s="1"/>
      <c r="D101" s="1">
        <v>4.0</v>
      </c>
      <c r="H101" s="1"/>
      <c r="J101" s="1"/>
      <c r="K101" s="1"/>
      <c r="O101" s="1">
        <v>4.0</v>
      </c>
      <c r="P101" s="1"/>
      <c r="U101" s="1"/>
      <c r="V101" s="1"/>
      <c r="W101" s="1"/>
      <c r="X101" s="1"/>
      <c r="Y101" s="1"/>
      <c r="Z101" s="1"/>
      <c r="AA101" s="1"/>
      <c r="AB101" s="1">
        <v>4.0</v>
      </c>
      <c r="AC101" s="1"/>
      <c r="AD101" s="1"/>
      <c r="AE101" s="1"/>
      <c r="AF101" s="1"/>
      <c r="AG101" s="1">
        <v>4.0</v>
      </c>
      <c r="AH101" s="1"/>
      <c r="AI101" s="1"/>
      <c r="AJ101" s="1"/>
      <c r="AK101" s="1"/>
      <c r="AL101" s="1"/>
      <c r="AM101" s="1"/>
      <c r="AN101" s="1"/>
      <c r="AO101" s="1"/>
    </row>
    <row r="102">
      <c r="A102" s="1" t="s">
        <v>49</v>
      </c>
      <c r="C102" s="1"/>
      <c r="D102" s="1">
        <v>4.0</v>
      </c>
      <c r="H102" s="1"/>
      <c r="J102" s="1"/>
      <c r="K102" s="1"/>
      <c r="P102" s="1"/>
      <c r="Q102" s="1">
        <v>4.0</v>
      </c>
      <c r="U102" s="1"/>
      <c r="V102" s="1"/>
      <c r="W102" s="1"/>
      <c r="X102" s="1"/>
      <c r="Y102" s="1"/>
      <c r="Z102" s="1"/>
      <c r="AA102" s="1"/>
      <c r="AB102" s="1">
        <v>4.0</v>
      </c>
      <c r="AC102" s="1"/>
      <c r="AD102" s="1"/>
      <c r="AE102" s="1"/>
      <c r="AF102" s="1"/>
      <c r="AG102" s="1">
        <v>4.0</v>
      </c>
      <c r="AH102" s="1"/>
      <c r="AI102" s="1"/>
      <c r="AJ102" s="1"/>
      <c r="AK102" s="1"/>
      <c r="AL102" s="1"/>
      <c r="AM102" s="1"/>
      <c r="AN102" s="1"/>
      <c r="AO102" s="1"/>
    </row>
    <row r="103">
      <c r="A103" s="1" t="s">
        <v>50</v>
      </c>
      <c r="C103" s="1"/>
      <c r="E103" s="1">
        <v>4.0</v>
      </c>
      <c r="H103" s="1"/>
      <c r="J103" s="1"/>
      <c r="K103" s="1"/>
      <c r="P103" s="1"/>
      <c r="R103" s="1">
        <v>4.0</v>
      </c>
      <c r="U103" s="1"/>
      <c r="V103" s="1"/>
      <c r="W103" s="1"/>
      <c r="X103" s="1">
        <v>4.0</v>
      </c>
      <c r="Y103" s="1"/>
      <c r="Z103" s="1"/>
      <c r="AA103" s="1"/>
      <c r="AB103" s="1"/>
      <c r="AC103" s="1"/>
      <c r="AD103" s="1">
        <v>-4.0</v>
      </c>
      <c r="AE103" s="1"/>
      <c r="AF103" s="1"/>
      <c r="AG103" s="1">
        <v>4.0</v>
      </c>
      <c r="AH103" s="1"/>
      <c r="AI103" s="1"/>
      <c r="AJ103" s="1"/>
      <c r="AK103" s="1"/>
      <c r="AL103" s="1"/>
      <c r="AM103" s="1"/>
      <c r="AN103" s="1"/>
      <c r="AO103" s="1"/>
    </row>
    <row r="104">
      <c r="A104" s="1" t="s">
        <v>51</v>
      </c>
      <c r="C104" s="1"/>
      <c r="H104" s="1"/>
      <c r="J104" s="1"/>
      <c r="K104" s="1"/>
      <c r="P104" s="1"/>
      <c r="Q104" s="1">
        <v>4.0</v>
      </c>
      <c r="U104" s="1"/>
      <c r="V104" s="1"/>
      <c r="W104" s="1"/>
      <c r="X104" s="1"/>
      <c r="Y104" s="1"/>
      <c r="Z104" s="1"/>
      <c r="AA104" s="1"/>
      <c r="AB104" s="1"/>
      <c r="AC104" s="1"/>
      <c r="AD104" s="1">
        <v>4.0</v>
      </c>
      <c r="AE104" s="1"/>
      <c r="AF104" s="1"/>
      <c r="AG104" s="1">
        <v>4.0</v>
      </c>
      <c r="AH104" s="1"/>
      <c r="AI104" s="1"/>
      <c r="AJ104" s="1"/>
      <c r="AK104" s="1"/>
      <c r="AL104" s="1"/>
      <c r="AM104" s="1"/>
      <c r="AN104" s="1"/>
      <c r="AO104" s="1"/>
    </row>
    <row r="105">
      <c r="A105" s="1" t="s">
        <v>52</v>
      </c>
      <c r="C105" s="1"/>
      <c r="D105" s="1">
        <v>4.0</v>
      </c>
      <c r="H105" s="1"/>
      <c r="J105" s="1"/>
      <c r="K105" s="1"/>
      <c r="P105" s="1"/>
      <c r="R105" s="1">
        <v>4.0</v>
      </c>
      <c r="U105" s="1"/>
      <c r="V105" s="1"/>
      <c r="W105" s="1"/>
      <c r="X105" s="1"/>
      <c r="Y105" s="1"/>
      <c r="Z105" s="1"/>
      <c r="AA105" s="1">
        <v>4.0</v>
      </c>
      <c r="AB105" s="1"/>
      <c r="AC105" s="1"/>
      <c r="AD105" s="1"/>
      <c r="AE105" s="1"/>
      <c r="AF105" s="1"/>
      <c r="AG105" s="1">
        <v>-4.0</v>
      </c>
      <c r="AH105" s="1"/>
      <c r="AI105" s="1"/>
      <c r="AJ105" s="1"/>
      <c r="AK105" s="1"/>
      <c r="AL105" s="1">
        <v>4.0</v>
      </c>
      <c r="AM105" s="1"/>
      <c r="AN105" s="1"/>
      <c r="AO105" s="1"/>
    </row>
    <row r="106">
      <c r="A106" s="1"/>
      <c r="B106" s="1" t="b">
        <v>1</v>
      </c>
      <c r="C106" s="1" t="b">
        <v>0</v>
      </c>
      <c r="D106" s="1" t="b">
        <v>1</v>
      </c>
      <c r="E106" s="1" t="b">
        <v>1</v>
      </c>
      <c r="F106" s="1" t="b">
        <v>1</v>
      </c>
      <c r="G106" s="1" t="b">
        <v>1</v>
      </c>
      <c r="H106" s="1" t="b">
        <v>0</v>
      </c>
      <c r="I106" s="1" t="b">
        <v>1</v>
      </c>
      <c r="J106" s="1" t="b">
        <v>0</v>
      </c>
      <c r="K106" s="1" t="b">
        <v>0</v>
      </c>
      <c r="L106" s="1" t="b">
        <v>1</v>
      </c>
      <c r="M106" s="1" t="b">
        <v>1</v>
      </c>
      <c r="N106" s="1" t="b">
        <v>1</v>
      </c>
      <c r="O106" s="1" t="b">
        <v>1</v>
      </c>
      <c r="P106" s="1" t="b">
        <v>0</v>
      </c>
      <c r="Q106" s="1" t="b">
        <v>1</v>
      </c>
      <c r="R106" s="1" t="b">
        <v>1</v>
      </c>
      <c r="S106" s="1" t="b">
        <v>1</v>
      </c>
      <c r="T106" s="1" t="b">
        <v>1</v>
      </c>
      <c r="U106" s="1" t="b">
        <v>0</v>
      </c>
      <c r="V106" s="1" t="b">
        <v>1</v>
      </c>
      <c r="W106" s="1" t="b">
        <v>1</v>
      </c>
      <c r="X106" s="1" t="b">
        <v>1</v>
      </c>
      <c r="Y106" s="1" t="b">
        <v>1</v>
      </c>
      <c r="Z106" s="1" t="b">
        <v>1</v>
      </c>
      <c r="AA106" s="1" t="b">
        <v>1</v>
      </c>
      <c r="AB106" s="1" t="b">
        <v>1</v>
      </c>
      <c r="AC106" s="1" t="b">
        <v>1</v>
      </c>
      <c r="AD106" s="1" t="b">
        <v>1</v>
      </c>
      <c r="AE106" s="1" t="b">
        <v>0</v>
      </c>
      <c r="AF106" s="1" t="b">
        <v>1</v>
      </c>
      <c r="AG106" s="1" t="b">
        <v>1</v>
      </c>
      <c r="AH106" s="1" t="b">
        <v>1</v>
      </c>
      <c r="AI106" s="1" t="b">
        <v>1</v>
      </c>
      <c r="AJ106" s="1" t="b">
        <v>0</v>
      </c>
      <c r="AK106" s="1" t="b">
        <v>1</v>
      </c>
      <c r="AL106" s="1" t="b">
        <v>1</v>
      </c>
      <c r="AM106" s="1" t="b">
        <v>1</v>
      </c>
      <c r="AN106" s="1" t="b">
        <v>1</v>
      </c>
      <c r="AO106" s="1" t="b">
        <v>1</v>
      </c>
      <c r="AP106" s="1" t="b">
        <v>0</v>
      </c>
      <c r="AQ106" s="1" t="b">
        <v>0</v>
      </c>
      <c r="AR106" s="1" t="b">
        <v>0</v>
      </c>
      <c r="AS106" s="1" t="b">
        <v>0</v>
      </c>
      <c r="AT106" s="1" t="b">
        <v>0</v>
      </c>
    </row>
    <row r="107">
      <c r="A107" s="1" t="s">
        <v>47</v>
      </c>
      <c r="C107" s="1"/>
      <c r="H107" s="1"/>
      <c r="J107" s="1"/>
      <c r="K107" s="1"/>
      <c r="P107" s="1"/>
      <c r="Q107" s="1">
        <v>4.0</v>
      </c>
      <c r="U107" s="1"/>
      <c r="V107" s="1"/>
      <c r="W107" s="1"/>
      <c r="X107" s="1"/>
      <c r="Y107" s="1"/>
      <c r="Z107" s="1"/>
      <c r="AA107" s="1"/>
      <c r="AB107" s="1">
        <v>4.0</v>
      </c>
      <c r="AC107" s="1"/>
      <c r="AD107" s="1"/>
      <c r="AE107" s="1"/>
      <c r="AF107" s="1"/>
      <c r="AG107" s="1">
        <v>4.0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 t="s">
        <v>48</v>
      </c>
      <c r="C108" s="1"/>
      <c r="G108" s="1">
        <v>4.0</v>
      </c>
      <c r="H108" s="1"/>
      <c r="J108" s="1"/>
      <c r="K108" s="1"/>
      <c r="O108" s="1">
        <v>4.0</v>
      </c>
      <c r="P108" s="1"/>
      <c r="U108" s="1"/>
      <c r="V108" s="1"/>
      <c r="W108" s="1">
        <v>4.0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>
        <v>4.0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 t="s">
        <v>49</v>
      </c>
      <c r="C109" s="1"/>
      <c r="H109" s="1"/>
      <c r="I109" s="1">
        <v>4.0</v>
      </c>
      <c r="J109" s="1"/>
      <c r="K109" s="1"/>
      <c r="M109" s="1">
        <v>4.0</v>
      </c>
      <c r="P109" s="1"/>
      <c r="U109" s="1"/>
      <c r="V109" s="1"/>
      <c r="W109" s="1"/>
      <c r="X109" s="1"/>
      <c r="Y109" s="1"/>
      <c r="Z109" s="1"/>
      <c r="AA109" s="1"/>
      <c r="AB109" s="1">
        <v>4.0</v>
      </c>
      <c r="AC109" s="1"/>
      <c r="AD109" s="1"/>
      <c r="AE109" s="1"/>
      <c r="AF109" s="1"/>
      <c r="AG109" s="1">
        <v>-4.0</v>
      </c>
      <c r="AH109" s="1"/>
      <c r="AI109" s="1"/>
      <c r="AJ109" s="1"/>
      <c r="AK109" s="1"/>
      <c r="AL109" s="1">
        <v>4.0</v>
      </c>
      <c r="AM109" s="1"/>
      <c r="AN109" s="1"/>
      <c r="AO109" s="1"/>
      <c r="AP109" s="1"/>
      <c r="AQ109" s="1"/>
      <c r="AR109" s="1"/>
      <c r="AS109" s="1"/>
      <c r="AT109" s="1"/>
    </row>
    <row r="110">
      <c r="A110" s="1" t="s">
        <v>50</v>
      </c>
      <c r="C110" s="1"/>
      <c r="H110" s="1"/>
      <c r="J110" s="1"/>
      <c r="K110" s="1"/>
      <c r="P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>
        <v>4.0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 t="s">
        <v>51</v>
      </c>
      <c r="B111" s="1">
        <v>4.0</v>
      </c>
      <c r="C111" s="1"/>
      <c r="H111" s="1"/>
      <c r="J111" s="1"/>
      <c r="K111" s="1"/>
      <c r="L111" s="1">
        <v>4.0</v>
      </c>
      <c r="P111" s="1"/>
      <c r="U111" s="1"/>
      <c r="V111" s="1"/>
      <c r="W111" s="1"/>
      <c r="X111" s="1"/>
      <c r="Y111" s="1"/>
      <c r="Z111" s="1">
        <v>4.0</v>
      </c>
      <c r="AA111" s="1"/>
      <c r="AB111" s="1"/>
      <c r="AC111" s="1"/>
      <c r="AD111" s="1"/>
      <c r="AE111" s="1"/>
      <c r="AF111" s="1"/>
      <c r="AG111" s="1">
        <v>4.0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 t="s">
        <v>52</v>
      </c>
      <c r="C112" s="1"/>
      <c r="H112" s="1"/>
      <c r="J112" s="1"/>
      <c r="K112" s="1"/>
      <c r="N112" s="1">
        <v>4.0</v>
      </c>
      <c r="P112" s="1"/>
      <c r="U112" s="1"/>
      <c r="V112" s="1"/>
      <c r="W112" s="1"/>
      <c r="X112" s="1"/>
      <c r="Y112" s="1"/>
      <c r="Z112" s="1"/>
      <c r="AA112" s="1"/>
      <c r="AB112" s="1">
        <v>4.0</v>
      </c>
      <c r="AC112" s="1"/>
      <c r="AD112" s="1"/>
      <c r="AE112" s="1"/>
      <c r="AF112" s="1"/>
      <c r="AG112" s="1">
        <v>4.0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 t="s">
        <v>47</v>
      </c>
      <c r="C113" s="1"/>
      <c r="D113" s="1">
        <v>4.0</v>
      </c>
      <c r="H113" s="1"/>
      <c r="J113" s="1"/>
      <c r="K113" s="1"/>
      <c r="N113" s="1">
        <v>4.0</v>
      </c>
      <c r="P113" s="1"/>
      <c r="Q113" s="1">
        <v>-4.0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>
        <v>-4.0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 t="s">
        <v>48</v>
      </c>
      <c r="C114" s="1"/>
      <c r="H114" s="1"/>
      <c r="J114" s="1"/>
      <c r="K114" s="1"/>
      <c r="M114" s="1">
        <v>4.0</v>
      </c>
      <c r="P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 t="s">
        <v>49</v>
      </c>
      <c r="C115" s="1"/>
      <c r="H115" s="1"/>
      <c r="J115" s="1"/>
      <c r="K115" s="1"/>
      <c r="O115" s="1">
        <v>4.0</v>
      </c>
      <c r="P115" s="1"/>
      <c r="U115" s="1"/>
      <c r="V115" s="1"/>
      <c r="W115" s="1"/>
      <c r="X115" s="1"/>
      <c r="Y115" s="1"/>
      <c r="Z115" s="1"/>
      <c r="AA115" s="1"/>
      <c r="AB115" s="1">
        <v>-4.0</v>
      </c>
      <c r="AC115" s="1"/>
      <c r="AD115" s="1"/>
      <c r="AE115" s="1"/>
      <c r="AF115" s="1">
        <v>4.0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 t="s">
        <v>50</v>
      </c>
      <c r="B116" s="1">
        <v>4.0</v>
      </c>
      <c r="C116" s="1"/>
      <c r="H116" s="1"/>
      <c r="J116" s="1"/>
      <c r="K116" s="1"/>
      <c r="N116" s="1">
        <v>4.0</v>
      </c>
      <c r="P116" s="1"/>
      <c r="U116" s="1"/>
      <c r="V116" s="1"/>
      <c r="W116" s="1"/>
      <c r="X116" s="1"/>
      <c r="Y116" s="1"/>
      <c r="Z116" s="1"/>
      <c r="AA116" s="1"/>
      <c r="AB116" s="1"/>
      <c r="AC116" s="1">
        <v>4.0</v>
      </c>
      <c r="AD116" s="1"/>
      <c r="AE116" s="1"/>
      <c r="AF116" s="1"/>
      <c r="AG116" s="1"/>
      <c r="AH116" s="1"/>
      <c r="AI116" s="1">
        <v>4.0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 t="s">
        <v>51</v>
      </c>
      <c r="C117" s="1"/>
      <c r="H117" s="1"/>
      <c r="I117" s="1">
        <v>4.0</v>
      </c>
      <c r="J117" s="1"/>
      <c r="K117" s="1"/>
      <c r="P117" s="1"/>
      <c r="Q117" s="1">
        <v>4.0</v>
      </c>
      <c r="U117" s="1"/>
      <c r="V117" s="1"/>
      <c r="W117" s="1"/>
      <c r="X117" s="1"/>
      <c r="Y117" s="1"/>
      <c r="Z117" s="1">
        <v>4.0</v>
      </c>
      <c r="AA117" s="1"/>
      <c r="AB117" s="1"/>
      <c r="AC117" s="1"/>
      <c r="AD117" s="1"/>
      <c r="AE117" s="1"/>
      <c r="AF117" s="1"/>
      <c r="AG117" s="1">
        <v>4.0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 t="s">
        <v>52</v>
      </c>
      <c r="C118" s="1"/>
      <c r="E118" s="1">
        <v>4.0</v>
      </c>
      <c r="H118" s="1"/>
      <c r="J118" s="1"/>
      <c r="K118" s="1"/>
      <c r="O118" s="1">
        <v>-4.0</v>
      </c>
      <c r="P118" s="1"/>
      <c r="U118" s="1"/>
      <c r="V118" s="1"/>
      <c r="W118" s="1"/>
      <c r="X118" s="1"/>
      <c r="Y118" s="1"/>
      <c r="Z118" s="1"/>
      <c r="AA118" s="1">
        <v>4.0</v>
      </c>
      <c r="AB118" s="1"/>
      <c r="AC118" s="1"/>
      <c r="AD118" s="1"/>
      <c r="AE118" s="1"/>
      <c r="AF118" s="1"/>
      <c r="AG118" s="1"/>
      <c r="AH118" s="1"/>
      <c r="AI118" s="1">
        <v>4.0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21">
      <c r="A121" s="1"/>
      <c r="B121" s="1" t="s">
        <v>0</v>
      </c>
      <c r="G121" s="1" t="s">
        <v>2</v>
      </c>
      <c r="L121" s="1" t="s">
        <v>7</v>
      </c>
      <c r="Q121" s="1" t="s">
        <v>1</v>
      </c>
      <c r="V121" s="1" t="s">
        <v>6</v>
      </c>
      <c r="AA121" s="1" t="s">
        <v>5</v>
      </c>
      <c r="AF121" s="1" t="s">
        <v>4</v>
      </c>
      <c r="AK121" s="1" t="s">
        <v>8</v>
      </c>
      <c r="AP121" s="1" t="s">
        <v>3</v>
      </c>
    </row>
    <row r="122">
      <c r="A122" s="1"/>
      <c r="B122" s="1" t="s">
        <v>9</v>
      </c>
      <c r="C122" s="1" t="s">
        <v>10</v>
      </c>
      <c r="D122" s="1" t="s">
        <v>11</v>
      </c>
      <c r="E122" s="1" t="s">
        <v>12</v>
      </c>
      <c r="F122" s="1" t="s">
        <v>13</v>
      </c>
      <c r="G122" s="1" t="s">
        <v>17</v>
      </c>
      <c r="H122" s="1" t="s">
        <v>18</v>
      </c>
      <c r="I122" s="1" t="s">
        <v>20</v>
      </c>
      <c r="J122" s="1" t="s">
        <v>21</v>
      </c>
      <c r="L122" s="1" t="s">
        <v>42</v>
      </c>
      <c r="M122" s="1" t="s">
        <v>40</v>
      </c>
      <c r="N122" s="1" t="s">
        <v>41</v>
      </c>
      <c r="O122" s="1" t="s">
        <v>39</v>
      </c>
      <c r="P122" s="1" t="s">
        <v>53</v>
      </c>
      <c r="Q122" s="1" t="s">
        <v>14</v>
      </c>
      <c r="R122" s="1" t="s">
        <v>15</v>
      </c>
      <c r="V122" s="1" t="s">
        <v>55</v>
      </c>
      <c r="W122" s="1" t="s">
        <v>38</v>
      </c>
      <c r="X122" s="1" t="s">
        <v>37</v>
      </c>
      <c r="Y122" s="1" t="s">
        <v>35</v>
      </c>
      <c r="Z122" s="1" t="s">
        <v>34</v>
      </c>
      <c r="AA122" s="1" t="s">
        <v>30</v>
      </c>
      <c r="AB122" s="1" t="s">
        <v>31</v>
      </c>
      <c r="AC122" s="1" t="s">
        <v>32</v>
      </c>
      <c r="AD122" s="1" t="s">
        <v>33</v>
      </c>
      <c r="AE122" s="1"/>
      <c r="AF122" s="1" t="s">
        <v>26</v>
      </c>
      <c r="AG122" s="1" t="s">
        <v>27</v>
      </c>
      <c r="AH122" s="1" t="s">
        <v>28</v>
      </c>
      <c r="AI122" s="1" t="s">
        <v>29</v>
      </c>
      <c r="AJ122" s="1"/>
      <c r="AK122" s="1" t="s">
        <v>43</v>
      </c>
      <c r="AL122" s="1" t="s">
        <v>44</v>
      </c>
      <c r="AM122" s="1" t="s">
        <v>45</v>
      </c>
      <c r="AN122" s="1" t="s">
        <v>46</v>
      </c>
      <c r="AO122" s="1"/>
      <c r="AP122" s="1" t="s">
        <v>22</v>
      </c>
      <c r="AQ122" s="1" t="s">
        <v>23</v>
      </c>
      <c r="AR122" s="1" t="s">
        <v>24</v>
      </c>
      <c r="AS122" s="1" t="s">
        <v>25</v>
      </c>
      <c r="AT122" s="1"/>
    </row>
    <row r="123">
      <c r="A123" s="1"/>
      <c r="B123" s="1" t="b">
        <v>1</v>
      </c>
      <c r="C123" s="1" t="b">
        <v>1</v>
      </c>
      <c r="D123" s="1" t="b">
        <v>1</v>
      </c>
      <c r="E123" s="1" t="b">
        <v>1</v>
      </c>
      <c r="F123" s="1" t="b">
        <v>1</v>
      </c>
      <c r="G123" s="1" t="b">
        <v>1</v>
      </c>
      <c r="H123" s="1" t="b">
        <v>1</v>
      </c>
      <c r="I123" s="1" t="b">
        <v>1</v>
      </c>
      <c r="J123" s="1" t="b">
        <v>1</v>
      </c>
      <c r="K123" s="1" t="b">
        <v>0</v>
      </c>
      <c r="L123" s="1" t="b">
        <v>1</v>
      </c>
      <c r="M123" s="1" t="b">
        <v>1</v>
      </c>
      <c r="N123" s="1" t="b">
        <v>1</v>
      </c>
      <c r="O123" s="1" t="b">
        <v>1</v>
      </c>
      <c r="P123" s="1" t="b">
        <v>1</v>
      </c>
      <c r="Q123" s="1" t="b">
        <v>1</v>
      </c>
      <c r="R123" s="1" t="b">
        <v>1</v>
      </c>
      <c r="S123" s="1" t="b">
        <v>0</v>
      </c>
      <c r="T123" s="1" t="b">
        <v>0</v>
      </c>
      <c r="U123" s="1" t="b">
        <v>0</v>
      </c>
      <c r="V123" s="1" t="b">
        <v>1</v>
      </c>
      <c r="W123" s="1" t="b">
        <v>0</v>
      </c>
      <c r="X123" s="1" t="b">
        <v>1</v>
      </c>
      <c r="Y123" s="1" t="b">
        <v>1</v>
      </c>
      <c r="Z123" s="1" t="b">
        <v>1</v>
      </c>
      <c r="AA123" s="1" t="b">
        <v>1</v>
      </c>
      <c r="AB123" s="1" t="b">
        <v>1</v>
      </c>
      <c r="AC123" s="1" t="b">
        <v>1</v>
      </c>
      <c r="AD123" s="1" t="b">
        <v>1</v>
      </c>
      <c r="AE123" s="1" t="b">
        <v>0</v>
      </c>
      <c r="AF123" s="1" t="b">
        <v>1</v>
      </c>
      <c r="AG123" s="1" t="b">
        <v>1</v>
      </c>
      <c r="AH123" s="1" t="b">
        <v>1</v>
      </c>
      <c r="AI123" s="1" t="b">
        <v>1</v>
      </c>
      <c r="AJ123" s="1" t="b">
        <v>0</v>
      </c>
      <c r="AK123" s="1" t="b">
        <v>1</v>
      </c>
      <c r="AL123" s="1" t="b">
        <v>1</v>
      </c>
      <c r="AM123" s="1" t="b">
        <v>1</v>
      </c>
      <c r="AN123" s="1" t="b">
        <v>1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b">
        <v>0</v>
      </c>
      <c r="AT123" s="1" t="b">
        <v>0</v>
      </c>
    </row>
    <row r="124">
      <c r="A124" s="1" t="s">
        <v>47</v>
      </c>
      <c r="H124" s="1">
        <v>4.0</v>
      </c>
      <c r="K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>
        <v>-4.0</v>
      </c>
      <c r="AH124" s="1"/>
      <c r="AI124" s="1"/>
      <c r="AJ124" s="1"/>
      <c r="AK124" s="1"/>
      <c r="AL124" s="1"/>
      <c r="AM124" s="1"/>
      <c r="AN124" s="1"/>
      <c r="AO124" s="1"/>
    </row>
    <row r="125">
      <c r="A125" s="1" t="s">
        <v>48</v>
      </c>
      <c r="K125" s="1"/>
      <c r="S125" s="1"/>
      <c r="T125" s="1"/>
      <c r="U125" s="1"/>
      <c r="V125" s="1"/>
      <c r="W125" s="1"/>
      <c r="X125" s="1"/>
      <c r="Y125" s="1"/>
      <c r="Z125" s="1"/>
      <c r="AA125" s="1"/>
      <c r="AB125" s="1">
        <v>4.0</v>
      </c>
      <c r="AC125" s="1"/>
      <c r="AD125" s="1"/>
      <c r="AE125" s="1"/>
      <c r="AF125" s="1">
        <v>4.0</v>
      </c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1" t="s">
        <v>49</v>
      </c>
      <c r="G126" s="1">
        <v>4.0</v>
      </c>
      <c r="K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4.0</v>
      </c>
      <c r="AI126" s="1"/>
      <c r="AJ126" s="1"/>
      <c r="AK126" s="1"/>
      <c r="AL126" s="1"/>
      <c r="AM126" s="1"/>
      <c r="AN126" s="1"/>
      <c r="AO126" s="1"/>
    </row>
    <row r="127">
      <c r="A127" s="1" t="s">
        <v>50</v>
      </c>
      <c r="D127" s="1">
        <v>4.0</v>
      </c>
      <c r="K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>
        <v>-4.0</v>
      </c>
      <c r="AE127" s="1"/>
      <c r="AF127" s="1"/>
      <c r="AG127" s="1"/>
      <c r="AH127" s="1"/>
      <c r="AI127" s="1">
        <v>4.0</v>
      </c>
      <c r="AJ127" s="1"/>
      <c r="AK127" s="1">
        <v>-4.0</v>
      </c>
      <c r="AL127" s="1"/>
      <c r="AM127" s="1"/>
      <c r="AN127" s="1"/>
      <c r="AO127" s="1"/>
    </row>
    <row r="128">
      <c r="A128" s="1" t="s">
        <v>51</v>
      </c>
      <c r="H128" s="1">
        <v>-4.0</v>
      </c>
      <c r="K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>
        <v>4.0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1" t="s">
        <v>52</v>
      </c>
      <c r="C129" s="1">
        <v>4.0</v>
      </c>
      <c r="I129" s="1">
        <v>-4.0</v>
      </c>
      <c r="K129" s="1"/>
      <c r="Q129" s="1">
        <v>-4.0</v>
      </c>
      <c r="S129" s="1"/>
      <c r="T129" s="1"/>
      <c r="U129" s="1"/>
      <c r="V129" s="1"/>
      <c r="W129" s="1"/>
      <c r="X129" s="1"/>
      <c r="Y129" s="1">
        <v>4.0</v>
      </c>
      <c r="Z129" s="1"/>
      <c r="AA129" s="1"/>
      <c r="AB129" s="1">
        <v>-4.0</v>
      </c>
      <c r="AC129" s="1"/>
      <c r="AD129" s="1"/>
      <c r="AE129" s="1"/>
      <c r="AF129" s="1">
        <v>-4.0</v>
      </c>
      <c r="AG129" s="1"/>
      <c r="AH129" s="1"/>
      <c r="AI129" s="1"/>
      <c r="AJ129" s="1"/>
      <c r="AK129" s="1"/>
      <c r="AL129" s="1">
        <v>4.0</v>
      </c>
      <c r="AM129" s="1"/>
      <c r="AN129" s="1"/>
      <c r="AO129" s="1"/>
    </row>
    <row r="130">
      <c r="A130" s="1" t="s">
        <v>47</v>
      </c>
      <c r="H130" s="1">
        <v>4.0</v>
      </c>
      <c r="K130" s="1"/>
      <c r="Q130" s="1">
        <v>4.0</v>
      </c>
      <c r="S130" s="1"/>
      <c r="T130" s="1"/>
      <c r="U130" s="1"/>
      <c r="V130" s="1"/>
      <c r="W130" s="1"/>
      <c r="X130" s="1"/>
      <c r="Y130" s="1"/>
      <c r="Z130" s="1"/>
      <c r="AA130" s="1">
        <v>4.0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>
        <v>4.0</v>
      </c>
      <c r="AL130" s="1"/>
      <c r="AM130" s="1"/>
      <c r="AN130" s="1"/>
      <c r="AO130" s="1"/>
    </row>
    <row r="131">
      <c r="A131" s="1" t="s">
        <v>48</v>
      </c>
      <c r="K131" s="1"/>
      <c r="S131" s="1"/>
      <c r="T131" s="1"/>
      <c r="U131" s="1"/>
      <c r="V131" s="1"/>
      <c r="W131" s="1"/>
      <c r="X131" s="1">
        <v>4.0</v>
      </c>
      <c r="Y131" s="1"/>
      <c r="Z131" s="1"/>
      <c r="AA131" s="1"/>
      <c r="AB131" s="1"/>
      <c r="AC131" s="1"/>
      <c r="AD131" s="1"/>
      <c r="AE131" s="1"/>
      <c r="AF131" s="1">
        <v>-4.0</v>
      </c>
      <c r="AG131" s="1"/>
      <c r="AH131" s="1"/>
      <c r="AI131" s="1"/>
      <c r="AJ131" s="1"/>
      <c r="AK131" s="1"/>
      <c r="AL131" s="1"/>
      <c r="AM131" s="1">
        <v>4.0</v>
      </c>
      <c r="AN131" s="1"/>
      <c r="AO131" s="1"/>
    </row>
    <row r="132">
      <c r="A132" s="1" t="s">
        <v>49</v>
      </c>
      <c r="G132" s="1">
        <v>4.0</v>
      </c>
      <c r="K132" s="1"/>
      <c r="Q132" s="1">
        <v>4.0</v>
      </c>
      <c r="S132" s="1"/>
      <c r="T132" s="1"/>
      <c r="U132" s="1"/>
      <c r="V132" s="1"/>
      <c r="W132" s="1"/>
      <c r="X132" s="1"/>
      <c r="Y132" s="1"/>
      <c r="Z132" s="1"/>
      <c r="AA132" s="1"/>
      <c r="AB132" s="1">
        <v>-4.0</v>
      </c>
      <c r="AC132" s="1"/>
      <c r="AD132" s="1"/>
      <c r="AE132" s="1"/>
      <c r="AF132" s="1"/>
      <c r="AG132" s="1"/>
      <c r="AH132" s="1"/>
      <c r="AI132" s="1"/>
      <c r="AJ132" s="1"/>
      <c r="AK132" s="1"/>
      <c r="AL132" s="1">
        <v>4.0</v>
      </c>
      <c r="AM132" s="1"/>
      <c r="AN132" s="1"/>
      <c r="AO132" s="1"/>
    </row>
    <row r="133">
      <c r="A133" s="1" t="s">
        <v>50</v>
      </c>
      <c r="J133" s="1">
        <v>4.0</v>
      </c>
      <c r="K133" s="1"/>
      <c r="L133" s="1">
        <v>-4.0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>
        <v>4.0</v>
      </c>
      <c r="AD133" s="1"/>
      <c r="AE133" s="1"/>
      <c r="AF133" s="1"/>
      <c r="AG133" s="1"/>
      <c r="AH133" s="1">
        <v>4.0</v>
      </c>
      <c r="AI133" s="1"/>
      <c r="AJ133" s="1"/>
      <c r="AK133" s="1"/>
      <c r="AL133" s="1"/>
      <c r="AM133" s="1"/>
      <c r="AN133" s="1"/>
      <c r="AO133" s="1"/>
    </row>
    <row r="134">
      <c r="A134" s="1" t="s">
        <v>51</v>
      </c>
      <c r="H134" s="1">
        <v>4.0</v>
      </c>
      <c r="K134" s="1"/>
      <c r="S134" s="1"/>
      <c r="T134" s="1"/>
      <c r="U134" s="1"/>
      <c r="V134" s="1">
        <v>-4.0</v>
      </c>
      <c r="W134" s="1"/>
      <c r="X134" s="1"/>
      <c r="Y134" s="1"/>
      <c r="Z134" s="1"/>
      <c r="AA134" s="1">
        <v>4.0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>
        <v>4.0</v>
      </c>
      <c r="AN134" s="1"/>
      <c r="AO134" s="1"/>
    </row>
    <row r="135">
      <c r="A135" s="1" t="s">
        <v>52</v>
      </c>
      <c r="C135" s="1">
        <v>-4.0</v>
      </c>
      <c r="I135" s="1">
        <v>-4.0</v>
      </c>
      <c r="K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>
        <v>4.0</v>
      </c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1"/>
      <c r="B136" s="1" t="b">
        <v>1</v>
      </c>
      <c r="C136" s="1" t="b">
        <v>1</v>
      </c>
      <c r="D136" s="1" t="b">
        <v>1</v>
      </c>
      <c r="E136" s="1" t="b">
        <v>1</v>
      </c>
      <c r="F136" s="1" t="b">
        <v>1</v>
      </c>
      <c r="G136" s="1" t="b">
        <v>1</v>
      </c>
      <c r="H136" s="1" t="b">
        <v>1</v>
      </c>
      <c r="I136" s="1" t="b">
        <v>1</v>
      </c>
      <c r="J136" s="1" t="b">
        <v>1</v>
      </c>
      <c r="K136" s="1" t="b">
        <v>0</v>
      </c>
      <c r="L136" s="1" t="b">
        <v>1</v>
      </c>
      <c r="M136" s="1" t="b">
        <v>1</v>
      </c>
      <c r="N136" s="1" t="b">
        <v>1</v>
      </c>
      <c r="O136" s="1" t="b">
        <v>1</v>
      </c>
      <c r="P136" s="1" t="b">
        <v>1</v>
      </c>
      <c r="Q136" s="1" t="b">
        <v>1</v>
      </c>
      <c r="R136" s="1" t="b">
        <v>1</v>
      </c>
      <c r="S136" s="1" t="b">
        <v>0</v>
      </c>
      <c r="T136" s="1" t="b">
        <v>0</v>
      </c>
      <c r="U136" s="1" t="b">
        <v>0</v>
      </c>
      <c r="V136" s="1" t="b">
        <v>1</v>
      </c>
      <c r="W136" s="1" t="b">
        <v>0</v>
      </c>
      <c r="X136" s="1" t="b">
        <v>1</v>
      </c>
      <c r="Y136" s="1" t="b">
        <v>1</v>
      </c>
      <c r="Z136" s="1" t="b">
        <v>1</v>
      </c>
      <c r="AA136" s="1" t="b">
        <v>1</v>
      </c>
      <c r="AB136" s="1" t="b">
        <v>1</v>
      </c>
      <c r="AC136" s="1" t="b">
        <v>1</v>
      </c>
      <c r="AD136" s="1" t="b">
        <v>1</v>
      </c>
      <c r="AE136" s="1" t="b">
        <v>0</v>
      </c>
      <c r="AF136" s="1" t="b">
        <v>1</v>
      </c>
      <c r="AG136" s="1" t="b">
        <v>1</v>
      </c>
      <c r="AH136" s="1" t="b">
        <v>1</v>
      </c>
      <c r="AI136" s="1" t="b">
        <v>1</v>
      </c>
      <c r="AJ136" s="1" t="b">
        <v>0</v>
      </c>
      <c r="AK136" s="1" t="b">
        <v>1</v>
      </c>
      <c r="AL136" s="1" t="b">
        <v>1</v>
      </c>
      <c r="AM136" s="1" t="b">
        <v>1</v>
      </c>
      <c r="AN136" s="1" t="b">
        <v>1</v>
      </c>
      <c r="AO136" s="1" t="b">
        <v>0</v>
      </c>
      <c r="AP136" s="1" t="b">
        <v>0</v>
      </c>
      <c r="AQ136" s="1" t="b">
        <v>0</v>
      </c>
      <c r="AR136" s="1" t="b">
        <v>0</v>
      </c>
      <c r="AS136" s="1" t="b">
        <v>0</v>
      </c>
      <c r="AT136" s="1" t="b">
        <v>0</v>
      </c>
    </row>
    <row r="137">
      <c r="A137" s="1" t="s">
        <v>47</v>
      </c>
      <c r="J137" s="1">
        <v>4.0</v>
      </c>
      <c r="K137" s="1"/>
      <c r="Q137" s="1">
        <v>-4.0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>
        <v>4.0</v>
      </c>
      <c r="AD137" s="1"/>
      <c r="AE137" s="1"/>
      <c r="AF137" s="1"/>
      <c r="AG137" s="1"/>
      <c r="AH137" s="1"/>
      <c r="AI137" s="1"/>
      <c r="AJ137" s="1"/>
      <c r="AK137" s="1"/>
      <c r="AL137" s="1">
        <v>4.0</v>
      </c>
      <c r="AM137" s="1"/>
      <c r="AN137" s="1"/>
      <c r="AO137" s="1"/>
      <c r="AP137" s="1"/>
      <c r="AQ137" s="1"/>
      <c r="AR137" s="1"/>
      <c r="AS137" s="1"/>
      <c r="AT137" s="1"/>
    </row>
    <row r="138">
      <c r="A138" s="1" t="s">
        <v>48</v>
      </c>
      <c r="K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>
        <v>4.0</v>
      </c>
      <c r="AD138" s="1"/>
      <c r="AE138" s="1"/>
      <c r="AF138" s="1"/>
      <c r="AG138" s="1"/>
      <c r="AH138" s="1"/>
      <c r="AI138" s="1"/>
      <c r="AJ138" s="1"/>
      <c r="AK138" s="1"/>
      <c r="AL138" s="1">
        <v>4.0</v>
      </c>
      <c r="AM138" s="1"/>
      <c r="AN138" s="1"/>
      <c r="AO138" s="1"/>
      <c r="AP138" s="1"/>
      <c r="AQ138" s="1"/>
      <c r="AR138" s="1"/>
      <c r="AS138" s="1"/>
      <c r="AT138" s="1"/>
    </row>
    <row r="139">
      <c r="A139" s="1" t="s">
        <v>49</v>
      </c>
      <c r="G139" s="1">
        <v>4.0</v>
      </c>
      <c r="K139" s="1"/>
      <c r="P139" s="1">
        <v>4.0</v>
      </c>
      <c r="S139" s="1"/>
      <c r="T139" s="1"/>
      <c r="U139" s="1"/>
      <c r="V139" s="1"/>
      <c r="W139" s="1"/>
      <c r="X139" s="1"/>
      <c r="Y139" s="1"/>
      <c r="Z139" s="1">
        <v>4.0</v>
      </c>
      <c r="AA139" s="1"/>
      <c r="AB139" s="1"/>
      <c r="AC139" s="1"/>
      <c r="AD139" s="1"/>
      <c r="AE139" s="1"/>
      <c r="AF139" s="1"/>
      <c r="AG139" s="1"/>
      <c r="AH139" s="1">
        <v>4.0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 t="s">
        <v>50</v>
      </c>
      <c r="J140" s="1">
        <v>4.0</v>
      </c>
      <c r="K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>
        <v>-4.0</v>
      </c>
      <c r="AD140" s="1"/>
      <c r="AE140" s="1"/>
      <c r="AF140" s="1"/>
      <c r="AG140" s="1"/>
      <c r="AH140" s="1"/>
      <c r="AI140" s="1"/>
      <c r="AJ140" s="1"/>
      <c r="AK140" s="1"/>
      <c r="AL140" s="1">
        <v>4.0</v>
      </c>
      <c r="AM140" s="1"/>
      <c r="AN140" s="1"/>
      <c r="AO140" s="1"/>
      <c r="AP140" s="1"/>
      <c r="AQ140" s="1"/>
      <c r="AR140" s="1"/>
      <c r="AS140" s="1"/>
      <c r="AT140" s="1"/>
    </row>
    <row r="141">
      <c r="A141" s="1" t="s">
        <v>51</v>
      </c>
      <c r="H141" s="1">
        <v>4.0</v>
      </c>
      <c r="K141" s="1"/>
      <c r="S141" s="1"/>
      <c r="T141" s="1"/>
      <c r="U141" s="1"/>
      <c r="V141" s="1"/>
      <c r="W141" s="1"/>
      <c r="X141" s="1"/>
      <c r="Y141" s="1"/>
      <c r="Z141" s="1"/>
      <c r="AA141" s="1">
        <v>4.0</v>
      </c>
      <c r="AB141" s="1"/>
      <c r="AC141" s="1"/>
      <c r="AD141" s="1"/>
      <c r="AE141" s="1"/>
      <c r="AF141" s="1"/>
      <c r="AG141" s="1">
        <v>4.0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 t="s">
        <v>52</v>
      </c>
      <c r="I142" s="1">
        <v>4.0</v>
      </c>
      <c r="K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>
        <v>4.0</v>
      </c>
      <c r="AD142" s="1"/>
      <c r="AE142" s="1"/>
      <c r="AF142" s="1">
        <v>4.0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 t="s">
        <v>47</v>
      </c>
      <c r="J143" s="1">
        <v>4.0</v>
      </c>
      <c r="K143" s="1"/>
      <c r="Q143" s="1">
        <v>4.0</v>
      </c>
      <c r="S143" s="1"/>
      <c r="T143" s="1"/>
      <c r="U143" s="1"/>
      <c r="V143" s="1">
        <v>4.0</v>
      </c>
      <c r="W143" s="1"/>
      <c r="X143" s="1"/>
      <c r="Y143" s="1"/>
      <c r="Z143" s="1"/>
      <c r="AA143" s="1"/>
      <c r="AB143" s="1"/>
      <c r="AC143" s="1"/>
      <c r="AD143" s="1">
        <v>-4.0</v>
      </c>
      <c r="AE143" s="1"/>
      <c r="AF143" s="1"/>
      <c r="AG143" s="1"/>
      <c r="AH143" s="1"/>
      <c r="AI143" s="1"/>
      <c r="AJ143" s="1"/>
      <c r="AK143" s="1"/>
      <c r="AL143" s="1">
        <v>4.0</v>
      </c>
      <c r="AM143" s="1"/>
      <c r="AN143" s="1"/>
      <c r="AO143" s="1"/>
      <c r="AP143" s="1"/>
      <c r="AQ143" s="1"/>
      <c r="AR143" s="1"/>
      <c r="AS143" s="1"/>
      <c r="AT143" s="1"/>
    </row>
    <row r="144">
      <c r="A144" s="1" t="s">
        <v>48</v>
      </c>
      <c r="H144" s="1">
        <v>4.0</v>
      </c>
      <c r="K144" s="1"/>
      <c r="O144" s="1">
        <v>4.0</v>
      </c>
      <c r="S144" s="1"/>
      <c r="T144" s="1"/>
      <c r="U144" s="1"/>
      <c r="V144" s="1"/>
      <c r="W144" s="1"/>
      <c r="X144" s="1"/>
      <c r="Y144" s="1"/>
      <c r="Z144" s="1"/>
      <c r="AA144" s="1"/>
      <c r="AB144" s="1">
        <v>4.0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>
        <v>4.0</v>
      </c>
      <c r="AM144" s="1"/>
      <c r="AN144" s="1"/>
      <c r="AO144" s="1"/>
      <c r="AP144" s="1"/>
      <c r="AQ144" s="1"/>
      <c r="AR144" s="1"/>
      <c r="AS144" s="1"/>
      <c r="AT144" s="1"/>
    </row>
    <row r="145">
      <c r="A145" s="1" t="s">
        <v>49</v>
      </c>
      <c r="G145" s="1">
        <v>4.0</v>
      </c>
      <c r="K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>
        <v>4.0</v>
      </c>
      <c r="AO145" s="1"/>
      <c r="AP145" s="1"/>
      <c r="AQ145" s="1"/>
      <c r="AR145" s="1"/>
      <c r="AS145" s="1"/>
      <c r="AT145" s="1"/>
    </row>
    <row r="146">
      <c r="A146" s="1" t="s">
        <v>50</v>
      </c>
      <c r="J146" s="1">
        <v>4.0</v>
      </c>
      <c r="K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>
        <v>4.0</v>
      </c>
      <c r="AD146" s="1"/>
      <c r="AE146" s="1"/>
      <c r="AF146" s="1"/>
      <c r="AG146" s="1"/>
      <c r="AH146" s="1">
        <v>4.0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 t="s">
        <v>51</v>
      </c>
      <c r="K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>
        <v>4.0</v>
      </c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 t="s">
        <v>52</v>
      </c>
      <c r="I148" s="1">
        <v>4.0</v>
      </c>
      <c r="K148" s="1"/>
      <c r="S148" s="1"/>
      <c r="T148" s="1"/>
      <c r="U148" s="1"/>
      <c r="V148" s="1"/>
      <c r="W148" s="1"/>
      <c r="X148" s="1"/>
      <c r="Y148" s="1"/>
      <c r="Z148" s="1"/>
      <c r="AA148" s="1"/>
      <c r="AB148" s="1">
        <v>4.0</v>
      </c>
      <c r="AC148" s="1"/>
      <c r="AD148" s="1"/>
      <c r="AE148" s="1"/>
      <c r="AF148" s="1">
        <v>-4.0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51">
      <c r="A151" s="1"/>
      <c r="B151" s="1" t="s">
        <v>3</v>
      </c>
      <c r="G151" s="1" t="s">
        <v>1</v>
      </c>
      <c r="L151" s="1" t="s">
        <v>4</v>
      </c>
      <c r="Q151" s="1" t="s">
        <v>6</v>
      </c>
      <c r="V151" s="1" t="s">
        <v>8</v>
      </c>
      <c r="AA151" s="1" t="s">
        <v>2</v>
      </c>
      <c r="AF151" s="1" t="s">
        <v>7</v>
      </c>
      <c r="AK151" s="1" t="s">
        <v>0</v>
      </c>
      <c r="AP151" s="1" t="s">
        <v>5</v>
      </c>
    </row>
    <row r="152">
      <c r="A152" s="1"/>
      <c r="B152" s="1" t="s">
        <v>22</v>
      </c>
      <c r="C152" s="1" t="s">
        <v>23</v>
      </c>
      <c r="D152" s="1" t="s">
        <v>24</v>
      </c>
      <c r="E152" s="1" t="s">
        <v>25</v>
      </c>
      <c r="G152" s="1" t="s">
        <v>14</v>
      </c>
      <c r="H152" s="1" t="s">
        <v>15</v>
      </c>
      <c r="L152" s="1" t="s">
        <v>26</v>
      </c>
      <c r="M152" s="1" t="s">
        <v>27</v>
      </c>
      <c r="N152" s="1" t="s">
        <v>28</v>
      </c>
      <c r="O152" s="1" t="s">
        <v>29</v>
      </c>
      <c r="Q152" s="1" t="s">
        <v>55</v>
      </c>
      <c r="R152" s="1" t="s">
        <v>38</v>
      </c>
      <c r="S152" s="1" t="s">
        <v>37</v>
      </c>
      <c r="T152" s="1" t="s">
        <v>35</v>
      </c>
      <c r="U152" s="1" t="s">
        <v>34</v>
      </c>
      <c r="V152" s="1" t="s">
        <v>43</v>
      </c>
      <c r="W152" s="1" t="s">
        <v>44</v>
      </c>
      <c r="X152" s="1" t="s">
        <v>45</v>
      </c>
      <c r="Y152" s="1" t="s">
        <v>46</v>
      </c>
      <c r="Z152" s="1"/>
      <c r="AA152" s="1" t="s">
        <v>17</v>
      </c>
      <c r="AB152" s="1" t="s">
        <v>18</v>
      </c>
      <c r="AC152" s="1" t="s">
        <v>20</v>
      </c>
      <c r="AD152" s="1" t="s">
        <v>21</v>
      </c>
      <c r="AE152" s="1"/>
      <c r="AF152" s="1" t="s">
        <v>42</v>
      </c>
      <c r="AG152" s="1" t="s">
        <v>40</v>
      </c>
      <c r="AH152" s="1" t="s">
        <v>41</v>
      </c>
      <c r="AI152" s="1" t="s">
        <v>39</v>
      </c>
      <c r="AJ152" s="1" t="s">
        <v>53</v>
      </c>
      <c r="AK152" s="1" t="s">
        <v>9</v>
      </c>
      <c r="AL152" s="1" t="s">
        <v>10</v>
      </c>
      <c r="AM152" s="1" t="s">
        <v>11</v>
      </c>
      <c r="AN152" s="1" t="s">
        <v>12</v>
      </c>
      <c r="AO152" s="1" t="s">
        <v>13</v>
      </c>
      <c r="AP152" s="1" t="s">
        <v>30</v>
      </c>
      <c r="AQ152" s="1" t="s">
        <v>31</v>
      </c>
      <c r="AR152" s="1" t="s">
        <v>32</v>
      </c>
      <c r="AS152" s="1" t="s">
        <v>33</v>
      </c>
      <c r="AT152" s="1"/>
    </row>
    <row r="153">
      <c r="A153" s="1"/>
      <c r="B153" s="1" t="b">
        <v>1</v>
      </c>
      <c r="C153" s="1" t="b">
        <v>1</v>
      </c>
      <c r="D153" s="1" t="b">
        <v>1</v>
      </c>
      <c r="E153" s="1" t="b">
        <v>0</v>
      </c>
      <c r="F153" s="1" t="b">
        <v>0</v>
      </c>
      <c r="G153" s="1" t="b">
        <v>1</v>
      </c>
      <c r="H153" s="1" t="b">
        <v>1</v>
      </c>
      <c r="I153" s="1" t="b">
        <v>0</v>
      </c>
      <c r="J153" s="1" t="b">
        <v>0</v>
      </c>
      <c r="K153" s="1" t="b">
        <v>0</v>
      </c>
      <c r="L153" s="1" t="b">
        <v>1</v>
      </c>
      <c r="M153" s="1" t="b">
        <v>1</v>
      </c>
      <c r="N153" s="1" t="b">
        <v>1</v>
      </c>
      <c r="O153" s="1" t="b">
        <v>1</v>
      </c>
      <c r="P153" s="1" t="b">
        <v>0</v>
      </c>
      <c r="Q153" s="1" t="b">
        <v>1</v>
      </c>
      <c r="R153" s="1" t="b">
        <v>0</v>
      </c>
      <c r="S153" s="1" t="b">
        <v>1</v>
      </c>
      <c r="T153" s="1" t="b">
        <v>1</v>
      </c>
      <c r="U153" s="1" t="b">
        <v>1</v>
      </c>
      <c r="V153" s="1" t="b">
        <v>1</v>
      </c>
      <c r="W153" s="1" t="b">
        <v>1</v>
      </c>
      <c r="X153" s="1" t="b">
        <v>1</v>
      </c>
      <c r="Y153" s="1" t="b">
        <v>1</v>
      </c>
      <c r="Z153" s="1" t="b">
        <v>0</v>
      </c>
      <c r="AA153" s="1" t="b">
        <v>1</v>
      </c>
      <c r="AB153" s="1" t="b">
        <v>1</v>
      </c>
      <c r="AC153" s="1" t="b">
        <v>1</v>
      </c>
      <c r="AD153" s="1" t="b">
        <v>1</v>
      </c>
      <c r="AE153" s="1" t="b">
        <v>0</v>
      </c>
      <c r="AF153" s="1" t="b">
        <v>1</v>
      </c>
      <c r="AG153" s="1" t="b">
        <v>1</v>
      </c>
      <c r="AH153" s="1" t="b">
        <v>1</v>
      </c>
      <c r="AI153" s="1" t="b">
        <v>1</v>
      </c>
      <c r="AJ153" s="1" t="b">
        <v>1</v>
      </c>
      <c r="AK153" s="1" t="b">
        <v>1</v>
      </c>
      <c r="AL153" s="1" t="b">
        <v>1</v>
      </c>
      <c r="AM153" s="1" t="b">
        <v>1</v>
      </c>
      <c r="AN153" s="1" t="b">
        <v>1</v>
      </c>
      <c r="AO153" s="1" t="b">
        <v>1</v>
      </c>
      <c r="AP153" s="1" t="b">
        <v>0</v>
      </c>
      <c r="AQ153" s="1" t="b">
        <v>0</v>
      </c>
      <c r="AR153" s="1" t="b">
        <v>0</v>
      </c>
      <c r="AS153" s="1" t="b">
        <v>0</v>
      </c>
      <c r="AT153" s="1" t="b">
        <v>0</v>
      </c>
    </row>
    <row r="154">
      <c r="A154" s="1" t="s">
        <v>47</v>
      </c>
      <c r="E154" s="1"/>
      <c r="F154" s="1"/>
      <c r="I154" s="1"/>
      <c r="J154" s="1"/>
      <c r="K154" s="1"/>
      <c r="M154" s="1">
        <v>-4.0</v>
      </c>
      <c r="P154" s="1"/>
      <c r="R154" s="1"/>
      <c r="V154" s="1">
        <v>4.0</v>
      </c>
      <c r="W154" s="1"/>
      <c r="X154" s="1"/>
      <c r="Y154" s="1"/>
      <c r="Z154" s="1"/>
      <c r="AA154" s="1"/>
      <c r="AB154" s="1">
        <v>-4.0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1" t="s">
        <v>48</v>
      </c>
      <c r="E155" s="1"/>
      <c r="F155" s="1"/>
      <c r="I155" s="1"/>
      <c r="J155" s="1"/>
      <c r="K155" s="1"/>
      <c r="L155" s="1">
        <v>4.0</v>
      </c>
      <c r="P155" s="1"/>
      <c r="R155" s="1"/>
      <c r="V155" s="1"/>
      <c r="W155" s="1">
        <v>4.0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1" t="s">
        <v>49</v>
      </c>
      <c r="E156" s="1"/>
      <c r="F156" s="1"/>
      <c r="I156" s="1"/>
      <c r="J156" s="1"/>
      <c r="K156" s="1"/>
      <c r="N156" s="1">
        <v>4.0</v>
      </c>
      <c r="P156" s="1"/>
      <c r="R156" s="1"/>
      <c r="V156" s="1"/>
      <c r="W156" s="1"/>
      <c r="X156" s="1"/>
      <c r="Y156" s="1"/>
      <c r="Z156" s="1"/>
      <c r="AA156" s="1">
        <v>4.0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1" t="s">
        <v>50</v>
      </c>
      <c r="C157" s="1">
        <v>4.0</v>
      </c>
      <c r="E157" s="1"/>
      <c r="F157" s="1"/>
      <c r="I157" s="1"/>
      <c r="J157" s="1"/>
      <c r="K157" s="1"/>
      <c r="P157" s="1"/>
      <c r="R157" s="1"/>
      <c r="V157" s="1"/>
      <c r="W157" s="1"/>
      <c r="X157" s="1"/>
      <c r="Y157" s="1"/>
      <c r="Z157" s="1"/>
      <c r="AA157" s="1"/>
      <c r="AB157" s="1"/>
      <c r="AC157" s="1"/>
      <c r="AD157" s="1">
        <v>4.0</v>
      </c>
      <c r="AE157" s="1"/>
      <c r="AF157" s="1"/>
      <c r="AG157" s="1"/>
      <c r="AH157" s="1"/>
      <c r="AI157" s="1"/>
      <c r="AJ157" s="1"/>
      <c r="AK157" s="1"/>
      <c r="AL157" s="1">
        <v>4.0</v>
      </c>
      <c r="AM157" s="1"/>
      <c r="AN157" s="1"/>
      <c r="AO157" s="1"/>
    </row>
    <row r="158">
      <c r="A158" s="1" t="s">
        <v>51</v>
      </c>
      <c r="E158" s="1"/>
      <c r="F158" s="1"/>
      <c r="I158" s="1"/>
      <c r="J158" s="1"/>
      <c r="K158" s="1"/>
      <c r="P158" s="1"/>
      <c r="R158" s="1"/>
      <c r="V158" s="1"/>
      <c r="W158" s="1"/>
      <c r="X158" s="1"/>
      <c r="Y158" s="1"/>
      <c r="Z158" s="1"/>
      <c r="AA158" s="1"/>
      <c r="AB158" s="1">
        <v>4.0</v>
      </c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1" t="s">
        <v>52</v>
      </c>
      <c r="E159" s="1"/>
      <c r="F159" s="1"/>
      <c r="I159" s="1"/>
      <c r="J159" s="1"/>
      <c r="K159" s="1"/>
      <c r="P159" s="1"/>
      <c r="R159" s="1"/>
      <c r="V159" s="1"/>
      <c r="W159" s="1"/>
      <c r="X159" s="1">
        <v>-4.0</v>
      </c>
      <c r="Y159" s="1"/>
      <c r="Z159" s="1"/>
      <c r="AA159" s="1"/>
      <c r="AB159" s="1"/>
      <c r="AC159" s="1"/>
      <c r="AD159" s="1">
        <v>4.0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1" t="s">
        <v>47</v>
      </c>
      <c r="E160" s="1"/>
      <c r="F160" s="1"/>
      <c r="G160" s="1">
        <v>4.0</v>
      </c>
      <c r="I160" s="1"/>
      <c r="J160" s="1"/>
      <c r="K160" s="1"/>
      <c r="P160" s="1"/>
      <c r="Q160" s="1">
        <v>4.0</v>
      </c>
      <c r="R160" s="1"/>
      <c r="V160" s="1"/>
      <c r="W160" s="1"/>
      <c r="X160" s="1"/>
      <c r="Y160" s="1"/>
      <c r="Z160" s="1"/>
      <c r="AA160" s="1"/>
      <c r="AB160" s="1">
        <v>4.0</v>
      </c>
      <c r="AC160" s="1"/>
      <c r="AD160" s="1"/>
      <c r="AE160" s="1"/>
      <c r="AF160" s="1">
        <v>4.0</v>
      </c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1" t="s">
        <v>48</v>
      </c>
      <c r="E161" s="1"/>
      <c r="F161" s="1"/>
      <c r="G161" s="1">
        <v>4.0</v>
      </c>
      <c r="I161" s="1"/>
      <c r="J161" s="1"/>
      <c r="K161" s="1"/>
      <c r="L161" s="1">
        <v>4.0</v>
      </c>
      <c r="P161" s="1"/>
      <c r="R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1" t="s">
        <v>49</v>
      </c>
      <c r="B162" s="1">
        <v>4.0</v>
      </c>
      <c r="E162" s="1"/>
      <c r="F162" s="1"/>
      <c r="I162" s="1"/>
      <c r="J162" s="1"/>
      <c r="K162" s="1"/>
      <c r="M162" s="1">
        <v>4.0</v>
      </c>
      <c r="P162" s="1"/>
      <c r="R162" s="1"/>
      <c r="V162" s="1"/>
      <c r="W162" s="1"/>
      <c r="X162" s="1"/>
      <c r="Y162" s="1"/>
      <c r="Z162" s="1"/>
      <c r="AA162" s="1">
        <v>4.0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1" t="s">
        <v>50</v>
      </c>
      <c r="E163" s="1"/>
      <c r="F163" s="1"/>
      <c r="I163" s="1"/>
      <c r="J163" s="1"/>
      <c r="K163" s="1"/>
      <c r="P163" s="1"/>
      <c r="R163" s="1"/>
      <c r="V163" s="1"/>
      <c r="W163" s="1"/>
      <c r="X163" s="1"/>
      <c r="Y163" s="1"/>
      <c r="Z163" s="1"/>
      <c r="AA163" s="1"/>
      <c r="AB163" s="1">
        <v>4.0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1" t="s">
        <v>51</v>
      </c>
      <c r="E164" s="1"/>
      <c r="F164" s="1"/>
      <c r="I164" s="1"/>
      <c r="J164" s="1"/>
      <c r="K164" s="1"/>
      <c r="O164" s="1">
        <v>-4.0</v>
      </c>
      <c r="P164" s="1"/>
      <c r="R164" s="1"/>
      <c r="V164" s="1">
        <v>4.0</v>
      </c>
      <c r="W164" s="1"/>
      <c r="X164" s="1"/>
      <c r="Y164" s="1"/>
      <c r="Z164" s="1"/>
      <c r="AA164" s="1"/>
      <c r="AB164" s="1">
        <v>-4.0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1" t="s">
        <v>52</v>
      </c>
      <c r="C165" s="1">
        <v>4.0</v>
      </c>
      <c r="E165" s="1"/>
      <c r="F165" s="1"/>
      <c r="G165" s="1">
        <v>-4.0</v>
      </c>
      <c r="I165" s="1"/>
      <c r="J165" s="1"/>
      <c r="K165" s="1"/>
      <c r="L165" s="1">
        <v>4.0</v>
      </c>
      <c r="P165" s="1"/>
      <c r="R165" s="1"/>
      <c r="V165" s="1"/>
      <c r="W165" s="1"/>
      <c r="X165" s="1"/>
      <c r="Y165" s="1"/>
      <c r="Z165" s="1"/>
      <c r="AA165" s="1"/>
      <c r="AB165" s="1"/>
      <c r="AC165" s="1">
        <v>4.0</v>
      </c>
      <c r="AD165" s="1"/>
      <c r="AE165" s="1"/>
      <c r="AF165" s="1"/>
      <c r="AG165" s="1"/>
      <c r="AH165" s="1"/>
      <c r="AI165" s="1"/>
      <c r="AJ165" s="1"/>
      <c r="AK165" s="1"/>
      <c r="AL165" s="1">
        <v>4.0</v>
      </c>
      <c r="AM165" s="1"/>
      <c r="AN165" s="1"/>
      <c r="AO165" s="1"/>
    </row>
    <row r="166">
      <c r="A166" s="1"/>
      <c r="B166" s="1" t="b">
        <v>1</v>
      </c>
      <c r="C166" s="1" t="b">
        <v>1</v>
      </c>
      <c r="D166" s="1" t="b">
        <v>1</v>
      </c>
      <c r="E166" s="1" t="b">
        <v>0</v>
      </c>
      <c r="F166" s="1" t="b">
        <v>0</v>
      </c>
      <c r="G166" s="1" t="b">
        <v>1</v>
      </c>
      <c r="H166" s="1" t="b">
        <v>1</v>
      </c>
      <c r="I166" s="1" t="b">
        <v>0</v>
      </c>
      <c r="J166" s="1" t="b">
        <v>0</v>
      </c>
      <c r="K166" s="1" t="b">
        <v>0</v>
      </c>
      <c r="L166" s="1" t="b">
        <v>1</v>
      </c>
      <c r="M166" s="1" t="b">
        <v>1</v>
      </c>
      <c r="N166" s="1" t="b">
        <v>1</v>
      </c>
      <c r="O166" s="1" t="b">
        <v>1</v>
      </c>
      <c r="P166" s="1" t="b">
        <v>0</v>
      </c>
      <c r="Q166" s="1" t="b">
        <v>1</v>
      </c>
      <c r="R166" s="1" t="b">
        <v>0</v>
      </c>
      <c r="S166" s="1" t="b">
        <v>1</v>
      </c>
      <c r="T166" s="1" t="b">
        <v>1</v>
      </c>
      <c r="U166" s="1" t="b">
        <v>1</v>
      </c>
      <c r="V166" s="1" t="b">
        <v>1</v>
      </c>
      <c r="W166" s="1" t="b">
        <v>1</v>
      </c>
      <c r="X166" s="1" t="b">
        <v>1</v>
      </c>
      <c r="Y166" s="1" t="b">
        <v>1</v>
      </c>
      <c r="Z166" s="1" t="b">
        <v>0</v>
      </c>
      <c r="AA166" s="1" t="b">
        <v>1</v>
      </c>
      <c r="AB166" s="1" t="b">
        <v>1</v>
      </c>
      <c r="AC166" s="1" t="b">
        <v>1</v>
      </c>
      <c r="AD166" s="1" t="b">
        <v>1</v>
      </c>
      <c r="AE166" s="1" t="b">
        <v>0</v>
      </c>
      <c r="AF166" s="1" t="b">
        <v>1</v>
      </c>
      <c r="AG166" s="1" t="b">
        <v>1</v>
      </c>
      <c r="AH166" s="1" t="b">
        <v>1</v>
      </c>
      <c r="AI166" s="1" t="b">
        <v>1</v>
      </c>
      <c r="AJ166" s="1" t="b">
        <v>1</v>
      </c>
      <c r="AK166" s="1" t="b">
        <v>1</v>
      </c>
      <c r="AL166" s="1" t="b">
        <v>1</v>
      </c>
      <c r="AM166" s="1" t="b">
        <v>1</v>
      </c>
      <c r="AN166" s="1" t="b">
        <v>1</v>
      </c>
      <c r="AO166" s="1" t="b">
        <v>1</v>
      </c>
      <c r="AP166" s="1" t="b">
        <v>0</v>
      </c>
      <c r="AQ166" s="1" t="b">
        <v>0</v>
      </c>
      <c r="AR166" s="1" t="b">
        <v>0</v>
      </c>
      <c r="AS166" s="1" t="b">
        <v>0</v>
      </c>
      <c r="AT166" s="1" t="b">
        <v>0</v>
      </c>
    </row>
    <row r="167">
      <c r="A167" s="1" t="s">
        <v>47</v>
      </c>
      <c r="E167" s="1"/>
      <c r="F167" s="1"/>
      <c r="I167" s="1"/>
      <c r="J167" s="1"/>
      <c r="K167" s="1"/>
      <c r="P167" s="1"/>
      <c r="R167" s="1"/>
      <c r="V167" s="1"/>
      <c r="W167" s="1"/>
      <c r="X167" s="1"/>
      <c r="Y167" s="1"/>
      <c r="Z167" s="1"/>
      <c r="AA167" s="1"/>
      <c r="AB167" s="1"/>
      <c r="AC167" s="1"/>
      <c r="AD167" s="1">
        <v>4.0</v>
      </c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 t="s">
        <v>48</v>
      </c>
      <c r="E168" s="1"/>
      <c r="F168" s="1"/>
      <c r="I168" s="1"/>
      <c r="J168" s="1"/>
      <c r="K168" s="1"/>
      <c r="P168" s="1"/>
      <c r="R168" s="1"/>
      <c r="V168" s="1"/>
      <c r="W168" s="1">
        <v>-4.0</v>
      </c>
      <c r="X168" s="1"/>
      <c r="Y168" s="1"/>
      <c r="Z168" s="1"/>
      <c r="AA168" s="1">
        <v>4.0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 t="s">
        <v>49</v>
      </c>
      <c r="E169" s="1"/>
      <c r="F169" s="1"/>
      <c r="I169" s="1"/>
      <c r="J169" s="1"/>
      <c r="K169" s="1"/>
      <c r="M169" s="1">
        <v>4.0</v>
      </c>
      <c r="P169" s="1"/>
      <c r="R169" s="1"/>
      <c r="V169" s="1">
        <v>4.0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>
        <v>4.0</v>
      </c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 t="s">
        <v>50</v>
      </c>
      <c r="E170" s="1"/>
      <c r="F170" s="1"/>
      <c r="H170" s="1">
        <v>4.0</v>
      </c>
      <c r="I170" s="1"/>
      <c r="J170" s="1"/>
      <c r="K170" s="1"/>
      <c r="P170" s="1"/>
      <c r="R170" s="1"/>
      <c r="V170" s="1"/>
      <c r="W170" s="1">
        <v>4.0</v>
      </c>
      <c r="X170" s="1"/>
      <c r="Y170" s="1"/>
      <c r="Z170" s="1"/>
      <c r="AA170" s="1"/>
      <c r="AB170" s="1">
        <v>-4.0</v>
      </c>
      <c r="AC170" s="1"/>
      <c r="AD170" s="1"/>
      <c r="AE170" s="1"/>
      <c r="AF170" s="1"/>
      <c r="AG170" s="1">
        <v>4.0</v>
      </c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 t="s">
        <v>51</v>
      </c>
      <c r="D171" s="1">
        <v>4.0</v>
      </c>
      <c r="E171" s="1"/>
      <c r="F171" s="1"/>
      <c r="I171" s="1"/>
      <c r="J171" s="1"/>
      <c r="K171" s="1"/>
      <c r="P171" s="1"/>
      <c r="R171" s="1"/>
      <c r="V171" s="1"/>
      <c r="W171" s="1"/>
      <c r="X171" s="1"/>
      <c r="Y171" s="1"/>
      <c r="Z171" s="1"/>
      <c r="AA171" s="1"/>
      <c r="AB171" s="1">
        <v>4.0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 t="s">
        <v>52</v>
      </c>
      <c r="E172" s="1"/>
      <c r="F172" s="1"/>
      <c r="G172" s="1">
        <v>4.0</v>
      </c>
      <c r="I172" s="1"/>
      <c r="J172" s="1"/>
      <c r="K172" s="1"/>
      <c r="M172" s="1">
        <v>4.0</v>
      </c>
      <c r="P172" s="1"/>
      <c r="R172" s="1"/>
      <c r="V172" s="1"/>
      <c r="W172" s="1"/>
      <c r="X172" s="1"/>
      <c r="Y172" s="1"/>
      <c r="Z172" s="1"/>
      <c r="AA172" s="1"/>
      <c r="AB172" s="1"/>
      <c r="AC172" s="1"/>
      <c r="AD172" s="1">
        <v>4.0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 t="s">
        <v>47</v>
      </c>
      <c r="E173" s="1"/>
      <c r="F173" s="1"/>
      <c r="I173" s="1"/>
      <c r="J173" s="1"/>
      <c r="K173" s="1"/>
      <c r="P173" s="1"/>
      <c r="Q173" s="1">
        <v>4.0</v>
      </c>
      <c r="R173" s="1"/>
      <c r="V173" s="1">
        <v>-4.0</v>
      </c>
      <c r="W173" s="1"/>
      <c r="X173" s="1"/>
      <c r="Y173" s="1"/>
      <c r="Z173" s="1"/>
      <c r="AA173" s="1"/>
      <c r="AB173" s="1">
        <v>4.0</v>
      </c>
      <c r="AC173" s="1"/>
      <c r="AD173" s="1"/>
      <c r="AE173" s="1"/>
      <c r="AF173" s="1">
        <v>-4.0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 t="s">
        <v>48</v>
      </c>
      <c r="C174" s="1">
        <v>4.0</v>
      </c>
      <c r="E174" s="1"/>
      <c r="F174" s="1"/>
      <c r="I174" s="1"/>
      <c r="J174" s="1"/>
      <c r="K174" s="1"/>
      <c r="L174" s="1">
        <v>4.0</v>
      </c>
      <c r="P174" s="1"/>
      <c r="R174" s="1"/>
      <c r="V174" s="1"/>
      <c r="W174" s="1"/>
      <c r="X174" s="1"/>
      <c r="Y174" s="1"/>
      <c r="Z174" s="1"/>
      <c r="AA174" s="1">
        <v>4.0</v>
      </c>
      <c r="AB174" s="1"/>
      <c r="AC174" s="1"/>
      <c r="AD174" s="1"/>
      <c r="AE174" s="1"/>
      <c r="AF174" s="1"/>
      <c r="AG174" s="1"/>
      <c r="AH174" s="1"/>
      <c r="AI174" s="1">
        <v>4.0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 t="s">
        <v>49</v>
      </c>
      <c r="D175" s="1">
        <v>4.0</v>
      </c>
      <c r="E175" s="1"/>
      <c r="F175" s="1"/>
      <c r="I175" s="1"/>
      <c r="J175" s="1"/>
      <c r="K175" s="1"/>
      <c r="P175" s="1"/>
      <c r="Q175" s="1">
        <v>4.0</v>
      </c>
      <c r="R175" s="1"/>
      <c r="V175" s="1"/>
      <c r="W175" s="1"/>
      <c r="X175" s="1"/>
      <c r="Y175" s="1"/>
      <c r="Z175" s="1"/>
      <c r="AA175" s="1">
        <v>4.0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>
        <v>4.0</v>
      </c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 t="s">
        <v>50</v>
      </c>
      <c r="E176" s="1"/>
      <c r="F176" s="1"/>
      <c r="G176" s="1">
        <v>4.0</v>
      </c>
      <c r="I176" s="1"/>
      <c r="J176" s="1"/>
      <c r="K176" s="1"/>
      <c r="M176" s="1">
        <v>4.0</v>
      </c>
      <c r="P176" s="1"/>
      <c r="R176" s="1"/>
      <c r="V176" s="1"/>
      <c r="W176" s="1"/>
      <c r="X176" s="1"/>
      <c r="Y176" s="1"/>
      <c r="Z176" s="1"/>
      <c r="AA176" s="1"/>
      <c r="AB176" s="1">
        <v>4.0</v>
      </c>
      <c r="AC176" s="1"/>
      <c r="AD176" s="1"/>
      <c r="AE176" s="1"/>
      <c r="AF176" s="1"/>
      <c r="AG176" s="1"/>
      <c r="AH176" s="1"/>
      <c r="AI176" s="1"/>
      <c r="AJ176" s="1">
        <v>4.0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 t="s">
        <v>51</v>
      </c>
      <c r="E177" s="1"/>
      <c r="F177" s="1"/>
      <c r="G177" s="1">
        <v>4.0</v>
      </c>
      <c r="I177" s="1"/>
      <c r="J177" s="1"/>
      <c r="K177" s="1"/>
      <c r="P177" s="1"/>
      <c r="Q177" s="1">
        <v>4.0</v>
      </c>
      <c r="R177" s="1"/>
      <c r="V177" s="1">
        <v>-4.0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>
        <v>4.0</v>
      </c>
      <c r="AM177" s="1"/>
      <c r="AN177" s="1"/>
      <c r="AO177" s="1"/>
      <c r="AP177" s="1"/>
      <c r="AQ177" s="1"/>
      <c r="AR177" s="1"/>
      <c r="AS177" s="1"/>
      <c r="AT177" s="1"/>
    </row>
    <row r="178">
      <c r="A178" s="1" t="s">
        <v>52</v>
      </c>
      <c r="E178" s="1"/>
      <c r="F178" s="1"/>
      <c r="G178" s="1">
        <v>4.0</v>
      </c>
      <c r="I178" s="1"/>
      <c r="J178" s="1"/>
      <c r="K178" s="1"/>
      <c r="P178" s="1"/>
      <c r="R178" s="1"/>
      <c r="S178" s="1">
        <v>4.0</v>
      </c>
      <c r="V178" s="1"/>
      <c r="W178" s="1"/>
      <c r="X178" s="1">
        <v>4.0</v>
      </c>
      <c r="Y178" s="1"/>
      <c r="Z178" s="1"/>
      <c r="AA178" s="1"/>
      <c r="AB178" s="1"/>
      <c r="AC178" s="1"/>
      <c r="AD178" s="1">
        <v>-4.0</v>
      </c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81">
      <c r="A181" s="1"/>
      <c r="B181" s="1" t="s">
        <v>8</v>
      </c>
      <c r="G181" s="1" t="s">
        <v>0</v>
      </c>
      <c r="L181" s="1" t="s">
        <v>5</v>
      </c>
      <c r="Q181" s="1" t="s">
        <v>1</v>
      </c>
      <c r="V181" s="1" t="s">
        <v>7</v>
      </c>
      <c r="AA181" s="1" t="s">
        <v>3</v>
      </c>
      <c r="AF181" s="1" t="s">
        <v>6</v>
      </c>
      <c r="AK181" s="1" t="s">
        <v>2</v>
      </c>
      <c r="AP181" s="1" t="s">
        <v>4</v>
      </c>
    </row>
    <row r="182">
      <c r="A182" s="1"/>
      <c r="B182" s="1" t="s">
        <v>43</v>
      </c>
      <c r="C182" s="1" t="s">
        <v>44</v>
      </c>
      <c r="D182" s="1" t="s">
        <v>45</v>
      </c>
      <c r="E182" s="1" t="s">
        <v>46</v>
      </c>
      <c r="G182" s="1" t="s">
        <v>9</v>
      </c>
      <c r="H182" s="1" t="s">
        <v>10</v>
      </c>
      <c r="I182" s="1" t="s">
        <v>11</v>
      </c>
      <c r="J182" s="1" t="s">
        <v>12</v>
      </c>
      <c r="K182" s="1" t="s">
        <v>13</v>
      </c>
      <c r="L182" s="1" t="s">
        <v>30</v>
      </c>
      <c r="M182" s="1" t="s">
        <v>31</v>
      </c>
      <c r="N182" s="1" t="s">
        <v>32</v>
      </c>
      <c r="O182" s="1" t="s">
        <v>33</v>
      </c>
      <c r="Q182" s="1" t="s">
        <v>14</v>
      </c>
      <c r="R182" s="1" t="s">
        <v>15</v>
      </c>
      <c r="V182" s="1" t="s">
        <v>42</v>
      </c>
      <c r="W182" s="1" t="s">
        <v>40</v>
      </c>
      <c r="X182" s="1" t="s">
        <v>41</v>
      </c>
      <c r="Y182" s="1" t="s">
        <v>39</v>
      </c>
      <c r="Z182" s="1" t="s">
        <v>53</v>
      </c>
      <c r="AA182" s="1" t="s">
        <v>22</v>
      </c>
      <c r="AB182" s="1" t="s">
        <v>23</v>
      </c>
      <c r="AC182" s="1" t="s">
        <v>24</v>
      </c>
      <c r="AD182" s="1" t="s">
        <v>25</v>
      </c>
      <c r="AE182" s="1"/>
      <c r="AF182" s="1" t="s">
        <v>55</v>
      </c>
      <c r="AG182" s="1" t="s">
        <v>38</v>
      </c>
      <c r="AH182" s="1" t="s">
        <v>37</v>
      </c>
      <c r="AI182" s="1" t="s">
        <v>35</v>
      </c>
      <c r="AJ182" s="1" t="s">
        <v>34</v>
      </c>
      <c r="AK182" s="1" t="s">
        <v>17</v>
      </c>
      <c r="AL182" s="1" t="s">
        <v>18</v>
      </c>
      <c r="AM182" s="1" t="s">
        <v>20</v>
      </c>
      <c r="AN182" s="1" t="s">
        <v>21</v>
      </c>
      <c r="AO182" s="1"/>
      <c r="AP182" s="1" t="s">
        <v>26</v>
      </c>
      <c r="AQ182" s="1" t="s">
        <v>27</v>
      </c>
      <c r="AR182" s="1" t="s">
        <v>28</v>
      </c>
      <c r="AS182" s="1" t="s">
        <v>29</v>
      </c>
    </row>
    <row r="183">
      <c r="A183" s="1"/>
      <c r="B183" s="1" t="b">
        <v>1</v>
      </c>
      <c r="C183" s="1" t="b">
        <v>1</v>
      </c>
      <c r="D183" s="1" t="b">
        <v>1</v>
      </c>
      <c r="E183" s="1" t="b">
        <v>1</v>
      </c>
      <c r="F183" s="1" t="b">
        <v>0</v>
      </c>
      <c r="G183" s="1" t="b">
        <v>1</v>
      </c>
      <c r="H183" s="1" t="b">
        <v>1</v>
      </c>
      <c r="I183" s="1" t="b">
        <v>1</v>
      </c>
      <c r="J183" s="1" t="b">
        <v>1</v>
      </c>
      <c r="K183" s="1" t="b">
        <v>1</v>
      </c>
      <c r="L183" s="1" t="b">
        <v>1</v>
      </c>
      <c r="M183" s="1" t="b">
        <v>1</v>
      </c>
      <c r="N183" s="1" t="b">
        <v>1</v>
      </c>
      <c r="O183" s="1" t="b">
        <v>1</v>
      </c>
      <c r="P183" s="1" t="b">
        <v>0</v>
      </c>
      <c r="Q183" s="1" t="b">
        <v>1</v>
      </c>
      <c r="R183" s="1" t="b">
        <v>1</v>
      </c>
      <c r="S183" s="1" t="b">
        <v>0</v>
      </c>
      <c r="T183" s="1" t="b">
        <v>0</v>
      </c>
      <c r="U183" s="1" t="b">
        <v>0</v>
      </c>
      <c r="V183" s="1" t="b">
        <v>1</v>
      </c>
      <c r="W183" s="1" t="b">
        <v>1</v>
      </c>
      <c r="X183" s="1" t="b">
        <v>1</v>
      </c>
      <c r="Y183" s="1" t="b">
        <v>1</v>
      </c>
      <c r="Z183" s="1" t="b">
        <v>1</v>
      </c>
      <c r="AA183" s="1" t="b">
        <v>1</v>
      </c>
      <c r="AB183" s="1" t="b">
        <v>1</v>
      </c>
      <c r="AC183" s="1" t="b">
        <v>1</v>
      </c>
      <c r="AD183" s="1" t="b">
        <v>0</v>
      </c>
      <c r="AE183" s="1" t="b">
        <v>0</v>
      </c>
      <c r="AF183" s="1" t="b">
        <v>1</v>
      </c>
      <c r="AG183" s="1" t="b">
        <v>0</v>
      </c>
      <c r="AH183" s="1" t="b">
        <v>1</v>
      </c>
      <c r="AI183" s="1" t="b">
        <v>1</v>
      </c>
      <c r="AJ183" s="1" t="b">
        <v>1</v>
      </c>
      <c r="AK183" s="1" t="b">
        <v>1</v>
      </c>
      <c r="AL183" s="1" t="b">
        <v>1</v>
      </c>
      <c r="AM183" s="1" t="b">
        <v>1</v>
      </c>
      <c r="AN183" s="1" t="b">
        <v>1</v>
      </c>
      <c r="AO183" s="1" t="b">
        <v>0</v>
      </c>
      <c r="AP183" s="1" t="b">
        <v>0</v>
      </c>
      <c r="AQ183" s="1" t="b">
        <v>0</v>
      </c>
      <c r="AR183" s="1" t="b">
        <v>0</v>
      </c>
      <c r="AS183" s="1" t="b">
        <v>0</v>
      </c>
      <c r="AT183" s="1" t="b">
        <v>0</v>
      </c>
    </row>
    <row r="184">
      <c r="A184" s="1" t="s">
        <v>47</v>
      </c>
      <c r="F184" s="1"/>
      <c r="G184" s="1">
        <v>4.0</v>
      </c>
      <c r="M184" s="1">
        <v>4.0</v>
      </c>
      <c r="P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>
        <v>4.0</v>
      </c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1" t="s">
        <v>48</v>
      </c>
      <c r="F185" s="1"/>
      <c r="P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1" t="s">
        <v>49</v>
      </c>
      <c r="C186" s="1">
        <v>4.0</v>
      </c>
      <c r="F186" s="1"/>
      <c r="M186" s="1">
        <v>4.0</v>
      </c>
      <c r="P186" s="1"/>
      <c r="S186" s="1"/>
      <c r="T186" s="1"/>
      <c r="U186" s="1"/>
      <c r="V186" s="1"/>
      <c r="W186" s="1"/>
      <c r="X186" s="1"/>
      <c r="Y186" s="1"/>
      <c r="Z186" s="1">
        <v>4.0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1" t="s">
        <v>50</v>
      </c>
      <c r="F187" s="1"/>
      <c r="G187" s="1">
        <v>4.0</v>
      </c>
      <c r="N187" s="1">
        <v>4.0</v>
      </c>
      <c r="P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>
        <v>4.0</v>
      </c>
      <c r="AD187" s="1"/>
      <c r="AE187" s="1"/>
      <c r="AF187" s="1"/>
      <c r="AG187" s="1"/>
      <c r="AH187" s="1"/>
      <c r="AI187" s="1"/>
      <c r="AJ187" s="1">
        <v>4.0</v>
      </c>
      <c r="AK187" s="1"/>
      <c r="AL187" s="1"/>
      <c r="AM187" s="1"/>
      <c r="AN187" s="1"/>
      <c r="AO187" s="1"/>
    </row>
    <row r="188">
      <c r="A188" s="1" t="s">
        <v>51</v>
      </c>
      <c r="F188" s="1"/>
      <c r="O188" s="1">
        <v>4.0</v>
      </c>
      <c r="P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>
        <v>4.0</v>
      </c>
      <c r="AD188" s="1"/>
      <c r="AE188" s="1"/>
      <c r="AF188" s="1">
        <v>4.0</v>
      </c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1" t="s">
        <v>52</v>
      </c>
      <c r="F189" s="1"/>
      <c r="P189" s="1"/>
      <c r="Q189" s="1">
        <v>4.0</v>
      </c>
      <c r="S189" s="1"/>
      <c r="T189" s="1"/>
      <c r="U189" s="1"/>
      <c r="V189" s="1"/>
      <c r="W189" s="1"/>
      <c r="X189" s="1"/>
      <c r="Y189" s="1"/>
      <c r="Z189" s="1"/>
      <c r="AA189" s="1"/>
      <c r="AB189" s="1">
        <v>4.0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>
        <v>-4.0</v>
      </c>
      <c r="AM189" s="1"/>
      <c r="AN189" s="1"/>
      <c r="AO189" s="1"/>
    </row>
    <row r="190">
      <c r="A190" s="1" t="s">
        <v>47</v>
      </c>
      <c r="B190" s="1">
        <v>4.0</v>
      </c>
      <c r="F190" s="1"/>
      <c r="L190" s="1">
        <v>4.0</v>
      </c>
      <c r="P190" s="1"/>
      <c r="S190" s="1"/>
      <c r="T190" s="1"/>
      <c r="U190" s="1"/>
      <c r="V190" s="1"/>
      <c r="W190" s="1"/>
      <c r="X190" s="1"/>
      <c r="Y190" s="1"/>
      <c r="Z190" s="1"/>
      <c r="AA190" s="1"/>
      <c r="AB190" s="1">
        <v>4.0</v>
      </c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1" t="s">
        <v>48</v>
      </c>
      <c r="D191" s="1">
        <v>4.0</v>
      </c>
      <c r="F191" s="1"/>
      <c r="M191" s="1">
        <v>-4.0</v>
      </c>
      <c r="P191" s="1"/>
      <c r="Q191" s="1">
        <v>-4.0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>
        <v>4.0</v>
      </c>
      <c r="AD191" s="1"/>
      <c r="AE191" s="1"/>
      <c r="AF191" s="1">
        <v>-4.0</v>
      </c>
      <c r="AG191" s="1"/>
      <c r="AH191" s="1"/>
      <c r="AI191" s="1"/>
      <c r="AJ191" s="1"/>
      <c r="AK191" s="1"/>
      <c r="AL191" s="1">
        <v>4.0</v>
      </c>
      <c r="AM191" s="1"/>
      <c r="AN191" s="1"/>
      <c r="AO191" s="1"/>
    </row>
    <row r="192">
      <c r="A192" s="1" t="s">
        <v>49</v>
      </c>
      <c r="E192" s="1">
        <v>4.0</v>
      </c>
      <c r="F192" s="1"/>
      <c r="G192" s="1">
        <v>-4.0</v>
      </c>
      <c r="O192" s="1">
        <v>4.0</v>
      </c>
      <c r="P192" s="1"/>
      <c r="S192" s="1"/>
      <c r="T192" s="1"/>
      <c r="U192" s="1"/>
      <c r="V192" s="1"/>
      <c r="W192" s="1"/>
      <c r="X192" s="1"/>
      <c r="Y192" s="1"/>
      <c r="Z192" s="1"/>
      <c r="AA192" s="1">
        <v>4.0</v>
      </c>
      <c r="AB192" s="1"/>
      <c r="AC192" s="1"/>
      <c r="AD192" s="1"/>
      <c r="AE192" s="1"/>
      <c r="AF192" s="1"/>
      <c r="AG192" s="1"/>
      <c r="AH192" s="1"/>
      <c r="AI192" s="1"/>
      <c r="AJ192" s="1">
        <v>4.0</v>
      </c>
      <c r="AK192" s="1">
        <v>-4.0</v>
      </c>
      <c r="AL192" s="1"/>
      <c r="AM192" s="1"/>
      <c r="AN192" s="1"/>
      <c r="AO192" s="1"/>
    </row>
    <row r="193">
      <c r="A193" s="1" t="s">
        <v>50</v>
      </c>
      <c r="F193" s="1"/>
      <c r="P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>
        <v>4.0</v>
      </c>
      <c r="AO193" s="1"/>
    </row>
    <row r="194">
      <c r="A194" s="1" t="s">
        <v>51</v>
      </c>
      <c r="B194" s="1">
        <v>4.0</v>
      </c>
      <c r="F194" s="1"/>
      <c r="P194" s="1"/>
      <c r="S194" s="1"/>
      <c r="T194" s="1"/>
      <c r="U194" s="1"/>
      <c r="V194" s="1">
        <v>4.0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>
        <v>-4.0</v>
      </c>
      <c r="AM194" s="1"/>
      <c r="AN194" s="1"/>
      <c r="AO194" s="1"/>
    </row>
    <row r="195">
      <c r="A195" s="1" t="s">
        <v>52</v>
      </c>
      <c r="F195" s="1"/>
      <c r="H195" s="1">
        <v>4.0</v>
      </c>
      <c r="L195" s="1">
        <v>4.0</v>
      </c>
      <c r="P195" s="1"/>
      <c r="S195" s="1"/>
      <c r="T195" s="1"/>
      <c r="U195" s="1"/>
      <c r="V195" s="1"/>
      <c r="W195" s="1"/>
      <c r="X195" s="1"/>
      <c r="Y195" s="1"/>
      <c r="Z195" s="1"/>
      <c r="AA195" s="1"/>
      <c r="AB195" s="1">
        <v>4.0</v>
      </c>
      <c r="AC195" s="1"/>
      <c r="AD195" s="1"/>
      <c r="AE195" s="1"/>
      <c r="AF195" s="1"/>
      <c r="AG195" s="1"/>
      <c r="AH195" s="1"/>
      <c r="AI195" s="1"/>
      <c r="AJ195" s="1"/>
      <c r="AK195" s="1">
        <v>4.0</v>
      </c>
      <c r="AL195" s="1"/>
      <c r="AM195" s="1"/>
      <c r="AN195" s="1"/>
      <c r="AO195" s="1"/>
    </row>
    <row r="196">
      <c r="A196" s="1"/>
      <c r="B196" s="1" t="b">
        <v>1</v>
      </c>
      <c r="C196" s="1" t="b">
        <v>1</v>
      </c>
      <c r="D196" s="1" t="b">
        <v>1</v>
      </c>
      <c r="E196" s="1" t="b">
        <v>1</v>
      </c>
      <c r="F196" s="1" t="b">
        <v>0</v>
      </c>
      <c r="G196" s="1" t="b">
        <v>1</v>
      </c>
      <c r="H196" s="1" t="b">
        <v>1</v>
      </c>
      <c r="I196" s="1" t="b">
        <v>1</v>
      </c>
      <c r="J196" s="1" t="b">
        <v>1</v>
      </c>
      <c r="K196" s="1" t="b">
        <v>1</v>
      </c>
      <c r="L196" s="1" t="b">
        <v>1</v>
      </c>
      <c r="M196" s="1" t="b">
        <v>1</v>
      </c>
      <c r="N196" s="1" t="b">
        <v>1</v>
      </c>
      <c r="O196" s="1" t="b">
        <v>1</v>
      </c>
      <c r="P196" s="1" t="b">
        <v>0</v>
      </c>
      <c r="Q196" s="1" t="b">
        <v>1</v>
      </c>
      <c r="R196" s="1" t="b">
        <v>1</v>
      </c>
      <c r="S196" s="1" t="b">
        <v>0</v>
      </c>
      <c r="T196" s="1" t="b">
        <v>0</v>
      </c>
      <c r="U196" s="1" t="b">
        <v>0</v>
      </c>
      <c r="V196" s="1" t="b">
        <v>1</v>
      </c>
      <c r="W196" s="1" t="b">
        <v>1</v>
      </c>
      <c r="X196" s="1" t="b">
        <v>1</v>
      </c>
      <c r="Y196" s="1" t="b">
        <v>1</v>
      </c>
      <c r="Z196" s="1" t="b">
        <v>1</v>
      </c>
      <c r="AA196" s="1" t="b">
        <v>1</v>
      </c>
      <c r="AB196" s="1" t="b">
        <v>1</v>
      </c>
      <c r="AC196" s="1" t="b">
        <v>1</v>
      </c>
      <c r="AD196" s="1" t="b">
        <v>0</v>
      </c>
      <c r="AE196" s="1" t="b">
        <v>0</v>
      </c>
      <c r="AF196" s="1" t="b">
        <v>1</v>
      </c>
      <c r="AG196" s="1" t="b">
        <v>0</v>
      </c>
      <c r="AH196" s="1" t="b">
        <v>1</v>
      </c>
      <c r="AI196" s="1" t="b">
        <v>1</v>
      </c>
      <c r="AJ196" s="1" t="b">
        <v>1</v>
      </c>
      <c r="AK196" s="1" t="b">
        <v>1</v>
      </c>
      <c r="AL196" s="1" t="b">
        <v>1</v>
      </c>
      <c r="AM196" s="1" t="b">
        <v>1</v>
      </c>
      <c r="AN196" s="1" t="b">
        <v>1</v>
      </c>
      <c r="AO196" s="1" t="b">
        <v>0</v>
      </c>
      <c r="AP196" s="1" t="b">
        <v>0</v>
      </c>
      <c r="AQ196" s="1" t="b">
        <v>0</v>
      </c>
      <c r="AR196" s="1" t="b">
        <v>0</v>
      </c>
      <c r="AS196" s="1" t="b">
        <v>0</v>
      </c>
      <c r="AT196" s="1" t="b">
        <v>0</v>
      </c>
    </row>
    <row r="197">
      <c r="A197" s="1" t="s">
        <v>47</v>
      </c>
      <c r="B197" s="1">
        <v>4.0</v>
      </c>
      <c r="F197" s="1"/>
      <c r="P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 t="s">
        <v>48</v>
      </c>
      <c r="D198" s="1">
        <v>4.0</v>
      </c>
      <c r="F198" s="1"/>
      <c r="O198" s="1">
        <v>4.0</v>
      </c>
      <c r="P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>
        <v>4.0</v>
      </c>
      <c r="AD198" s="1"/>
      <c r="AE198" s="1"/>
      <c r="AF198" s="1"/>
      <c r="AG198" s="1"/>
      <c r="AH198" s="1"/>
      <c r="AI198" s="1"/>
      <c r="AJ198" s="1"/>
      <c r="AK198" s="1"/>
      <c r="AL198" s="1">
        <v>4.0</v>
      </c>
      <c r="AM198" s="1"/>
      <c r="AN198" s="1"/>
      <c r="AO198" s="1"/>
      <c r="AP198" s="1"/>
      <c r="AQ198" s="1"/>
      <c r="AR198" s="1"/>
      <c r="AS198" s="1"/>
      <c r="AT198" s="1"/>
    </row>
    <row r="199">
      <c r="A199" s="1" t="s">
        <v>49</v>
      </c>
      <c r="F199" s="1"/>
      <c r="G199" s="1">
        <v>4.0</v>
      </c>
      <c r="M199" s="1">
        <v>4.0</v>
      </c>
      <c r="P199" s="1"/>
      <c r="S199" s="1"/>
      <c r="T199" s="1"/>
      <c r="U199" s="1"/>
      <c r="V199" s="1"/>
      <c r="W199" s="1"/>
      <c r="X199" s="1"/>
      <c r="Y199" s="1"/>
      <c r="Z199" s="1"/>
      <c r="AA199" s="1">
        <v>4.0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>
        <v>4.0</v>
      </c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 t="s">
        <v>50</v>
      </c>
      <c r="B200" s="1">
        <v>4.0</v>
      </c>
      <c r="F200" s="1"/>
      <c r="P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>
        <v>4.0</v>
      </c>
      <c r="AO200" s="1"/>
      <c r="AP200" s="1"/>
      <c r="AQ200" s="1"/>
      <c r="AR200" s="1"/>
      <c r="AS200" s="1"/>
      <c r="AT200" s="1"/>
    </row>
    <row r="201">
      <c r="A201" s="1" t="s">
        <v>51</v>
      </c>
      <c r="E201" s="1">
        <v>4.0</v>
      </c>
      <c r="F201" s="1"/>
      <c r="L201" s="1">
        <v>4.0</v>
      </c>
      <c r="P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>
        <v>4.0</v>
      </c>
      <c r="AM201" s="1"/>
      <c r="AN201" s="1"/>
      <c r="AO201" s="1"/>
      <c r="AP201" s="1"/>
      <c r="AQ201" s="1"/>
      <c r="AR201" s="1"/>
      <c r="AS201" s="1"/>
      <c r="AT201" s="1"/>
    </row>
    <row r="202">
      <c r="A202" s="1" t="s">
        <v>52</v>
      </c>
      <c r="C202" s="1">
        <v>4.0</v>
      </c>
      <c r="F202" s="1"/>
      <c r="P202" s="1"/>
      <c r="S202" s="1"/>
      <c r="T202" s="1"/>
      <c r="U202" s="1"/>
      <c r="V202" s="1"/>
      <c r="W202" s="1"/>
      <c r="X202" s="1"/>
      <c r="Y202" s="1"/>
      <c r="Z202" s="1"/>
      <c r="AA202" s="1"/>
      <c r="AB202" s="1">
        <v>4.0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 t="s">
        <v>47</v>
      </c>
      <c r="B203" s="1">
        <v>4.0</v>
      </c>
      <c r="F203" s="1"/>
      <c r="L203" s="1">
        <v>4.0</v>
      </c>
      <c r="P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>
        <v>4.0</v>
      </c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 t="s">
        <v>48</v>
      </c>
      <c r="F204" s="1"/>
      <c r="P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>
        <v>4.0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 t="s">
        <v>49</v>
      </c>
      <c r="F205" s="1"/>
      <c r="G205" s="1">
        <v>4.0</v>
      </c>
      <c r="P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>
        <v>4.0</v>
      </c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 t="s">
        <v>50</v>
      </c>
      <c r="F206" s="1"/>
      <c r="I206" s="1">
        <v>4.0</v>
      </c>
      <c r="P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 t="s">
        <v>51</v>
      </c>
      <c r="B207" s="1">
        <v>4.0</v>
      </c>
      <c r="F207" s="1"/>
      <c r="P207" s="1"/>
      <c r="Q207" s="1">
        <v>4.0</v>
      </c>
      <c r="S207" s="1"/>
      <c r="T207" s="1"/>
      <c r="U207" s="1"/>
      <c r="V207" s="1"/>
      <c r="W207" s="1"/>
      <c r="X207" s="1"/>
      <c r="Y207" s="1"/>
      <c r="Z207" s="1">
        <v>4.0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>
        <v>4.0</v>
      </c>
      <c r="AM207" s="1"/>
      <c r="AN207" s="1"/>
      <c r="AO207" s="1"/>
      <c r="AP207" s="1"/>
      <c r="AQ207" s="1"/>
      <c r="AR207" s="1"/>
      <c r="AS207" s="1"/>
      <c r="AT207" s="1"/>
    </row>
    <row r="208">
      <c r="A208" s="1" t="s">
        <v>52</v>
      </c>
      <c r="F208" s="1"/>
      <c r="M208" s="1">
        <v>4.0</v>
      </c>
      <c r="P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11">
      <c r="A211" s="1"/>
      <c r="B211" s="1" t="s">
        <v>5</v>
      </c>
      <c r="G211" s="1" t="s">
        <v>3</v>
      </c>
      <c r="L211" s="1" t="s">
        <v>1</v>
      </c>
      <c r="Q211" s="1" t="s">
        <v>4</v>
      </c>
      <c r="V211" s="1" t="s">
        <v>6</v>
      </c>
      <c r="AA211" s="1" t="s">
        <v>0</v>
      </c>
      <c r="AF211" s="1" t="s">
        <v>7</v>
      </c>
      <c r="AK211" s="1" t="s">
        <v>8</v>
      </c>
      <c r="AP211" s="1" t="s">
        <v>2</v>
      </c>
    </row>
    <row r="212">
      <c r="A212" s="1"/>
      <c r="B212" s="1" t="s">
        <v>30</v>
      </c>
      <c r="C212" s="1" t="s">
        <v>31</v>
      </c>
      <c r="D212" s="1" t="s">
        <v>32</v>
      </c>
      <c r="E212" s="1" t="s">
        <v>33</v>
      </c>
      <c r="G212" s="1" t="s">
        <v>22</v>
      </c>
      <c r="H212" s="1" t="s">
        <v>23</v>
      </c>
      <c r="I212" s="1" t="s">
        <v>24</v>
      </c>
      <c r="J212" s="1" t="s">
        <v>25</v>
      </c>
      <c r="L212" s="1" t="s">
        <v>14</v>
      </c>
      <c r="M212" s="1" t="s">
        <v>15</v>
      </c>
      <c r="Q212" s="1" t="s">
        <v>26</v>
      </c>
      <c r="R212" s="1" t="s">
        <v>27</v>
      </c>
      <c r="S212" s="1" t="s">
        <v>28</v>
      </c>
      <c r="T212" s="1" t="s">
        <v>29</v>
      </c>
      <c r="V212" s="1" t="s">
        <v>55</v>
      </c>
      <c r="W212" s="1" t="s">
        <v>38</v>
      </c>
      <c r="X212" s="1" t="s">
        <v>37</v>
      </c>
      <c r="Y212" s="1" t="s">
        <v>35</v>
      </c>
      <c r="Z212" s="1" t="s">
        <v>34</v>
      </c>
      <c r="AA212" s="1" t="s">
        <v>9</v>
      </c>
      <c r="AB212" s="1" t="s">
        <v>10</v>
      </c>
      <c r="AC212" s="1" t="s">
        <v>11</v>
      </c>
      <c r="AD212" s="1" t="s">
        <v>12</v>
      </c>
      <c r="AE212" s="1" t="s">
        <v>13</v>
      </c>
      <c r="AF212" s="1" t="s">
        <v>42</v>
      </c>
      <c r="AG212" s="1" t="s">
        <v>40</v>
      </c>
      <c r="AH212" s="1" t="s">
        <v>41</v>
      </c>
      <c r="AI212" s="1" t="s">
        <v>39</v>
      </c>
      <c r="AJ212" s="1" t="s">
        <v>53</v>
      </c>
      <c r="AK212" s="1" t="s">
        <v>43</v>
      </c>
      <c r="AL212" s="1" t="s">
        <v>44</v>
      </c>
      <c r="AM212" s="1" t="s">
        <v>45</v>
      </c>
      <c r="AN212" s="1" t="s">
        <v>46</v>
      </c>
      <c r="AO212" s="1"/>
      <c r="AP212" s="1" t="s">
        <v>17</v>
      </c>
      <c r="AQ212" s="1" t="s">
        <v>18</v>
      </c>
      <c r="AR212" s="1" t="s">
        <v>20</v>
      </c>
      <c r="AS212" s="1" t="s">
        <v>21</v>
      </c>
      <c r="AT212" s="1"/>
    </row>
    <row r="213">
      <c r="A213" s="1"/>
      <c r="B213" s="1" t="b">
        <v>1</v>
      </c>
      <c r="C213" s="1" t="b">
        <v>1</v>
      </c>
      <c r="D213" s="1" t="b">
        <v>1</v>
      </c>
      <c r="E213" s="1" t="b">
        <v>1</v>
      </c>
      <c r="F213" s="1" t="b">
        <v>0</v>
      </c>
      <c r="G213" s="1" t="b">
        <v>1</v>
      </c>
      <c r="H213" s="1" t="b">
        <v>1</v>
      </c>
      <c r="I213" s="1" t="b">
        <v>1</v>
      </c>
      <c r="J213" s="1" t="b">
        <v>0</v>
      </c>
      <c r="K213" s="1" t="b">
        <v>0</v>
      </c>
      <c r="L213" s="1" t="b">
        <v>1</v>
      </c>
      <c r="M213" s="1" t="b">
        <v>1</v>
      </c>
      <c r="N213" s="1" t="b">
        <v>0</v>
      </c>
      <c r="O213" s="1" t="b">
        <v>0</v>
      </c>
      <c r="P213" s="1" t="b">
        <v>0</v>
      </c>
      <c r="Q213" s="1" t="b">
        <v>1</v>
      </c>
      <c r="R213" s="1" t="b">
        <v>1</v>
      </c>
      <c r="S213" s="1" t="b">
        <v>1</v>
      </c>
      <c r="T213" s="1" t="b">
        <v>1</v>
      </c>
      <c r="U213" s="1" t="b">
        <v>0</v>
      </c>
      <c r="V213" s="1" t="b">
        <v>1</v>
      </c>
      <c r="W213" s="1" t="b">
        <v>0</v>
      </c>
      <c r="X213" s="1" t="b">
        <v>1</v>
      </c>
      <c r="Y213" s="1" t="b">
        <v>1</v>
      </c>
      <c r="Z213" s="1" t="b">
        <v>1</v>
      </c>
      <c r="AA213" s="1" t="b">
        <v>1</v>
      </c>
      <c r="AB213" s="1" t="b">
        <v>1</v>
      </c>
      <c r="AC213" s="1" t="b">
        <v>1</v>
      </c>
      <c r="AD213" s="1" t="b">
        <v>1</v>
      </c>
      <c r="AE213" s="1" t="b">
        <v>1</v>
      </c>
      <c r="AF213" s="1" t="b">
        <v>1</v>
      </c>
      <c r="AG213" s="1" t="b">
        <v>1</v>
      </c>
      <c r="AH213" s="1" t="b">
        <v>1</v>
      </c>
      <c r="AI213" s="1" t="b">
        <v>1</v>
      </c>
      <c r="AJ213" s="1" t="b">
        <v>1</v>
      </c>
      <c r="AK213" s="1" t="b">
        <v>1</v>
      </c>
      <c r="AL213" s="1" t="b">
        <v>1</v>
      </c>
      <c r="AM213" s="1" t="b">
        <v>1</v>
      </c>
      <c r="AN213" s="1" t="b">
        <v>1</v>
      </c>
      <c r="AO213" s="1" t="b">
        <v>0</v>
      </c>
      <c r="AP213" s="1" t="b">
        <v>0</v>
      </c>
      <c r="AQ213" s="1" t="b">
        <v>0</v>
      </c>
      <c r="AR213" s="1" t="b">
        <v>0</v>
      </c>
      <c r="AS213" s="1" t="b">
        <v>0</v>
      </c>
      <c r="AT213" s="1" t="b">
        <v>0</v>
      </c>
    </row>
    <row r="214">
      <c r="A214" s="1" t="s">
        <v>47</v>
      </c>
      <c r="F214" s="1"/>
      <c r="J214" s="1"/>
      <c r="K214" s="1"/>
      <c r="M214" s="1">
        <v>4.0</v>
      </c>
      <c r="N214" s="1"/>
      <c r="O214" s="1"/>
      <c r="P214" s="1"/>
      <c r="U214" s="1"/>
      <c r="V214" s="1"/>
      <c r="W214" s="1"/>
      <c r="X214" s="1">
        <v>4.0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1" t="s">
        <v>48</v>
      </c>
      <c r="F215" s="1"/>
      <c r="J215" s="1"/>
      <c r="K215" s="1"/>
      <c r="N215" s="1"/>
      <c r="O215" s="1"/>
      <c r="P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1" t="s">
        <v>49</v>
      </c>
      <c r="F216" s="1"/>
      <c r="J216" s="1"/>
      <c r="K216" s="1"/>
      <c r="N216" s="1"/>
      <c r="O216" s="1"/>
      <c r="P216" s="1"/>
      <c r="R216" s="1">
        <v>4.0</v>
      </c>
      <c r="U216" s="1"/>
      <c r="V216" s="1"/>
      <c r="W216" s="1"/>
      <c r="X216" s="1"/>
      <c r="Y216" s="1"/>
      <c r="Z216" s="1"/>
      <c r="AA216" s="1"/>
      <c r="AB216" s="1"/>
      <c r="AC216" s="1"/>
      <c r="AD216" s="1">
        <v>4.0</v>
      </c>
      <c r="AE216" s="1"/>
      <c r="AF216" s="1"/>
      <c r="AG216" s="1"/>
      <c r="AH216" s="1"/>
      <c r="AI216" s="1"/>
      <c r="AJ216" s="1">
        <v>4.0</v>
      </c>
      <c r="AK216" s="1"/>
      <c r="AL216" s="1"/>
      <c r="AM216" s="1"/>
      <c r="AN216" s="1"/>
      <c r="AO216" s="1"/>
    </row>
    <row r="217">
      <c r="A217" s="1" t="s">
        <v>50</v>
      </c>
      <c r="F217" s="1"/>
      <c r="I217" s="1">
        <v>4.0</v>
      </c>
      <c r="J217" s="1"/>
      <c r="K217" s="1"/>
      <c r="N217" s="1"/>
      <c r="O217" s="1"/>
      <c r="P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1" t="s">
        <v>51</v>
      </c>
      <c r="F218" s="1"/>
      <c r="J218" s="1"/>
      <c r="K218" s="1"/>
      <c r="N218" s="1"/>
      <c r="O218" s="1"/>
      <c r="P218" s="1"/>
      <c r="U218" s="1"/>
      <c r="V218" s="1">
        <v>-4.0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1" t="s">
        <v>52</v>
      </c>
      <c r="C219" s="1">
        <v>4.0</v>
      </c>
      <c r="F219" s="1"/>
      <c r="J219" s="1"/>
      <c r="K219" s="1"/>
      <c r="N219" s="1"/>
      <c r="O219" s="1"/>
      <c r="P219" s="1"/>
      <c r="R219" s="1">
        <v>4.0</v>
      </c>
      <c r="U219" s="1"/>
      <c r="V219" s="1"/>
      <c r="W219" s="1"/>
      <c r="X219" s="1">
        <v>4.0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1" t="s">
        <v>47</v>
      </c>
      <c r="B220" s="1">
        <v>4.0</v>
      </c>
      <c r="F220" s="1"/>
      <c r="J220" s="1"/>
      <c r="K220" s="1"/>
      <c r="L220" s="1">
        <v>4.0</v>
      </c>
      <c r="N220" s="1"/>
      <c r="O220" s="1"/>
      <c r="P220" s="1"/>
      <c r="U220" s="1"/>
      <c r="V220" s="1">
        <v>4.0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>
        <v>4.0</v>
      </c>
      <c r="AL220" s="1"/>
      <c r="AM220" s="1"/>
      <c r="AN220" s="1"/>
      <c r="AO220" s="1"/>
    </row>
    <row r="221">
      <c r="A221" s="1" t="s">
        <v>48</v>
      </c>
      <c r="F221" s="1"/>
      <c r="J221" s="1"/>
      <c r="K221" s="1"/>
      <c r="N221" s="1"/>
      <c r="O221" s="1"/>
      <c r="P221" s="1"/>
      <c r="U221" s="1"/>
      <c r="V221" s="1">
        <v>4.0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>
        <v>4.0</v>
      </c>
      <c r="AL221" s="1"/>
      <c r="AM221" s="1"/>
      <c r="AN221" s="1"/>
      <c r="AO221" s="1"/>
    </row>
    <row r="222">
      <c r="A222" s="1" t="s">
        <v>49</v>
      </c>
      <c r="E222" s="1">
        <v>4.0</v>
      </c>
      <c r="F222" s="1"/>
      <c r="J222" s="1"/>
      <c r="K222" s="1"/>
      <c r="N222" s="1"/>
      <c r="O222" s="1"/>
      <c r="P222" s="1"/>
      <c r="S222" s="1">
        <v>4.0</v>
      </c>
      <c r="U222" s="1"/>
      <c r="V222" s="1">
        <v>4.0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>
        <v>4.0</v>
      </c>
      <c r="AL222" s="1"/>
      <c r="AM222" s="1"/>
      <c r="AN222" s="1"/>
      <c r="AO222" s="1"/>
    </row>
    <row r="223">
      <c r="A223" s="1" t="s">
        <v>50</v>
      </c>
      <c r="D223" s="1">
        <v>4.0</v>
      </c>
      <c r="F223" s="1"/>
      <c r="J223" s="1"/>
      <c r="K223" s="1"/>
      <c r="N223" s="1"/>
      <c r="O223" s="1"/>
      <c r="P223" s="1"/>
      <c r="T223" s="1">
        <v>4.0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>
        <v>4.0</v>
      </c>
      <c r="AM223" s="1"/>
      <c r="AN223" s="1"/>
      <c r="AO223" s="1"/>
    </row>
    <row r="224">
      <c r="A224" s="1" t="s">
        <v>51</v>
      </c>
      <c r="E224" s="1">
        <v>4.0</v>
      </c>
      <c r="F224" s="1"/>
      <c r="J224" s="1"/>
      <c r="K224" s="1"/>
      <c r="N224" s="1"/>
      <c r="O224" s="1"/>
      <c r="P224" s="1"/>
      <c r="U224" s="1"/>
      <c r="V224" s="1">
        <v>4.0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>
        <v>4.0</v>
      </c>
      <c r="AL224" s="1"/>
      <c r="AM224" s="1"/>
      <c r="AN224" s="1"/>
      <c r="AO224" s="1"/>
    </row>
    <row r="225">
      <c r="A225" s="1" t="s">
        <v>52</v>
      </c>
      <c r="F225" s="1"/>
      <c r="J225" s="1"/>
      <c r="K225" s="1"/>
      <c r="N225" s="1"/>
      <c r="O225" s="1"/>
      <c r="P225" s="1"/>
      <c r="U225" s="1"/>
      <c r="V225" s="1"/>
      <c r="W225" s="1"/>
      <c r="X225" s="1"/>
      <c r="Y225" s="1"/>
      <c r="Z225" s="1">
        <v>4.0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1"/>
      <c r="B226" s="1" t="b">
        <v>1</v>
      </c>
      <c r="C226" s="1" t="b">
        <v>1</v>
      </c>
      <c r="D226" s="1" t="b">
        <v>1</v>
      </c>
      <c r="E226" s="1" t="b">
        <v>1</v>
      </c>
      <c r="F226" s="1" t="b">
        <v>0</v>
      </c>
      <c r="G226" s="1" t="b">
        <v>1</v>
      </c>
      <c r="H226" s="1" t="b">
        <v>1</v>
      </c>
      <c r="I226" s="1" t="b">
        <v>1</v>
      </c>
      <c r="J226" s="1" t="b">
        <v>0</v>
      </c>
      <c r="K226" s="1" t="b">
        <v>0</v>
      </c>
      <c r="L226" s="1" t="b">
        <v>1</v>
      </c>
      <c r="M226" s="1" t="b">
        <v>1</v>
      </c>
      <c r="N226" s="1" t="b">
        <v>0</v>
      </c>
      <c r="O226" s="1" t="b">
        <v>0</v>
      </c>
      <c r="P226" s="1" t="b">
        <v>0</v>
      </c>
      <c r="Q226" s="1" t="b">
        <v>1</v>
      </c>
      <c r="R226" s="1" t="b">
        <v>1</v>
      </c>
      <c r="S226" s="1" t="b">
        <v>1</v>
      </c>
      <c r="T226" s="1" t="b">
        <v>1</v>
      </c>
      <c r="U226" s="1" t="b">
        <v>0</v>
      </c>
      <c r="V226" s="1" t="b">
        <v>1</v>
      </c>
      <c r="W226" s="1" t="b">
        <v>0</v>
      </c>
      <c r="X226" s="1" t="b">
        <v>1</v>
      </c>
      <c r="Y226" s="1" t="b">
        <v>1</v>
      </c>
      <c r="Z226" s="1" t="b">
        <v>1</v>
      </c>
      <c r="AA226" s="1" t="b">
        <v>1</v>
      </c>
      <c r="AB226" s="1" t="b">
        <v>1</v>
      </c>
      <c r="AC226" s="1" t="b">
        <v>1</v>
      </c>
      <c r="AD226" s="1" t="b">
        <v>1</v>
      </c>
      <c r="AE226" s="1" t="b">
        <v>1</v>
      </c>
      <c r="AF226" s="1" t="b">
        <v>1</v>
      </c>
      <c r="AG226" s="1" t="b">
        <v>1</v>
      </c>
      <c r="AH226" s="1" t="b">
        <v>1</v>
      </c>
      <c r="AI226" s="1" t="b">
        <v>1</v>
      </c>
      <c r="AJ226" s="1" t="b">
        <v>1</v>
      </c>
      <c r="AK226" s="1" t="b">
        <v>1</v>
      </c>
      <c r="AL226" s="1" t="b">
        <v>1</v>
      </c>
      <c r="AM226" s="1" t="b">
        <v>1</v>
      </c>
      <c r="AN226" s="1" t="b">
        <v>1</v>
      </c>
      <c r="AO226" s="1" t="b">
        <v>1</v>
      </c>
      <c r="AP226" s="1" t="b">
        <v>0</v>
      </c>
      <c r="AQ226" s="1" t="b">
        <v>0</v>
      </c>
      <c r="AR226" s="1" t="b">
        <v>0</v>
      </c>
      <c r="AS226" s="1" t="b">
        <v>0</v>
      </c>
      <c r="AT226" s="1" t="b">
        <v>0</v>
      </c>
    </row>
    <row r="227">
      <c r="A227" s="1" t="s">
        <v>47</v>
      </c>
      <c r="F227" s="1"/>
      <c r="I227" s="1">
        <v>4.0</v>
      </c>
      <c r="J227" s="1"/>
      <c r="K227" s="1"/>
      <c r="N227" s="1"/>
      <c r="O227" s="1"/>
      <c r="P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>
        <v>4.0</v>
      </c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 t="s">
        <v>48</v>
      </c>
      <c r="F228" s="1"/>
      <c r="I228" s="1">
        <v>4.0</v>
      </c>
      <c r="J228" s="1"/>
      <c r="K228" s="1"/>
      <c r="N228" s="1"/>
      <c r="O228" s="1"/>
      <c r="P228" s="1"/>
      <c r="Q228" s="1">
        <v>4.0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 t="s">
        <v>49</v>
      </c>
      <c r="F229" s="1"/>
      <c r="G229" s="1">
        <v>4.0</v>
      </c>
      <c r="J229" s="1"/>
      <c r="K229" s="1"/>
      <c r="L229" s="1">
        <v>4.0</v>
      </c>
      <c r="N229" s="1"/>
      <c r="O229" s="1"/>
      <c r="P229" s="1"/>
      <c r="S229" s="1">
        <v>-4.0</v>
      </c>
      <c r="U229" s="1"/>
      <c r="V229" s="1"/>
      <c r="W229" s="1"/>
      <c r="X229" s="1"/>
      <c r="Y229" s="1"/>
      <c r="Z229" s="1"/>
      <c r="AA229" s="1">
        <v>4.0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>
        <v>4.0</v>
      </c>
      <c r="AM229" s="1"/>
      <c r="AN229" s="1"/>
      <c r="AO229" s="1"/>
      <c r="AP229" s="1"/>
      <c r="AQ229" s="1"/>
      <c r="AR229" s="1"/>
      <c r="AS229" s="1"/>
      <c r="AT229" s="1"/>
    </row>
    <row r="230">
      <c r="A230" s="1" t="s">
        <v>50</v>
      </c>
      <c r="D230" s="1">
        <v>4.0</v>
      </c>
      <c r="F230" s="1"/>
      <c r="J230" s="1"/>
      <c r="K230" s="1"/>
      <c r="N230" s="1"/>
      <c r="O230" s="1"/>
      <c r="P230" s="1"/>
      <c r="U230" s="1"/>
      <c r="V230" s="1"/>
      <c r="W230" s="1"/>
      <c r="X230" s="1"/>
      <c r="Y230" s="1"/>
      <c r="Z230" s="1"/>
      <c r="AA230" s="1"/>
      <c r="AB230" s="1"/>
      <c r="AC230" s="1">
        <v>4.0</v>
      </c>
      <c r="AD230" s="1"/>
      <c r="AE230" s="1"/>
      <c r="AF230" s="1"/>
      <c r="AG230" s="1"/>
      <c r="AH230" s="1"/>
      <c r="AI230" s="1"/>
      <c r="AJ230" s="1">
        <v>4.0</v>
      </c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 t="s">
        <v>51</v>
      </c>
      <c r="F231" s="1"/>
      <c r="I231" s="1">
        <v>4.0</v>
      </c>
      <c r="J231" s="1"/>
      <c r="K231" s="1"/>
      <c r="N231" s="1"/>
      <c r="O231" s="1"/>
      <c r="P231" s="1"/>
      <c r="T231" s="1">
        <v>4.0</v>
      </c>
      <c r="U231" s="1"/>
      <c r="V231" s="1">
        <v>4.0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>
        <v>4.0</v>
      </c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 t="s">
        <v>52</v>
      </c>
      <c r="D232" s="1">
        <v>4.0</v>
      </c>
      <c r="F232" s="1"/>
      <c r="J232" s="1"/>
      <c r="K232" s="1"/>
      <c r="N232" s="1"/>
      <c r="O232" s="1"/>
      <c r="P232" s="1"/>
      <c r="S232" s="1">
        <v>4.0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>
        <v>4.0</v>
      </c>
      <c r="AM232" s="1"/>
      <c r="AN232" s="1"/>
      <c r="AO232" s="1"/>
      <c r="AP232" s="1"/>
      <c r="AQ232" s="1"/>
      <c r="AR232" s="1"/>
      <c r="AS232" s="1"/>
      <c r="AT232" s="1"/>
    </row>
    <row r="233">
      <c r="A233" s="1" t="s">
        <v>47</v>
      </c>
      <c r="F233" s="1"/>
      <c r="J233" s="1"/>
      <c r="K233" s="1"/>
      <c r="N233" s="1"/>
      <c r="O233" s="1"/>
      <c r="P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 t="s">
        <v>48</v>
      </c>
      <c r="C234" s="1">
        <v>4.0</v>
      </c>
      <c r="F234" s="1"/>
      <c r="J234" s="1"/>
      <c r="K234" s="1"/>
      <c r="N234" s="1"/>
      <c r="O234" s="1"/>
      <c r="P234" s="1"/>
      <c r="Q234" s="1">
        <v>4.0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>
        <v>4.0</v>
      </c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 t="s">
        <v>49</v>
      </c>
      <c r="E235" s="1">
        <v>4.0</v>
      </c>
      <c r="F235" s="1"/>
      <c r="J235" s="1"/>
      <c r="K235" s="1"/>
      <c r="L235" s="1">
        <v>4.0</v>
      </c>
      <c r="N235" s="1"/>
      <c r="O235" s="1"/>
      <c r="P235" s="1"/>
      <c r="U235" s="1"/>
      <c r="V235" s="1"/>
      <c r="W235" s="1"/>
      <c r="X235" s="1">
        <v>4.0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>
        <v>4.0</v>
      </c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 t="s">
        <v>50</v>
      </c>
      <c r="D236" s="1">
        <v>4.0</v>
      </c>
      <c r="F236" s="1"/>
      <c r="J236" s="1"/>
      <c r="K236" s="1"/>
      <c r="N236" s="1"/>
      <c r="O236" s="1"/>
      <c r="P236" s="1"/>
      <c r="T236" s="1">
        <v>4.0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>
        <v>4.0</v>
      </c>
      <c r="AM236" s="1"/>
      <c r="AN236" s="1"/>
      <c r="AO236" s="1"/>
      <c r="AP236" s="1"/>
      <c r="AQ236" s="1"/>
      <c r="AR236" s="1"/>
      <c r="AS236" s="1"/>
      <c r="AT236" s="1"/>
    </row>
    <row r="237">
      <c r="A237" s="1" t="s">
        <v>51</v>
      </c>
      <c r="F237" s="1"/>
      <c r="I237" s="1">
        <v>4.0</v>
      </c>
      <c r="J237" s="1"/>
      <c r="K237" s="1"/>
      <c r="N237" s="1"/>
      <c r="O237" s="1"/>
      <c r="P237" s="1"/>
      <c r="U237" s="1"/>
      <c r="V237" s="1">
        <v>-4.0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>
        <v>4.0</v>
      </c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 t="s">
        <v>52</v>
      </c>
      <c r="D238" s="1">
        <v>4.0</v>
      </c>
      <c r="F238" s="1"/>
      <c r="J238" s="1"/>
      <c r="K238" s="1"/>
      <c r="N238" s="1"/>
      <c r="O238" s="1"/>
      <c r="P238" s="1"/>
      <c r="T238" s="1">
        <v>4.0</v>
      </c>
      <c r="U238" s="1"/>
      <c r="V238" s="1"/>
      <c r="W238" s="1"/>
      <c r="X238" s="1"/>
      <c r="Y238" s="1">
        <v>4.0</v>
      </c>
      <c r="Z238" s="1"/>
      <c r="AA238" s="1"/>
      <c r="AB238" s="1"/>
      <c r="AC238" s="1"/>
      <c r="AD238" s="1"/>
      <c r="AE238" s="1"/>
      <c r="AF238" s="1"/>
      <c r="AG238" s="1">
        <v>4.0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41">
      <c r="A241" s="1"/>
      <c r="B241" s="1" t="s">
        <v>8</v>
      </c>
      <c r="G241" s="1" t="s">
        <v>6</v>
      </c>
      <c r="L241" s="1" t="s">
        <v>3</v>
      </c>
      <c r="Q241" s="1" t="s">
        <v>4</v>
      </c>
      <c r="V241" s="1" t="s">
        <v>7</v>
      </c>
      <c r="AA241" s="1" t="s">
        <v>5</v>
      </c>
      <c r="AF241" s="1" t="s">
        <v>2</v>
      </c>
      <c r="AK241" s="1" t="s">
        <v>1</v>
      </c>
      <c r="AP241" s="1" t="s">
        <v>0</v>
      </c>
    </row>
    <row r="242">
      <c r="A242" s="1"/>
      <c r="B242" s="1" t="s">
        <v>43</v>
      </c>
      <c r="C242" s="1" t="s">
        <v>44</v>
      </c>
      <c r="D242" s="1" t="s">
        <v>45</v>
      </c>
      <c r="E242" s="1" t="s">
        <v>46</v>
      </c>
      <c r="G242" s="1" t="s">
        <v>55</v>
      </c>
      <c r="H242" s="1" t="s">
        <v>38</v>
      </c>
      <c r="I242" s="1" t="s">
        <v>37</v>
      </c>
      <c r="J242" s="1" t="s">
        <v>35</v>
      </c>
      <c r="K242" s="1" t="s">
        <v>34</v>
      </c>
      <c r="L242" s="1" t="s">
        <v>22</v>
      </c>
      <c r="M242" s="1" t="s">
        <v>23</v>
      </c>
      <c r="N242" s="1" t="s">
        <v>24</v>
      </c>
      <c r="O242" s="1" t="s">
        <v>25</v>
      </c>
      <c r="Q242" s="1" t="s">
        <v>26</v>
      </c>
      <c r="R242" s="1" t="s">
        <v>27</v>
      </c>
      <c r="S242" s="1" t="s">
        <v>28</v>
      </c>
      <c r="T242" s="1" t="s">
        <v>29</v>
      </c>
      <c r="V242" s="1" t="s">
        <v>42</v>
      </c>
      <c r="W242" s="1" t="s">
        <v>40</v>
      </c>
      <c r="X242" s="1" t="s">
        <v>41</v>
      </c>
      <c r="Y242" s="1" t="s">
        <v>39</v>
      </c>
      <c r="Z242" s="1" t="s">
        <v>53</v>
      </c>
      <c r="AA242" s="1" t="s">
        <v>30</v>
      </c>
      <c r="AB242" s="1" t="s">
        <v>31</v>
      </c>
      <c r="AC242" s="1" t="s">
        <v>32</v>
      </c>
      <c r="AD242" s="1" t="s">
        <v>33</v>
      </c>
      <c r="AE242" s="1"/>
      <c r="AF242" s="1" t="s">
        <v>17</v>
      </c>
      <c r="AG242" s="1" t="s">
        <v>18</v>
      </c>
      <c r="AH242" s="1" t="s">
        <v>20</v>
      </c>
      <c r="AI242" s="1" t="s">
        <v>21</v>
      </c>
      <c r="AJ242" s="1"/>
      <c r="AK242" s="1" t="s">
        <v>14</v>
      </c>
      <c r="AL242" s="1" t="s">
        <v>15</v>
      </c>
      <c r="AM242" s="1"/>
      <c r="AN242" s="1"/>
      <c r="AO242" s="1"/>
      <c r="AP242" s="1" t="s">
        <v>9</v>
      </c>
      <c r="AQ242" s="1" t="s">
        <v>10</v>
      </c>
      <c r="AR242" s="1" t="s">
        <v>11</v>
      </c>
      <c r="AS242" s="1" t="s">
        <v>12</v>
      </c>
      <c r="AT242" s="1" t="s">
        <v>13</v>
      </c>
    </row>
    <row r="243">
      <c r="A243" s="1"/>
      <c r="B243" s="1" t="b">
        <v>1</v>
      </c>
      <c r="C243" s="1" t="b">
        <v>1</v>
      </c>
      <c r="D243" s="1" t="b">
        <v>1</v>
      </c>
      <c r="E243" s="1" t="b">
        <v>1</v>
      </c>
      <c r="F243" s="1" t="b">
        <v>0</v>
      </c>
      <c r="G243" s="1" t="b">
        <v>1</v>
      </c>
      <c r="H243" s="1" t="b">
        <v>0</v>
      </c>
      <c r="I243" s="1" t="b">
        <v>1</v>
      </c>
      <c r="J243" s="1" t="b">
        <v>1</v>
      </c>
      <c r="K243" s="1" t="b">
        <v>1</v>
      </c>
      <c r="L243" s="1" t="b">
        <v>1</v>
      </c>
      <c r="M243" s="1" t="b">
        <v>1</v>
      </c>
      <c r="N243" s="1" t="b">
        <v>1</v>
      </c>
      <c r="O243" s="1" t="b">
        <v>0</v>
      </c>
      <c r="P243" s="1" t="b">
        <v>0</v>
      </c>
      <c r="Q243" s="1" t="b">
        <v>1</v>
      </c>
      <c r="R243" s="1" t="b">
        <v>1</v>
      </c>
      <c r="S243" s="1" t="b">
        <v>1</v>
      </c>
      <c r="T243" s="1" t="b">
        <v>1</v>
      </c>
      <c r="U243" s="1" t="b">
        <v>0</v>
      </c>
      <c r="V243" s="1" t="b">
        <v>1</v>
      </c>
      <c r="W243" s="1" t="b">
        <v>1</v>
      </c>
      <c r="X243" s="1" t="b">
        <v>1</v>
      </c>
      <c r="Y243" s="1" t="b">
        <v>1</v>
      </c>
      <c r="Z243" s="1" t="b">
        <v>1</v>
      </c>
      <c r="AA243" s="1" t="b">
        <v>1</v>
      </c>
      <c r="AB243" s="1" t="b">
        <v>1</v>
      </c>
      <c r="AC243" s="1" t="b">
        <v>1</v>
      </c>
      <c r="AD243" s="1" t="b">
        <v>1</v>
      </c>
      <c r="AE243" s="1" t="b">
        <v>0</v>
      </c>
      <c r="AF243" s="1" t="b">
        <v>1</v>
      </c>
      <c r="AG243" s="1" t="b">
        <v>1</v>
      </c>
      <c r="AH243" s="1" t="b">
        <v>1</v>
      </c>
      <c r="AI243" s="1" t="b">
        <v>1</v>
      </c>
      <c r="AJ243" s="1" t="b">
        <v>0</v>
      </c>
      <c r="AK243" s="1" t="b">
        <v>1</v>
      </c>
      <c r="AL243" s="1" t="b">
        <v>1</v>
      </c>
      <c r="AM243" s="1" t="b">
        <v>0</v>
      </c>
      <c r="AN243" s="1" t="b">
        <v>0</v>
      </c>
      <c r="AO243" s="1" t="b">
        <v>0</v>
      </c>
      <c r="AP243" s="1" t="b">
        <v>0</v>
      </c>
      <c r="AQ243" s="1" t="b">
        <v>0</v>
      </c>
      <c r="AR243" s="1" t="b">
        <v>0</v>
      </c>
      <c r="AS243" s="1" t="b">
        <v>0</v>
      </c>
      <c r="AT243" s="1" t="b">
        <v>0</v>
      </c>
    </row>
    <row r="244">
      <c r="A244" s="1" t="s">
        <v>47</v>
      </c>
      <c r="F244" s="1"/>
      <c r="H244" s="1"/>
      <c r="O244" s="1"/>
      <c r="P244" s="1"/>
      <c r="U244" s="1"/>
      <c r="V244" s="1"/>
      <c r="W244" s="1">
        <v>4.0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1" t="s">
        <v>48</v>
      </c>
      <c r="F245" s="1"/>
      <c r="H245" s="1"/>
      <c r="O245" s="1"/>
      <c r="P245" s="1"/>
      <c r="U245" s="1"/>
      <c r="V245" s="1"/>
      <c r="W245" s="1"/>
      <c r="X245" s="1"/>
      <c r="Y245" s="1"/>
      <c r="Z245" s="1"/>
      <c r="AA245" s="1"/>
      <c r="AB245" s="1"/>
      <c r="AC245" s="1"/>
      <c r="AD245" s="1">
        <v>4.0</v>
      </c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1" t="s">
        <v>49</v>
      </c>
      <c r="B246" s="1">
        <v>4.0</v>
      </c>
      <c r="F246" s="1"/>
      <c r="H246" s="1"/>
      <c r="O246" s="1"/>
      <c r="P246" s="1"/>
      <c r="R246" s="1">
        <v>4.0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>
        <v>4.0</v>
      </c>
      <c r="AH246" s="1"/>
      <c r="AI246" s="1"/>
      <c r="AJ246" s="1"/>
      <c r="AK246" s="1"/>
      <c r="AL246" s="1"/>
      <c r="AM246" s="1"/>
      <c r="AN246" s="1"/>
      <c r="AO246" s="1"/>
    </row>
    <row r="247">
      <c r="A247" s="1" t="s">
        <v>50</v>
      </c>
      <c r="F247" s="1"/>
      <c r="H247" s="1"/>
      <c r="O247" s="1"/>
      <c r="P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>
        <v>4.0</v>
      </c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1" t="s">
        <v>51</v>
      </c>
      <c r="F248" s="1"/>
      <c r="H248" s="1"/>
      <c r="O248" s="1"/>
      <c r="P248" s="1"/>
      <c r="T248" s="1">
        <v>4.0</v>
      </c>
      <c r="U248" s="1"/>
      <c r="V248" s="1"/>
      <c r="W248" s="1"/>
      <c r="X248" s="1"/>
      <c r="Y248" s="1"/>
      <c r="Z248" s="1"/>
      <c r="AA248" s="1"/>
      <c r="AB248" s="1"/>
      <c r="AC248" s="1">
        <v>4.0</v>
      </c>
      <c r="AD248" s="1"/>
      <c r="AE248" s="1"/>
      <c r="AF248" s="1"/>
      <c r="AG248" s="1">
        <v>4.0</v>
      </c>
      <c r="AH248" s="1"/>
      <c r="AI248" s="1"/>
      <c r="AJ248" s="1"/>
      <c r="AK248" s="1"/>
      <c r="AL248" s="1"/>
      <c r="AM248" s="1"/>
      <c r="AN248" s="1"/>
      <c r="AO248" s="1"/>
    </row>
    <row r="249">
      <c r="A249" s="1" t="s">
        <v>52</v>
      </c>
      <c r="F249" s="1"/>
      <c r="G249" s="1">
        <v>4.0</v>
      </c>
      <c r="H249" s="1"/>
      <c r="O249" s="1"/>
      <c r="P249" s="1"/>
      <c r="U249" s="1"/>
      <c r="V249" s="1"/>
      <c r="W249" s="1"/>
      <c r="X249" s="1"/>
      <c r="Y249" s="1"/>
      <c r="Z249" s="1"/>
      <c r="AA249" s="1"/>
      <c r="AB249" s="1"/>
      <c r="AC249" s="1">
        <v>4.0</v>
      </c>
      <c r="AD249" s="1"/>
      <c r="AE249" s="1"/>
      <c r="AF249" s="1"/>
      <c r="AG249" s="1"/>
      <c r="AH249" s="1"/>
      <c r="AI249" s="1"/>
      <c r="AJ249" s="1"/>
      <c r="AK249" s="1"/>
      <c r="AL249" s="1">
        <v>4.0</v>
      </c>
      <c r="AM249" s="1"/>
      <c r="AN249" s="1"/>
      <c r="AO249" s="1"/>
    </row>
    <row r="250">
      <c r="A250" s="1" t="s">
        <v>47</v>
      </c>
      <c r="E250" s="1">
        <v>4.0</v>
      </c>
      <c r="F250" s="1"/>
      <c r="H250" s="1"/>
      <c r="O250" s="1"/>
      <c r="P250" s="1"/>
      <c r="U250" s="1"/>
      <c r="V250" s="1"/>
      <c r="W250" s="1"/>
      <c r="X250" s="1"/>
      <c r="Y250" s="1"/>
      <c r="Z250" s="1"/>
      <c r="AA250" s="1"/>
      <c r="AB250" s="1">
        <v>4.0</v>
      </c>
      <c r="AC250" s="1"/>
      <c r="AD250" s="1"/>
      <c r="AE250" s="1"/>
      <c r="AF250" s="1"/>
      <c r="AG250" s="1">
        <v>4.0</v>
      </c>
      <c r="AH250" s="1"/>
      <c r="AI250" s="1"/>
      <c r="AJ250" s="1"/>
      <c r="AK250" s="1"/>
      <c r="AL250" s="1"/>
      <c r="AM250" s="1"/>
      <c r="AN250" s="1"/>
      <c r="AO250" s="1"/>
    </row>
    <row r="251">
      <c r="A251" s="1" t="s">
        <v>48</v>
      </c>
      <c r="F251" s="1"/>
      <c r="H251" s="1"/>
      <c r="O251" s="1"/>
      <c r="P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1" t="s">
        <v>49</v>
      </c>
      <c r="F252" s="1"/>
      <c r="H252" s="1"/>
      <c r="I252" s="1">
        <v>4.0</v>
      </c>
      <c r="O252" s="1"/>
      <c r="P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>
        <v>4.0</v>
      </c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1" t="s">
        <v>50</v>
      </c>
      <c r="C253" s="1">
        <v>4.0</v>
      </c>
      <c r="F253" s="1"/>
      <c r="H253" s="1"/>
      <c r="O253" s="1"/>
      <c r="P253" s="1"/>
      <c r="Q253" s="1">
        <v>4.0</v>
      </c>
      <c r="U253" s="1"/>
      <c r="V253" s="1"/>
      <c r="W253" s="1"/>
      <c r="X253" s="1"/>
      <c r="Y253" s="1"/>
      <c r="Z253" s="1"/>
      <c r="AA253" s="1"/>
      <c r="AB253" s="1"/>
      <c r="AC253" s="1">
        <v>4.0</v>
      </c>
      <c r="AD253" s="1"/>
      <c r="AE253" s="1"/>
      <c r="AF253" s="1"/>
      <c r="AG253" s="1">
        <v>4.0</v>
      </c>
      <c r="AH253" s="1"/>
      <c r="AI253" s="1"/>
      <c r="AJ253" s="1"/>
      <c r="AK253" s="1"/>
      <c r="AL253" s="1"/>
      <c r="AM253" s="1"/>
      <c r="AN253" s="1"/>
      <c r="AO253" s="1"/>
    </row>
    <row r="254">
      <c r="A254" s="1" t="s">
        <v>51</v>
      </c>
      <c r="F254" s="1"/>
      <c r="G254" s="1">
        <v>4.0</v>
      </c>
      <c r="H254" s="1"/>
      <c r="O254" s="1"/>
      <c r="P254" s="1"/>
      <c r="U254" s="1"/>
      <c r="V254" s="1"/>
      <c r="W254" s="1"/>
      <c r="X254" s="1"/>
      <c r="Y254" s="1"/>
      <c r="Z254" s="1"/>
      <c r="AA254" s="1">
        <v>4.0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1" t="s">
        <v>52</v>
      </c>
      <c r="F255" s="1"/>
      <c r="H255" s="1"/>
      <c r="O255" s="1"/>
      <c r="P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1"/>
      <c r="B256" s="1" t="b">
        <v>1</v>
      </c>
      <c r="C256" s="1" t="b">
        <v>1</v>
      </c>
      <c r="D256" s="1" t="b">
        <v>1</v>
      </c>
      <c r="E256" s="1" t="b">
        <v>1</v>
      </c>
      <c r="F256" s="1" t="b">
        <v>0</v>
      </c>
      <c r="G256" s="1" t="b">
        <v>1</v>
      </c>
      <c r="H256" s="1" t="b">
        <v>0</v>
      </c>
      <c r="I256" s="1" t="b">
        <v>1</v>
      </c>
      <c r="J256" s="1" t="b">
        <v>1</v>
      </c>
      <c r="K256" s="1" t="b">
        <v>1</v>
      </c>
      <c r="L256" s="1" t="b">
        <v>1</v>
      </c>
      <c r="M256" s="1" t="b">
        <v>1</v>
      </c>
      <c r="N256" s="1" t="b">
        <v>1</v>
      </c>
      <c r="O256" s="1" t="b">
        <v>0</v>
      </c>
      <c r="P256" s="1" t="b">
        <v>0</v>
      </c>
      <c r="Q256" s="1" t="b">
        <v>1</v>
      </c>
      <c r="R256" s="1" t="b">
        <v>1</v>
      </c>
      <c r="S256" s="1" t="b">
        <v>1</v>
      </c>
      <c r="T256" s="1" t="b">
        <v>1</v>
      </c>
      <c r="U256" s="1" t="b">
        <v>0</v>
      </c>
      <c r="V256" s="1" t="b">
        <v>1</v>
      </c>
      <c r="W256" s="1" t="b">
        <v>1</v>
      </c>
      <c r="X256" s="1" t="b">
        <v>1</v>
      </c>
      <c r="Y256" s="1" t="b">
        <v>1</v>
      </c>
      <c r="Z256" s="1" t="b">
        <v>1</v>
      </c>
      <c r="AA256" s="1" t="b">
        <v>1</v>
      </c>
      <c r="AB256" s="1" t="b">
        <v>1</v>
      </c>
      <c r="AC256" s="1" t="b">
        <v>1</v>
      </c>
      <c r="AD256" s="1" t="b">
        <v>1</v>
      </c>
      <c r="AE256" s="1" t="b">
        <v>0</v>
      </c>
      <c r="AF256" s="1" t="b">
        <v>1</v>
      </c>
      <c r="AG256" s="1" t="b">
        <v>1</v>
      </c>
      <c r="AH256" s="1" t="b">
        <v>1</v>
      </c>
      <c r="AI256" s="1" t="b">
        <v>1</v>
      </c>
      <c r="AJ256" s="1" t="b">
        <v>0</v>
      </c>
      <c r="AK256" s="1" t="b">
        <v>1</v>
      </c>
      <c r="AL256" s="1" t="b">
        <v>1</v>
      </c>
      <c r="AM256" s="1" t="b">
        <v>0</v>
      </c>
      <c r="AN256" s="1" t="b">
        <v>0</v>
      </c>
      <c r="AO256" s="1" t="b">
        <v>0</v>
      </c>
      <c r="AP256" s="1" t="b">
        <v>0</v>
      </c>
      <c r="AQ256" s="1" t="b">
        <v>0</v>
      </c>
      <c r="AR256" s="1" t="b">
        <v>0</v>
      </c>
      <c r="AS256" s="1" t="b">
        <v>0</v>
      </c>
      <c r="AT256" s="1" t="b">
        <v>0</v>
      </c>
    </row>
    <row r="257">
      <c r="A257" s="1" t="s">
        <v>47</v>
      </c>
      <c r="F257" s="1"/>
      <c r="G257" s="1">
        <v>4.0</v>
      </c>
      <c r="H257" s="1"/>
      <c r="O257" s="1"/>
      <c r="P257" s="1"/>
      <c r="R257" s="1">
        <v>-4.0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>
        <v>4.0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 t="s">
        <v>48</v>
      </c>
      <c r="F258" s="1"/>
      <c r="H258" s="1"/>
      <c r="O258" s="1"/>
      <c r="P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 t="s">
        <v>49</v>
      </c>
      <c r="F259" s="1"/>
      <c r="H259" s="1"/>
      <c r="I259" s="1">
        <v>4.0</v>
      </c>
      <c r="O259" s="1"/>
      <c r="P259" s="1"/>
      <c r="T259" s="1">
        <v>4.0</v>
      </c>
      <c r="U259" s="1"/>
      <c r="V259" s="1"/>
      <c r="W259" s="1"/>
      <c r="X259" s="1"/>
      <c r="Y259" s="1"/>
      <c r="Z259" s="1"/>
      <c r="AA259" s="1"/>
      <c r="AB259" s="1"/>
      <c r="AC259" s="1">
        <v>4.0</v>
      </c>
      <c r="AD259" s="1"/>
      <c r="AE259" s="1"/>
      <c r="AF259" s="1">
        <v>4.0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 t="s">
        <v>50</v>
      </c>
      <c r="B260" s="1">
        <v>4.0</v>
      </c>
      <c r="F260" s="1"/>
      <c r="H260" s="1"/>
      <c r="O260" s="1"/>
      <c r="P260" s="1"/>
      <c r="R260" s="1">
        <v>4.0</v>
      </c>
      <c r="U260" s="1"/>
      <c r="V260" s="1"/>
      <c r="W260" s="1"/>
      <c r="X260" s="1"/>
      <c r="Y260" s="1"/>
      <c r="Z260" s="1"/>
      <c r="AA260" s="1"/>
      <c r="AB260" s="1"/>
      <c r="AC260" s="1">
        <v>4.0</v>
      </c>
      <c r="AD260" s="1"/>
      <c r="AE260" s="1"/>
      <c r="AF260" s="1">
        <v>4.0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 t="s">
        <v>51</v>
      </c>
      <c r="B261" s="1">
        <v>4.0</v>
      </c>
      <c r="F261" s="1"/>
      <c r="H261" s="1"/>
      <c r="O261" s="1"/>
      <c r="P261" s="1"/>
      <c r="U261" s="1"/>
      <c r="V261" s="1"/>
      <c r="W261" s="1"/>
      <c r="X261" s="1"/>
      <c r="Y261" s="1"/>
      <c r="Z261" s="1"/>
      <c r="AA261" s="1"/>
      <c r="AB261" s="1"/>
      <c r="AC261" s="1"/>
      <c r="AD261" s="1">
        <v>4.0</v>
      </c>
      <c r="AE261" s="1"/>
      <c r="AF261" s="1"/>
      <c r="AG261" s="1">
        <v>4.0</v>
      </c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 t="s">
        <v>52</v>
      </c>
      <c r="F262" s="1"/>
      <c r="H262" s="1"/>
      <c r="O262" s="1"/>
      <c r="P262" s="1"/>
      <c r="Q262" s="1">
        <v>4.0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>
        <v>4.0</v>
      </c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 t="s">
        <v>47</v>
      </c>
      <c r="C263" s="1">
        <v>-4.0</v>
      </c>
      <c r="F263" s="1"/>
      <c r="H263" s="1"/>
      <c r="I263" s="1">
        <v>4.0</v>
      </c>
      <c r="O263" s="1"/>
      <c r="P263" s="1"/>
      <c r="U263" s="1"/>
      <c r="V263" s="1"/>
      <c r="W263" s="1"/>
      <c r="X263" s="1"/>
      <c r="Y263" s="1"/>
      <c r="Z263" s="1"/>
      <c r="AA263" s="1"/>
      <c r="AB263" s="1"/>
      <c r="AC263" s="1">
        <v>4.0</v>
      </c>
      <c r="AD263" s="1"/>
      <c r="AE263" s="1"/>
      <c r="AF263" s="1"/>
      <c r="AG263" s="1">
        <v>4.0</v>
      </c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 t="s">
        <v>48</v>
      </c>
      <c r="F264" s="1"/>
      <c r="H264" s="1"/>
      <c r="O264" s="1"/>
      <c r="P264" s="1"/>
      <c r="U264" s="1"/>
      <c r="V264" s="1"/>
      <c r="W264" s="1"/>
      <c r="X264" s="1"/>
      <c r="Y264" s="1"/>
      <c r="Z264" s="1"/>
      <c r="AA264" s="1"/>
      <c r="AB264" s="1">
        <v>4.0</v>
      </c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 t="s">
        <v>49</v>
      </c>
      <c r="F265" s="1"/>
      <c r="H265" s="1"/>
      <c r="O265" s="1"/>
      <c r="P265" s="1"/>
      <c r="U265" s="1"/>
      <c r="V265" s="1"/>
      <c r="W265" s="1"/>
      <c r="X265" s="1"/>
      <c r="Y265" s="1"/>
      <c r="Z265" s="1"/>
      <c r="AA265" s="1"/>
      <c r="AB265" s="1">
        <v>4.0</v>
      </c>
      <c r="AC265" s="1"/>
      <c r="AD265" s="1"/>
      <c r="AE265" s="1"/>
      <c r="AF265" s="1">
        <v>4.0</v>
      </c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 t="s">
        <v>50</v>
      </c>
      <c r="B266" s="1">
        <v>4.0</v>
      </c>
      <c r="F266" s="1"/>
      <c r="H266" s="1"/>
      <c r="O266" s="1"/>
      <c r="P266" s="1"/>
      <c r="S266" s="1">
        <v>4.0</v>
      </c>
      <c r="U266" s="1"/>
      <c r="V266" s="1"/>
      <c r="W266" s="1"/>
      <c r="X266" s="1"/>
      <c r="Y266" s="1"/>
      <c r="Z266" s="1"/>
      <c r="AA266" s="1"/>
      <c r="AB266" s="1"/>
      <c r="AC266" s="1">
        <v>4.0</v>
      </c>
      <c r="AD266" s="1"/>
      <c r="AE266" s="1"/>
      <c r="AF266" s="1"/>
      <c r="AG266" s="1">
        <v>4.0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 t="s">
        <v>51</v>
      </c>
      <c r="F267" s="1"/>
      <c r="H267" s="1"/>
      <c r="I267" s="1">
        <v>4.0</v>
      </c>
      <c r="N267" s="1">
        <v>4.0</v>
      </c>
      <c r="O267" s="1"/>
      <c r="P267" s="1"/>
      <c r="U267" s="1"/>
      <c r="V267" s="1">
        <v>4.0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>
        <v>4.0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 t="s">
        <v>52</v>
      </c>
      <c r="C268" s="1">
        <v>4.0</v>
      </c>
      <c r="F268" s="1"/>
      <c r="H268" s="1"/>
      <c r="M268" s="1">
        <v>4.0</v>
      </c>
      <c r="O268" s="1"/>
      <c r="P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>
        <v>4.0</v>
      </c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71">
      <c r="A271" s="1"/>
      <c r="B271" s="1" t="s">
        <v>2</v>
      </c>
      <c r="G271" s="1" t="s">
        <v>5</v>
      </c>
      <c r="L271" s="1" t="s">
        <v>8</v>
      </c>
      <c r="Q271" s="1" t="s">
        <v>6</v>
      </c>
      <c r="V271" s="1" t="s">
        <v>3</v>
      </c>
      <c r="AA271" s="1" t="s">
        <v>4</v>
      </c>
      <c r="AF271" s="1" t="s">
        <v>7</v>
      </c>
      <c r="AK271" s="1" t="s">
        <v>1</v>
      </c>
      <c r="AP271" s="1" t="s">
        <v>0</v>
      </c>
    </row>
    <row r="272">
      <c r="A272" s="1"/>
      <c r="B272" s="1" t="s">
        <v>17</v>
      </c>
      <c r="C272" s="1" t="s">
        <v>18</v>
      </c>
      <c r="D272" s="1" t="s">
        <v>20</v>
      </c>
      <c r="E272" s="1" t="s">
        <v>21</v>
      </c>
      <c r="G272" s="1" t="s">
        <v>30</v>
      </c>
      <c r="H272" s="1" t="s">
        <v>31</v>
      </c>
      <c r="I272" s="1" t="s">
        <v>32</v>
      </c>
      <c r="J272" s="1" t="s">
        <v>33</v>
      </c>
      <c r="L272" s="1" t="s">
        <v>43</v>
      </c>
      <c r="M272" s="1" t="s">
        <v>44</v>
      </c>
      <c r="N272" s="1" t="s">
        <v>45</v>
      </c>
      <c r="O272" s="1" t="s">
        <v>46</v>
      </c>
      <c r="Q272" s="1" t="s">
        <v>55</v>
      </c>
      <c r="R272" s="1" t="s">
        <v>38</v>
      </c>
      <c r="S272" s="1" t="s">
        <v>37</v>
      </c>
      <c r="T272" s="1" t="s">
        <v>35</v>
      </c>
      <c r="U272" s="1" t="s">
        <v>34</v>
      </c>
      <c r="V272" s="1" t="s">
        <v>22</v>
      </c>
      <c r="W272" s="1" t="s">
        <v>23</v>
      </c>
      <c r="X272" s="1" t="s">
        <v>24</v>
      </c>
      <c r="Y272" s="1" t="s">
        <v>25</v>
      </c>
      <c r="AA272" s="1" t="s">
        <v>26</v>
      </c>
      <c r="AB272" s="1" t="s">
        <v>27</v>
      </c>
      <c r="AC272" s="1" t="s">
        <v>28</v>
      </c>
      <c r="AD272" s="1" t="s">
        <v>29</v>
      </c>
      <c r="AF272" s="1" t="s">
        <v>42</v>
      </c>
      <c r="AG272" s="1" t="s">
        <v>40</v>
      </c>
      <c r="AH272" s="1" t="s">
        <v>41</v>
      </c>
      <c r="AI272" s="1" t="s">
        <v>39</v>
      </c>
      <c r="AJ272" s="1" t="s">
        <v>53</v>
      </c>
      <c r="AK272" s="1" t="s">
        <v>14</v>
      </c>
      <c r="AL272" s="1" t="s">
        <v>15</v>
      </c>
      <c r="AM272" s="1"/>
      <c r="AN272" s="1"/>
      <c r="AO272" s="1"/>
      <c r="AP272" s="1" t="s">
        <v>9</v>
      </c>
      <c r="AQ272" s="1" t="s">
        <v>10</v>
      </c>
      <c r="AR272" s="1" t="s">
        <v>11</v>
      </c>
      <c r="AS272" s="1" t="s">
        <v>12</v>
      </c>
      <c r="AT272" s="1" t="s">
        <v>13</v>
      </c>
    </row>
    <row r="273">
      <c r="A273" s="1"/>
      <c r="B273" s="1" t="b">
        <v>1</v>
      </c>
      <c r="C273" s="1" t="b">
        <v>1</v>
      </c>
      <c r="D273" s="1" t="b">
        <v>1</v>
      </c>
      <c r="E273" s="1" t="b">
        <v>1</v>
      </c>
      <c r="F273" s="1" t="b">
        <v>0</v>
      </c>
      <c r="G273" s="1" t="b">
        <v>1</v>
      </c>
      <c r="H273" s="1" t="b">
        <v>1</v>
      </c>
      <c r="I273" s="1" t="b">
        <v>1</v>
      </c>
      <c r="J273" s="1" t="b">
        <v>1</v>
      </c>
      <c r="K273" s="1" t="b">
        <v>0</v>
      </c>
      <c r="L273" s="1" t="b">
        <v>0</v>
      </c>
      <c r="M273" s="1" t="b">
        <v>0</v>
      </c>
      <c r="N273" s="1" t="b">
        <v>0</v>
      </c>
      <c r="O273" s="1" t="b">
        <v>0</v>
      </c>
      <c r="P273" s="1" t="b">
        <v>0</v>
      </c>
      <c r="Q273" s="1" t="b">
        <v>0</v>
      </c>
      <c r="R273" s="1" t="b">
        <v>0</v>
      </c>
      <c r="S273" s="1" t="b">
        <v>0</v>
      </c>
      <c r="T273" s="1" t="b">
        <v>0</v>
      </c>
      <c r="U273" s="1" t="b">
        <v>0</v>
      </c>
      <c r="V273" s="1" t="b">
        <v>0</v>
      </c>
      <c r="W273" s="1" t="b">
        <v>0</v>
      </c>
      <c r="X273" s="1" t="b">
        <v>0</v>
      </c>
      <c r="Y273" s="1" t="b">
        <v>0</v>
      </c>
      <c r="Z273" s="1" t="b">
        <v>0</v>
      </c>
      <c r="AA273" s="1" t="b">
        <v>0</v>
      </c>
      <c r="AB273" s="1" t="b">
        <v>0</v>
      </c>
      <c r="AC273" s="1" t="b">
        <v>0</v>
      </c>
      <c r="AD273" s="1" t="b">
        <v>0</v>
      </c>
      <c r="AE273" s="1" t="b">
        <v>0</v>
      </c>
      <c r="AF273" s="1" t="b">
        <v>0</v>
      </c>
      <c r="AG273" s="1" t="b">
        <v>0</v>
      </c>
      <c r="AH273" s="1" t="b">
        <v>0</v>
      </c>
      <c r="AI273" s="1" t="b">
        <v>0</v>
      </c>
      <c r="AJ273" s="1" t="b">
        <v>0</v>
      </c>
      <c r="AK273" s="1" t="b">
        <v>0</v>
      </c>
      <c r="AL273" s="1" t="b">
        <v>0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b">
        <v>0</v>
      </c>
      <c r="AT273" s="1" t="b">
        <v>0</v>
      </c>
    </row>
    <row r="274">
      <c r="A274" s="1" t="s">
        <v>47</v>
      </c>
      <c r="F274" s="1"/>
      <c r="J274" s="1">
        <v>4.0</v>
      </c>
      <c r="K274" s="1"/>
    </row>
    <row r="275">
      <c r="A275" s="1" t="s">
        <v>48</v>
      </c>
      <c r="F275" s="1"/>
      <c r="H275" s="1">
        <v>4.0</v>
      </c>
      <c r="K275" s="1"/>
    </row>
    <row r="276">
      <c r="A276" s="1" t="s">
        <v>49</v>
      </c>
      <c r="C276" s="1">
        <v>4.0</v>
      </c>
      <c r="F276" s="1"/>
      <c r="K276" s="1"/>
    </row>
    <row r="277">
      <c r="A277" s="1" t="s">
        <v>50</v>
      </c>
      <c r="C277" s="1">
        <v>-4.0</v>
      </c>
      <c r="F277" s="1"/>
      <c r="K277" s="1"/>
    </row>
    <row r="278">
      <c r="A278" s="1" t="s">
        <v>51</v>
      </c>
      <c r="C278" s="1">
        <v>4.0</v>
      </c>
      <c r="F278" s="1"/>
      <c r="K278" s="1"/>
    </row>
    <row r="279">
      <c r="A279" s="1" t="s">
        <v>52</v>
      </c>
      <c r="E279" s="1">
        <v>4.0</v>
      </c>
      <c r="F279" s="1"/>
      <c r="K279" s="1"/>
    </row>
    <row r="280">
      <c r="A280" s="1" t="s">
        <v>47</v>
      </c>
      <c r="F280" s="1"/>
      <c r="K280" s="1"/>
    </row>
    <row r="281">
      <c r="A281" s="1" t="s">
        <v>48</v>
      </c>
      <c r="F281" s="1"/>
      <c r="H281" s="1">
        <v>4.0</v>
      </c>
      <c r="K281" s="1"/>
    </row>
    <row r="282">
      <c r="A282" s="1" t="s">
        <v>49</v>
      </c>
      <c r="C282" s="1">
        <v>4.0</v>
      </c>
      <c r="F282" s="1"/>
      <c r="K282" s="1"/>
    </row>
    <row r="283">
      <c r="A283" s="1" t="s">
        <v>50</v>
      </c>
      <c r="F283" s="1"/>
      <c r="I283" s="1">
        <v>4.0</v>
      </c>
      <c r="K283" s="1"/>
    </row>
    <row r="284">
      <c r="A284" s="1" t="s">
        <v>51</v>
      </c>
      <c r="C284" s="1">
        <v>4.0</v>
      </c>
      <c r="F284" s="1"/>
      <c r="K284" s="1"/>
    </row>
    <row r="285">
      <c r="A285" s="1" t="s">
        <v>52</v>
      </c>
      <c r="E285" s="1">
        <v>-4.0</v>
      </c>
      <c r="F285" s="1"/>
      <c r="J285" s="1">
        <v>4.0</v>
      </c>
      <c r="K285" s="1"/>
    </row>
    <row r="286">
      <c r="A286" s="1"/>
      <c r="B286" s="1" t="b">
        <v>1</v>
      </c>
      <c r="C286" s="1" t="b">
        <v>1</v>
      </c>
      <c r="D286" s="1" t="b">
        <v>1</v>
      </c>
      <c r="E286" s="1" t="b">
        <v>1</v>
      </c>
      <c r="F286" s="1" t="b">
        <v>0</v>
      </c>
      <c r="G286" s="1" t="b">
        <v>1</v>
      </c>
      <c r="H286" s="1" t="b">
        <v>1</v>
      </c>
      <c r="I286" s="1" t="b">
        <v>1</v>
      </c>
      <c r="J286" s="1" t="b">
        <v>1</v>
      </c>
      <c r="K286" s="1" t="b">
        <v>0</v>
      </c>
      <c r="L286" s="1" t="b">
        <v>0</v>
      </c>
      <c r="M286" s="1" t="b">
        <v>0</v>
      </c>
      <c r="N286" s="1" t="b">
        <v>0</v>
      </c>
      <c r="O286" s="1" t="b">
        <v>0</v>
      </c>
      <c r="P286" s="1" t="b">
        <v>0</v>
      </c>
      <c r="Q286" s="1" t="b">
        <v>0</v>
      </c>
      <c r="R286" s="1" t="b">
        <v>0</v>
      </c>
      <c r="S286" s="1" t="b">
        <v>0</v>
      </c>
      <c r="T286" s="1" t="b">
        <v>0</v>
      </c>
      <c r="U286" s="1" t="b">
        <v>0</v>
      </c>
      <c r="V286" s="1" t="b">
        <v>0</v>
      </c>
      <c r="W286" s="1" t="b">
        <v>0</v>
      </c>
      <c r="X286" s="1" t="b">
        <v>0</v>
      </c>
      <c r="Y286" s="1" t="b">
        <v>0</v>
      </c>
      <c r="Z286" s="1" t="b">
        <v>0</v>
      </c>
      <c r="AA286" s="1" t="b">
        <v>0</v>
      </c>
      <c r="AB286" s="1" t="b">
        <v>0</v>
      </c>
      <c r="AC286" s="1" t="b">
        <v>0</v>
      </c>
      <c r="AD286" s="1" t="b">
        <v>0</v>
      </c>
      <c r="AE286" s="1" t="b">
        <v>0</v>
      </c>
      <c r="AF286" s="1" t="b">
        <v>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b">
        <v>0</v>
      </c>
      <c r="AL286" s="1" t="b">
        <v>0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b">
        <v>0</v>
      </c>
      <c r="AT286" s="1" t="b">
        <v>0</v>
      </c>
    </row>
    <row r="287">
      <c r="A287" s="1" t="s">
        <v>47</v>
      </c>
      <c r="C287" s="1">
        <v>-4.0</v>
      </c>
      <c r="F287" s="1"/>
      <c r="K287" s="1"/>
    </row>
    <row r="288">
      <c r="A288" s="1" t="s">
        <v>48</v>
      </c>
      <c r="F288" s="1"/>
      <c r="H288" s="1">
        <v>4.0</v>
      </c>
      <c r="K288" s="1"/>
    </row>
    <row r="289">
      <c r="A289" s="1" t="s">
        <v>49</v>
      </c>
      <c r="B289" s="1">
        <v>-4.0</v>
      </c>
      <c r="F289" s="1"/>
      <c r="K289" s="1"/>
    </row>
    <row r="290">
      <c r="A290" s="1" t="s">
        <v>50</v>
      </c>
      <c r="B290" s="1">
        <v>4.0</v>
      </c>
      <c r="F290" s="1"/>
      <c r="K290" s="1"/>
    </row>
    <row r="291">
      <c r="A291" s="1" t="s">
        <v>51</v>
      </c>
      <c r="C291" s="1">
        <v>-4.0</v>
      </c>
      <c r="F291" s="1"/>
      <c r="I291" s="1">
        <v>4.0</v>
      </c>
      <c r="K291" s="1"/>
    </row>
    <row r="292">
      <c r="A292" s="1" t="s">
        <v>52</v>
      </c>
      <c r="C292" s="1">
        <v>4.0</v>
      </c>
      <c r="F292" s="1"/>
      <c r="K292" s="1"/>
    </row>
    <row r="293">
      <c r="A293" s="1" t="s">
        <v>47</v>
      </c>
      <c r="F293" s="1"/>
      <c r="J293" s="1">
        <v>4.0</v>
      </c>
      <c r="K293" s="1"/>
    </row>
    <row r="294">
      <c r="A294" s="1" t="s">
        <v>48</v>
      </c>
      <c r="F294" s="1"/>
      <c r="H294" s="1">
        <v>4.0</v>
      </c>
      <c r="K294" s="1"/>
    </row>
    <row r="295">
      <c r="A295" s="1" t="s">
        <v>49</v>
      </c>
      <c r="B295" s="1">
        <v>4.0</v>
      </c>
      <c r="F295" s="1"/>
      <c r="K295" s="1"/>
    </row>
    <row r="296">
      <c r="A296" s="1" t="s">
        <v>50</v>
      </c>
      <c r="C296" s="1">
        <v>-4.0</v>
      </c>
      <c r="F296" s="1"/>
      <c r="K296" s="1"/>
    </row>
    <row r="297">
      <c r="A297" s="1" t="s">
        <v>51</v>
      </c>
      <c r="C297" s="1">
        <v>4.0</v>
      </c>
      <c r="F297" s="1"/>
      <c r="K297" s="1"/>
    </row>
    <row r="298">
      <c r="A298" s="1" t="s">
        <v>52</v>
      </c>
      <c r="C298" s="1">
        <v>-4.0</v>
      </c>
      <c r="F298" s="1"/>
      <c r="K298" s="1"/>
    </row>
    <row r="300">
      <c r="L300" s="1"/>
      <c r="Q300" s="1"/>
      <c r="V300" s="1"/>
      <c r="AA300" s="1"/>
      <c r="AF300" s="1"/>
      <c r="AK300" s="1"/>
      <c r="AP300" s="1"/>
    </row>
    <row r="301">
      <c r="B301" s="1" t="s">
        <v>2</v>
      </c>
      <c r="G301" s="1" t="s">
        <v>5</v>
      </c>
      <c r="L301" s="1" t="s">
        <v>8</v>
      </c>
      <c r="Q301" s="1" t="s">
        <v>6</v>
      </c>
      <c r="V301" s="1" t="s">
        <v>3</v>
      </c>
      <c r="AA301" s="1" t="s">
        <v>4</v>
      </c>
      <c r="AF301" s="1" t="s">
        <v>7</v>
      </c>
      <c r="AK301" s="1" t="s">
        <v>1</v>
      </c>
      <c r="AP301" s="1" t="s">
        <v>0</v>
      </c>
    </row>
    <row r="302">
      <c r="A302" s="1"/>
      <c r="B302" s="1" t="s">
        <v>17</v>
      </c>
      <c r="C302" s="1" t="s">
        <v>18</v>
      </c>
      <c r="D302" s="1" t="s">
        <v>20</v>
      </c>
      <c r="E302" s="1" t="s">
        <v>21</v>
      </c>
      <c r="G302" s="1" t="s">
        <v>30</v>
      </c>
      <c r="H302" s="1" t="s">
        <v>31</v>
      </c>
      <c r="I302" s="1" t="s">
        <v>32</v>
      </c>
      <c r="J302" s="1" t="s">
        <v>33</v>
      </c>
      <c r="L302" s="1" t="s">
        <v>43</v>
      </c>
      <c r="M302" s="1" t="s">
        <v>44</v>
      </c>
      <c r="N302" s="1" t="s">
        <v>45</v>
      </c>
      <c r="O302" s="1" t="s">
        <v>46</v>
      </c>
      <c r="Q302" s="1" t="s">
        <v>55</v>
      </c>
      <c r="R302" s="1" t="s">
        <v>38</v>
      </c>
      <c r="S302" s="1" t="s">
        <v>37</v>
      </c>
      <c r="T302" s="1" t="s">
        <v>35</v>
      </c>
      <c r="U302" s="1" t="s">
        <v>34</v>
      </c>
      <c r="V302" s="1" t="s">
        <v>22</v>
      </c>
      <c r="W302" s="1" t="s">
        <v>23</v>
      </c>
      <c r="X302" s="1" t="s">
        <v>24</v>
      </c>
      <c r="Y302" s="1" t="s">
        <v>25</v>
      </c>
      <c r="AA302" s="1" t="s">
        <v>26</v>
      </c>
      <c r="AB302" s="1" t="s">
        <v>27</v>
      </c>
      <c r="AC302" s="1" t="s">
        <v>28</v>
      </c>
      <c r="AD302" s="1" t="s">
        <v>29</v>
      </c>
      <c r="AF302" s="1" t="s">
        <v>42</v>
      </c>
      <c r="AG302" s="1" t="s">
        <v>40</v>
      </c>
      <c r="AH302" s="1" t="s">
        <v>41</v>
      </c>
      <c r="AI302" s="1" t="s">
        <v>39</v>
      </c>
      <c r="AJ302" s="1" t="s">
        <v>53</v>
      </c>
      <c r="AK302" s="1" t="s">
        <v>14</v>
      </c>
      <c r="AL302" s="1" t="s">
        <v>15</v>
      </c>
      <c r="AM302" s="1"/>
      <c r="AN302" s="1"/>
      <c r="AO302" s="1"/>
      <c r="AP302" s="1" t="s">
        <v>9</v>
      </c>
      <c r="AQ302" s="1" t="s">
        <v>10</v>
      </c>
      <c r="AR302" s="1" t="s">
        <v>11</v>
      </c>
      <c r="AS302" s="1" t="s">
        <v>12</v>
      </c>
      <c r="AT302" s="1" t="s">
        <v>13</v>
      </c>
    </row>
    <row r="303">
      <c r="A303" s="1"/>
      <c r="B303" s="1" t="b">
        <v>1</v>
      </c>
      <c r="C303" s="1" t="b">
        <v>1</v>
      </c>
      <c r="D303" s="1" t="b">
        <v>1</v>
      </c>
      <c r="E303" s="1" t="b">
        <v>1</v>
      </c>
      <c r="F303" s="1" t="b">
        <v>0</v>
      </c>
      <c r="G303" s="1" t="b">
        <v>1</v>
      </c>
      <c r="H303" s="1" t="b">
        <v>1</v>
      </c>
      <c r="I303" s="1" t="b">
        <v>1</v>
      </c>
      <c r="J303" s="1" t="b">
        <v>1</v>
      </c>
      <c r="K303" s="1" t="b">
        <v>0</v>
      </c>
      <c r="L303" s="1" t="b">
        <v>0</v>
      </c>
      <c r="M303" s="1" t="b">
        <v>0</v>
      </c>
      <c r="N303" s="1" t="b">
        <v>0</v>
      </c>
      <c r="O303" s="1" t="b">
        <v>0</v>
      </c>
      <c r="P303" s="1" t="b">
        <v>0</v>
      </c>
      <c r="Q303" s="1" t="b">
        <v>0</v>
      </c>
      <c r="R303" s="1" t="b">
        <v>0</v>
      </c>
      <c r="S303" s="1" t="b">
        <v>0</v>
      </c>
      <c r="T303" s="1" t="b">
        <v>0</v>
      </c>
      <c r="U303" s="1" t="b">
        <v>0</v>
      </c>
      <c r="V303" s="1" t="b">
        <v>0</v>
      </c>
      <c r="W303" s="1" t="b">
        <v>0</v>
      </c>
      <c r="X303" s="1" t="b">
        <v>0</v>
      </c>
      <c r="Y303" s="1" t="b">
        <v>0</v>
      </c>
      <c r="Z303" s="1" t="b">
        <v>0</v>
      </c>
      <c r="AA303" s="1" t="b">
        <v>0</v>
      </c>
      <c r="AB303" s="1" t="b">
        <v>0</v>
      </c>
      <c r="AC303" s="1" t="b">
        <v>0</v>
      </c>
      <c r="AD303" s="1" t="b">
        <v>0</v>
      </c>
      <c r="AE303" s="1" t="b">
        <v>0</v>
      </c>
      <c r="AF303" s="1" t="b">
        <v>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b">
        <v>0</v>
      </c>
      <c r="AL303" s="1" t="b">
        <v>0</v>
      </c>
      <c r="AM303" s="1" t="b">
        <v>0</v>
      </c>
      <c r="AN303" s="1" t="b">
        <v>0</v>
      </c>
      <c r="AO303" s="1" t="b">
        <v>0</v>
      </c>
      <c r="AP303" s="1" t="b">
        <v>0</v>
      </c>
      <c r="AQ303" s="1" t="b">
        <v>0</v>
      </c>
      <c r="AR303" s="1" t="b">
        <v>0</v>
      </c>
      <c r="AS303" s="1" t="b">
        <v>0</v>
      </c>
      <c r="AT303" s="1" t="b">
        <v>0</v>
      </c>
    </row>
    <row r="304">
      <c r="A304" s="1" t="s">
        <v>47</v>
      </c>
      <c r="C304" s="1">
        <v>-4.0</v>
      </c>
      <c r="F304" s="1"/>
      <c r="J304" s="1">
        <v>4.0</v>
      </c>
      <c r="K304" s="1"/>
    </row>
    <row r="305">
      <c r="A305" s="1" t="s">
        <v>48</v>
      </c>
      <c r="F305" s="1"/>
      <c r="I305" s="1">
        <v>4.0</v>
      </c>
      <c r="K305" s="1"/>
    </row>
    <row r="306">
      <c r="A306" s="1" t="s">
        <v>49</v>
      </c>
      <c r="C306" s="1">
        <v>4.0</v>
      </c>
      <c r="F306" s="1"/>
      <c r="K306" s="1"/>
    </row>
    <row r="307">
      <c r="A307" s="1" t="s">
        <v>50</v>
      </c>
      <c r="F307" s="1"/>
      <c r="I307" s="1">
        <v>4.0</v>
      </c>
      <c r="K307" s="1"/>
    </row>
    <row r="308">
      <c r="A308" s="1" t="s">
        <v>51</v>
      </c>
      <c r="F308" s="1"/>
      <c r="K308" s="1"/>
    </row>
    <row r="309">
      <c r="A309" s="1" t="s">
        <v>52</v>
      </c>
      <c r="F309" s="1"/>
      <c r="I309" s="1">
        <v>4.0</v>
      </c>
      <c r="K309" s="1"/>
    </row>
    <row r="310">
      <c r="A310" s="1" t="s">
        <v>47</v>
      </c>
      <c r="C310" s="1">
        <v>4.0</v>
      </c>
      <c r="F310" s="1"/>
      <c r="K310" s="1"/>
    </row>
    <row r="311">
      <c r="A311" s="1" t="s">
        <v>48</v>
      </c>
      <c r="F311" s="1"/>
      <c r="K311" s="1"/>
    </row>
    <row r="312">
      <c r="A312" s="1" t="s">
        <v>49</v>
      </c>
      <c r="B312" s="1">
        <v>-4.0</v>
      </c>
      <c r="F312" s="1"/>
      <c r="H312" s="1">
        <v>4.0</v>
      </c>
      <c r="K312" s="1"/>
    </row>
    <row r="313">
      <c r="A313" s="1" t="s">
        <v>50</v>
      </c>
      <c r="F313" s="1"/>
      <c r="K313" s="1"/>
    </row>
    <row r="314">
      <c r="A314" s="1" t="s">
        <v>51</v>
      </c>
      <c r="C314" s="1">
        <v>4.0</v>
      </c>
      <c r="F314" s="1"/>
      <c r="K314" s="1"/>
    </row>
    <row r="315">
      <c r="A315" s="1" t="s">
        <v>52</v>
      </c>
      <c r="F315" s="1"/>
      <c r="K315" s="1"/>
    </row>
    <row r="316">
      <c r="A316" s="1"/>
      <c r="B316" s="1" t="b">
        <v>1</v>
      </c>
      <c r="C316" s="1" t="b">
        <v>1</v>
      </c>
      <c r="D316" s="1" t="b">
        <v>1</v>
      </c>
      <c r="E316" s="1" t="b">
        <v>1</v>
      </c>
      <c r="F316" s="1" t="b">
        <v>0</v>
      </c>
      <c r="G316" s="1" t="b">
        <v>1</v>
      </c>
      <c r="H316" s="1" t="b">
        <v>1</v>
      </c>
      <c r="I316" s="1" t="b">
        <v>1</v>
      </c>
      <c r="J316" s="1" t="b">
        <v>1</v>
      </c>
      <c r="K316" s="1" t="b">
        <v>0</v>
      </c>
      <c r="L316" s="1" t="b">
        <v>0</v>
      </c>
      <c r="M316" s="1" t="b">
        <v>0</v>
      </c>
      <c r="N316" s="1" t="b">
        <v>0</v>
      </c>
      <c r="O316" s="1" t="b">
        <v>0</v>
      </c>
      <c r="P316" s="1" t="b">
        <v>0</v>
      </c>
      <c r="Q316" s="1" t="b">
        <v>0</v>
      </c>
      <c r="R316" s="1" t="b">
        <v>0</v>
      </c>
      <c r="S316" s="1" t="b">
        <v>0</v>
      </c>
      <c r="T316" s="1" t="b">
        <v>0</v>
      </c>
      <c r="U316" s="1" t="b">
        <v>0</v>
      </c>
      <c r="V316" s="1" t="b">
        <v>0</v>
      </c>
      <c r="W316" s="1" t="b">
        <v>0</v>
      </c>
      <c r="X316" s="1" t="b">
        <v>0</v>
      </c>
      <c r="Y316" s="1" t="b">
        <v>0</v>
      </c>
      <c r="Z316" s="1" t="b">
        <v>0</v>
      </c>
      <c r="AA316" s="1" t="b">
        <v>0</v>
      </c>
      <c r="AB316" s="1" t="b">
        <v>0</v>
      </c>
      <c r="AC316" s="1" t="b">
        <v>0</v>
      </c>
      <c r="AD316" s="1" t="b">
        <v>0</v>
      </c>
      <c r="AE316" s="1" t="b">
        <v>0</v>
      </c>
      <c r="AF316" s="1" t="b">
        <v>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b">
        <v>0</v>
      </c>
      <c r="AL316" s="1" t="b">
        <v>0</v>
      </c>
      <c r="AM316" s="1" t="b">
        <v>0</v>
      </c>
      <c r="AN316" s="1" t="b">
        <v>0</v>
      </c>
      <c r="AO316" s="1" t="b">
        <v>0</v>
      </c>
      <c r="AP316" s="1" t="b">
        <v>0</v>
      </c>
      <c r="AQ316" s="1" t="b">
        <v>0</v>
      </c>
      <c r="AR316" s="1" t="b">
        <v>0</v>
      </c>
      <c r="AS316" s="1" t="b">
        <v>0</v>
      </c>
      <c r="AT316" s="1" t="b">
        <v>0</v>
      </c>
    </row>
    <row r="317">
      <c r="A317" s="1" t="s">
        <v>47</v>
      </c>
      <c r="F317" s="1"/>
      <c r="G317" s="1">
        <v>4.0</v>
      </c>
      <c r="K317" s="1"/>
    </row>
    <row r="318">
      <c r="A318" s="1" t="s">
        <v>48</v>
      </c>
      <c r="F318" s="1"/>
      <c r="K318" s="1"/>
    </row>
    <row r="319">
      <c r="A319" s="1" t="s">
        <v>49</v>
      </c>
      <c r="B319" s="1">
        <v>4.0</v>
      </c>
      <c r="F319" s="1"/>
      <c r="K319" s="1"/>
    </row>
    <row r="320">
      <c r="A320" s="1" t="s">
        <v>50</v>
      </c>
      <c r="C320" s="1">
        <v>4.0</v>
      </c>
      <c r="F320" s="1"/>
      <c r="K320" s="1"/>
    </row>
    <row r="321">
      <c r="A321" s="1" t="s">
        <v>51</v>
      </c>
      <c r="C321" s="1">
        <v>-4.0</v>
      </c>
      <c r="F321" s="1"/>
      <c r="K321" s="1"/>
    </row>
    <row r="322">
      <c r="A322" s="1" t="s">
        <v>52</v>
      </c>
      <c r="C322" s="1">
        <v>4.0</v>
      </c>
      <c r="F322" s="1"/>
      <c r="K322" s="1"/>
    </row>
    <row r="323">
      <c r="A323" s="1" t="s">
        <v>47</v>
      </c>
      <c r="C323" s="1">
        <v>-4.0</v>
      </c>
      <c r="F323" s="1"/>
      <c r="G323" s="1">
        <v>4.0</v>
      </c>
      <c r="K323" s="1"/>
    </row>
    <row r="324">
      <c r="A324" s="1" t="s">
        <v>48</v>
      </c>
      <c r="F324" s="1"/>
      <c r="K324" s="1"/>
    </row>
    <row r="325">
      <c r="A325" s="1" t="s">
        <v>49</v>
      </c>
      <c r="F325" s="1"/>
      <c r="H325" s="1">
        <v>4.0</v>
      </c>
      <c r="K325" s="1"/>
    </row>
    <row r="326">
      <c r="A326" s="1" t="s">
        <v>50</v>
      </c>
      <c r="F326" s="1"/>
      <c r="I326" s="1">
        <v>4.0</v>
      </c>
      <c r="K326" s="1"/>
    </row>
    <row r="327">
      <c r="A327" s="1" t="s">
        <v>51</v>
      </c>
      <c r="F327" s="1"/>
      <c r="G327" s="1">
        <v>4.0</v>
      </c>
      <c r="K327" s="1"/>
    </row>
    <row r="328">
      <c r="A328" s="1" t="s">
        <v>52</v>
      </c>
      <c r="F328" s="1"/>
      <c r="K32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 t="shared" ref="A1:A330" si="1">AM1</f>
        <v/>
      </c>
      <c r="B1" s="2" t="str">
        <f t="array" ref="B1:AU30">transpose(sort(transpose(All!A1:AT30),2,true))</f>
        <v>Cupertino A</v>
      </c>
      <c r="C1" s="2" t="s">
        <v>5</v>
      </c>
      <c r="D1" s="2"/>
      <c r="E1" s="2"/>
      <c r="F1" s="2"/>
      <c r="G1" s="2"/>
      <c r="H1" s="2"/>
      <c r="I1" s="2"/>
      <c r="J1" s="2"/>
      <c r="K1" s="2"/>
      <c r="L1" s="2" t="s">
        <v>6</v>
      </c>
      <c r="M1" s="2"/>
      <c r="N1" s="2"/>
      <c r="O1" s="2"/>
      <c r="P1" s="2" t="s">
        <v>4</v>
      </c>
      <c r="Q1" s="2"/>
      <c r="R1" s="2"/>
      <c r="S1" s="2"/>
      <c r="T1" s="2"/>
      <c r="U1" s="2"/>
      <c r="V1" s="2" t="s">
        <v>3</v>
      </c>
      <c r="W1" s="2"/>
      <c r="X1" s="2"/>
      <c r="Y1" s="2" t="s">
        <v>0</v>
      </c>
      <c r="Z1" s="2"/>
      <c r="AA1" s="2" t="s">
        <v>7</v>
      </c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 t="s">
        <v>1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>
      <c r="A2" s="2" t="str">
        <f t="shared" si="1"/>
        <v/>
      </c>
      <c r="B2" s="2" t="s">
        <v>43</v>
      </c>
      <c r="C2" s="2" t="s">
        <v>30</v>
      </c>
      <c r="D2" s="2" t="s">
        <v>45</v>
      </c>
      <c r="E2" s="2" t="s">
        <v>18</v>
      </c>
      <c r="F2" s="2" t="s">
        <v>33</v>
      </c>
      <c r="G2" s="2" t="s">
        <v>10</v>
      </c>
      <c r="H2" s="2" t="s">
        <v>32</v>
      </c>
      <c r="I2" s="2" t="s">
        <v>24</v>
      </c>
      <c r="J2" s="2" t="s">
        <v>29</v>
      </c>
      <c r="K2" s="2" t="s">
        <v>37</v>
      </c>
      <c r="L2" s="2" t="s">
        <v>34</v>
      </c>
      <c r="M2" s="2" t="s">
        <v>42</v>
      </c>
      <c r="N2" s="2" t="s">
        <v>27</v>
      </c>
      <c r="O2" s="2" t="s">
        <v>35</v>
      </c>
      <c r="P2" s="2" t="s">
        <v>26</v>
      </c>
      <c r="Q2" s="2" t="s">
        <v>44</v>
      </c>
      <c r="R2" s="2" t="s">
        <v>41</v>
      </c>
      <c r="S2" s="2" t="s">
        <v>40</v>
      </c>
      <c r="T2" s="2" t="s">
        <v>36</v>
      </c>
      <c r="U2" s="2" t="s">
        <v>36</v>
      </c>
      <c r="V2" s="2" t="s">
        <v>22</v>
      </c>
      <c r="W2" s="2" t="s">
        <v>38</v>
      </c>
      <c r="X2" s="2" t="s">
        <v>46</v>
      </c>
      <c r="Y2" s="2" t="s">
        <v>9</v>
      </c>
      <c r="Z2" s="2" t="s">
        <v>11</v>
      </c>
      <c r="AA2" s="2" t="s">
        <v>39</v>
      </c>
      <c r="AB2" s="2" t="s">
        <v>31</v>
      </c>
      <c r="AC2" s="2" t="s">
        <v>17</v>
      </c>
      <c r="AD2" s="2" t="s">
        <v>23</v>
      </c>
      <c r="AE2" s="2" t="s">
        <v>12</v>
      </c>
      <c r="AF2" s="2" t="s">
        <v>20</v>
      </c>
      <c r="AG2" s="2" t="s">
        <v>21</v>
      </c>
      <c r="AH2" s="2" t="s">
        <v>13</v>
      </c>
      <c r="AI2" s="2" t="s">
        <v>15</v>
      </c>
      <c r="AJ2" s="2" t="s">
        <v>28</v>
      </c>
      <c r="AK2" s="2" t="s">
        <v>14</v>
      </c>
      <c r="AL2" s="2" t="s">
        <v>25</v>
      </c>
      <c r="AM2" s="2"/>
      <c r="AN2" s="2"/>
      <c r="AO2" s="2"/>
      <c r="AP2" s="2"/>
      <c r="AQ2" s="2"/>
      <c r="AR2" s="2"/>
      <c r="AS2" s="2"/>
      <c r="AT2" s="2"/>
      <c r="AU2" s="2"/>
    </row>
    <row r="3">
      <c r="A3" s="2" t="str">
        <f t="shared" si="1"/>
        <v/>
      </c>
      <c r="B3" s="2" t="b">
        <v>0</v>
      </c>
      <c r="C3" s="2" t="b">
        <v>1</v>
      </c>
      <c r="D3" s="2" t="b">
        <v>0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1</v>
      </c>
      <c r="M3" s="2" t="b">
        <v>1</v>
      </c>
      <c r="N3" s="2" t="b">
        <v>1</v>
      </c>
      <c r="O3" s="2" t="b">
        <v>1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1</v>
      </c>
      <c r="U3" s="2" t="b">
        <v>1</v>
      </c>
      <c r="V3" s="2" t="b">
        <v>1</v>
      </c>
      <c r="W3" s="2" t="b">
        <v>0</v>
      </c>
      <c r="X3" s="2" t="b">
        <v>0</v>
      </c>
      <c r="Y3" s="2" t="b">
        <v>1</v>
      </c>
      <c r="Z3" s="2" t="b">
        <v>1</v>
      </c>
      <c r="AA3" s="2" t="b">
        <v>1</v>
      </c>
      <c r="AB3" s="2" t="b">
        <v>1</v>
      </c>
      <c r="AC3" s="2" t="b">
        <v>1</v>
      </c>
      <c r="AD3" s="2" t="b">
        <v>0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b">
        <v>0</v>
      </c>
      <c r="AM3" s="2"/>
      <c r="AN3" s="2" t="b">
        <v>0</v>
      </c>
      <c r="AO3" s="2" t="b">
        <v>0</v>
      </c>
      <c r="AP3" s="2" t="b">
        <v>0</v>
      </c>
      <c r="AQ3" s="2" t="b">
        <v>0</v>
      </c>
      <c r="AR3" s="2" t="b">
        <v>0</v>
      </c>
      <c r="AS3" s="2" t="b">
        <v>0</v>
      </c>
      <c r="AT3" s="2" t="b">
        <v>0</v>
      </c>
      <c r="AU3" s="2" t="b">
        <v>0</v>
      </c>
    </row>
    <row r="4">
      <c r="A4" s="2" t="str">
        <f t="shared" si="1"/>
        <v>X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>
        <v>4.0</v>
      </c>
      <c r="O4" s="2"/>
      <c r="P4" s="2"/>
      <c r="Q4" s="2"/>
      <c r="R4" s="2"/>
      <c r="S4" s="2"/>
      <c r="T4" s="2"/>
      <c r="U4" s="2">
        <v>4.0</v>
      </c>
      <c r="V4" s="2"/>
      <c r="W4" s="2"/>
      <c r="X4" s="2"/>
      <c r="Y4" s="2"/>
      <c r="Z4" s="2">
        <v>4.0</v>
      </c>
      <c r="AA4" s="2"/>
      <c r="AB4" s="2"/>
      <c r="AC4" s="2">
        <v>4.0</v>
      </c>
      <c r="AD4" s="2"/>
      <c r="AE4" s="2"/>
      <c r="AF4" s="2"/>
      <c r="AG4" s="2"/>
      <c r="AH4" s="2"/>
      <c r="AI4" s="2"/>
      <c r="AJ4" s="2"/>
      <c r="AK4" s="2"/>
      <c r="AL4" s="2"/>
      <c r="AM4" s="2" t="s">
        <v>47</v>
      </c>
      <c r="AN4" s="2"/>
      <c r="AO4" s="2"/>
      <c r="AP4" s="2"/>
      <c r="AQ4" s="2"/>
      <c r="AR4" s="2"/>
      <c r="AS4" s="2"/>
      <c r="AT4" s="2"/>
      <c r="AU4" s="2"/>
    </row>
    <row r="5">
      <c r="A5" s="2" t="str">
        <f t="shared" si="1"/>
        <v>M</v>
      </c>
      <c r="B5" s="2"/>
      <c r="C5" s="2"/>
      <c r="D5" s="2"/>
      <c r="E5" s="2">
        <v>-4.0</v>
      </c>
      <c r="F5" s="2"/>
      <c r="G5" s="2"/>
      <c r="H5" s="2"/>
      <c r="I5" s="2"/>
      <c r="J5" s="2"/>
      <c r="K5" s="2"/>
      <c r="L5" s="2"/>
      <c r="M5" s="2"/>
      <c r="N5" s="2"/>
      <c r="O5" s="2">
        <v>4.0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>
        <v>4.0</v>
      </c>
      <c r="AC5" s="2"/>
      <c r="AD5" s="2"/>
      <c r="AE5" s="2"/>
      <c r="AF5" s="2"/>
      <c r="AG5" s="2"/>
      <c r="AH5" s="2"/>
      <c r="AI5" s="2"/>
      <c r="AJ5" s="2"/>
      <c r="AK5" s="2">
        <v>4.0</v>
      </c>
      <c r="AL5" s="2"/>
      <c r="AM5" s="2" t="s">
        <v>48</v>
      </c>
      <c r="AN5" s="2"/>
      <c r="AO5" s="2"/>
      <c r="AP5" s="2"/>
      <c r="AQ5" s="2"/>
      <c r="AR5" s="2"/>
      <c r="AS5" s="2"/>
      <c r="AT5" s="2"/>
      <c r="AU5" s="2"/>
    </row>
    <row r="6">
      <c r="A6" s="2" t="str">
        <f t="shared" si="1"/>
        <v>C</v>
      </c>
      <c r="B6" s="2"/>
      <c r="C6" s="2"/>
      <c r="D6" s="2"/>
      <c r="E6" s="2"/>
      <c r="F6" s="2"/>
      <c r="G6" s="2"/>
      <c r="H6" s="2"/>
      <c r="I6" s="2"/>
      <c r="J6" s="2"/>
      <c r="K6" s="2">
        <v>4.0</v>
      </c>
      <c r="L6" s="2"/>
      <c r="M6" s="2"/>
      <c r="N6" s="2">
        <v>4.0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4.0</v>
      </c>
      <c r="AD6" s="2"/>
      <c r="AE6" s="2"/>
      <c r="AF6" s="2"/>
      <c r="AG6" s="2"/>
      <c r="AH6" s="2"/>
      <c r="AI6" s="2"/>
      <c r="AJ6" s="2"/>
      <c r="AK6" s="2">
        <v>4.0</v>
      </c>
      <c r="AL6" s="2"/>
      <c r="AM6" s="2" t="s">
        <v>49</v>
      </c>
      <c r="AN6" s="2"/>
      <c r="AO6" s="2"/>
      <c r="AP6" s="2"/>
      <c r="AQ6" s="2"/>
      <c r="AR6" s="2"/>
      <c r="AS6" s="2"/>
      <c r="AT6" s="2"/>
      <c r="AU6" s="2"/>
    </row>
    <row r="7">
      <c r="A7" s="2" t="str">
        <f t="shared" si="1"/>
        <v>E</v>
      </c>
      <c r="B7" s="2"/>
      <c r="C7" s="2"/>
      <c r="D7" s="2"/>
      <c r="E7" s="2"/>
      <c r="F7" s="2"/>
      <c r="G7" s="2"/>
      <c r="H7" s="2">
        <v>4.0</v>
      </c>
      <c r="I7" s="2"/>
      <c r="J7" s="2"/>
      <c r="K7" s="2">
        <v>-4.0</v>
      </c>
      <c r="L7" s="2"/>
      <c r="M7" s="2"/>
      <c r="N7" s="2"/>
      <c r="O7" s="2"/>
      <c r="P7" s="2"/>
      <c r="Q7" s="2"/>
      <c r="R7" s="2"/>
      <c r="S7" s="2">
        <v>4.0</v>
      </c>
      <c r="T7" s="2"/>
      <c r="U7" s="2"/>
      <c r="V7" s="2"/>
      <c r="W7" s="2"/>
      <c r="X7" s="2"/>
      <c r="Y7" s="2"/>
      <c r="Z7" s="2"/>
      <c r="AA7" s="2"/>
      <c r="AB7" s="2"/>
      <c r="AC7" s="2">
        <v>-4.0</v>
      </c>
      <c r="AD7" s="2"/>
      <c r="AE7" s="2"/>
      <c r="AF7" s="2"/>
      <c r="AG7" s="2"/>
      <c r="AH7" s="2"/>
      <c r="AI7" s="2"/>
      <c r="AJ7" s="2"/>
      <c r="AK7" s="2"/>
      <c r="AL7" s="2"/>
      <c r="AM7" s="2" t="s">
        <v>50</v>
      </c>
      <c r="AN7" s="2"/>
      <c r="AO7" s="2"/>
      <c r="AP7" s="2"/>
      <c r="AQ7" s="2"/>
      <c r="AR7" s="2"/>
      <c r="AS7" s="2"/>
      <c r="AT7" s="2"/>
      <c r="AU7" s="2"/>
    </row>
    <row r="8">
      <c r="A8" s="2" t="str">
        <f t="shared" si="1"/>
        <v>B</v>
      </c>
      <c r="B8" s="2"/>
      <c r="C8" s="2">
        <v>4.0</v>
      </c>
      <c r="D8" s="2"/>
      <c r="E8" s="2">
        <v>4.0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-4.0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>
        <v>4.0</v>
      </c>
      <c r="AL8" s="2"/>
      <c r="AM8" s="2" t="s">
        <v>51</v>
      </c>
      <c r="AN8" s="2"/>
      <c r="AO8" s="2"/>
      <c r="AP8" s="2"/>
      <c r="AQ8" s="2"/>
      <c r="AR8" s="2"/>
      <c r="AS8" s="2"/>
      <c r="AT8" s="2"/>
      <c r="AU8" s="2"/>
    </row>
    <row r="9">
      <c r="A9" s="2" t="str">
        <f t="shared" si="1"/>
        <v>P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4.0</v>
      </c>
      <c r="Q9" s="2"/>
      <c r="R9" s="2"/>
      <c r="S9" s="2"/>
      <c r="T9" s="2"/>
      <c r="U9" s="2"/>
      <c r="V9" s="2"/>
      <c r="W9" s="2"/>
      <c r="X9" s="2"/>
      <c r="Y9" s="2"/>
      <c r="Z9" s="2"/>
      <c r="AA9" s="2">
        <v>4.0</v>
      </c>
      <c r="AB9" s="2"/>
      <c r="AC9" s="2"/>
      <c r="AD9" s="2"/>
      <c r="AE9" s="2"/>
      <c r="AF9" s="2">
        <v>4.0</v>
      </c>
      <c r="AG9" s="2"/>
      <c r="AH9" s="2"/>
      <c r="AI9" s="2"/>
      <c r="AJ9" s="2"/>
      <c r="AK9" s="2"/>
      <c r="AL9" s="2"/>
      <c r="AM9" s="2" t="s">
        <v>52</v>
      </c>
      <c r="AN9" s="2"/>
      <c r="AO9" s="2"/>
      <c r="AP9" s="2"/>
      <c r="AQ9" s="2"/>
      <c r="AR9" s="2"/>
      <c r="AS9" s="2"/>
      <c r="AT9" s="2"/>
      <c r="AU9" s="2"/>
    </row>
    <row r="10">
      <c r="A10" s="2" t="str">
        <f t="shared" si="1"/>
        <v>X</v>
      </c>
      <c r="B10" s="2"/>
      <c r="C10" s="2"/>
      <c r="D10" s="2"/>
      <c r="E10" s="2">
        <v>4.0</v>
      </c>
      <c r="F10" s="2">
        <v>4.0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47</v>
      </c>
      <c r="AN10" s="2"/>
      <c r="AO10" s="2"/>
      <c r="AP10" s="2"/>
      <c r="AQ10" s="2"/>
      <c r="AR10" s="2"/>
      <c r="AS10" s="2"/>
      <c r="AT10" s="2"/>
      <c r="AU10" s="2"/>
    </row>
    <row r="11">
      <c r="A11" s="2" t="str">
        <f t="shared" si="1"/>
        <v>M</v>
      </c>
      <c r="B11" s="2"/>
      <c r="C11" s="2"/>
      <c r="D11" s="2"/>
      <c r="E11" s="2"/>
      <c r="F11" s="2">
        <v>4.0</v>
      </c>
      <c r="G11" s="2"/>
      <c r="H11" s="2"/>
      <c r="I11" s="2"/>
      <c r="J11" s="2"/>
      <c r="K11" s="2"/>
      <c r="L11" s="2"/>
      <c r="M11" s="2"/>
      <c r="N11" s="2"/>
      <c r="O11" s="2">
        <v>4.0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s">
        <v>48</v>
      </c>
      <c r="AN11" s="2"/>
      <c r="AO11" s="2"/>
      <c r="AP11" s="2"/>
      <c r="AQ11" s="2"/>
      <c r="AR11" s="2"/>
      <c r="AS11" s="2"/>
      <c r="AT11" s="2"/>
      <c r="AU11" s="2"/>
    </row>
    <row r="12">
      <c r="A12" s="2" t="str">
        <f t="shared" si="1"/>
        <v>C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>
        <v>4.0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4.0</v>
      </c>
      <c r="AD12" s="2"/>
      <c r="AE12" s="2"/>
      <c r="AF12" s="2"/>
      <c r="AG12" s="2"/>
      <c r="AH12" s="2"/>
      <c r="AI12" s="2"/>
      <c r="AJ12" s="2">
        <v>4.0</v>
      </c>
      <c r="AK12" s="2">
        <v>4.0</v>
      </c>
      <c r="AL12" s="2"/>
      <c r="AM12" s="2" t="s">
        <v>49</v>
      </c>
      <c r="AN12" s="2"/>
      <c r="AO12" s="2"/>
      <c r="AP12" s="2"/>
      <c r="AQ12" s="2"/>
      <c r="AR12" s="2"/>
      <c r="AS12" s="2"/>
      <c r="AT12" s="2"/>
      <c r="AU12" s="2"/>
    </row>
    <row r="13">
      <c r="A13" s="2" t="str">
        <f t="shared" si="1"/>
        <v>E</v>
      </c>
      <c r="B13" s="2"/>
      <c r="C13" s="2"/>
      <c r="D13" s="2"/>
      <c r="E13" s="2"/>
      <c r="F13" s="2"/>
      <c r="G13" s="2"/>
      <c r="H13" s="2">
        <v>4.0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4.0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>
        <v>4.0</v>
      </c>
      <c r="AH13" s="2"/>
      <c r="AI13" s="2"/>
      <c r="AJ13" s="2"/>
      <c r="AK13" s="2"/>
      <c r="AL13" s="2"/>
      <c r="AM13" s="2" t="s">
        <v>50</v>
      </c>
      <c r="AN13" s="2"/>
      <c r="AO13" s="2"/>
      <c r="AP13" s="2"/>
      <c r="AQ13" s="2"/>
      <c r="AR13" s="2"/>
      <c r="AS13" s="2"/>
      <c r="AT13" s="2"/>
      <c r="AU13" s="2"/>
    </row>
    <row r="14">
      <c r="A14" s="2" t="str">
        <f t="shared" si="1"/>
        <v>B</v>
      </c>
      <c r="B14" s="2"/>
      <c r="C14" s="2"/>
      <c r="D14" s="2"/>
      <c r="E14" s="2">
        <v>4.0</v>
      </c>
      <c r="F14" s="2"/>
      <c r="G14" s="2"/>
      <c r="H14" s="2">
        <v>4.0</v>
      </c>
      <c r="I14" s="2"/>
      <c r="J14" s="2"/>
      <c r="K14" s="2"/>
      <c r="L14" s="2"/>
      <c r="M14" s="2">
        <v>4.0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s">
        <v>51</v>
      </c>
      <c r="AN14" s="2"/>
      <c r="AO14" s="2"/>
      <c r="AP14" s="2"/>
      <c r="AQ14" s="2"/>
      <c r="AR14" s="2"/>
      <c r="AS14" s="2"/>
      <c r="AT14" s="2"/>
      <c r="AU14" s="2"/>
    </row>
    <row r="15">
      <c r="A15" s="2" t="str">
        <f t="shared" si="1"/>
        <v>P</v>
      </c>
      <c r="B15" s="2"/>
      <c r="C15" s="2"/>
      <c r="D15" s="2"/>
      <c r="E15" s="2"/>
      <c r="F15" s="2">
        <v>4.0</v>
      </c>
      <c r="G15" s="2"/>
      <c r="H15" s="2"/>
      <c r="I15" s="2">
        <v>4.0</v>
      </c>
      <c r="J15" s="2"/>
      <c r="K15" s="2"/>
      <c r="L15" s="2"/>
      <c r="M15" s="2"/>
      <c r="N15" s="2"/>
      <c r="O15" s="2"/>
      <c r="P15" s="2"/>
      <c r="Q15" s="2"/>
      <c r="R15" s="2"/>
      <c r="S15" s="2">
        <v>4.0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>
        <v>-4.0</v>
      </c>
      <c r="AH15" s="2"/>
      <c r="AI15" s="2"/>
      <c r="AJ15" s="2"/>
      <c r="AK15" s="2">
        <v>4.0</v>
      </c>
      <c r="AL15" s="2"/>
      <c r="AM15" s="2" t="s">
        <v>52</v>
      </c>
      <c r="AN15" s="2"/>
      <c r="AO15" s="2"/>
      <c r="AP15" s="2"/>
      <c r="AQ15" s="2"/>
      <c r="AR15" s="2"/>
      <c r="AS15" s="2"/>
      <c r="AT15" s="2"/>
      <c r="AU15" s="2"/>
    </row>
    <row r="16">
      <c r="A16" s="2" t="str">
        <f t="shared" si="1"/>
        <v/>
      </c>
      <c r="B16" s="2" t="b">
        <v>0</v>
      </c>
      <c r="C16" s="2" t="b">
        <v>1</v>
      </c>
      <c r="D16" s="2" t="b">
        <v>0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1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0</v>
      </c>
      <c r="R16" s="2" t="b">
        <v>1</v>
      </c>
      <c r="S16" s="2" t="b">
        <v>1</v>
      </c>
      <c r="T16" s="2" t="b">
        <v>1</v>
      </c>
      <c r="U16" s="2" t="b">
        <v>1</v>
      </c>
      <c r="V16" s="2" t="b">
        <v>1</v>
      </c>
      <c r="W16" s="2" t="b">
        <v>0</v>
      </c>
      <c r="X16" s="2" t="b">
        <v>0</v>
      </c>
      <c r="Y16" s="2" t="b">
        <v>1</v>
      </c>
      <c r="Z16" s="2" t="b">
        <v>1</v>
      </c>
      <c r="AA16" s="2" t="b">
        <v>1</v>
      </c>
      <c r="AB16" s="2" t="b">
        <v>1</v>
      </c>
      <c r="AC16" s="2" t="b">
        <v>1</v>
      </c>
      <c r="AD16" s="2" t="b">
        <v>0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b">
        <v>0</v>
      </c>
      <c r="AM16" s="2"/>
      <c r="AN16" s="2" t="b">
        <v>0</v>
      </c>
      <c r="AO16" s="2" t="b">
        <v>0</v>
      </c>
      <c r="AP16" s="2" t="b">
        <v>0</v>
      </c>
      <c r="AQ16" s="2" t="b">
        <v>0</v>
      </c>
      <c r="AR16" s="2" t="b">
        <v>0</v>
      </c>
      <c r="AS16" s="2" t="b">
        <v>0</v>
      </c>
      <c r="AT16" s="2" t="b">
        <v>0</v>
      </c>
      <c r="AU16" s="2" t="b">
        <v>0</v>
      </c>
    </row>
    <row r="17">
      <c r="A17" s="2" t="str">
        <f t="shared" si="1"/>
        <v>X</v>
      </c>
      <c r="B17" s="2"/>
      <c r="C17" s="2">
        <v>4.0</v>
      </c>
      <c r="D17" s="2"/>
      <c r="E17" s="2">
        <v>4.0</v>
      </c>
      <c r="F17" s="2"/>
      <c r="G17" s="2">
        <v>-4.0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4.0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>
        <v>4.0</v>
      </c>
      <c r="AL17" s="2"/>
      <c r="AM17" s="2" t="s">
        <v>47</v>
      </c>
      <c r="AN17" s="2"/>
      <c r="AO17" s="2"/>
      <c r="AP17" s="2"/>
      <c r="AQ17" s="2"/>
      <c r="AR17" s="2"/>
      <c r="AS17" s="2"/>
      <c r="AT17" s="2"/>
      <c r="AU17" s="2"/>
    </row>
    <row r="18">
      <c r="A18" s="2" t="str">
        <f t="shared" si="1"/>
        <v>M</v>
      </c>
      <c r="B18" s="2"/>
      <c r="C18" s="2"/>
      <c r="D18" s="2"/>
      <c r="E18" s="2"/>
      <c r="F18" s="2">
        <v>4.0</v>
      </c>
      <c r="G18" s="2"/>
      <c r="H18" s="2"/>
      <c r="I18" s="2">
        <v>4.0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v>4.0</v>
      </c>
      <c r="U18" s="2"/>
      <c r="V18" s="2"/>
      <c r="W18" s="2"/>
      <c r="X18" s="2"/>
      <c r="Y18" s="2"/>
      <c r="Z18" s="2"/>
      <c r="AA18" s="2"/>
      <c r="AB18" s="2"/>
      <c r="AC18" s="2">
        <v>-4.0</v>
      </c>
      <c r="AD18" s="2"/>
      <c r="AE18" s="2"/>
      <c r="AF18" s="2"/>
      <c r="AG18" s="2"/>
      <c r="AH18" s="2"/>
      <c r="AI18" s="2"/>
      <c r="AJ18" s="2"/>
      <c r="AK18" s="2"/>
      <c r="AL18" s="2"/>
      <c r="AM18" s="2" t="s">
        <v>48</v>
      </c>
      <c r="AN18" s="2"/>
      <c r="AO18" s="2"/>
      <c r="AP18" s="2"/>
      <c r="AQ18" s="2"/>
      <c r="AR18" s="2"/>
      <c r="AS18" s="2"/>
      <c r="AT18" s="2"/>
      <c r="AU18" s="2"/>
    </row>
    <row r="19">
      <c r="A19" s="2" t="str">
        <f t="shared" si="1"/>
        <v>C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4.0</v>
      </c>
      <c r="U19" s="2"/>
      <c r="V19" s="2"/>
      <c r="W19" s="2"/>
      <c r="X19" s="2"/>
      <c r="Y19" s="2"/>
      <c r="Z19" s="2"/>
      <c r="AA19" s="2"/>
      <c r="AB19" s="2"/>
      <c r="AC19" s="2">
        <v>-4.0</v>
      </c>
      <c r="AD19" s="2"/>
      <c r="AE19" s="2"/>
      <c r="AF19" s="2"/>
      <c r="AG19" s="2"/>
      <c r="AH19" s="2"/>
      <c r="AI19" s="2"/>
      <c r="AJ19" s="2">
        <v>4.0</v>
      </c>
      <c r="AK19" s="2">
        <v>4.0</v>
      </c>
      <c r="AL19" s="2"/>
      <c r="AM19" s="2" t="s">
        <v>49</v>
      </c>
      <c r="AN19" s="2"/>
      <c r="AO19" s="2"/>
      <c r="AP19" s="2"/>
      <c r="AQ19" s="2"/>
      <c r="AR19" s="2"/>
      <c r="AS19" s="2"/>
      <c r="AT19" s="2"/>
      <c r="AU19" s="2"/>
    </row>
    <row r="20">
      <c r="A20" s="2" t="str">
        <f t="shared" si="1"/>
        <v>E</v>
      </c>
      <c r="B20" s="2"/>
      <c r="C20" s="2"/>
      <c r="D20" s="2"/>
      <c r="E20" s="2">
        <v>4.0</v>
      </c>
      <c r="F20" s="2"/>
      <c r="G20" s="2"/>
      <c r="H20" s="2">
        <v>4.0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>
        <v>4.0</v>
      </c>
      <c r="T20" s="2"/>
      <c r="U20" s="2"/>
      <c r="V20" s="2"/>
      <c r="W20" s="2"/>
      <c r="X20" s="2"/>
      <c r="Y20" s="2"/>
      <c r="Z20" s="2">
        <v>4.0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">
        <v>50</v>
      </c>
      <c r="AN20" s="2"/>
      <c r="AO20" s="2"/>
      <c r="AP20" s="2"/>
      <c r="AQ20" s="2"/>
      <c r="AR20" s="2"/>
      <c r="AS20" s="2"/>
      <c r="AT20" s="2"/>
      <c r="AU20" s="2"/>
    </row>
    <row r="21">
      <c r="A21" s="2" t="str">
        <f t="shared" si="1"/>
        <v>B</v>
      </c>
      <c r="B21" s="2"/>
      <c r="C21" s="2"/>
      <c r="D21" s="2"/>
      <c r="E21" s="2">
        <v>4.0</v>
      </c>
      <c r="F21" s="2"/>
      <c r="G21" s="2"/>
      <c r="H21" s="2"/>
      <c r="I21" s="2"/>
      <c r="J21" s="2">
        <v>4.0</v>
      </c>
      <c r="K21" s="2"/>
      <c r="L21" s="2"/>
      <c r="M21" s="2"/>
      <c r="N21" s="2"/>
      <c r="O21" s="2"/>
      <c r="P21" s="2"/>
      <c r="Q21" s="2"/>
      <c r="R21" s="2"/>
      <c r="S21" s="2"/>
      <c r="T21" s="2">
        <v>4.0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>
        <v>4.0</v>
      </c>
      <c r="AL21" s="2"/>
      <c r="AM21" s="2" t="s">
        <v>51</v>
      </c>
      <c r="AN21" s="2"/>
      <c r="AO21" s="2"/>
      <c r="AP21" s="2"/>
      <c r="AQ21" s="2"/>
      <c r="AR21" s="2"/>
      <c r="AS21" s="2"/>
      <c r="AT21" s="2"/>
      <c r="AU21" s="2"/>
    </row>
    <row r="22">
      <c r="A22" s="2" t="str">
        <f t="shared" si="1"/>
        <v>P</v>
      </c>
      <c r="B22" s="2"/>
      <c r="C22" s="2"/>
      <c r="D22" s="2"/>
      <c r="E22" s="2"/>
      <c r="F22" s="2"/>
      <c r="G22" s="2">
        <v>4.0</v>
      </c>
      <c r="H22" s="2"/>
      <c r="I22" s="2"/>
      <c r="J22" s="2"/>
      <c r="K22" s="2">
        <v>4.0</v>
      </c>
      <c r="L22" s="2"/>
      <c r="M22" s="2"/>
      <c r="N22" s="2"/>
      <c r="O22" s="2"/>
      <c r="P22" s="2">
        <v>4.0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>
        <v>-4.0</v>
      </c>
      <c r="AB22" s="2"/>
      <c r="AC22" s="2"/>
      <c r="AD22" s="2"/>
      <c r="AE22" s="2"/>
      <c r="AF22" s="2"/>
      <c r="AG22" s="2">
        <v>4.0</v>
      </c>
      <c r="AH22" s="2"/>
      <c r="AI22" s="2"/>
      <c r="AJ22" s="2"/>
      <c r="AK22" s="2"/>
      <c r="AL22" s="2"/>
      <c r="AM22" s="2" t="s">
        <v>52</v>
      </c>
      <c r="AN22" s="2"/>
      <c r="AO22" s="2"/>
      <c r="AP22" s="2"/>
      <c r="AQ22" s="2"/>
      <c r="AR22" s="2"/>
      <c r="AS22" s="2"/>
      <c r="AT22" s="2"/>
      <c r="AU22" s="2"/>
    </row>
    <row r="23">
      <c r="A23" s="2" t="str">
        <f t="shared" si="1"/>
        <v>X</v>
      </c>
      <c r="B23" s="2"/>
      <c r="C23" s="2"/>
      <c r="D23" s="2"/>
      <c r="E23" s="2"/>
      <c r="F23" s="2"/>
      <c r="G23" s="2"/>
      <c r="H23" s="2">
        <v>4.0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4.0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>
        <v>4.0</v>
      </c>
      <c r="AH23" s="2"/>
      <c r="AI23" s="2"/>
      <c r="AJ23" s="2"/>
      <c r="AK23" s="2"/>
      <c r="AL23" s="2"/>
      <c r="AM23" s="2" t="s">
        <v>47</v>
      </c>
      <c r="AN23" s="2"/>
      <c r="AO23" s="2"/>
      <c r="AP23" s="2"/>
      <c r="AQ23" s="2"/>
      <c r="AR23" s="2"/>
      <c r="AS23" s="2"/>
      <c r="AT23" s="2"/>
      <c r="AU23" s="2"/>
    </row>
    <row r="24">
      <c r="A24" s="2" t="str">
        <f t="shared" si="1"/>
        <v>M</v>
      </c>
      <c r="B24" s="2"/>
      <c r="C24" s="2"/>
      <c r="D24" s="2"/>
      <c r="E24" s="2">
        <v>4.0</v>
      </c>
      <c r="F24" s="2"/>
      <c r="G24" s="2"/>
      <c r="H24" s="2"/>
      <c r="I24" s="2"/>
      <c r="J24" s="2"/>
      <c r="K24" s="2"/>
      <c r="L24" s="2"/>
      <c r="M24" s="2"/>
      <c r="N24" s="2"/>
      <c r="O24" s="2">
        <v>4.0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>
        <v>4.0</v>
      </c>
      <c r="AC24" s="2"/>
      <c r="AD24" s="2"/>
      <c r="AE24" s="2"/>
      <c r="AF24" s="2"/>
      <c r="AG24" s="2"/>
      <c r="AH24" s="2"/>
      <c r="AI24" s="2"/>
      <c r="AJ24" s="2"/>
      <c r="AK24" s="2">
        <v>4.0</v>
      </c>
      <c r="AL24" s="2"/>
      <c r="AM24" s="2" t="s">
        <v>48</v>
      </c>
      <c r="AN24" s="2"/>
      <c r="AO24" s="2"/>
      <c r="AP24" s="2"/>
      <c r="AQ24" s="2"/>
      <c r="AR24" s="2"/>
      <c r="AS24" s="2"/>
      <c r="AT24" s="2"/>
      <c r="AU24" s="2"/>
    </row>
    <row r="25">
      <c r="A25" s="2" t="str">
        <f t="shared" si="1"/>
        <v>C</v>
      </c>
      <c r="B25" s="2"/>
      <c r="C25" s="2"/>
      <c r="D25" s="2"/>
      <c r="E25" s="2">
        <v>4.0</v>
      </c>
      <c r="F25" s="2"/>
      <c r="G25" s="2"/>
      <c r="H25" s="2"/>
      <c r="I25" s="2"/>
      <c r="J25" s="2"/>
      <c r="K25" s="2"/>
      <c r="L25" s="2"/>
      <c r="M25" s="2"/>
      <c r="N25" s="2">
        <v>4.0</v>
      </c>
      <c r="O25" s="2"/>
      <c r="P25" s="2"/>
      <c r="Q25" s="2"/>
      <c r="R25" s="2"/>
      <c r="S25" s="2"/>
      <c r="T25" s="2"/>
      <c r="U25" s="2">
        <v>4.0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>
        <v>4.0</v>
      </c>
      <c r="AL25" s="2"/>
      <c r="AM25" s="2" t="s">
        <v>49</v>
      </c>
      <c r="AN25" s="2"/>
      <c r="AO25" s="2"/>
      <c r="AP25" s="2"/>
      <c r="AQ25" s="2"/>
      <c r="AR25" s="2"/>
      <c r="AS25" s="2"/>
      <c r="AT25" s="2"/>
      <c r="AU25" s="2"/>
    </row>
    <row r="26">
      <c r="A26" s="2" t="str">
        <f t="shared" si="1"/>
        <v>E</v>
      </c>
      <c r="B26" s="2"/>
      <c r="C26" s="2"/>
      <c r="D26" s="2"/>
      <c r="E26" s="2">
        <v>4.0</v>
      </c>
      <c r="F26" s="2"/>
      <c r="G26" s="2"/>
      <c r="H26" s="2">
        <v>4.0</v>
      </c>
      <c r="I26" s="2"/>
      <c r="J26" s="2"/>
      <c r="K26" s="2"/>
      <c r="L26" s="2"/>
      <c r="M26" s="2"/>
      <c r="N26" s="2"/>
      <c r="O26" s="2">
        <v>4.0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>
        <v>4.0</v>
      </c>
      <c r="AL26" s="2"/>
      <c r="AM26" s="2" t="s">
        <v>50</v>
      </c>
      <c r="AN26" s="2"/>
      <c r="AO26" s="2"/>
      <c r="AP26" s="2"/>
      <c r="AQ26" s="2"/>
      <c r="AR26" s="2"/>
      <c r="AS26" s="2"/>
      <c r="AT26" s="2"/>
      <c r="AU26" s="2"/>
    </row>
    <row r="27">
      <c r="A27" s="2" t="str">
        <f t="shared" si="1"/>
        <v>B</v>
      </c>
      <c r="B27" s="2"/>
      <c r="C27" s="2"/>
      <c r="D27" s="2"/>
      <c r="E27" s="2">
        <v>4.0</v>
      </c>
      <c r="F27" s="2">
        <v>4.0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4.0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s">
        <v>51</v>
      </c>
      <c r="AN27" s="2"/>
      <c r="AO27" s="2"/>
      <c r="AP27" s="2"/>
      <c r="AQ27" s="2"/>
      <c r="AR27" s="2"/>
      <c r="AS27" s="2"/>
      <c r="AT27" s="2"/>
      <c r="AU27" s="2"/>
    </row>
    <row r="28">
      <c r="A28" s="2" t="str">
        <f t="shared" si="1"/>
        <v>P</v>
      </c>
      <c r="B28" s="2"/>
      <c r="C28" s="2"/>
      <c r="D28" s="2"/>
      <c r="E28" s="2">
        <v>4.0</v>
      </c>
      <c r="F28" s="2"/>
      <c r="G28" s="2"/>
      <c r="H28" s="2"/>
      <c r="I28" s="2"/>
      <c r="J28" s="2"/>
      <c r="K28" s="2">
        <v>4.0</v>
      </c>
      <c r="L28" s="2"/>
      <c r="M28" s="2"/>
      <c r="N28" s="2"/>
      <c r="O28" s="2"/>
      <c r="P28" s="2">
        <v>4.0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>
        <v>4.0</v>
      </c>
      <c r="AL28" s="2"/>
      <c r="AM28" s="2" t="s">
        <v>52</v>
      </c>
      <c r="AN28" s="2"/>
      <c r="AO28" s="2"/>
      <c r="AP28" s="2"/>
      <c r="AQ28" s="2"/>
      <c r="AR28" s="2"/>
      <c r="AS28" s="2"/>
      <c r="AT28" s="2"/>
      <c r="AU28" s="2"/>
    </row>
    <row r="29">
      <c r="A29" s="2" t="str">
        <f t="shared" si="1"/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>
      <c r="A30" s="2" t="str">
        <f t="shared" si="1"/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>
      <c r="A31" s="2" t="str">
        <f t="shared" si="1"/>
        <v/>
      </c>
      <c r="B31" s="2" t="str">
        <f t="array" ref="B31:AU60">transpose(sort(transpose(All!A31:AT60),2,true))</f>
        <v>Cupertino A</v>
      </c>
      <c r="C31" s="2"/>
      <c r="D31" s="2"/>
      <c r="E31" s="2"/>
      <c r="F31" s="2"/>
      <c r="G31" s="2"/>
      <c r="H31" s="2"/>
      <c r="I31" s="2"/>
      <c r="J31" s="2"/>
      <c r="K31" s="2"/>
      <c r="L31" s="2" t="s">
        <v>6</v>
      </c>
      <c r="M31" s="2" t="s">
        <v>7</v>
      </c>
      <c r="N31" s="2"/>
      <c r="O31" s="2"/>
      <c r="P31" s="2" t="s">
        <v>4</v>
      </c>
      <c r="Q31" s="2"/>
      <c r="R31" s="2"/>
      <c r="S31" s="2"/>
      <c r="T31" s="2"/>
      <c r="U31" s="2"/>
      <c r="V31" s="2" t="s">
        <v>3</v>
      </c>
      <c r="W31" s="2"/>
      <c r="X31" s="2"/>
      <c r="Y31" s="2" t="s">
        <v>0</v>
      </c>
      <c r="Z31" s="2"/>
      <c r="AA31" s="2"/>
      <c r="AB31" s="2"/>
      <c r="AC31" s="2"/>
      <c r="AD31" s="2"/>
      <c r="AE31" s="2"/>
      <c r="AF31" s="2"/>
      <c r="AG31" s="2" t="s">
        <v>2</v>
      </c>
      <c r="AH31" s="2"/>
      <c r="AI31" s="2"/>
      <c r="AJ31" s="2"/>
      <c r="AK31" s="2" t="s">
        <v>1</v>
      </c>
      <c r="AL31" s="2"/>
      <c r="AM31" s="2"/>
      <c r="AN31" s="2"/>
      <c r="AO31" s="2"/>
      <c r="AP31" s="2"/>
      <c r="AQ31" s="2"/>
      <c r="AR31" s="2"/>
      <c r="AS31" s="2"/>
      <c r="AT31" s="2"/>
      <c r="AU31" s="2" t="s">
        <v>5</v>
      </c>
    </row>
    <row r="32">
      <c r="A32" s="2" t="str">
        <f t="shared" si="1"/>
        <v/>
      </c>
      <c r="B32" s="2" t="s">
        <v>43</v>
      </c>
      <c r="C32" s="2" t="s">
        <v>30</v>
      </c>
      <c r="D32" s="2" t="s">
        <v>45</v>
      </c>
      <c r="E32" s="2" t="s">
        <v>18</v>
      </c>
      <c r="F32" s="2" t="s">
        <v>33</v>
      </c>
      <c r="G32" s="2" t="s">
        <v>10</v>
      </c>
      <c r="H32" s="2" t="s">
        <v>32</v>
      </c>
      <c r="I32" s="2" t="s">
        <v>24</v>
      </c>
      <c r="J32" s="2" t="s">
        <v>29</v>
      </c>
      <c r="K32" s="2" t="s">
        <v>37</v>
      </c>
      <c r="L32" s="2" t="s">
        <v>34</v>
      </c>
      <c r="M32" s="2" t="s">
        <v>42</v>
      </c>
      <c r="N32" s="2" t="s">
        <v>27</v>
      </c>
      <c r="O32" s="2" t="s">
        <v>35</v>
      </c>
      <c r="P32" s="2" t="s">
        <v>26</v>
      </c>
      <c r="Q32" s="2" t="s">
        <v>44</v>
      </c>
      <c r="R32" s="2" t="s">
        <v>41</v>
      </c>
      <c r="S32" s="2" t="s">
        <v>40</v>
      </c>
      <c r="T32" s="2" t="s">
        <v>36</v>
      </c>
      <c r="U32" s="2" t="s">
        <v>53</v>
      </c>
      <c r="V32" s="2" t="s">
        <v>22</v>
      </c>
      <c r="W32" s="2" t="s">
        <v>38</v>
      </c>
      <c r="X32" s="2" t="s">
        <v>46</v>
      </c>
      <c r="Y32" s="2" t="s">
        <v>9</v>
      </c>
      <c r="Z32" s="2" t="s">
        <v>11</v>
      </c>
      <c r="AA32" s="2" t="s">
        <v>39</v>
      </c>
      <c r="AB32" s="2" t="s">
        <v>31</v>
      </c>
      <c r="AC32" s="2" t="s">
        <v>17</v>
      </c>
      <c r="AD32" s="2" t="s">
        <v>23</v>
      </c>
      <c r="AE32" s="2" t="s">
        <v>12</v>
      </c>
      <c r="AF32" s="2" t="s">
        <v>20</v>
      </c>
      <c r="AG32" s="2" t="s">
        <v>54</v>
      </c>
      <c r="AH32" s="2" t="s">
        <v>13</v>
      </c>
      <c r="AI32" s="2" t="s">
        <v>15</v>
      </c>
      <c r="AJ32" s="2" t="s">
        <v>28</v>
      </c>
      <c r="AK32" s="2" t="s">
        <v>14</v>
      </c>
      <c r="AL32" s="2" t="s">
        <v>25</v>
      </c>
      <c r="AM32" s="2"/>
      <c r="AN32" s="2"/>
      <c r="AO32" s="2"/>
      <c r="AP32" s="2"/>
      <c r="AQ32" s="2"/>
      <c r="AR32" s="2"/>
      <c r="AS32" s="2"/>
      <c r="AT32" s="2"/>
      <c r="AU32" s="2"/>
    </row>
    <row r="33">
      <c r="A33" s="2" t="str">
        <f t="shared" si="1"/>
        <v/>
      </c>
      <c r="B33" s="2" t="b">
        <v>1</v>
      </c>
      <c r="C33" s="2" t="b">
        <v>1</v>
      </c>
      <c r="D33" s="2" t="b">
        <v>1</v>
      </c>
      <c r="E33" s="2" t="b">
        <v>1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0</v>
      </c>
      <c r="P33" s="2" t="b">
        <v>1</v>
      </c>
      <c r="Q33" s="2" t="b">
        <v>1</v>
      </c>
      <c r="R33" s="2" t="b">
        <v>1</v>
      </c>
      <c r="S33" s="2" t="b">
        <v>1</v>
      </c>
      <c r="T33" s="2" t="b">
        <v>0</v>
      </c>
      <c r="U33" s="2" t="b">
        <v>1</v>
      </c>
      <c r="V33" s="2" t="b">
        <v>1</v>
      </c>
      <c r="W33" s="2" t="b">
        <v>0</v>
      </c>
      <c r="X33" s="2" t="b">
        <v>1</v>
      </c>
      <c r="Y33" s="2" t="b">
        <v>1</v>
      </c>
      <c r="Z33" s="2" t="b">
        <v>1</v>
      </c>
      <c r="AA33" s="2" t="b">
        <v>1</v>
      </c>
      <c r="AB33" s="2" t="b">
        <v>1</v>
      </c>
      <c r="AC33" s="2" t="b">
        <v>1</v>
      </c>
      <c r="AD33" s="2" t="b">
        <v>0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b">
        <v>0</v>
      </c>
      <c r="AM33" s="2"/>
      <c r="AN33" s="2" t="b">
        <v>0</v>
      </c>
      <c r="AO33" s="2" t="b">
        <v>0</v>
      </c>
      <c r="AP33" s="2" t="b">
        <v>0</v>
      </c>
      <c r="AQ33" s="2" t="b">
        <v>0</v>
      </c>
      <c r="AR33" s="2" t="b">
        <v>0</v>
      </c>
      <c r="AS33" s="2" t="b">
        <v>0</v>
      </c>
      <c r="AT33" s="2" t="b">
        <v>0</v>
      </c>
      <c r="AU33" s="2" t="b">
        <v>0</v>
      </c>
    </row>
    <row r="34">
      <c r="A34" s="2" t="str">
        <f t="shared" si="1"/>
        <v>X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>
        <v>4.0</v>
      </c>
      <c r="Z34" s="2"/>
      <c r="AA34" s="2"/>
      <c r="AB34" s="2">
        <v>4.0</v>
      </c>
      <c r="AC34" s="2"/>
      <c r="AD34" s="2"/>
      <c r="AE34" s="2"/>
      <c r="AF34" s="2"/>
      <c r="AG34" s="2"/>
      <c r="AH34" s="2"/>
      <c r="AI34" s="2"/>
      <c r="AJ34" s="2"/>
      <c r="AK34" s="2">
        <v>4.0</v>
      </c>
      <c r="AL34" s="2"/>
      <c r="AM34" s="2" t="s">
        <v>47</v>
      </c>
      <c r="AN34" s="2"/>
      <c r="AO34" s="2"/>
      <c r="AP34" s="2"/>
      <c r="AQ34" s="2"/>
      <c r="AR34" s="2"/>
      <c r="AS34" s="2"/>
      <c r="AT34" s="2"/>
      <c r="AU34" s="2"/>
    </row>
    <row r="35">
      <c r="A35" s="2" t="str">
        <f t="shared" si="1"/>
        <v>M</v>
      </c>
      <c r="B35" s="2"/>
      <c r="C35" s="2"/>
      <c r="D35" s="2"/>
      <c r="E35" s="2"/>
      <c r="F35" s="2">
        <v>-4.0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>
        <v>4.0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>
        <v>4.0</v>
      </c>
      <c r="AH35" s="2"/>
      <c r="AI35" s="2"/>
      <c r="AJ35" s="2">
        <v>4.0</v>
      </c>
      <c r="AK35" s="2">
        <v>4.0</v>
      </c>
      <c r="AL35" s="2"/>
      <c r="AM35" s="2" t="s">
        <v>48</v>
      </c>
      <c r="AN35" s="2"/>
      <c r="AO35" s="2"/>
      <c r="AP35" s="2"/>
      <c r="AQ35" s="2"/>
      <c r="AR35" s="2"/>
      <c r="AS35" s="2"/>
      <c r="AT35" s="2"/>
      <c r="AU35" s="2"/>
    </row>
    <row r="36">
      <c r="A36" s="2" t="str">
        <f t="shared" si="1"/>
        <v>C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4.0</v>
      </c>
      <c r="O36" s="2"/>
      <c r="P36" s="2"/>
      <c r="Q36" s="2">
        <v>-4.0</v>
      </c>
      <c r="R36" s="2"/>
      <c r="S36" s="2"/>
      <c r="T36" s="2"/>
      <c r="U36" s="2"/>
      <c r="V36" s="2">
        <v>4.0</v>
      </c>
      <c r="W36" s="2"/>
      <c r="X36" s="2"/>
      <c r="Y36" s="2"/>
      <c r="Z36" s="2"/>
      <c r="AA36" s="2"/>
      <c r="AB36" s="2"/>
      <c r="AC36" s="2">
        <v>4.0</v>
      </c>
      <c r="AD36" s="2"/>
      <c r="AE36" s="2"/>
      <c r="AF36" s="2"/>
      <c r="AG36" s="2"/>
      <c r="AH36" s="2"/>
      <c r="AI36" s="2"/>
      <c r="AJ36" s="2"/>
      <c r="AK36" s="2"/>
      <c r="AL36" s="2"/>
      <c r="AM36" s="2" t="s">
        <v>49</v>
      </c>
      <c r="AN36" s="2"/>
      <c r="AO36" s="2"/>
      <c r="AP36" s="2"/>
      <c r="AQ36" s="2"/>
      <c r="AR36" s="2"/>
      <c r="AS36" s="2"/>
      <c r="AT36" s="2"/>
      <c r="AU36" s="2"/>
    </row>
    <row r="37">
      <c r="A37" s="2" t="str">
        <f t="shared" si="1"/>
        <v>E</v>
      </c>
      <c r="B37" s="2">
        <v>4.0</v>
      </c>
      <c r="C37" s="2"/>
      <c r="D37" s="2"/>
      <c r="E37" s="2">
        <v>4.0</v>
      </c>
      <c r="F37" s="2"/>
      <c r="G37" s="2"/>
      <c r="H37" s="2"/>
      <c r="I37" s="2"/>
      <c r="J37" s="2"/>
      <c r="K37" s="2"/>
      <c r="L37" s="2"/>
      <c r="M37" s="2"/>
      <c r="N37" s="2">
        <v>4.0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s">
        <v>50</v>
      </c>
      <c r="AN37" s="2"/>
      <c r="AO37" s="2"/>
      <c r="AP37" s="2"/>
      <c r="AQ37" s="2"/>
      <c r="AR37" s="2"/>
      <c r="AS37" s="2"/>
      <c r="AT37" s="2"/>
      <c r="AU37" s="2"/>
    </row>
    <row r="38">
      <c r="A38" s="2" t="str">
        <f t="shared" si="1"/>
        <v>B</v>
      </c>
      <c r="B38" s="2"/>
      <c r="C38" s="2"/>
      <c r="D38" s="2"/>
      <c r="E38" s="2">
        <v>4.0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4.0</v>
      </c>
      <c r="Q38" s="2">
        <v>4.0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>
        <v>4.0</v>
      </c>
      <c r="AI38" s="2"/>
      <c r="AJ38" s="2"/>
      <c r="AK38" s="2"/>
      <c r="AL38" s="2"/>
      <c r="AM38" s="2" t="s">
        <v>51</v>
      </c>
      <c r="AN38" s="2"/>
      <c r="AO38" s="2"/>
      <c r="AP38" s="2"/>
      <c r="AQ38" s="2"/>
      <c r="AR38" s="2"/>
      <c r="AS38" s="2"/>
      <c r="AT38" s="2"/>
      <c r="AU38" s="2"/>
    </row>
    <row r="39">
      <c r="A39" s="2" t="str">
        <f t="shared" si="1"/>
        <v>P</v>
      </c>
      <c r="B39" s="2"/>
      <c r="C39" s="2"/>
      <c r="D39" s="2"/>
      <c r="E39" s="2">
        <v>4.0</v>
      </c>
      <c r="F39" s="2"/>
      <c r="G39" s="2"/>
      <c r="H39" s="2"/>
      <c r="I39" s="2"/>
      <c r="J39" s="2"/>
      <c r="K39" s="2"/>
      <c r="L39" s="2"/>
      <c r="M39" s="2"/>
      <c r="N39" s="2">
        <v>4.0</v>
      </c>
      <c r="O39" s="2"/>
      <c r="P39" s="2"/>
      <c r="Q39" s="2">
        <v>4.0</v>
      </c>
      <c r="R39" s="2"/>
      <c r="S39" s="2"/>
      <c r="T39" s="2"/>
      <c r="U39" s="2"/>
      <c r="V39" s="2">
        <v>4.0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s">
        <v>52</v>
      </c>
      <c r="AN39" s="2"/>
      <c r="AO39" s="2"/>
      <c r="AP39" s="2"/>
      <c r="AQ39" s="2"/>
      <c r="AR39" s="2"/>
      <c r="AS39" s="2"/>
      <c r="AT39" s="2"/>
      <c r="AU39" s="2"/>
    </row>
    <row r="40">
      <c r="A40" s="2" t="str">
        <f t="shared" si="1"/>
        <v>X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4.0</v>
      </c>
      <c r="O40" s="2"/>
      <c r="P40" s="2"/>
      <c r="Q40" s="2">
        <v>4.0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v>4.0</v>
      </c>
      <c r="AD40" s="2"/>
      <c r="AE40" s="2"/>
      <c r="AF40" s="2"/>
      <c r="AG40" s="2"/>
      <c r="AH40" s="2"/>
      <c r="AI40" s="2"/>
      <c r="AJ40" s="2"/>
      <c r="AK40" s="2"/>
      <c r="AL40" s="2"/>
      <c r="AM40" s="2" t="s">
        <v>47</v>
      </c>
      <c r="AN40" s="2"/>
      <c r="AO40" s="2"/>
      <c r="AP40" s="2"/>
      <c r="AQ40" s="2"/>
      <c r="AR40" s="2"/>
      <c r="AS40" s="2"/>
      <c r="AT40" s="2"/>
      <c r="AU40" s="2"/>
    </row>
    <row r="41">
      <c r="A41" s="2" t="str">
        <f t="shared" si="1"/>
        <v>M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v>4.0</v>
      </c>
      <c r="R41" s="2"/>
      <c r="S41" s="2"/>
      <c r="T41" s="2"/>
      <c r="U41" s="2"/>
      <c r="V41" s="2"/>
      <c r="W41" s="2"/>
      <c r="X41" s="2"/>
      <c r="Y41" s="2"/>
      <c r="Z41" s="2"/>
      <c r="AA41" s="2">
        <v>4.0</v>
      </c>
      <c r="AB41" s="2">
        <v>4.0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s">
        <v>48</v>
      </c>
      <c r="AN41" s="2"/>
      <c r="AO41" s="2"/>
      <c r="AP41" s="2"/>
      <c r="AQ41" s="2"/>
      <c r="AR41" s="2"/>
      <c r="AS41" s="2"/>
      <c r="AT41" s="2"/>
      <c r="AU41" s="2"/>
    </row>
    <row r="42">
      <c r="A42" s="2" t="str">
        <f t="shared" si="1"/>
        <v>C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>
        <v>4.0</v>
      </c>
      <c r="R42" s="2"/>
      <c r="S42" s="2"/>
      <c r="T42" s="2"/>
      <c r="U42" s="2">
        <v>4.0</v>
      </c>
      <c r="V42" s="2"/>
      <c r="W42" s="2"/>
      <c r="X42" s="2"/>
      <c r="Y42" s="2"/>
      <c r="Z42" s="2"/>
      <c r="AA42" s="2"/>
      <c r="AB42" s="2"/>
      <c r="AC42" s="2">
        <v>4.0</v>
      </c>
      <c r="AD42" s="2"/>
      <c r="AE42" s="2"/>
      <c r="AF42" s="2"/>
      <c r="AG42" s="2"/>
      <c r="AH42" s="2"/>
      <c r="AI42" s="2"/>
      <c r="AJ42" s="2"/>
      <c r="AK42" s="2"/>
      <c r="AL42" s="2"/>
      <c r="AM42" s="2" t="s">
        <v>49</v>
      </c>
      <c r="AN42" s="2"/>
      <c r="AO42" s="2"/>
      <c r="AP42" s="2"/>
      <c r="AQ42" s="2"/>
      <c r="AR42" s="2"/>
      <c r="AS42" s="2"/>
      <c r="AT42" s="2"/>
      <c r="AU42" s="2"/>
    </row>
    <row r="43">
      <c r="A43" s="2" t="str">
        <f t="shared" si="1"/>
        <v>E</v>
      </c>
      <c r="B43" s="2"/>
      <c r="C43" s="2"/>
      <c r="D43" s="2"/>
      <c r="E43" s="2">
        <v>-4.0</v>
      </c>
      <c r="F43" s="2"/>
      <c r="G43" s="2"/>
      <c r="H43" s="2">
        <v>4.0</v>
      </c>
      <c r="I43" s="2"/>
      <c r="J43" s="2"/>
      <c r="K43" s="2"/>
      <c r="L43" s="2"/>
      <c r="M43" s="2"/>
      <c r="N43" s="2"/>
      <c r="O43" s="2"/>
      <c r="P43" s="2"/>
      <c r="Q43" s="2">
        <v>4.0</v>
      </c>
      <c r="R43" s="2"/>
      <c r="S43" s="2"/>
      <c r="T43" s="2"/>
      <c r="U43" s="2">
        <v>4.0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s">
        <v>50</v>
      </c>
      <c r="AN43" s="2"/>
      <c r="AO43" s="2"/>
      <c r="AP43" s="2"/>
      <c r="AQ43" s="2"/>
      <c r="AR43" s="2"/>
      <c r="AS43" s="2"/>
      <c r="AT43" s="2"/>
      <c r="AU43" s="2"/>
    </row>
    <row r="44">
      <c r="A44" s="2" t="str">
        <f t="shared" si="1"/>
        <v>B</v>
      </c>
      <c r="B44" s="2">
        <v>4.0</v>
      </c>
      <c r="C44" s="2"/>
      <c r="D44" s="2"/>
      <c r="E44" s="2">
        <v>4.0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s">
        <v>51</v>
      </c>
      <c r="AN44" s="2"/>
      <c r="AO44" s="2"/>
      <c r="AP44" s="2"/>
      <c r="AQ44" s="2"/>
      <c r="AR44" s="2"/>
      <c r="AS44" s="2"/>
      <c r="AT44" s="2"/>
      <c r="AU44" s="2"/>
    </row>
    <row r="45">
      <c r="A45" s="2" t="str">
        <f t="shared" si="1"/>
        <v>P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>
        <v>4.0</v>
      </c>
      <c r="AB45" s="2"/>
      <c r="AC45" s="2"/>
      <c r="AD45" s="2"/>
      <c r="AE45" s="2"/>
      <c r="AF45" s="2"/>
      <c r="AG45" s="2">
        <v>4.0</v>
      </c>
      <c r="AH45" s="2"/>
      <c r="AI45" s="2"/>
      <c r="AJ45" s="2"/>
      <c r="AK45" s="2">
        <v>4.0</v>
      </c>
      <c r="AL45" s="2"/>
      <c r="AM45" s="2" t="s">
        <v>52</v>
      </c>
      <c r="AN45" s="2"/>
      <c r="AO45" s="2"/>
      <c r="AP45" s="2"/>
      <c r="AQ45" s="2"/>
      <c r="AR45" s="2"/>
      <c r="AS45" s="2"/>
      <c r="AT45" s="2"/>
      <c r="AU45" s="2"/>
    </row>
    <row r="46">
      <c r="A46" s="2" t="str">
        <f t="shared" si="1"/>
        <v/>
      </c>
      <c r="B46" s="2" t="b">
        <v>1</v>
      </c>
      <c r="C46" s="2" t="b">
        <v>1</v>
      </c>
      <c r="D46" s="2" t="b">
        <v>1</v>
      </c>
      <c r="E46" s="2" t="b">
        <v>1</v>
      </c>
      <c r="F46" s="2" t="b">
        <v>1</v>
      </c>
      <c r="G46" s="2" t="b">
        <v>1</v>
      </c>
      <c r="H46" s="2" t="b">
        <v>1</v>
      </c>
      <c r="I46" s="2" t="b">
        <v>1</v>
      </c>
      <c r="J46" s="2" t="b">
        <v>1</v>
      </c>
      <c r="K46" s="2" t="b">
        <v>0</v>
      </c>
      <c r="L46" s="2" t="b">
        <v>0</v>
      </c>
      <c r="M46" s="2" t="b">
        <v>1</v>
      </c>
      <c r="N46" s="2" t="b">
        <v>1</v>
      </c>
      <c r="O46" s="2" t="b">
        <v>0</v>
      </c>
      <c r="P46" s="2" t="b">
        <v>1</v>
      </c>
      <c r="Q46" s="2" t="b">
        <v>1</v>
      </c>
      <c r="R46" s="2" t="b">
        <v>1</v>
      </c>
      <c r="S46" s="2" t="b">
        <v>1</v>
      </c>
      <c r="T46" s="2" t="b">
        <v>0</v>
      </c>
      <c r="U46" s="2" t="b">
        <v>1</v>
      </c>
      <c r="V46" s="2" t="b">
        <v>1</v>
      </c>
      <c r="W46" s="2" t="b">
        <v>0</v>
      </c>
      <c r="X46" s="2" t="b">
        <v>1</v>
      </c>
      <c r="Y46" s="2" t="b">
        <v>1</v>
      </c>
      <c r="Z46" s="2" t="b">
        <v>1</v>
      </c>
      <c r="AA46" s="2" t="b">
        <v>1</v>
      </c>
      <c r="AB46" s="2" t="b">
        <v>1</v>
      </c>
      <c r="AC46" s="2" t="b">
        <v>1</v>
      </c>
      <c r="AD46" s="2" t="b">
        <v>0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b">
        <v>0</v>
      </c>
      <c r="AM46" s="2"/>
      <c r="AN46" s="2" t="b">
        <v>0</v>
      </c>
      <c r="AO46" s="2" t="b">
        <v>0</v>
      </c>
      <c r="AP46" s="2" t="b">
        <v>0</v>
      </c>
      <c r="AQ46" s="2" t="b">
        <v>0</v>
      </c>
      <c r="AR46" s="2" t="b">
        <v>0</v>
      </c>
      <c r="AS46" s="2" t="b">
        <v>0</v>
      </c>
      <c r="AT46" s="2" t="b">
        <v>0</v>
      </c>
      <c r="AU46" s="2" t="b">
        <v>0</v>
      </c>
    </row>
    <row r="47">
      <c r="A47" s="2" t="str">
        <f t="shared" si="1"/>
        <v>X</v>
      </c>
      <c r="B47" s="2"/>
      <c r="C47" s="2"/>
      <c r="D47" s="2"/>
      <c r="E47" s="2">
        <v>-4.0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s">
        <v>47</v>
      </c>
      <c r="AN47" s="2"/>
      <c r="AO47" s="2"/>
      <c r="AP47" s="2"/>
      <c r="AQ47" s="2"/>
      <c r="AR47" s="2"/>
      <c r="AS47" s="2"/>
      <c r="AT47" s="2"/>
      <c r="AU47" s="2"/>
    </row>
    <row r="48">
      <c r="A48" s="2" t="str">
        <f t="shared" si="1"/>
        <v>M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4.0</v>
      </c>
      <c r="Q48" s="2"/>
      <c r="R48" s="2"/>
      <c r="S48" s="2"/>
      <c r="T48" s="2"/>
      <c r="U48" s="2"/>
      <c r="V48" s="2"/>
      <c r="W48" s="2"/>
      <c r="X48" s="2">
        <v>4.0</v>
      </c>
      <c r="Y48" s="2">
        <v>4.0</v>
      </c>
      <c r="Z48" s="2"/>
      <c r="AA48" s="2"/>
      <c r="AB48" s="2"/>
      <c r="AC48" s="2">
        <v>4.0</v>
      </c>
      <c r="AD48" s="2"/>
      <c r="AE48" s="2"/>
      <c r="AF48" s="2"/>
      <c r="AG48" s="2"/>
      <c r="AH48" s="2"/>
      <c r="AI48" s="2"/>
      <c r="AJ48" s="2"/>
      <c r="AK48" s="2"/>
      <c r="AL48" s="2"/>
      <c r="AM48" s="2" t="s">
        <v>48</v>
      </c>
      <c r="AN48" s="2"/>
      <c r="AO48" s="2"/>
      <c r="AP48" s="2"/>
      <c r="AQ48" s="2"/>
      <c r="AR48" s="2"/>
      <c r="AS48" s="2"/>
      <c r="AT48" s="2"/>
      <c r="AU48" s="2"/>
    </row>
    <row r="49">
      <c r="A49" s="2" t="str">
        <f t="shared" si="1"/>
        <v>C</v>
      </c>
      <c r="B49" s="2"/>
      <c r="C49" s="2"/>
      <c r="D49" s="2"/>
      <c r="E49" s="2">
        <v>4.0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>
        <v>4.0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>
        <v>4.0</v>
      </c>
      <c r="AK49" s="2">
        <v>4.0</v>
      </c>
      <c r="AL49" s="2"/>
      <c r="AM49" s="2" t="s">
        <v>49</v>
      </c>
      <c r="AN49" s="2"/>
      <c r="AO49" s="2"/>
      <c r="AP49" s="2"/>
      <c r="AQ49" s="2"/>
      <c r="AR49" s="2"/>
      <c r="AS49" s="2"/>
      <c r="AT49" s="2"/>
      <c r="AU49" s="2"/>
    </row>
    <row r="50">
      <c r="A50" s="2" t="str">
        <f t="shared" si="1"/>
        <v>E</v>
      </c>
      <c r="B50" s="2"/>
      <c r="C50" s="2"/>
      <c r="D50" s="2"/>
      <c r="E50" s="2"/>
      <c r="F50" s="2"/>
      <c r="G50" s="2"/>
      <c r="H50" s="2">
        <v>4.0</v>
      </c>
      <c r="I50" s="2"/>
      <c r="J50" s="2"/>
      <c r="K50" s="2"/>
      <c r="L50" s="2"/>
      <c r="M50" s="2"/>
      <c r="N50" s="2"/>
      <c r="O50" s="2"/>
      <c r="P50" s="2"/>
      <c r="Q50" s="2">
        <v>4.0</v>
      </c>
      <c r="R50" s="2"/>
      <c r="S50" s="2"/>
      <c r="T50" s="2"/>
      <c r="U50" s="2"/>
      <c r="V50" s="2"/>
      <c r="W50" s="2"/>
      <c r="X50" s="2"/>
      <c r="Y50" s="2"/>
      <c r="Z50" s="2">
        <v>4.0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s">
        <v>50</v>
      </c>
      <c r="AN50" s="2"/>
      <c r="AO50" s="2"/>
      <c r="AP50" s="2"/>
      <c r="AQ50" s="2"/>
      <c r="AR50" s="2"/>
      <c r="AS50" s="2"/>
      <c r="AT50" s="2"/>
      <c r="AU50" s="2"/>
    </row>
    <row r="51">
      <c r="A51" s="2" t="str">
        <f t="shared" si="1"/>
        <v>B</v>
      </c>
      <c r="B51" s="2">
        <v>4.0</v>
      </c>
      <c r="C51" s="2"/>
      <c r="D51" s="2"/>
      <c r="E51" s="2">
        <v>4.0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4.0</v>
      </c>
      <c r="Q51" s="2"/>
      <c r="R51" s="2"/>
      <c r="S51" s="2"/>
      <c r="T51" s="2"/>
      <c r="U51" s="2"/>
      <c r="V51" s="2"/>
      <c r="W51" s="2"/>
      <c r="X51" s="2"/>
      <c r="Y51" s="2">
        <v>4.0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s">
        <v>51</v>
      </c>
      <c r="AN51" s="2"/>
      <c r="AO51" s="2"/>
      <c r="AP51" s="2"/>
      <c r="AQ51" s="2"/>
      <c r="AR51" s="2"/>
      <c r="AS51" s="2"/>
      <c r="AT51" s="2"/>
      <c r="AU51" s="2"/>
    </row>
    <row r="52">
      <c r="A52" s="2" t="str">
        <f t="shared" si="1"/>
        <v>P</v>
      </c>
      <c r="B52" s="2"/>
      <c r="C52" s="2"/>
      <c r="D52" s="2">
        <v>4.0</v>
      </c>
      <c r="E52" s="2">
        <v>4.0</v>
      </c>
      <c r="F52" s="2"/>
      <c r="G52" s="2">
        <v>4.0</v>
      </c>
      <c r="H52" s="2"/>
      <c r="I52" s="2"/>
      <c r="J52" s="2">
        <v>4.0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s">
        <v>52</v>
      </c>
      <c r="AN52" s="2"/>
      <c r="AO52" s="2"/>
      <c r="AP52" s="2"/>
      <c r="AQ52" s="2"/>
      <c r="AR52" s="2"/>
      <c r="AS52" s="2"/>
      <c r="AT52" s="2"/>
      <c r="AU52" s="2"/>
    </row>
    <row r="53">
      <c r="A53" s="2" t="str">
        <f t="shared" si="1"/>
        <v>X</v>
      </c>
      <c r="B53" s="2">
        <v>4.0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4.0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>
        <v>4.0</v>
      </c>
      <c r="AD53" s="2"/>
      <c r="AE53" s="2"/>
      <c r="AF53" s="2"/>
      <c r="AG53" s="2"/>
      <c r="AH53" s="2"/>
      <c r="AI53" s="2"/>
      <c r="AJ53" s="2"/>
      <c r="AK53" s="2"/>
      <c r="AL53" s="2"/>
      <c r="AM53" s="2" t="s">
        <v>47</v>
      </c>
      <c r="AN53" s="2"/>
      <c r="AO53" s="2"/>
      <c r="AP53" s="2"/>
      <c r="AQ53" s="2"/>
      <c r="AR53" s="2"/>
      <c r="AS53" s="2"/>
      <c r="AT53" s="2"/>
      <c r="AU53" s="2"/>
    </row>
    <row r="54">
      <c r="A54" s="2" t="str">
        <f t="shared" si="1"/>
        <v>M</v>
      </c>
      <c r="B54" s="2"/>
      <c r="C54" s="2"/>
      <c r="D54" s="2"/>
      <c r="E54" s="2">
        <v>4.0</v>
      </c>
      <c r="F54" s="2"/>
      <c r="G54" s="2">
        <v>4.0</v>
      </c>
      <c r="H54" s="2"/>
      <c r="I54" s="2"/>
      <c r="J54" s="2"/>
      <c r="K54" s="2"/>
      <c r="L54" s="2"/>
      <c r="M54" s="2"/>
      <c r="N54" s="2"/>
      <c r="O54" s="2"/>
      <c r="P54" s="2">
        <v>4.0</v>
      </c>
      <c r="Q54" s="2"/>
      <c r="R54" s="2"/>
      <c r="S54" s="2"/>
      <c r="T54" s="2"/>
      <c r="U54" s="2"/>
      <c r="V54" s="2"/>
      <c r="W54" s="2"/>
      <c r="X54" s="2">
        <v>4.0</v>
      </c>
      <c r="Y54" s="2"/>
      <c r="Z54" s="2"/>
      <c r="AA54" s="2"/>
      <c r="AB54" s="2">
        <v>-4.0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s">
        <v>48</v>
      </c>
      <c r="AN54" s="2"/>
      <c r="AO54" s="2"/>
      <c r="AP54" s="2"/>
      <c r="AQ54" s="2"/>
      <c r="AR54" s="2"/>
      <c r="AS54" s="2"/>
      <c r="AT54" s="2"/>
      <c r="AU54" s="2"/>
    </row>
    <row r="55">
      <c r="A55" s="2" t="str">
        <f t="shared" si="1"/>
        <v>C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4.0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>
        <v>4.0</v>
      </c>
      <c r="Z55" s="2"/>
      <c r="AA55" s="2"/>
      <c r="AB55" s="2">
        <v>4.0</v>
      </c>
      <c r="AC55" s="2"/>
      <c r="AD55" s="2"/>
      <c r="AE55" s="2"/>
      <c r="AF55" s="2"/>
      <c r="AG55" s="2"/>
      <c r="AH55" s="2"/>
      <c r="AI55" s="2"/>
      <c r="AJ55" s="2"/>
      <c r="AK55" s="2">
        <v>4.0</v>
      </c>
      <c r="AL55" s="2"/>
      <c r="AM55" s="2" t="s">
        <v>49</v>
      </c>
      <c r="AN55" s="2"/>
      <c r="AO55" s="2"/>
      <c r="AP55" s="2"/>
      <c r="AQ55" s="2"/>
      <c r="AR55" s="2"/>
      <c r="AS55" s="2"/>
      <c r="AT55" s="2"/>
      <c r="AU55" s="2"/>
    </row>
    <row r="56">
      <c r="A56" s="2" t="str">
        <f t="shared" si="1"/>
        <v>E</v>
      </c>
      <c r="B56" s="2"/>
      <c r="C56" s="2"/>
      <c r="D56" s="2"/>
      <c r="E56" s="2">
        <v>4.0</v>
      </c>
      <c r="F56" s="2"/>
      <c r="G56" s="2"/>
      <c r="H56" s="2"/>
      <c r="I56" s="2"/>
      <c r="J56" s="2">
        <v>4.0</v>
      </c>
      <c r="K56" s="2"/>
      <c r="L56" s="2"/>
      <c r="M56" s="2"/>
      <c r="N56" s="2"/>
      <c r="O56" s="2"/>
      <c r="P56" s="2"/>
      <c r="Q56" s="2">
        <v>4.0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s">
        <v>50</v>
      </c>
      <c r="AN56" s="2"/>
      <c r="AO56" s="2"/>
      <c r="AP56" s="2"/>
      <c r="AQ56" s="2"/>
      <c r="AR56" s="2"/>
      <c r="AS56" s="2"/>
      <c r="AT56" s="2"/>
      <c r="AU56" s="2"/>
    </row>
    <row r="57">
      <c r="A57" s="2" t="str">
        <f t="shared" si="1"/>
        <v>B</v>
      </c>
      <c r="B57" s="2">
        <v>4.0</v>
      </c>
      <c r="C57" s="2">
        <v>4.0</v>
      </c>
      <c r="D57" s="2"/>
      <c r="E57" s="2">
        <v>-4.0</v>
      </c>
      <c r="F57" s="2"/>
      <c r="G57" s="2"/>
      <c r="H57" s="2"/>
      <c r="I57" s="2">
        <v>4.0</v>
      </c>
      <c r="J57" s="2">
        <v>4.0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s">
        <v>51</v>
      </c>
      <c r="AN57" s="2"/>
      <c r="AO57" s="2"/>
      <c r="AP57" s="2"/>
      <c r="AQ57" s="2"/>
      <c r="AR57" s="2"/>
      <c r="AS57" s="2"/>
      <c r="AT57" s="2"/>
      <c r="AU57" s="2"/>
    </row>
    <row r="58">
      <c r="A58" s="2" t="str">
        <f t="shared" si="1"/>
        <v>P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>
        <v>-4.0</v>
      </c>
      <c r="AH58" s="2"/>
      <c r="AI58" s="2"/>
      <c r="AJ58" s="2"/>
      <c r="AK58" s="2"/>
      <c r="AL58" s="2"/>
      <c r="AM58" s="2" t="s">
        <v>52</v>
      </c>
      <c r="AN58" s="2"/>
      <c r="AO58" s="2"/>
      <c r="AP58" s="2"/>
      <c r="AQ58" s="2"/>
      <c r="AR58" s="2"/>
      <c r="AS58" s="2"/>
      <c r="AT58" s="2"/>
      <c r="AU58" s="2"/>
    </row>
    <row r="59">
      <c r="A59" s="2" t="str">
        <f t="shared" si="1"/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>
      <c r="A60" s="2" t="str">
        <f t="shared" si="1"/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>
      <c r="A61" s="2" t="str">
        <f t="shared" si="1"/>
        <v/>
      </c>
      <c r="B61" s="2" t="str">
        <f t="array" ref="B61:AU90">transpose(sort(transpose(All!A61:AT90),2,true))</f>
        <v>Cupertino A</v>
      </c>
      <c r="C61" s="2" t="s">
        <v>5</v>
      </c>
      <c r="D61" s="2"/>
      <c r="E61" s="2"/>
      <c r="F61" s="2"/>
      <c r="G61" s="2"/>
      <c r="H61" s="2"/>
      <c r="I61" s="2"/>
      <c r="J61" s="2"/>
      <c r="K61" s="2"/>
      <c r="L61" s="2"/>
      <c r="M61" s="2" t="s">
        <v>7</v>
      </c>
      <c r="N61" s="2"/>
      <c r="O61" s="2"/>
      <c r="P61" s="2" t="s">
        <v>4</v>
      </c>
      <c r="Q61" s="2"/>
      <c r="R61" s="2"/>
      <c r="S61" s="2"/>
      <c r="T61" s="2" t="s">
        <v>6</v>
      </c>
      <c r="U61" s="2"/>
      <c r="V61" s="2" t="s">
        <v>3</v>
      </c>
      <c r="W61" s="2"/>
      <c r="X61" s="2"/>
      <c r="Y61" s="2" t="s">
        <v>0</v>
      </c>
      <c r="Z61" s="2"/>
      <c r="AA61" s="2"/>
      <c r="AB61" s="2"/>
      <c r="AC61" s="2" t="s">
        <v>2</v>
      </c>
      <c r="AD61" s="2"/>
      <c r="AE61" s="2"/>
      <c r="AF61" s="2"/>
      <c r="AG61" s="2"/>
      <c r="AH61" s="2"/>
      <c r="AI61" s="2"/>
      <c r="AJ61" s="2"/>
      <c r="AK61" s="2" t="s">
        <v>1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>
      <c r="A62" s="2" t="str">
        <f t="shared" si="1"/>
        <v/>
      </c>
      <c r="B62" s="2" t="s">
        <v>43</v>
      </c>
      <c r="C62" s="2" t="s">
        <v>30</v>
      </c>
      <c r="D62" s="2" t="s">
        <v>45</v>
      </c>
      <c r="E62" s="2" t="s">
        <v>18</v>
      </c>
      <c r="F62" s="2" t="s">
        <v>33</v>
      </c>
      <c r="G62" s="2" t="s">
        <v>10</v>
      </c>
      <c r="H62" s="2" t="s">
        <v>32</v>
      </c>
      <c r="I62" s="2" t="s">
        <v>24</v>
      </c>
      <c r="J62" s="2" t="s">
        <v>29</v>
      </c>
      <c r="K62" s="2" t="s">
        <v>37</v>
      </c>
      <c r="L62" s="2" t="s">
        <v>34</v>
      </c>
      <c r="M62" s="2" t="s">
        <v>42</v>
      </c>
      <c r="N62" s="2" t="s">
        <v>27</v>
      </c>
      <c r="O62" s="2" t="s">
        <v>35</v>
      </c>
      <c r="P62" s="2" t="s">
        <v>26</v>
      </c>
      <c r="Q62" s="2" t="s">
        <v>44</v>
      </c>
      <c r="R62" s="2" t="s">
        <v>41</v>
      </c>
      <c r="S62" s="2" t="s">
        <v>40</v>
      </c>
      <c r="T62" s="2" t="s">
        <v>55</v>
      </c>
      <c r="U62" s="2" t="s">
        <v>53</v>
      </c>
      <c r="V62" s="2" t="s">
        <v>22</v>
      </c>
      <c r="W62" s="2" t="s">
        <v>38</v>
      </c>
      <c r="X62" s="2" t="s">
        <v>46</v>
      </c>
      <c r="Y62" s="2" t="s">
        <v>9</v>
      </c>
      <c r="Z62" s="2" t="s">
        <v>11</v>
      </c>
      <c r="AA62" s="2" t="s">
        <v>39</v>
      </c>
      <c r="AB62" s="2" t="s">
        <v>31</v>
      </c>
      <c r="AC62" s="2" t="s">
        <v>17</v>
      </c>
      <c r="AD62" s="2" t="s">
        <v>23</v>
      </c>
      <c r="AE62" s="2" t="s">
        <v>12</v>
      </c>
      <c r="AF62" s="2" t="s">
        <v>20</v>
      </c>
      <c r="AG62" s="2" t="s">
        <v>21</v>
      </c>
      <c r="AH62" s="2" t="s">
        <v>13</v>
      </c>
      <c r="AI62" s="2" t="s">
        <v>15</v>
      </c>
      <c r="AJ62" s="2" t="s">
        <v>28</v>
      </c>
      <c r="AK62" s="2" t="s">
        <v>14</v>
      </c>
      <c r="AL62" s="2" t="s">
        <v>25</v>
      </c>
      <c r="AM62" s="2"/>
      <c r="AN62" s="2"/>
      <c r="AO62" s="2"/>
      <c r="AP62" s="2"/>
      <c r="AQ62" s="2"/>
      <c r="AR62" s="2"/>
      <c r="AS62" s="2"/>
      <c r="AT62" s="2"/>
      <c r="AU62" s="2"/>
    </row>
    <row r="63">
      <c r="A63" s="2" t="str">
        <f t="shared" si="1"/>
        <v/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1</v>
      </c>
      <c r="M63" s="2" t="b">
        <v>0</v>
      </c>
      <c r="N63" s="2" t="b">
        <v>1</v>
      </c>
      <c r="O63" s="2" t="b">
        <v>1</v>
      </c>
      <c r="P63" s="2" t="b">
        <v>1</v>
      </c>
      <c r="Q63" s="2" t="b">
        <v>1</v>
      </c>
      <c r="R63" s="2" t="b">
        <v>0</v>
      </c>
      <c r="S63" s="2" t="b">
        <v>0</v>
      </c>
      <c r="T63" s="2" t="b">
        <v>1</v>
      </c>
      <c r="U63" s="2" t="b">
        <v>0</v>
      </c>
      <c r="V63" s="2" t="b">
        <v>1</v>
      </c>
      <c r="W63" s="2" t="b">
        <v>0</v>
      </c>
      <c r="X63" s="2" t="b">
        <v>1</v>
      </c>
      <c r="Y63" s="2" t="b">
        <v>1</v>
      </c>
      <c r="Z63" s="2" t="b">
        <v>1</v>
      </c>
      <c r="AA63" s="2" t="b">
        <v>0</v>
      </c>
      <c r="AB63" s="2" t="b">
        <v>1</v>
      </c>
      <c r="AC63" s="2" t="b">
        <v>1</v>
      </c>
      <c r="AD63" s="2" t="b">
        <v>0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b">
        <v>0</v>
      </c>
      <c r="AM63" s="2"/>
      <c r="AN63" s="2" t="b">
        <v>0</v>
      </c>
      <c r="AO63" s="2" t="b">
        <v>0</v>
      </c>
      <c r="AP63" s="2" t="b">
        <v>0</v>
      </c>
      <c r="AQ63" s="2" t="b">
        <v>0</v>
      </c>
      <c r="AR63" s="2" t="b">
        <v>0</v>
      </c>
      <c r="AS63" s="2" t="b">
        <v>0</v>
      </c>
      <c r="AT63" s="2" t="b">
        <v>1</v>
      </c>
      <c r="AU63" s="2" t="b">
        <v>0</v>
      </c>
    </row>
    <row r="64">
      <c r="A64" s="2" t="str">
        <f t="shared" si="1"/>
        <v>X</v>
      </c>
      <c r="B64" s="2">
        <v>4.0</v>
      </c>
      <c r="C64" s="2"/>
      <c r="D64" s="2"/>
      <c r="E64" s="2"/>
      <c r="F64" s="2"/>
      <c r="G64" s="2"/>
      <c r="H64" s="2">
        <v>4.0</v>
      </c>
      <c r="I64" s="2"/>
      <c r="J64" s="2"/>
      <c r="K64" s="2"/>
      <c r="L64" s="2">
        <v>4.0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>
        <v>4.0</v>
      </c>
      <c r="AH64" s="2"/>
      <c r="AI64" s="2"/>
      <c r="AJ64" s="2"/>
      <c r="AK64" s="2"/>
      <c r="AL64" s="2"/>
      <c r="AM64" s="2" t="s">
        <v>47</v>
      </c>
      <c r="AN64" s="2"/>
      <c r="AO64" s="2"/>
      <c r="AP64" s="2"/>
      <c r="AQ64" s="2"/>
      <c r="AR64" s="2"/>
      <c r="AS64" s="2"/>
      <c r="AT64" s="2"/>
      <c r="AU64" s="2"/>
    </row>
    <row r="65">
      <c r="A65" s="2" t="str">
        <f t="shared" si="1"/>
        <v>M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>
        <v>4.0</v>
      </c>
      <c r="O65" s="2">
        <v>4.0</v>
      </c>
      <c r="P65" s="2"/>
      <c r="Q65" s="2">
        <v>4.0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4.0</v>
      </c>
      <c r="AC65" s="2"/>
      <c r="AD65" s="2"/>
      <c r="AE65" s="2"/>
      <c r="AF65" s="2"/>
      <c r="AG65" s="2">
        <v>-4.0</v>
      </c>
      <c r="AH65" s="2"/>
      <c r="AI65" s="2"/>
      <c r="AJ65" s="2"/>
      <c r="AK65" s="2"/>
      <c r="AL65" s="2"/>
      <c r="AM65" s="2" t="s">
        <v>48</v>
      </c>
      <c r="AN65" s="2"/>
      <c r="AO65" s="2"/>
      <c r="AP65" s="2"/>
      <c r="AQ65" s="2"/>
      <c r="AR65" s="2"/>
      <c r="AS65" s="2"/>
      <c r="AT65" s="2"/>
      <c r="AU65" s="2"/>
    </row>
    <row r="66">
      <c r="A66" s="2" t="str">
        <f t="shared" si="1"/>
        <v>C</v>
      </c>
      <c r="B66" s="2"/>
      <c r="C66" s="2"/>
      <c r="D66" s="2"/>
      <c r="E66" s="2">
        <v>-4.0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>
        <v>4.0</v>
      </c>
      <c r="AK66" s="2"/>
      <c r="AL66" s="2"/>
      <c r="AM66" s="2" t="s">
        <v>49</v>
      </c>
      <c r="AN66" s="2"/>
      <c r="AO66" s="2"/>
      <c r="AP66" s="2"/>
      <c r="AQ66" s="2"/>
      <c r="AR66" s="2"/>
      <c r="AS66" s="2"/>
      <c r="AT66" s="2"/>
      <c r="AU66" s="2"/>
    </row>
    <row r="67">
      <c r="A67" s="2" t="str">
        <f t="shared" si="1"/>
        <v>E</v>
      </c>
      <c r="B67" s="2"/>
      <c r="C67" s="2"/>
      <c r="D67" s="2"/>
      <c r="E67" s="2"/>
      <c r="F67" s="2"/>
      <c r="G67" s="2"/>
      <c r="H67" s="2">
        <v>-4.0</v>
      </c>
      <c r="I67" s="2"/>
      <c r="J67" s="2"/>
      <c r="K67" s="2"/>
      <c r="L67" s="2"/>
      <c r="M67" s="2"/>
      <c r="N67" s="2"/>
      <c r="O67" s="2"/>
      <c r="P67" s="2"/>
      <c r="Q67" s="2">
        <v>4.0</v>
      </c>
      <c r="R67" s="2"/>
      <c r="S67" s="2"/>
      <c r="T67" s="2"/>
      <c r="U67" s="2"/>
      <c r="V67" s="2"/>
      <c r="W67" s="2"/>
      <c r="X67" s="2"/>
      <c r="Y67" s="2">
        <v>4.0</v>
      </c>
      <c r="Z67" s="2"/>
      <c r="AA67" s="2"/>
      <c r="AB67" s="2"/>
      <c r="AC67" s="2">
        <v>4.0</v>
      </c>
      <c r="AD67" s="2"/>
      <c r="AE67" s="2"/>
      <c r="AF67" s="2"/>
      <c r="AG67" s="2"/>
      <c r="AH67" s="2"/>
      <c r="AI67" s="2"/>
      <c r="AJ67" s="2"/>
      <c r="AK67" s="2"/>
      <c r="AL67" s="2"/>
      <c r="AM67" s="2" t="s">
        <v>50</v>
      </c>
      <c r="AN67" s="2"/>
      <c r="AO67" s="2"/>
      <c r="AP67" s="2"/>
      <c r="AQ67" s="2"/>
      <c r="AR67" s="2"/>
      <c r="AS67" s="2"/>
      <c r="AT67" s="2"/>
      <c r="AU67" s="2"/>
    </row>
    <row r="68">
      <c r="A68" s="2" t="str">
        <f t="shared" si="1"/>
        <v>B</v>
      </c>
      <c r="B68" s="2"/>
      <c r="C68" s="2"/>
      <c r="D68" s="2">
        <v>4.0</v>
      </c>
      <c r="E68" s="2"/>
      <c r="F68" s="2">
        <v>-4.0</v>
      </c>
      <c r="G68" s="2"/>
      <c r="H68" s="2"/>
      <c r="I68" s="2"/>
      <c r="J68" s="2"/>
      <c r="K68" s="2"/>
      <c r="L68" s="2"/>
      <c r="M68" s="2"/>
      <c r="N68" s="2">
        <v>4.0</v>
      </c>
      <c r="O68" s="2"/>
      <c r="P68" s="2"/>
      <c r="Q68" s="2"/>
      <c r="R68" s="2"/>
      <c r="S68" s="2"/>
      <c r="T68" s="2">
        <v>4.0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>
        <v>-4.0</v>
      </c>
      <c r="AH68" s="2"/>
      <c r="AI68" s="2"/>
      <c r="AJ68" s="2"/>
      <c r="AK68" s="2"/>
      <c r="AL68" s="2"/>
      <c r="AM68" s="2" t="s">
        <v>51</v>
      </c>
      <c r="AN68" s="2"/>
      <c r="AO68" s="2"/>
      <c r="AP68" s="2"/>
      <c r="AQ68" s="2"/>
      <c r="AR68" s="2"/>
      <c r="AS68" s="2"/>
      <c r="AT68" s="2"/>
      <c r="AU68" s="2"/>
    </row>
    <row r="69">
      <c r="A69" s="2" t="str">
        <f t="shared" si="1"/>
        <v>P</v>
      </c>
      <c r="B69" s="2"/>
      <c r="C69" s="2"/>
      <c r="D69" s="2"/>
      <c r="E69" s="2"/>
      <c r="F69" s="2">
        <v>4.0</v>
      </c>
      <c r="G69" s="2"/>
      <c r="H69" s="2"/>
      <c r="I69" s="2"/>
      <c r="J69" s="2"/>
      <c r="K69" s="2"/>
      <c r="L69" s="2"/>
      <c r="M69" s="2"/>
      <c r="N69" s="2"/>
      <c r="O69" s="2">
        <v>4.0</v>
      </c>
      <c r="P69" s="2">
        <v>4.0</v>
      </c>
      <c r="Q69" s="2">
        <v>4.0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>
        <v>-4.0</v>
      </c>
      <c r="AH69" s="2"/>
      <c r="AI69" s="2"/>
      <c r="AJ69" s="2"/>
      <c r="AK69" s="2">
        <v>-4.0</v>
      </c>
      <c r="AL69" s="2"/>
      <c r="AM69" s="2" t="s">
        <v>52</v>
      </c>
      <c r="AN69" s="2"/>
      <c r="AO69" s="2"/>
      <c r="AP69" s="2"/>
      <c r="AQ69" s="2"/>
      <c r="AR69" s="2"/>
      <c r="AS69" s="2"/>
      <c r="AT69" s="2"/>
      <c r="AU69" s="2"/>
    </row>
    <row r="70">
      <c r="A70" s="2" t="str">
        <f t="shared" si="1"/>
        <v>X</v>
      </c>
      <c r="B70" s="2"/>
      <c r="C70" s="2"/>
      <c r="D70" s="2"/>
      <c r="E70" s="2">
        <v>4.0</v>
      </c>
      <c r="F70" s="2"/>
      <c r="G70" s="2"/>
      <c r="H70" s="2"/>
      <c r="I70" s="2"/>
      <c r="J70" s="2"/>
      <c r="K70" s="2">
        <v>4.0</v>
      </c>
      <c r="L70" s="2"/>
      <c r="M70" s="2"/>
      <c r="N70" s="2"/>
      <c r="O70" s="2"/>
      <c r="P70" s="2"/>
      <c r="Q70" s="2">
        <v>4.0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>
        <v>4.0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s">
        <v>47</v>
      </c>
      <c r="AN70" s="2"/>
      <c r="AO70" s="2"/>
      <c r="AP70" s="2"/>
      <c r="AQ70" s="2"/>
      <c r="AR70" s="2"/>
      <c r="AS70" s="2"/>
      <c r="AT70" s="2"/>
      <c r="AU70" s="2"/>
    </row>
    <row r="71">
      <c r="A71" s="2" t="str">
        <f t="shared" si="1"/>
        <v>M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>
        <v>4.0</v>
      </c>
      <c r="M71" s="2"/>
      <c r="N71" s="2"/>
      <c r="O71" s="2"/>
      <c r="P71" s="2">
        <v>4.0</v>
      </c>
      <c r="Q71" s="2"/>
      <c r="R71" s="2"/>
      <c r="S71" s="2"/>
      <c r="T71" s="2"/>
      <c r="U71" s="2"/>
      <c r="V71" s="2">
        <v>4.0</v>
      </c>
      <c r="W71" s="2"/>
      <c r="X71" s="2"/>
      <c r="Y71" s="2"/>
      <c r="Z71" s="2"/>
      <c r="AA71" s="2"/>
      <c r="AB71" s="2">
        <v>4.0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s">
        <v>48</v>
      </c>
      <c r="AN71" s="2"/>
      <c r="AO71" s="2"/>
      <c r="AP71" s="2"/>
      <c r="AQ71" s="2"/>
      <c r="AR71" s="2"/>
      <c r="AS71" s="2"/>
      <c r="AT71" s="2"/>
      <c r="AU71" s="2"/>
    </row>
    <row r="72">
      <c r="A72" s="2" t="str">
        <f t="shared" si="1"/>
        <v>C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s">
        <v>49</v>
      </c>
      <c r="AN72" s="2"/>
      <c r="AO72" s="2"/>
      <c r="AP72" s="2"/>
      <c r="AQ72" s="2"/>
      <c r="AR72" s="2"/>
      <c r="AS72" s="2"/>
      <c r="AT72" s="2"/>
      <c r="AU72" s="2"/>
    </row>
    <row r="73">
      <c r="A73" s="2" t="str">
        <f t="shared" si="1"/>
        <v>E</v>
      </c>
      <c r="B73" s="2"/>
      <c r="C73" s="2"/>
      <c r="D73" s="2"/>
      <c r="E73" s="2">
        <v>4.0</v>
      </c>
      <c r="F73" s="2"/>
      <c r="G73" s="2"/>
      <c r="H73" s="2">
        <v>4.0</v>
      </c>
      <c r="I73" s="2"/>
      <c r="J73" s="2"/>
      <c r="K73" s="2"/>
      <c r="L73" s="2"/>
      <c r="M73" s="2"/>
      <c r="N73" s="2"/>
      <c r="O73" s="2"/>
      <c r="P73" s="2"/>
      <c r="Q73" s="2">
        <v>4.0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>
        <v>4.0</v>
      </c>
      <c r="AL73" s="2"/>
      <c r="AM73" s="2" t="s">
        <v>50</v>
      </c>
      <c r="AN73" s="2"/>
      <c r="AO73" s="2"/>
      <c r="AP73" s="2"/>
      <c r="AQ73" s="2"/>
      <c r="AR73" s="2"/>
      <c r="AS73" s="2"/>
      <c r="AT73" s="2"/>
      <c r="AU73" s="2"/>
    </row>
    <row r="74">
      <c r="A74" s="2" t="str">
        <f t="shared" si="1"/>
        <v>B</v>
      </c>
      <c r="B74" s="2">
        <v>-4.0</v>
      </c>
      <c r="C74" s="2"/>
      <c r="D74" s="2"/>
      <c r="E74" s="2">
        <v>4.0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>
        <v>4.0</v>
      </c>
      <c r="AL74" s="2"/>
      <c r="AM74" s="2" t="s">
        <v>51</v>
      </c>
      <c r="AN74" s="2"/>
      <c r="AO74" s="2"/>
      <c r="AP74" s="2"/>
      <c r="AQ74" s="2"/>
      <c r="AR74" s="2"/>
      <c r="AS74" s="2"/>
      <c r="AT74" s="2"/>
      <c r="AU74" s="2"/>
    </row>
    <row r="75">
      <c r="A75" s="2" t="str">
        <f t="shared" si="1"/>
        <v>P</v>
      </c>
      <c r="B75" s="2">
        <v>4.0</v>
      </c>
      <c r="C75" s="2"/>
      <c r="D75" s="2"/>
      <c r="E75" s="2"/>
      <c r="F75" s="2">
        <v>4.0</v>
      </c>
      <c r="G75" s="2"/>
      <c r="H75" s="2"/>
      <c r="I75" s="2"/>
      <c r="J75" s="2"/>
      <c r="K75" s="2"/>
      <c r="L75" s="2"/>
      <c r="M75" s="2"/>
      <c r="N75" s="2"/>
      <c r="O75" s="2"/>
      <c r="P75" s="2">
        <v>4.0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>
        <v>4.0</v>
      </c>
      <c r="AL75" s="2"/>
      <c r="AM75" s="2" t="s">
        <v>52</v>
      </c>
      <c r="AN75" s="2"/>
      <c r="AO75" s="2"/>
      <c r="AP75" s="2"/>
      <c r="AQ75" s="2"/>
      <c r="AR75" s="2"/>
      <c r="AS75" s="2"/>
      <c r="AT75" s="2"/>
      <c r="AU75" s="2"/>
    </row>
    <row r="76">
      <c r="A76" s="2" t="str">
        <f t="shared" si="1"/>
        <v/>
      </c>
      <c r="B76" s="2" t="b">
        <v>1</v>
      </c>
      <c r="C76" s="2" t="b">
        <v>1</v>
      </c>
      <c r="D76" s="2" t="b">
        <v>1</v>
      </c>
      <c r="E76" s="2" t="b">
        <v>1</v>
      </c>
      <c r="F76" s="2" t="b">
        <v>1</v>
      </c>
      <c r="G76" s="2" t="b">
        <v>1</v>
      </c>
      <c r="H76" s="2" t="b">
        <v>1</v>
      </c>
      <c r="I76" s="2" t="b">
        <v>1</v>
      </c>
      <c r="J76" s="2" t="b">
        <v>1</v>
      </c>
      <c r="K76" s="2" t="b">
        <v>1</v>
      </c>
      <c r="L76" s="2" t="b">
        <v>1</v>
      </c>
      <c r="M76" s="2" t="b">
        <v>0</v>
      </c>
      <c r="N76" s="2" t="b">
        <v>1</v>
      </c>
      <c r="O76" s="2" t="b">
        <v>1</v>
      </c>
      <c r="P76" s="2" t="b">
        <v>1</v>
      </c>
      <c r="Q76" s="2" t="b">
        <v>1</v>
      </c>
      <c r="R76" s="2" t="b">
        <v>0</v>
      </c>
      <c r="S76" s="2" t="b">
        <v>0</v>
      </c>
      <c r="T76" s="2" t="b">
        <v>1</v>
      </c>
      <c r="U76" s="2" t="b">
        <v>0</v>
      </c>
      <c r="V76" s="2" t="b">
        <v>1</v>
      </c>
      <c r="W76" s="2" t="b">
        <v>0</v>
      </c>
      <c r="X76" s="2" t="b">
        <v>1</v>
      </c>
      <c r="Y76" s="2" t="b">
        <v>1</v>
      </c>
      <c r="Z76" s="2" t="b">
        <v>1</v>
      </c>
      <c r="AA76" s="2" t="b">
        <v>0</v>
      </c>
      <c r="AB76" s="2" t="b">
        <v>1</v>
      </c>
      <c r="AC76" s="2" t="b">
        <v>1</v>
      </c>
      <c r="AD76" s="2" t="b">
        <v>0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1</v>
      </c>
      <c r="AL76" s="2" t="b">
        <v>0</v>
      </c>
      <c r="AM76" s="2"/>
      <c r="AN76" s="2" t="b">
        <v>0</v>
      </c>
      <c r="AO76" s="2" t="b">
        <v>0</v>
      </c>
      <c r="AP76" s="2" t="b">
        <v>0</v>
      </c>
      <c r="AQ76" s="2" t="b">
        <v>0</v>
      </c>
      <c r="AR76" s="2" t="b">
        <v>0</v>
      </c>
      <c r="AS76" s="2" t="b">
        <v>0</v>
      </c>
      <c r="AT76" s="2" t="b">
        <v>1</v>
      </c>
      <c r="AU76" s="2" t="b">
        <v>0</v>
      </c>
    </row>
    <row r="77">
      <c r="A77" s="2" t="str">
        <f t="shared" si="1"/>
        <v>X</v>
      </c>
      <c r="B77" s="2"/>
      <c r="C77" s="2">
        <v>4.0</v>
      </c>
      <c r="D77" s="2"/>
      <c r="E77" s="2">
        <v>4.0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>
        <v>4.0</v>
      </c>
      <c r="R77" s="2"/>
      <c r="S77" s="2"/>
      <c r="T77" s="2">
        <v>4.0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s">
        <v>47</v>
      </c>
      <c r="AN77" s="2"/>
      <c r="AO77" s="2"/>
      <c r="AP77" s="2"/>
      <c r="AQ77" s="2"/>
      <c r="AR77" s="2"/>
      <c r="AS77" s="2"/>
      <c r="AT77" s="2"/>
      <c r="AU77" s="2"/>
    </row>
    <row r="78">
      <c r="A78" s="2" t="str">
        <f t="shared" si="1"/>
        <v>M</v>
      </c>
      <c r="B78" s="2"/>
      <c r="C78" s="2"/>
      <c r="D78" s="2"/>
      <c r="E78" s="2"/>
      <c r="F78" s="2"/>
      <c r="G78" s="2">
        <v>4.0</v>
      </c>
      <c r="H78" s="2"/>
      <c r="I78" s="2">
        <v>4.0</v>
      </c>
      <c r="J78" s="2"/>
      <c r="K78" s="2"/>
      <c r="L78" s="2"/>
      <c r="M78" s="2"/>
      <c r="N78" s="2"/>
      <c r="O78" s="2">
        <v>-4.0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-4.0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s">
        <v>48</v>
      </c>
      <c r="AN78" s="2"/>
      <c r="AO78" s="2"/>
      <c r="AP78" s="2"/>
      <c r="AQ78" s="2"/>
      <c r="AR78" s="2"/>
      <c r="AS78" s="2"/>
      <c r="AT78" s="2"/>
      <c r="AU78" s="2"/>
    </row>
    <row r="79">
      <c r="A79" s="2" t="str">
        <f t="shared" si="1"/>
        <v>C</v>
      </c>
      <c r="B79" s="2"/>
      <c r="C79" s="2">
        <v>4.0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>
        <v>4.0</v>
      </c>
      <c r="AD79" s="2"/>
      <c r="AE79" s="2"/>
      <c r="AF79" s="2"/>
      <c r="AG79" s="2"/>
      <c r="AH79" s="2"/>
      <c r="AI79" s="2"/>
      <c r="AJ79" s="2"/>
      <c r="AK79" s="2"/>
      <c r="AL79" s="2"/>
      <c r="AM79" s="2" t="s">
        <v>49</v>
      </c>
      <c r="AN79" s="2"/>
      <c r="AO79" s="2"/>
      <c r="AP79" s="2"/>
      <c r="AQ79" s="2"/>
      <c r="AR79" s="2"/>
      <c r="AS79" s="2"/>
      <c r="AT79" s="2"/>
      <c r="AU79" s="2"/>
    </row>
    <row r="80">
      <c r="A80" s="2" t="str">
        <f t="shared" si="1"/>
        <v>E</v>
      </c>
      <c r="B80" s="2"/>
      <c r="C80" s="2"/>
      <c r="D80" s="2"/>
      <c r="E80" s="2"/>
      <c r="F80" s="2">
        <v>4.0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>
        <v>4.0</v>
      </c>
      <c r="AD80" s="2"/>
      <c r="AE80" s="2"/>
      <c r="AF80" s="2"/>
      <c r="AG80" s="2"/>
      <c r="AH80" s="2"/>
      <c r="AI80" s="2"/>
      <c r="AJ80" s="2"/>
      <c r="AK80" s="2">
        <v>4.0</v>
      </c>
      <c r="AL80" s="2"/>
      <c r="AM80" s="2" t="s">
        <v>50</v>
      </c>
      <c r="AN80" s="2"/>
      <c r="AO80" s="2"/>
      <c r="AP80" s="2"/>
      <c r="AQ80" s="2"/>
      <c r="AR80" s="2"/>
      <c r="AS80" s="2"/>
      <c r="AT80" s="2"/>
      <c r="AU80" s="2"/>
    </row>
    <row r="81">
      <c r="A81" s="2" t="str">
        <f t="shared" si="1"/>
        <v>B</v>
      </c>
      <c r="B81" s="2">
        <v>4.0</v>
      </c>
      <c r="C81" s="2"/>
      <c r="D81" s="2"/>
      <c r="E81" s="2">
        <v>4.0</v>
      </c>
      <c r="F81" s="2">
        <v>4.0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>
        <v>4.0</v>
      </c>
      <c r="AL81" s="2"/>
      <c r="AM81" s="2" t="s">
        <v>51</v>
      </c>
      <c r="AN81" s="2"/>
      <c r="AO81" s="2"/>
      <c r="AP81" s="2"/>
      <c r="AQ81" s="2"/>
      <c r="AR81" s="2"/>
      <c r="AS81" s="2"/>
      <c r="AT81" s="2"/>
      <c r="AU81" s="2"/>
    </row>
    <row r="82">
      <c r="A82" s="2" t="str">
        <f t="shared" si="1"/>
        <v>P</v>
      </c>
      <c r="B82" s="2">
        <v>4.0</v>
      </c>
      <c r="C82" s="2"/>
      <c r="D82" s="2"/>
      <c r="E82" s="2">
        <v>4.0</v>
      </c>
      <c r="F82" s="2"/>
      <c r="G82" s="2"/>
      <c r="H82" s="2">
        <v>4.0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>
        <v>4.0</v>
      </c>
      <c r="AL82" s="2"/>
      <c r="AM82" s="2" t="s">
        <v>52</v>
      </c>
      <c r="AN82" s="2"/>
      <c r="AO82" s="2"/>
      <c r="AP82" s="2"/>
      <c r="AQ82" s="2"/>
      <c r="AR82" s="2"/>
      <c r="AS82" s="2"/>
      <c r="AT82" s="2"/>
      <c r="AU82" s="2"/>
    </row>
    <row r="83">
      <c r="A83" s="2" t="str">
        <f t="shared" si="1"/>
        <v>X</v>
      </c>
      <c r="B83" s="2"/>
      <c r="C83" s="2"/>
      <c r="D83" s="2"/>
      <c r="E83" s="2">
        <v>4.0</v>
      </c>
      <c r="F83" s="2">
        <v>4.0</v>
      </c>
      <c r="G83" s="2"/>
      <c r="H83" s="2"/>
      <c r="I83" s="2">
        <v>4.0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>
        <v>4.0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s">
        <v>47</v>
      </c>
      <c r="AN83" s="2"/>
      <c r="AO83" s="2"/>
      <c r="AP83" s="2"/>
      <c r="AQ83" s="2"/>
      <c r="AR83" s="2"/>
      <c r="AS83" s="2"/>
      <c r="AT83" s="2"/>
      <c r="AU83" s="2"/>
    </row>
    <row r="84">
      <c r="A84" s="2" t="str">
        <f t="shared" si="1"/>
        <v>M</v>
      </c>
      <c r="B84" s="2"/>
      <c r="C84" s="2"/>
      <c r="D84" s="2">
        <v>4.0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>
        <v>4.0</v>
      </c>
      <c r="P84" s="2">
        <v>4.0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>
        <v>4.0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s">
        <v>48</v>
      </c>
      <c r="AN84" s="2"/>
      <c r="AO84" s="2"/>
      <c r="AP84" s="2"/>
      <c r="AQ84" s="2"/>
      <c r="AR84" s="2"/>
      <c r="AS84" s="2"/>
      <c r="AT84" s="2"/>
      <c r="AU84" s="2"/>
    </row>
    <row r="85">
      <c r="A85" s="2" t="str">
        <f t="shared" si="1"/>
        <v>C</v>
      </c>
      <c r="B85" s="2"/>
      <c r="C85" s="2"/>
      <c r="D85" s="2"/>
      <c r="E85" s="2"/>
      <c r="F85" s="2">
        <v>4.0</v>
      </c>
      <c r="G85" s="2">
        <v>-4.0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>
        <v>4.0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>
        <v>4.0</v>
      </c>
      <c r="AH85" s="2"/>
      <c r="AI85" s="2"/>
      <c r="AJ85" s="2"/>
      <c r="AK85" s="2"/>
      <c r="AL85" s="2"/>
      <c r="AM85" s="2" t="s">
        <v>49</v>
      </c>
      <c r="AN85" s="2"/>
      <c r="AO85" s="2"/>
      <c r="AP85" s="2"/>
      <c r="AQ85" s="2"/>
      <c r="AR85" s="2"/>
      <c r="AS85" s="2"/>
      <c r="AT85" s="2"/>
      <c r="AU85" s="2"/>
    </row>
    <row r="86">
      <c r="A86" s="2" t="str">
        <f t="shared" si="1"/>
        <v>E</v>
      </c>
      <c r="B86" s="2"/>
      <c r="C86" s="2"/>
      <c r="D86" s="2"/>
      <c r="E86" s="2"/>
      <c r="F86" s="2"/>
      <c r="G86" s="2"/>
      <c r="H86" s="2"/>
      <c r="I86" s="2">
        <v>4.0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>
        <v>4.0</v>
      </c>
      <c r="AD86" s="2"/>
      <c r="AE86" s="2"/>
      <c r="AF86" s="2"/>
      <c r="AG86" s="2"/>
      <c r="AH86" s="2"/>
      <c r="AI86" s="2"/>
      <c r="AJ86" s="2"/>
      <c r="AK86" s="2"/>
      <c r="AL86" s="2"/>
      <c r="AM86" s="2" t="s">
        <v>50</v>
      </c>
      <c r="AN86" s="2"/>
      <c r="AO86" s="2"/>
      <c r="AP86" s="2"/>
      <c r="AQ86" s="2"/>
      <c r="AR86" s="2"/>
      <c r="AS86" s="2"/>
      <c r="AT86" s="2"/>
      <c r="AU86" s="2"/>
    </row>
    <row r="87">
      <c r="A87" s="2" t="str">
        <f t="shared" si="1"/>
        <v>B</v>
      </c>
      <c r="B87" s="2"/>
      <c r="C87" s="2"/>
      <c r="D87" s="2"/>
      <c r="E87" s="2"/>
      <c r="F87" s="2"/>
      <c r="G87" s="2"/>
      <c r="H87" s="2"/>
      <c r="I87" s="2">
        <v>4.0</v>
      </c>
      <c r="J87" s="2">
        <v>4.0</v>
      </c>
      <c r="K87" s="2"/>
      <c r="L87" s="2"/>
      <c r="M87" s="2"/>
      <c r="N87" s="2"/>
      <c r="O87" s="2">
        <v>4.0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s">
        <v>51</v>
      </c>
      <c r="AN87" s="2"/>
      <c r="AO87" s="2"/>
      <c r="AP87" s="2"/>
      <c r="AQ87" s="2"/>
      <c r="AR87" s="2"/>
      <c r="AS87" s="2"/>
      <c r="AT87" s="2"/>
      <c r="AU87" s="2"/>
    </row>
    <row r="88">
      <c r="A88" s="2" t="str">
        <f t="shared" si="1"/>
        <v>P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>
        <v>4.0</v>
      </c>
      <c r="P88" s="2">
        <v>4.0</v>
      </c>
      <c r="Q88" s="2">
        <v>4.0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>
        <v>4.0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s">
        <v>52</v>
      </c>
      <c r="AN88" s="2"/>
      <c r="AO88" s="2"/>
      <c r="AP88" s="2"/>
      <c r="AQ88" s="2"/>
      <c r="AR88" s="2"/>
      <c r="AS88" s="2"/>
      <c r="AT88" s="2"/>
      <c r="AU88" s="2"/>
    </row>
    <row r="89">
      <c r="A89" s="2" t="str">
        <f t="shared" si="1"/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>
      <c r="A90" s="2" t="str">
        <f t="shared" si="1"/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>
      <c r="A91" s="2" t="str">
        <f t="shared" si="1"/>
        <v/>
      </c>
      <c r="B91" s="2" t="str">
        <f t="array" ref="B91:AU120">transpose(sort(transpose(All!A91:AT120),2,true))</f>
        <v>Cupertino A</v>
      </c>
      <c r="C91" s="2" t="s">
        <v>5</v>
      </c>
      <c r="D91" s="2"/>
      <c r="E91" s="2"/>
      <c r="F91" s="2"/>
      <c r="G91" s="2"/>
      <c r="H91" s="2"/>
      <c r="I91" s="2"/>
      <c r="J91" s="2"/>
      <c r="K91" s="2"/>
      <c r="L91" s="2"/>
      <c r="M91" s="2" t="s">
        <v>7</v>
      </c>
      <c r="N91" s="2"/>
      <c r="O91" s="2"/>
      <c r="P91" s="2" t="s">
        <v>4</v>
      </c>
      <c r="Q91" s="2"/>
      <c r="R91" s="2"/>
      <c r="S91" s="2"/>
      <c r="T91" s="2" t="s">
        <v>6</v>
      </c>
      <c r="U91" s="2"/>
      <c r="V91" s="2" t="s">
        <v>3</v>
      </c>
      <c r="W91" s="2"/>
      <c r="X91" s="2"/>
      <c r="Y91" s="2" t="s">
        <v>0</v>
      </c>
      <c r="Z91" s="2"/>
      <c r="AA91" s="2"/>
      <c r="AB91" s="2"/>
      <c r="AC91" s="2" t="s">
        <v>2</v>
      </c>
      <c r="AD91" s="2"/>
      <c r="AE91" s="2"/>
      <c r="AF91" s="2"/>
      <c r="AG91" s="2"/>
      <c r="AH91" s="2"/>
      <c r="AI91" s="2"/>
      <c r="AJ91" s="2"/>
      <c r="AK91" s="2" t="s">
        <v>1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>
      <c r="A92" s="2" t="str">
        <f t="shared" si="1"/>
        <v/>
      </c>
      <c r="B92" s="2" t="s">
        <v>43</v>
      </c>
      <c r="C92" s="2" t="s">
        <v>30</v>
      </c>
      <c r="D92" s="2" t="s">
        <v>45</v>
      </c>
      <c r="E92" s="2" t="s">
        <v>18</v>
      </c>
      <c r="F92" s="2" t="s">
        <v>33</v>
      </c>
      <c r="G92" s="2" t="s">
        <v>10</v>
      </c>
      <c r="H92" s="2" t="s">
        <v>32</v>
      </c>
      <c r="I92" s="2" t="s">
        <v>24</v>
      </c>
      <c r="J92" s="2" t="s">
        <v>29</v>
      </c>
      <c r="K92" s="2" t="s">
        <v>37</v>
      </c>
      <c r="L92" s="2" t="s">
        <v>34</v>
      </c>
      <c r="M92" s="2" t="s">
        <v>42</v>
      </c>
      <c r="N92" s="2" t="s">
        <v>27</v>
      </c>
      <c r="O92" s="2" t="s">
        <v>35</v>
      </c>
      <c r="P92" s="2" t="s">
        <v>26</v>
      </c>
      <c r="Q92" s="2" t="s">
        <v>44</v>
      </c>
      <c r="R92" s="2" t="s">
        <v>41</v>
      </c>
      <c r="S92" s="2" t="s">
        <v>40</v>
      </c>
      <c r="T92" s="2" t="s">
        <v>55</v>
      </c>
      <c r="U92" s="2" t="s">
        <v>53</v>
      </c>
      <c r="V92" s="2" t="s">
        <v>22</v>
      </c>
      <c r="W92" s="2" t="s">
        <v>38</v>
      </c>
      <c r="X92" s="2" t="s">
        <v>46</v>
      </c>
      <c r="Y92" s="2" t="s">
        <v>9</v>
      </c>
      <c r="Z92" s="2" t="s">
        <v>11</v>
      </c>
      <c r="AA92" s="2" t="s">
        <v>39</v>
      </c>
      <c r="AB92" s="2" t="s">
        <v>31</v>
      </c>
      <c r="AC92" s="2" t="s">
        <v>17</v>
      </c>
      <c r="AD92" s="2" t="s">
        <v>23</v>
      </c>
      <c r="AE92" s="2" t="s">
        <v>12</v>
      </c>
      <c r="AF92" s="2" t="s">
        <v>20</v>
      </c>
      <c r="AG92" s="2" t="s">
        <v>21</v>
      </c>
      <c r="AH92" s="2" t="s">
        <v>13</v>
      </c>
      <c r="AI92" s="2" t="s">
        <v>15</v>
      </c>
      <c r="AJ92" s="2" t="s">
        <v>28</v>
      </c>
      <c r="AK92" s="2" t="s">
        <v>14</v>
      </c>
      <c r="AL92" s="2" t="s">
        <v>25</v>
      </c>
      <c r="AM92" s="2"/>
      <c r="AN92" s="2"/>
      <c r="AO92" s="2"/>
      <c r="AP92" s="2"/>
      <c r="AQ92" s="2"/>
      <c r="AR92" s="2"/>
      <c r="AS92" s="2"/>
      <c r="AT92" s="2"/>
      <c r="AU92" s="2"/>
    </row>
    <row r="93">
      <c r="A93" s="2" t="str">
        <f t="shared" si="1"/>
        <v/>
      </c>
      <c r="B93" s="2" t="b">
        <v>1</v>
      </c>
      <c r="C93" s="2" t="b">
        <v>1</v>
      </c>
      <c r="D93" s="2" t="b">
        <v>1</v>
      </c>
      <c r="E93" s="2" t="b">
        <v>1</v>
      </c>
      <c r="F93" s="2" t="b">
        <v>1</v>
      </c>
      <c r="G93" s="2" t="b">
        <v>1</v>
      </c>
      <c r="H93" s="2" t="b">
        <v>1</v>
      </c>
      <c r="I93" s="2" t="b">
        <v>1</v>
      </c>
      <c r="J93" s="2" t="b">
        <v>1</v>
      </c>
      <c r="K93" s="2" t="b">
        <v>1</v>
      </c>
      <c r="L93" s="2" t="b">
        <v>1</v>
      </c>
      <c r="M93" s="2" t="b">
        <v>1</v>
      </c>
      <c r="N93" s="2" t="b">
        <v>1</v>
      </c>
      <c r="O93" s="2" t="b">
        <v>1</v>
      </c>
      <c r="P93" s="2" t="b">
        <v>1</v>
      </c>
      <c r="Q93" s="2" t="b">
        <v>1</v>
      </c>
      <c r="R93" s="2" t="b">
        <v>1</v>
      </c>
      <c r="S93" s="2" t="b">
        <v>1</v>
      </c>
      <c r="T93" s="2" t="b">
        <v>1</v>
      </c>
      <c r="U93" s="2" t="b">
        <v>1</v>
      </c>
      <c r="V93" s="2" t="b">
        <v>1</v>
      </c>
      <c r="W93" s="2" t="b">
        <v>0</v>
      </c>
      <c r="X93" s="2" t="b">
        <v>1</v>
      </c>
      <c r="Y93" s="2" t="b">
        <v>1</v>
      </c>
      <c r="Z93" s="2" t="b">
        <v>1</v>
      </c>
      <c r="AA93" s="2" t="b">
        <v>1</v>
      </c>
      <c r="AB93" s="2" t="b">
        <v>1</v>
      </c>
      <c r="AC93" s="2" t="b">
        <v>1</v>
      </c>
      <c r="AD93" s="2" t="b">
        <v>0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b">
        <v>0</v>
      </c>
      <c r="AM93" s="2"/>
      <c r="AN93" s="2" t="b">
        <v>0</v>
      </c>
      <c r="AO93" s="2" t="b">
        <v>0</v>
      </c>
      <c r="AP93" s="2" t="b">
        <v>0</v>
      </c>
      <c r="AQ93" s="2" t="b">
        <v>0</v>
      </c>
      <c r="AR93" s="2" t="b">
        <v>0</v>
      </c>
      <c r="AS93" s="2" t="b">
        <v>0</v>
      </c>
      <c r="AT93" s="2" t="b">
        <v>0</v>
      </c>
      <c r="AU93" s="2" t="b">
        <v>0</v>
      </c>
    </row>
    <row r="94">
      <c r="A94" s="2" t="str">
        <f t="shared" si="1"/>
        <v>X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>
        <v>4.0</v>
      </c>
      <c r="AC94" s="2"/>
      <c r="AD94" s="2"/>
      <c r="AE94" s="2"/>
      <c r="AF94" s="2"/>
      <c r="AG94" s="2"/>
      <c r="AH94" s="2"/>
      <c r="AI94" s="2"/>
      <c r="AJ94" s="2">
        <v>4.0</v>
      </c>
      <c r="AK94" s="2"/>
      <c r="AL94" s="2"/>
      <c r="AM94" s="2" t="s">
        <v>47</v>
      </c>
      <c r="AN94" s="2"/>
      <c r="AO94" s="2"/>
      <c r="AP94" s="2"/>
      <c r="AQ94" s="2"/>
      <c r="AR94" s="2"/>
      <c r="AS94" s="2"/>
      <c r="AT94" s="2"/>
      <c r="AU94" s="2"/>
    </row>
    <row r="95">
      <c r="A95" s="2" t="str">
        <f t="shared" si="1"/>
        <v>M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>
        <v>4.0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s">
        <v>48</v>
      </c>
      <c r="AN95" s="2"/>
      <c r="AO95" s="2"/>
      <c r="AP95" s="2"/>
      <c r="AQ95" s="2"/>
      <c r="AR95" s="2"/>
      <c r="AS95" s="2"/>
      <c r="AT95" s="2"/>
      <c r="AU95" s="2"/>
    </row>
    <row r="96">
      <c r="A96" s="2" t="str">
        <f t="shared" si="1"/>
        <v>C</v>
      </c>
      <c r="B96" s="2"/>
      <c r="C96" s="2"/>
      <c r="D96" s="2">
        <v>4.0</v>
      </c>
      <c r="E96" s="2">
        <v>-4.0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>
        <v>4.0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s">
        <v>49</v>
      </c>
      <c r="AN96" s="2"/>
      <c r="AO96" s="2"/>
      <c r="AP96" s="2"/>
      <c r="AQ96" s="2"/>
      <c r="AR96" s="2"/>
      <c r="AS96" s="2"/>
      <c r="AT96" s="2"/>
      <c r="AU96" s="2"/>
    </row>
    <row r="97">
      <c r="A97" s="2" t="str">
        <f t="shared" si="1"/>
        <v>E</v>
      </c>
      <c r="B97" s="2"/>
      <c r="C97" s="2"/>
      <c r="D97" s="2"/>
      <c r="E97" s="2"/>
      <c r="F97" s="2"/>
      <c r="G97" s="2"/>
      <c r="H97" s="2">
        <v>4.0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>
        <v>4.0</v>
      </c>
      <c r="AH97" s="2"/>
      <c r="AI97" s="2"/>
      <c r="AJ97" s="2">
        <v>4.0</v>
      </c>
      <c r="AK97" s="2"/>
      <c r="AL97" s="2"/>
      <c r="AM97" s="2" t="s">
        <v>50</v>
      </c>
      <c r="AN97" s="2"/>
      <c r="AO97" s="2"/>
      <c r="AP97" s="2"/>
      <c r="AQ97" s="2"/>
      <c r="AR97" s="2"/>
      <c r="AS97" s="2"/>
      <c r="AT97" s="2"/>
      <c r="AU97" s="2"/>
    </row>
    <row r="98">
      <c r="A98" s="2" t="str">
        <f t="shared" si="1"/>
        <v>B</v>
      </c>
      <c r="B98" s="2"/>
      <c r="C98" s="2"/>
      <c r="D98" s="2">
        <v>4.0</v>
      </c>
      <c r="E98" s="2">
        <v>4.0</v>
      </c>
      <c r="F98" s="2"/>
      <c r="G98" s="2"/>
      <c r="H98" s="2"/>
      <c r="I98" s="2">
        <v>4.0</v>
      </c>
      <c r="J98" s="2">
        <v>4.0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s">
        <v>51</v>
      </c>
      <c r="AN98" s="2"/>
      <c r="AO98" s="2"/>
      <c r="AP98" s="2"/>
      <c r="AQ98" s="2"/>
      <c r="AR98" s="2"/>
      <c r="AS98" s="2"/>
      <c r="AT98" s="2"/>
      <c r="AU98" s="2"/>
    </row>
    <row r="99">
      <c r="A99" s="2" t="str">
        <f t="shared" si="1"/>
        <v>P</v>
      </c>
      <c r="B99" s="2"/>
      <c r="C99" s="2"/>
      <c r="D99" s="2"/>
      <c r="E99" s="2"/>
      <c r="F99" s="2"/>
      <c r="G99" s="2"/>
      <c r="H99" s="2">
        <v>-4.0</v>
      </c>
      <c r="I99" s="2"/>
      <c r="J99" s="2"/>
      <c r="K99" s="2"/>
      <c r="L99" s="2"/>
      <c r="M99" s="2"/>
      <c r="N99" s="2">
        <v>4.0</v>
      </c>
      <c r="O99" s="2">
        <v>4.0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>
        <v>4.0</v>
      </c>
      <c r="AB99" s="2"/>
      <c r="AC99" s="2"/>
      <c r="AD99" s="2"/>
      <c r="AE99" s="2"/>
      <c r="AF99" s="2">
        <v>-4.0</v>
      </c>
      <c r="AG99" s="2"/>
      <c r="AH99" s="2"/>
      <c r="AI99" s="2"/>
      <c r="AJ99" s="2"/>
      <c r="AK99" s="2"/>
      <c r="AL99" s="2"/>
      <c r="AM99" s="2" t="s">
        <v>52</v>
      </c>
      <c r="AN99" s="2"/>
      <c r="AO99" s="2"/>
      <c r="AP99" s="2"/>
      <c r="AQ99" s="2"/>
      <c r="AR99" s="2"/>
      <c r="AS99" s="2"/>
      <c r="AT99" s="2"/>
      <c r="AU99" s="2"/>
    </row>
    <row r="100">
      <c r="A100" s="2" t="str">
        <f t="shared" si="1"/>
        <v>X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>
        <v>4.0</v>
      </c>
      <c r="M100" s="2"/>
      <c r="N100" s="2">
        <v>4.0</v>
      </c>
      <c r="O100" s="2"/>
      <c r="P100" s="2"/>
      <c r="Q100" s="2"/>
      <c r="R100" s="2"/>
      <c r="S100" s="2"/>
      <c r="T100" s="2"/>
      <c r="U100" s="2"/>
      <c r="V100" s="2"/>
      <c r="W100" s="2"/>
      <c r="X100" s="2">
        <v>4.0</v>
      </c>
      <c r="Y100" s="2"/>
      <c r="Z100" s="2"/>
      <c r="AA100" s="2"/>
      <c r="AB100" s="2"/>
      <c r="AC100" s="2"/>
      <c r="AD100" s="2"/>
      <c r="AE100" s="2"/>
      <c r="AF100" s="2"/>
      <c r="AG100" s="2">
        <v>-4.0</v>
      </c>
      <c r="AH100" s="2"/>
      <c r="AI100" s="2"/>
      <c r="AJ100" s="2"/>
      <c r="AK100" s="2"/>
      <c r="AL100" s="2"/>
      <c r="AM100" s="2" t="s">
        <v>47</v>
      </c>
      <c r="AN100" s="2"/>
      <c r="AO100" s="2"/>
      <c r="AP100" s="2"/>
      <c r="AQ100" s="2"/>
      <c r="AR100" s="2"/>
      <c r="AS100" s="2"/>
      <c r="AT100" s="2"/>
      <c r="AU100" s="2"/>
    </row>
    <row r="101">
      <c r="A101" s="2" t="str">
        <f t="shared" si="1"/>
        <v>M</v>
      </c>
      <c r="B101" s="2"/>
      <c r="C101" s="2"/>
      <c r="D101" s="2"/>
      <c r="E101" s="2">
        <v>4.0</v>
      </c>
      <c r="F101" s="2">
        <v>4.0</v>
      </c>
      <c r="G101" s="2"/>
      <c r="H101" s="2"/>
      <c r="I101" s="2"/>
      <c r="J101" s="2"/>
      <c r="K101" s="2">
        <v>4.0</v>
      </c>
      <c r="L101" s="2"/>
      <c r="M101" s="2"/>
      <c r="N101" s="2">
        <v>4.0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s">
        <v>48</v>
      </c>
      <c r="AN101" s="2"/>
      <c r="AO101" s="2"/>
      <c r="AP101" s="2"/>
      <c r="AQ101" s="2"/>
      <c r="AR101" s="2"/>
      <c r="AS101" s="2"/>
      <c r="AT101" s="2"/>
      <c r="AU101" s="2"/>
    </row>
    <row r="102">
      <c r="A102" s="2" t="str">
        <f t="shared" si="1"/>
        <v>C</v>
      </c>
      <c r="B102" s="2">
        <v>4.0</v>
      </c>
      <c r="C102" s="2"/>
      <c r="D102" s="2"/>
      <c r="E102" s="2">
        <v>4.0</v>
      </c>
      <c r="F102" s="2"/>
      <c r="G102" s="2"/>
      <c r="H102" s="2"/>
      <c r="I102" s="2"/>
      <c r="J102" s="2"/>
      <c r="K102" s="2">
        <v>4.0</v>
      </c>
      <c r="L102" s="2"/>
      <c r="M102" s="2"/>
      <c r="N102" s="2">
        <v>4.0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s">
        <v>49</v>
      </c>
      <c r="AN102" s="2"/>
      <c r="AO102" s="2"/>
      <c r="AP102" s="2"/>
      <c r="AQ102" s="2"/>
      <c r="AR102" s="2"/>
      <c r="AS102" s="2"/>
      <c r="AT102" s="2"/>
      <c r="AU102" s="2"/>
    </row>
    <row r="103">
      <c r="A103" s="2" t="str">
        <f t="shared" si="1"/>
        <v>E</v>
      </c>
      <c r="B103" s="2"/>
      <c r="C103" s="2"/>
      <c r="D103" s="2"/>
      <c r="E103" s="2">
        <v>4.0</v>
      </c>
      <c r="F103" s="2"/>
      <c r="G103" s="2"/>
      <c r="H103" s="2"/>
      <c r="I103" s="2"/>
      <c r="J103" s="2">
        <v>-4.0</v>
      </c>
      <c r="K103" s="2"/>
      <c r="L103" s="2"/>
      <c r="M103" s="2"/>
      <c r="N103" s="2"/>
      <c r="O103" s="2">
        <v>4.0</v>
      </c>
      <c r="P103" s="2"/>
      <c r="Q103" s="2">
        <v>4.0</v>
      </c>
      <c r="R103" s="2"/>
      <c r="S103" s="2"/>
      <c r="T103" s="2"/>
      <c r="U103" s="2"/>
      <c r="V103" s="2"/>
      <c r="W103" s="2"/>
      <c r="X103" s="2"/>
      <c r="Y103" s="2"/>
      <c r="Z103" s="2">
        <v>4.0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s">
        <v>50</v>
      </c>
      <c r="AN103" s="2"/>
      <c r="AO103" s="2"/>
      <c r="AP103" s="2"/>
      <c r="AQ103" s="2"/>
      <c r="AR103" s="2"/>
      <c r="AS103" s="2"/>
      <c r="AT103" s="2"/>
      <c r="AU103" s="2"/>
    </row>
    <row r="104">
      <c r="A104" s="2" t="str">
        <f t="shared" si="1"/>
        <v>B</v>
      </c>
      <c r="B104" s="2">
        <v>4.0</v>
      </c>
      <c r="C104" s="2"/>
      <c r="D104" s="2"/>
      <c r="E104" s="2">
        <v>4.0</v>
      </c>
      <c r="F104" s="2"/>
      <c r="G104" s="2"/>
      <c r="H104" s="2"/>
      <c r="I104" s="2"/>
      <c r="J104" s="2">
        <v>4.0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s">
        <v>51</v>
      </c>
      <c r="AN104" s="2"/>
      <c r="AO104" s="2"/>
      <c r="AP104" s="2"/>
      <c r="AQ104" s="2"/>
      <c r="AR104" s="2"/>
      <c r="AS104" s="2"/>
      <c r="AT104" s="2"/>
      <c r="AU104" s="2"/>
    </row>
    <row r="105">
      <c r="A105" s="2" t="str">
        <f t="shared" si="1"/>
        <v>P</v>
      </c>
      <c r="B105" s="2"/>
      <c r="C105" s="2"/>
      <c r="D105" s="2"/>
      <c r="E105" s="2">
        <v>-4.0</v>
      </c>
      <c r="F105" s="2"/>
      <c r="G105" s="2"/>
      <c r="H105" s="2"/>
      <c r="I105" s="2"/>
      <c r="J105" s="2"/>
      <c r="K105" s="2">
        <v>4.0</v>
      </c>
      <c r="L105" s="2"/>
      <c r="M105" s="2"/>
      <c r="N105" s="2"/>
      <c r="O105" s="2"/>
      <c r="P105" s="2">
        <v>4.0</v>
      </c>
      <c r="Q105" s="2">
        <v>4.0</v>
      </c>
      <c r="R105" s="2"/>
      <c r="S105" s="2">
        <v>4.0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s">
        <v>52</v>
      </c>
      <c r="AN105" s="2"/>
      <c r="AO105" s="2"/>
      <c r="AP105" s="2"/>
      <c r="AQ105" s="2"/>
      <c r="AR105" s="2"/>
      <c r="AS105" s="2"/>
      <c r="AT105" s="2"/>
      <c r="AU105" s="2"/>
    </row>
    <row r="106">
      <c r="A106" s="2" t="str">
        <f t="shared" si="1"/>
        <v/>
      </c>
      <c r="B106" s="2" t="b">
        <v>1</v>
      </c>
      <c r="C106" s="2" t="b">
        <v>1</v>
      </c>
      <c r="D106" s="2" t="b">
        <v>1</v>
      </c>
      <c r="E106" s="2" t="b">
        <v>1</v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1</v>
      </c>
      <c r="K106" s="2" t="b">
        <v>1</v>
      </c>
      <c r="L106" s="2" t="b">
        <v>1</v>
      </c>
      <c r="M106" s="2" t="b">
        <v>1</v>
      </c>
      <c r="N106" s="2" t="b">
        <v>1</v>
      </c>
      <c r="O106" s="2" t="b">
        <v>1</v>
      </c>
      <c r="P106" s="2" t="b">
        <v>1</v>
      </c>
      <c r="Q106" s="2" t="b">
        <v>1</v>
      </c>
      <c r="R106" s="2" t="b">
        <v>1</v>
      </c>
      <c r="S106" s="2" t="b">
        <v>1</v>
      </c>
      <c r="T106" s="2" t="b">
        <v>1</v>
      </c>
      <c r="U106" s="2" t="b">
        <v>1</v>
      </c>
      <c r="V106" s="2" t="b">
        <v>1</v>
      </c>
      <c r="W106" s="2" t="b">
        <v>0</v>
      </c>
      <c r="X106" s="2" t="b">
        <v>1</v>
      </c>
      <c r="Y106" s="2" t="b">
        <v>1</v>
      </c>
      <c r="Z106" s="2" t="b">
        <v>1</v>
      </c>
      <c r="AA106" s="2" t="b">
        <v>1</v>
      </c>
      <c r="AB106" s="2" t="b">
        <v>1</v>
      </c>
      <c r="AC106" s="2" t="b">
        <v>1</v>
      </c>
      <c r="AD106" s="2" t="b">
        <v>0</v>
      </c>
      <c r="AE106" s="2" t="b">
        <v>1</v>
      </c>
      <c r="AF106" s="2" t="b">
        <v>1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  <c r="AL106" s="2" t="b">
        <v>0</v>
      </c>
      <c r="AM106" s="2"/>
      <c r="AN106" s="2" t="b">
        <v>0</v>
      </c>
      <c r="AO106" s="2" t="b">
        <v>0</v>
      </c>
      <c r="AP106" s="2" t="b">
        <v>0</v>
      </c>
      <c r="AQ106" s="2" t="b">
        <v>0</v>
      </c>
      <c r="AR106" s="2" t="b">
        <v>0</v>
      </c>
      <c r="AS106" s="2" t="b">
        <v>0</v>
      </c>
      <c r="AT106" s="2" t="b">
        <v>0</v>
      </c>
      <c r="AU106" s="2" t="b">
        <v>0</v>
      </c>
    </row>
    <row r="107">
      <c r="A107" s="2" t="str">
        <f t="shared" si="1"/>
        <v>X</v>
      </c>
      <c r="B107" s="2">
        <v>4.0</v>
      </c>
      <c r="C107" s="2"/>
      <c r="D107" s="2"/>
      <c r="E107" s="2">
        <v>4.0</v>
      </c>
      <c r="F107" s="2"/>
      <c r="G107" s="2"/>
      <c r="H107" s="2"/>
      <c r="I107" s="2"/>
      <c r="J107" s="2"/>
      <c r="K107" s="2"/>
      <c r="L107" s="2"/>
      <c r="M107" s="2"/>
      <c r="N107" s="2">
        <v>4.0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s">
        <v>47</v>
      </c>
      <c r="AN107" s="2"/>
      <c r="AO107" s="2"/>
      <c r="AP107" s="2"/>
      <c r="AQ107" s="2"/>
      <c r="AR107" s="2"/>
      <c r="AS107" s="2"/>
      <c r="AT107" s="2"/>
      <c r="AU107" s="2"/>
    </row>
    <row r="108">
      <c r="A108" s="2" t="str">
        <f t="shared" si="1"/>
        <v>M</v>
      </c>
      <c r="B108" s="2"/>
      <c r="C108" s="2"/>
      <c r="D108" s="2"/>
      <c r="E108" s="2">
        <v>4.0</v>
      </c>
      <c r="F108" s="2">
        <v>4.0</v>
      </c>
      <c r="G108" s="2">
        <v>4.0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>
        <v>4.0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s">
        <v>48</v>
      </c>
      <c r="AN108" s="2"/>
      <c r="AO108" s="2"/>
      <c r="AP108" s="2"/>
      <c r="AQ108" s="2"/>
      <c r="AR108" s="2"/>
      <c r="AS108" s="2"/>
      <c r="AT108" s="2"/>
      <c r="AU108" s="2"/>
    </row>
    <row r="109">
      <c r="A109" s="2" t="str">
        <f t="shared" si="1"/>
        <v>C</v>
      </c>
      <c r="B109" s="2"/>
      <c r="C109" s="2"/>
      <c r="D109" s="2"/>
      <c r="E109" s="2">
        <v>-4.0</v>
      </c>
      <c r="F109" s="2"/>
      <c r="G109" s="2"/>
      <c r="H109" s="2"/>
      <c r="I109" s="2">
        <v>4.0</v>
      </c>
      <c r="J109" s="2"/>
      <c r="K109" s="2"/>
      <c r="L109" s="2"/>
      <c r="M109" s="2"/>
      <c r="N109" s="2">
        <v>4.0</v>
      </c>
      <c r="O109" s="2"/>
      <c r="P109" s="2"/>
      <c r="Q109" s="2"/>
      <c r="R109" s="2"/>
      <c r="S109" s="2">
        <v>4.0</v>
      </c>
      <c r="T109" s="2"/>
      <c r="U109" s="2"/>
      <c r="V109" s="2"/>
      <c r="W109" s="2"/>
      <c r="X109" s="2"/>
      <c r="Y109" s="2"/>
      <c r="Z109" s="2"/>
      <c r="AA109" s="2"/>
      <c r="AB109" s="2">
        <v>4.0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s">
        <v>49</v>
      </c>
      <c r="AN109" s="2"/>
      <c r="AO109" s="2"/>
      <c r="AP109" s="2"/>
      <c r="AQ109" s="2"/>
      <c r="AR109" s="2"/>
      <c r="AS109" s="2"/>
      <c r="AT109" s="2"/>
      <c r="AU109" s="2"/>
    </row>
    <row r="110">
      <c r="A110" s="2" t="str">
        <f t="shared" si="1"/>
        <v>E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>
        <v>4.0</v>
      </c>
      <c r="AH110" s="2"/>
      <c r="AI110" s="2"/>
      <c r="AJ110" s="2"/>
      <c r="AK110" s="2"/>
      <c r="AL110" s="2"/>
      <c r="AM110" s="2" t="s">
        <v>50</v>
      </c>
      <c r="AN110" s="2"/>
      <c r="AO110" s="2"/>
      <c r="AP110" s="2"/>
      <c r="AQ110" s="2"/>
      <c r="AR110" s="2"/>
      <c r="AS110" s="2"/>
      <c r="AT110" s="2"/>
      <c r="AU110" s="2"/>
    </row>
    <row r="111">
      <c r="A111" s="2" t="str">
        <f t="shared" si="1"/>
        <v>B</v>
      </c>
      <c r="B111" s="2"/>
      <c r="C111" s="2">
        <v>4.0</v>
      </c>
      <c r="D111" s="2"/>
      <c r="E111" s="2">
        <v>4.0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>
        <v>4.0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>
        <v>4.0</v>
      </c>
      <c r="AI111" s="2"/>
      <c r="AJ111" s="2"/>
      <c r="AK111" s="2"/>
      <c r="AL111" s="2"/>
      <c r="AM111" s="2" t="s">
        <v>51</v>
      </c>
      <c r="AN111" s="2"/>
      <c r="AO111" s="2"/>
      <c r="AP111" s="2"/>
      <c r="AQ111" s="2"/>
      <c r="AR111" s="2"/>
      <c r="AS111" s="2"/>
      <c r="AT111" s="2"/>
      <c r="AU111" s="2"/>
    </row>
    <row r="112">
      <c r="A112" s="2" t="str">
        <f t="shared" si="1"/>
        <v>P</v>
      </c>
      <c r="B112" s="2"/>
      <c r="C112" s="2"/>
      <c r="D112" s="2"/>
      <c r="E112" s="2">
        <v>4.0</v>
      </c>
      <c r="F112" s="2"/>
      <c r="G112" s="2"/>
      <c r="H112" s="2">
        <v>4.0</v>
      </c>
      <c r="I112" s="2"/>
      <c r="J112" s="2"/>
      <c r="K112" s="2"/>
      <c r="L112" s="2"/>
      <c r="M112" s="2"/>
      <c r="N112" s="2">
        <v>4.0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s">
        <v>52</v>
      </c>
      <c r="AN112" s="2"/>
      <c r="AO112" s="2"/>
      <c r="AP112" s="2"/>
      <c r="AQ112" s="2"/>
      <c r="AR112" s="2"/>
      <c r="AS112" s="2"/>
      <c r="AT112" s="2"/>
      <c r="AU112" s="2"/>
    </row>
    <row r="113">
      <c r="A113" s="2" t="str">
        <f t="shared" si="1"/>
        <v>X</v>
      </c>
      <c r="B113" s="2">
        <v>-4.0</v>
      </c>
      <c r="C113" s="2"/>
      <c r="D113" s="2"/>
      <c r="E113" s="2">
        <v>-4.0</v>
      </c>
      <c r="F113" s="2"/>
      <c r="G113" s="2"/>
      <c r="H113" s="2">
        <v>4.0</v>
      </c>
      <c r="I113" s="2"/>
      <c r="J113" s="2"/>
      <c r="K113" s="2">
        <v>4.0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s">
        <v>47</v>
      </c>
      <c r="AN113" s="2"/>
      <c r="AO113" s="2"/>
      <c r="AP113" s="2"/>
      <c r="AQ113" s="2"/>
      <c r="AR113" s="2"/>
      <c r="AS113" s="2"/>
      <c r="AT113" s="2"/>
      <c r="AU113" s="2"/>
    </row>
    <row r="114">
      <c r="A114" s="2" t="str">
        <f t="shared" si="1"/>
        <v>M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>
        <v>4.0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s">
        <v>48</v>
      </c>
      <c r="AN114" s="2"/>
      <c r="AO114" s="2"/>
      <c r="AP114" s="2"/>
      <c r="AQ114" s="2"/>
      <c r="AR114" s="2"/>
      <c r="AS114" s="2"/>
      <c r="AT114" s="2"/>
      <c r="AU114" s="2"/>
    </row>
    <row r="115">
      <c r="A115" s="2" t="str">
        <f t="shared" si="1"/>
        <v>C</v>
      </c>
      <c r="B115" s="2"/>
      <c r="C115" s="2"/>
      <c r="D115" s="2"/>
      <c r="E115" s="2"/>
      <c r="F115" s="2">
        <v>4.0</v>
      </c>
      <c r="G115" s="2"/>
      <c r="H115" s="2"/>
      <c r="I115" s="2"/>
      <c r="J115" s="2"/>
      <c r="K115" s="2"/>
      <c r="L115" s="2"/>
      <c r="M115" s="2"/>
      <c r="N115" s="2">
        <v>-4.0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>
        <v>4.0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 t="s">
        <v>49</v>
      </c>
      <c r="AN115" s="2"/>
      <c r="AO115" s="2"/>
      <c r="AP115" s="2"/>
      <c r="AQ115" s="2"/>
      <c r="AR115" s="2"/>
      <c r="AS115" s="2"/>
      <c r="AT115" s="2"/>
      <c r="AU115" s="2"/>
    </row>
    <row r="116">
      <c r="A116" s="2" t="str">
        <f t="shared" si="1"/>
        <v>E</v>
      </c>
      <c r="B116" s="2"/>
      <c r="C116" s="2"/>
      <c r="D116" s="2"/>
      <c r="E116" s="2"/>
      <c r="F116" s="2"/>
      <c r="G116" s="2"/>
      <c r="H116" s="2">
        <v>4.0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>
        <v>4.0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>
        <v>4.0</v>
      </c>
      <c r="AH116" s="2"/>
      <c r="AI116" s="2"/>
      <c r="AJ116" s="2">
        <v>4.0</v>
      </c>
      <c r="AK116" s="2"/>
      <c r="AL116" s="2"/>
      <c r="AM116" s="2" t="s">
        <v>50</v>
      </c>
      <c r="AN116" s="2"/>
      <c r="AO116" s="2"/>
      <c r="AP116" s="2"/>
      <c r="AQ116" s="2"/>
      <c r="AR116" s="2"/>
      <c r="AS116" s="2"/>
      <c r="AT116" s="2"/>
      <c r="AU116" s="2"/>
    </row>
    <row r="117">
      <c r="A117" s="2" t="str">
        <f t="shared" si="1"/>
        <v>B</v>
      </c>
      <c r="B117" s="2">
        <v>4.0</v>
      </c>
      <c r="C117" s="2"/>
      <c r="D117" s="2"/>
      <c r="E117" s="2">
        <v>4.0</v>
      </c>
      <c r="F117" s="2"/>
      <c r="G117" s="2"/>
      <c r="H117" s="2"/>
      <c r="I117" s="2">
        <v>4.0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>
        <v>4.0</v>
      </c>
      <c r="AI117" s="2"/>
      <c r="AJ117" s="2"/>
      <c r="AK117" s="2"/>
      <c r="AL117" s="2"/>
      <c r="AM117" s="2" t="s">
        <v>51</v>
      </c>
      <c r="AN117" s="2"/>
      <c r="AO117" s="2"/>
      <c r="AP117" s="2"/>
      <c r="AQ117" s="2"/>
      <c r="AR117" s="2"/>
      <c r="AS117" s="2"/>
      <c r="AT117" s="2"/>
      <c r="AU117" s="2"/>
    </row>
    <row r="118">
      <c r="A118" s="2" t="str">
        <f t="shared" si="1"/>
        <v>P</v>
      </c>
      <c r="B118" s="2"/>
      <c r="C118" s="2"/>
      <c r="D118" s="2"/>
      <c r="E118" s="2"/>
      <c r="F118" s="2">
        <v>-4.0</v>
      </c>
      <c r="G118" s="2"/>
      <c r="H118" s="2"/>
      <c r="I118" s="2"/>
      <c r="J118" s="2"/>
      <c r="K118" s="2"/>
      <c r="L118" s="2"/>
      <c r="M118" s="2"/>
      <c r="N118" s="2"/>
      <c r="O118" s="2">
        <v>4.0</v>
      </c>
      <c r="P118" s="2">
        <v>4.0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>
        <v>4.0</v>
      </c>
      <c r="AH118" s="2"/>
      <c r="AI118" s="2"/>
      <c r="AJ118" s="2"/>
      <c r="AK118" s="2"/>
      <c r="AL118" s="2"/>
      <c r="AM118" s="2" t="s">
        <v>52</v>
      </c>
      <c r="AN118" s="2"/>
      <c r="AO118" s="2"/>
      <c r="AP118" s="2"/>
      <c r="AQ118" s="2"/>
      <c r="AR118" s="2"/>
      <c r="AS118" s="2"/>
      <c r="AT118" s="2"/>
      <c r="AU118" s="2"/>
    </row>
    <row r="119">
      <c r="A119" s="2" t="str">
        <f t="shared" si="1"/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>
      <c r="A120" s="2" t="str">
        <f t="shared" si="1"/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>
      <c r="A121" s="2" t="str">
        <f t="shared" si="1"/>
        <v/>
      </c>
      <c r="B121" s="2" t="str">
        <f t="array" ref="B121:AU150">transpose(sort(transpose(All!A121:AT150),2,true))</f>
        <v>Cupertino A</v>
      </c>
      <c r="C121" s="2" t="s">
        <v>5</v>
      </c>
      <c r="D121" s="2"/>
      <c r="E121" s="2"/>
      <c r="F121" s="2"/>
      <c r="G121" s="2"/>
      <c r="H121" s="2"/>
      <c r="I121" s="2"/>
      <c r="J121" s="2"/>
      <c r="K121" s="2"/>
      <c r="L121" s="2"/>
      <c r="M121" s="2" t="s">
        <v>7</v>
      </c>
      <c r="N121" s="2"/>
      <c r="O121" s="2"/>
      <c r="P121" s="2" t="s">
        <v>4</v>
      </c>
      <c r="Q121" s="2"/>
      <c r="R121" s="2"/>
      <c r="S121" s="2"/>
      <c r="T121" s="2" t="s">
        <v>6</v>
      </c>
      <c r="U121" s="2"/>
      <c r="V121" s="2" t="s">
        <v>3</v>
      </c>
      <c r="W121" s="2"/>
      <c r="X121" s="2"/>
      <c r="Y121" s="2" t="s">
        <v>0</v>
      </c>
      <c r="Z121" s="2"/>
      <c r="AA121" s="2"/>
      <c r="AB121" s="2"/>
      <c r="AC121" s="2" t="s">
        <v>2</v>
      </c>
      <c r="AD121" s="2"/>
      <c r="AE121" s="2"/>
      <c r="AF121" s="2"/>
      <c r="AG121" s="2"/>
      <c r="AH121" s="2"/>
      <c r="AI121" s="2"/>
      <c r="AJ121" s="2"/>
      <c r="AK121" s="2" t="s">
        <v>1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>
      <c r="A122" s="2" t="str">
        <f t="shared" si="1"/>
        <v/>
      </c>
      <c r="B122" s="2" t="s">
        <v>43</v>
      </c>
      <c r="C122" s="2" t="s">
        <v>30</v>
      </c>
      <c r="D122" s="2" t="s">
        <v>45</v>
      </c>
      <c r="E122" s="2" t="s">
        <v>18</v>
      </c>
      <c r="F122" s="2" t="s">
        <v>33</v>
      </c>
      <c r="G122" s="2" t="s">
        <v>10</v>
      </c>
      <c r="H122" s="2" t="s">
        <v>32</v>
      </c>
      <c r="I122" s="2" t="s">
        <v>24</v>
      </c>
      <c r="J122" s="2" t="s">
        <v>29</v>
      </c>
      <c r="K122" s="2" t="s">
        <v>37</v>
      </c>
      <c r="L122" s="2" t="s">
        <v>34</v>
      </c>
      <c r="M122" s="2" t="s">
        <v>42</v>
      </c>
      <c r="N122" s="2" t="s">
        <v>27</v>
      </c>
      <c r="O122" s="2" t="s">
        <v>35</v>
      </c>
      <c r="P122" s="2" t="s">
        <v>26</v>
      </c>
      <c r="Q122" s="2" t="s">
        <v>44</v>
      </c>
      <c r="R122" s="2" t="s">
        <v>41</v>
      </c>
      <c r="S122" s="2" t="s">
        <v>40</v>
      </c>
      <c r="T122" s="2" t="s">
        <v>55</v>
      </c>
      <c r="U122" s="2" t="s">
        <v>53</v>
      </c>
      <c r="V122" s="2" t="s">
        <v>22</v>
      </c>
      <c r="W122" s="2" t="s">
        <v>38</v>
      </c>
      <c r="X122" s="2" t="s">
        <v>46</v>
      </c>
      <c r="Y122" s="2" t="s">
        <v>9</v>
      </c>
      <c r="Z122" s="2" t="s">
        <v>11</v>
      </c>
      <c r="AA122" s="2" t="s">
        <v>39</v>
      </c>
      <c r="AB122" s="2" t="s">
        <v>31</v>
      </c>
      <c r="AC122" s="2" t="s">
        <v>17</v>
      </c>
      <c r="AD122" s="2" t="s">
        <v>23</v>
      </c>
      <c r="AE122" s="2" t="s">
        <v>12</v>
      </c>
      <c r="AF122" s="2" t="s">
        <v>20</v>
      </c>
      <c r="AG122" s="2" t="s">
        <v>21</v>
      </c>
      <c r="AH122" s="2" t="s">
        <v>13</v>
      </c>
      <c r="AI122" s="2" t="s">
        <v>15</v>
      </c>
      <c r="AJ122" s="2" t="s">
        <v>28</v>
      </c>
      <c r="AK122" s="2" t="s">
        <v>14</v>
      </c>
      <c r="AL122" s="2" t="s">
        <v>25</v>
      </c>
      <c r="AM122" s="2"/>
      <c r="AN122" s="2"/>
      <c r="AO122" s="2"/>
      <c r="AP122" s="2"/>
      <c r="AQ122" s="2"/>
      <c r="AR122" s="2"/>
      <c r="AS122" s="2"/>
      <c r="AT122" s="2"/>
      <c r="AU122" s="2"/>
    </row>
    <row r="123">
      <c r="A123" s="2" t="str">
        <f t="shared" si="1"/>
        <v/>
      </c>
      <c r="B123" s="2" t="b">
        <v>1</v>
      </c>
      <c r="C123" s="2" t="b">
        <v>1</v>
      </c>
      <c r="D123" s="2" t="b">
        <v>1</v>
      </c>
      <c r="E123" s="2" t="b">
        <v>1</v>
      </c>
      <c r="F123" s="2" t="b">
        <v>1</v>
      </c>
      <c r="G123" s="2" t="b">
        <v>1</v>
      </c>
      <c r="H123" s="2" t="b">
        <v>1</v>
      </c>
      <c r="I123" s="2" t="b">
        <v>0</v>
      </c>
      <c r="J123" s="2" t="b">
        <v>1</v>
      </c>
      <c r="K123" s="2" t="b">
        <v>1</v>
      </c>
      <c r="L123" s="2" t="b">
        <v>1</v>
      </c>
      <c r="M123" s="2" t="b">
        <v>1</v>
      </c>
      <c r="N123" s="2" t="b">
        <v>1</v>
      </c>
      <c r="O123" s="2" t="b">
        <v>1</v>
      </c>
      <c r="P123" s="2" t="b">
        <v>1</v>
      </c>
      <c r="Q123" s="2" t="b">
        <v>1</v>
      </c>
      <c r="R123" s="2" t="b">
        <v>1</v>
      </c>
      <c r="S123" s="2" t="b">
        <v>1</v>
      </c>
      <c r="T123" s="2" t="b">
        <v>1</v>
      </c>
      <c r="U123" s="2" t="b">
        <v>1</v>
      </c>
      <c r="V123" s="2" t="b">
        <v>0</v>
      </c>
      <c r="W123" s="2" t="b">
        <v>0</v>
      </c>
      <c r="X123" s="2" t="b">
        <v>1</v>
      </c>
      <c r="Y123" s="2" t="b">
        <v>1</v>
      </c>
      <c r="Z123" s="2" t="b">
        <v>1</v>
      </c>
      <c r="AA123" s="2" t="b">
        <v>1</v>
      </c>
      <c r="AB123" s="2" t="b">
        <v>1</v>
      </c>
      <c r="AC123" s="2" t="b">
        <v>1</v>
      </c>
      <c r="AD123" s="2" t="b">
        <v>0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1</v>
      </c>
      <c r="AL123" s="2" t="b">
        <v>0</v>
      </c>
      <c r="AM123" s="2"/>
      <c r="AN123" s="2" t="b">
        <v>0</v>
      </c>
      <c r="AO123" s="2" t="b">
        <v>0</v>
      </c>
      <c r="AP123" s="2" t="b">
        <v>0</v>
      </c>
      <c r="AQ123" s="2" t="b">
        <v>0</v>
      </c>
      <c r="AR123" s="2" t="b">
        <v>0</v>
      </c>
      <c r="AS123" s="2" t="b">
        <v>0</v>
      </c>
      <c r="AT123" s="2" t="b">
        <v>0</v>
      </c>
      <c r="AU123" s="2" t="b">
        <v>0</v>
      </c>
    </row>
    <row r="124">
      <c r="A124" s="2" t="str">
        <f t="shared" si="1"/>
        <v>X</v>
      </c>
      <c r="B124" s="2"/>
      <c r="C124" s="2"/>
      <c r="D124" s="2"/>
      <c r="E124" s="2">
        <v>4.0</v>
      </c>
      <c r="F124" s="2"/>
      <c r="G124" s="2"/>
      <c r="H124" s="2"/>
      <c r="I124" s="2"/>
      <c r="J124" s="2"/>
      <c r="K124" s="2"/>
      <c r="L124" s="2"/>
      <c r="M124" s="2"/>
      <c r="N124" s="2">
        <v>-4.0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s">
        <v>47</v>
      </c>
      <c r="AN124" s="2"/>
      <c r="AO124" s="2"/>
      <c r="AP124" s="2"/>
      <c r="AQ124" s="2"/>
      <c r="AR124" s="2"/>
      <c r="AS124" s="2"/>
      <c r="AT124" s="2"/>
      <c r="AU124" s="2"/>
    </row>
    <row r="125">
      <c r="A125" s="2" t="str">
        <f t="shared" si="1"/>
        <v>M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>
        <v>4.0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>
        <v>4.0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s">
        <v>48</v>
      </c>
      <c r="AN125" s="2"/>
      <c r="AO125" s="2"/>
      <c r="AP125" s="2"/>
      <c r="AQ125" s="2"/>
      <c r="AR125" s="2"/>
      <c r="AS125" s="2"/>
      <c r="AT125" s="2"/>
      <c r="AU125" s="2"/>
    </row>
    <row r="126">
      <c r="A126" s="2" t="str">
        <f t="shared" si="1"/>
        <v>C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>
        <v>4.0</v>
      </c>
      <c r="AD126" s="2"/>
      <c r="AE126" s="2"/>
      <c r="AF126" s="2"/>
      <c r="AG126" s="2"/>
      <c r="AH126" s="2"/>
      <c r="AI126" s="2"/>
      <c r="AJ126" s="2">
        <v>4.0</v>
      </c>
      <c r="AK126" s="2"/>
      <c r="AL126" s="2"/>
      <c r="AM126" s="2" t="s">
        <v>49</v>
      </c>
      <c r="AN126" s="2"/>
      <c r="AO126" s="2"/>
      <c r="AP126" s="2"/>
      <c r="AQ126" s="2"/>
      <c r="AR126" s="2"/>
      <c r="AS126" s="2"/>
      <c r="AT126" s="2"/>
      <c r="AU126" s="2"/>
    </row>
    <row r="127">
      <c r="A127" s="2" t="str">
        <f t="shared" si="1"/>
        <v>E</v>
      </c>
      <c r="B127" s="2">
        <v>-4.0</v>
      </c>
      <c r="C127" s="2"/>
      <c r="D127" s="2"/>
      <c r="E127" s="2"/>
      <c r="F127" s="2">
        <v>-4.0</v>
      </c>
      <c r="G127" s="2"/>
      <c r="H127" s="2"/>
      <c r="I127" s="2"/>
      <c r="J127" s="2">
        <v>4.0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>
        <v>4.0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s">
        <v>50</v>
      </c>
      <c r="AN127" s="2"/>
      <c r="AO127" s="2"/>
      <c r="AP127" s="2"/>
      <c r="AQ127" s="2"/>
      <c r="AR127" s="2"/>
      <c r="AS127" s="2"/>
      <c r="AT127" s="2"/>
      <c r="AU127" s="2"/>
    </row>
    <row r="128">
      <c r="A128" s="2" t="str">
        <f t="shared" si="1"/>
        <v>B</v>
      </c>
      <c r="B128" s="2"/>
      <c r="C128" s="2"/>
      <c r="D128" s="2"/>
      <c r="E128" s="2">
        <v>-4.0</v>
      </c>
      <c r="F128" s="2">
        <v>4.0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s">
        <v>51</v>
      </c>
      <c r="AN128" s="2"/>
      <c r="AO128" s="2"/>
      <c r="AP128" s="2"/>
      <c r="AQ128" s="2"/>
      <c r="AR128" s="2"/>
      <c r="AS128" s="2"/>
      <c r="AT128" s="2"/>
      <c r="AU128" s="2"/>
    </row>
    <row r="129">
      <c r="A129" s="2" t="str">
        <f t="shared" si="1"/>
        <v>P</v>
      </c>
      <c r="B129" s="2"/>
      <c r="C129" s="2"/>
      <c r="D129" s="2"/>
      <c r="E129" s="2"/>
      <c r="F129" s="2"/>
      <c r="G129" s="2">
        <v>4.0</v>
      </c>
      <c r="H129" s="2"/>
      <c r="I129" s="2"/>
      <c r="J129" s="2"/>
      <c r="K129" s="2"/>
      <c r="L129" s="2"/>
      <c r="M129" s="2"/>
      <c r="N129" s="2"/>
      <c r="O129" s="2">
        <v>4.0</v>
      </c>
      <c r="P129" s="2">
        <v>-4.0</v>
      </c>
      <c r="Q129" s="2">
        <v>4.0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>
        <v>-4.0</v>
      </c>
      <c r="AC129" s="2"/>
      <c r="AD129" s="2"/>
      <c r="AE129" s="2"/>
      <c r="AF129" s="2">
        <v>-4.0</v>
      </c>
      <c r="AG129" s="2"/>
      <c r="AH129" s="2"/>
      <c r="AI129" s="2"/>
      <c r="AJ129" s="2"/>
      <c r="AK129" s="2">
        <v>-4.0</v>
      </c>
      <c r="AL129" s="2"/>
      <c r="AM129" s="2" t="s">
        <v>52</v>
      </c>
      <c r="AN129" s="2"/>
      <c r="AO129" s="2"/>
      <c r="AP129" s="2"/>
      <c r="AQ129" s="2"/>
      <c r="AR129" s="2"/>
      <c r="AS129" s="2"/>
      <c r="AT129" s="2"/>
      <c r="AU129" s="2"/>
    </row>
    <row r="130">
      <c r="A130" s="2" t="str">
        <f t="shared" si="1"/>
        <v>X</v>
      </c>
      <c r="B130" s="2">
        <v>4.0</v>
      </c>
      <c r="C130" s="2">
        <v>4.0</v>
      </c>
      <c r="D130" s="2"/>
      <c r="E130" s="2">
        <v>4.0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>
        <v>4.0</v>
      </c>
      <c r="AL130" s="2"/>
      <c r="AM130" s="2" t="s">
        <v>47</v>
      </c>
      <c r="AN130" s="2"/>
      <c r="AO130" s="2"/>
      <c r="AP130" s="2"/>
      <c r="AQ130" s="2"/>
      <c r="AR130" s="2"/>
      <c r="AS130" s="2"/>
      <c r="AT130" s="2"/>
      <c r="AU130" s="2"/>
    </row>
    <row r="131">
      <c r="A131" s="2" t="str">
        <f t="shared" si="1"/>
        <v>M</v>
      </c>
      <c r="B131" s="2"/>
      <c r="C131" s="2"/>
      <c r="D131" s="2">
        <v>4.0</v>
      </c>
      <c r="E131" s="2"/>
      <c r="F131" s="2"/>
      <c r="G131" s="2"/>
      <c r="H131" s="2"/>
      <c r="I131" s="2"/>
      <c r="J131" s="2"/>
      <c r="K131" s="2">
        <v>4.0</v>
      </c>
      <c r="L131" s="2"/>
      <c r="M131" s="2"/>
      <c r="N131" s="2"/>
      <c r="O131" s="2"/>
      <c r="P131" s="2">
        <v>-4.0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s">
        <v>48</v>
      </c>
      <c r="AN131" s="2"/>
      <c r="AO131" s="2"/>
      <c r="AP131" s="2"/>
      <c r="AQ131" s="2"/>
      <c r="AR131" s="2"/>
      <c r="AS131" s="2"/>
      <c r="AT131" s="2"/>
      <c r="AU131" s="2"/>
    </row>
    <row r="132">
      <c r="A132" s="2" t="str">
        <f t="shared" si="1"/>
        <v>C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>
        <v>4.0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>
        <v>-4.0</v>
      </c>
      <c r="AC132" s="2">
        <v>4.0</v>
      </c>
      <c r="AD132" s="2"/>
      <c r="AE132" s="2"/>
      <c r="AF132" s="2"/>
      <c r="AG132" s="2"/>
      <c r="AH132" s="2"/>
      <c r="AI132" s="2"/>
      <c r="AJ132" s="2"/>
      <c r="AK132" s="2">
        <v>4.0</v>
      </c>
      <c r="AL132" s="2"/>
      <c r="AM132" s="2" t="s">
        <v>49</v>
      </c>
      <c r="AN132" s="2"/>
      <c r="AO132" s="2"/>
      <c r="AP132" s="2"/>
      <c r="AQ132" s="2"/>
      <c r="AR132" s="2"/>
      <c r="AS132" s="2"/>
      <c r="AT132" s="2"/>
      <c r="AU132" s="2"/>
    </row>
    <row r="133">
      <c r="A133" s="2" t="str">
        <f t="shared" si="1"/>
        <v>E</v>
      </c>
      <c r="B133" s="2"/>
      <c r="C133" s="2"/>
      <c r="D133" s="2"/>
      <c r="E133" s="2"/>
      <c r="F133" s="2"/>
      <c r="G133" s="2"/>
      <c r="H133" s="2">
        <v>4.0</v>
      </c>
      <c r="I133" s="2"/>
      <c r="J133" s="2"/>
      <c r="K133" s="2"/>
      <c r="L133" s="2"/>
      <c r="M133" s="2">
        <v>-4.0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>
        <v>4.0</v>
      </c>
      <c r="AH133" s="2"/>
      <c r="AI133" s="2"/>
      <c r="AJ133" s="2">
        <v>4.0</v>
      </c>
      <c r="AK133" s="2"/>
      <c r="AL133" s="2"/>
      <c r="AM133" s="2" t="s">
        <v>50</v>
      </c>
      <c r="AN133" s="2"/>
      <c r="AO133" s="2"/>
      <c r="AP133" s="2"/>
      <c r="AQ133" s="2"/>
      <c r="AR133" s="2"/>
      <c r="AS133" s="2"/>
      <c r="AT133" s="2"/>
      <c r="AU133" s="2"/>
    </row>
    <row r="134">
      <c r="A134" s="2" t="str">
        <f t="shared" si="1"/>
        <v>B</v>
      </c>
      <c r="B134" s="2"/>
      <c r="C134" s="2">
        <v>4.0</v>
      </c>
      <c r="D134" s="2">
        <v>4.0</v>
      </c>
      <c r="E134" s="2">
        <v>4.0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-4.0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s">
        <v>51</v>
      </c>
      <c r="AN134" s="2"/>
      <c r="AO134" s="2"/>
      <c r="AP134" s="2"/>
      <c r="AQ134" s="2"/>
      <c r="AR134" s="2"/>
      <c r="AS134" s="2"/>
      <c r="AT134" s="2"/>
      <c r="AU134" s="2"/>
    </row>
    <row r="135">
      <c r="A135" s="2" t="str">
        <f t="shared" si="1"/>
        <v>P</v>
      </c>
      <c r="B135" s="2"/>
      <c r="C135" s="2"/>
      <c r="D135" s="2"/>
      <c r="E135" s="2"/>
      <c r="F135" s="2"/>
      <c r="G135" s="2">
        <v>-4.0</v>
      </c>
      <c r="H135" s="2"/>
      <c r="I135" s="2"/>
      <c r="J135" s="2"/>
      <c r="K135" s="2"/>
      <c r="L135" s="2"/>
      <c r="M135" s="2"/>
      <c r="N135" s="2"/>
      <c r="O135" s="2"/>
      <c r="P135" s="2">
        <v>4.0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>
        <v>-4.0</v>
      </c>
      <c r="AG135" s="2"/>
      <c r="AH135" s="2"/>
      <c r="AI135" s="2"/>
      <c r="AJ135" s="2"/>
      <c r="AK135" s="2"/>
      <c r="AL135" s="2"/>
      <c r="AM135" s="2" t="s">
        <v>52</v>
      </c>
      <c r="AN135" s="2"/>
      <c r="AO135" s="2"/>
      <c r="AP135" s="2"/>
      <c r="AQ135" s="2"/>
      <c r="AR135" s="2"/>
      <c r="AS135" s="2"/>
      <c r="AT135" s="2"/>
      <c r="AU135" s="2"/>
    </row>
    <row r="136">
      <c r="A136" s="2" t="str">
        <f t="shared" si="1"/>
        <v/>
      </c>
      <c r="B136" s="2" t="b">
        <v>1</v>
      </c>
      <c r="C136" s="2" t="b">
        <v>1</v>
      </c>
      <c r="D136" s="2" t="b">
        <v>1</v>
      </c>
      <c r="E136" s="2" t="b">
        <v>1</v>
      </c>
      <c r="F136" s="2" t="b">
        <v>1</v>
      </c>
      <c r="G136" s="2" t="b">
        <v>1</v>
      </c>
      <c r="H136" s="2" t="b">
        <v>1</v>
      </c>
      <c r="I136" s="2" t="b">
        <v>0</v>
      </c>
      <c r="J136" s="2" t="b">
        <v>1</v>
      </c>
      <c r="K136" s="2" t="b">
        <v>1</v>
      </c>
      <c r="L136" s="2" t="b">
        <v>1</v>
      </c>
      <c r="M136" s="2" t="b">
        <v>1</v>
      </c>
      <c r="N136" s="2" t="b">
        <v>1</v>
      </c>
      <c r="O136" s="2" t="b">
        <v>1</v>
      </c>
      <c r="P136" s="2" t="b">
        <v>1</v>
      </c>
      <c r="Q136" s="2" t="b">
        <v>1</v>
      </c>
      <c r="R136" s="2" t="b">
        <v>1</v>
      </c>
      <c r="S136" s="2" t="b">
        <v>1</v>
      </c>
      <c r="T136" s="2" t="b">
        <v>1</v>
      </c>
      <c r="U136" s="2" t="b">
        <v>1</v>
      </c>
      <c r="V136" s="2" t="b">
        <v>0</v>
      </c>
      <c r="W136" s="2" t="b">
        <v>0</v>
      </c>
      <c r="X136" s="2" t="b">
        <v>1</v>
      </c>
      <c r="Y136" s="2" t="b">
        <v>1</v>
      </c>
      <c r="Z136" s="2" t="b">
        <v>1</v>
      </c>
      <c r="AA136" s="2" t="b">
        <v>1</v>
      </c>
      <c r="AB136" s="2" t="b">
        <v>1</v>
      </c>
      <c r="AC136" s="2" t="b">
        <v>1</v>
      </c>
      <c r="AD136" s="2" t="b">
        <v>0</v>
      </c>
      <c r="AE136" s="2" t="b">
        <v>1</v>
      </c>
      <c r="AF136" s="2" t="b">
        <v>1</v>
      </c>
      <c r="AG136" s="2" t="b">
        <v>1</v>
      </c>
      <c r="AH136" s="2" t="b">
        <v>1</v>
      </c>
      <c r="AI136" s="2" t="b">
        <v>1</v>
      </c>
      <c r="AJ136" s="2" t="b">
        <v>1</v>
      </c>
      <c r="AK136" s="2" t="b">
        <v>1</v>
      </c>
      <c r="AL136" s="2" t="b">
        <v>0</v>
      </c>
      <c r="AM136" s="2"/>
      <c r="AN136" s="2" t="b">
        <v>0</v>
      </c>
      <c r="AO136" s="2" t="b">
        <v>0</v>
      </c>
      <c r="AP136" s="2" t="b">
        <v>0</v>
      </c>
      <c r="AQ136" s="2" t="b">
        <v>0</v>
      </c>
      <c r="AR136" s="2" t="b">
        <v>0</v>
      </c>
      <c r="AS136" s="2" t="b">
        <v>0</v>
      </c>
      <c r="AT136" s="2" t="b">
        <v>0</v>
      </c>
      <c r="AU136" s="2" t="b">
        <v>0</v>
      </c>
    </row>
    <row r="137">
      <c r="A137" s="2" t="str">
        <f t="shared" si="1"/>
        <v>X</v>
      </c>
      <c r="B137" s="2"/>
      <c r="C137" s="2"/>
      <c r="D137" s="2"/>
      <c r="E137" s="2"/>
      <c r="F137" s="2"/>
      <c r="G137" s="2"/>
      <c r="H137" s="2">
        <v>4.0</v>
      </c>
      <c r="I137" s="2"/>
      <c r="J137" s="2"/>
      <c r="K137" s="2"/>
      <c r="L137" s="2"/>
      <c r="M137" s="2"/>
      <c r="N137" s="2"/>
      <c r="O137" s="2"/>
      <c r="P137" s="2"/>
      <c r="Q137" s="2">
        <v>4.0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>
        <v>4.0</v>
      </c>
      <c r="AH137" s="2"/>
      <c r="AI137" s="2"/>
      <c r="AJ137" s="2"/>
      <c r="AK137" s="2">
        <v>-4.0</v>
      </c>
      <c r="AL137" s="2"/>
      <c r="AM137" s="2" t="s">
        <v>47</v>
      </c>
      <c r="AN137" s="2"/>
      <c r="AO137" s="2"/>
      <c r="AP137" s="2"/>
      <c r="AQ137" s="2"/>
      <c r="AR137" s="2"/>
      <c r="AS137" s="2"/>
      <c r="AT137" s="2"/>
      <c r="AU137" s="2"/>
    </row>
    <row r="138">
      <c r="A138" s="2" t="str">
        <f t="shared" si="1"/>
        <v>M</v>
      </c>
      <c r="B138" s="2"/>
      <c r="C138" s="2"/>
      <c r="D138" s="2"/>
      <c r="E138" s="2"/>
      <c r="F138" s="2"/>
      <c r="G138" s="2"/>
      <c r="H138" s="2">
        <v>4.0</v>
      </c>
      <c r="I138" s="2"/>
      <c r="J138" s="2"/>
      <c r="K138" s="2"/>
      <c r="L138" s="2"/>
      <c r="M138" s="2"/>
      <c r="N138" s="2"/>
      <c r="O138" s="2"/>
      <c r="P138" s="2"/>
      <c r="Q138" s="2">
        <v>4.0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s">
        <v>48</v>
      </c>
      <c r="AN138" s="2"/>
      <c r="AO138" s="2"/>
      <c r="AP138" s="2"/>
      <c r="AQ138" s="2"/>
      <c r="AR138" s="2"/>
      <c r="AS138" s="2"/>
      <c r="AT138" s="2"/>
      <c r="AU138" s="2"/>
    </row>
    <row r="139">
      <c r="A139" s="2" t="str">
        <f t="shared" si="1"/>
        <v>C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>
        <v>4.0</v>
      </c>
      <c r="M139" s="2"/>
      <c r="N139" s="2"/>
      <c r="O139" s="2"/>
      <c r="P139" s="2"/>
      <c r="Q139" s="2"/>
      <c r="R139" s="2"/>
      <c r="S139" s="2"/>
      <c r="T139" s="2"/>
      <c r="U139" s="2">
        <v>4.0</v>
      </c>
      <c r="V139" s="2"/>
      <c r="W139" s="2"/>
      <c r="X139" s="2"/>
      <c r="Y139" s="2"/>
      <c r="Z139" s="2"/>
      <c r="AA139" s="2"/>
      <c r="AB139" s="2"/>
      <c r="AC139" s="2">
        <v>4.0</v>
      </c>
      <c r="AD139" s="2"/>
      <c r="AE139" s="2"/>
      <c r="AF139" s="2"/>
      <c r="AG139" s="2"/>
      <c r="AH139" s="2"/>
      <c r="AI139" s="2"/>
      <c r="AJ139" s="2">
        <v>4.0</v>
      </c>
      <c r="AK139" s="2"/>
      <c r="AL139" s="2"/>
      <c r="AM139" s="2" t="s">
        <v>49</v>
      </c>
      <c r="AN139" s="2"/>
      <c r="AO139" s="2"/>
      <c r="AP139" s="2"/>
      <c r="AQ139" s="2"/>
      <c r="AR139" s="2"/>
      <c r="AS139" s="2"/>
      <c r="AT139" s="2"/>
      <c r="AU139" s="2"/>
    </row>
    <row r="140">
      <c r="A140" s="2" t="str">
        <f t="shared" si="1"/>
        <v>E</v>
      </c>
      <c r="B140" s="2"/>
      <c r="C140" s="2"/>
      <c r="D140" s="2"/>
      <c r="E140" s="2"/>
      <c r="F140" s="2"/>
      <c r="G140" s="2"/>
      <c r="H140" s="2">
        <v>-4.0</v>
      </c>
      <c r="I140" s="2"/>
      <c r="J140" s="2"/>
      <c r="K140" s="2"/>
      <c r="L140" s="2"/>
      <c r="M140" s="2"/>
      <c r="N140" s="2"/>
      <c r="O140" s="2"/>
      <c r="P140" s="2"/>
      <c r="Q140" s="2">
        <v>4.0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>
        <v>4.0</v>
      </c>
      <c r="AH140" s="2"/>
      <c r="AI140" s="2"/>
      <c r="AJ140" s="2"/>
      <c r="AK140" s="2"/>
      <c r="AL140" s="2"/>
      <c r="AM140" s="2" t="s">
        <v>50</v>
      </c>
      <c r="AN140" s="2"/>
      <c r="AO140" s="2"/>
      <c r="AP140" s="2"/>
      <c r="AQ140" s="2"/>
      <c r="AR140" s="2"/>
      <c r="AS140" s="2"/>
      <c r="AT140" s="2"/>
      <c r="AU140" s="2"/>
    </row>
    <row r="141">
      <c r="A141" s="2" t="str">
        <f t="shared" si="1"/>
        <v>B</v>
      </c>
      <c r="B141" s="2"/>
      <c r="C141" s="2">
        <v>4.0</v>
      </c>
      <c r="D141" s="2"/>
      <c r="E141" s="2">
        <v>4.0</v>
      </c>
      <c r="F141" s="2"/>
      <c r="G141" s="2"/>
      <c r="H141" s="2"/>
      <c r="I141" s="2"/>
      <c r="J141" s="2"/>
      <c r="K141" s="2"/>
      <c r="L141" s="2"/>
      <c r="M141" s="2"/>
      <c r="N141" s="2">
        <v>4.0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s">
        <v>51</v>
      </c>
      <c r="AN141" s="2"/>
      <c r="AO141" s="2"/>
      <c r="AP141" s="2"/>
      <c r="AQ141" s="2"/>
      <c r="AR141" s="2"/>
      <c r="AS141" s="2"/>
      <c r="AT141" s="2"/>
      <c r="AU141" s="2"/>
    </row>
    <row r="142">
      <c r="A142" s="2" t="str">
        <f t="shared" si="1"/>
        <v>P</v>
      </c>
      <c r="B142" s="2"/>
      <c r="C142" s="2"/>
      <c r="D142" s="2"/>
      <c r="E142" s="2"/>
      <c r="F142" s="2"/>
      <c r="G142" s="2"/>
      <c r="H142" s="2">
        <v>4.0</v>
      </c>
      <c r="I142" s="2"/>
      <c r="J142" s="2"/>
      <c r="K142" s="2"/>
      <c r="L142" s="2"/>
      <c r="M142" s="2"/>
      <c r="N142" s="2"/>
      <c r="O142" s="2"/>
      <c r="P142" s="2">
        <v>4.0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>
        <v>4.0</v>
      </c>
      <c r="AG142" s="2"/>
      <c r="AH142" s="2"/>
      <c r="AI142" s="2"/>
      <c r="AJ142" s="2"/>
      <c r="AK142" s="2"/>
      <c r="AL142" s="2"/>
      <c r="AM142" s="2" t="s">
        <v>52</v>
      </c>
      <c r="AN142" s="2"/>
      <c r="AO142" s="2"/>
      <c r="AP142" s="2"/>
      <c r="AQ142" s="2"/>
      <c r="AR142" s="2"/>
      <c r="AS142" s="2"/>
      <c r="AT142" s="2"/>
      <c r="AU142" s="2"/>
    </row>
    <row r="143">
      <c r="A143" s="2" t="str">
        <f t="shared" si="1"/>
        <v>X</v>
      </c>
      <c r="B143" s="2"/>
      <c r="C143" s="2"/>
      <c r="D143" s="2"/>
      <c r="E143" s="2"/>
      <c r="F143" s="2">
        <v>-4.0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>
        <v>4.0</v>
      </c>
      <c r="R143" s="2"/>
      <c r="S143" s="2"/>
      <c r="T143" s="2">
        <v>4.0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>
        <v>4.0</v>
      </c>
      <c r="AH143" s="2"/>
      <c r="AI143" s="2"/>
      <c r="AJ143" s="2"/>
      <c r="AK143" s="2">
        <v>4.0</v>
      </c>
      <c r="AL143" s="2"/>
      <c r="AM143" s="2" t="s">
        <v>47</v>
      </c>
      <c r="AN143" s="2"/>
      <c r="AO143" s="2"/>
      <c r="AP143" s="2"/>
      <c r="AQ143" s="2"/>
      <c r="AR143" s="2"/>
      <c r="AS143" s="2"/>
      <c r="AT143" s="2"/>
      <c r="AU143" s="2"/>
    </row>
    <row r="144">
      <c r="A144" s="2" t="str">
        <f t="shared" si="1"/>
        <v>M</v>
      </c>
      <c r="B144" s="2"/>
      <c r="C144" s="2"/>
      <c r="D144" s="2"/>
      <c r="E144" s="2">
        <v>4.0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>
        <v>4.0</v>
      </c>
      <c r="R144" s="2"/>
      <c r="S144" s="2"/>
      <c r="T144" s="2"/>
      <c r="U144" s="2"/>
      <c r="V144" s="2"/>
      <c r="W144" s="2"/>
      <c r="X144" s="2"/>
      <c r="Y144" s="2"/>
      <c r="Z144" s="2"/>
      <c r="AA144" s="2">
        <v>4.0</v>
      </c>
      <c r="AB144" s="2">
        <v>4.0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s">
        <v>48</v>
      </c>
      <c r="AN144" s="2"/>
      <c r="AO144" s="2"/>
      <c r="AP144" s="2"/>
      <c r="AQ144" s="2"/>
      <c r="AR144" s="2"/>
      <c r="AS144" s="2"/>
      <c r="AT144" s="2"/>
      <c r="AU144" s="2"/>
    </row>
    <row r="145">
      <c r="A145" s="2" t="str">
        <f t="shared" si="1"/>
        <v>C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>
        <v>4.0</v>
      </c>
      <c r="Y145" s="2"/>
      <c r="Z145" s="2"/>
      <c r="AA145" s="2"/>
      <c r="AB145" s="2"/>
      <c r="AC145" s="2">
        <v>4.0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 t="s">
        <v>49</v>
      </c>
      <c r="AN145" s="2"/>
      <c r="AO145" s="2"/>
      <c r="AP145" s="2"/>
      <c r="AQ145" s="2"/>
      <c r="AR145" s="2"/>
      <c r="AS145" s="2"/>
      <c r="AT145" s="2"/>
      <c r="AU145" s="2"/>
    </row>
    <row r="146">
      <c r="A146" s="2" t="str">
        <f t="shared" si="1"/>
        <v>E</v>
      </c>
      <c r="B146" s="2"/>
      <c r="C146" s="2"/>
      <c r="D146" s="2"/>
      <c r="E146" s="2"/>
      <c r="F146" s="2"/>
      <c r="G146" s="2"/>
      <c r="H146" s="2">
        <v>4.0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>
        <v>4.0</v>
      </c>
      <c r="AH146" s="2"/>
      <c r="AI146" s="2"/>
      <c r="AJ146" s="2">
        <v>4.0</v>
      </c>
      <c r="AK146" s="2"/>
      <c r="AL146" s="2"/>
      <c r="AM146" s="2" t="s">
        <v>50</v>
      </c>
      <c r="AN146" s="2"/>
      <c r="AO146" s="2"/>
      <c r="AP146" s="2"/>
      <c r="AQ146" s="2"/>
      <c r="AR146" s="2"/>
      <c r="AS146" s="2"/>
      <c r="AT146" s="2"/>
      <c r="AU146" s="2"/>
    </row>
    <row r="147">
      <c r="A147" s="2" t="str">
        <f t="shared" si="1"/>
        <v>B</v>
      </c>
      <c r="B147" s="2"/>
      <c r="C147" s="2"/>
      <c r="D147" s="2"/>
      <c r="E147" s="2"/>
      <c r="F147" s="2"/>
      <c r="G147" s="2"/>
      <c r="H147" s="2"/>
      <c r="I147" s="2"/>
      <c r="J147" s="2">
        <v>4.0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s">
        <v>51</v>
      </c>
      <c r="AN147" s="2"/>
      <c r="AO147" s="2"/>
      <c r="AP147" s="2"/>
      <c r="AQ147" s="2"/>
      <c r="AR147" s="2"/>
      <c r="AS147" s="2"/>
      <c r="AT147" s="2"/>
      <c r="AU147" s="2"/>
    </row>
    <row r="148">
      <c r="A148" s="2" t="str">
        <f t="shared" si="1"/>
        <v>P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>
        <v>-4.0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>
        <v>4.0</v>
      </c>
      <c r="AC148" s="2"/>
      <c r="AD148" s="2"/>
      <c r="AE148" s="2"/>
      <c r="AF148" s="2">
        <v>4.0</v>
      </c>
      <c r="AG148" s="2"/>
      <c r="AH148" s="2"/>
      <c r="AI148" s="2"/>
      <c r="AJ148" s="2"/>
      <c r="AK148" s="2"/>
      <c r="AL148" s="2"/>
      <c r="AM148" s="2" t="s">
        <v>52</v>
      </c>
      <c r="AN148" s="2"/>
      <c r="AO148" s="2"/>
      <c r="AP148" s="2"/>
      <c r="AQ148" s="2"/>
      <c r="AR148" s="2"/>
      <c r="AS148" s="2"/>
      <c r="AT148" s="2"/>
      <c r="AU148" s="2"/>
    </row>
    <row r="149">
      <c r="A149" s="2" t="str">
        <f t="shared" si="1"/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>
      <c r="A150" s="2" t="str">
        <f t="shared" si="1"/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>
      <c r="A151" s="2" t="str">
        <f t="shared" si="1"/>
        <v/>
      </c>
      <c r="B151" s="2" t="str">
        <f t="array" ref="B151:AU180">transpose(sort(transpose(All!A151:AT180),2,true))</f>
        <v>Cupertino A</v>
      </c>
      <c r="C151" s="2" t="s">
        <v>5</v>
      </c>
      <c r="D151" s="2"/>
      <c r="E151" s="2"/>
      <c r="F151" s="2"/>
      <c r="G151" s="2"/>
      <c r="H151" s="2"/>
      <c r="I151" s="2"/>
      <c r="J151" s="2"/>
      <c r="K151" s="2"/>
      <c r="L151" s="2"/>
      <c r="M151" s="2" t="s">
        <v>7</v>
      </c>
      <c r="N151" s="2"/>
      <c r="O151" s="2"/>
      <c r="P151" s="2" t="s">
        <v>4</v>
      </c>
      <c r="Q151" s="2"/>
      <c r="R151" s="2"/>
      <c r="S151" s="2"/>
      <c r="T151" s="2" t="s">
        <v>6</v>
      </c>
      <c r="U151" s="2"/>
      <c r="V151" s="2" t="s">
        <v>3</v>
      </c>
      <c r="W151" s="2"/>
      <c r="X151" s="2"/>
      <c r="Y151" s="2" t="s">
        <v>0</v>
      </c>
      <c r="Z151" s="2"/>
      <c r="AA151" s="2"/>
      <c r="AB151" s="2"/>
      <c r="AC151" s="2" t="s">
        <v>2</v>
      </c>
      <c r="AD151" s="2"/>
      <c r="AE151" s="2"/>
      <c r="AF151" s="2"/>
      <c r="AG151" s="2"/>
      <c r="AH151" s="2"/>
      <c r="AI151" s="2"/>
      <c r="AJ151" s="2"/>
      <c r="AK151" s="2" t="s">
        <v>1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>
      <c r="A152" s="2" t="str">
        <f t="shared" si="1"/>
        <v/>
      </c>
      <c r="B152" s="2" t="s">
        <v>43</v>
      </c>
      <c r="C152" s="2" t="s">
        <v>30</v>
      </c>
      <c r="D152" s="2" t="s">
        <v>45</v>
      </c>
      <c r="E152" s="2" t="s">
        <v>18</v>
      </c>
      <c r="F152" s="2" t="s">
        <v>33</v>
      </c>
      <c r="G152" s="2" t="s">
        <v>10</v>
      </c>
      <c r="H152" s="2" t="s">
        <v>32</v>
      </c>
      <c r="I152" s="2" t="s">
        <v>24</v>
      </c>
      <c r="J152" s="2" t="s">
        <v>29</v>
      </c>
      <c r="K152" s="2" t="s">
        <v>37</v>
      </c>
      <c r="L152" s="2" t="s">
        <v>34</v>
      </c>
      <c r="M152" s="2" t="s">
        <v>42</v>
      </c>
      <c r="N152" s="2" t="s">
        <v>27</v>
      </c>
      <c r="O152" s="2" t="s">
        <v>35</v>
      </c>
      <c r="P152" s="2" t="s">
        <v>26</v>
      </c>
      <c r="Q152" s="2" t="s">
        <v>44</v>
      </c>
      <c r="R152" s="2" t="s">
        <v>41</v>
      </c>
      <c r="S152" s="2" t="s">
        <v>40</v>
      </c>
      <c r="T152" s="2" t="s">
        <v>55</v>
      </c>
      <c r="U152" s="2" t="s">
        <v>53</v>
      </c>
      <c r="V152" s="2" t="s">
        <v>22</v>
      </c>
      <c r="W152" s="2" t="s">
        <v>38</v>
      </c>
      <c r="X152" s="2" t="s">
        <v>46</v>
      </c>
      <c r="Y152" s="2" t="s">
        <v>9</v>
      </c>
      <c r="Z152" s="2" t="s">
        <v>11</v>
      </c>
      <c r="AA152" s="2" t="s">
        <v>39</v>
      </c>
      <c r="AB152" s="2" t="s">
        <v>31</v>
      </c>
      <c r="AC152" s="2" t="s">
        <v>17</v>
      </c>
      <c r="AD152" s="2" t="s">
        <v>23</v>
      </c>
      <c r="AE152" s="2" t="s">
        <v>12</v>
      </c>
      <c r="AF152" s="2" t="s">
        <v>20</v>
      </c>
      <c r="AG152" s="2" t="s">
        <v>21</v>
      </c>
      <c r="AH152" s="2" t="s">
        <v>13</v>
      </c>
      <c r="AI152" s="2" t="s">
        <v>15</v>
      </c>
      <c r="AJ152" s="2" t="s">
        <v>28</v>
      </c>
      <c r="AK152" s="2" t="s">
        <v>14</v>
      </c>
      <c r="AL152" s="2" t="s">
        <v>25</v>
      </c>
      <c r="AM152" s="2"/>
      <c r="AN152" s="2"/>
      <c r="AO152" s="2"/>
      <c r="AP152" s="2"/>
      <c r="AQ152" s="2"/>
      <c r="AR152" s="2"/>
      <c r="AS152" s="2"/>
      <c r="AT152" s="2"/>
      <c r="AU152" s="2"/>
    </row>
    <row r="153">
      <c r="A153" s="2" t="str">
        <f t="shared" si="1"/>
        <v/>
      </c>
      <c r="B153" s="2" t="b">
        <v>1</v>
      </c>
      <c r="C153" s="2" t="b">
        <v>0</v>
      </c>
      <c r="D153" s="2" t="b">
        <v>1</v>
      </c>
      <c r="E153" s="2" t="b">
        <v>1</v>
      </c>
      <c r="F153" s="2" t="b">
        <v>0</v>
      </c>
      <c r="G153" s="2" t="b">
        <v>1</v>
      </c>
      <c r="H153" s="2" t="b">
        <v>0</v>
      </c>
      <c r="I153" s="2" t="b">
        <v>1</v>
      </c>
      <c r="J153" s="2" t="b">
        <v>1</v>
      </c>
      <c r="K153" s="2" t="b">
        <v>1</v>
      </c>
      <c r="L153" s="2" t="b">
        <v>1</v>
      </c>
      <c r="M153" s="2" t="b">
        <v>1</v>
      </c>
      <c r="N153" s="2" t="b">
        <v>1</v>
      </c>
      <c r="O153" s="2" t="b">
        <v>1</v>
      </c>
      <c r="P153" s="2" t="b">
        <v>1</v>
      </c>
      <c r="Q153" s="2" t="b">
        <v>1</v>
      </c>
      <c r="R153" s="2" t="b">
        <v>1</v>
      </c>
      <c r="S153" s="2" t="b">
        <v>1</v>
      </c>
      <c r="T153" s="2" t="b">
        <v>1</v>
      </c>
      <c r="U153" s="2" t="b">
        <v>1</v>
      </c>
      <c r="V153" s="2" t="b">
        <v>1</v>
      </c>
      <c r="W153" s="2" t="b">
        <v>0</v>
      </c>
      <c r="X153" s="2" t="b">
        <v>1</v>
      </c>
      <c r="Y153" s="2" t="b">
        <v>1</v>
      </c>
      <c r="Z153" s="2" t="b">
        <v>1</v>
      </c>
      <c r="AA153" s="2" t="b">
        <v>1</v>
      </c>
      <c r="AB153" s="2" t="b">
        <v>0</v>
      </c>
      <c r="AC153" s="2" t="b">
        <v>1</v>
      </c>
      <c r="AD153" s="2" t="b">
        <v>1</v>
      </c>
      <c r="AE153" s="2" t="b">
        <v>1</v>
      </c>
      <c r="AF153" s="2" t="b">
        <v>1</v>
      </c>
      <c r="AG153" s="2" t="b">
        <v>1</v>
      </c>
      <c r="AH153" s="2" t="b">
        <v>1</v>
      </c>
      <c r="AI153" s="2" t="b">
        <v>1</v>
      </c>
      <c r="AJ153" s="2" t="b">
        <v>1</v>
      </c>
      <c r="AK153" s="2" t="b">
        <v>1</v>
      </c>
      <c r="AL153" s="2" t="b">
        <v>0</v>
      </c>
      <c r="AM153" s="2"/>
      <c r="AN153" s="2" t="b">
        <v>0</v>
      </c>
      <c r="AO153" s="2" t="b">
        <v>0</v>
      </c>
      <c r="AP153" s="2" t="b">
        <v>0</v>
      </c>
      <c r="AQ153" s="2" t="b">
        <v>0</v>
      </c>
      <c r="AR153" s="2" t="b">
        <v>0</v>
      </c>
      <c r="AS153" s="2" t="b">
        <v>0</v>
      </c>
      <c r="AT153" s="2" t="b">
        <v>0</v>
      </c>
      <c r="AU153" s="2" t="b">
        <v>0</v>
      </c>
    </row>
    <row r="154">
      <c r="A154" s="2" t="str">
        <f t="shared" si="1"/>
        <v>X</v>
      </c>
      <c r="B154" s="2">
        <v>4.0</v>
      </c>
      <c r="C154" s="2"/>
      <c r="D154" s="2"/>
      <c r="E154" s="2">
        <v>-4.0</v>
      </c>
      <c r="F154" s="2"/>
      <c r="G154" s="2"/>
      <c r="H154" s="2"/>
      <c r="I154" s="2"/>
      <c r="J154" s="2"/>
      <c r="K154" s="2"/>
      <c r="L154" s="2"/>
      <c r="M154" s="2"/>
      <c r="N154" s="2">
        <v>-4.0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s">
        <v>47</v>
      </c>
      <c r="AN154" s="2"/>
      <c r="AO154" s="2"/>
      <c r="AP154" s="2"/>
      <c r="AQ154" s="2"/>
      <c r="AR154" s="2"/>
      <c r="AS154" s="2"/>
      <c r="AT154" s="2"/>
      <c r="AU154" s="2"/>
    </row>
    <row r="155">
      <c r="A155" s="2" t="str">
        <f t="shared" si="1"/>
        <v>M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>
        <v>4.0</v>
      </c>
      <c r="Q155" s="2">
        <v>4.0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s">
        <v>48</v>
      </c>
      <c r="AN155" s="2"/>
      <c r="AO155" s="2"/>
      <c r="AP155" s="2"/>
      <c r="AQ155" s="2"/>
      <c r="AR155" s="2"/>
      <c r="AS155" s="2"/>
      <c r="AT155" s="2"/>
      <c r="AU155" s="2"/>
    </row>
    <row r="156">
      <c r="A156" s="2" t="str">
        <f t="shared" si="1"/>
        <v>C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>
        <v>4.0</v>
      </c>
      <c r="AD156" s="2"/>
      <c r="AE156" s="2"/>
      <c r="AF156" s="2"/>
      <c r="AG156" s="2"/>
      <c r="AH156" s="2"/>
      <c r="AI156" s="2"/>
      <c r="AJ156" s="2">
        <v>4.0</v>
      </c>
      <c r="AK156" s="2"/>
      <c r="AL156" s="2"/>
      <c r="AM156" s="2" t="s">
        <v>49</v>
      </c>
      <c r="AN156" s="2"/>
      <c r="AO156" s="2"/>
      <c r="AP156" s="2"/>
      <c r="AQ156" s="2"/>
      <c r="AR156" s="2"/>
      <c r="AS156" s="2"/>
      <c r="AT156" s="2"/>
      <c r="AU156" s="2"/>
    </row>
    <row r="157">
      <c r="A157" s="2" t="str">
        <f t="shared" si="1"/>
        <v>E</v>
      </c>
      <c r="B157" s="2"/>
      <c r="C157" s="2"/>
      <c r="D157" s="2"/>
      <c r="E157" s="2"/>
      <c r="F157" s="2"/>
      <c r="G157" s="2">
        <v>4.0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>
        <v>4.0</v>
      </c>
      <c r="AE157" s="2"/>
      <c r="AF157" s="2"/>
      <c r="AG157" s="2">
        <v>4.0</v>
      </c>
      <c r="AH157" s="2"/>
      <c r="AI157" s="2"/>
      <c r="AJ157" s="2"/>
      <c r="AK157" s="2"/>
      <c r="AL157" s="2"/>
      <c r="AM157" s="2" t="s">
        <v>50</v>
      </c>
      <c r="AN157" s="2"/>
      <c r="AO157" s="2"/>
      <c r="AP157" s="2"/>
      <c r="AQ157" s="2"/>
      <c r="AR157" s="2"/>
      <c r="AS157" s="2"/>
      <c r="AT157" s="2"/>
      <c r="AU157" s="2"/>
    </row>
    <row r="158">
      <c r="A158" s="2" t="str">
        <f t="shared" si="1"/>
        <v>B</v>
      </c>
      <c r="B158" s="2"/>
      <c r="C158" s="2"/>
      <c r="D158" s="2"/>
      <c r="E158" s="2">
        <v>4.0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s">
        <v>51</v>
      </c>
      <c r="AN158" s="2"/>
      <c r="AO158" s="2"/>
      <c r="AP158" s="2"/>
      <c r="AQ158" s="2"/>
      <c r="AR158" s="2"/>
      <c r="AS158" s="2"/>
      <c r="AT158" s="2"/>
      <c r="AU158" s="2"/>
    </row>
    <row r="159">
      <c r="A159" s="2" t="str">
        <f t="shared" si="1"/>
        <v>P</v>
      </c>
      <c r="B159" s="2"/>
      <c r="C159" s="2"/>
      <c r="D159" s="2">
        <v>-4.0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>
        <v>4.0</v>
      </c>
      <c r="AH159" s="2"/>
      <c r="AI159" s="2"/>
      <c r="AJ159" s="2"/>
      <c r="AK159" s="2"/>
      <c r="AL159" s="2"/>
      <c r="AM159" s="2" t="s">
        <v>52</v>
      </c>
      <c r="AN159" s="2"/>
      <c r="AO159" s="2"/>
      <c r="AP159" s="2"/>
      <c r="AQ159" s="2"/>
      <c r="AR159" s="2"/>
      <c r="AS159" s="2"/>
      <c r="AT159" s="2"/>
      <c r="AU159" s="2"/>
    </row>
    <row r="160">
      <c r="A160" s="2" t="str">
        <f t="shared" si="1"/>
        <v>X</v>
      </c>
      <c r="B160" s="2"/>
      <c r="C160" s="2"/>
      <c r="D160" s="2"/>
      <c r="E160" s="2">
        <v>4.0</v>
      </c>
      <c r="F160" s="2"/>
      <c r="G160" s="2"/>
      <c r="H160" s="2"/>
      <c r="I160" s="2"/>
      <c r="J160" s="2"/>
      <c r="K160" s="2"/>
      <c r="L160" s="2"/>
      <c r="M160" s="2">
        <v>4.0</v>
      </c>
      <c r="N160" s="2"/>
      <c r="O160" s="2"/>
      <c r="P160" s="2"/>
      <c r="Q160" s="2"/>
      <c r="R160" s="2"/>
      <c r="S160" s="2"/>
      <c r="T160" s="2">
        <v>4.0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>
        <v>4.0</v>
      </c>
      <c r="AL160" s="2"/>
      <c r="AM160" s="2" t="s">
        <v>47</v>
      </c>
      <c r="AN160" s="2"/>
      <c r="AO160" s="2"/>
      <c r="AP160" s="2"/>
      <c r="AQ160" s="2"/>
      <c r="AR160" s="2"/>
      <c r="AS160" s="2"/>
      <c r="AT160" s="2"/>
      <c r="AU160" s="2"/>
    </row>
    <row r="161">
      <c r="A161" s="2" t="str">
        <f t="shared" si="1"/>
        <v>M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>
        <v>4.0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>
        <v>4.0</v>
      </c>
      <c r="AL161" s="2"/>
      <c r="AM161" s="2" t="s">
        <v>48</v>
      </c>
      <c r="AN161" s="2"/>
      <c r="AO161" s="2"/>
      <c r="AP161" s="2"/>
      <c r="AQ161" s="2"/>
      <c r="AR161" s="2"/>
      <c r="AS161" s="2"/>
      <c r="AT161" s="2"/>
      <c r="AU161" s="2"/>
    </row>
    <row r="162">
      <c r="A162" s="2" t="str">
        <f t="shared" si="1"/>
        <v>C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>
        <v>4.0</v>
      </c>
      <c r="O162" s="2"/>
      <c r="P162" s="2"/>
      <c r="Q162" s="2"/>
      <c r="R162" s="2"/>
      <c r="S162" s="2"/>
      <c r="T162" s="2"/>
      <c r="U162" s="2"/>
      <c r="V162" s="2">
        <v>4.0</v>
      </c>
      <c r="W162" s="2"/>
      <c r="X162" s="2"/>
      <c r="Y162" s="2"/>
      <c r="Z162" s="2"/>
      <c r="AA162" s="2"/>
      <c r="AB162" s="2"/>
      <c r="AC162" s="2">
        <v>4.0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2" t="s">
        <v>49</v>
      </c>
      <c r="AN162" s="2"/>
      <c r="AO162" s="2"/>
      <c r="AP162" s="2"/>
      <c r="AQ162" s="2"/>
      <c r="AR162" s="2"/>
      <c r="AS162" s="2"/>
      <c r="AT162" s="2"/>
      <c r="AU162" s="2"/>
    </row>
    <row r="163">
      <c r="A163" s="2" t="str">
        <f t="shared" si="1"/>
        <v>E</v>
      </c>
      <c r="B163" s="2"/>
      <c r="C163" s="2"/>
      <c r="D163" s="2"/>
      <c r="E163" s="2">
        <v>4.0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s">
        <v>50</v>
      </c>
      <c r="AN163" s="2"/>
      <c r="AO163" s="2"/>
      <c r="AP163" s="2"/>
      <c r="AQ163" s="2"/>
      <c r="AR163" s="2"/>
      <c r="AS163" s="2"/>
      <c r="AT163" s="2"/>
      <c r="AU163" s="2"/>
    </row>
    <row r="164">
      <c r="A164" s="2" t="str">
        <f t="shared" si="1"/>
        <v>B</v>
      </c>
      <c r="B164" s="2">
        <v>4.0</v>
      </c>
      <c r="C164" s="2"/>
      <c r="D164" s="2"/>
      <c r="E164" s="2">
        <v>-4.0</v>
      </c>
      <c r="F164" s="2"/>
      <c r="G164" s="2"/>
      <c r="H164" s="2"/>
      <c r="I164" s="2"/>
      <c r="J164" s="2">
        <v>-4.0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s">
        <v>51</v>
      </c>
      <c r="AN164" s="2"/>
      <c r="AO164" s="2"/>
      <c r="AP164" s="2"/>
      <c r="AQ164" s="2"/>
      <c r="AR164" s="2"/>
      <c r="AS164" s="2"/>
      <c r="AT164" s="2"/>
      <c r="AU164" s="2"/>
    </row>
    <row r="165">
      <c r="A165" s="2" t="str">
        <f t="shared" si="1"/>
        <v>P</v>
      </c>
      <c r="B165" s="2"/>
      <c r="C165" s="2"/>
      <c r="D165" s="2"/>
      <c r="E165" s="2"/>
      <c r="F165" s="2"/>
      <c r="G165" s="2">
        <v>4.0</v>
      </c>
      <c r="H165" s="2"/>
      <c r="I165" s="2"/>
      <c r="J165" s="2"/>
      <c r="K165" s="2"/>
      <c r="L165" s="2"/>
      <c r="M165" s="2"/>
      <c r="N165" s="2"/>
      <c r="O165" s="2"/>
      <c r="P165" s="2">
        <v>4.0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>
        <v>4.0</v>
      </c>
      <c r="AE165" s="2"/>
      <c r="AF165" s="2">
        <v>4.0</v>
      </c>
      <c r="AG165" s="2"/>
      <c r="AH165" s="2"/>
      <c r="AI165" s="2"/>
      <c r="AJ165" s="2"/>
      <c r="AK165" s="2">
        <v>-4.0</v>
      </c>
      <c r="AL165" s="2"/>
      <c r="AM165" s="2" t="s">
        <v>52</v>
      </c>
      <c r="AN165" s="2"/>
      <c r="AO165" s="2"/>
      <c r="AP165" s="2"/>
      <c r="AQ165" s="2"/>
      <c r="AR165" s="2"/>
      <c r="AS165" s="2"/>
      <c r="AT165" s="2"/>
      <c r="AU165" s="2"/>
    </row>
    <row r="166">
      <c r="A166" s="2" t="str">
        <f t="shared" si="1"/>
        <v/>
      </c>
      <c r="B166" s="2" t="b">
        <v>1</v>
      </c>
      <c r="C166" s="2" t="b">
        <v>0</v>
      </c>
      <c r="D166" s="2" t="b">
        <v>1</v>
      </c>
      <c r="E166" s="2" t="b">
        <v>1</v>
      </c>
      <c r="F166" s="2" t="b">
        <v>0</v>
      </c>
      <c r="G166" s="2" t="b">
        <v>1</v>
      </c>
      <c r="H166" s="2" t="b">
        <v>0</v>
      </c>
      <c r="I166" s="2" t="b">
        <v>1</v>
      </c>
      <c r="J166" s="2" t="b">
        <v>1</v>
      </c>
      <c r="K166" s="2" t="b">
        <v>1</v>
      </c>
      <c r="L166" s="2" t="b">
        <v>1</v>
      </c>
      <c r="M166" s="2" t="b">
        <v>1</v>
      </c>
      <c r="N166" s="2" t="b">
        <v>1</v>
      </c>
      <c r="O166" s="2" t="b">
        <v>1</v>
      </c>
      <c r="P166" s="2" t="b">
        <v>1</v>
      </c>
      <c r="Q166" s="2" t="b">
        <v>1</v>
      </c>
      <c r="R166" s="2" t="b">
        <v>1</v>
      </c>
      <c r="S166" s="2" t="b">
        <v>1</v>
      </c>
      <c r="T166" s="2" t="b">
        <v>1</v>
      </c>
      <c r="U166" s="2" t="b">
        <v>1</v>
      </c>
      <c r="V166" s="2" t="b">
        <v>1</v>
      </c>
      <c r="W166" s="2" t="b">
        <v>0</v>
      </c>
      <c r="X166" s="2" t="b">
        <v>1</v>
      </c>
      <c r="Y166" s="2" t="b">
        <v>1</v>
      </c>
      <c r="Z166" s="2" t="b">
        <v>1</v>
      </c>
      <c r="AA166" s="2" t="b">
        <v>1</v>
      </c>
      <c r="AB166" s="2" t="b">
        <v>0</v>
      </c>
      <c r="AC166" s="2" t="b">
        <v>1</v>
      </c>
      <c r="AD166" s="2" t="b">
        <v>1</v>
      </c>
      <c r="AE166" s="2" t="b">
        <v>1</v>
      </c>
      <c r="AF166" s="2" t="b">
        <v>1</v>
      </c>
      <c r="AG166" s="2" t="b">
        <v>1</v>
      </c>
      <c r="AH166" s="2" t="b">
        <v>1</v>
      </c>
      <c r="AI166" s="2" t="b">
        <v>1</v>
      </c>
      <c r="AJ166" s="2" t="b">
        <v>1</v>
      </c>
      <c r="AK166" s="2" t="b">
        <v>1</v>
      </c>
      <c r="AL166" s="2" t="b">
        <v>0</v>
      </c>
      <c r="AM166" s="2"/>
      <c r="AN166" s="2" t="b">
        <v>0</v>
      </c>
      <c r="AO166" s="2" t="b">
        <v>0</v>
      </c>
      <c r="AP166" s="2" t="b">
        <v>0</v>
      </c>
      <c r="AQ166" s="2" t="b">
        <v>0</v>
      </c>
      <c r="AR166" s="2" t="b">
        <v>0</v>
      </c>
      <c r="AS166" s="2" t="b">
        <v>0</v>
      </c>
      <c r="AT166" s="2" t="b">
        <v>0</v>
      </c>
      <c r="AU166" s="2" t="b">
        <v>0</v>
      </c>
    </row>
    <row r="167">
      <c r="A167" s="2" t="str">
        <f t="shared" si="1"/>
        <v>X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>
        <v>4.0</v>
      </c>
      <c r="AH167" s="2"/>
      <c r="AI167" s="2"/>
      <c r="AJ167" s="2"/>
      <c r="AK167" s="2"/>
      <c r="AL167" s="2"/>
      <c r="AM167" s="2" t="s">
        <v>47</v>
      </c>
      <c r="AN167" s="2"/>
      <c r="AO167" s="2"/>
      <c r="AP167" s="2"/>
      <c r="AQ167" s="2"/>
      <c r="AR167" s="2"/>
      <c r="AS167" s="2"/>
      <c r="AT167" s="2"/>
      <c r="AU167" s="2"/>
    </row>
    <row r="168">
      <c r="A168" s="2" t="str">
        <f t="shared" si="1"/>
        <v>M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>
        <v>-4.0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>
        <v>4.0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 t="s">
        <v>48</v>
      </c>
      <c r="AN168" s="2"/>
      <c r="AO168" s="2"/>
      <c r="AP168" s="2"/>
      <c r="AQ168" s="2"/>
      <c r="AR168" s="2"/>
      <c r="AS168" s="2"/>
      <c r="AT168" s="2"/>
      <c r="AU168" s="2"/>
    </row>
    <row r="169">
      <c r="A169" s="2" t="str">
        <f t="shared" si="1"/>
        <v>C</v>
      </c>
      <c r="B169" s="2">
        <v>4.0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>
        <v>4.0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>
        <v>4.0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s">
        <v>49</v>
      </c>
      <c r="AN169" s="2"/>
      <c r="AO169" s="2"/>
      <c r="AP169" s="2"/>
      <c r="AQ169" s="2"/>
      <c r="AR169" s="2"/>
      <c r="AS169" s="2"/>
      <c r="AT169" s="2"/>
      <c r="AU169" s="2"/>
    </row>
    <row r="170">
      <c r="A170" s="2" t="str">
        <f t="shared" si="1"/>
        <v>E</v>
      </c>
      <c r="B170" s="2"/>
      <c r="C170" s="2"/>
      <c r="D170" s="2"/>
      <c r="E170" s="2">
        <v>-4.0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>
        <v>4.0</v>
      </c>
      <c r="R170" s="2"/>
      <c r="S170" s="2">
        <v>4.0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>
        <v>4.0</v>
      </c>
      <c r="AJ170" s="2"/>
      <c r="AK170" s="2"/>
      <c r="AL170" s="2"/>
      <c r="AM170" s="2" t="s">
        <v>50</v>
      </c>
      <c r="AN170" s="2"/>
      <c r="AO170" s="2"/>
      <c r="AP170" s="2"/>
      <c r="AQ170" s="2"/>
      <c r="AR170" s="2"/>
      <c r="AS170" s="2"/>
      <c r="AT170" s="2"/>
      <c r="AU170" s="2"/>
    </row>
    <row r="171">
      <c r="A171" s="2" t="str">
        <f t="shared" si="1"/>
        <v>B</v>
      </c>
      <c r="B171" s="2"/>
      <c r="C171" s="2"/>
      <c r="D171" s="2"/>
      <c r="E171" s="2">
        <v>4.0</v>
      </c>
      <c r="F171" s="2"/>
      <c r="G171" s="2"/>
      <c r="H171" s="2"/>
      <c r="I171" s="2">
        <v>4.0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s">
        <v>51</v>
      </c>
      <c r="AN171" s="2"/>
      <c r="AO171" s="2"/>
      <c r="AP171" s="2"/>
      <c r="AQ171" s="2"/>
      <c r="AR171" s="2"/>
      <c r="AS171" s="2"/>
      <c r="AT171" s="2"/>
      <c r="AU171" s="2"/>
    </row>
    <row r="172">
      <c r="A172" s="2" t="str">
        <f t="shared" si="1"/>
        <v>P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>
        <v>4.0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>
        <v>4.0</v>
      </c>
      <c r="AH172" s="2"/>
      <c r="AI172" s="2"/>
      <c r="AJ172" s="2"/>
      <c r="AK172" s="2">
        <v>4.0</v>
      </c>
      <c r="AL172" s="2"/>
      <c r="AM172" s="2" t="s">
        <v>52</v>
      </c>
      <c r="AN172" s="2"/>
      <c r="AO172" s="2"/>
      <c r="AP172" s="2"/>
      <c r="AQ172" s="2"/>
      <c r="AR172" s="2"/>
      <c r="AS172" s="2"/>
      <c r="AT172" s="2"/>
      <c r="AU172" s="2"/>
    </row>
    <row r="173">
      <c r="A173" s="2" t="str">
        <f t="shared" si="1"/>
        <v>X</v>
      </c>
      <c r="B173" s="2">
        <v>-4.0</v>
      </c>
      <c r="C173" s="2"/>
      <c r="D173" s="2"/>
      <c r="E173" s="2">
        <v>4.0</v>
      </c>
      <c r="F173" s="2"/>
      <c r="G173" s="2"/>
      <c r="H173" s="2"/>
      <c r="I173" s="2"/>
      <c r="J173" s="2"/>
      <c r="K173" s="2"/>
      <c r="L173" s="2"/>
      <c r="M173" s="2">
        <v>-4.0</v>
      </c>
      <c r="N173" s="2"/>
      <c r="O173" s="2"/>
      <c r="P173" s="2"/>
      <c r="Q173" s="2"/>
      <c r="R173" s="2"/>
      <c r="S173" s="2"/>
      <c r="T173" s="2">
        <v>4.0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s">
        <v>47</v>
      </c>
      <c r="AN173" s="2"/>
      <c r="AO173" s="2"/>
      <c r="AP173" s="2"/>
      <c r="AQ173" s="2"/>
      <c r="AR173" s="2"/>
      <c r="AS173" s="2"/>
      <c r="AT173" s="2"/>
      <c r="AU173" s="2"/>
    </row>
    <row r="174">
      <c r="A174" s="2" t="str">
        <f t="shared" si="1"/>
        <v>M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>
        <v>4.0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>
        <v>4.0</v>
      </c>
      <c r="AB174" s="2"/>
      <c r="AC174" s="2">
        <v>4.0</v>
      </c>
      <c r="AD174" s="2">
        <v>4.0</v>
      </c>
      <c r="AE174" s="2"/>
      <c r="AF174" s="2"/>
      <c r="AG174" s="2"/>
      <c r="AH174" s="2"/>
      <c r="AI174" s="2"/>
      <c r="AJ174" s="2"/>
      <c r="AK174" s="2"/>
      <c r="AL174" s="2"/>
      <c r="AM174" s="2" t="s">
        <v>48</v>
      </c>
      <c r="AN174" s="2"/>
      <c r="AO174" s="2"/>
      <c r="AP174" s="2"/>
      <c r="AQ174" s="2"/>
      <c r="AR174" s="2"/>
      <c r="AS174" s="2"/>
      <c r="AT174" s="2"/>
      <c r="AU174" s="2"/>
    </row>
    <row r="175">
      <c r="A175" s="2" t="str">
        <f t="shared" si="1"/>
        <v>C</v>
      </c>
      <c r="B175" s="2"/>
      <c r="C175" s="2"/>
      <c r="D175" s="2"/>
      <c r="E175" s="2"/>
      <c r="F175" s="2"/>
      <c r="G175" s="2"/>
      <c r="H175" s="2"/>
      <c r="I175" s="2">
        <v>4.0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>
        <v>4.0</v>
      </c>
      <c r="U175" s="2"/>
      <c r="V175" s="2"/>
      <c r="W175" s="2"/>
      <c r="X175" s="2"/>
      <c r="Y175" s="2">
        <v>4.0</v>
      </c>
      <c r="Z175" s="2"/>
      <c r="AA175" s="2"/>
      <c r="AB175" s="2"/>
      <c r="AC175" s="2">
        <v>4.0</v>
      </c>
      <c r="AD175" s="2"/>
      <c r="AE175" s="2"/>
      <c r="AF175" s="2"/>
      <c r="AG175" s="2"/>
      <c r="AH175" s="2"/>
      <c r="AI175" s="2"/>
      <c r="AJ175" s="2"/>
      <c r="AK175" s="2"/>
      <c r="AL175" s="2"/>
      <c r="AM175" s="2" t="s">
        <v>49</v>
      </c>
      <c r="AN175" s="2"/>
      <c r="AO175" s="2"/>
      <c r="AP175" s="2"/>
      <c r="AQ175" s="2"/>
      <c r="AR175" s="2"/>
      <c r="AS175" s="2"/>
      <c r="AT175" s="2"/>
      <c r="AU175" s="2"/>
    </row>
    <row r="176">
      <c r="A176" s="2" t="str">
        <f t="shared" si="1"/>
        <v>E</v>
      </c>
      <c r="B176" s="2"/>
      <c r="C176" s="2"/>
      <c r="D176" s="2"/>
      <c r="E176" s="2">
        <v>4.0</v>
      </c>
      <c r="F176" s="2"/>
      <c r="G176" s="2"/>
      <c r="H176" s="2"/>
      <c r="I176" s="2"/>
      <c r="J176" s="2"/>
      <c r="K176" s="2"/>
      <c r="L176" s="2"/>
      <c r="M176" s="2"/>
      <c r="N176" s="2">
        <v>4.0</v>
      </c>
      <c r="O176" s="2"/>
      <c r="P176" s="2"/>
      <c r="Q176" s="2"/>
      <c r="R176" s="2"/>
      <c r="S176" s="2"/>
      <c r="T176" s="2"/>
      <c r="U176" s="2">
        <v>4.0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>
        <v>4.0</v>
      </c>
      <c r="AL176" s="2"/>
      <c r="AM176" s="2" t="s">
        <v>50</v>
      </c>
      <c r="AN176" s="2"/>
      <c r="AO176" s="2"/>
      <c r="AP176" s="2"/>
      <c r="AQ176" s="2"/>
      <c r="AR176" s="2"/>
      <c r="AS176" s="2"/>
      <c r="AT176" s="2"/>
      <c r="AU176" s="2"/>
    </row>
    <row r="177">
      <c r="A177" s="2" t="str">
        <f t="shared" si="1"/>
        <v>B</v>
      </c>
      <c r="B177" s="2">
        <v>-4.0</v>
      </c>
      <c r="C177" s="2"/>
      <c r="D177" s="2"/>
      <c r="E177" s="2"/>
      <c r="F177" s="2"/>
      <c r="G177" s="2">
        <v>4.0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>
        <v>4.0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>
        <v>4.0</v>
      </c>
      <c r="AL177" s="2"/>
      <c r="AM177" s="2" t="s">
        <v>51</v>
      </c>
      <c r="AN177" s="2"/>
      <c r="AO177" s="2"/>
      <c r="AP177" s="2"/>
      <c r="AQ177" s="2"/>
      <c r="AR177" s="2"/>
      <c r="AS177" s="2"/>
      <c r="AT177" s="2"/>
      <c r="AU177" s="2"/>
    </row>
    <row r="178">
      <c r="A178" s="2" t="str">
        <f t="shared" si="1"/>
        <v>P</v>
      </c>
      <c r="B178" s="2"/>
      <c r="C178" s="2"/>
      <c r="D178" s="2">
        <v>4.0</v>
      </c>
      <c r="E178" s="2"/>
      <c r="F178" s="2"/>
      <c r="G178" s="2"/>
      <c r="H178" s="2"/>
      <c r="I178" s="2"/>
      <c r="J178" s="2"/>
      <c r="K178" s="2">
        <v>4.0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>
        <v>-4.0</v>
      </c>
      <c r="AH178" s="2"/>
      <c r="AI178" s="2"/>
      <c r="AJ178" s="2"/>
      <c r="AK178" s="2">
        <v>4.0</v>
      </c>
      <c r="AL178" s="2"/>
      <c r="AM178" s="2" t="s">
        <v>52</v>
      </c>
      <c r="AN178" s="2"/>
      <c r="AO178" s="2"/>
      <c r="AP178" s="2"/>
      <c r="AQ178" s="2"/>
      <c r="AR178" s="2"/>
      <c r="AS178" s="2"/>
      <c r="AT178" s="2"/>
      <c r="AU178" s="2"/>
    </row>
    <row r="179">
      <c r="A179" s="2" t="str">
        <f t="shared" si="1"/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>
      <c r="A180" s="2" t="str">
        <f t="shared" si="1"/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>
      <c r="A181" s="2" t="str">
        <f t="shared" si="1"/>
        <v/>
      </c>
      <c r="B181" s="2" t="str">
        <f t="array" ref="B181:AU210">transpose(sort(transpose(All!A181:AT210),2,true))</f>
        <v>Cupertino A</v>
      </c>
      <c r="C181" s="2" t="s">
        <v>5</v>
      </c>
      <c r="D181" s="2"/>
      <c r="E181" s="2"/>
      <c r="F181" s="2"/>
      <c r="G181" s="2"/>
      <c r="H181" s="2"/>
      <c r="I181" s="2"/>
      <c r="J181" s="2"/>
      <c r="K181" s="2"/>
      <c r="L181" s="2"/>
      <c r="M181" s="2" t="s">
        <v>7</v>
      </c>
      <c r="N181" s="2"/>
      <c r="O181" s="2"/>
      <c r="P181" s="2" t="s">
        <v>4</v>
      </c>
      <c r="Q181" s="2"/>
      <c r="R181" s="2"/>
      <c r="S181" s="2"/>
      <c r="T181" s="2" t="s">
        <v>6</v>
      </c>
      <c r="U181" s="2"/>
      <c r="V181" s="2" t="s">
        <v>3</v>
      </c>
      <c r="W181" s="2"/>
      <c r="X181" s="2"/>
      <c r="Y181" s="2" t="s">
        <v>0</v>
      </c>
      <c r="Z181" s="2"/>
      <c r="AA181" s="2"/>
      <c r="AB181" s="2"/>
      <c r="AC181" s="2" t="s">
        <v>2</v>
      </c>
      <c r="AD181" s="2"/>
      <c r="AE181" s="2"/>
      <c r="AF181" s="2"/>
      <c r="AG181" s="2"/>
      <c r="AH181" s="2"/>
      <c r="AI181" s="2"/>
      <c r="AJ181" s="2"/>
      <c r="AK181" s="2" t="s">
        <v>1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>
      <c r="A182" s="2" t="str">
        <f t="shared" si="1"/>
        <v/>
      </c>
      <c r="B182" s="2" t="s">
        <v>43</v>
      </c>
      <c r="C182" s="2" t="s">
        <v>30</v>
      </c>
      <c r="D182" s="2" t="s">
        <v>45</v>
      </c>
      <c r="E182" s="2" t="s">
        <v>18</v>
      </c>
      <c r="F182" s="2" t="s">
        <v>33</v>
      </c>
      <c r="G182" s="2" t="s">
        <v>10</v>
      </c>
      <c r="H182" s="2" t="s">
        <v>32</v>
      </c>
      <c r="I182" s="2" t="s">
        <v>24</v>
      </c>
      <c r="J182" s="2" t="s">
        <v>29</v>
      </c>
      <c r="K182" s="2" t="s">
        <v>37</v>
      </c>
      <c r="L182" s="2" t="s">
        <v>34</v>
      </c>
      <c r="M182" s="2" t="s">
        <v>42</v>
      </c>
      <c r="N182" s="2" t="s">
        <v>27</v>
      </c>
      <c r="O182" s="2" t="s">
        <v>35</v>
      </c>
      <c r="P182" s="2" t="s">
        <v>26</v>
      </c>
      <c r="Q182" s="2" t="s">
        <v>44</v>
      </c>
      <c r="R182" s="2" t="s">
        <v>41</v>
      </c>
      <c r="S182" s="2" t="s">
        <v>40</v>
      </c>
      <c r="T182" s="2" t="s">
        <v>55</v>
      </c>
      <c r="U182" s="2" t="s">
        <v>53</v>
      </c>
      <c r="V182" s="2" t="s">
        <v>22</v>
      </c>
      <c r="W182" s="2" t="s">
        <v>38</v>
      </c>
      <c r="X182" s="2" t="s">
        <v>46</v>
      </c>
      <c r="Y182" s="2" t="s">
        <v>9</v>
      </c>
      <c r="Z182" s="2" t="s">
        <v>11</v>
      </c>
      <c r="AA182" s="2" t="s">
        <v>39</v>
      </c>
      <c r="AB182" s="2" t="s">
        <v>31</v>
      </c>
      <c r="AC182" s="2" t="s">
        <v>17</v>
      </c>
      <c r="AD182" s="2" t="s">
        <v>23</v>
      </c>
      <c r="AE182" s="2" t="s">
        <v>12</v>
      </c>
      <c r="AF182" s="2" t="s">
        <v>20</v>
      </c>
      <c r="AG182" s="2" t="s">
        <v>21</v>
      </c>
      <c r="AH182" s="2" t="s">
        <v>13</v>
      </c>
      <c r="AI182" s="2" t="s">
        <v>15</v>
      </c>
      <c r="AJ182" s="2" t="s">
        <v>28</v>
      </c>
      <c r="AK182" s="2" t="s">
        <v>14</v>
      </c>
      <c r="AL182" s="2" t="s">
        <v>25</v>
      </c>
      <c r="AM182" s="2"/>
      <c r="AN182" s="2"/>
      <c r="AO182" s="2"/>
      <c r="AP182" s="2"/>
      <c r="AQ182" s="2"/>
      <c r="AR182" s="2"/>
      <c r="AS182" s="2"/>
      <c r="AT182" s="2"/>
      <c r="AU182" s="2"/>
    </row>
    <row r="183">
      <c r="A183" s="2" t="str">
        <f t="shared" si="1"/>
        <v/>
      </c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1</v>
      </c>
      <c r="G183" s="2" t="b">
        <v>1</v>
      </c>
      <c r="H183" s="2" t="b">
        <v>1</v>
      </c>
      <c r="I183" s="2" t="b">
        <v>1</v>
      </c>
      <c r="J183" s="2" t="b">
        <v>0</v>
      </c>
      <c r="K183" s="2" t="b">
        <v>1</v>
      </c>
      <c r="L183" s="2" t="b">
        <v>1</v>
      </c>
      <c r="M183" s="2" t="b">
        <v>1</v>
      </c>
      <c r="N183" s="2" t="b">
        <v>0</v>
      </c>
      <c r="O183" s="2" t="b">
        <v>1</v>
      </c>
      <c r="P183" s="2" t="b">
        <v>0</v>
      </c>
      <c r="Q183" s="2" t="b">
        <v>1</v>
      </c>
      <c r="R183" s="2" t="b">
        <v>1</v>
      </c>
      <c r="S183" s="2" t="b">
        <v>1</v>
      </c>
      <c r="T183" s="2" t="b">
        <v>1</v>
      </c>
      <c r="U183" s="2" t="b">
        <v>1</v>
      </c>
      <c r="V183" s="2" t="b">
        <v>1</v>
      </c>
      <c r="W183" s="2" t="b">
        <v>0</v>
      </c>
      <c r="X183" s="2" t="b">
        <v>1</v>
      </c>
      <c r="Y183" s="2" t="b">
        <v>1</v>
      </c>
      <c r="Z183" s="2" t="b">
        <v>1</v>
      </c>
      <c r="AA183" s="2" t="b">
        <v>1</v>
      </c>
      <c r="AB183" s="2" t="b">
        <v>1</v>
      </c>
      <c r="AC183" s="2" t="b">
        <v>1</v>
      </c>
      <c r="AD183" s="2" t="b">
        <v>1</v>
      </c>
      <c r="AE183" s="2" t="b">
        <v>1</v>
      </c>
      <c r="AF183" s="2" t="b">
        <v>1</v>
      </c>
      <c r="AG183" s="2" t="b">
        <v>1</v>
      </c>
      <c r="AH183" s="2" t="b">
        <v>1</v>
      </c>
      <c r="AI183" s="2" t="b">
        <v>1</v>
      </c>
      <c r="AJ183" s="2" t="b">
        <v>0</v>
      </c>
      <c r="AK183" s="2" t="b">
        <v>1</v>
      </c>
      <c r="AL183" s="2" t="b">
        <v>0</v>
      </c>
      <c r="AM183" s="2"/>
      <c r="AN183" s="2" t="b">
        <v>0</v>
      </c>
      <c r="AO183" s="2" t="b">
        <v>0</v>
      </c>
      <c r="AP183" s="2" t="b">
        <v>0</v>
      </c>
      <c r="AQ183" s="2" t="b">
        <v>0</v>
      </c>
      <c r="AR183" s="2" t="b">
        <v>0</v>
      </c>
      <c r="AS183" s="2" t="b">
        <v>0</v>
      </c>
      <c r="AT183" s="2" t="b">
        <v>0</v>
      </c>
      <c r="AU183" s="2" t="b">
        <v>0</v>
      </c>
    </row>
    <row r="184">
      <c r="A184" s="2" t="str">
        <f t="shared" si="1"/>
        <v>X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>
        <v>4.0</v>
      </c>
      <c r="U184" s="2"/>
      <c r="V184" s="2"/>
      <c r="W184" s="2"/>
      <c r="X184" s="2"/>
      <c r="Y184" s="2">
        <v>4.0</v>
      </c>
      <c r="Z184" s="2"/>
      <c r="AA184" s="2"/>
      <c r="AB184" s="2">
        <v>4.0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s">
        <v>47</v>
      </c>
      <c r="AN184" s="2"/>
      <c r="AO184" s="2"/>
      <c r="AP184" s="2"/>
      <c r="AQ184" s="2"/>
      <c r="AR184" s="2"/>
      <c r="AS184" s="2"/>
      <c r="AT184" s="2"/>
      <c r="AU184" s="2"/>
    </row>
    <row r="185">
      <c r="A185" s="2" t="str">
        <f t="shared" si="1"/>
        <v>M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s">
        <v>48</v>
      </c>
      <c r="AN185" s="2"/>
      <c r="AO185" s="2"/>
      <c r="AP185" s="2"/>
      <c r="AQ185" s="2"/>
      <c r="AR185" s="2"/>
      <c r="AS185" s="2"/>
      <c r="AT185" s="2"/>
      <c r="AU185" s="2"/>
    </row>
    <row r="186">
      <c r="A186" s="2" t="str">
        <f t="shared" si="1"/>
        <v>C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>
        <v>4.0</v>
      </c>
      <c r="R186" s="2"/>
      <c r="S186" s="2"/>
      <c r="T186" s="2"/>
      <c r="U186" s="2">
        <v>4.0</v>
      </c>
      <c r="V186" s="2"/>
      <c r="W186" s="2"/>
      <c r="X186" s="2"/>
      <c r="Y186" s="2"/>
      <c r="Z186" s="2"/>
      <c r="AA186" s="2"/>
      <c r="AB186" s="2">
        <v>4.0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s">
        <v>49</v>
      </c>
      <c r="AN186" s="2"/>
      <c r="AO186" s="2"/>
      <c r="AP186" s="2"/>
      <c r="AQ186" s="2"/>
      <c r="AR186" s="2"/>
      <c r="AS186" s="2"/>
      <c r="AT186" s="2"/>
      <c r="AU186" s="2"/>
    </row>
    <row r="187">
      <c r="A187" s="2" t="str">
        <f t="shared" si="1"/>
        <v>E</v>
      </c>
      <c r="B187" s="2"/>
      <c r="C187" s="2"/>
      <c r="D187" s="2"/>
      <c r="E187" s="2"/>
      <c r="F187" s="2"/>
      <c r="G187" s="2"/>
      <c r="H187" s="2">
        <v>4.0</v>
      </c>
      <c r="I187" s="2">
        <v>4.0</v>
      </c>
      <c r="J187" s="2"/>
      <c r="K187" s="2"/>
      <c r="L187" s="2">
        <v>4.0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>
        <v>4.0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s">
        <v>50</v>
      </c>
      <c r="AN187" s="2"/>
      <c r="AO187" s="2"/>
      <c r="AP187" s="2"/>
      <c r="AQ187" s="2"/>
      <c r="AR187" s="2"/>
      <c r="AS187" s="2"/>
      <c r="AT187" s="2"/>
      <c r="AU187" s="2"/>
    </row>
    <row r="188">
      <c r="A188" s="2" t="str">
        <f t="shared" si="1"/>
        <v>B</v>
      </c>
      <c r="B188" s="2"/>
      <c r="C188" s="2"/>
      <c r="D188" s="2"/>
      <c r="E188" s="2"/>
      <c r="F188" s="2">
        <v>4.0</v>
      </c>
      <c r="G188" s="2"/>
      <c r="H188" s="2"/>
      <c r="I188" s="2">
        <v>4.0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>
        <v>4.0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s">
        <v>51</v>
      </c>
      <c r="AN188" s="2"/>
      <c r="AO188" s="2"/>
      <c r="AP188" s="2"/>
      <c r="AQ188" s="2"/>
      <c r="AR188" s="2"/>
      <c r="AS188" s="2"/>
      <c r="AT188" s="2"/>
      <c r="AU188" s="2"/>
    </row>
    <row r="189">
      <c r="A189" s="2" t="str">
        <f t="shared" si="1"/>
        <v>P</v>
      </c>
      <c r="B189" s="2"/>
      <c r="C189" s="2"/>
      <c r="D189" s="2"/>
      <c r="E189" s="2">
        <v>-4.0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>
        <v>4.0</v>
      </c>
      <c r="AE189" s="2"/>
      <c r="AF189" s="2"/>
      <c r="AG189" s="2"/>
      <c r="AH189" s="2"/>
      <c r="AI189" s="2"/>
      <c r="AJ189" s="2"/>
      <c r="AK189" s="2">
        <v>4.0</v>
      </c>
      <c r="AL189" s="2"/>
      <c r="AM189" s="2" t="s">
        <v>52</v>
      </c>
      <c r="AN189" s="2"/>
      <c r="AO189" s="2"/>
      <c r="AP189" s="2"/>
      <c r="AQ189" s="2"/>
      <c r="AR189" s="2"/>
      <c r="AS189" s="2"/>
      <c r="AT189" s="2"/>
      <c r="AU189" s="2"/>
    </row>
    <row r="190">
      <c r="A190" s="2" t="str">
        <f t="shared" si="1"/>
        <v>X</v>
      </c>
      <c r="B190" s="2">
        <v>4.0</v>
      </c>
      <c r="C190" s="2">
        <v>4.0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>
        <v>4.0</v>
      </c>
      <c r="AE190" s="2"/>
      <c r="AF190" s="2"/>
      <c r="AG190" s="2"/>
      <c r="AH190" s="2"/>
      <c r="AI190" s="2"/>
      <c r="AJ190" s="2"/>
      <c r="AK190" s="2"/>
      <c r="AL190" s="2"/>
      <c r="AM190" s="2" t="s">
        <v>47</v>
      </c>
      <c r="AN190" s="2"/>
      <c r="AO190" s="2"/>
      <c r="AP190" s="2"/>
      <c r="AQ190" s="2"/>
      <c r="AR190" s="2"/>
      <c r="AS190" s="2"/>
      <c r="AT190" s="2"/>
      <c r="AU190" s="2"/>
    </row>
    <row r="191">
      <c r="A191" s="2" t="str">
        <f t="shared" si="1"/>
        <v>M</v>
      </c>
      <c r="B191" s="2"/>
      <c r="C191" s="2"/>
      <c r="D191" s="2">
        <v>4.0</v>
      </c>
      <c r="E191" s="2">
        <v>4.0</v>
      </c>
      <c r="F191" s="2"/>
      <c r="G191" s="2"/>
      <c r="H191" s="2"/>
      <c r="I191" s="2">
        <v>4.0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>
        <v>-4.0</v>
      </c>
      <c r="U191" s="2"/>
      <c r="V191" s="2"/>
      <c r="W191" s="2"/>
      <c r="X191" s="2"/>
      <c r="Y191" s="2"/>
      <c r="Z191" s="2"/>
      <c r="AA191" s="2"/>
      <c r="AB191" s="2">
        <v>-4.0</v>
      </c>
      <c r="AC191" s="2"/>
      <c r="AD191" s="2"/>
      <c r="AE191" s="2"/>
      <c r="AF191" s="2"/>
      <c r="AG191" s="2"/>
      <c r="AH191" s="2"/>
      <c r="AI191" s="2"/>
      <c r="AJ191" s="2"/>
      <c r="AK191" s="2">
        <v>-4.0</v>
      </c>
      <c r="AL191" s="2"/>
      <c r="AM191" s="2" t="s">
        <v>48</v>
      </c>
      <c r="AN191" s="2"/>
      <c r="AO191" s="2"/>
      <c r="AP191" s="2"/>
      <c r="AQ191" s="2"/>
      <c r="AR191" s="2"/>
      <c r="AS191" s="2"/>
      <c r="AT191" s="2"/>
      <c r="AU191" s="2"/>
    </row>
    <row r="192">
      <c r="A192" s="2" t="str">
        <f t="shared" si="1"/>
        <v>C</v>
      </c>
      <c r="B192" s="2"/>
      <c r="C192" s="2"/>
      <c r="D192" s="2"/>
      <c r="E192" s="2"/>
      <c r="F192" s="2">
        <v>4.0</v>
      </c>
      <c r="G192" s="2"/>
      <c r="H192" s="2"/>
      <c r="I192" s="2"/>
      <c r="J192" s="2"/>
      <c r="K192" s="2"/>
      <c r="L192" s="2">
        <v>4.0</v>
      </c>
      <c r="M192" s="2"/>
      <c r="N192" s="2"/>
      <c r="O192" s="2"/>
      <c r="P192" s="2"/>
      <c r="Q192" s="2"/>
      <c r="R192" s="2"/>
      <c r="S192" s="2"/>
      <c r="T192" s="2"/>
      <c r="U192" s="2"/>
      <c r="V192" s="2">
        <v>4.0</v>
      </c>
      <c r="W192" s="2"/>
      <c r="X192" s="2">
        <v>4.0</v>
      </c>
      <c r="Y192" s="2">
        <v>-4.0</v>
      </c>
      <c r="Z192" s="2"/>
      <c r="AA192" s="2"/>
      <c r="AB192" s="2"/>
      <c r="AC192" s="2">
        <v>-4.0</v>
      </c>
      <c r="AD192" s="2"/>
      <c r="AE192" s="2"/>
      <c r="AF192" s="2"/>
      <c r="AG192" s="2"/>
      <c r="AH192" s="2"/>
      <c r="AI192" s="2"/>
      <c r="AJ192" s="2"/>
      <c r="AK192" s="2"/>
      <c r="AL192" s="2"/>
      <c r="AM192" s="2" t="s">
        <v>49</v>
      </c>
      <c r="AN192" s="2"/>
      <c r="AO192" s="2"/>
      <c r="AP192" s="2"/>
      <c r="AQ192" s="2"/>
      <c r="AR192" s="2"/>
      <c r="AS192" s="2"/>
      <c r="AT192" s="2"/>
      <c r="AU192" s="2"/>
    </row>
    <row r="193">
      <c r="A193" s="2" t="str">
        <f t="shared" si="1"/>
        <v>E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>
        <v>4.0</v>
      </c>
      <c r="AH193" s="2"/>
      <c r="AI193" s="2"/>
      <c r="AJ193" s="2"/>
      <c r="AK193" s="2"/>
      <c r="AL193" s="2"/>
      <c r="AM193" s="2" t="s">
        <v>50</v>
      </c>
      <c r="AN193" s="2"/>
      <c r="AO193" s="2"/>
      <c r="AP193" s="2"/>
      <c r="AQ193" s="2"/>
      <c r="AR193" s="2"/>
      <c r="AS193" s="2"/>
      <c r="AT193" s="2"/>
      <c r="AU193" s="2"/>
    </row>
    <row r="194">
      <c r="A194" s="2" t="str">
        <f t="shared" si="1"/>
        <v>B</v>
      </c>
      <c r="B194" s="2">
        <v>4.0</v>
      </c>
      <c r="C194" s="2"/>
      <c r="D194" s="2"/>
      <c r="E194" s="2">
        <v>-4.0</v>
      </c>
      <c r="F194" s="2"/>
      <c r="G194" s="2"/>
      <c r="H194" s="2"/>
      <c r="I194" s="2"/>
      <c r="J194" s="2"/>
      <c r="K194" s="2"/>
      <c r="L194" s="2"/>
      <c r="M194" s="2">
        <v>4.0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 t="s">
        <v>51</v>
      </c>
      <c r="AN194" s="2"/>
      <c r="AO194" s="2"/>
      <c r="AP194" s="2"/>
      <c r="AQ194" s="2"/>
      <c r="AR194" s="2"/>
      <c r="AS194" s="2"/>
      <c r="AT194" s="2"/>
      <c r="AU194" s="2"/>
    </row>
    <row r="195">
      <c r="A195" s="2" t="str">
        <f t="shared" si="1"/>
        <v>P</v>
      </c>
      <c r="B195" s="2"/>
      <c r="C195" s="2">
        <v>4.0</v>
      </c>
      <c r="D195" s="2"/>
      <c r="E195" s="2"/>
      <c r="F195" s="2"/>
      <c r="G195" s="2">
        <v>4.0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>
        <v>4.0</v>
      </c>
      <c r="AD195" s="2">
        <v>4.0</v>
      </c>
      <c r="AE195" s="2"/>
      <c r="AF195" s="2"/>
      <c r="AG195" s="2"/>
      <c r="AH195" s="2"/>
      <c r="AI195" s="2"/>
      <c r="AJ195" s="2"/>
      <c r="AK195" s="2"/>
      <c r="AL195" s="2"/>
      <c r="AM195" s="2" t="s">
        <v>52</v>
      </c>
      <c r="AN195" s="2"/>
      <c r="AO195" s="2"/>
      <c r="AP195" s="2"/>
      <c r="AQ195" s="2"/>
      <c r="AR195" s="2"/>
      <c r="AS195" s="2"/>
      <c r="AT195" s="2"/>
      <c r="AU195" s="2"/>
    </row>
    <row r="196">
      <c r="A196" s="2" t="str">
        <f t="shared" si="1"/>
        <v/>
      </c>
      <c r="B196" s="2" t="b">
        <v>1</v>
      </c>
      <c r="C196" s="2" t="b">
        <v>1</v>
      </c>
      <c r="D196" s="2" t="b">
        <v>1</v>
      </c>
      <c r="E196" s="2" t="b">
        <v>1</v>
      </c>
      <c r="F196" s="2" t="b">
        <v>1</v>
      </c>
      <c r="G196" s="2" t="b">
        <v>1</v>
      </c>
      <c r="H196" s="2" t="b">
        <v>1</v>
      </c>
      <c r="I196" s="2" t="b">
        <v>1</v>
      </c>
      <c r="J196" s="2" t="b">
        <v>0</v>
      </c>
      <c r="K196" s="2" t="b">
        <v>1</v>
      </c>
      <c r="L196" s="2" t="b">
        <v>1</v>
      </c>
      <c r="M196" s="2" t="b">
        <v>1</v>
      </c>
      <c r="N196" s="2" t="b">
        <v>0</v>
      </c>
      <c r="O196" s="2" t="b">
        <v>1</v>
      </c>
      <c r="P196" s="2" t="b">
        <v>0</v>
      </c>
      <c r="Q196" s="2" t="b">
        <v>1</v>
      </c>
      <c r="R196" s="2" t="b">
        <v>1</v>
      </c>
      <c r="S196" s="2" t="b">
        <v>1</v>
      </c>
      <c r="T196" s="2" t="b">
        <v>1</v>
      </c>
      <c r="U196" s="2" t="b">
        <v>1</v>
      </c>
      <c r="V196" s="2" t="b">
        <v>1</v>
      </c>
      <c r="W196" s="2" t="b">
        <v>0</v>
      </c>
      <c r="X196" s="2" t="b">
        <v>1</v>
      </c>
      <c r="Y196" s="2" t="b">
        <v>1</v>
      </c>
      <c r="Z196" s="2" t="b">
        <v>1</v>
      </c>
      <c r="AA196" s="2" t="b">
        <v>1</v>
      </c>
      <c r="AB196" s="2" t="b">
        <v>1</v>
      </c>
      <c r="AC196" s="2" t="b">
        <v>1</v>
      </c>
      <c r="AD196" s="2" t="b">
        <v>1</v>
      </c>
      <c r="AE196" s="2" t="b">
        <v>1</v>
      </c>
      <c r="AF196" s="2" t="b">
        <v>1</v>
      </c>
      <c r="AG196" s="2" t="b">
        <v>1</v>
      </c>
      <c r="AH196" s="2" t="b">
        <v>1</v>
      </c>
      <c r="AI196" s="2" t="b">
        <v>1</v>
      </c>
      <c r="AJ196" s="2" t="b">
        <v>0</v>
      </c>
      <c r="AK196" s="2" t="b">
        <v>1</v>
      </c>
      <c r="AL196" s="2" t="b">
        <v>0</v>
      </c>
      <c r="AM196" s="2"/>
      <c r="AN196" s="2" t="b">
        <v>0</v>
      </c>
      <c r="AO196" s="2" t="b">
        <v>0</v>
      </c>
      <c r="AP196" s="2" t="b">
        <v>0</v>
      </c>
      <c r="AQ196" s="2" t="b">
        <v>0</v>
      </c>
      <c r="AR196" s="2" t="b">
        <v>0</v>
      </c>
      <c r="AS196" s="2" t="b">
        <v>0</v>
      </c>
      <c r="AT196" s="2" t="b">
        <v>0</v>
      </c>
      <c r="AU196" s="2" t="b">
        <v>0</v>
      </c>
    </row>
    <row r="197">
      <c r="A197" s="2" t="str">
        <f t="shared" si="1"/>
        <v>X</v>
      </c>
      <c r="B197" s="2">
        <v>4.0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 t="s">
        <v>47</v>
      </c>
      <c r="AN197" s="2"/>
      <c r="AO197" s="2"/>
      <c r="AP197" s="2"/>
      <c r="AQ197" s="2"/>
      <c r="AR197" s="2"/>
      <c r="AS197" s="2"/>
      <c r="AT197" s="2"/>
      <c r="AU197" s="2"/>
    </row>
    <row r="198">
      <c r="A198" s="2" t="str">
        <f t="shared" si="1"/>
        <v>M</v>
      </c>
      <c r="B198" s="2"/>
      <c r="C198" s="2"/>
      <c r="D198" s="2">
        <v>4.0</v>
      </c>
      <c r="E198" s="2">
        <v>4.0</v>
      </c>
      <c r="F198" s="2">
        <v>4.0</v>
      </c>
      <c r="G198" s="2"/>
      <c r="H198" s="2"/>
      <c r="I198" s="2">
        <v>4.0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 t="s">
        <v>48</v>
      </c>
      <c r="AN198" s="2"/>
      <c r="AO198" s="2"/>
      <c r="AP198" s="2"/>
      <c r="AQ198" s="2"/>
      <c r="AR198" s="2"/>
      <c r="AS198" s="2"/>
      <c r="AT198" s="2"/>
      <c r="AU198" s="2"/>
    </row>
    <row r="199">
      <c r="A199" s="2" t="str">
        <f t="shared" si="1"/>
        <v>C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>
        <v>4.0</v>
      </c>
      <c r="W199" s="2"/>
      <c r="X199" s="2"/>
      <c r="Y199" s="2">
        <v>4.0</v>
      </c>
      <c r="Z199" s="2"/>
      <c r="AA199" s="2"/>
      <c r="AB199" s="2">
        <v>4.0</v>
      </c>
      <c r="AC199" s="2">
        <v>4.0</v>
      </c>
      <c r="AD199" s="2"/>
      <c r="AE199" s="2"/>
      <c r="AF199" s="2"/>
      <c r="AG199" s="2"/>
      <c r="AH199" s="2"/>
      <c r="AI199" s="2"/>
      <c r="AJ199" s="2"/>
      <c r="AK199" s="2"/>
      <c r="AL199" s="2"/>
      <c r="AM199" s="2" t="s">
        <v>49</v>
      </c>
      <c r="AN199" s="2"/>
      <c r="AO199" s="2"/>
      <c r="AP199" s="2"/>
      <c r="AQ199" s="2"/>
      <c r="AR199" s="2"/>
      <c r="AS199" s="2"/>
      <c r="AT199" s="2"/>
      <c r="AU199" s="2"/>
    </row>
    <row r="200">
      <c r="A200" s="2" t="str">
        <f t="shared" si="1"/>
        <v>E</v>
      </c>
      <c r="B200" s="2">
        <v>4.0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>
        <v>4.0</v>
      </c>
      <c r="AH200" s="2"/>
      <c r="AI200" s="2"/>
      <c r="AJ200" s="2"/>
      <c r="AK200" s="2"/>
      <c r="AL200" s="2"/>
      <c r="AM200" s="2" t="s">
        <v>50</v>
      </c>
      <c r="AN200" s="2"/>
      <c r="AO200" s="2"/>
      <c r="AP200" s="2"/>
      <c r="AQ200" s="2"/>
      <c r="AR200" s="2"/>
      <c r="AS200" s="2"/>
      <c r="AT200" s="2"/>
      <c r="AU200" s="2"/>
    </row>
    <row r="201">
      <c r="A201" s="2" t="str">
        <f t="shared" si="1"/>
        <v>B</v>
      </c>
      <c r="B201" s="2"/>
      <c r="C201" s="2">
        <v>4.0</v>
      </c>
      <c r="D201" s="2"/>
      <c r="E201" s="2">
        <v>4.0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>
        <v>4.0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 t="s">
        <v>51</v>
      </c>
      <c r="AN201" s="2"/>
      <c r="AO201" s="2"/>
      <c r="AP201" s="2"/>
      <c r="AQ201" s="2"/>
      <c r="AR201" s="2"/>
      <c r="AS201" s="2"/>
      <c r="AT201" s="2"/>
      <c r="AU201" s="2"/>
    </row>
    <row r="202">
      <c r="A202" s="2" t="str">
        <f t="shared" si="1"/>
        <v>P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>
        <v>4.0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>
        <v>4.0</v>
      </c>
      <c r="AE202" s="2"/>
      <c r="AF202" s="2"/>
      <c r="AG202" s="2"/>
      <c r="AH202" s="2"/>
      <c r="AI202" s="2"/>
      <c r="AJ202" s="2"/>
      <c r="AK202" s="2"/>
      <c r="AL202" s="2"/>
      <c r="AM202" s="2" t="s">
        <v>52</v>
      </c>
      <c r="AN202" s="2"/>
      <c r="AO202" s="2"/>
      <c r="AP202" s="2"/>
      <c r="AQ202" s="2"/>
      <c r="AR202" s="2"/>
      <c r="AS202" s="2"/>
      <c r="AT202" s="2"/>
      <c r="AU202" s="2"/>
    </row>
    <row r="203">
      <c r="A203" s="2" t="str">
        <f t="shared" si="1"/>
        <v>X</v>
      </c>
      <c r="B203" s="2">
        <v>4.0</v>
      </c>
      <c r="C203" s="2">
        <v>4.0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>
        <v>4.0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 t="s">
        <v>47</v>
      </c>
      <c r="AN203" s="2"/>
      <c r="AO203" s="2"/>
      <c r="AP203" s="2"/>
      <c r="AQ203" s="2"/>
      <c r="AR203" s="2"/>
      <c r="AS203" s="2"/>
      <c r="AT203" s="2"/>
      <c r="AU203" s="2"/>
    </row>
    <row r="204">
      <c r="A204" s="2" t="str">
        <f t="shared" si="1"/>
        <v>M</v>
      </c>
      <c r="B204" s="2"/>
      <c r="C204" s="2"/>
      <c r="D204" s="2"/>
      <c r="E204" s="2"/>
      <c r="F204" s="2"/>
      <c r="G204" s="2"/>
      <c r="H204" s="2"/>
      <c r="I204" s="2"/>
      <c r="J204" s="2"/>
      <c r="K204" s="2">
        <v>4.0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 t="s">
        <v>48</v>
      </c>
      <c r="AN204" s="2"/>
      <c r="AO204" s="2"/>
      <c r="AP204" s="2"/>
      <c r="AQ204" s="2"/>
      <c r="AR204" s="2"/>
      <c r="AS204" s="2"/>
      <c r="AT204" s="2"/>
      <c r="AU204" s="2"/>
    </row>
    <row r="205">
      <c r="A205" s="2" t="str">
        <f t="shared" si="1"/>
        <v>C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>
        <v>4.0</v>
      </c>
      <c r="Z205" s="2"/>
      <c r="AA205" s="2"/>
      <c r="AB205" s="2"/>
      <c r="AC205" s="2">
        <v>4.0</v>
      </c>
      <c r="AD205" s="2"/>
      <c r="AE205" s="2"/>
      <c r="AF205" s="2"/>
      <c r="AG205" s="2"/>
      <c r="AH205" s="2"/>
      <c r="AI205" s="2"/>
      <c r="AJ205" s="2"/>
      <c r="AK205" s="2"/>
      <c r="AL205" s="2"/>
      <c r="AM205" s="2" t="s">
        <v>49</v>
      </c>
      <c r="AN205" s="2"/>
      <c r="AO205" s="2"/>
      <c r="AP205" s="2"/>
      <c r="AQ205" s="2"/>
      <c r="AR205" s="2"/>
      <c r="AS205" s="2"/>
      <c r="AT205" s="2"/>
      <c r="AU205" s="2"/>
    </row>
    <row r="206">
      <c r="A206" s="2" t="str">
        <f t="shared" si="1"/>
        <v>E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>
        <v>4.0</v>
      </c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 t="s">
        <v>50</v>
      </c>
      <c r="AN206" s="2"/>
      <c r="AO206" s="2"/>
      <c r="AP206" s="2"/>
      <c r="AQ206" s="2"/>
      <c r="AR206" s="2"/>
      <c r="AS206" s="2"/>
      <c r="AT206" s="2"/>
      <c r="AU206" s="2"/>
    </row>
    <row r="207">
      <c r="A207" s="2" t="str">
        <f t="shared" si="1"/>
        <v>B</v>
      </c>
      <c r="B207" s="2">
        <v>4.0</v>
      </c>
      <c r="C207" s="2"/>
      <c r="D207" s="2"/>
      <c r="E207" s="2">
        <v>4.0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>
        <v>4.0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>
        <v>4.0</v>
      </c>
      <c r="AL207" s="2"/>
      <c r="AM207" s="2" t="s">
        <v>51</v>
      </c>
      <c r="AN207" s="2"/>
      <c r="AO207" s="2"/>
      <c r="AP207" s="2"/>
      <c r="AQ207" s="2"/>
      <c r="AR207" s="2"/>
      <c r="AS207" s="2"/>
      <c r="AT207" s="2"/>
      <c r="AU207" s="2"/>
    </row>
    <row r="208">
      <c r="A208" s="2" t="str">
        <f t="shared" si="1"/>
        <v>P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>
        <v>4.0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 t="s">
        <v>52</v>
      </c>
      <c r="AN208" s="2"/>
      <c r="AO208" s="2"/>
      <c r="AP208" s="2"/>
      <c r="AQ208" s="2"/>
      <c r="AR208" s="2"/>
      <c r="AS208" s="2"/>
      <c r="AT208" s="2"/>
      <c r="AU208" s="2"/>
    </row>
    <row r="209">
      <c r="A209" s="2" t="str">
        <f t="shared" si="1"/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>
      <c r="A210" s="2" t="str">
        <f t="shared" si="1"/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>
      <c r="A211" s="2" t="str">
        <f t="shared" si="1"/>
        <v/>
      </c>
      <c r="B211" s="2" t="str">
        <f t="array" ref="B211:AU240">transpose(sort(transpose(All!A211:AT240),2,true))</f>
        <v>Cupertino A</v>
      </c>
      <c r="C211" s="2" t="s">
        <v>5</v>
      </c>
      <c r="D211" s="2"/>
      <c r="E211" s="2"/>
      <c r="F211" s="2"/>
      <c r="G211" s="2"/>
      <c r="H211" s="2"/>
      <c r="I211" s="2"/>
      <c r="J211" s="2"/>
      <c r="K211" s="2"/>
      <c r="L211" s="2"/>
      <c r="M211" s="2" t="s">
        <v>7</v>
      </c>
      <c r="N211" s="2"/>
      <c r="O211" s="2"/>
      <c r="P211" s="2" t="s">
        <v>4</v>
      </c>
      <c r="Q211" s="2"/>
      <c r="R211" s="2"/>
      <c r="S211" s="2"/>
      <c r="T211" s="2" t="s">
        <v>6</v>
      </c>
      <c r="U211" s="2"/>
      <c r="V211" s="2" t="s">
        <v>3</v>
      </c>
      <c r="W211" s="2"/>
      <c r="X211" s="2"/>
      <c r="Y211" s="2" t="s">
        <v>0</v>
      </c>
      <c r="Z211" s="2"/>
      <c r="AA211" s="2"/>
      <c r="AB211" s="2"/>
      <c r="AC211" s="2" t="s">
        <v>2</v>
      </c>
      <c r="AD211" s="2"/>
      <c r="AE211" s="2"/>
      <c r="AF211" s="2"/>
      <c r="AG211" s="2"/>
      <c r="AH211" s="2"/>
      <c r="AI211" s="2"/>
      <c r="AJ211" s="2"/>
      <c r="AK211" s="2" t="s">
        <v>1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>
      <c r="A212" s="2" t="str">
        <f t="shared" si="1"/>
        <v/>
      </c>
      <c r="B212" s="2" t="s">
        <v>43</v>
      </c>
      <c r="C212" s="2" t="s">
        <v>30</v>
      </c>
      <c r="D212" s="2" t="s">
        <v>45</v>
      </c>
      <c r="E212" s="2" t="s">
        <v>18</v>
      </c>
      <c r="F212" s="2" t="s">
        <v>33</v>
      </c>
      <c r="G212" s="2" t="s">
        <v>10</v>
      </c>
      <c r="H212" s="2" t="s">
        <v>32</v>
      </c>
      <c r="I212" s="2" t="s">
        <v>24</v>
      </c>
      <c r="J212" s="2" t="s">
        <v>29</v>
      </c>
      <c r="K212" s="2" t="s">
        <v>37</v>
      </c>
      <c r="L212" s="2" t="s">
        <v>34</v>
      </c>
      <c r="M212" s="2" t="s">
        <v>42</v>
      </c>
      <c r="N212" s="2" t="s">
        <v>27</v>
      </c>
      <c r="O212" s="2" t="s">
        <v>35</v>
      </c>
      <c r="P212" s="2" t="s">
        <v>26</v>
      </c>
      <c r="Q212" s="2" t="s">
        <v>44</v>
      </c>
      <c r="R212" s="2" t="s">
        <v>41</v>
      </c>
      <c r="S212" s="2" t="s">
        <v>40</v>
      </c>
      <c r="T212" s="2" t="s">
        <v>55</v>
      </c>
      <c r="U212" s="2" t="s">
        <v>53</v>
      </c>
      <c r="V212" s="2" t="s">
        <v>22</v>
      </c>
      <c r="W212" s="2" t="s">
        <v>38</v>
      </c>
      <c r="X212" s="2" t="s">
        <v>46</v>
      </c>
      <c r="Y212" s="2" t="s">
        <v>9</v>
      </c>
      <c r="Z212" s="2" t="s">
        <v>11</v>
      </c>
      <c r="AA212" s="2" t="s">
        <v>39</v>
      </c>
      <c r="AB212" s="2" t="s">
        <v>31</v>
      </c>
      <c r="AC212" s="2" t="s">
        <v>17</v>
      </c>
      <c r="AD212" s="2" t="s">
        <v>23</v>
      </c>
      <c r="AE212" s="2" t="s">
        <v>12</v>
      </c>
      <c r="AF212" s="2" t="s">
        <v>20</v>
      </c>
      <c r="AG212" s="2" t="s">
        <v>21</v>
      </c>
      <c r="AH212" s="2" t="s">
        <v>13</v>
      </c>
      <c r="AI212" s="2" t="s">
        <v>15</v>
      </c>
      <c r="AJ212" s="2" t="s">
        <v>28</v>
      </c>
      <c r="AK212" s="2" t="s">
        <v>14</v>
      </c>
      <c r="AL212" s="2" t="s">
        <v>25</v>
      </c>
      <c r="AM212" s="2"/>
      <c r="AN212" s="2"/>
      <c r="AO212" s="2"/>
      <c r="AP212" s="2"/>
      <c r="AQ212" s="2"/>
      <c r="AR212" s="2"/>
      <c r="AS212" s="2"/>
      <c r="AT212" s="2"/>
      <c r="AU212" s="2"/>
    </row>
    <row r="213">
      <c r="A213" s="2" t="str">
        <f t="shared" si="1"/>
        <v/>
      </c>
      <c r="B213" s="2" t="b">
        <v>1</v>
      </c>
      <c r="C213" s="2" t="b">
        <v>1</v>
      </c>
      <c r="D213" s="2" t="b">
        <v>1</v>
      </c>
      <c r="E213" s="2" t="b">
        <v>0</v>
      </c>
      <c r="F213" s="2" t="b">
        <v>1</v>
      </c>
      <c r="G213" s="2" t="b">
        <v>1</v>
      </c>
      <c r="H213" s="2" t="b">
        <v>1</v>
      </c>
      <c r="I213" s="2" t="b">
        <v>1</v>
      </c>
      <c r="J213" s="2" t="b">
        <v>1</v>
      </c>
      <c r="K213" s="2" t="b">
        <v>1</v>
      </c>
      <c r="L213" s="2" t="b">
        <v>1</v>
      </c>
      <c r="M213" s="2" t="b">
        <v>1</v>
      </c>
      <c r="N213" s="2" t="b">
        <v>1</v>
      </c>
      <c r="O213" s="2" t="b">
        <v>1</v>
      </c>
      <c r="P213" s="2" t="b">
        <v>1</v>
      </c>
      <c r="Q213" s="2" t="b">
        <v>1</v>
      </c>
      <c r="R213" s="2" t="b">
        <v>1</v>
      </c>
      <c r="S213" s="2" t="b">
        <v>1</v>
      </c>
      <c r="T213" s="2" t="b">
        <v>1</v>
      </c>
      <c r="U213" s="2" t="b">
        <v>1</v>
      </c>
      <c r="V213" s="2" t="b">
        <v>1</v>
      </c>
      <c r="W213" s="2" t="b">
        <v>0</v>
      </c>
      <c r="X213" s="2" t="b">
        <v>1</v>
      </c>
      <c r="Y213" s="2" t="b">
        <v>1</v>
      </c>
      <c r="Z213" s="2" t="b">
        <v>1</v>
      </c>
      <c r="AA213" s="2" t="b">
        <v>1</v>
      </c>
      <c r="AB213" s="2" t="b">
        <v>1</v>
      </c>
      <c r="AC213" s="2" t="b">
        <v>0</v>
      </c>
      <c r="AD213" s="2" t="b">
        <v>1</v>
      </c>
      <c r="AE213" s="2" t="b">
        <v>1</v>
      </c>
      <c r="AF213" s="2" t="b">
        <v>0</v>
      </c>
      <c r="AG213" s="2" t="b">
        <v>0</v>
      </c>
      <c r="AH213" s="2" t="b">
        <v>1</v>
      </c>
      <c r="AI213" s="2" t="b">
        <v>1</v>
      </c>
      <c r="AJ213" s="2" t="b">
        <v>1</v>
      </c>
      <c r="AK213" s="2" t="b">
        <v>1</v>
      </c>
      <c r="AL213" s="2" t="b">
        <v>0</v>
      </c>
      <c r="AM213" s="2"/>
      <c r="AN213" s="2" t="b">
        <v>0</v>
      </c>
      <c r="AO213" s="2" t="b">
        <v>0</v>
      </c>
      <c r="AP213" s="2" t="b">
        <v>0</v>
      </c>
      <c r="AQ213" s="2" t="b">
        <v>0</v>
      </c>
      <c r="AR213" s="2" t="b">
        <v>0</v>
      </c>
      <c r="AS213" s="2" t="b">
        <v>0</v>
      </c>
      <c r="AT213" s="2" t="b">
        <v>0</v>
      </c>
      <c r="AU213" s="2" t="b">
        <v>0</v>
      </c>
    </row>
    <row r="214">
      <c r="A214" s="2" t="str">
        <f t="shared" si="1"/>
        <v>X</v>
      </c>
      <c r="B214" s="2"/>
      <c r="C214" s="2"/>
      <c r="D214" s="2"/>
      <c r="E214" s="2"/>
      <c r="F214" s="2"/>
      <c r="G214" s="2"/>
      <c r="H214" s="2"/>
      <c r="I214" s="2"/>
      <c r="J214" s="2"/>
      <c r="K214" s="2">
        <v>4.0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>
        <v>4.0</v>
      </c>
      <c r="AJ214" s="2"/>
      <c r="AK214" s="2"/>
      <c r="AL214" s="2"/>
      <c r="AM214" s="2" t="s">
        <v>47</v>
      </c>
      <c r="AN214" s="2"/>
      <c r="AO214" s="2"/>
      <c r="AP214" s="2"/>
      <c r="AQ214" s="2"/>
      <c r="AR214" s="2"/>
      <c r="AS214" s="2"/>
      <c r="AT214" s="2"/>
      <c r="AU214" s="2"/>
    </row>
    <row r="215">
      <c r="A215" s="2" t="str">
        <f t="shared" si="1"/>
        <v>M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 t="s">
        <v>48</v>
      </c>
      <c r="AN215" s="2"/>
      <c r="AO215" s="2"/>
      <c r="AP215" s="2"/>
      <c r="AQ215" s="2"/>
      <c r="AR215" s="2"/>
      <c r="AS215" s="2"/>
      <c r="AT215" s="2"/>
      <c r="AU215" s="2"/>
    </row>
    <row r="216">
      <c r="A216" s="2" t="str">
        <f t="shared" si="1"/>
        <v>C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>
        <v>4.0</v>
      </c>
      <c r="O216" s="2"/>
      <c r="P216" s="2"/>
      <c r="Q216" s="2"/>
      <c r="R216" s="2"/>
      <c r="S216" s="2"/>
      <c r="T216" s="2"/>
      <c r="U216" s="2">
        <v>4.0</v>
      </c>
      <c r="V216" s="2"/>
      <c r="W216" s="2"/>
      <c r="X216" s="2"/>
      <c r="Y216" s="2"/>
      <c r="Z216" s="2"/>
      <c r="AA216" s="2"/>
      <c r="AB216" s="2"/>
      <c r="AC216" s="2"/>
      <c r="AD216" s="2"/>
      <c r="AE216" s="2">
        <v>4.0</v>
      </c>
      <c r="AF216" s="2"/>
      <c r="AG216" s="2"/>
      <c r="AH216" s="2"/>
      <c r="AI216" s="2"/>
      <c r="AJ216" s="2"/>
      <c r="AK216" s="2"/>
      <c r="AL216" s="2"/>
      <c r="AM216" s="2" t="s">
        <v>49</v>
      </c>
      <c r="AN216" s="2"/>
      <c r="AO216" s="2"/>
      <c r="AP216" s="2"/>
      <c r="AQ216" s="2"/>
      <c r="AR216" s="2"/>
      <c r="AS216" s="2"/>
      <c r="AT216" s="2"/>
      <c r="AU216" s="2"/>
    </row>
    <row r="217">
      <c r="A217" s="2" t="str">
        <f t="shared" si="1"/>
        <v>E</v>
      </c>
      <c r="B217" s="2"/>
      <c r="C217" s="2"/>
      <c r="D217" s="2"/>
      <c r="E217" s="2"/>
      <c r="F217" s="2"/>
      <c r="G217" s="2"/>
      <c r="H217" s="2"/>
      <c r="I217" s="2">
        <v>4.0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 t="s">
        <v>50</v>
      </c>
      <c r="AN217" s="2"/>
      <c r="AO217" s="2"/>
      <c r="AP217" s="2"/>
      <c r="AQ217" s="2"/>
      <c r="AR217" s="2"/>
      <c r="AS217" s="2"/>
      <c r="AT217" s="2"/>
      <c r="AU217" s="2"/>
    </row>
    <row r="218">
      <c r="A218" s="2" t="str">
        <f t="shared" si="1"/>
        <v>B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>
        <v>-4.0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 t="s">
        <v>51</v>
      </c>
      <c r="AN218" s="2"/>
      <c r="AO218" s="2"/>
      <c r="AP218" s="2"/>
      <c r="AQ218" s="2"/>
      <c r="AR218" s="2"/>
      <c r="AS218" s="2"/>
      <c r="AT218" s="2"/>
      <c r="AU218" s="2"/>
    </row>
    <row r="219">
      <c r="A219" s="2" t="str">
        <f t="shared" si="1"/>
        <v>P</v>
      </c>
      <c r="B219" s="2"/>
      <c r="C219" s="2"/>
      <c r="D219" s="2"/>
      <c r="E219" s="2"/>
      <c r="F219" s="2"/>
      <c r="G219" s="2"/>
      <c r="H219" s="2"/>
      <c r="I219" s="2"/>
      <c r="J219" s="2"/>
      <c r="K219" s="2">
        <v>4.0</v>
      </c>
      <c r="L219" s="2"/>
      <c r="M219" s="2"/>
      <c r="N219" s="2">
        <v>4.0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>
        <v>4.0</v>
      </c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 t="s">
        <v>52</v>
      </c>
      <c r="AN219" s="2"/>
      <c r="AO219" s="2"/>
      <c r="AP219" s="2"/>
      <c r="AQ219" s="2"/>
      <c r="AR219" s="2"/>
      <c r="AS219" s="2"/>
      <c r="AT219" s="2"/>
      <c r="AU219" s="2"/>
    </row>
    <row r="220">
      <c r="A220" s="2" t="str">
        <f t="shared" si="1"/>
        <v>X</v>
      </c>
      <c r="B220" s="2">
        <v>4.0</v>
      </c>
      <c r="C220" s="2">
        <v>4.0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>
        <v>4.0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>
        <v>4.0</v>
      </c>
      <c r="AL220" s="2"/>
      <c r="AM220" s="2" t="s">
        <v>47</v>
      </c>
      <c r="AN220" s="2"/>
      <c r="AO220" s="2"/>
      <c r="AP220" s="2"/>
      <c r="AQ220" s="2"/>
      <c r="AR220" s="2"/>
      <c r="AS220" s="2"/>
      <c r="AT220" s="2"/>
      <c r="AU220" s="2"/>
    </row>
    <row r="221">
      <c r="A221" s="2" t="str">
        <f t="shared" si="1"/>
        <v>M</v>
      </c>
      <c r="B221" s="2">
        <v>4.0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>
        <v>4.0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 t="s">
        <v>48</v>
      </c>
      <c r="AN221" s="2"/>
      <c r="AO221" s="2"/>
      <c r="AP221" s="2"/>
      <c r="AQ221" s="2"/>
      <c r="AR221" s="2"/>
      <c r="AS221" s="2"/>
      <c r="AT221" s="2"/>
      <c r="AU221" s="2"/>
    </row>
    <row r="222">
      <c r="A222" s="2" t="str">
        <f t="shared" si="1"/>
        <v>C</v>
      </c>
      <c r="B222" s="2">
        <v>4.0</v>
      </c>
      <c r="C222" s="2"/>
      <c r="D222" s="2"/>
      <c r="E222" s="2"/>
      <c r="F222" s="2">
        <v>4.0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>
        <v>4.0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>
        <v>4.0</v>
      </c>
      <c r="AK222" s="2"/>
      <c r="AL222" s="2"/>
      <c r="AM222" s="2" t="s">
        <v>49</v>
      </c>
      <c r="AN222" s="2"/>
      <c r="AO222" s="2"/>
      <c r="AP222" s="2"/>
      <c r="AQ222" s="2"/>
      <c r="AR222" s="2"/>
      <c r="AS222" s="2"/>
      <c r="AT222" s="2"/>
      <c r="AU222" s="2"/>
    </row>
    <row r="223">
      <c r="A223" s="2" t="str">
        <f t="shared" si="1"/>
        <v>E</v>
      </c>
      <c r="B223" s="2"/>
      <c r="C223" s="2"/>
      <c r="D223" s="2"/>
      <c r="E223" s="2"/>
      <c r="F223" s="2"/>
      <c r="G223" s="2"/>
      <c r="H223" s="2">
        <v>4.0</v>
      </c>
      <c r="I223" s="2"/>
      <c r="J223" s="2">
        <v>4.0</v>
      </c>
      <c r="K223" s="2"/>
      <c r="L223" s="2"/>
      <c r="M223" s="2"/>
      <c r="N223" s="2"/>
      <c r="O223" s="2"/>
      <c r="P223" s="2"/>
      <c r="Q223" s="2">
        <v>4.0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 t="s">
        <v>50</v>
      </c>
      <c r="AN223" s="2"/>
      <c r="AO223" s="2"/>
      <c r="AP223" s="2"/>
      <c r="AQ223" s="2"/>
      <c r="AR223" s="2"/>
      <c r="AS223" s="2"/>
      <c r="AT223" s="2"/>
      <c r="AU223" s="2"/>
    </row>
    <row r="224">
      <c r="A224" s="2" t="str">
        <f t="shared" si="1"/>
        <v>B</v>
      </c>
      <c r="B224" s="2">
        <v>4.0</v>
      </c>
      <c r="C224" s="2"/>
      <c r="D224" s="2"/>
      <c r="E224" s="2"/>
      <c r="F224" s="2">
        <v>4.0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>
        <v>4.0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 t="s">
        <v>51</v>
      </c>
      <c r="AN224" s="2"/>
      <c r="AO224" s="2"/>
      <c r="AP224" s="2"/>
      <c r="AQ224" s="2"/>
      <c r="AR224" s="2"/>
      <c r="AS224" s="2"/>
      <c r="AT224" s="2"/>
      <c r="AU224" s="2"/>
    </row>
    <row r="225">
      <c r="A225" s="2" t="str">
        <f t="shared" si="1"/>
        <v>P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>
        <v>4.0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 t="s">
        <v>52</v>
      </c>
      <c r="AN225" s="2"/>
      <c r="AO225" s="2"/>
      <c r="AP225" s="2"/>
      <c r="AQ225" s="2"/>
      <c r="AR225" s="2"/>
      <c r="AS225" s="2"/>
      <c r="AT225" s="2"/>
      <c r="AU225" s="2"/>
    </row>
    <row r="226">
      <c r="A226" s="2" t="str">
        <f t="shared" si="1"/>
        <v/>
      </c>
      <c r="B226" s="2" t="b">
        <v>1</v>
      </c>
      <c r="C226" s="2" t="b">
        <v>1</v>
      </c>
      <c r="D226" s="2" t="b">
        <v>1</v>
      </c>
      <c r="E226" s="2" t="b">
        <v>0</v>
      </c>
      <c r="F226" s="2" t="b">
        <v>1</v>
      </c>
      <c r="G226" s="2" t="b">
        <v>1</v>
      </c>
      <c r="H226" s="2" t="b">
        <v>1</v>
      </c>
      <c r="I226" s="2" t="b">
        <v>1</v>
      </c>
      <c r="J226" s="2" t="b">
        <v>1</v>
      </c>
      <c r="K226" s="2" t="b">
        <v>1</v>
      </c>
      <c r="L226" s="2" t="b">
        <v>1</v>
      </c>
      <c r="M226" s="2" t="b">
        <v>1</v>
      </c>
      <c r="N226" s="2" t="b">
        <v>1</v>
      </c>
      <c r="O226" s="2" t="b">
        <v>1</v>
      </c>
      <c r="P226" s="2" t="b">
        <v>1</v>
      </c>
      <c r="Q226" s="2" t="b">
        <v>1</v>
      </c>
      <c r="R226" s="2" t="b">
        <v>1</v>
      </c>
      <c r="S226" s="2" t="b">
        <v>1</v>
      </c>
      <c r="T226" s="2" t="b">
        <v>1</v>
      </c>
      <c r="U226" s="2" t="b">
        <v>1</v>
      </c>
      <c r="V226" s="2" t="b">
        <v>1</v>
      </c>
      <c r="W226" s="2" t="b">
        <v>0</v>
      </c>
      <c r="X226" s="2" t="b">
        <v>1</v>
      </c>
      <c r="Y226" s="2" t="b">
        <v>1</v>
      </c>
      <c r="Z226" s="2" t="b">
        <v>1</v>
      </c>
      <c r="AA226" s="2" t="b">
        <v>1</v>
      </c>
      <c r="AB226" s="2" t="b">
        <v>1</v>
      </c>
      <c r="AC226" s="2" t="b">
        <v>0</v>
      </c>
      <c r="AD226" s="2" t="b">
        <v>1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1</v>
      </c>
      <c r="AJ226" s="2" t="b">
        <v>1</v>
      </c>
      <c r="AK226" s="2" t="b">
        <v>1</v>
      </c>
      <c r="AL226" s="2" t="b">
        <v>0</v>
      </c>
      <c r="AM226" s="2"/>
      <c r="AN226" s="2" t="b">
        <v>0</v>
      </c>
      <c r="AO226" s="2" t="b">
        <v>0</v>
      </c>
      <c r="AP226" s="2" t="b">
        <v>0</v>
      </c>
      <c r="AQ226" s="2" t="b">
        <v>0</v>
      </c>
      <c r="AR226" s="2" t="b">
        <v>0</v>
      </c>
      <c r="AS226" s="2" t="b">
        <v>0</v>
      </c>
      <c r="AT226" s="2" t="b">
        <v>1</v>
      </c>
      <c r="AU226" s="2" t="b">
        <v>0</v>
      </c>
    </row>
    <row r="227">
      <c r="A227" s="2" t="str">
        <f t="shared" si="1"/>
        <v>X</v>
      </c>
      <c r="B227" s="2"/>
      <c r="C227" s="2"/>
      <c r="D227" s="2"/>
      <c r="E227" s="2"/>
      <c r="F227" s="2"/>
      <c r="G227" s="2"/>
      <c r="H227" s="2"/>
      <c r="I227" s="2">
        <v>4.0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>
        <v>4.0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 t="s">
        <v>47</v>
      </c>
      <c r="AN227" s="2"/>
      <c r="AO227" s="2"/>
      <c r="AP227" s="2"/>
      <c r="AQ227" s="2"/>
      <c r="AR227" s="2"/>
      <c r="AS227" s="2"/>
      <c r="AT227" s="2"/>
      <c r="AU227" s="2"/>
    </row>
    <row r="228">
      <c r="A228" s="2" t="str">
        <f t="shared" si="1"/>
        <v>M</v>
      </c>
      <c r="B228" s="2"/>
      <c r="C228" s="2"/>
      <c r="D228" s="2"/>
      <c r="E228" s="2"/>
      <c r="F228" s="2"/>
      <c r="G228" s="2"/>
      <c r="H228" s="2"/>
      <c r="I228" s="2">
        <v>4.0</v>
      </c>
      <c r="J228" s="2"/>
      <c r="K228" s="2"/>
      <c r="L228" s="2"/>
      <c r="M228" s="2"/>
      <c r="N228" s="2"/>
      <c r="O228" s="2"/>
      <c r="P228" s="2">
        <v>4.0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 t="s">
        <v>48</v>
      </c>
      <c r="AN228" s="2"/>
      <c r="AO228" s="2"/>
      <c r="AP228" s="2"/>
      <c r="AQ228" s="2"/>
      <c r="AR228" s="2"/>
      <c r="AS228" s="2"/>
      <c r="AT228" s="2"/>
      <c r="AU228" s="2"/>
    </row>
    <row r="229">
      <c r="A229" s="2" t="str">
        <f t="shared" si="1"/>
        <v>C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>
        <v>4.0</v>
      </c>
      <c r="R229" s="2"/>
      <c r="S229" s="2"/>
      <c r="T229" s="2"/>
      <c r="U229" s="2"/>
      <c r="V229" s="2">
        <v>4.0</v>
      </c>
      <c r="W229" s="2"/>
      <c r="X229" s="2"/>
      <c r="Y229" s="2">
        <v>4.0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>
        <v>-4.0</v>
      </c>
      <c r="AK229" s="2">
        <v>4.0</v>
      </c>
      <c r="AL229" s="2"/>
      <c r="AM229" s="2" t="s">
        <v>49</v>
      </c>
      <c r="AN229" s="2"/>
      <c r="AO229" s="2"/>
      <c r="AP229" s="2"/>
      <c r="AQ229" s="2"/>
      <c r="AR229" s="2"/>
      <c r="AS229" s="2"/>
      <c r="AT229" s="2"/>
      <c r="AU229" s="2"/>
    </row>
    <row r="230">
      <c r="A230" s="2" t="str">
        <f t="shared" si="1"/>
        <v>E</v>
      </c>
      <c r="B230" s="2"/>
      <c r="C230" s="2"/>
      <c r="D230" s="2"/>
      <c r="E230" s="2"/>
      <c r="F230" s="2"/>
      <c r="G230" s="2"/>
      <c r="H230" s="2">
        <v>4.0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>
        <v>4.0</v>
      </c>
      <c r="V230" s="2"/>
      <c r="W230" s="2"/>
      <c r="X230" s="2"/>
      <c r="Y230" s="2"/>
      <c r="Z230" s="2">
        <v>4.0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 t="s">
        <v>50</v>
      </c>
      <c r="AN230" s="2"/>
      <c r="AO230" s="2"/>
      <c r="AP230" s="2"/>
      <c r="AQ230" s="2"/>
      <c r="AR230" s="2"/>
      <c r="AS230" s="2"/>
      <c r="AT230" s="2"/>
      <c r="AU230" s="2"/>
    </row>
    <row r="231">
      <c r="A231" s="2" t="str">
        <f t="shared" si="1"/>
        <v>B</v>
      </c>
      <c r="B231" s="2">
        <v>4.0</v>
      </c>
      <c r="C231" s="2"/>
      <c r="D231" s="2"/>
      <c r="E231" s="2"/>
      <c r="F231" s="2"/>
      <c r="G231" s="2"/>
      <c r="H231" s="2"/>
      <c r="I231" s="2">
        <v>4.0</v>
      </c>
      <c r="J231" s="2">
        <v>4.0</v>
      </c>
      <c r="K231" s="2"/>
      <c r="L231" s="2"/>
      <c r="M231" s="2"/>
      <c r="N231" s="2"/>
      <c r="O231" s="2"/>
      <c r="P231" s="2"/>
      <c r="Q231" s="2"/>
      <c r="R231" s="2"/>
      <c r="S231" s="2"/>
      <c r="T231" s="2">
        <v>4.0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 t="s">
        <v>51</v>
      </c>
      <c r="AN231" s="2"/>
      <c r="AO231" s="2"/>
      <c r="AP231" s="2"/>
      <c r="AQ231" s="2"/>
      <c r="AR231" s="2"/>
      <c r="AS231" s="2"/>
      <c r="AT231" s="2"/>
      <c r="AU231" s="2"/>
    </row>
    <row r="232">
      <c r="A232" s="2" t="str">
        <f t="shared" si="1"/>
        <v>P</v>
      </c>
      <c r="B232" s="2"/>
      <c r="C232" s="2"/>
      <c r="D232" s="2"/>
      <c r="E232" s="2"/>
      <c r="F232" s="2"/>
      <c r="G232" s="2"/>
      <c r="H232" s="2">
        <v>4.0</v>
      </c>
      <c r="I232" s="2"/>
      <c r="J232" s="2"/>
      <c r="K232" s="2"/>
      <c r="L232" s="2"/>
      <c r="M232" s="2"/>
      <c r="N232" s="2"/>
      <c r="O232" s="2"/>
      <c r="P232" s="2"/>
      <c r="Q232" s="2">
        <v>4.0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>
        <v>4.0</v>
      </c>
      <c r="AK232" s="2"/>
      <c r="AL232" s="2"/>
      <c r="AM232" s="2" t="s">
        <v>52</v>
      </c>
      <c r="AN232" s="2"/>
      <c r="AO232" s="2"/>
      <c r="AP232" s="2"/>
      <c r="AQ232" s="2"/>
      <c r="AR232" s="2"/>
      <c r="AS232" s="2"/>
      <c r="AT232" s="2"/>
      <c r="AU232" s="2"/>
    </row>
    <row r="233">
      <c r="A233" s="2" t="str">
        <f t="shared" si="1"/>
        <v>X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 t="s">
        <v>47</v>
      </c>
      <c r="AN233" s="2"/>
      <c r="AO233" s="2"/>
      <c r="AP233" s="2"/>
      <c r="AQ233" s="2"/>
      <c r="AR233" s="2"/>
      <c r="AS233" s="2"/>
      <c r="AT233" s="2"/>
      <c r="AU233" s="2"/>
    </row>
    <row r="234">
      <c r="A234" s="2" t="str">
        <f t="shared" si="1"/>
        <v>M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>
        <v>4.0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>
        <v>4.0</v>
      </c>
      <c r="AB234" s="2">
        <v>4.0</v>
      </c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 t="s">
        <v>48</v>
      </c>
      <c r="AN234" s="2"/>
      <c r="AO234" s="2"/>
      <c r="AP234" s="2"/>
      <c r="AQ234" s="2"/>
      <c r="AR234" s="2"/>
      <c r="AS234" s="2"/>
      <c r="AT234" s="2"/>
      <c r="AU234" s="2"/>
    </row>
    <row r="235">
      <c r="A235" s="2" t="str">
        <f t="shared" si="1"/>
        <v>C</v>
      </c>
      <c r="B235" s="2">
        <v>4.0</v>
      </c>
      <c r="C235" s="2"/>
      <c r="D235" s="2"/>
      <c r="E235" s="2"/>
      <c r="F235" s="2">
        <v>4.0</v>
      </c>
      <c r="G235" s="2"/>
      <c r="H235" s="2"/>
      <c r="I235" s="2"/>
      <c r="J235" s="2"/>
      <c r="K235" s="2">
        <v>4.0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>
        <v>4.0</v>
      </c>
      <c r="AL235" s="2"/>
      <c r="AM235" s="2" t="s">
        <v>49</v>
      </c>
      <c r="AN235" s="2"/>
      <c r="AO235" s="2"/>
      <c r="AP235" s="2"/>
      <c r="AQ235" s="2"/>
      <c r="AR235" s="2"/>
      <c r="AS235" s="2"/>
      <c r="AT235" s="2"/>
      <c r="AU235" s="2"/>
    </row>
    <row r="236">
      <c r="A236" s="2" t="str">
        <f t="shared" si="1"/>
        <v>E</v>
      </c>
      <c r="B236" s="2"/>
      <c r="C236" s="2"/>
      <c r="D236" s="2"/>
      <c r="E236" s="2"/>
      <c r="F236" s="2"/>
      <c r="G236" s="2"/>
      <c r="H236" s="2">
        <v>4.0</v>
      </c>
      <c r="I236" s="2"/>
      <c r="J236" s="2">
        <v>4.0</v>
      </c>
      <c r="K236" s="2"/>
      <c r="L236" s="2"/>
      <c r="M236" s="2"/>
      <c r="N236" s="2"/>
      <c r="O236" s="2"/>
      <c r="P236" s="2"/>
      <c r="Q236" s="2">
        <v>4.0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 t="s">
        <v>50</v>
      </c>
      <c r="AN236" s="2"/>
      <c r="AO236" s="2"/>
      <c r="AP236" s="2"/>
      <c r="AQ236" s="2"/>
      <c r="AR236" s="2"/>
      <c r="AS236" s="2"/>
      <c r="AT236" s="2"/>
      <c r="AU236" s="2"/>
    </row>
    <row r="237">
      <c r="A237" s="2" t="str">
        <f t="shared" si="1"/>
        <v>B</v>
      </c>
      <c r="B237" s="2">
        <v>4.0</v>
      </c>
      <c r="C237" s="2"/>
      <c r="D237" s="2"/>
      <c r="E237" s="2"/>
      <c r="F237" s="2"/>
      <c r="G237" s="2"/>
      <c r="H237" s="2"/>
      <c r="I237" s="2">
        <v>4.0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>
        <v>-4.0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 t="s">
        <v>51</v>
      </c>
      <c r="AN237" s="2"/>
      <c r="AO237" s="2"/>
      <c r="AP237" s="2"/>
      <c r="AQ237" s="2"/>
      <c r="AR237" s="2"/>
      <c r="AS237" s="2"/>
      <c r="AT237" s="2"/>
      <c r="AU237" s="2"/>
    </row>
    <row r="238">
      <c r="A238" s="2" t="str">
        <f t="shared" si="1"/>
        <v>P</v>
      </c>
      <c r="B238" s="2"/>
      <c r="C238" s="2"/>
      <c r="D238" s="2"/>
      <c r="E238" s="2"/>
      <c r="F238" s="2"/>
      <c r="G238" s="2"/>
      <c r="H238" s="2">
        <v>4.0</v>
      </c>
      <c r="I238" s="2"/>
      <c r="J238" s="2">
        <v>4.0</v>
      </c>
      <c r="K238" s="2"/>
      <c r="L238" s="2"/>
      <c r="M238" s="2"/>
      <c r="N238" s="2"/>
      <c r="O238" s="2">
        <v>4.0</v>
      </c>
      <c r="P238" s="2"/>
      <c r="Q238" s="2"/>
      <c r="R238" s="2"/>
      <c r="S238" s="2">
        <v>4.0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 t="s">
        <v>52</v>
      </c>
      <c r="AN238" s="2"/>
      <c r="AO238" s="2"/>
      <c r="AP238" s="2"/>
      <c r="AQ238" s="2"/>
      <c r="AR238" s="2"/>
      <c r="AS238" s="2"/>
      <c r="AT238" s="2"/>
      <c r="AU238" s="2"/>
    </row>
    <row r="239">
      <c r="A239" s="2" t="str">
        <f t="shared" si="1"/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>
      <c r="A240" s="2" t="str">
        <f t="shared" si="1"/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>
      <c r="A241" s="2" t="str">
        <f t="shared" si="1"/>
        <v/>
      </c>
      <c r="B241" s="2" t="str">
        <f t="array" ref="B241:AU270">transpose(sort(transpose(All!A241:AT270),2,true))</f>
        <v>Cupertino A</v>
      </c>
      <c r="C241" s="2" t="s">
        <v>5</v>
      </c>
      <c r="D241" s="2"/>
      <c r="E241" s="2"/>
      <c r="F241" s="2"/>
      <c r="G241" s="2"/>
      <c r="H241" s="2"/>
      <c r="I241" s="2"/>
      <c r="J241" s="2"/>
      <c r="K241" s="2"/>
      <c r="L241" s="2"/>
      <c r="M241" s="2" t="s">
        <v>7</v>
      </c>
      <c r="N241" s="2"/>
      <c r="O241" s="2"/>
      <c r="P241" s="2" t="s">
        <v>4</v>
      </c>
      <c r="Q241" s="2"/>
      <c r="R241" s="2"/>
      <c r="S241" s="2"/>
      <c r="T241" s="2" t="s">
        <v>6</v>
      </c>
      <c r="U241" s="2"/>
      <c r="V241" s="2" t="s">
        <v>3</v>
      </c>
      <c r="W241" s="2"/>
      <c r="X241" s="2"/>
      <c r="Y241" s="2" t="s">
        <v>0</v>
      </c>
      <c r="Z241" s="2"/>
      <c r="AA241" s="2"/>
      <c r="AB241" s="2"/>
      <c r="AC241" s="2" t="s">
        <v>2</v>
      </c>
      <c r="AD241" s="2"/>
      <c r="AE241" s="2"/>
      <c r="AF241" s="2"/>
      <c r="AG241" s="2"/>
      <c r="AH241" s="2"/>
      <c r="AI241" s="2"/>
      <c r="AJ241" s="2"/>
      <c r="AK241" s="2" t="s">
        <v>1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>
      <c r="A242" s="2" t="str">
        <f t="shared" si="1"/>
        <v/>
      </c>
      <c r="B242" s="2" t="s">
        <v>43</v>
      </c>
      <c r="C242" s="2" t="s">
        <v>30</v>
      </c>
      <c r="D242" s="2" t="s">
        <v>45</v>
      </c>
      <c r="E242" s="2" t="s">
        <v>18</v>
      </c>
      <c r="F242" s="2" t="s">
        <v>33</v>
      </c>
      <c r="G242" s="2" t="s">
        <v>10</v>
      </c>
      <c r="H242" s="2" t="s">
        <v>32</v>
      </c>
      <c r="I242" s="2" t="s">
        <v>24</v>
      </c>
      <c r="J242" s="2" t="s">
        <v>29</v>
      </c>
      <c r="K242" s="2" t="s">
        <v>37</v>
      </c>
      <c r="L242" s="2" t="s">
        <v>34</v>
      </c>
      <c r="M242" s="2" t="s">
        <v>42</v>
      </c>
      <c r="N242" s="2" t="s">
        <v>27</v>
      </c>
      <c r="O242" s="2" t="s">
        <v>35</v>
      </c>
      <c r="P242" s="2" t="s">
        <v>26</v>
      </c>
      <c r="Q242" s="2" t="s">
        <v>44</v>
      </c>
      <c r="R242" s="2" t="s">
        <v>41</v>
      </c>
      <c r="S242" s="2" t="s">
        <v>40</v>
      </c>
      <c r="T242" s="2" t="s">
        <v>55</v>
      </c>
      <c r="U242" s="2" t="s">
        <v>53</v>
      </c>
      <c r="V242" s="2" t="s">
        <v>22</v>
      </c>
      <c r="W242" s="2" t="s">
        <v>38</v>
      </c>
      <c r="X242" s="2" t="s">
        <v>46</v>
      </c>
      <c r="Y242" s="2" t="s">
        <v>9</v>
      </c>
      <c r="Z242" s="2" t="s">
        <v>11</v>
      </c>
      <c r="AA242" s="2" t="s">
        <v>39</v>
      </c>
      <c r="AB242" s="2" t="s">
        <v>31</v>
      </c>
      <c r="AC242" s="2" t="s">
        <v>17</v>
      </c>
      <c r="AD242" s="2" t="s">
        <v>23</v>
      </c>
      <c r="AE242" s="2" t="s">
        <v>12</v>
      </c>
      <c r="AF242" s="2" t="s">
        <v>20</v>
      </c>
      <c r="AG242" s="2" t="s">
        <v>21</v>
      </c>
      <c r="AH242" s="2" t="s">
        <v>13</v>
      </c>
      <c r="AI242" s="2" t="s">
        <v>15</v>
      </c>
      <c r="AJ242" s="2" t="s">
        <v>28</v>
      </c>
      <c r="AK242" s="2" t="s">
        <v>14</v>
      </c>
      <c r="AL242" s="2" t="s">
        <v>25</v>
      </c>
      <c r="AM242" s="2"/>
      <c r="AN242" s="2"/>
      <c r="AO242" s="2"/>
      <c r="AP242" s="2"/>
      <c r="AQ242" s="2"/>
      <c r="AR242" s="2"/>
      <c r="AS242" s="2"/>
      <c r="AT242" s="2"/>
      <c r="AU242" s="2"/>
    </row>
    <row r="243">
      <c r="A243" s="2" t="str">
        <f t="shared" si="1"/>
        <v/>
      </c>
      <c r="B243" s="2" t="b">
        <v>1</v>
      </c>
      <c r="C243" s="2" t="b">
        <v>1</v>
      </c>
      <c r="D243" s="2" t="b">
        <v>1</v>
      </c>
      <c r="E243" s="2" t="b">
        <v>1</v>
      </c>
      <c r="F243" s="2" t="b">
        <v>1</v>
      </c>
      <c r="G243" s="2" t="b">
        <v>0</v>
      </c>
      <c r="H243" s="2" t="b">
        <v>1</v>
      </c>
      <c r="I243" s="2" t="b">
        <v>1</v>
      </c>
      <c r="J243" s="2" t="b">
        <v>1</v>
      </c>
      <c r="K243" s="2" t="b">
        <v>1</v>
      </c>
      <c r="L243" s="2" t="b">
        <v>1</v>
      </c>
      <c r="M243" s="2" t="b">
        <v>1</v>
      </c>
      <c r="N243" s="2" t="b">
        <v>1</v>
      </c>
      <c r="O243" s="2" t="b">
        <v>1</v>
      </c>
      <c r="P243" s="2" t="b">
        <v>1</v>
      </c>
      <c r="Q243" s="2" t="b">
        <v>1</v>
      </c>
      <c r="R243" s="2" t="b">
        <v>1</v>
      </c>
      <c r="S243" s="2" t="b">
        <v>1</v>
      </c>
      <c r="T243" s="2" t="b">
        <v>1</v>
      </c>
      <c r="U243" s="2" t="b">
        <v>1</v>
      </c>
      <c r="V243" s="2" t="b">
        <v>1</v>
      </c>
      <c r="W243" s="2" t="b">
        <v>0</v>
      </c>
      <c r="X243" s="2" t="b">
        <v>1</v>
      </c>
      <c r="Y243" s="2" t="b">
        <v>0</v>
      </c>
      <c r="Z243" s="2" t="b">
        <v>0</v>
      </c>
      <c r="AA243" s="2" t="b">
        <v>1</v>
      </c>
      <c r="AB243" s="2" t="b">
        <v>1</v>
      </c>
      <c r="AC243" s="2" t="b">
        <v>1</v>
      </c>
      <c r="AD243" s="2" t="b">
        <v>1</v>
      </c>
      <c r="AE243" s="2" t="b">
        <v>0</v>
      </c>
      <c r="AF243" s="2" t="b">
        <v>1</v>
      </c>
      <c r="AG243" s="2" t="b">
        <v>1</v>
      </c>
      <c r="AH243" s="2" t="b">
        <v>0</v>
      </c>
      <c r="AI243" s="2" t="b">
        <v>1</v>
      </c>
      <c r="AJ243" s="2" t="b">
        <v>1</v>
      </c>
      <c r="AK243" s="2" t="b">
        <v>1</v>
      </c>
      <c r="AL243" s="2" t="b">
        <v>0</v>
      </c>
      <c r="AM243" s="2"/>
      <c r="AN243" s="2" t="b">
        <v>0</v>
      </c>
      <c r="AO243" s="2" t="b">
        <v>0</v>
      </c>
      <c r="AP243" s="2" t="b">
        <v>0</v>
      </c>
      <c r="AQ243" s="2" t="b">
        <v>0</v>
      </c>
      <c r="AR243" s="2" t="b">
        <v>0</v>
      </c>
      <c r="AS243" s="2" t="b">
        <v>0</v>
      </c>
      <c r="AT243" s="2" t="b">
        <v>0</v>
      </c>
      <c r="AU243" s="2" t="b">
        <v>0</v>
      </c>
    </row>
    <row r="244">
      <c r="A244" s="2" t="str">
        <f t="shared" si="1"/>
        <v>X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>
        <v>4.0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 t="s">
        <v>47</v>
      </c>
      <c r="AN244" s="2"/>
      <c r="AO244" s="2"/>
      <c r="AP244" s="2"/>
      <c r="AQ244" s="2"/>
      <c r="AR244" s="2"/>
      <c r="AS244" s="2"/>
      <c r="AT244" s="2"/>
      <c r="AU244" s="2"/>
    </row>
    <row r="245">
      <c r="A245" s="2" t="str">
        <f t="shared" si="1"/>
        <v>M</v>
      </c>
      <c r="B245" s="2"/>
      <c r="C245" s="2"/>
      <c r="D245" s="2"/>
      <c r="E245" s="2"/>
      <c r="F245" s="2">
        <v>4.0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 t="s">
        <v>48</v>
      </c>
      <c r="AN245" s="2"/>
      <c r="AO245" s="2"/>
      <c r="AP245" s="2"/>
      <c r="AQ245" s="2"/>
      <c r="AR245" s="2"/>
      <c r="AS245" s="2"/>
      <c r="AT245" s="2"/>
      <c r="AU245" s="2"/>
    </row>
    <row r="246">
      <c r="A246" s="2" t="str">
        <f t="shared" si="1"/>
        <v>C</v>
      </c>
      <c r="B246" s="2">
        <v>4.0</v>
      </c>
      <c r="C246" s="2"/>
      <c r="D246" s="2"/>
      <c r="E246" s="2">
        <v>4.0</v>
      </c>
      <c r="F246" s="2"/>
      <c r="G246" s="2"/>
      <c r="H246" s="2"/>
      <c r="I246" s="2"/>
      <c r="J246" s="2"/>
      <c r="K246" s="2"/>
      <c r="L246" s="2"/>
      <c r="M246" s="2"/>
      <c r="N246" s="2">
        <v>4.0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 t="s">
        <v>49</v>
      </c>
      <c r="AN246" s="2"/>
      <c r="AO246" s="2"/>
      <c r="AP246" s="2"/>
      <c r="AQ246" s="2"/>
      <c r="AR246" s="2"/>
      <c r="AS246" s="2"/>
      <c r="AT246" s="2"/>
      <c r="AU246" s="2"/>
    </row>
    <row r="247">
      <c r="A247" s="2" t="str">
        <f t="shared" si="1"/>
        <v>E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>
        <v>4.0</v>
      </c>
      <c r="AD247" s="2"/>
      <c r="AE247" s="2"/>
      <c r="AF247" s="2"/>
      <c r="AG247" s="2"/>
      <c r="AH247" s="2"/>
      <c r="AI247" s="2"/>
      <c r="AJ247" s="2"/>
      <c r="AK247" s="2"/>
      <c r="AL247" s="2"/>
      <c r="AM247" s="2" t="s">
        <v>50</v>
      </c>
      <c r="AN247" s="2"/>
      <c r="AO247" s="2"/>
      <c r="AP247" s="2"/>
      <c r="AQ247" s="2"/>
      <c r="AR247" s="2"/>
      <c r="AS247" s="2"/>
      <c r="AT247" s="2"/>
      <c r="AU247" s="2"/>
    </row>
    <row r="248">
      <c r="A248" s="2" t="str">
        <f t="shared" si="1"/>
        <v>B</v>
      </c>
      <c r="B248" s="2"/>
      <c r="C248" s="2"/>
      <c r="D248" s="2"/>
      <c r="E248" s="2">
        <v>4.0</v>
      </c>
      <c r="F248" s="2"/>
      <c r="G248" s="2"/>
      <c r="H248" s="2">
        <v>4.0</v>
      </c>
      <c r="I248" s="2"/>
      <c r="J248" s="2">
        <v>4.0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 t="s">
        <v>51</v>
      </c>
      <c r="AN248" s="2"/>
      <c r="AO248" s="2"/>
      <c r="AP248" s="2"/>
      <c r="AQ248" s="2"/>
      <c r="AR248" s="2"/>
      <c r="AS248" s="2"/>
      <c r="AT248" s="2"/>
      <c r="AU248" s="2"/>
    </row>
    <row r="249">
      <c r="A249" s="2" t="str">
        <f t="shared" si="1"/>
        <v>P</v>
      </c>
      <c r="B249" s="2"/>
      <c r="C249" s="2"/>
      <c r="D249" s="2"/>
      <c r="E249" s="2"/>
      <c r="F249" s="2"/>
      <c r="G249" s="2"/>
      <c r="H249" s="2">
        <v>4.0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4.0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>
        <v>4.0</v>
      </c>
      <c r="AJ249" s="2"/>
      <c r="AK249" s="2"/>
      <c r="AL249" s="2"/>
      <c r="AM249" s="2" t="s">
        <v>52</v>
      </c>
      <c r="AN249" s="2"/>
      <c r="AO249" s="2"/>
      <c r="AP249" s="2"/>
      <c r="AQ249" s="2"/>
      <c r="AR249" s="2"/>
      <c r="AS249" s="2"/>
      <c r="AT249" s="2"/>
      <c r="AU249" s="2"/>
    </row>
    <row r="250">
      <c r="A250" s="2" t="str">
        <f t="shared" si="1"/>
        <v>X</v>
      </c>
      <c r="B250" s="2"/>
      <c r="C250" s="2"/>
      <c r="D250" s="2"/>
      <c r="E250" s="2">
        <v>4.0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>
        <v>4.0</v>
      </c>
      <c r="Y250" s="2"/>
      <c r="Z250" s="2"/>
      <c r="AA250" s="2"/>
      <c r="AB250" s="2">
        <v>4.0</v>
      </c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 t="s">
        <v>47</v>
      </c>
      <c r="AN250" s="2"/>
      <c r="AO250" s="2"/>
      <c r="AP250" s="2"/>
      <c r="AQ250" s="2"/>
      <c r="AR250" s="2"/>
      <c r="AS250" s="2"/>
      <c r="AT250" s="2"/>
      <c r="AU250" s="2"/>
    </row>
    <row r="251">
      <c r="A251" s="2" t="str">
        <f t="shared" si="1"/>
        <v>M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 t="s">
        <v>48</v>
      </c>
      <c r="AN251" s="2"/>
      <c r="AO251" s="2"/>
      <c r="AP251" s="2"/>
      <c r="AQ251" s="2"/>
      <c r="AR251" s="2"/>
      <c r="AS251" s="2"/>
      <c r="AT251" s="2"/>
      <c r="AU251" s="2"/>
    </row>
    <row r="252">
      <c r="A252" s="2" t="str">
        <f t="shared" si="1"/>
        <v>C</v>
      </c>
      <c r="B252" s="2"/>
      <c r="C252" s="2"/>
      <c r="D252" s="2"/>
      <c r="E252" s="2"/>
      <c r="F252" s="2"/>
      <c r="G252" s="2"/>
      <c r="H252" s="2"/>
      <c r="I252" s="2"/>
      <c r="J252" s="2"/>
      <c r="K252" s="2">
        <v>4.0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>
        <v>4.0</v>
      </c>
      <c r="AD252" s="2"/>
      <c r="AE252" s="2"/>
      <c r="AF252" s="2"/>
      <c r="AG252" s="2"/>
      <c r="AH252" s="2"/>
      <c r="AI252" s="2"/>
      <c r="AJ252" s="2"/>
      <c r="AK252" s="2"/>
      <c r="AL252" s="2"/>
      <c r="AM252" s="2" t="s">
        <v>49</v>
      </c>
      <c r="AN252" s="2"/>
      <c r="AO252" s="2"/>
      <c r="AP252" s="2"/>
      <c r="AQ252" s="2"/>
      <c r="AR252" s="2"/>
      <c r="AS252" s="2"/>
      <c r="AT252" s="2"/>
      <c r="AU252" s="2"/>
    </row>
    <row r="253">
      <c r="A253" s="2" t="str">
        <f t="shared" si="1"/>
        <v>E</v>
      </c>
      <c r="B253" s="2"/>
      <c r="C253" s="2"/>
      <c r="D253" s="2"/>
      <c r="E253" s="2">
        <v>4.0</v>
      </c>
      <c r="F253" s="2"/>
      <c r="G253" s="2"/>
      <c r="H253" s="2">
        <v>4.0</v>
      </c>
      <c r="I253" s="2"/>
      <c r="J253" s="2"/>
      <c r="K253" s="2"/>
      <c r="L253" s="2"/>
      <c r="M253" s="2"/>
      <c r="N253" s="2"/>
      <c r="O253" s="2"/>
      <c r="P253" s="2">
        <v>4.0</v>
      </c>
      <c r="Q253" s="2">
        <v>4.0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 t="s">
        <v>50</v>
      </c>
      <c r="AN253" s="2"/>
      <c r="AO253" s="2"/>
      <c r="AP253" s="2"/>
      <c r="AQ253" s="2"/>
      <c r="AR253" s="2"/>
      <c r="AS253" s="2"/>
      <c r="AT253" s="2"/>
      <c r="AU253" s="2"/>
    </row>
    <row r="254">
      <c r="A254" s="2" t="str">
        <f t="shared" si="1"/>
        <v>B</v>
      </c>
      <c r="B254" s="2"/>
      <c r="C254" s="2">
        <v>4.0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>
        <v>4.0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 t="s">
        <v>51</v>
      </c>
      <c r="AN254" s="2"/>
      <c r="AO254" s="2"/>
      <c r="AP254" s="2"/>
      <c r="AQ254" s="2"/>
      <c r="AR254" s="2"/>
      <c r="AS254" s="2"/>
      <c r="AT254" s="2"/>
      <c r="AU254" s="2"/>
    </row>
    <row r="255">
      <c r="A255" s="2" t="str">
        <f t="shared" si="1"/>
        <v>P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 t="s">
        <v>52</v>
      </c>
      <c r="AN255" s="2"/>
      <c r="AO255" s="2"/>
      <c r="AP255" s="2"/>
      <c r="AQ255" s="2"/>
      <c r="AR255" s="2"/>
      <c r="AS255" s="2"/>
      <c r="AT255" s="2"/>
      <c r="AU255" s="2"/>
    </row>
    <row r="256">
      <c r="A256" s="2" t="str">
        <f t="shared" si="1"/>
        <v/>
      </c>
      <c r="B256" s="2" t="b">
        <v>1</v>
      </c>
      <c r="C256" s="2" t="b">
        <v>1</v>
      </c>
      <c r="D256" s="2" t="b">
        <v>1</v>
      </c>
      <c r="E256" s="2" t="b">
        <v>1</v>
      </c>
      <c r="F256" s="2" t="b">
        <v>1</v>
      </c>
      <c r="G256" s="2" t="b">
        <v>0</v>
      </c>
      <c r="H256" s="2" t="b">
        <v>1</v>
      </c>
      <c r="I256" s="2" t="b">
        <v>1</v>
      </c>
      <c r="J256" s="2" t="b">
        <v>1</v>
      </c>
      <c r="K256" s="2" t="b">
        <v>1</v>
      </c>
      <c r="L256" s="2" t="b">
        <v>1</v>
      </c>
      <c r="M256" s="2" t="b">
        <v>1</v>
      </c>
      <c r="N256" s="2" t="b">
        <v>1</v>
      </c>
      <c r="O256" s="2" t="b">
        <v>1</v>
      </c>
      <c r="P256" s="2" t="b">
        <v>1</v>
      </c>
      <c r="Q256" s="2" t="b">
        <v>1</v>
      </c>
      <c r="R256" s="2" t="b">
        <v>1</v>
      </c>
      <c r="S256" s="2" t="b">
        <v>1</v>
      </c>
      <c r="T256" s="2" t="b">
        <v>1</v>
      </c>
      <c r="U256" s="2" t="b">
        <v>1</v>
      </c>
      <c r="V256" s="2" t="b">
        <v>1</v>
      </c>
      <c r="W256" s="2" t="b">
        <v>0</v>
      </c>
      <c r="X256" s="2" t="b">
        <v>1</v>
      </c>
      <c r="Y256" s="2" t="b">
        <v>0</v>
      </c>
      <c r="Z256" s="2" t="b">
        <v>0</v>
      </c>
      <c r="AA256" s="2" t="b">
        <v>1</v>
      </c>
      <c r="AB256" s="2" t="b">
        <v>1</v>
      </c>
      <c r="AC256" s="2" t="b">
        <v>1</v>
      </c>
      <c r="AD256" s="2" t="b">
        <v>1</v>
      </c>
      <c r="AE256" s="2" t="b">
        <v>0</v>
      </c>
      <c r="AF256" s="2" t="b">
        <v>1</v>
      </c>
      <c r="AG256" s="2" t="b">
        <v>1</v>
      </c>
      <c r="AH256" s="2" t="b">
        <v>0</v>
      </c>
      <c r="AI256" s="2" t="b">
        <v>1</v>
      </c>
      <c r="AJ256" s="2" t="b">
        <v>1</v>
      </c>
      <c r="AK256" s="2" t="b">
        <v>1</v>
      </c>
      <c r="AL256" s="2" t="b">
        <v>0</v>
      </c>
      <c r="AM256" s="2"/>
      <c r="AN256" s="2" t="b">
        <v>0</v>
      </c>
      <c r="AO256" s="2" t="b">
        <v>0</v>
      </c>
      <c r="AP256" s="2" t="b">
        <v>0</v>
      </c>
      <c r="AQ256" s="2" t="b">
        <v>0</v>
      </c>
      <c r="AR256" s="2" t="b">
        <v>0</v>
      </c>
      <c r="AS256" s="2" t="b">
        <v>0</v>
      </c>
      <c r="AT256" s="2" t="b">
        <v>0</v>
      </c>
      <c r="AU256" s="2" t="b">
        <v>0</v>
      </c>
    </row>
    <row r="257">
      <c r="A257" s="2" t="str">
        <f t="shared" si="1"/>
        <v>X</v>
      </c>
      <c r="B257" s="2"/>
      <c r="C257" s="2"/>
      <c r="D257" s="2"/>
      <c r="E257" s="2">
        <v>4.0</v>
      </c>
      <c r="F257" s="2"/>
      <c r="G257" s="2"/>
      <c r="H257" s="2"/>
      <c r="I257" s="2"/>
      <c r="J257" s="2"/>
      <c r="K257" s="2"/>
      <c r="L257" s="2"/>
      <c r="M257" s="2"/>
      <c r="N257" s="2">
        <v>-4.0</v>
      </c>
      <c r="O257" s="2"/>
      <c r="P257" s="2"/>
      <c r="Q257" s="2"/>
      <c r="R257" s="2"/>
      <c r="S257" s="2"/>
      <c r="T257" s="2">
        <v>4.0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 t="s">
        <v>47</v>
      </c>
      <c r="AN257" s="2"/>
      <c r="AO257" s="2"/>
      <c r="AP257" s="2"/>
      <c r="AQ257" s="2"/>
      <c r="AR257" s="2"/>
      <c r="AS257" s="2"/>
      <c r="AT257" s="2"/>
      <c r="AU257" s="2"/>
    </row>
    <row r="258">
      <c r="A258" s="2" t="str">
        <f t="shared" si="1"/>
        <v>M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 t="s">
        <v>48</v>
      </c>
      <c r="AN258" s="2"/>
      <c r="AO258" s="2"/>
      <c r="AP258" s="2"/>
      <c r="AQ258" s="2"/>
      <c r="AR258" s="2"/>
      <c r="AS258" s="2"/>
      <c r="AT258" s="2"/>
      <c r="AU258" s="2"/>
    </row>
    <row r="259">
      <c r="A259" s="2" t="str">
        <f t="shared" si="1"/>
        <v>C</v>
      </c>
      <c r="B259" s="2"/>
      <c r="C259" s="2"/>
      <c r="D259" s="2"/>
      <c r="E259" s="2"/>
      <c r="F259" s="2"/>
      <c r="G259" s="2"/>
      <c r="H259" s="2">
        <v>4.0</v>
      </c>
      <c r="I259" s="2"/>
      <c r="J259" s="2">
        <v>4.0</v>
      </c>
      <c r="K259" s="2">
        <v>4.0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>
        <v>4.0</v>
      </c>
      <c r="AD259" s="2"/>
      <c r="AE259" s="2"/>
      <c r="AF259" s="2"/>
      <c r="AG259" s="2"/>
      <c r="AH259" s="2"/>
      <c r="AI259" s="2"/>
      <c r="AJ259" s="2"/>
      <c r="AK259" s="2"/>
      <c r="AL259" s="2"/>
      <c r="AM259" s="2" t="s">
        <v>49</v>
      </c>
      <c r="AN259" s="2"/>
      <c r="AO259" s="2"/>
      <c r="AP259" s="2"/>
      <c r="AQ259" s="2"/>
      <c r="AR259" s="2"/>
      <c r="AS259" s="2"/>
      <c r="AT259" s="2"/>
      <c r="AU259" s="2"/>
    </row>
    <row r="260">
      <c r="A260" s="2" t="str">
        <f t="shared" si="1"/>
        <v>E</v>
      </c>
      <c r="B260" s="2">
        <v>4.0</v>
      </c>
      <c r="C260" s="2"/>
      <c r="D260" s="2"/>
      <c r="E260" s="2"/>
      <c r="F260" s="2"/>
      <c r="G260" s="2"/>
      <c r="H260" s="2">
        <v>4.0</v>
      </c>
      <c r="I260" s="2"/>
      <c r="J260" s="2"/>
      <c r="K260" s="2"/>
      <c r="L260" s="2"/>
      <c r="M260" s="2"/>
      <c r="N260" s="2">
        <v>4.0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>
        <v>4.0</v>
      </c>
      <c r="AD260" s="2"/>
      <c r="AE260" s="2"/>
      <c r="AF260" s="2"/>
      <c r="AG260" s="2"/>
      <c r="AH260" s="2"/>
      <c r="AI260" s="2"/>
      <c r="AJ260" s="2"/>
      <c r="AK260" s="2"/>
      <c r="AL260" s="2"/>
      <c r="AM260" s="2" t="s">
        <v>50</v>
      </c>
      <c r="AN260" s="2"/>
      <c r="AO260" s="2"/>
      <c r="AP260" s="2"/>
      <c r="AQ260" s="2"/>
      <c r="AR260" s="2"/>
      <c r="AS260" s="2"/>
      <c r="AT260" s="2"/>
      <c r="AU260" s="2"/>
    </row>
    <row r="261">
      <c r="A261" s="2" t="str">
        <f t="shared" si="1"/>
        <v>B</v>
      </c>
      <c r="B261" s="2">
        <v>4.0</v>
      </c>
      <c r="C261" s="2"/>
      <c r="D261" s="2"/>
      <c r="E261" s="2">
        <v>4.0</v>
      </c>
      <c r="F261" s="2">
        <v>4.0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 t="s">
        <v>51</v>
      </c>
      <c r="AN261" s="2"/>
      <c r="AO261" s="2"/>
      <c r="AP261" s="2"/>
      <c r="AQ261" s="2"/>
      <c r="AR261" s="2"/>
      <c r="AS261" s="2"/>
      <c r="AT261" s="2"/>
      <c r="AU261" s="2"/>
    </row>
    <row r="262">
      <c r="A262" s="2" t="str">
        <f t="shared" si="1"/>
        <v>P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>
        <v>4.0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>
        <v>4.0</v>
      </c>
      <c r="AG262" s="2"/>
      <c r="AH262" s="2"/>
      <c r="AI262" s="2"/>
      <c r="AJ262" s="2"/>
      <c r="AK262" s="2"/>
      <c r="AL262" s="2"/>
      <c r="AM262" s="2" t="s">
        <v>52</v>
      </c>
      <c r="AN262" s="2"/>
      <c r="AO262" s="2"/>
      <c r="AP262" s="2"/>
      <c r="AQ262" s="2"/>
      <c r="AR262" s="2"/>
      <c r="AS262" s="2"/>
      <c r="AT262" s="2"/>
      <c r="AU262" s="2"/>
    </row>
    <row r="263">
      <c r="A263" s="2" t="str">
        <f t="shared" si="1"/>
        <v>X</v>
      </c>
      <c r="B263" s="2"/>
      <c r="C263" s="2"/>
      <c r="D263" s="2"/>
      <c r="E263" s="2">
        <v>4.0</v>
      </c>
      <c r="F263" s="2"/>
      <c r="G263" s="2"/>
      <c r="H263" s="2">
        <v>4.0</v>
      </c>
      <c r="I263" s="2"/>
      <c r="J263" s="2"/>
      <c r="K263" s="2">
        <v>4.0</v>
      </c>
      <c r="L263" s="2"/>
      <c r="M263" s="2"/>
      <c r="N263" s="2"/>
      <c r="O263" s="2"/>
      <c r="P263" s="2"/>
      <c r="Q263" s="2">
        <v>-4.0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 t="s">
        <v>47</v>
      </c>
      <c r="AN263" s="2"/>
      <c r="AO263" s="2"/>
      <c r="AP263" s="2"/>
      <c r="AQ263" s="2"/>
      <c r="AR263" s="2"/>
      <c r="AS263" s="2"/>
      <c r="AT263" s="2"/>
      <c r="AU263" s="2"/>
    </row>
    <row r="264">
      <c r="A264" s="2" t="str">
        <f t="shared" si="1"/>
        <v>M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>
        <v>4.0</v>
      </c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 t="s">
        <v>48</v>
      </c>
      <c r="AN264" s="2"/>
      <c r="AO264" s="2"/>
      <c r="AP264" s="2"/>
      <c r="AQ264" s="2"/>
      <c r="AR264" s="2"/>
      <c r="AS264" s="2"/>
      <c r="AT264" s="2"/>
      <c r="AU264" s="2"/>
    </row>
    <row r="265">
      <c r="A265" s="2" t="str">
        <f t="shared" si="1"/>
        <v>C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>
        <v>4.0</v>
      </c>
      <c r="AC265" s="2">
        <v>4.0</v>
      </c>
      <c r="AD265" s="2"/>
      <c r="AE265" s="2"/>
      <c r="AF265" s="2"/>
      <c r="AG265" s="2"/>
      <c r="AH265" s="2"/>
      <c r="AI265" s="2"/>
      <c r="AJ265" s="2"/>
      <c r="AK265" s="2"/>
      <c r="AL265" s="2"/>
      <c r="AM265" s="2" t="s">
        <v>49</v>
      </c>
      <c r="AN265" s="2"/>
      <c r="AO265" s="2"/>
      <c r="AP265" s="2"/>
      <c r="AQ265" s="2"/>
      <c r="AR265" s="2"/>
      <c r="AS265" s="2"/>
      <c r="AT265" s="2"/>
      <c r="AU265" s="2"/>
    </row>
    <row r="266">
      <c r="A266" s="2" t="str">
        <f t="shared" si="1"/>
        <v>E</v>
      </c>
      <c r="B266" s="2">
        <v>4.0</v>
      </c>
      <c r="C266" s="2"/>
      <c r="D266" s="2"/>
      <c r="E266" s="2">
        <v>4.0</v>
      </c>
      <c r="F266" s="2"/>
      <c r="G266" s="2"/>
      <c r="H266" s="2">
        <v>4.0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>
        <v>4.0</v>
      </c>
      <c r="AK266" s="2"/>
      <c r="AL266" s="2"/>
      <c r="AM266" s="2" t="s">
        <v>50</v>
      </c>
      <c r="AN266" s="2"/>
      <c r="AO266" s="2"/>
      <c r="AP266" s="2"/>
      <c r="AQ266" s="2"/>
      <c r="AR266" s="2"/>
      <c r="AS266" s="2"/>
      <c r="AT266" s="2"/>
      <c r="AU266" s="2"/>
    </row>
    <row r="267">
      <c r="A267" s="2" t="str">
        <f t="shared" si="1"/>
        <v>B</v>
      </c>
      <c r="B267" s="2"/>
      <c r="C267" s="2"/>
      <c r="D267" s="2"/>
      <c r="E267" s="2">
        <v>4.0</v>
      </c>
      <c r="F267" s="2"/>
      <c r="G267" s="2"/>
      <c r="H267" s="2"/>
      <c r="I267" s="2">
        <v>4.0</v>
      </c>
      <c r="J267" s="2"/>
      <c r="K267" s="2">
        <v>4.0</v>
      </c>
      <c r="L267" s="2"/>
      <c r="M267" s="2">
        <v>4.0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 t="s">
        <v>51</v>
      </c>
      <c r="AN267" s="2"/>
      <c r="AO267" s="2"/>
      <c r="AP267" s="2"/>
      <c r="AQ267" s="2"/>
      <c r="AR267" s="2"/>
      <c r="AS267" s="2"/>
      <c r="AT267" s="2"/>
      <c r="AU267" s="2"/>
    </row>
    <row r="268">
      <c r="A268" s="2" t="str">
        <f t="shared" si="1"/>
        <v>P</v>
      </c>
      <c r="B268" s="2"/>
      <c r="C268" s="2"/>
      <c r="D268" s="2"/>
      <c r="E268" s="2">
        <v>4.0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>
        <v>4.0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>
        <v>4.0</v>
      </c>
      <c r="AE268" s="2"/>
      <c r="AF268" s="2"/>
      <c r="AG268" s="2"/>
      <c r="AH268" s="2"/>
      <c r="AI268" s="2"/>
      <c r="AJ268" s="2"/>
      <c r="AK268" s="2"/>
      <c r="AL268" s="2"/>
      <c r="AM268" s="2" t="s">
        <v>52</v>
      </c>
      <c r="AN268" s="2"/>
      <c r="AO268" s="2"/>
      <c r="AP268" s="2"/>
      <c r="AQ268" s="2"/>
      <c r="AR268" s="2"/>
      <c r="AS268" s="2"/>
      <c r="AT268" s="2"/>
      <c r="AU268" s="2"/>
    </row>
    <row r="269">
      <c r="A269" s="2" t="str">
        <f t="shared" si="1"/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>
      <c r="A270" s="2" t="str">
        <f t="shared" si="1"/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>
      <c r="A271" s="2" t="str">
        <f t="shared" si="1"/>
        <v/>
      </c>
      <c r="B271" s="2" t="str">
        <f t="array" ref="B271:AU300">transpose(sort(transpose(All!A271:AT300),2,true))</f>
        <v>Cupertino A</v>
      </c>
      <c r="C271" s="2" t="s">
        <v>5</v>
      </c>
      <c r="D271" s="2"/>
      <c r="E271" s="2"/>
      <c r="F271" s="2"/>
      <c r="G271" s="2"/>
      <c r="H271" s="2"/>
      <c r="I271" s="2"/>
      <c r="J271" s="2"/>
      <c r="K271" s="2"/>
      <c r="L271" s="2"/>
      <c r="M271" s="2" t="s">
        <v>7</v>
      </c>
      <c r="N271" s="2"/>
      <c r="O271" s="2"/>
      <c r="P271" s="2" t="s">
        <v>4</v>
      </c>
      <c r="Q271" s="2"/>
      <c r="R271" s="2"/>
      <c r="S271" s="2"/>
      <c r="T271" s="2" t="s">
        <v>6</v>
      </c>
      <c r="U271" s="2"/>
      <c r="V271" s="2" t="s">
        <v>3</v>
      </c>
      <c r="W271" s="2"/>
      <c r="X271" s="2"/>
      <c r="Y271" s="2" t="s">
        <v>0</v>
      </c>
      <c r="Z271" s="2"/>
      <c r="AA271" s="2"/>
      <c r="AB271" s="2"/>
      <c r="AC271" s="2" t="s">
        <v>2</v>
      </c>
      <c r="AD271" s="2"/>
      <c r="AE271" s="2"/>
      <c r="AF271" s="2"/>
      <c r="AG271" s="2"/>
      <c r="AH271" s="2"/>
      <c r="AI271" s="2"/>
      <c r="AJ271" s="2"/>
      <c r="AK271" s="2" t="s">
        <v>1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>
      <c r="A272" s="2" t="str">
        <f t="shared" si="1"/>
        <v/>
      </c>
      <c r="B272" s="2" t="s">
        <v>43</v>
      </c>
      <c r="C272" s="2" t="s">
        <v>30</v>
      </c>
      <c r="D272" s="2" t="s">
        <v>45</v>
      </c>
      <c r="E272" s="2" t="s">
        <v>18</v>
      </c>
      <c r="F272" s="2" t="s">
        <v>33</v>
      </c>
      <c r="G272" s="2" t="s">
        <v>10</v>
      </c>
      <c r="H272" s="2" t="s">
        <v>32</v>
      </c>
      <c r="I272" s="2" t="s">
        <v>24</v>
      </c>
      <c r="J272" s="2" t="s">
        <v>29</v>
      </c>
      <c r="K272" s="2" t="s">
        <v>37</v>
      </c>
      <c r="L272" s="2" t="s">
        <v>34</v>
      </c>
      <c r="M272" s="2" t="s">
        <v>42</v>
      </c>
      <c r="N272" s="2" t="s">
        <v>27</v>
      </c>
      <c r="O272" s="2" t="s">
        <v>35</v>
      </c>
      <c r="P272" s="2" t="s">
        <v>26</v>
      </c>
      <c r="Q272" s="2" t="s">
        <v>44</v>
      </c>
      <c r="R272" s="2" t="s">
        <v>41</v>
      </c>
      <c r="S272" s="2" t="s">
        <v>40</v>
      </c>
      <c r="T272" s="2" t="s">
        <v>55</v>
      </c>
      <c r="U272" s="2" t="s">
        <v>53</v>
      </c>
      <c r="V272" s="2" t="s">
        <v>22</v>
      </c>
      <c r="W272" s="2" t="s">
        <v>38</v>
      </c>
      <c r="X272" s="2" t="s">
        <v>46</v>
      </c>
      <c r="Y272" s="2" t="s">
        <v>9</v>
      </c>
      <c r="Z272" s="2" t="s">
        <v>11</v>
      </c>
      <c r="AA272" s="2" t="s">
        <v>39</v>
      </c>
      <c r="AB272" s="2" t="s">
        <v>31</v>
      </c>
      <c r="AC272" s="2" t="s">
        <v>17</v>
      </c>
      <c r="AD272" s="2" t="s">
        <v>23</v>
      </c>
      <c r="AE272" s="2" t="s">
        <v>12</v>
      </c>
      <c r="AF272" s="2" t="s">
        <v>20</v>
      </c>
      <c r="AG272" s="2" t="s">
        <v>21</v>
      </c>
      <c r="AH272" s="2" t="s">
        <v>13</v>
      </c>
      <c r="AI272" s="2" t="s">
        <v>15</v>
      </c>
      <c r="AJ272" s="2" t="s">
        <v>28</v>
      </c>
      <c r="AK272" s="2" t="s">
        <v>14</v>
      </c>
      <c r="AL272" s="2" t="s">
        <v>25</v>
      </c>
      <c r="AM272" s="2"/>
      <c r="AN272" s="2"/>
      <c r="AO272" s="2"/>
      <c r="AP272" s="2"/>
      <c r="AQ272" s="2"/>
      <c r="AR272" s="2"/>
      <c r="AS272" s="2"/>
      <c r="AT272" s="2"/>
      <c r="AU272" s="2"/>
    </row>
    <row r="273">
      <c r="A273" s="2" t="str">
        <f t="shared" si="1"/>
        <v/>
      </c>
      <c r="B273" s="2" t="b">
        <v>0</v>
      </c>
      <c r="C273" s="2" t="b">
        <v>1</v>
      </c>
      <c r="D273" s="2" t="b">
        <v>0</v>
      </c>
      <c r="E273" s="2" t="b">
        <v>1</v>
      </c>
      <c r="F273" s="2" t="b">
        <v>1</v>
      </c>
      <c r="G273" s="2" t="b">
        <v>0</v>
      </c>
      <c r="H273" s="2" t="b">
        <v>1</v>
      </c>
      <c r="I273" s="2" t="b">
        <v>0</v>
      </c>
      <c r="J273" s="2" t="b">
        <v>0</v>
      </c>
      <c r="K273" s="2" t="b">
        <v>0</v>
      </c>
      <c r="L273" s="2" t="b">
        <v>0</v>
      </c>
      <c r="M273" s="2" t="b">
        <v>0</v>
      </c>
      <c r="N273" s="2" t="b">
        <v>0</v>
      </c>
      <c r="O273" s="2" t="b">
        <v>0</v>
      </c>
      <c r="P273" s="2" t="b">
        <v>0</v>
      </c>
      <c r="Q273" s="2" t="b">
        <v>0</v>
      </c>
      <c r="R273" s="2" t="b">
        <v>0</v>
      </c>
      <c r="S273" s="2" t="b">
        <v>0</v>
      </c>
      <c r="T273" s="2" t="b">
        <v>0</v>
      </c>
      <c r="U273" s="2" t="b">
        <v>0</v>
      </c>
      <c r="V273" s="2" t="b">
        <v>0</v>
      </c>
      <c r="W273" s="2" t="b">
        <v>0</v>
      </c>
      <c r="X273" s="2" t="b">
        <v>0</v>
      </c>
      <c r="Y273" s="2" t="b">
        <v>0</v>
      </c>
      <c r="Z273" s="2" t="b">
        <v>0</v>
      </c>
      <c r="AA273" s="2" t="b">
        <v>0</v>
      </c>
      <c r="AB273" s="2" t="b">
        <v>1</v>
      </c>
      <c r="AC273" s="2" t="b">
        <v>1</v>
      </c>
      <c r="AD273" s="2" t="b">
        <v>0</v>
      </c>
      <c r="AE273" s="2" t="b">
        <v>0</v>
      </c>
      <c r="AF273" s="2" t="b">
        <v>1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  <c r="AL273" s="2" t="b">
        <v>0</v>
      </c>
      <c r="AM273" s="2"/>
      <c r="AN273" s="2" t="b">
        <v>0</v>
      </c>
      <c r="AO273" s="2" t="b">
        <v>0</v>
      </c>
      <c r="AP273" s="2" t="b">
        <v>0</v>
      </c>
      <c r="AQ273" s="2" t="b">
        <v>0</v>
      </c>
      <c r="AR273" s="2" t="b">
        <v>0</v>
      </c>
      <c r="AS273" s="2" t="b">
        <v>0</v>
      </c>
      <c r="AT273" s="2" t="b">
        <v>0</v>
      </c>
      <c r="AU273" s="2" t="b">
        <v>0</v>
      </c>
    </row>
    <row r="274">
      <c r="A274" s="2" t="str">
        <f t="shared" si="1"/>
        <v>X</v>
      </c>
      <c r="B274" s="2"/>
      <c r="C274" s="2"/>
      <c r="D274" s="2"/>
      <c r="E274" s="2"/>
      <c r="F274" s="2">
        <v>4.0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 t="s">
        <v>47</v>
      </c>
      <c r="AN274" s="2"/>
      <c r="AO274" s="2"/>
      <c r="AP274" s="2"/>
      <c r="AQ274" s="2"/>
      <c r="AR274" s="2"/>
      <c r="AS274" s="2"/>
      <c r="AT274" s="2"/>
      <c r="AU274" s="2"/>
    </row>
    <row r="275">
      <c r="A275" s="2" t="str">
        <f t="shared" si="1"/>
        <v>M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>
        <v>4.0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 t="s">
        <v>48</v>
      </c>
      <c r="AN275" s="2"/>
      <c r="AO275" s="2"/>
      <c r="AP275" s="2"/>
      <c r="AQ275" s="2"/>
      <c r="AR275" s="2"/>
      <c r="AS275" s="2"/>
      <c r="AT275" s="2"/>
      <c r="AU275" s="2"/>
    </row>
    <row r="276">
      <c r="A276" s="2" t="str">
        <f t="shared" si="1"/>
        <v>C</v>
      </c>
      <c r="B276" s="2"/>
      <c r="C276" s="2"/>
      <c r="D276" s="2"/>
      <c r="E276" s="2">
        <v>4.0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 t="s">
        <v>49</v>
      </c>
      <c r="AN276" s="2"/>
      <c r="AO276" s="2"/>
      <c r="AP276" s="2"/>
      <c r="AQ276" s="2"/>
      <c r="AR276" s="2"/>
      <c r="AS276" s="2"/>
      <c r="AT276" s="2"/>
      <c r="AU276" s="2"/>
    </row>
    <row r="277">
      <c r="A277" s="2" t="str">
        <f t="shared" si="1"/>
        <v>E</v>
      </c>
      <c r="B277" s="2"/>
      <c r="C277" s="2"/>
      <c r="D277" s="2"/>
      <c r="E277" s="2">
        <v>-4.0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 t="s">
        <v>50</v>
      </c>
      <c r="AN277" s="2"/>
      <c r="AO277" s="2"/>
      <c r="AP277" s="2"/>
      <c r="AQ277" s="2"/>
      <c r="AR277" s="2"/>
      <c r="AS277" s="2"/>
      <c r="AT277" s="2"/>
      <c r="AU277" s="2"/>
    </row>
    <row r="278">
      <c r="A278" s="2" t="str">
        <f t="shared" si="1"/>
        <v>B</v>
      </c>
      <c r="B278" s="2"/>
      <c r="C278" s="2"/>
      <c r="D278" s="2"/>
      <c r="E278" s="2">
        <v>4.0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 t="s">
        <v>51</v>
      </c>
      <c r="AN278" s="2"/>
      <c r="AO278" s="2"/>
      <c r="AP278" s="2"/>
      <c r="AQ278" s="2"/>
      <c r="AR278" s="2"/>
      <c r="AS278" s="2"/>
      <c r="AT278" s="2"/>
      <c r="AU278" s="2"/>
    </row>
    <row r="279">
      <c r="A279" s="2" t="str">
        <f t="shared" si="1"/>
        <v>P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>
        <v>4.0</v>
      </c>
      <c r="AH279" s="2"/>
      <c r="AI279" s="2"/>
      <c r="AJ279" s="2"/>
      <c r="AK279" s="2"/>
      <c r="AL279" s="2"/>
      <c r="AM279" s="2" t="s">
        <v>52</v>
      </c>
      <c r="AN279" s="2"/>
      <c r="AO279" s="2"/>
      <c r="AP279" s="2"/>
      <c r="AQ279" s="2"/>
      <c r="AR279" s="2"/>
      <c r="AS279" s="2"/>
      <c r="AT279" s="2"/>
      <c r="AU279" s="2"/>
    </row>
    <row r="280">
      <c r="A280" s="2" t="str">
        <f t="shared" si="1"/>
        <v>X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 t="s">
        <v>47</v>
      </c>
      <c r="AN280" s="2"/>
      <c r="AO280" s="2"/>
      <c r="AP280" s="2"/>
      <c r="AQ280" s="2"/>
      <c r="AR280" s="2"/>
      <c r="AS280" s="2"/>
      <c r="AT280" s="2"/>
      <c r="AU280" s="2"/>
    </row>
    <row r="281">
      <c r="A281" s="2" t="str">
        <f t="shared" si="1"/>
        <v>M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>
        <v>4.0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 t="s">
        <v>48</v>
      </c>
      <c r="AN281" s="2"/>
      <c r="AO281" s="2"/>
      <c r="AP281" s="2"/>
      <c r="AQ281" s="2"/>
      <c r="AR281" s="2"/>
      <c r="AS281" s="2"/>
      <c r="AT281" s="2"/>
      <c r="AU281" s="2"/>
    </row>
    <row r="282">
      <c r="A282" s="2" t="str">
        <f t="shared" si="1"/>
        <v>C</v>
      </c>
      <c r="B282" s="2"/>
      <c r="C282" s="2"/>
      <c r="D282" s="2"/>
      <c r="E282" s="2">
        <v>4.0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 t="s">
        <v>49</v>
      </c>
      <c r="AN282" s="2"/>
      <c r="AO282" s="2"/>
      <c r="AP282" s="2"/>
      <c r="AQ282" s="2"/>
      <c r="AR282" s="2"/>
      <c r="AS282" s="2"/>
      <c r="AT282" s="2"/>
      <c r="AU282" s="2"/>
    </row>
    <row r="283">
      <c r="A283" s="2" t="str">
        <f t="shared" si="1"/>
        <v>E</v>
      </c>
      <c r="B283" s="2"/>
      <c r="C283" s="2"/>
      <c r="D283" s="2"/>
      <c r="E283" s="2"/>
      <c r="F283" s="2"/>
      <c r="G283" s="2"/>
      <c r="H283" s="2">
        <v>4.0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 t="s">
        <v>50</v>
      </c>
      <c r="AN283" s="2"/>
      <c r="AO283" s="2"/>
      <c r="AP283" s="2"/>
      <c r="AQ283" s="2"/>
      <c r="AR283" s="2"/>
      <c r="AS283" s="2"/>
      <c r="AT283" s="2"/>
      <c r="AU283" s="2"/>
    </row>
    <row r="284">
      <c r="A284" s="2" t="str">
        <f t="shared" si="1"/>
        <v>B</v>
      </c>
      <c r="B284" s="2"/>
      <c r="C284" s="2"/>
      <c r="D284" s="2"/>
      <c r="E284" s="2">
        <v>4.0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 t="s">
        <v>51</v>
      </c>
      <c r="AN284" s="2"/>
      <c r="AO284" s="2"/>
      <c r="AP284" s="2"/>
      <c r="AQ284" s="2"/>
      <c r="AR284" s="2"/>
      <c r="AS284" s="2"/>
      <c r="AT284" s="2"/>
      <c r="AU284" s="2"/>
    </row>
    <row r="285">
      <c r="A285" s="2" t="str">
        <f t="shared" si="1"/>
        <v>P</v>
      </c>
      <c r="B285" s="2"/>
      <c r="C285" s="2"/>
      <c r="D285" s="2"/>
      <c r="E285" s="2"/>
      <c r="F285" s="2">
        <v>4.0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>
        <v>-4.0</v>
      </c>
      <c r="AH285" s="2"/>
      <c r="AI285" s="2"/>
      <c r="AJ285" s="2"/>
      <c r="AK285" s="2"/>
      <c r="AL285" s="2"/>
      <c r="AM285" s="2" t="s">
        <v>52</v>
      </c>
      <c r="AN285" s="2"/>
      <c r="AO285" s="2"/>
      <c r="AP285" s="2"/>
      <c r="AQ285" s="2"/>
      <c r="AR285" s="2"/>
      <c r="AS285" s="2"/>
      <c r="AT285" s="2"/>
      <c r="AU285" s="2"/>
    </row>
    <row r="286">
      <c r="A286" s="2" t="str">
        <f t="shared" si="1"/>
        <v/>
      </c>
      <c r="B286" s="2" t="b">
        <v>0</v>
      </c>
      <c r="C286" s="2" t="b">
        <v>1</v>
      </c>
      <c r="D286" s="2" t="b">
        <v>0</v>
      </c>
      <c r="E286" s="2" t="b">
        <v>1</v>
      </c>
      <c r="F286" s="2" t="b">
        <v>1</v>
      </c>
      <c r="G286" s="2" t="b">
        <v>0</v>
      </c>
      <c r="H286" s="2" t="b">
        <v>1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  <c r="O286" s="2" t="b">
        <v>0</v>
      </c>
      <c r="P286" s="2" t="b">
        <v>0</v>
      </c>
      <c r="Q286" s="2" t="b">
        <v>0</v>
      </c>
      <c r="R286" s="2" t="b">
        <v>0</v>
      </c>
      <c r="S286" s="2" t="b">
        <v>0</v>
      </c>
      <c r="T286" s="2" t="b">
        <v>0</v>
      </c>
      <c r="U286" s="2" t="b">
        <v>0</v>
      </c>
      <c r="V286" s="2" t="b">
        <v>0</v>
      </c>
      <c r="W286" s="2" t="b">
        <v>0</v>
      </c>
      <c r="X286" s="2" t="b">
        <v>0</v>
      </c>
      <c r="Y286" s="2" t="b">
        <v>0</v>
      </c>
      <c r="Z286" s="2" t="b">
        <v>0</v>
      </c>
      <c r="AA286" s="2" t="b">
        <v>0</v>
      </c>
      <c r="AB286" s="2" t="b">
        <v>1</v>
      </c>
      <c r="AC286" s="2" t="b">
        <v>1</v>
      </c>
      <c r="AD286" s="2" t="b">
        <v>0</v>
      </c>
      <c r="AE286" s="2" t="b">
        <v>0</v>
      </c>
      <c r="AF286" s="2" t="b">
        <v>1</v>
      </c>
      <c r="AG286" s="2" t="b">
        <v>1</v>
      </c>
      <c r="AH286" s="2" t="b">
        <v>0</v>
      </c>
      <c r="AI286" s="2" t="b">
        <v>0</v>
      </c>
      <c r="AJ286" s="2" t="b">
        <v>0</v>
      </c>
      <c r="AK286" s="2" t="b">
        <v>0</v>
      </c>
      <c r="AL286" s="2" t="b">
        <v>0</v>
      </c>
      <c r="AM286" s="2"/>
      <c r="AN286" s="2" t="b">
        <v>0</v>
      </c>
      <c r="AO286" s="2" t="b">
        <v>0</v>
      </c>
      <c r="AP286" s="2" t="b">
        <v>0</v>
      </c>
      <c r="AQ286" s="2" t="b">
        <v>0</v>
      </c>
      <c r="AR286" s="2" t="b">
        <v>0</v>
      </c>
      <c r="AS286" s="2" t="b">
        <v>0</v>
      </c>
      <c r="AT286" s="2" t="b">
        <v>0</v>
      </c>
      <c r="AU286" s="2" t="b">
        <v>0</v>
      </c>
    </row>
    <row r="287">
      <c r="A287" s="2" t="str">
        <f t="shared" si="1"/>
        <v>X</v>
      </c>
      <c r="B287" s="2"/>
      <c r="C287" s="2"/>
      <c r="D287" s="2"/>
      <c r="E287" s="2">
        <v>-4.0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 t="s">
        <v>47</v>
      </c>
      <c r="AN287" s="2"/>
      <c r="AO287" s="2"/>
      <c r="AP287" s="2"/>
      <c r="AQ287" s="2"/>
      <c r="AR287" s="2"/>
      <c r="AS287" s="2"/>
      <c r="AT287" s="2"/>
      <c r="AU287" s="2"/>
    </row>
    <row r="288">
      <c r="A288" s="2" t="str">
        <f t="shared" si="1"/>
        <v>M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>
        <v>4.0</v>
      </c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 t="s">
        <v>48</v>
      </c>
      <c r="AN288" s="2"/>
      <c r="AO288" s="2"/>
      <c r="AP288" s="2"/>
      <c r="AQ288" s="2"/>
      <c r="AR288" s="2"/>
      <c r="AS288" s="2"/>
      <c r="AT288" s="2"/>
      <c r="AU288" s="2"/>
    </row>
    <row r="289">
      <c r="A289" s="2" t="str">
        <f t="shared" si="1"/>
        <v>C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>
        <v>-4.0</v>
      </c>
      <c r="AD289" s="2"/>
      <c r="AE289" s="2"/>
      <c r="AF289" s="2"/>
      <c r="AG289" s="2"/>
      <c r="AH289" s="2"/>
      <c r="AI289" s="2"/>
      <c r="AJ289" s="2"/>
      <c r="AK289" s="2"/>
      <c r="AL289" s="2"/>
      <c r="AM289" s="2" t="s">
        <v>49</v>
      </c>
      <c r="AN289" s="2"/>
      <c r="AO289" s="2"/>
      <c r="AP289" s="2"/>
      <c r="AQ289" s="2"/>
      <c r="AR289" s="2"/>
      <c r="AS289" s="2"/>
      <c r="AT289" s="2"/>
      <c r="AU289" s="2"/>
    </row>
    <row r="290">
      <c r="A290" s="2" t="str">
        <f t="shared" si="1"/>
        <v>E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>
        <v>4.0</v>
      </c>
      <c r="AD290" s="2"/>
      <c r="AE290" s="2"/>
      <c r="AF290" s="2"/>
      <c r="AG290" s="2"/>
      <c r="AH290" s="2"/>
      <c r="AI290" s="2"/>
      <c r="AJ290" s="2"/>
      <c r="AK290" s="2"/>
      <c r="AL290" s="2"/>
      <c r="AM290" s="2" t="s">
        <v>50</v>
      </c>
      <c r="AN290" s="2"/>
      <c r="AO290" s="2"/>
      <c r="AP290" s="2"/>
      <c r="AQ290" s="2"/>
      <c r="AR290" s="2"/>
      <c r="AS290" s="2"/>
      <c r="AT290" s="2"/>
      <c r="AU290" s="2"/>
    </row>
    <row r="291">
      <c r="A291" s="2" t="str">
        <f t="shared" si="1"/>
        <v>B</v>
      </c>
      <c r="B291" s="2"/>
      <c r="C291" s="2"/>
      <c r="D291" s="2"/>
      <c r="E291" s="2">
        <v>-4.0</v>
      </c>
      <c r="F291" s="2"/>
      <c r="G291" s="2"/>
      <c r="H291" s="2">
        <v>4.0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 t="s">
        <v>51</v>
      </c>
      <c r="AN291" s="2"/>
      <c r="AO291" s="2"/>
      <c r="AP291" s="2"/>
      <c r="AQ291" s="2"/>
      <c r="AR291" s="2"/>
      <c r="AS291" s="2"/>
      <c r="AT291" s="2"/>
      <c r="AU291" s="2"/>
    </row>
    <row r="292">
      <c r="A292" s="2" t="str">
        <f t="shared" si="1"/>
        <v>P</v>
      </c>
      <c r="B292" s="2"/>
      <c r="C292" s="2"/>
      <c r="D292" s="2"/>
      <c r="E292" s="2">
        <v>4.0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 t="s">
        <v>52</v>
      </c>
      <c r="AN292" s="2"/>
      <c r="AO292" s="2"/>
      <c r="AP292" s="2"/>
      <c r="AQ292" s="2"/>
      <c r="AR292" s="2"/>
      <c r="AS292" s="2"/>
      <c r="AT292" s="2"/>
      <c r="AU292" s="2"/>
    </row>
    <row r="293">
      <c r="A293" s="2" t="str">
        <f t="shared" si="1"/>
        <v>X</v>
      </c>
      <c r="B293" s="2"/>
      <c r="C293" s="2"/>
      <c r="D293" s="2"/>
      <c r="E293" s="2"/>
      <c r="F293" s="2">
        <v>4.0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 t="s">
        <v>47</v>
      </c>
      <c r="AN293" s="2"/>
      <c r="AO293" s="2"/>
      <c r="AP293" s="2"/>
      <c r="AQ293" s="2"/>
      <c r="AR293" s="2"/>
      <c r="AS293" s="2"/>
      <c r="AT293" s="2"/>
      <c r="AU293" s="2"/>
    </row>
    <row r="294">
      <c r="A294" s="2" t="str">
        <f t="shared" si="1"/>
        <v>M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>
        <v>4.0</v>
      </c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 t="s">
        <v>48</v>
      </c>
      <c r="AN294" s="2"/>
      <c r="AO294" s="2"/>
      <c r="AP294" s="2"/>
      <c r="AQ294" s="2"/>
      <c r="AR294" s="2"/>
      <c r="AS294" s="2"/>
      <c r="AT294" s="2"/>
      <c r="AU294" s="2"/>
    </row>
    <row r="295">
      <c r="A295" s="2" t="str">
        <f t="shared" si="1"/>
        <v>C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>
        <v>4.0</v>
      </c>
      <c r="AD295" s="2"/>
      <c r="AE295" s="2"/>
      <c r="AF295" s="2"/>
      <c r="AG295" s="2"/>
      <c r="AH295" s="2"/>
      <c r="AI295" s="2"/>
      <c r="AJ295" s="2"/>
      <c r="AK295" s="2"/>
      <c r="AL295" s="2"/>
      <c r="AM295" s="2" t="s">
        <v>49</v>
      </c>
      <c r="AN295" s="2"/>
      <c r="AO295" s="2"/>
      <c r="AP295" s="2"/>
      <c r="AQ295" s="2"/>
      <c r="AR295" s="2"/>
      <c r="AS295" s="2"/>
      <c r="AT295" s="2"/>
      <c r="AU295" s="2"/>
    </row>
    <row r="296">
      <c r="A296" s="2" t="str">
        <f t="shared" si="1"/>
        <v>E</v>
      </c>
      <c r="B296" s="2"/>
      <c r="C296" s="2"/>
      <c r="D296" s="2"/>
      <c r="E296" s="2">
        <v>-4.0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 t="s">
        <v>50</v>
      </c>
      <c r="AN296" s="2"/>
      <c r="AO296" s="2"/>
      <c r="AP296" s="2"/>
      <c r="AQ296" s="2"/>
      <c r="AR296" s="2"/>
      <c r="AS296" s="2"/>
      <c r="AT296" s="2"/>
      <c r="AU296" s="2"/>
    </row>
    <row r="297">
      <c r="A297" s="2" t="str">
        <f t="shared" si="1"/>
        <v>B</v>
      </c>
      <c r="B297" s="2"/>
      <c r="C297" s="2"/>
      <c r="D297" s="2"/>
      <c r="E297" s="2">
        <v>4.0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 t="s">
        <v>51</v>
      </c>
      <c r="AN297" s="2"/>
      <c r="AO297" s="2"/>
      <c r="AP297" s="2"/>
      <c r="AQ297" s="2"/>
      <c r="AR297" s="2"/>
      <c r="AS297" s="2"/>
      <c r="AT297" s="2"/>
      <c r="AU297" s="2"/>
    </row>
    <row r="298">
      <c r="A298" s="2" t="str">
        <f t="shared" si="1"/>
        <v>P</v>
      </c>
      <c r="B298" s="2"/>
      <c r="C298" s="2"/>
      <c r="D298" s="2"/>
      <c r="E298" s="2">
        <v>-4.0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 t="s">
        <v>52</v>
      </c>
      <c r="AN298" s="2"/>
      <c r="AO298" s="2"/>
      <c r="AP298" s="2"/>
      <c r="AQ298" s="2"/>
      <c r="AR298" s="2"/>
      <c r="AS298" s="2"/>
      <c r="AT298" s="2"/>
      <c r="AU298" s="2"/>
    </row>
    <row r="299">
      <c r="A299" s="2" t="str">
        <f t="shared" si="1"/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>
      <c r="A300" s="2" t="str">
        <f t="shared" si="1"/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>
      <c r="A301" s="2" t="str">
        <f t="shared" si="1"/>
        <v/>
      </c>
      <c r="B301" s="2" t="str">
        <f t="array" ref="B301:AU330">transpose(sort(transpose(All!A301:AT330),2,true))</f>
        <v>Cupertino A</v>
      </c>
      <c r="C301" s="2" t="s">
        <v>5</v>
      </c>
      <c r="D301" s="2"/>
      <c r="E301" s="2"/>
      <c r="F301" s="2"/>
      <c r="G301" s="2"/>
      <c r="H301" s="2"/>
      <c r="I301" s="2"/>
      <c r="J301" s="2"/>
      <c r="K301" s="2"/>
      <c r="L301" s="2"/>
      <c r="M301" s="2" t="s">
        <v>7</v>
      </c>
      <c r="N301" s="2"/>
      <c r="O301" s="2"/>
      <c r="P301" s="2" t="s">
        <v>4</v>
      </c>
      <c r="Q301" s="2"/>
      <c r="R301" s="2"/>
      <c r="S301" s="2"/>
      <c r="T301" s="2" t="s">
        <v>6</v>
      </c>
      <c r="U301" s="2"/>
      <c r="V301" s="2" t="s">
        <v>3</v>
      </c>
      <c r="W301" s="2"/>
      <c r="X301" s="2"/>
      <c r="Y301" s="2" t="s">
        <v>0</v>
      </c>
      <c r="Z301" s="2"/>
      <c r="AA301" s="2"/>
      <c r="AB301" s="2"/>
      <c r="AC301" s="2" t="s">
        <v>2</v>
      </c>
      <c r="AD301" s="2"/>
      <c r="AE301" s="2"/>
      <c r="AF301" s="2"/>
      <c r="AG301" s="2"/>
      <c r="AH301" s="2"/>
      <c r="AI301" s="2"/>
      <c r="AJ301" s="2"/>
      <c r="AK301" s="2" t="s">
        <v>1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>
      <c r="A302" s="2" t="str">
        <f t="shared" si="1"/>
        <v/>
      </c>
      <c r="B302" s="2" t="s">
        <v>43</v>
      </c>
      <c r="C302" s="2" t="s">
        <v>30</v>
      </c>
      <c r="D302" s="2" t="s">
        <v>45</v>
      </c>
      <c r="E302" s="2" t="s">
        <v>18</v>
      </c>
      <c r="F302" s="2" t="s">
        <v>33</v>
      </c>
      <c r="G302" s="2" t="s">
        <v>10</v>
      </c>
      <c r="H302" s="2" t="s">
        <v>32</v>
      </c>
      <c r="I302" s="2" t="s">
        <v>24</v>
      </c>
      <c r="J302" s="2" t="s">
        <v>29</v>
      </c>
      <c r="K302" s="2" t="s">
        <v>37</v>
      </c>
      <c r="L302" s="2" t="s">
        <v>34</v>
      </c>
      <c r="M302" s="2" t="s">
        <v>42</v>
      </c>
      <c r="N302" s="2" t="s">
        <v>27</v>
      </c>
      <c r="O302" s="2" t="s">
        <v>35</v>
      </c>
      <c r="P302" s="2" t="s">
        <v>26</v>
      </c>
      <c r="Q302" s="2" t="s">
        <v>44</v>
      </c>
      <c r="R302" s="2" t="s">
        <v>41</v>
      </c>
      <c r="S302" s="2" t="s">
        <v>40</v>
      </c>
      <c r="T302" s="2" t="s">
        <v>55</v>
      </c>
      <c r="U302" s="2" t="s">
        <v>53</v>
      </c>
      <c r="V302" s="2" t="s">
        <v>22</v>
      </c>
      <c r="W302" s="2" t="s">
        <v>38</v>
      </c>
      <c r="X302" s="2" t="s">
        <v>46</v>
      </c>
      <c r="Y302" s="2" t="s">
        <v>9</v>
      </c>
      <c r="Z302" s="2" t="s">
        <v>11</v>
      </c>
      <c r="AA302" s="2" t="s">
        <v>39</v>
      </c>
      <c r="AB302" s="2" t="s">
        <v>31</v>
      </c>
      <c r="AC302" s="2" t="s">
        <v>17</v>
      </c>
      <c r="AD302" s="2" t="s">
        <v>23</v>
      </c>
      <c r="AE302" s="2" t="s">
        <v>12</v>
      </c>
      <c r="AF302" s="2" t="s">
        <v>20</v>
      </c>
      <c r="AG302" s="2" t="s">
        <v>21</v>
      </c>
      <c r="AH302" s="2" t="s">
        <v>13</v>
      </c>
      <c r="AI302" s="2" t="s">
        <v>15</v>
      </c>
      <c r="AJ302" s="2" t="s">
        <v>28</v>
      </c>
      <c r="AK302" s="2" t="s">
        <v>14</v>
      </c>
      <c r="AL302" s="2" t="s">
        <v>25</v>
      </c>
      <c r="AM302" s="2"/>
      <c r="AN302" s="2"/>
      <c r="AO302" s="2"/>
      <c r="AP302" s="2"/>
      <c r="AQ302" s="2"/>
      <c r="AR302" s="2"/>
      <c r="AS302" s="2"/>
      <c r="AT302" s="2"/>
      <c r="AU302" s="2"/>
    </row>
    <row r="303">
      <c r="A303" s="2" t="str">
        <f t="shared" si="1"/>
        <v/>
      </c>
      <c r="B303" s="2" t="b">
        <v>0</v>
      </c>
      <c r="C303" s="2" t="b">
        <v>1</v>
      </c>
      <c r="D303" s="2" t="b">
        <v>0</v>
      </c>
      <c r="E303" s="2" t="b">
        <v>1</v>
      </c>
      <c r="F303" s="2" t="b">
        <v>1</v>
      </c>
      <c r="G303" s="2" t="b">
        <v>0</v>
      </c>
      <c r="H303" s="2" t="b">
        <v>1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  <c r="O303" s="2" t="b">
        <v>0</v>
      </c>
      <c r="P303" s="2" t="b">
        <v>0</v>
      </c>
      <c r="Q303" s="2" t="b">
        <v>0</v>
      </c>
      <c r="R303" s="2" t="b">
        <v>0</v>
      </c>
      <c r="S303" s="2" t="b">
        <v>0</v>
      </c>
      <c r="T303" s="2" t="b">
        <v>0</v>
      </c>
      <c r="U303" s="2" t="b">
        <v>0</v>
      </c>
      <c r="V303" s="2" t="b">
        <v>0</v>
      </c>
      <c r="W303" s="2" t="b">
        <v>0</v>
      </c>
      <c r="X303" s="2" t="b">
        <v>0</v>
      </c>
      <c r="Y303" s="2" t="b">
        <v>0</v>
      </c>
      <c r="Z303" s="2" t="b">
        <v>0</v>
      </c>
      <c r="AA303" s="2" t="b">
        <v>0</v>
      </c>
      <c r="AB303" s="2" t="b">
        <v>1</v>
      </c>
      <c r="AC303" s="2" t="b">
        <v>1</v>
      </c>
      <c r="AD303" s="2" t="b">
        <v>0</v>
      </c>
      <c r="AE303" s="2" t="b">
        <v>0</v>
      </c>
      <c r="AF303" s="2" t="b">
        <v>1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  <c r="AL303" s="2" t="b">
        <v>0</v>
      </c>
      <c r="AM303" s="2"/>
      <c r="AN303" s="2" t="b">
        <v>0</v>
      </c>
      <c r="AO303" s="2" t="b">
        <v>0</v>
      </c>
      <c r="AP303" s="2" t="b">
        <v>0</v>
      </c>
      <c r="AQ303" s="2" t="b">
        <v>0</v>
      </c>
      <c r="AR303" s="2" t="b">
        <v>0</v>
      </c>
      <c r="AS303" s="2" t="b">
        <v>0</v>
      </c>
      <c r="AT303" s="2" t="b">
        <v>0</v>
      </c>
      <c r="AU303" s="2" t="b">
        <v>0</v>
      </c>
    </row>
    <row r="304">
      <c r="A304" s="2" t="str">
        <f t="shared" si="1"/>
        <v>X</v>
      </c>
      <c r="B304" s="2"/>
      <c r="C304" s="2"/>
      <c r="D304" s="2"/>
      <c r="E304" s="2">
        <v>-4.0</v>
      </c>
      <c r="F304" s="2">
        <v>4.0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 t="s">
        <v>47</v>
      </c>
      <c r="AN304" s="2"/>
      <c r="AO304" s="2"/>
      <c r="AP304" s="2"/>
      <c r="AQ304" s="2"/>
      <c r="AR304" s="2"/>
      <c r="AS304" s="2"/>
      <c r="AT304" s="2"/>
      <c r="AU304" s="2"/>
    </row>
    <row r="305">
      <c r="A305" s="2" t="str">
        <f t="shared" si="1"/>
        <v>M</v>
      </c>
      <c r="B305" s="2"/>
      <c r="C305" s="2"/>
      <c r="D305" s="2"/>
      <c r="E305" s="2"/>
      <c r="F305" s="2"/>
      <c r="G305" s="2"/>
      <c r="H305" s="2">
        <v>4.0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 t="s">
        <v>48</v>
      </c>
      <c r="AN305" s="2"/>
      <c r="AO305" s="2"/>
      <c r="AP305" s="2"/>
      <c r="AQ305" s="2"/>
      <c r="AR305" s="2"/>
      <c r="AS305" s="2"/>
      <c r="AT305" s="2"/>
      <c r="AU305" s="2"/>
    </row>
    <row r="306">
      <c r="A306" s="2" t="str">
        <f t="shared" si="1"/>
        <v>C</v>
      </c>
      <c r="B306" s="2"/>
      <c r="C306" s="2"/>
      <c r="D306" s="2"/>
      <c r="E306" s="2">
        <v>4.0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 t="s">
        <v>49</v>
      </c>
      <c r="AN306" s="2"/>
      <c r="AO306" s="2"/>
      <c r="AP306" s="2"/>
      <c r="AQ306" s="2"/>
      <c r="AR306" s="2"/>
      <c r="AS306" s="2"/>
      <c r="AT306" s="2"/>
      <c r="AU306" s="2"/>
    </row>
    <row r="307">
      <c r="A307" s="2" t="str">
        <f t="shared" si="1"/>
        <v>E</v>
      </c>
      <c r="B307" s="2"/>
      <c r="C307" s="2"/>
      <c r="D307" s="2"/>
      <c r="E307" s="2"/>
      <c r="F307" s="2"/>
      <c r="G307" s="2"/>
      <c r="H307" s="2">
        <v>4.0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 t="s">
        <v>50</v>
      </c>
      <c r="AN307" s="2"/>
      <c r="AO307" s="2"/>
      <c r="AP307" s="2"/>
      <c r="AQ307" s="2"/>
      <c r="AR307" s="2"/>
      <c r="AS307" s="2"/>
      <c r="AT307" s="2"/>
      <c r="AU307" s="2"/>
    </row>
    <row r="308">
      <c r="A308" s="2" t="str">
        <f t="shared" si="1"/>
        <v>B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 t="s">
        <v>51</v>
      </c>
      <c r="AN308" s="2"/>
      <c r="AO308" s="2"/>
      <c r="AP308" s="2"/>
      <c r="AQ308" s="2"/>
      <c r="AR308" s="2"/>
      <c r="AS308" s="2"/>
      <c r="AT308" s="2"/>
      <c r="AU308" s="2"/>
    </row>
    <row r="309">
      <c r="A309" s="2" t="str">
        <f t="shared" si="1"/>
        <v>P</v>
      </c>
      <c r="B309" s="2"/>
      <c r="C309" s="2"/>
      <c r="D309" s="2"/>
      <c r="E309" s="2"/>
      <c r="F309" s="2"/>
      <c r="G309" s="2"/>
      <c r="H309" s="2">
        <v>4.0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 t="s">
        <v>52</v>
      </c>
      <c r="AN309" s="2"/>
      <c r="AO309" s="2"/>
      <c r="AP309" s="2"/>
      <c r="AQ309" s="2"/>
      <c r="AR309" s="2"/>
      <c r="AS309" s="2"/>
      <c r="AT309" s="2"/>
      <c r="AU309" s="2"/>
    </row>
    <row r="310">
      <c r="A310" s="2" t="str">
        <f t="shared" si="1"/>
        <v>X</v>
      </c>
      <c r="B310" s="2"/>
      <c r="C310" s="2"/>
      <c r="D310" s="2"/>
      <c r="E310" s="2">
        <v>4.0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 t="s">
        <v>47</v>
      </c>
      <c r="AN310" s="2"/>
      <c r="AO310" s="2"/>
      <c r="AP310" s="2"/>
      <c r="AQ310" s="2"/>
      <c r="AR310" s="2"/>
      <c r="AS310" s="2"/>
      <c r="AT310" s="2"/>
      <c r="AU310" s="2"/>
    </row>
    <row r="311">
      <c r="A311" s="2" t="str">
        <f t="shared" si="1"/>
        <v>M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 t="s">
        <v>48</v>
      </c>
      <c r="AN311" s="2"/>
      <c r="AO311" s="2"/>
      <c r="AP311" s="2"/>
      <c r="AQ311" s="2"/>
      <c r="AR311" s="2"/>
      <c r="AS311" s="2"/>
      <c r="AT311" s="2"/>
      <c r="AU311" s="2"/>
    </row>
    <row r="312">
      <c r="A312" s="2" t="str">
        <f t="shared" si="1"/>
        <v>C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>
        <v>4.0</v>
      </c>
      <c r="AC312" s="2">
        <v>-4.0</v>
      </c>
      <c r="AD312" s="2"/>
      <c r="AE312" s="2"/>
      <c r="AF312" s="2"/>
      <c r="AG312" s="2"/>
      <c r="AH312" s="2"/>
      <c r="AI312" s="2"/>
      <c r="AJ312" s="2"/>
      <c r="AK312" s="2"/>
      <c r="AL312" s="2"/>
      <c r="AM312" s="2" t="s">
        <v>49</v>
      </c>
      <c r="AN312" s="2"/>
      <c r="AO312" s="2"/>
      <c r="AP312" s="2"/>
      <c r="AQ312" s="2"/>
      <c r="AR312" s="2"/>
      <c r="AS312" s="2"/>
      <c r="AT312" s="2"/>
      <c r="AU312" s="2"/>
    </row>
    <row r="313">
      <c r="A313" s="2" t="str">
        <f t="shared" si="1"/>
        <v>E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 t="s">
        <v>50</v>
      </c>
      <c r="AN313" s="2"/>
      <c r="AO313" s="2"/>
      <c r="AP313" s="2"/>
      <c r="AQ313" s="2"/>
      <c r="AR313" s="2"/>
      <c r="AS313" s="2"/>
      <c r="AT313" s="2"/>
      <c r="AU313" s="2"/>
    </row>
    <row r="314">
      <c r="A314" s="2" t="str">
        <f t="shared" si="1"/>
        <v>B</v>
      </c>
      <c r="B314" s="2"/>
      <c r="C314" s="2"/>
      <c r="D314" s="2"/>
      <c r="E314" s="2">
        <v>4.0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 t="s">
        <v>51</v>
      </c>
      <c r="AN314" s="2"/>
      <c r="AO314" s="2"/>
      <c r="AP314" s="2"/>
      <c r="AQ314" s="2"/>
      <c r="AR314" s="2"/>
      <c r="AS314" s="2"/>
      <c r="AT314" s="2"/>
      <c r="AU314" s="2"/>
    </row>
    <row r="315">
      <c r="A315" s="2" t="str">
        <f t="shared" si="1"/>
        <v>P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 t="s">
        <v>52</v>
      </c>
      <c r="AN315" s="2"/>
      <c r="AO315" s="2"/>
      <c r="AP315" s="2"/>
      <c r="AQ315" s="2"/>
      <c r="AR315" s="2"/>
      <c r="AS315" s="2"/>
      <c r="AT315" s="2"/>
      <c r="AU315" s="2"/>
    </row>
    <row r="316">
      <c r="A316" s="2" t="str">
        <f t="shared" si="1"/>
        <v/>
      </c>
      <c r="B316" s="2" t="b">
        <v>0</v>
      </c>
      <c r="C316" s="2" t="b">
        <v>1</v>
      </c>
      <c r="D316" s="2" t="b">
        <v>0</v>
      </c>
      <c r="E316" s="2" t="b">
        <v>1</v>
      </c>
      <c r="F316" s="2" t="b">
        <v>1</v>
      </c>
      <c r="G316" s="2" t="b">
        <v>0</v>
      </c>
      <c r="H316" s="2" t="b">
        <v>1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  <c r="O316" s="2" t="b">
        <v>0</v>
      </c>
      <c r="P316" s="2" t="b">
        <v>0</v>
      </c>
      <c r="Q316" s="2" t="b">
        <v>0</v>
      </c>
      <c r="R316" s="2" t="b">
        <v>0</v>
      </c>
      <c r="S316" s="2" t="b">
        <v>0</v>
      </c>
      <c r="T316" s="2" t="b">
        <v>0</v>
      </c>
      <c r="U316" s="2" t="b">
        <v>0</v>
      </c>
      <c r="V316" s="2" t="b">
        <v>0</v>
      </c>
      <c r="W316" s="2" t="b">
        <v>0</v>
      </c>
      <c r="X316" s="2" t="b">
        <v>0</v>
      </c>
      <c r="Y316" s="2" t="b">
        <v>0</v>
      </c>
      <c r="Z316" s="2" t="b">
        <v>0</v>
      </c>
      <c r="AA316" s="2" t="b">
        <v>0</v>
      </c>
      <c r="AB316" s="2" t="b">
        <v>1</v>
      </c>
      <c r="AC316" s="2" t="b">
        <v>1</v>
      </c>
      <c r="AD316" s="2" t="b">
        <v>0</v>
      </c>
      <c r="AE316" s="2" t="b">
        <v>0</v>
      </c>
      <c r="AF316" s="2" t="b">
        <v>1</v>
      </c>
      <c r="AG316" s="2" t="b">
        <v>1</v>
      </c>
      <c r="AH316" s="2" t="b">
        <v>0</v>
      </c>
      <c r="AI316" s="2" t="b">
        <v>0</v>
      </c>
      <c r="AJ316" s="2" t="b">
        <v>0</v>
      </c>
      <c r="AK316" s="2" t="b">
        <v>0</v>
      </c>
      <c r="AL316" s="2" t="b">
        <v>0</v>
      </c>
      <c r="AM316" s="2"/>
      <c r="AN316" s="2" t="b">
        <v>0</v>
      </c>
      <c r="AO316" s="2" t="b">
        <v>0</v>
      </c>
      <c r="AP316" s="2" t="b">
        <v>0</v>
      </c>
      <c r="AQ316" s="2" t="b">
        <v>0</v>
      </c>
      <c r="AR316" s="2" t="b">
        <v>0</v>
      </c>
      <c r="AS316" s="2" t="b">
        <v>0</v>
      </c>
      <c r="AT316" s="2" t="b">
        <v>0</v>
      </c>
      <c r="AU316" s="2" t="b">
        <v>0</v>
      </c>
    </row>
    <row r="317">
      <c r="A317" s="2" t="str">
        <f t="shared" si="1"/>
        <v>X</v>
      </c>
      <c r="B317" s="2"/>
      <c r="C317" s="2">
        <v>4.0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 t="s">
        <v>47</v>
      </c>
      <c r="AN317" s="2"/>
      <c r="AO317" s="2"/>
      <c r="AP317" s="2"/>
      <c r="AQ317" s="2"/>
      <c r="AR317" s="2"/>
      <c r="AS317" s="2"/>
      <c r="AT317" s="2"/>
      <c r="AU317" s="2"/>
    </row>
    <row r="318">
      <c r="A318" s="2" t="str">
        <f t="shared" si="1"/>
        <v>M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 t="s">
        <v>48</v>
      </c>
      <c r="AN318" s="2"/>
      <c r="AO318" s="2"/>
      <c r="AP318" s="2"/>
      <c r="AQ318" s="2"/>
      <c r="AR318" s="2"/>
      <c r="AS318" s="2"/>
      <c r="AT318" s="2"/>
      <c r="AU318" s="2"/>
    </row>
    <row r="319">
      <c r="A319" s="2" t="str">
        <f t="shared" si="1"/>
        <v>C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>
        <v>4.0</v>
      </c>
      <c r="AD319" s="2"/>
      <c r="AE319" s="2"/>
      <c r="AF319" s="2"/>
      <c r="AG319" s="2"/>
      <c r="AH319" s="2"/>
      <c r="AI319" s="2"/>
      <c r="AJ319" s="2"/>
      <c r="AK319" s="2"/>
      <c r="AL319" s="2"/>
      <c r="AM319" s="2" t="s">
        <v>49</v>
      </c>
      <c r="AN319" s="2"/>
      <c r="AO319" s="2"/>
      <c r="AP319" s="2"/>
      <c r="AQ319" s="2"/>
      <c r="AR319" s="2"/>
      <c r="AS319" s="2"/>
      <c r="AT319" s="2"/>
      <c r="AU319" s="2"/>
    </row>
    <row r="320">
      <c r="A320" s="2" t="str">
        <f t="shared" si="1"/>
        <v>E</v>
      </c>
      <c r="B320" s="2"/>
      <c r="C320" s="2"/>
      <c r="D320" s="2"/>
      <c r="E320" s="2">
        <v>4.0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 t="s">
        <v>50</v>
      </c>
      <c r="AN320" s="2"/>
      <c r="AO320" s="2"/>
      <c r="AP320" s="2"/>
      <c r="AQ320" s="2"/>
      <c r="AR320" s="2"/>
      <c r="AS320" s="2"/>
      <c r="AT320" s="2"/>
      <c r="AU320" s="2"/>
    </row>
    <row r="321">
      <c r="A321" s="2" t="str">
        <f t="shared" si="1"/>
        <v>B</v>
      </c>
      <c r="B321" s="2"/>
      <c r="C321" s="2"/>
      <c r="D321" s="2"/>
      <c r="E321" s="2">
        <v>-4.0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 t="s">
        <v>51</v>
      </c>
      <c r="AN321" s="2"/>
      <c r="AO321" s="2"/>
      <c r="AP321" s="2"/>
      <c r="AQ321" s="2"/>
      <c r="AR321" s="2"/>
      <c r="AS321" s="2"/>
      <c r="AT321" s="2"/>
      <c r="AU321" s="2"/>
    </row>
    <row r="322">
      <c r="A322" s="2" t="str">
        <f t="shared" si="1"/>
        <v>P</v>
      </c>
      <c r="B322" s="2"/>
      <c r="C322" s="2"/>
      <c r="D322" s="2"/>
      <c r="E322" s="2">
        <v>4.0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 t="s">
        <v>52</v>
      </c>
      <c r="AN322" s="2"/>
      <c r="AO322" s="2"/>
      <c r="AP322" s="2"/>
      <c r="AQ322" s="2"/>
      <c r="AR322" s="2"/>
      <c r="AS322" s="2"/>
      <c r="AT322" s="2"/>
      <c r="AU322" s="2"/>
    </row>
    <row r="323">
      <c r="A323" s="2" t="str">
        <f t="shared" si="1"/>
        <v>X</v>
      </c>
      <c r="B323" s="2"/>
      <c r="C323" s="2">
        <v>4.0</v>
      </c>
      <c r="D323" s="2"/>
      <c r="E323" s="2">
        <v>-4.0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 t="s">
        <v>47</v>
      </c>
      <c r="AN323" s="2"/>
      <c r="AO323" s="2"/>
      <c r="AP323" s="2"/>
      <c r="AQ323" s="2"/>
      <c r="AR323" s="2"/>
      <c r="AS323" s="2"/>
      <c r="AT323" s="2"/>
      <c r="AU323" s="2"/>
    </row>
    <row r="324">
      <c r="A324" s="2" t="str">
        <f t="shared" si="1"/>
        <v>M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 t="s">
        <v>48</v>
      </c>
      <c r="AN324" s="2"/>
      <c r="AO324" s="2"/>
      <c r="AP324" s="2"/>
      <c r="AQ324" s="2"/>
      <c r="AR324" s="2"/>
      <c r="AS324" s="2"/>
      <c r="AT324" s="2"/>
      <c r="AU324" s="2"/>
    </row>
    <row r="325">
      <c r="A325" s="2" t="str">
        <f t="shared" si="1"/>
        <v>C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>
        <v>4.0</v>
      </c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 t="s">
        <v>49</v>
      </c>
      <c r="AN325" s="2"/>
      <c r="AO325" s="2"/>
      <c r="AP325" s="2"/>
      <c r="AQ325" s="2"/>
      <c r="AR325" s="2"/>
      <c r="AS325" s="2"/>
      <c r="AT325" s="2"/>
      <c r="AU325" s="2"/>
    </row>
    <row r="326">
      <c r="A326" s="2" t="str">
        <f t="shared" si="1"/>
        <v>E</v>
      </c>
      <c r="B326" s="2"/>
      <c r="C326" s="2"/>
      <c r="D326" s="2"/>
      <c r="E326" s="2"/>
      <c r="F326" s="2"/>
      <c r="G326" s="2"/>
      <c r="H326" s="2">
        <v>4.0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 t="s">
        <v>50</v>
      </c>
      <c r="AN326" s="2"/>
      <c r="AO326" s="2"/>
      <c r="AP326" s="2"/>
      <c r="AQ326" s="2"/>
      <c r="AR326" s="2"/>
      <c r="AS326" s="2"/>
      <c r="AT326" s="2"/>
      <c r="AU326" s="2"/>
    </row>
    <row r="327">
      <c r="A327" s="2" t="str">
        <f t="shared" si="1"/>
        <v>B</v>
      </c>
      <c r="B327" s="2"/>
      <c r="C327" s="2">
        <v>4.0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 t="s">
        <v>51</v>
      </c>
      <c r="AN327" s="2"/>
      <c r="AO327" s="2"/>
      <c r="AP327" s="2"/>
      <c r="AQ327" s="2"/>
      <c r="AR327" s="2"/>
      <c r="AS327" s="2"/>
      <c r="AT327" s="2"/>
      <c r="AU327" s="2"/>
    </row>
    <row r="328">
      <c r="A328" s="2" t="str">
        <f t="shared" si="1"/>
        <v>P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 t="s">
        <v>52</v>
      </c>
      <c r="AN328" s="2"/>
      <c r="AO328" s="2"/>
      <c r="AP328" s="2"/>
      <c r="AQ328" s="2"/>
      <c r="AR328" s="2"/>
      <c r="AS328" s="2"/>
      <c r="AT328" s="2"/>
      <c r="AU328" s="2"/>
    </row>
    <row r="329">
      <c r="A329" s="2" t="str">
        <f t="shared" si="1"/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>
      <c r="A330" s="2" t="str">
        <f t="shared" si="1"/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>
      <c r="A331" s="8" t="s">
        <v>96</v>
      </c>
      <c r="B331" s="9" t="s">
        <v>43</v>
      </c>
      <c r="C331" s="9" t="s">
        <v>30</v>
      </c>
      <c r="D331" s="9" t="s">
        <v>45</v>
      </c>
      <c r="E331" s="9" t="s">
        <v>18</v>
      </c>
      <c r="F331" s="9" t="s">
        <v>33</v>
      </c>
      <c r="G331" s="9" t="s">
        <v>10</v>
      </c>
      <c r="H331" s="9" t="s">
        <v>32</v>
      </c>
      <c r="I331" s="9" t="s">
        <v>24</v>
      </c>
      <c r="J331" s="9" t="s">
        <v>29</v>
      </c>
      <c r="K331" s="9" t="s">
        <v>37</v>
      </c>
      <c r="L331" s="9" t="s">
        <v>34</v>
      </c>
      <c r="M331" s="9" t="s">
        <v>42</v>
      </c>
      <c r="N331" s="9" t="s">
        <v>27</v>
      </c>
      <c r="O331" s="9" t="s">
        <v>35</v>
      </c>
      <c r="P331" s="9" t="s">
        <v>26</v>
      </c>
      <c r="Q331" s="9" t="s">
        <v>44</v>
      </c>
      <c r="R331" s="9" t="s">
        <v>41</v>
      </c>
      <c r="S331" s="9" t="s">
        <v>40</v>
      </c>
      <c r="T331" s="9" t="s">
        <v>36</v>
      </c>
      <c r="U331" s="9" t="s">
        <v>36</v>
      </c>
      <c r="V331" s="9" t="s">
        <v>22</v>
      </c>
      <c r="W331" s="9"/>
      <c r="X331" s="9" t="s">
        <v>46</v>
      </c>
      <c r="Y331" s="9" t="s">
        <v>9</v>
      </c>
      <c r="Z331" s="9" t="s">
        <v>11</v>
      </c>
      <c r="AA331" s="9" t="s">
        <v>39</v>
      </c>
      <c r="AB331" s="9" t="s">
        <v>31</v>
      </c>
      <c r="AC331" s="9" t="s">
        <v>17</v>
      </c>
      <c r="AD331" s="9" t="s">
        <v>23</v>
      </c>
      <c r="AE331" s="9" t="s">
        <v>12</v>
      </c>
      <c r="AF331" s="9" t="s">
        <v>20</v>
      </c>
      <c r="AG331" s="9" t="s">
        <v>21</v>
      </c>
      <c r="AH331" s="9" t="s">
        <v>13</v>
      </c>
      <c r="AI331" s="9" t="s">
        <v>15</v>
      </c>
      <c r="AJ331" s="9" t="s">
        <v>28</v>
      </c>
      <c r="AK331" s="9" t="s">
        <v>14</v>
      </c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</row>
    <row r="332">
      <c r="A332" s="8" t="s">
        <v>58</v>
      </c>
      <c r="B332" s="9">
        <f t="shared" ref="B332:V332" si="2">countif(B1:B330,"TRUE")/2</f>
        <v>8</v>
      </c>
      <c r="C332" s="9">
        <f t="shared" si="2"/>
        <v>10</v>
      </c>
      <c r="D332" s="9">
        <f t="shared" si="2"/>
        <v>8</v>
      </c>
      <c r="E332" s="9">
        <f t="shared" si="2"/>
        <v>10</v>
      </c>
      <c r="F332" s="9">
        <f t="shared" si="2"/>
        <v>10</v>
      </c>
      <c r="G332" s="9">
        <f t="shared" si="2"/>
        <v>8</v>
      </c>
      <c r="H332" s="9">
        <f t="shared" si="2"/>
        <v>10</v>
      </c>
      <c r="I332" s="9">
        <f t="shared" si="2"/>
        <v>8</v>
      </c>
      <c r="J332" s="9">
        <f t="shared" si="2"/>
        <v>8</v>
      </c>
      <c r="K332" s="9">
        <f t="shared" si="2"/>
        <v>8</v>
      </c>
      <c r="L332" s="9">
        <f t="shared" si="2"/>
        <v>8</v>
      </c>
      <c r="M332" s="9">
        <f t="shared" si="2"/>
        <v>8</v>
      </c>
      <c r="N332" s="9">
        <f t="shared" si="2"/>
        <v>8</v>
      </c>
      <c r="O332" s="9">
        <f t="shared" si="2"/>
        <v>8</v>
      </c>
      <c r="P332" s="9">
        <f t="shared" si="2"/>
        <v>8</v>
      </c>
      <c r="Q332" s="9">
        <f t="shared" si="2"/>
        <v>8</v>
      </c>
      <c r="R332" s="9">
        <f t="shared" si="2"/>
        <v>8</v>
      </c>
      <c r="S332" s="9">
        <f t="shared" si="2"/>
        <v>8</v>
      </c>
      <c r="T332" s="9">
        <f t="shared" si="2"/>
        <v>8</v>
      </c>
      <c r="U332" s="9">
        <f t="shared" si="2"/>
        <v>8</v>
      </c>
      <c r="V332" s="9">
        <f t="shared" si="2"/>
        <v>8</v>
      </c>
      <c r="W332" s="9"/>
      <c r="X332" s="9">
        <f t="shared" ref="X332:AK332" si="3">countif(X1:X330,"TRUE")/2</f>
        <v>8</v>
      </c>
      <c r="Y332" s="9">
        <f t="shared" si="3"/>
        <v>8</v>
      </c>
      <c r="Z332" s="9">
        <f t="shared" si="3"/>
        <v>8</v>
      </c>
      <c r="AA332" s="9">
        <f t="shared" si="3"/>
        <v>8</v>
      </c>
      <c r="AB332" s="9">
        <f t="shared" si="3"/>
        <v>10</v>
      </c>
      <c r="AC332" s="9">
        <f t="shared" si="3"/>
        <v>10</v>
      </c>
      <c r="AD332" s="9">
        <f t="shared" si="3"/>
        <v>4</v>
      </c>
      <c r="AE332" s="9">
        <f t="shared" si="3"/>
        <v>8</v>
      </c>
      <c r="AF332" s="9">
        <f t="shared" si="3"/>
        <v>10</v>
      </c>
      <c r="AG332" s="9">
        <f t="shared" si="3"/>
        <v>10</v>
      </c>
      <c r="AH332" s="9">
        <f t="shared" si="3"/>
        <v>8</v>
      </c>
      <c r="AI332" s="9">
        <f t="shared" si="3"/>
        <v>8</v>
      </c>
      <c r="AJ332" s="9">
        <f t="shared" si="3"/>
        <v>8</v>
      </c>
      <c r="AK332" s="9">
        <f t="shared" si="3"/>
        <v>8</v>
      </c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</row>
    <row r="333">
      <c r="A333" s="8" t="s">
        <v>97</v>
      </c>
      <c r="B333" s="9">
        <f t="shared" ref="B333:V333" si="4">B332*24</f>
        <v>192</v>
      </c>
      <c r="C333" s="9">
        <f t="shared" si="4"/>
        <v>240</v>
      </c>
      <c r="D333" s="9">
        <f t="shared" si="4"/>
        <v>192</v>
      </c>
      <c r="E333" s="9">
        <f t="shared" si="4"/>
        <v>240</v>
      </c>
      <c r="F333" s="9">
        <f t="shared" si="4"/>
        <v>240</v>
      </c>
      <c r="G333" s="9">
        <f t="shared" si="4"/>
        <v>192</v>
      </c>
      <c r="H333" s="9">
        <f t="shared" si="4"/>
        <v>240</v>
      </c>
      <c r="I333" s="9">
        <f t="shared" si="4"/>
        <v>192</v>
      </c>
      <c r="J333" s="9">
        <f t="shared" si="4"/>
        <v>192</v>
      </c>
      <c r="K333" s="9">
        <f t="shared" si="4"/>
        <v>192</v>
      </c>
      <c r="L333" s="9">
        <f t="shared" si="4"/>
        <v>192</v>
      </c>
      <c r="M333" s="9">
        <f t="shared" si="4"/>
        <v>192</v>
      </c>
      <c r="N333" s="9">
        <f t="shared" si="4"/>
        <v>192</v>
      </c>
      <c r="O333" s="9">
        <f t="shared" si="4"/>
        <v>192</v>
      </c>
      <c r="P333" s="9">
        <f t="shared" si="4"/>
        <v>192</v>
      </c>
      <c r="Q333" s="9">
        <f t="shared" si="4"/>
        <v>192</v>
      </c>
      <c r="R333" s="9">
        <f t="shared" si="4"/>
        <v>192</v>
      </c>
      <c r="S333" s="9">
        <f t="shared" si="4"/>
        <v>192</v>
      </c>
      <c r="T333" s="9">
        <f t="shared" si="4"/>
        <v>192</v>
      </c>
      <c r="U333" s="9">
        <f t="shared" si="4"/>
        <v>192</v>
      </c>
      <c r="V333" s="9">
        <f t="shared" si="4"/>
        <v>192</v>
      </c>
      <c r="W333" s="9"/>
      <c r="X333" s="9">
        <f t="shared" ref="X333:AK333" si="5">X332*24</f>
        <v>192</v>
      </c>
      <c r="Y333" s="9">
        <f t="shared" si="5"/>
        <v>192</v>
      </c>
      <c r="Z333" s="9">
        <f t="shared" si="5"/>
        <v>192</v>
      </c>
      <c r="AA333" s="9">
        <f t="shared" si="5"/>
        <v>192</v>
      </c>
      <c r="AB333" s="9">
        <f t="shared" si="5"/>
        <v>240</v>
      </c>
      <c r="AC333" s="9">
        <f t="shared" si="5"/>
        <v>240</v>
      </c>
      <c r="AD333" s="9">
        <f t="shared" si="5"/>
        <v>96</v>
      </c>
      <c r="AE333" s="9">
        <f t="shared" si="5"/>
        <v>192</v>
      </c>
      <c r="AF333" s="9">
        <f t="shared" si="5"/>
        <v>240</v>
      </c>
      <c r="AG333" s="9">
        <f t="shared" si="5"/>
        <v>240</v>
      </c>
      <c r="AH333" s="9">
        <f t="shared" si="5"/>
        <v>192</v>
      </c>
      <c r="AI333" s="9">
        <f t="shared" si="5"/>
        <v>192</v>
      </c>
      <c r="AJ333" s="9">
        <f t="shared" si="5"/>
        <v>192</v>
      </c>
      <c r="AK333" s="9">
        <f t="shared" si="5"/>
        <v>192</v>
      </c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</row>
    <row r="334">
      <c r="A334" s="8" t="s">
        <v>59</v>
      </c>
      <c r="B334" s="9">
        <f t="shared" ref="B334:V334" si="6">countif(B1:B330,"4")</f>
        <v>34</v>
      </c>
      <c r="C334" s="9">
        <f t="shared" si="6"/>
        <v>18</v>
      </c>
      <c r="D334" s="9">
        <f t="shared" si="6"/>
        <v>10</v>
      </c>
      <c r="E334" s="9">
        <f t="shared" si="6"/>
        <v>73</v>
      </c>
      <c r="F334" s="9">
        <f t="shared" si="6"/>
        <v>27</v>
      </c>
      <c r="G334" s="9">
        <f t="shared" si="6"/>
        <v>10</v>
      </c>
      <c r="H334" s="9">
        <f t="shared" si="6"/>
        <v>39</v>
      </c>
      <c r="I334" s="9">
        <f t="shared" si="6"/>
        <v>22</v>
      </c>
      <c r="J334" s="9">
        <f t="shared" si="6"/>
        <v>15</v>
      </c>
      <c r="K334" s="9">
        <f t="shared" si="6"/>
        <v>18</v>
      </c>
      <c r="L334" s="9">
        <f t="shared" si="6"/>
        <v>7</v>
      </c>
      <c r="M334" s="9">
        <f t="shared" si="6"/>
        <v>4</v>
      </c>
      <c r="N334" s="9">
        <f t="shared" si="6"/>
        <v>27</v>
      </c>
      <c r="O334" s="9">
        <f t="shared" si="6"/>
        <v>16</v>
      </c>
      <c r="P334" s="9">
        <f t="shared" si="6"/>
        <v>25</v>
      </c>
      <c r="Q334" s="9">
        <f t="shared" si="6"/>
        <v>34</v>
      </c>
      <c r="R334" s="9">
        <f t="shared" si="6"/>
        <v>0</v>
      </c>
      <c r="S334" s="9">
        <f t="shared" si="6"/>
        <v>9</v>
      </c>
      <c r="T334" s="9">
        <f t="shared" si="6"/>
        <v>26</v>
      </c>
      <c r="U334" s="9">
        <f t="shared" si="6"/>
        <v>11</v>
      </c>
      <c r="V334" s="9">
        <f t="shared" si="6"/>
        <v>10</v>
      </c>
      <c r="W334" s="9"/>
      <c r="X334" s="9">
        <f t="shared" ref="X334:AK334" si="7">countif(X1:X330,"4")</f>
        <v>7</v>
      </c>
      <c r="Y334" s="9">
        <f t="shared" si="7"/>
        <v>13</v>
      </c>
      <c r="Z334" s="9">
        <f t="shared" si="7"/>
        <v>7</v>
      </c>
      <c r="AA334" s="9">
        <f t="shared" si="7"/>
        <v>8</v>
      </c>
      <c r="AB334" s="9">
        <f t="shared" si="7"/>
        <v>32</v>
      </c>
      <c r="AC334" s="9">
        <f t="shared" si="7"/>
        <v>33</v>
      </c>
      <c r="AD334" s="9">
        <f t="shared" si="7"/>
        <v>8</v>
      </c>
      <c r="AE334" s="9">
        <f t="shared" si="7"/>
        <v>1</v>
      </c>
      <c r="AF334" s="9">
        <f t="shared" si="7"/>
        <v>5</v>
      </c>
      <c r="AG334" s="9">
        <f t="shared" si="7"/>
        <v>23</v>
      </c>
      <c r="AH334" s="9">
        <f t="shared" si="7"/>
        <v>3</v>
      </c>
      <c r="AI334" s="9">
        <f t="shared" si="7"/>
        <v>3</v>
      </c>
      <c r="AJ334" s="9">
        <f t="shared" si="7"/>
        <v>16</v>
      </c>
      <c r="AK334" s="9">
        <f t="shared" si="7"/>
        <v>37</v>
      </c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</row>
    <row r="335">
      <c r="A335" s="8" t="s">
        <v>60</v>
      </c>
      <c r="B335" s="9">
        <f t="shared" ref="B335:V335" si="8">countif(B2:B331,"-4")</f>
        <v>5</v>
      </c>
      <c r="C335" s="9">
        <f t="shared" si="8"/>
        <v>0</v>
      </c>
      <c r="D335" s="9">
        <f t="shared" si="8"/>
        <v>1</v>
      </c>
      <c r="E335" s="9">
        <f t="shared" si="8"/>
        <v>23</v>
      </c>
      <c r="F335" s="9">
        <f t="shared" si="8"/>
        <v>5</v>
      </c>
      <c r="G335" s="9">
        <f t="shared" si="8"/>
        <v>3</v>
      </c>
      <c r="H335" s="9">
        <f t="shared" si="8"/>
        <v>3</v>
      </c>
      <c r="I335" s="9">
        <f t="shared" si="8"/>
        <v>0</v>
      </c>
      <c r="J335" s="9">
        <f t="shared" si="8"/>
        <v>2</v>
      </c>
      <c r="K335" s="9">
        <f t="shared" si="8"/>
        <v>1</v>
      </c>
      <c r="L335" s="9">
        <f t="shared" si="8"/>
        <v>0</v>
      </c>
      <c r="M335" s="9">
        <f t="shared" si="8"/>
        <v>2</v>
      </c>
      <c r="N335" s="9">
        <f t="shared" si="8"/>
        <v>4</v>
      </c>
      <c r="O335" s="9">
        <f t="shared" si="8"/>
        <v>1</v>
      </c>
      <c r="P335" s="9">
        <f t="shared" si="8"/>
        <v>3</v>
      </c>
      <c r="Q335" s="9">
        <f t="shared" si="8"/>
        <v>3</v>
      </c>
      <c r="R335" s="9">
        <f t="shared" si="8"/>
        <v>0</v>
      </c>
      <c r="S335" s="9">
        <f t="shared" si="8"/>
        <v>0</v>
      </c>
      <c r="T335" s="9">
        <f t="shared" si="8"/>
        <v>5</v>
      </c>
      <c r="U335" s="9">
        <f t="shared" si="8"/>
        <v>0</v>
      </c>
      <c r="V335" s="9">
        <f t="shared" si="8"/>
        <v>0</v>
      </c>
      <c r="W335" s="9"/>
      <c r="X335" s="9">
        <f t="shared" ref="X335:AK335" si="9">countif(X2:X331,"-4")</f>
        <v>0</v>
      </c>
      <c r="Y335" s="9">
        <f t="shared" si="9"/>
        <v>1</v>
      </c>
      <c r="Z335" s="9">
        <f t="shared" si="9"/>
        <v>0</v>
      </c>
      <c r="AA335" s="9">
        <f t="shared" si="9"/>
        <v>1</v>
      </c>
      <c r="AB335" s="9">
        <f t="shared" si="9"/>
        <v>5</v>
      </c>
      <c r="AC335" s="9">
        <f t="shared" si="9"/>
        <v>6</v>
      </c>
      <c r="AD335" s="9">
        <f t="shared" si="9"/>
        <v>0</v>
      </c>
      <c r="AE335" s="9">
        <f t="shared" si="9"/>
        <v>0</v>
      </c>
      <c r="AF335" s="9">
        <f t="shared" si="9"/>
        <v>3</v>
      </c>
      <c r="AG335" s="9">
        <f t="shared" si="9"/>
        <v>8</v>
      </c>
      <c r="AH335" s="9">
        <f t="shared" si="9"/>
        <v>0</v>
      </c>
      <c r="AI335" s="9">
        <f t="shared" si="9"/>
        <v>0</v>
      </c>
      <c r="AJ335" s="9">
        <f t="shared" si="9"/>
        <v>1</v>
      </c>
      <c r="AK335" s="9">
        <f t="shared" si="9"/>
        <v>5</v>
      </c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</row>
    <row r="336">
      <c r="A336" s="8" t="s">
        <v>61</v>
      </c>
      <c r="B336" s="9">
        <f>B334/B335</f>
        <v>6.8</v>
      </c>
      <c r="C336" s="8" t="s">
        <v>82</v>
      </c>
      <c r="D336" s="9">
        <f t="shared" ref="D336:H336" si="10">D334/D335</f>
        <v>10</v>
      </c>
      <c r="E336" s="9">
        <f t="shared" si="10"/>
        <v>3.173913043</v>
      </c>
      <c r="F336" s="9">
        <f t="shared" si="10"/>
        <v>5.4</v>
      </c>
      <c r="G336" s="9">
        <f t="shared" si="10"/>
        <v>3.333333333</v>
      </c>
      <c r="H336" s="9">
        <f t="shared" si="10"/>
        <v>13</v>
      </c>
      <c r="I336" s="8" t="s">
        <v>82</v>
      </c>
      <c r="J336" s="9">
        <f t="shared" ref="J336:K336" si="11">J334/J335</f>
        <v>7.5</v>
      </c>
      <c r="K336" s="9">
        <f t="shared" si="11"/>
        <v>18</v>
      </c>
      <c r="L336" s="8" t="s">
        <v>82</v>
      </c>
      <c r="M336" s="9">
        <f t="shared" ref="M336:Q336" si="12">M334/M335</f>
        <v>2</v>
      </c>
      <c r="N336" s="9">
        <f t="shared" si="12"/>
        <v>6.75</v>
      </c>
      <c r="O336" s="9">
        <f t="shared" si="12"/>
        <v>16</v>
      </c>
      <c r="P336" s="9">
        <f t="shared" si="12"/>
        <v>8.333333333</v>
      </c>
      <c r="Q336" s="9">
        <f t="shared" si="12"/>
        <v>11.33333333</v>
      </c>
      <c r="R336" s="8" t="s">
        <v>82</v>
      </c>
      <c r="S336" s="8" t="s">
        <v>82</v>
      </c>
      <c r="T336" s="9">
        <f>T334/T335</f>
        <v>5.2</v>
      </c>
      <c r="U336" s="8" t="s">
        <v>82</v>
      </c>
      <c r="V336" s="8" t="s">
        <v>82</v>
      </c>
      <c r="W336" s="8"/>
      <c r="X336" s="8" t="s">
        <v>82</v>
      </c>
      <c r="Y336" s="9">
        <f>Y334/Y335</f>
        <v>13</v>
      </c>
      <c r="Z336" s="8" t="s">
        <v>82</v>
      </c>
      <c r="AA336" s="9">
        <f t="shared" ref="AA336:AC336" si="13">AA334/AA335</f>
        <v>8</v>
      </c>
      <c r="AB336" s="9">
        <f t="shared" si="13"/>
        <v>6.4</v>
      </c>
      <c r="AC336" s="9">
        <f t="shared" si="13"/>
        <v>5.5</v>
      </c>
      <c r="AD336" s="8" t="s">
        <v>82</v>
      </c>
      <c r="AE336" s="8" t="s">
        <v>82</v>
      </c>
      <c r="AF336" s="9">
        <f t="shared" ref="AF336:AG336" si="14">AF334/AF335</f>
        <v>1.666666667</v>
      </c>
      <c r="AG336" s="9">
        <f t="shared" si="14"/>
        <v>2.875</v>
      </c>
      <c r="AH336" s="8" t="s">
        <v>82</v>
      </c>
      <c r="AI336" s="8" t="s">
        <v>82</v>
      </c>
      <c r="AJ336" s="9">
        <f t="shared" ref="AJ336:AK336" si="15">AJ334/AJ335</f>
        <v>16</v>
      </c>
      <c r="AK336" s="9">
        <f t="shared" si="15"/>
        <v>7.4</v>
      </c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</row>
    <row r="337">
      <c r="A337" s="8" t="s">
        <v>62</v>
      </c>
      <c r="B337" s="9">
        <f t="shared" ref="B337:V337" si="16">4*B334-4*B335</f>
        <v>116</v>
      </c>
      <c r="C337" s="9">
        <f t="shared" si="16"/>
        <v>72</v>
      </c>
      <c r="D337" s="9">
        <f t="shared" si="16"/>
        <v>36</v>
      </c>
      <c r="E337" s="9">
        <f t="shared" si="16"/>
        <v>200</v>
      </c>
      <c r="F337" s="9">
        <f t="shared" si="16"/>
        <v>88</v>
      </c>
      <c r="G337" s="9">
        <f t="shared" si="16"/>
        <v>28</v>
      </c>
      <c r="H337" s="9">
        <f t="shared" si="16"/>
        <v>144</v>
      </c>
      <c r="I337" s="9">
        <f t="shared" si="16"/>
        <v>88</v>
      </c>
      <c r="J337" s="9">
        <f t="shared" si="16"/>
        <v>52</v>
      </c>
      <c r="K337" s="9">
        <f t="shared" si="16"/>
        <v>68</v>
      </c>
      <c r="L337" s="9">
        <f t="shared" si="16"/>
        <v>28</v>
      </c>
      <c r="M337" s="9">
        <f t="shared" si="16"/>
        <v>8</v>
      </c>
      <c r="N337" s="9">
        <f t="shared" si="16"/>
        <v>92</v>
      </c>
      <c r="O337" s="9">
        <f t="shared" si="16"/>
        <v>60</v>
      </c>
      <c r="P337" s="9">
        <f t="shared" si="16"/>
        <v>88</v>
      </c>
      <c r="Q337" s="9">
        <f t="shared" si="16"/>
        <v>124</v>
      </c>
      <c r="R337" s="9">
        <f t="shared" si="16"/>
        <v>0</v>
      </c>
      <c r="S337" s="9">
        <f t="shared" si="16"/>
        <v>36</v>
      </c>
      <c r="T337" s="9">
        <f t="shared" si="16"/>
        <v>84</v>
      </c>
      <c r="U337" s="9">
        <f t="shared" si="16"/>
        <v>44</v>
      </c>
      <c r="V337" s="9">
        <f t="shared" si="16"/>
        <v>40</v>
      </c>
      <c r="W337" s="9"/>
      <c r="X337" s="9">
        <f t="shared" ref="X337:AK337" si="17">4*X334-4*X335</f>
        <v>28</v>
      </c>
      <c r="Y337" s="9">
        <f t="shared" si="17"/>
        <v>48</v>
      </c>
      <c r="Z337" s="9">
        <f t="shared" si="17"/>
        <v>28</v>
      </c>
      <c r="AA337" s="9">
        <f t="shared" si="17"/>
        <v>28</v>
      </c>
      <c r="AB337" s="9">
        <f t="shared" si="17"/>
        <v>108</v>
      </c>
      <c r="AC337" s="9">
        <f t="shared" si="17"/>
        <v>108</v>
      </c>
      <c r="AD337" s="9">
        <f t="shared" si="17"/>
        <v>32</v>
      </c>
      <c r="AE337" s="9">
        <f t="shared" si="17"/>
        <v>4</v>
      </c>
      <c r="AF337" s="9">
        <f t="shared" si="17"/>
        <v>8</v>
      </c>
      <c r="AG337" s="9">
        <f t="shared" si="17"/>
        <v>60</v>
      </c>
      <c r="AH337" s="9">
        <f t="shared" si="17"/>
        <v>12</v>
      </c>
      <c r="AI337" s="9">
        <f t="shared" si="17"/>
        <v>12</v>
      </c>
      <c r="AJ337" s="9">
        <f t="shared" si="17"/>
        <v>60</v>
      </c>
      <c r="AK337" s="9">
        <f t="shared" si="17"/>
        <v>128</v>
      </c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</row>
    <row r="338">
      <c r="A338" s="8" t="s">
        <v>63</v>
      </c>
      <c r="B338" s="9">
        <f t="shared" ref="B338:V338" si="18">B337/B332</f>
        <v>14.5</v>
      </c>
      <c r="C338" s="9">
        <f t="shared" si="18"/>
        <v>7.2</v>
      </c>
      <c r="D338" s="9">
        <f t="shared" si="18"/>
        <v>4.5</v>
      </c>
      <c r="E338" s="9">
        <f t="shared" si="18"/>
        <v>20</v>
      </c>
      <c r="F338" s="9">
        <f t="shared" si="18"/>
        <v>8.8</v>
      </c>
      <c r="G338" s="9">
        <f t="shared" si="18"/>
        <v>3.5</v>
      </c>
      <c r="H338" s="9">
        <f t="shared" si="18"/>
        <v>14.4</v>
      </c>
      <c r="I338" s="9">
        <f t="shared" si="18"/>
        <v>11</v>
      </c>
      <c r="J338" s="9">
        <f t="shared" si="18"/>
        <v>6.5</v>
      </c>
      <c r="K338" s="9">
        <f t="shared" si="18"/>
        <v>8.5</v>
      </c>
      <c r="L338" s="9">
        <f t="shared" si="18"/>
        <v>3.5</v>
      </c>
      <c r="M338" s="9">
        <f t="shared" si="18"/>
        <v>1</v>
      </c>
      <c r="N338" s="9">
        <f t="shared" si="18"/>
        <v>11.5</v>
      </c>
      <c r="O338" s="9">
        <f t="shared" si="18"/>
        <v>7.5</v>
      </c>
      <c r="P338" s="9">
        <f t="shared" si="18"/>
        <v>11</v>
      </c>
      <c r="Q338" s="9">
        <f t="shared" si="18"/>
        <v>15.5</v>
      </c>
      <c r="R338" s="9">
        <f t="shared" si="18"/>
        <v>0</v>
      </c>
      <c r="S338" s="9">
        <f t="shared" si="18"/>
        <v>4.5</v>
      </c>
      <c r="T338" s="9">
        <f t="shared" si="18"/>
        <v>10.5</v>
      </c>
      <c r="U338" s="9">
        <f t="shared" si="18"/>
        <v>5.5</v>
      </c>
      <c r="V338" s="9">
        <f t="shared" si="18"/>
        <v>5</v>
      </c>
      <c r="W338" s="9"/>
      <c r="X338" s="9">
        <f t="shared" ref="X338:AK338" si="19">X337/X332</f>
        <v>3.5</v>
      </c>
      <c r="Y338" s="9">
        <f t="shared" si="19"/>
        <v>6</v>
      </c>
      <c r="Z338" s="9">
        <f t="shared" si="19"/>
        <v>3.5</v>
      </c>
      <c r="AA338" s="9">
        <f t="shared" si="19"/>
        <v>3.5</v>
      </c>
      <c r="AB338" s="9">
        <f t="shared" si="19"/>
        <v>10.8</v>
      </c>
      <c r="AC338" s="9">
        <f t="shared" si="19"/>
        <v>10.8</v>
      </c>
      <c r="AD338" s="9">
        <f t="shared" si="19"/>
        <v>8</v>
      </c>
      <c r="AE338" s="9">
        <f t="shared" si="19"/>
        <v>0.5</v>
      </c>
      <c r="AF338" s="9">
        <f t="shared" si="19"/>
        <v>0.8</v>
      </c>
      <c r="AG338" s="9">
        <f t="shared" si="19"/>
        <v>6</v>
      </c>
      <c r="AH338" s="9">
        <f t="shared" si="19"/>
        <v>1.5</v>
      </c>
      <c r="AI338" s="9">
        <f t="shared" si="19"/>
        <v>1.5</v>
      </c>
      <c r="AJ338" s="9">
        <f t="shared" si="19"/>
        <v>7.5</v>
      </c>
      <c r="AK338" s="9">
        <f t="shared" si="19"/>
        <v>16</v>
      </c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</row>
    <row r="339">
      <c r="A339" s="8" t="s">
        <v>64</v>
      </c>
      <c r="B339" s="9">
        <f t="shared" ref="B339:V339" si="20">countifs(B$1:B$330,4,$A$1:$A$330,"X")</f>
        <v>9</v>
      </c>
      <c r="C339" s="9">
        <f t="shared" si="20"/>
        <v>8</v>
      </c>
      <c r="D339" s="9">
        <f t="shared" si="20"/>
        <v>0</v>
      </c>
      <c r="E339" s="9">
        <f t="shared" si="20"/>
        <v>14</v>
      </c>
      <c r="F339" s="9">
        <f t="shared" si="20"/>
        <v>5</v>
      </c>
      <c r="G339" s="9">
        <f t="shared" si="20"/>
        <v>0</v>
      </c>
      <c r="H339" s="9">
        <f t="shared" si="20"/>
        <v>5</v>
      </c>
      <c r="I339" s="9">
        <f t="shared" si="20"/>
        <v>2</v>
      </c>
      <c r="J339" s="9">
        <f t="shared" si="20"/>
        <v>0</v>
      </c>
      <c r="K339" s="9">
        <f t="shared" si="20"/>
        <v>4</v>
      </c>
      <c r="L339" s="9">
        <f t="shared" si="20"/>
        <v>2</v>
      </c>
      <c r="M339" s="9">
        <f t="shared" si="20"/>
        <v>1</v>
      </c>
      <c r="N339" s="9">
        <f t="shared" si="20"/>
        <v>5</v>
      </c>
      <c r="O339" s="9">
        <f t="shared" si="20"/>
        <v>1</v>
      </c>
      <c r="P339" s="9">
        <f t="shared" si="20"/>
        <v>0</v>
      </c>
      <c r="Q339" s="9">
        <f t="shared" si="20"/>
        <v>5</v>
      </c>
      <c r="R339" s="9">
        <f t="shared" si="20"/>
        <v>0</v>
      </c>
      <c r="S339" s="9">
        <f t="shared" si="20"/>
        <v>2</v>
      </c>
      <c r="T339" s="9">
        <f t="shared" si="20"/>
        <v>9</v>
      </c>
      <c r="U339" s="9">
        <f t="shared" si="20"/>
        <v>1</v>
      </c>
      <c r="V339" s="9">
        <f t="shared" si="20"/>
        <v>0</v>
      </c>
      <c r="W339" s="9"/>
      <c r="X339" s="9">
        <f t="shared" ref="X339:AK339" si="21">countifs(X$1:X$330,4,$A$1:$A$330,"X")</f>
        <v>2</v>
      </c>
      <c r="Y339" s="9">
        <f t="shared" si="21"/>
        <v>2</v>
      </c>
      <c r="Z339" s="9">
        <f t="shared" si="21"/>
        <v>1</v>
      </c>
      <c r="AA339" s="9">
        <f t="shared" si="21"/>
        <v>1</v>
      </c>
      <c r="AB339" s="9">
        <f t="shared" si="21"/>
        <v>5</v>
      </c>
      <c r="AC339" s="9">
        <f t="shared" si="21"/>
        <v>3</v>
      </c>
      <c r="AD339" s="9">
        <f t="shared" si="21"/>
        <v>1</v>
      </c>
      <c r="AE339" s="9">
        <f t="shared" si="21"/>
        <v>0</v>
      </c>
      <c r="AF339" s="9">
        <f t="shared" si="21"/>
        <v>0</v>
      </c>
      <c r="AG339" s="9">
        <f t="shared" si="21"/>
        <v>5</v>
      </c>
      <c r="AH339" s="9">
        <f t="shared" si="21"/>
        <v>0</v>
      </c>
      <c r="AI339" s="9">
        <f t="shared" si="21"/>
        <v>1</v>
      </c>
      <c r="AJ339" s="9">
        <f t="shared" si="21"/>
        <v>1</v>
      </c>
      <c r="AK339" s="9">
        <f t="shared" si="21"/>
        <v>6</v>
      </c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</row>
    <row r="340">
      <c r="A340" s="8" t="s">
        <v>65</v>
      </c>
      <c r="B340" s="9">
        <f t="shared" ref="B340:V340" si="22">countifs(B$1:B$330,-4,$A$1:$A$330,"X")</f>
        <v>2</v>
      </c>
      <c r="C340" s="9">
        <f t="shared" si="22"/>
        <v>0</v>
      </c>
      <c r="D340" s="9">
        <f t="shared" si="22"/>
        <v>0</v>
      </c>
      <c r="E340" s="9">
        <f t="shared" si="22"/>
        <v>6</v>
      </c>
      <c r="F340" s="9">
        <f t="shared" si="22"/>
        <v>1</v>
      </c>
      <c r="G340" s="9">
        <f t="shared" si="22"/>
        <v>1</v>
      </c>
      <c r="H340" s="9">
        <f t="shared" si="22"/>
        <v>0</v>
      </c>
      <c r="I340" s="9">
        <f t="shared" si="22"/>
        <v>0</v>
      </c>
      <c r="J340" s="9">
        <f t="shared" si="22"/>
        <v>0</v>
      </c>
      <c r="K340" s="9">
        <f t="shared" si="22"/>
        <v>0</v>
      </c>
      <c r="L340" s="9">
        <f t="shared" si="22"/>
        <v>0</v>
      </c>
      <c r="M340" s="9">
        <f t="shared" si="22"/>
        <v>1</v>
      </c>
      <c r="N340" s="9">
        <f t="shared" si="22"/>
        <v>3</v>
      </c>
      <c r="O340" s="9">
        <f t="shared" si="22"/>
        <v>0</v>
      </c>
      <c r="P340" s="9">
        <f t="shared" si="22"/>
        <v>0</v>
      </c>
      <c r="Q340" s="9">
        <f t="shared" si="22"/>
        <v>1</v>
      </c>
      <c r="R340" s="9">
        <f t="shared" si="22"/>
        <v>0</v>
      </c>
      <c r="S340" s="9">
        <f t="shared" si="22"/>
        <v>0</v>
      </c>
      <c r="T340" s="9">
        <f t="shared" si="22"/>
        <v>0</v>
      </c>
      <c r="U340" s="9">
        <f t="shared" si="22"/>
        <v>0</v>
      </c>
      <c r="V340" s="9">
        <f t="shared" si="22"/>
        <v>0</v>
      </c>
      <c r="W340" s="9"/>
      <c r="X340" s="9">
        <f t="shared" ref="X340:AK340" si="23">countifs(X$1:X$330,-4,$A$1:$A$330,"X")</f>
        <v>0</v>
      </c>
      <c r="Y340" s="9">
        <f t="shared" si="23"/>
        <v>0</v>
      </c>
      <c r="Z340" s="9">
        <f t="shared" si="23"/>
        <v>0</v>
      </c>
      <c r="AA340" s="9">
        <f t="shared" si="23"/>
        <v>0</v>
      </c>
      <c r="AB340" s="9">
        <f t="shared" si="23"/>
        <v>0</v>
      </c>
      <c r="AC340" s="9">
        <f t="shared" si="23"/>
        <v>0</v>
      </c>
      <c r="AD340" s="9">
        <f t="shared" si="23"/>
        <v>0</v>
      </c>
      <c r="AE340" s="9">
        <f t="shared" si="23"/>
        <v>0</v>
      </c>
      <c r="AF340" s="9">
        <f t="shared" si="23"/>
        <v>0</v>
      </c>
      <c r="AG340" s="9">
        <f t="shared" si="23"/>
        <v>1</v>
      </c>
      <c r="AH340" s="9">
        <f t="shared" si="23"/>
        <v>0</v>
      </c>
      <c r="AI340" s="9">
        <f t="shared" si="23"/>
        <v>0</v>
      </c>
      <c r="AJ340" s="9">
        <f t="shared" si="23"/>
        <v>0</v>
      </c>
      <c r="AK340" s="9">
        <f t="shared" si="23"/>
        <v>1</v>
      </c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</row>
    <row r="341">
      <c r="A341" s="8" t="s">
        <v>66</v>
      </c>
      <c r="B341" s="9">
        <f t="shared" ref="B341:V341" si="24">4*(B339-B340)/B$332</f>
        <v>3.5</v>
      </c>
      <c r="C341" s="9">
        <f t="shared" si="24"/>
        <v>3.2</v>
      </c>
      <c r="D341" s="9">
        <f t="shared" si="24"/>
        <v>0</v>
      </c>
      <c r="E341" s="9">
        <f t="shared" si="24"/>
        <v>3.2</v>
      </c>
      <c r="F341" s="9">
        <f t="shared" si="24"/>
        <v>1.6</v>
      </c>
      <c r="G341" s="9">
        <f t="shared" si="24"/>
        <v>-0.5</v>
      </c>
      <c r="H341" s="9">
        <f t="shared" si="24"/>
        <v>2</v>
      </c>
      <c r="I341" s="9">
        <f t="shared" si="24"/>
        <v>1</v>
      </c>
      <c r="J341" s="9">
        <f t="shared" si="24"/>
        <v>0</v>
      </c>
      <c r="K341" s="9">
        <f t="shared" si="24"/>
        <v>2</v>
      </c>
      <c r="L341" s="9">
        <f t="shared" si="24"/>
        <v>1</v>
      </c>
      <c r="M341" s="9">
        <f t="shared" si="24"/>
        <v>0</v>
      </c>
      <c r="N341" s="9">
        <f t="shared" si="24"/>
        <v>1</v>
      </c>
      <c r="O341" s="9">
        <f t="shared" si="24"/>
        <v>0.5</v>
      </c>
      <c r="P341" s="9">
        <f t="shared" si="24"/>
        <v>0</v>
      </c>
      <c r="Q341" s="9">
        <f t="shared" si="24"/>
        <v>2</v>
      </c>
      <c r="R341" s="9">
        <f t="shared" si="24"/>
        <v>0</v>
      </c>
      <c r="S341" s="9">
        <f t="shared" si="24"/>
        <v>1</v>
      </c>
      <c r="T341" s="9">
        <f t="shared" si="24"/>
        <v>4.5</v>
      </c>
      <c r="U341" s="9">
        <f t="shared" si="24"/>
        <v>0.5</v>
      </c>
      <c r="V341" s="9">
        <f t="shared" si="24"/>
        <v>0</v>
      </c>
      <c r="W341" s="9"/>
      <c r="X341" s="9">
        <f t="shared" ref="X341:AK341" si="25">4*(X339-X340)/X$332</f>
        <v>1</v>
      </c>
      <c r="Y341" s="9">
        <f t="shared" si="25"/>
        <v>1</v>
      </c>
      <c r="Z341" s="9">
        <f t="shared" si="25"/>
        <v>0.5</v>
      </c>
      <c r="AA341" s="9">
        <f t="shared" si="25"/>
        <v>0.5</v>
      </c>
      <c r="AB341" s="9">
        <f t="shared" si="25"/>
        <v>2</v>
      </c>
      <c r="AC341" s="9">
        <f t="shared" si="25"/>
        <v>1.2</v>
      </c>
      <c r="AD341" s="9">
        <f t="shared" si="25"/>
        <v>1</v>
      </c>
      <c r="AE341" s="9">
        <f t="shared" si="25"/>
        <v>0</v>
      </c>
      <c r="AF341" s="9">
        <f t="shared" si="25"/>
        <v>0</v>
      </c>
      <c r="AG341" s="9">
        <f t="shared" si="25"/>
        <v>1.6</v>
      </c>
      <c r="AH341" s="9">
        <f t="shared" si="25"/>
        <v>0</v>
      </c>
      <c r="AI341" s="9">
        <f t="shared" si="25"/>
        <v>0.5</v>
      </c>
      <c r="AJ341" s="9">
        <f t="shared" si="25"/>
        <v>0.5</v>
      </c>
      <c r="AK341" s="9">
        <f t="shared" si="25"/>
        <v>2.5</v>
      </c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</row>
    <row r="342">
      <c r="A342" s="8" t="s">
        <v>67</v>
      </c>
      <c r="B342" s="9">
        <f t="shared" ref="B342:V342" si="26">countifs(B$1:B$330,4,$A$1:$A$330,"M")</f>
        <v>1</v>
      </c>
      <c r="C342" s="9">
        <f t="shared" si="26"/>
        <v>0</v>
      </c>
      <c r="D342" s="9">
        <f t="shared" si="26"/>
        <v>4</v>
      </c>
      <c r="E342" s="9">
        <f t="shared" si="26"/>
        <v>7</v>
      </c>
      <c r="F342" s="9">
        <f t="shared" si="26"/>
        <v>6</v>
      </c>
      <c r="G342" s="9">
        <f t="shared" si="26"/>
        <v>3</v>
      </c>
      <c r="H342" s="9">
        <f t="shared" si="26"/>
        <v>2</v>
      </c>
      <c r="I342" s="9">
        <f t="shared" si="26"/>
        <v>5</v>
      </c>
      <c r="J342" s="9">
        <f t="shared" si="26"/>
        <v>0</v>
      </c>
      <c r="K342" s="9">
        <f t="shared" si="26"/>
        <v>3</v>
      </c>
      <c r="L342" s="9">
        <f t="shared" si="26"/>
        <v>1</v>
      </c>
      <c r="M342" s="9">
        <f t="shared" si="26"/>
        <v>0</v>
      </c>
      <c r="N342" s="9">
        <f t="shared" si="26"/>
        <v>2</v>
      </c>
      <c r="O342" s="9">
        <f t="shared" si="26"/>
        <v>5</v>
      </c>
      <c r="P342" s="9">
        <f t="shared" si="26"/>
        <v>10</v>
      </c>
      <c r="Q342" s="9">
        <f t="shared" si="26"/>
        <v>5</v>
      </c>
      <c r="R342" s="9">
        <f t="shared" si="26"/>
        <v>0</v>
      </c>
      <c r="S342" s="9">
        <f t="shared" si="26"/>
        <v>0</v>
      </c>
      <c r="T342" s="9">
        <f t="shared" si="26"/>
        <v>2</v>
      </c>
      <c r="U342" s="9">
        <f t="shared" si="26"/>
        <v>0</v>
      </c>
      <c r="V342" s="9">
        <f t="shared" si="26"/>
        <v>3</v>
      </c>
      <c r="W342" s="9"/>
      <c r="X342" s="9">
        <f t="shared" ref="X342:AK342" si="27">countifs(X$1:X$330,4,$A$1:$A$330,"M")</f>
        <v>2</v>
      </c>
      <c r="Y342" s="9">
        <f t="shared" si="27"/>
        <v>1</v>
      </c>
      <c r="Z342" s="9">
        <f t="shared" si="27"/>
        <v>0</v>
      </c>
      <c r="AA342" s="9">
        <f t="shared" si="27"/>
        <v>4</v>
      </c>
      <c r="AB342" s="9">
        <f t="shared" si="27"/>
        <v>16</v>
      </c>
      <c r="AC342" s="9">
        <f t="shared" si="27"/>
        <v>3</v>
      </c>
      <c r="AD342" s="9">
        <f t="shared" si="27"/>
        <v>1</v>
      </c>
      <c r="AE342" s="9">
        <f t="shared" si="27"/>
        <v>0</v>
      </c>
      <c r="AF342" s="9">
        <f t="shared" si="27"/>
        <v>0</v>
      </c>
      <c r="AG342" s="9">
        <f t="shared" si="27"/>
        <v>1</v>
      </c>
      <c r="AH342" s="9">
        <f t="shared" si="27"/>
        <v>0</v>
      </c>
      <c r="AI342" s="9">
        <f t="shared" si="27"/>
        <v>0</v>
      </c>
      <c r="AJ342" s="9">
        <f t="shared" si="27"/>
        <v>1</v>
      </c>
      <c r="AK342" s="9">
        <f t="shared" si="27"/>
        <v>4</v>
      </c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</row>
    <row r="343">
      <c r="A343" s="8" t="s">
        <v>68</v>
      </c>
      <c r="B343" s="9">
        <f t="shared" ref="B343:V343" si="28">countifs(B$1:B$330,-4,$A$1:$A$330,"M")</f>
        <v>0</v>
      </c>
      <c r="C343" s="9">
        <f t="shared" si="28"/>
        <v>0</v>
      </c>
      <c r="D343" s="9">
        <f t="shared" si="28"/>
        <v>0</v>
      </c>
      <c r="E343" s="9">
        <f t="shared" si="28"/>
        <v>1</v>
      </c>
      <c r="F343" s="9">
        <f t="shared" si="28"/>
        <v>1</v>
      </c>
      <c r="G343" s="9">
        <f t="shared" si="28"/>
        <v>0</v>
      </c>
      <c r="H343" s="9">
        <f t="shared" si="28"/>
        <v>0</v>
      </c>
      <c r="I343" s="9">
        <f t="shared" si="28"/>
        <v>0</v>
      </c>
      <c r="J343" s="9">
        <f t="shared" si="28"/>
        <v>0</v>
      </c>
      <c r="K343" s="9">
        <f t="shared" si="28"/>
        <v>0</v>
      </c>
      <c r="L343" s="9">
        <f t="shared" si="28"/>
        <v>0</v>
      </c>
      <c r="M343" s="9">
        <f t="shared" si="28"/>
        <v>0</v>
      </c>
      <c r="N343" s="9">
        <f t="shared" si="28"/>
        <v>0</v>
      </c>
      <c r="O343" s="9">
        <f t="shared" si="28"/>
        <v>1</v>
      </c>
      <c r="P343" s="9">
        <f t="shared" si="28"/>
        <v>1</v>
      </c>
      <c r="Q343" s="9">
        <f t="shared" si="28"/>
        <v>1</v>
      </c>
      <c r="R343" s="9">
        <f t="shared" si="28"/>
        <v>0</v>
      </c>
      <c r="S343" s="9">
        <f t="shared" si="28"/>
        <v>0</v>
      </c>
      <c r="T343" s="9">
        <f t="shared" si="28"/>
        <v>1</v>
      </c>
      <c r="U343" s="9">
        <f t="shared" si="28"/>
        <v>0</v>
      </c>
      <c r="V343" s="9">
        <f t="shared" si="28"/>
        <v>0</v>
      </c>
      <c r="W343" s="9"/>
      <c r="X343" s="9">
        <f t="shared" ref="X343:AK343" si="29">countifs(X$1:X$330,-4,$A$1:$A$330,"M")</f>
        <v>0</v>
      </c>
      <c r="Y343" s="9">
        <f t="shared" si="29"/>
        <v>0</v>
      </c>
      <c r="Z343" s="9">
        <f t="shared" si="29"/>
        <v>0</v>
      </c>
      <c r="AA343" s="9">
        <f t="shared" si="29"/>
        <v>0</v>
      </c>
      <c r="AB343" s="9">
        <f t="shared" si="29"/>
        <v>3</v>
      </c>
      <c r="AC343" s="9">
        <f t="shared" si="29"/>
        <v>1</v>
      </c>
      <c r="AD343" s="9">
        <f t="shared" si="29"/>
        <v>0</v>
      </c>
      <c r="AE343" s="9">
        <f t="shared" si="29"/>
        <v>0</v>
      </c>
      <c r="AF343" s="9">
        <f t="shared" si="29"/>
        <v>0</v>
      </c>
      <c r="AG343" s="9">
        <f t="shared" si="29"/>
        <v>1</v>
      </c>
      <c r="AH343" s="9">
        <f t="shared" si="29"/>
        <v>0</v>
      </c>
      <c r="AI343" s="9">
        <f t="shared" si="29"/>
        <v>0</v>
      </c>
      <c r="AJ343" s="9">
        <f t="shared" si="29"/>
        <v>0</v>
      </c>
      <c r="AK343" s="9">
        <f t="shared" si="29"/>
        <v>1</v>
      </c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</row>
    <row r="344">
      <c r="A344" s="8" t="s">
        <v>69</v>
      </c>
      <c r="B344" s="9">
        <f t="shared" ref="B344:V344" si="30">4*(B342-B343)/B$332</f>
        <v>0.5</v>
      </c>
      <c r="C344" s="9">
        <f t="shared" si="30"/>
        <v>0</v>
      </c>
      <c r="D344" s="9">
        <f t="shared" si="30"/>
        <v>2</v>
      </c>
      <c r="E344" s="9">
        <f t="shared" si="30"/>
        <v>2.4</v>
      </c>
      <c r="F344" s="9">
        <f t="shared" si="30"/>
        <v>2</v>
      </c>
      <c r="G344" s="9">
        <f t="shared" si="30"/>
        <v>1.5</v>
      </c>
      <c r="H344" s="9">
        <f t="shared" si="30"/>
        <v>0.8</v>
      </c>
      <c r="I344" s="9">
        <f t="shared" si="30"/>
        <v>2.5</v>
      </c>
      <c r="J344" s="9">
        <f t="shared" si="30"/>
        <v>0</v>
      </c>
      <c r="K344" s="9">
        <f t="shared" si="30"/>
        <v>1.5</v>
      </c>
      <c r="L344" s="9">
        <f t="shared" si="30"/>
        <v>0.5</v>
      </c>
      <c r="M344" s="9">
        <f t="shared" si="30"/>
        <v>0</v>
      </c>
      <c r="N344" s="9">
        <f t="shared" si="30"/>
        <v>1</v>
      </c>
      <c r="O344" s="9">
        <f t="shared" si="30"/>
        <v>2</v>
      </c>
      <c r="P344" s="9">
        <f t="shared" si="30"/>
        <v>4.5</v>
      </c>
      <c r="Q344" s="9">
        <f t="shared" si="30"/>
        <v>2</v>
      </c>
      <c r="R344" s="9">
        <f t="shared" si="30"/>
        <v>0</v>
      </c>
      <c r="S344" s="9">
        <f t="shared" si="30"/>
        <v>0</v>
      </c>
      <c r="T344" s="9">
        <f t="shared" si="30"/>
        <v>0.5</v>
      </c>
      <c r="U344" s="9">
        <f t="shared" si="30"/>
        <v>0</v>
      </c>
      <c r="V344" s="9">
        <f t="shared" si="30"/>
        <v>1.5</v>
      </c>
      <c r="W344" s="9"/>
      <c r="X344" s="9">
        <f t="shared" ref="X344:AK344" si="31">4*(X342-X343)/X$332</f>
        <v>1</v>
      </c>
      <c r="Y344" s="9">
        <f t="shared" si="31"/>
        <v>0.5</v>
      </c>
      <c r="Z344" s="9">
        <f t="shared" si="31"/>
        <v>0</v>
      </c>
      <c r="AA344" s="9">
        <f t="shared" si="31"/>
        <v>2</v>
      </c>
      <c r="AB344" s="9">
        <f t="shared" si="31"/>
        <v>5.2</v>
      </c>
      <c r="AC344" s="9">
        <f t="shared" si="31"/>
        <v>0.8</v>
      </c>
      <c r="AD344" s="9">
        <f t="shared" si="31"/>
        <v>1</v>
      </c>
      <c r="AE344" s="9">
        <f t="shared" si="31"/>
        <v>0</v>
      </c>
      <c r="AF344" s="9">
        <f t="shared" si="31"/>
        <v>0</v>
      </c>
      <c r="AG344" s="9">
        <f t="shared" si="31"/>
        <v>0</v>
      </c>
      <c r="AH344" s="9">
        <f t="shared" si="31"/>
        <v>0</v>
      </c>
      <c r="AI344" s="9">
        <f t="shared" si="31"/>
        <v>0</v>
      </c>
      <c r="AJ344" s="9">
        <f t="shared" si="31"/>
        <v>0.5</v>
      </c>
      <c r="AK344" s="9">
        <f t="shared" si="31"/>
        <v>1.5</v>
      </c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</row>
    <row r="345">
      <c r="A345" s="8" t="s">
        <v>70</v>
      </c>
      <c r="B345" s="9">
        <f t="shared" ref="B345:V345" si="32">countifs(B$1:B$330,4,$A$1:$A$330,"C")</f>
        <v>5</v>
      </c>
      <c r="C345" s="9">
        <f t="shared" si="32"/>
        <v>1</v>
      </c>
      <c r="D345" s="9">
        <f t="shared" si="32"/>
        <v>1</v>
      </c>
      <c r="E345" s="9">
        <f t="shared" si="32"/>
        <v>7</v>
      </c>
      <c r="F345" s="9">
        <f t="shared" si="32"/>
        <v>5</v>
      </c>
      <c r="G345" s="9">
        <f t="shared" si="32"/>
        <v>0</v>
      </c>
      <c r="H345" s="9">
        <f t="shared" si="32"/>
        <v>1</v>
      </c>
      <c r="I345" s="9">
        <f t="shared" si="32"/>
        <v>2</v>
      </c>
      <c r="J345" s="9">
        <f t="shared" si="32"/>
        <v>1</v>
      </c>
      <c r="K345" s="9">
        <f t="shared" si="32"/>
        <v>5</v>
      </c>
      <c r="L345" s="9">
        <f t="shared" si="32"/>
        <v>2</v>
      </c>
      <c r="M345" s="9">
        <f t="shared" si="32"/>
        <v>0</v>
      </c>
      <c r="N345" s="9">
        <f t="shared" si="32"/>
        <v>10</v>
      </c>
      <c r="O345" s="9">
        <f t="shared" si="32"/>
        <v>1</v>
      </c>
      <c r="P345" s="9">
        <f t="shared" si="32"/>
        <v>0</v>
      </c>
      <c r="Q345" s="9">
        <f t="shared" si="32"/>
        <v>4</v>
      </c>
      <c r="R345" s="9">
        <f t="shared" si="32"/>
        <v>0</v>
      </c>
      <c r="S345" s="9">
        <f t="shared" si="32"/>
        <v>1</v>
      </c>
      <c r="T345" s="9">
        <f t="shared" si="32"/>
        <v>4</v>
      </c>
      <c r="U345" s="9">
        <f t="shared" si="32"/>
        <v>5</v>
      </c>
      <c r="V345" s="9">
        <f t="shared" si="32"/>
        <v>6</v>
      </c>
      <c r="W345" s="9"/>
      <c r="X345" s="9">
        <f t="shared" ref="X345:AK345" si="33">countifs(X$1:X$330,4,$A$1:$A$330,"C")</f>
        <v>2</v>
      </c>
      <c r="Y345" s="9">
        <f t="shared" si="33"/>
        <v>7</v>
      </c>
      <c r="Z345" s="9">
        <f t="shared" si="33"/>
        <v>0</v>
      </c>
      <c r="AA345" s="9">
        <f t="shared" si="33"/>
        <v>0</v>
      </c>
      <c r="AB345" s="9">
        <f t="shared" si="33"/>
        <v>7</v>
      </c>
      <c r="AC345" s="9">
        <f t="shared" si="33"/>
        <v>20</v>
      </c>
      <c r="AD345" s="9">
        <f t="shared" si="33"/>
        <v>0</v>
      </c>
      <c r="AE345" s="9">
        <f t="shared" si="33"/>
        <v>1</v>
      </c>
      <c r="AF345" s="9">
        <f t="shared" si="33"/>
        <v>0</v>
      </c>
      <c r="AG345" s="9">
        <f t="shared" si="33"/>
        <v>1</v>
      </c>
      <c r="AH345" s="9">
        <f t="shared" si="33"/>
        <v>0</v>
      </c>
      <c r="AI345" s="9">
        <f t="shared" si="33"/>
        <v>0</v>
      </c>
      <c r="AJ345" s="9">
        <f t="shared" si="33"/>
        <v>8</v>
      </c>
      <c r="AK345" s="9">
        <f t="shared" si="33"/>
        <v>9</v>
      </c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</row>
    <row r="346">
      <c r="A346" s="8" t="s">
        <v>71</v>
      </c>
      <c r="B346" s="9">
        <f t="shared" ref="B346:V346" si="34">countifs(B$1:B$330,-4,$A$1:$A$330,"C")</f>
        <v>0</v>
      </c>
      <c r="C346" s="9">
        <f t="shared" si="34"/>
        <v>0</v>
      </c>
      <c r="D346" s="9">
        <f t="shared" si="34"/>
        <v>0</v>
      </c>
      <c r="E346" s="9">
        <f t="shared" si="34"/>
        <v>3</v>
      </c>
      <c r="F346" s="9">
        <f t="shared" si="34"/>
        <v>0</v>
      </c>
      <c r="G346" s="9">
        <f t="shared" si="34"/>
        <v>1</v>
      </c>
      <c r="H346" s="9">
        <f t="shared" si="34"/>
        <v>0</v>
      </c>
      <c r="I346" s="9">
        <f t="shared" si="34"/>
        <v>0</v>
      </c>
      <c r="J346" s="9">
        <f t="shared" si="34"/>
        <v>0</v>
      </c>
      <c r="K346" s="9">
        <f t="shared" si="34"/>
        <v>0</v>
      </c>
      <c r="L346" s="9">
        <f t="shared" si="34"/>
        <v>0</v>
      </c>
      <c r="M346" s="9">
        <f t="shared" si="34"/>
        <v>0</v>
      </c>
      <c r="N346" s="9">
        <f t="shared" si="34"/>
        <v>1</v>
      </c>
      <c r="O346" s="9">
        <f t="shared" si="34"/>
        <v>0</v>
      </c>
      <c r="P346" s="9">
        <f t="shared" si="34"/>
        <v>0</v>
      </c>
      <c r="Q346" s="9">
        <f t="shared" si="34"/>
        <v>1</v>
      </c>
      <c r="R346" s="9">
        <f t="shared" si="34"/>
        <v>0</v>
      </c>
      <c r="S346" s="9">
        <f t="shared" si="34"/>
        <v>0</v>
      </c>
      <c r="T346" s="9">
        <f t="shared" si="34"/>
        <v>0</v>
      </c>
      <c r="U346" s="9">
        <f t="shared" si="34"/>
        <v>0</v>
      </c>
      <c r="V346" s="9">
        <f t="shared" si="34"/>
        <v>0</v>
      </c>
      <c r="W346" s="9"/>
      <c r="X346" s="9">
        <f t="shared" ref="X346:AK346" si="35">countifs(X$1:X$330,-4,$A$1:$A$330,"C")</f>
        <v>0</v>
      </c>
      <c r="Y346" s="9">
        <f t="shared" si="35"/>
        <v>1</v>
      </c>
      <c r="Z346" s="9">
        <f t="shared" si="35"/>
        <v>0</v>
      </c>
      <c r="AA346" s="9">
        <f t="shared" si="35"/>
        <v>0</v>
      </c>
      <c r="AB346" s="9">
        <f t="shared" si="35"/>
        <v>1</v>
      </c>
      <c r="AC346" s="9">
        <f t="shared" si="35"/>
        <v>4</v>
      </c>
      <c r="AD346" s="9">
        <f t="shared" si="35"/>
        <v>0</v>
      </c>
      <c r="AE346" s="9">
        <f t="shared" si="35"/>
        <v>0</v>
      </c>
      <c r="AF346" s="9">
        <f t="shared" si="35"/>
        <v>0</v>
      </c>
      <c r="AG346" s="9">
        <f t="shared" si="35"/>
        <v>0</v>
      </c>
      <c r="AH346" s="9">
        <f t="shared" si="35"/>
        <v>0</v>
      </c>
      <c r="AI346" s="9">
        <f t="shared" si="35"/>
        <v>0</v>
      </c>
      <c r="AJ346" s="9">
        <f t="shared" si="35"/>
        <v>1</v>
      </c>
      <c r="AK346" s="9">
        <f t="shared" si="35"/>
        <v>0</v>
      </c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</row>
    <row r="347">
      <c r="A347" s="8" t="s">
        <v>72</v>
      </c>
      <c r="B347" s="9">
        <f t="shared" ref="B347:V347" si="36">4*(B345-B346)/B$332</f>
        <v>2.5</v>
      </c>
      <c r="C347" s="9">
        <f t="shared" si="36"/>
        <v>0.4</v>
      </c>
      <c r="D347" s="9">
        <f t="shared" si="36"/>
        <v>0.5</v>
      </c>
      <c r="E347" s="9">
        <f t="shared" si="36"/>
        <v>1.6</v>
      </c>
      <c r="F347" s="9">
        <f t="shared" si="36"/>
        <v>2</v>
      </c>
      <c r="G347" s="9">
        <f t="shared" si="36"/>
        <v>-0.5</v>
      </c>
      <c r="H347" s="9">
        <f t="shared" si="36"/>
        <v>0.4</v>
      </c>
      <c r="I347" s="9">
        <f t="shared" si="36"/>
        <v>1</v>
      </c>
      <c r="J347" s="9">
        <f t="shared" si="36"/>
        <v>0.5</v>
      </c>
      <c r="K347" s="9">
        <f t="shared" si="36"/>
        <v>2.5</v>
      </c>
      <c r="L347" s="9">
        <f t="shared" si="36"/>
        <v>1</v>
      </c>
      <c r="M347" s="9">
        <f t="shared" si="36"/>
        <v>0</v>
      </c>
      <c r="N347" s="9">
        <f t="shared" si="36"/>
        <v>4.5</v>
      </c>
      <c r="O347" s="9">
        <f t="shared" si="36"/>
        <v>0.5</v>
      </c>
      <c r="P347" s="9">
        <f t="shared" si="36"/>
        <v>0</v>
      </c>
      <c r="Q347" s="9">
        <f t="shared" si="36"/>
        <v>1.5</v>
      </c>
      <c r="R347" s="9">
        <f t="shared" si="36"/>
        <v>0</v>
      </c>
      <c r="S347" s="9">
        <f t="shared" si="36"/>
        <v>0.5</v>
      </c>
      <c r="T347" s="9">
        <f t="shared" si="36"/>
        <v>2</v>
      </c>
      <c r="U347" s="9">
        <f t="shared" si="36"/>
        <v>2.5</v>
      </c>
      <c r="V347" s="9">
        <f t="shared" si="36"/>
        <v>3</v>
      </c>
      <c r="W347" s="9"/>
      <c r="X347" s="9">
        <f t="shared" ref="X347:AK347" si="37">4*(X345-X346)/X$332</f>
        <v>1</v>
      </c>
      <c r="Y347" s="9">
        <f t="shared" si="37"/>
        <v>3</v>
      </c>
      <c r="Z347" s="9">
        <f t="shared" si="37"/>
        <v>0</v>
      </c>
      <c r="AA347" s="9">
        <f t="shared" si="37"/>
        <v>0</v>
      </c>
      <c r="AB347" s="9">
        <f t="shared" si="37"/>
        <v>2.4</v>
      </c>
      <c r="AC347" s="9">
        <f t="shared" si="37"/>
        <v>6.4</v>
      </c>
      <c r="AD347" s="9">
        <f t="shared" si="37"/>
        <v>0</v>
      </c>
      <c r="AE347" s="9">
        <f t="shared" si="37"/>
        <v>0.5</v>
      </c>
      <c r="AF347" s="9">
        <f t="shared" si="37"/>
        <v>0</v>
      </c>
      <c r="AG347" s="9">
        <f t="shared" si="37"/>
        <v>0.4</v>
      </c>
      <c r="AH347" s="9">
        <f t="shared" si="37"/>
        <v>0</v>
      </c>
      <c r="AI347" s="9">
        <f t="shared" si="37"/>
        <v>0</v>
      </c>
      <c r="AJ347" s="9">
        <f t="shared" si="37"/>
        <v>3.5</v>
      </c>
      <c r="AK347" s="9">
        <f t="shared" si="37"/>
        <v>4.5</v>
      </c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</row>
    <row r="348">
      <c r="A348" s="8" t="s">
        <v>73</v>
      </c>
      <c r="B348" s="9">
        <f t="shared" ref="B348:V348" si="38">countifs(B$1:B$330,4,$A$1:$A$330,"E")</f>
        <v>4</v>
      </c>
      <c r="C348" s="9">
        <f t="shared" si="38"/>
        <v>0</v>
      </c>
      <c r="D348" s="9">
        <f t="shared" si="38"/>
        <v>0</v>
      </c>
      <c r="E348" s="9">
        <f t="shared" si="38"/>
        <v>11</v>
      </c>
      <c r="F348" s="9">
        <f t="shared" si="38"/>
        <v>1</v>
      </c>
      <c r="G348" s="9">
        <f t="shared" si="38"/>
        <v>1</v>
      </c>
      <c r="H348" s="9">
        <f t="shared" si="38"/>
        <v>21</v>
      </c>
      <c r="I348" s="9">
        <f t="shared" si="38"/>
        <v>3</v>
      </c>
      <c r="J348" s="9">
        <f t="shared" si="38"/>
        <v>4</v>
      </c>
      <c r="K348" s="9">
        <f t="shared" si="38"/>
        <v>0</v>
      </c>
      <c r="L348" s="9">
        <f t="shared" si="38"/>
        <v>1</v>
      </c>
      <c r="M348" s="9">
        <f t="shared" si="38"/>
        <v>0</v>
      </c>
      <c r="N348" s="9">
        <f t="shared" si="38"/>
        <v>3</v>
      </c>
      <c r="O348" s="9">
        <f t="shared" si="38"/>
        <v>2</v>
      </c>
      <c r="P348" s="9">
        <f t="shared" si="38"/>
        <v>1</v>
      </c>
      <c r="Q348" s="9">
        <f t="shared" si="38"/>
        <v>11</v>
      </c>
      <c r="R348" s="9">
        <f t="shared" si="38"/>
        <v>0</v>
      </c>
      <c r="S348" s="9">
        <f t="shared" si="38"/>
        <v>3</v>
      </c>
      <c r="T348" s="9">
        <f t="shared" si="38"/>
        <v>1</v>
      </c>
      <c r="U348" s="9">
        <f t="shared" si="38"/>
        <v>4</v>
      </c>
      <c r="V348" s="9">
        <f t="shared" si="38"/>
        <v>0</v>
      </c>
      <c r="W348" s="9"/>
      <c r="X348" s="9">
        <f t="shared" ref="X348:AK348" si="39">countifs(X$1:X$330,4,$A$1:$A$330,"E")</f>
        <v>0</v>
      </c>
      <c r="Y348" s="9">
        <f t="shared" si="39"/>
        <v>2</v>
      </c>
      <c r="Z348" s="9">
        <f t="shared" si="39"/>
        <v>6</v>
      </c>
      <c r="AA348" s="9">
        <f t="shared" si="39"/>
        <v>0</v>
      </c>
      <c r="AB348" s="9">
        <f t="shared" si="39"/>
        <v>0</v>
      </c>
      <c r="AC348" s="9">
        <f t="shared" si="39"/>
        <v>6</v>
      </c>
      <c r="AD348" s="9">
        <f t="shared" si="39"/>
        <v>1</v>
      </c>
      <c r="AE348" s="9">
        <f t="shared" si="39"/>
        <v>0</v>
      </c>
      <c r="AF348" s="9">
        <f t="shared" si="39"/>
        <v>0</v>
      </c>
      <c r="AG348" s="9">
        <f t="shared" si="39"/>
        <v>10</v>
      </c>
      <c r="AH348" s="9">
        <f t="shared" si="39"/>
        <v>0</v>
      </c>
      <c r="AI348" s="9">
        <f t="shared" si="39"/>
        <v>1</v>
      </c>
      <c r="AJ348" s="9">
        <f t="shared" si="39"/>
        <v>5</v>
      </c>
      <c r="AK348" s="9">
        <f t="shared" si="39"/>
        <v>4</v>
      </c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</row>
    <row r="349">
      <c r="A349" s="8" t="s">
        <v>74</v>
      </c>
      <c r="B349" s="9">
        <f t="shared" ref="B349:V349" si="40">countifs(B$1:B$330,-4,$A$1:$A$330,"E")</f>
        <v>1</v>
      </c>
      <c r="C349" s="9">
        <f t="shared" si="40"/>
        <v>0</v>
      </c>
      <c r="D349" s="9">
        <f t="shared" si="40"/>
        <v>0</v>
      </c>
      <c r="E349" s="9">
        <f t="shared" si="40"/>
        <v>4</v>
      </c>
      <c r="F349" s="9">
        <f t="shared" si="40"/>
        <v>1</v>
      </c>
      <c r="G349" s="9">
        <f t="shared" si="40"/>
        <v>0</v>
      </c>
      <c r="H349" s="9">
        <f t="shared" si="40"/>
        <v>2</v>
      </c>
      <c r="I349" s="9">
        <f t="shared" si="40"/>
        <v>0</v>
      </c>
      <c r="J349" s="9">
        <f t="shared" si="40"/>
        <v>1</v>
      </c>
      <c r="K349" s="9">
        <f t="shared" si="40"/>
        <v>1</v>
      </c>
      <c r="L349" s="9">
        <f t="shared" si="40"/>
        <v>0</v>
      </c>
      <c r="M349" s="9">
        <f t="shared" si="40"/>
        <v>1</v>
      </c>
      <c r="N349" s="9">
        <f t="shared" si="40"/>
        <v>0</v>
      </c>
      <c r="O349" s="9">
        <f t="shared" si="40"/>
        <v>0</v>
      </c>
      <c r="P349" s="9">
        <f t="shared" si="40"/>
        <v>0</v>
      </c>
      <c r="Q349" s="9">
        <f t="shared" si="40"/>
        <v>0</v>
      </c>
      <c r="R349" s="9">
        <f t="shared" si="40"/>
        <v>0</v>
      </c>
      <c r="S349" s="9">
        <f t="shared" si="40"/>
        <v>0</v>
      </c>
      <c r="T349" s="9">
        <f t="shared" si="40"/>
        <v>0</v>
      </c>
      <c r="U349" s="9">
        <f t="shared" si="40"/>
        <v>0</v>
      </c>
      <c r="V349" s="9">
        <f t="shared" si="40"/>
        <v>0</v>
      </c>
      <c r="W349" s="9"/>
      <c r="X349" s="9">
        <f t="shared" ref="X349:AK349" si="41">countifs(X$1:X$330,-4,$A$1:$A$330,"E")</f>
        <v>0</v>
      </c>
      <c r="Y349" s="9">
        <f t="shared" si="41"/>
        <v>0</v>
      </c>
      <c r="Z349" s="9">
        <f t="shared" si="41"/>
        <v>0</v>
      </c>
      <c r="AA349" s="9">
        <f t="shared" si="41"/>
        <v>0</v>
      </c>
      <c r="AB349" s="9">
        <f t="shared" si="41"/>
        <v>0</v>
      </c>
      <c r="AC349" s="9">
        <f t="shared" si="41"/>
        <v>1</v>
      </c>
      <c r="AD349" s="9">
        <f t="shared" si="41"/>
        <v>0</v>
      </c>
      <c r="AE349" s="9">
        <f t="shared" si="41"/>
        <v>0</v>
      </c>
      <c r="AF349" s="9">
        <f t="shared" si="41"/>
        <v>0</v>
      </c>
      <c r="AG349" s="9">
        <f t="shared" si="41"/>
        <v>0</v>
      </c>
      <c r="AH349" s="9">
        <f t="shared" si="41"/>
        <v>0</v>
      </c>
      <c r="AI349" s="9">
        <f t="shared" si="41"/>
        <v>0</v>
      </c>
      <c r="AJ349" s="9">
        <f t="shared" si="41"/>
        <v>0</v>
      </c>
      <c r="AK349" s="9">
        <f t="shared" si="41"/>
        <v>0</v>
      </c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</row>
    <row r="350">
      <c r="A350" s="8" t="s">
        <v>75</v>
      </c>
      <c r="B350" s="9">
        <f t="shared" ref="B350:V350" si="42">4*(B348-B349)/B$332</f>
        <v>1.5</v>
      </c>
      <c r="C350" s="9">
        <f t="shared" si="42"/>
        <v>0</v>
      </c>
      <c r="D350" s="9">
        <f t="shared" si="42"/>
        <v>0</v>
      </c>
      <c r="E350" s="9">
        <f t="shared" si="42"/>
        <v>2.8</v>
      </c>
      <c r="F350" s="9">
        <f t="shared" si="42"/>
        <v>0</v>
      </c>
      <c r="G350" s="9">
        <f t="shared" si="42"/>
        <v>0.5</v>
      </c>
      <c r="H350" s="9">
        <f t="shared" si="42"/>
        <v>7.6</v>
      </c>
      <c r="I350" s="9">
        <f t="shared" si="42"/>
        <v>1.5</v>
      </c>
      <c r="J350" s="9">
        <f t="shared" si="42"/>
        <v>1.5</v>
      </c>
      <c r="K350" s="9">
        <f t="shared" si="42"/>
        <v>-0.5</v>
      </c>
      <c r="L350" s="9">
        <f t="shared" si="42"/>
        <v>0.5</v>
      </c>
      <c r="M350" s="9">
        <f t="shared" si="42"/>
        <v>-0.5</v>
      </c>
      <c r="N350" s="9">
        <f t="shared" si="42"/>
        <v>1.5</v>
      </c>
      <c r="O350" s="9">
        <f t="shared" si="42"/>
        <v>1</v>
      </c>
      <c r="P350" s="9">
        <f t="shared" si="42"/>
        <v>0.5</v>
      </c>
      <c r="Q350" s="9">
        <f t="shared" si="42"/>
        <v>5.5</v>
      </c>
      <c r="R350" s="9">
        <f t="shared" si="42"/>
        <v>0</v>
      </c>
      <c r="S350" s="9">
        <f t="shared" si="42"/>
        <v>1.5</v>
      </c>
      <c r="T350" s="9">
        <f t="shared" si="42"/>
        <v>0.5</v>
      </c>
      <c r="U350" s="9">
        <f t="shared" si="42"/>
        <v>2</v>
      </c>
      <c r="V350" s="9">
        <f t="shared" si="42"/>
        <v>0</v>
      </c>
      <c r="W350" s="9"/>
      <c r="X350" s="9">
        <f t="shared" ref="X350:AK350" si="43">4*(X348-X349)/X$332</f>
        <v>0</v>
      </c>
      <c r="Y350" s="9">
        <f t="shared" si="43"/>
        <v>1</v>
      </c>
      <c r="Z350" s="9">
        <f t="shared" si="43"/>
        <v>3</v>
      </c>
      <c r="AA350" s="9">
        <f t="shared" si="43"/>
        <v>0</v>
      </c>
      <c r="AB350" s="9">
        <f t="shared" si="43"/>
        <v>0</v>
      </c>
      <c r="AC350" s="9">
        <f t="shared" si="43"/>
        <v>2</v>
      </c>
      <c r="AD350" s="9">
        <f t="shared" si="43"/>
        <v>1</v>
      </c>
      <c r="AE350" s="9">
        <f t="shared" si="43"/>
        <v>0</v>
      </c>
      <c r="AF350" s="9">
        <f t="shared" si="43"/>
        <v>0</v>
      </c>
      <c r="AG350" s="9">
        <f t="shared" si="43"/>
        <v>4</v>
      </c>
      <c r="AH350" s="9">
        <f t="shared" si="43"/>
        <v>0</v>
      </c>
      <c r="AI350" s="9">
        <f t="shared" si="43"/>
        <v>0.5</v>
      </c>
      <c r="AJ350" s="9">
        <f t="shared" si="43"/>
        <v>2.5</v>
      </c>
      <c r="AK350" s="9">
        <f t="shared" si="43"/>
        <v>2</v>
      </c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</row>
    <row r="351">
      <c r="A351" s="8" t="s">
        <v>76</v>
      </c>
      <c r="B351" s="9">
        <f t="shared" ref="B351:V351" si="44">countifs(B$1:B$330,4,$A$1:$A$330,"B")</f>
        <v>13</v>
      </c>
      <c r="C351" s="9">
        <f t="shared" si="44"/>
        <v>8</v>
      </c>
      <c r="D351" s="9">
        <f t="shared" si="44"/>
        <v>3</v>
      </c>
      <c r="E351" s="9">
        <f t="shared" si="44"/>
        <v>26</v>
      </c>
      <c r="F351" s="9">
        <f t="shared" si="44"/>
        <v>6</v>
      </c>
      <c r="G351" s="9">
        <f t="shared" si="44"/>
        <v>1</v>
      </c>
      <c r="H351" s="9">
        <f t="shared" si="44"/>
        <v>3</v>
      </c>
      <c r="I351" s="9">
        <f t="shared" si="44"/>
        <v>9</v>
      </c>
      <c r="J351" s="9">
        <f t="shared" si="44"/>
        <v>8</v>
      </c>
      <c r="K351" s="9">
        <f t="shared" si="44"/>
        <v>1</v>
      </c>
      <c r="L351" s="9">
        <f t="shared" si="44"/>
        <v>0</v>
      </c>
      <c r="M351" s="9">
        <f t="shared" si="44"/>
        <v>3</v>
      </c>
      <c r="N351" s="9">
        <f t="shared" si="44"/>
        <v>2</v>
      </c>
      <c r="O351" s="9">
        <f t="shared" si="44"/>
        <v>1</v>
      </c>
      <c r="P351" s="9">
        <f t="shared" si="44"/>
        <v>2</v>
      </c>
      <c r="Q351" s="9">
        <f t="shared" si="44"/>
        <v>1</v>
      </c>
      <c r="R351" s="9">
        <f t="shared" si="44"/>
        <v>0</v>
      </c>
      <c r="S351" s="9">
        <f t="shared" si="44"/>
        <v>0</v>
      </c>
      <c r="T351" s="9">
        <f t="shared" si="44"/>
        <v>9</v>
      </c>
      <c r="U351" s="9">
        <f t="shared" si="44"/>
        <v>1</v>
      </c>
      <c r="V351" s="9">
        <f t="shared" si="44"/>
        <v>0</v>
      </c>
      <c r="W351" s="9"/>
      <c r="X351" s="9">
        <f t="shared" ref="X351:AK351" si="45">countifs(X$1:X$330,4,$A$1:$A$330,"B")</f>
        <v>1</v>
      </c>
      <c r="Y351" s="9">
        <f t="shared" si="45"/>
        <v>1</v>
      </c>
      <c r="Z351" s="9">
        <f t="shared" si="45"/>
        <v>0</v>
      </c>
      <c r="AA351" s="9">
        <f t="shared" si="45"/>
        <v>0</v>
      </c>
      <c r="AB351" s="9">
        <f t="shared" si="45"/>
        <v>0</v>
      </c>
      <c r="AC351" s="9">
        <f t="shared" si="45"/>
        <v>0</v>
      </c>
      <c r="AD351" s="9">
        <f t="shared" si="45"/>
        <v>0</v>
      </c>
      <c r="AE351" s="9">
        <f t="shared" si="45"/>
        <v>0</v>
      </c>
      <c r="AF351" s="9">
        <f t="shared" si="45"/>
        <v>0</v>
      </c>
      <c r="AG351" s="9">
        <f t="shared" si="45"/>
        <v>0</v>
      </c>
      <c r="AH351" s="9">
        <f t="shared" si="45"/>
        <v>3</v>
      </c>
      <c r="AI351" s="9">
        <f t="shared" si="45"/>
        <v>0</v>
      </c>
      <c r="AJ351" s="9">
        <f t="shared" si="45"/>
        <v>0</v>
      </c>
      <c r="AK351" s="9">
        <f t="shared" si="45"/>
        <v>6</v>
      </c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</row>
    <row r="352">
      <c r="A352" s="8" t="s">
        <v>77</v>
      </c>
      <c r="B352" s="9">
        <f t="shared" ref="B352:V352" si="46">countifs(B$1:B$330,-4,$A$1:$A$330,"B")</f>
        <v>2</v>
      </c>
      <c r="C352" s="9">
        <f t="shared" si="46"/>
        <v>0</v>
      </c>
      <c r="D352" s="9">
        <f t="shared" si="46"/>
        <v>0</v>
      </c>
      <c r="E352" s="9">
        <f t="shared" si="46"/>
        <v>6</v>
      </c>
      <c r="F352" s="9">
        <f t="shared" si="46"/>
        <v>1</v>
      </c>
      <c r="G352" s="9">
        <f t="shared" si="46"/>
        <v>0</v>
      </c>
      <c r="H352" s="9">
        <f t="shared" si="46"/>
        <v>0</v>
      </c>
      <c r="I352" s="9">
        <f t="shared" si="46"/>
        <v>0</v>
      </c>
      <c r="J352" s="9">
        <f t="shared" si="46"/>
        <v>1</v>
      </c>
      <c r="K352" s="9">
        <f t="shared" si="46"/>
        <v>0</v>
      </c>
      <c r="L352" s="9">
        <f t="shared" si="46"/>
        <v>0</v>
      </c>
      <c r="M352" s="9">
        <f t="shared" si="46"/>
        <v>0</v>
      </c>
      <c r="N352" s="9">
        <f t="shared" si="46"/>
        <v>0</v>
      </c>
      <c r="O352" s="9">
        <f t="shared" si="46"/>
        <v>0</v>
      </c>
      <c r="P352" s="9">
        <f t="shared" si="46"/>
        <v>0</v>
      </c>
      <c r="Q352" s="9">
        <f t="shared" si="46"/>
        <v>0</v>
      </c>
      <c r="R352" s="9">
        <f t="shared" si="46"/>
        <v>0</v>
      </c>
      <c r="S352" s="9">
        <f t="shared" si="46"/>
        <v>0</v>
      </c>
      <c r="T352" s="9">
        <f t="shared" si="46"/>
        <v>4</v>
      </c>
      <c r="U352" s="9">
        <f t="shared" si="46"/>
        <v>0</v>
      </c>
      <c r="V352" s="9">
        <f t="shared" si="46"/>
        <v>0</v>
      </c>
      <c r="W352" s="9"/>
      <c r="X352" s="9">
        <f t="shared" ref="X352:AK352" si="47">countifs(X$1:X$330,-4,$A$1:$A$330,"B")</f>
        <v>0</v>
      </c>
      <c r="Y352" s="9">
        <f t="shared" si="47"/>
        <v>0</v>
      </c>
      <c r="Z352" s="9">
        <f t="shared" si="47"/>
        <v>0</v>
      </c>
      <c r="AA352" s="9">
        <f t="shared" si="47"/>
        <v>0</v>
      </c>
      <c r="AB352" s="9">
        <f t="shared" si="47"/>
        <v>0</v>
      </c>
      <c r="AC352" s="9">
        <f t="shared" si="47"/>
        <v>0</v>
      </c>
      <c r="AD352" s="9">
        <f t="shared" si="47"/>
        <v>0</v>
      </c>
      <c r="AE352" s="9">
        <f t="shared" si="47"/>
        <v>0</v>
      </c>
      <c r="AF352" s="9">
        <f t="shared" si="47"/>
        <v>0</v>
      </c>
      <c r="AG352" s="9">
        <f t="shared" si="47"/>
        <v>1</v>
      </c>
      <c r="AH352" s="9">
        <f t="shared" si="47"/>
        <v>0</v>
      </c>
      <c r="AI352" s="9">
        <f t="shared" si="47"/>
        <v>0</v>
      </c>
      <c r="AJ352" s="9">
        <f t="shared" si="47"/>
        <v>0</v>
      </c>
      <c r="AK352" s="9">
        <f t="shared" si="47"/>
        <v>0</v>
      </c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</row>
    <row r="353">
      <c r="A353" s="8" t="s">
        <v>78</v>
      </c>
      <c r="B353" s="9">
        <f t="shared" ref="B353:V353" si="48">4*(B351-B352)/B$332</f>
        <v>5.5</v>
      </c>
      <c r="C353" s="9">
        <f t="shared" si="48"/>
        <v>3.2</v>
      </c>
      <c r="D353" s="9">
        <f t="shared" si="48"/>
        <v>1.5</v>
      </c>
      <c r="E353" s="9">
        <f t="shared" si="48"/>
        <v>8</v>
      </c>
      <c r="F353" s="9">
        <f t="shared" si="48"/>
        <v>2</v>
      </c>
      <c r="G353" s="9">
        <f t="shared" si="48"/>
        <v>0.5</v>
      </c>
      <c r="H353" s="9">
        <f t="shared" si="48"/>
        <v>1.2</v>
      </c>
      <c r="I353" s="9">
        <f t="shared" si="48"/>
        <v>4.5</v>
      </c>
      <c r="J353" s="9">
        <f t="shared" si="48"/>
        <v>3.5</v>
      </c>
      <c r="K353" s="9">
        <f t="shared" si="48"/>
        <v>0.5</v>
      </c>
      <c r="L353" s="9">
        <f t="shared" si="48"/>
        <v>0</v>
      </c>
      <c r="M353" s="9">
        <f t="shared" si="48"/>
        <v>1.5</v>
      </c>
      <c r="N353" s="9">
        <f t="shared" si="48"/>
        <v>1</v>
      </c>
      <c r="O353" s="9">
        <f t="shared" si="48"/>
        <v>0.5</v>
      </c>
      <c r="P353" s="9">
        <f t="shared" si="48"/>
        <v>1</v>
      </c>
      <c r="Q353" s="9">
        <f t="shared" si="48"/>
        <v>0.5</v>
      </c>
      <c r="R353" s="9">
        <f t="shared" si="48"/>
        <v>0</v>
      </c>
      <c r="S353" s="9">
        <f t="shared" si="48"/>
        <v>0</v>
      </c>
      <c r="T353" s="9">
        <f t="shared" si="48"/>
        <v>2.5</v>
      </c>
      <c r="U353" s="9">
        <f t="shared" si="48"/>
        <v>0.5</v>
      </c>
      <c r="V353" s="9">
        <f t="shared" si="48"/>
        <v>0</v>
      </c>
      <c r="W353" s="9"/>
      <c r="X353" s="9">
        <f t="shared" ref="X353:AK353" si="49">4*(X351-X352)/X$332</f>
        <v>0.5</v>
      </c>
      <c r="Y353" s="9">
        <f t="shared" si="49"/>
        <v>0.5</v>
      </c>
      <c r="Z353" s="9">
        <f t="shared" si="49"/>
        <v>0</v>
      </c>
      <c r="AA353" s="9">
        <f t="shared" si="49"/>
        <v>0</v>
      </c>
      <c r="AB353" s="9">
        <f t="shared" si="49"/>
        <v>0</v>
      </c>
      <c r="AC353" s="9">
        <f t="shared" si="49"/>
        <v>0</v>
      </c>
      <c r="AD353" s="9">
        <f t="shared" si="49"/>
        <v>0</v>
      </c>
      <c r="AE353" s="9">
        <f t="shared" si="49"/>
        <v>0</v>
      </c>
      <c r="AF353" s="9">
        <f t="shared" si="49"/>
        <v>0</v>
      </c>
      <c r="AG353" s="9">
        <f t="shared" si="49"/>
        <v>-0.4</v>
      </c>
      <c r="AH353" s="9">
        <f t="shared" si="49"/>
        <v>1.5</v>
      </c>
      <c r="AI353" s="9">
        <f t="shared" si="49"/>
        <v>0</v>
      </c>
      <c r="AJ353" s="9">
        <f t="shared" si="49"/>
        <v>0</v>
      </c>
      <c r="AK353" s="9">
        <f t="shared" si="49"/>
        <v>3</v>
      </c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</row>
    <row r="354">
      <c r="A354" s="8" t="s">
        <v>79</v>
      </c>
      <c r="B354" s="9">
        <f t="shared" ref="B354:V354" si="50">countifs(B$1:B$330,4,$A$1:$A$330,"P")</f>
        <v>2</v>
      </c>
      <c r="C354" s="9">
        <f t="shared" si="50"/>
        <v>1</v>
      </c>
      <c r="D354" s="9">
        <f t="shared" si="50"/>
        <v>2</v>
      </c>
      <c r="E354" s="9">
        <f t="shared" si="50"/>
        <v>8</v>
      </c>
      <c r="F354" s="9">
        <f t="shared" si="50"/>
        <v>4</v>
      </c>
      <c r="G354" s="9">
        <f t="shared" si="50"/>
        <v>5</v>
      </c>
      <c r="H354" s="9">
        <f t="shared" si="50"/>
        <v>7</v>
      </c>
      <c r="I354" s="9">
        <f t="shared" si="50"/>
        <v>1</v>
      </c>
      <c r="J354" s="9">
        <f t="shared" si="50"/>
        <v>2</v>
      </c>
      <c r="K354" s="9">
        <f t="shared" si="50"/>
        <v>5</v>
      </c>
      <c r="L354" s="9">
        <f t="shared" si="50"/>
        <v>1</v>
      </c>
      <c r="M354" s="9">
        <f t="shared" si="50"/>
        <v>0</v>
      </c>
      <c r="N354" s="9">
        <f t="shared" si="50"/>
        <v>5</v>
      </c>
      <c r="O354" s="9">
        <f t="shared" si="50"/>
        <v>6</v>
      </c>
      <c r="P354" s="9">
        <f t="shared" si="50"/>
        <v>12</v>
      </c>
      <c r="Q354" s="9">
        <f t="shared" si="50"/>
        <v>8</v>
      </c>
      <c r="R354" s="9">
        <f t="shared" si="50"/>
        <v>0</v>
      </c>
      <c r="S354" s="9">
        <f t="shared" si="50"/>
        <v>3</v>
      </c>
      <c r="T354" s="9">
        <f t="shared" si="50"/>
        <v>1</v>
      </c>
      <c r="U354" s="9">
        <f t="shared" si="50"/>
        <v>0</v>
      </c>
      <c r="V354" s="9">
        <f t="shared" si="50"/>
        <v>1</v>
      </c>
      <c r="W354" s="9"/>
      <c r="X354" s="9">
        <f t="shared" ref="X354:AK354" si="51">countifs(X$1:X$330,4,$A$1:$A$330,"P")</f>
        <v>0</v>
      </c>
      <c r="Y354" s="9">
        <f t="shared" si="51"/>
        <v>0</v>
      </c>
      <c r="Z354" s="9">
        <f t="shared" si="51"/>
        <v>0</v>
      </c>
      <c r="AA354" s="9">
        <f t="shared" si="51"/>
        <v>3</v>
      </c>
      <c r="AB354" s="9">
        <f t="shared" si="51"/>
        <v>4</v>
      </c>
      <c r="AC354" s="9">
        <f t="shared" si="51"/>
        <v>1</v>
      </c>
      <c r="AD354" s="9">
        <f t="shared" si="51"/>
        <v>5</v>
      </c>
      <c r="AE354" s="9">
        <f t="shared" si="51"/>
        <v>0</v>
      </c>
      <c r="AF354" s="9">
        <f t="shared" si="51"/>
        <v>5</v>
      </c>
      <c r="AG354" s="9">
        <f t="shared" si="51"/>
        <v>6</v>
      </c>
      <c r="AH354" s="9">
        <f t="shared" si="51"/>
        <v>0</v>
      </c>
      <c r="AI354" s="9">
        <f t="shared" si="51"/>
        <v>1</v>
      </c>
      <c r="AJ354" s="9">
        <f t="shared" si="51"/>
        <v>1</v>
      </c>
      <c r="AK354" s="9">
        <f t="shared" si="51"/>
        <v>8</v>
      </c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</row>
    <row r="355">
      <c r="A355" s="8" t="s">
        <v>80</v>
      </c>
      <c r="B355" s="9">
        <f t="shared" ref="B355:V355" si="52">countifs(B$1:B$330,-4,$A$1:$A$330,"P")</f>
        <v>0</v>
      </c>
      <c r="C355" s="9">
        <f t="shared" si="52"/>
        <v>0</v>
      </c>
      <c r="D355" s="9">
        <f t="shared" si="52"/>
        <v>1</v>
      </c>
      <c r="E355" s="9">
        <f t="shared" si="52"/>
        <v>3</v>
      </c>
      <c r="F355" s="9">
        <f t="shared" si="52"/>
        <v>1</v>
      </c>
      <c r="G355" s="9">
        <f t="shared" si="52"/>
        <v>1</v>
      </c>
      <c r="H355" s="9">
        <f t="shared" si="52"/>
        <v>1</v>
      </c>
      <c r="I355" s="9">
        <f t="shared" si="52"/>
        <v>0</v>
      </c>
      <c r="J355" s="9">
        <f t="shared" si="52"/>
        <v>0</v>
      </c>
      <c r="K355" s="9">
        <f t="shared" si="52"/>
        <v>0</v>
      </c>
      <c r="L355" s="9">
        <f t="shared" si="52"/>
        <v>0</v>
      </c>
      <c r="M355" s="9">
        <f t="shared" si="52"/>
        <v>0</v>
      </c>
      <c r="N355" s="9">
        <f t="shared" si="52"/>
        <v>0</v>
      </c>
      <c r="O355" s="9">
        <f t="shared" si="52"/>
        <v>0</v>
      </c>
      <c r="P355" s="9">
        <f t="shared" si="52"/>
        <v>2</v>
      </c>
      <c r="Q355" s="9">
        <f t="shared" si="52"/>
        <v>0</v>
      </c>
      <c r="R355" s="9">
        <f t="shared" si="52"/>
        <v>0</v>
      </c>
      <c r="S355" s="9">
        <f t="shared" si="52"/>
        <v>0</v>
      </c>
      <c r="T355" s="9">
        <f t="shared" si="52"/>
        <v>0</v>
      </c>
      <c r="U355" s="9">
        <f t="shared" si="52"/>
        <v>0</v>
      </c>
      <c r="V355" s="9">
        <f t="shared" si="52"/>
        <v>0</v>
      </c>
      <c r="W355" s="9"/>
      <c r="X355" s="9">
        <f t="shared" ref="X355:AK355" si="53">countifs(X$1:X$330,-4,$A$1:$A$330,"P")</f>
        <v>0</v>
      </c>
      <c r="Y355" s="9">
        <f t="shared" si="53"/>
        <v>0</v>
      </c>
      <c r="Z355" s="9">
        <f t="shared" si="53"/>
        <v>0</v>
      </c>
      <c r="AA355" s="9">
        <f t="shared" si="53"/>
        <v>1</v>
      </c>
      <c r="AB355" s="9">
        <f t="shared" si="53"/>
        <v>1</v>
      </c>
      <c r="AC355" s="9">
        <f t="shared" si="53"/>
        <v>0</v>
      </c>
      <c r="AD355" s="9">
        <f t="shared" si="53"/>
        <v>0</v>
      </c>
      <c r="AE355" s="9">
        <f t="shared" si="53"/>
        <v>0</v>
      </c>
      <c r="AF355" s="9">
        <f t="shared" si="53"/>
        <v>3</v>
      </c>
      <c r="AG355" s="9">
        <f t="shared" si="53"/>
        <v>5</v>
      </c>
      <c r="AH355" s="9">
        <f t="shared" si="53"/>
        <v>0</v>
      </c>
      <c r="AI355" s="9">
        <f t="shared" si="53"/>
        <v>0</v>
      </c>
      <c r="AJ355" s="9">
        <f t="shared" si="53"/>
        <v>0</v>
      </c>
      <c r="AK355" s="9">
        <f t="shared" si="53"/>
        <v>3</v>
      </c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</row>
    <row r="356">
      <c r="A356" s="8" t="s">
        <v>81</v>
      </c>
      <c r="B356" s="9">
        <f t="shared" ref="B356:V356" si="54">4*(B354-B355)/B$332</f>
        <v>1</v>
      </c>
      <c r="C356" s="9">
        <f t="shared" si="54"/>
        <v>0.4</v>
      </c>
      <c r="D356" s="9">
        <f t="shared" si="54"/>
        <v>0.5</v>
      </c>
      <c r="E356" s="9">
        <f t="shared" si="54"/>
        <v>2</v>
      </c>
      <c r="F356" s="9">
        <f t="shared" si="54"/>
        <v>1.2</v>
      </c>
      <c r="G356" s="9">
        <f t="shared" si="54"/>
        <v>2</v>
      </c>
      <c r="H356" s="9">
        <f t="shared" si="54"/>
        <v>2.4</v>
      </c>
      <c r="I356" s="9">
        <f t="shared" si="54"/>
        <v>0.5</v>
      </c>
      <c r="J356" s="9">
        <f t="shared" si="54"/>
        <v>1</v>
      </c>
      <c r="K356" s="9">
        <f t="shared" si="54"/>
        <v>2.5</v>
      </c>
      <c r="L356" s="9">
        <f t="shared" si="54"/>
        <v>0.5</v>
      </c>
      <c r="M356" s="9">
        <f t="shared" si="54"/>
        <v>0</v>
      </c>
      <c r="N356" s="9">
        <f t="shared" si="54"/>
        <v>2.5</v>
      </c>
      <c r="O356" s="9">
        <f t="shared" si="54"/>
        <v>3</v>
      </c>
      <c r="P356" s="9">
        <f t="shared" si="54"/>
        <v>5</v>
      </c>
      <c r="Q356" s="9">
        <f t="shared" si="54"/>
        <v>4</v>
      </c>
      <c r="R356" s="9">
        <f t="shared" si="54"/>
        <v>0</v>
      </c>
      <c r="S356" s="9">
        <f t="shared" si="54"/>
        <v>1.5</v>
      </c>
      <c r="T356" s="9">
        <f t="shared" si="54"/>
        <v>0.5</v>
      </c>
      <c r="U356" s="9">
        <f t="shared" si="54"/>
        <v>0</v>
      </c>
      <c r="V356" s="9">
        <f t="shared" si="54"/>
        <v>0.5</v>
      </c>
      <c r="W356" s="9"/>
      <c r="X356" s="9">
        <f t="shared" ref="X356:AK356" si="55">4*(X354-X355)/X$332</f>
        <v>0</v>
      </c>
      <c r="Y356" s="9">
        <f t="shared" si="55"/>
        <v>0</v>
      </c>
      <c r="Z356" s="9">
        <f t="shared" si="55"/>
        <v>0</v>
      </c>
      <c r="AA356" s="9">
        <f t="shared" si="55"/>
        <v>1</v>
      </c>
      <c r="AB356" s="9">
        <f t="shared" si="55"/>
        <v>1.2</v>
      </c>
      <c r="AC356" s="9">
        <f t="shared" si="55"/>
        <v>0.4</v>
      </c>
      <c r="AD356" s="9">
        <f t="shared" si="55"/>
        <v>5</v>
      </c>
      <c r="AE356" s="9">
        <f t="shared" si="55"/>
        <v>0</v>
      </c>
      <c r="AF356" s="9">
        <f t="shared" si="55"/>
        <v>0.8</v>
      </c>
      <c r="AG356" s="9">
        <f t="shared" si="55"/>
        <v>0.4</v>
      </c>
      <c r="AH356" s="9">
        <f t="shared" si="55"/>
        <v>0</v>
      </c>
      <c r="AI356" s="9">
        <f t="shared" si="55"/>
        <v>0.5</v>
      </c>
      <c r="AJ356" s="9">
        <f t="shared" si="55"/>
        <v>0.5</v>
      </c>
      <c r="AK356" s="9">
        <f t="shared" si="55"/>
        <v>2.5</v>
      </c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8" width="6.38"/>
  </cols>
  <sheetData>
    <row r="1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3</v>
      </c>
      <c r="H1" s="1" t="s">
        <v>3</v>
      </c>
      <c r="I1" s="1" t="s">
        <v>4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6</v>
      </c>
      <c r="O1" s="1" t="s">
        <v>7</v>
      </c>
      <c r="P1" s="1" t="s">
        <v>7</v>
      </c>
      <c r="Q1" s="1" t="s">
        <v>8</v>
      </c>
      <c r="R1" s="1" t="s">
        <v>8</v>
      </c>
    </row>
    <row r="2">
      <c r="A2" s="1" t="s">
        <v>16</v>
      </c>
      <c r="B2" s="3" t="s">
        <v>19</v>
      </c>
      <c r="C2" s="1" t="s">
        <v>16</v>
      </c>
      <c r="D2" s="4" t="s">
        <v>19</v>
      </c>
      <c r="E2" s="1" t="s">
        <v>16</v>
      </c>
      <c r="F2" s="1" t="s">
        <v>19</v>
      </c>
      <c r="G2" s="1" t="s">
        <v>16</v>
      </c>
      <c r="H2" s="1" t="s">
        <v>19</v>
      </c>
      <c r="I2" s="1" t="s">
        <v>16</v>
      </c>
      <c r="J2" s="1" t="s">
        <v>19</v>
      </c>
      <c r="K2" s="1" t="s">
        <v>16</v>
      </c>
      <c r="L2" s="1" t="s">
        <v>19</v>
      </c>
      <c r="M2" s="1" t="s">
        <v>16</v>
      </c>
      <c r="N2" s="1" t="s">
        <v>19</v>
      </c>
      <c r="O2" s="1" t="s">
        <v>16</v>
      </c>
      <c r="P2" s="1" t="s">
        <v>19</v>
      </c>
      <c r="Q2" s="1" t="s">
        <v>16</v>
      </c>
      <c r="R2" s="1" t="s">
        <v>19</v>
      </c>
    </row>
    <row r="3">
      <c r="B3" s="3"/>
      <c r="D3" s="4"/>
    </row>
    <row r="4">
      <c r="A4" s="1">
        <v>0.0</v>
      </c>
      <c r="B4" s="5">
        <v>4.0</v>
      </c>
      <c r="D4" s="5">
        <v>0.0</v>
      </c>
      <c r="E4" s="1">
        <v>0.0</v>
      </c>
      <c r="F4" s="1">
        <v>4.0</v>
      </c>
      <c r="H4" s="1">
        <v>0.0</v>
      </c>
      <c r="I4" s="1">
        <v>0.0</v>
      </c>
      <c r="J4" s="1">
        <v>4.0</v>
      </c>
      <c r="K4" s="1"/>
      <c r="L4" s="1">
        <v>0.0</v>
      </c>
      <c r="M4" s="1"/>
      <c r="N4" s="1">
        <v>0.0</v>
      </c>
      <c r="O4" s="1"/>
      <c r="P4" s="1">
        <v>4.0</v>
      </c>
      <c r="Q4" s="1"/>
    </row>
    <row r="5">
      <c r="B5" s="6">
        <v>4.0</v>
      </c>
      <c r="C5" s="1">
        <v>10.0</v>
      </c>
      <c r="D5" s="5">
        <v>14.0</v>
      </c>
      <c r="F5" s="1">
        <v>4.0</v>
      </c>
      <c r="H5" s="1">
        <v>4.0</v>
      </c>
      <c r="I5" s="1"/>
      <c r="J5" s="1">
        <v>4.0</v>
      </c>
      <c r="K5" s="1">
        <v>10.0</v>
      </c>
      <c r="L5" s="1">
        <v>14.0</v>
      </c>
      <c r="M5" s="1">
        <v>10.0</v>
      </c>
      <c r="N5" s="1">
        <v>14.0</v>
      </c>
      <c r="O5" s="1"/>
      <c r="P5" s="1">
        <v>4.0</v>
      </c>
      <c r="Q5" s="1"/>
      <c r="R5" s="1"/>
    </row>
    <row r="6">
      <c r="B6" s="6">
        <v>4.0</v>
      </c>
      <c r="C6" s="1">
        <v>0.0</v>
      </c>
      <c r="D6" s="5">
        <v>18.0</v>
      </c>
      <c r="E6" s="1">
        <v>10.0</v>
      </c>
      <c r="F6" s="1">
        <v>18.0</v>
      </c>
      <c r="H6" s="1">
        <v>4.0</v>
      </c>
      <c r="I6" s="1">
        <v>10.0</v>
      </c>
      <c r="J6" s="1">
        <v>18.0</v>
      </c>
      <c r="K6" s="1"/>
      <c r="L6" s="1">
        <v>14.0</v>
      </c>
      <c r="M6" s="1">
        <v>10.0</v>
      </c>
      <c r="N6" s="1">
        <v>28.0</v>
      </c>
      <c r="O6" s="1"/>
      <c r="P6" s="1">
        <v>4.0</v>
      </c>
      <c r="Q6" s="1"/>
      <c r="R6" s="1"/>
    </row>
    <row r="7">
      <c r="B7" s="5">
        <v>4.0</v>
      </c>
      <c r="D7" s="5">
        <v>18.0</v>
      </c>
      <c r="F7" s="1">
        <v>18.0</v>
      </c>
      <c r="H7" s="1">
        <v>8.0</v>
      </c>
      <c r="I7" s="1"/>
      <c r="J7" s="1">
        <v>18.0</v>
      </c>
      <c r="K7" s="1">
        <v>10.0</v>
      </c>
      <c r="L7" s="1">
        <v>28.0</v>
      </c>
      <c r="M7" s="1"/>
      <c r="N7" s="1">
        <v>28.0</v>
      </c>
      <c r="O7" s="1">
        <v>10.0</v>
      </c>
      <c r="P7" s="1">
        <v>22.0</v>
      </c>
      <c r="Q7" s="1"/>
      <c r="R7" s="1"/>
    </row>
    <row r="8">
      <c r="B8" s="6">
        <v>4.0</v>
      </c>
      <c r="C8" s="1">
        <v>10.0</v>
      </c>
      <c r="D8" s="5">
        <v>32.0</v>
      </c>
      <c r="E8" s="1">
        <v>10.0</v>
      </c>
      <c r="F8" s="1">
        <v>32.0</v>
      </c>
      <c r="H8" s="1">
        <v>8.0</v>
      </c>
      <c r="I8" s="1"/>
      <c r="J8" s="1">
        <v>18.0</v>
      </c>
      <c r="K8" s="1">
        <v>10.0</v>
      </c>
      <c r="L8" s="1">
        <v>42.0</v>
      </c>
      <c r="M8" s="1"/>
      <c r="N8" s="1">
        <v>28.0</v>
      </c>
      <c r="O8" s="1"/>
      <c r="P8" s="1">
        <v>26.0</v>
      </c>
      <c r="Q8" s="1"/>
      <c r="R8" s="1"/>
    </row>
    <row r="9">
      <c r="B9" s="5">
        <v>4.0</v>
      </c>
      <c r="D9" s="5">
        <v>32.0</v>
      </c>
      <c r="E9" s="1">
        <v>10.0</v>
      </c>
      <c r="F9" s="1">
        <v>46.0</v>
      </c>
      <c r="H9" s="1">
        <v>8.0</v>
      </c>
      <c r="I9" s="1">
        <v>10.0</v>
      </c>
      <c r="J9" s="1">
        <v>32.0</v>
      </c>
      <c r="K9" s="1"/>
      <c r="L9" s="1">
        <v>42.0</v>
      </c>
      <c r="M9" s="1"/>
      <c r="N9" s="1">
        <v>28.0</v>
      </c>
      <c r="O9" s="1">
        <v>0.0</v>
      </c>
      <c r="P9" s="1">
        <v>30.0</v>
      </c>
      <c r="Q9" s="1"/>
      <c r="R9" s="1"/>
    </row>
    <row r="10">
      <c r="B10" s="5">
        <v>4.0</v>
      </c>
      <c r="D10" s="5">
        <v>32.0</v>
      </c>
      <c r="E10" s="1">
        <v>10.0</v>
      </c>
      <c r="F10" s="1">
        <v>60.0</v>
      </c>
      <c r="H10" s="1">
        <v>8.0</v>
      </c>
      <c r="I10" s="1"/>
      <c r="J10" s="1">
        <v>32.0</v>
      </c>
      <c r="K10" s="1">
        <v>10.0</v>
      </c>
      <c r="L10" s="1">
        <v>56.0</v>
      </c>
      <c r="M10" s="1"/>
      <c r="N10" s="1">
        <v>28.0</v>
      </c>
      <c r="O10" s="1"/>
      <c r="P10" s="1">
        <v>30.0</v>
      </c>
      <c r="Q10" s="1"/>
      <c r="R10" s="1"/>
    </row>
    <row r="11">
      <c r="B11" s="5">
        <v>4.0</v>
      </c>
      <c r="D11" s="5">
        <v>32.0</v>
      </c>
      <c r="F11" s="1">
        <v>60.0</v>
      </c>
      <c r="H11" s="1">
        <v>8.0</v>
      </c>
      <c r="I11" s="1"/>
      <c r="J11" s="1">
        <v>32.0</v>
      </c>
      <c r="K11" s="1">
        <v>10.0</v>
      </c>
      <c r="L11" s="1">
        <v>70.0</v>
      </c>
      <c r="M11" s="1">
        <v>10.0</v>
      </c>
      <c r="N11" s="1">
        <v>42.0</v>
      </c>
      <c r="O11" s="1"/>
      <c r="P11" s="1">
        <v>30.0</v>
      </c>
      <c r="Q11" s="1"/>
      <c r="R11" s="1"/>
    </row>
    <row r="12">
      <c r="B12" s="6">
        <v>4.0</v>
      </c>
      <c r="C12" s="1">
        <v>0.0</v>
      </c>
      <c r="D12" s="5">
        <v>36.0</v>
      </c>
      <c r="E12" s="1">
        <v>10.0</v>
      </c>
      <c r="F12" s="1">
        <v>74.0</v>
      </c>
      <c r="H12" s="1">
        <v>8.0</v>
      </c>
      <c r="I12" s="1">
        <v>10.0</v>
      </c>
      <c r="J12" s="1">
        <v>46.0</v>
      </c>
      <c r="K12" s="1"/>
      <c r="L12" s="1">
        <v>70.0</v>
      </c>
      <c r="M12" s="1">
        <v>10.0</v>
      </c>
      <c r="N12" s="1">
        <v>56.0</v>
      </c>
      <c r="O12" s="1"/>
      <c r="P12" s="1">
        <v>30.0</v>
      </c>
      <c r="Q12" s="1"/>
      <c r="R12" s="1"/>
    </row>
    <row r="13">
      <c r="B13" s="5">
        <v>4.0</v>
      </c>
      <c r="D13" s="5">
        <v>36.0</v>
      </c>
      <c r="E13" s="1">
        <v>0.0</v>
      </c>
      <c r="F13" s="1">
        <v>78.0</v>
      </c>
      <c r="H13" s="1">
        <v>8.0</v>
      </c>
      <c r="I13" s="1"/>
      <c r="J13" s="1">
        <v>46.0</v>
      </c>
      <c r="K13" s="1">
        <v>10.0</v>
      </c>
      <c r="L13" s="1">
        <v>84.0</v>
      </c>
      <c r="M13" s="1"/>
      <c r="N13" s="1">
        <v>56.0</v>
      </c>
      <c r="O13" s="1">
        <v>10.0</v>
      </c>
      <c r="P13" s="1">
        <v>44.0</v>
      </c>
      <c r="Q13" s="1"/>
      <c r="R13" s="1"/>
    </row>
    <row r="14">
      <c r="B14" s="5">
        <v>4.0</v>
      </c>
      <c r="D14" s="5">
        <v>36.0</v>
      </c>
      <c r="E14" s="1">
        <v>10.0</v>
      </c>
      <c r="F14" s="1">
        <v>92.0</v>
      </c>
      <c r="H14" s="1">
        <v>8.0</v>
      </c>
      <c r="I14" s="1"/>
      <c r="J14" s="1">
        <v>46.0</v>
      </c>
      <c r="K14" s="1">
        <v>10.0</v>
      </c>
      <c r="L14" s="1">
        <v>98.0</v>
      </c>
      <c r="M14" s="1"/>
      <c r="N14" s="1">
        <v>56.0</v>
      </c>
      <c r="O14" s="1">
        <v>0.0</v>
      </c>
      <c r="P14" s="1">
        <v>48.0</v>
      </c>
      <c r="Q14" s="1"/>
      <c r="R14" s="1"/>
    </row>
    <row r="15">
      <c r="B15" s="6">
        <v>4.0</v>
      </c>
      <c r="C15" s="1">
        <v>0.0</v>
      </c>
      <c r="D15" s="5">
        <v>40.0</v>
      </c>
      <c r="F15" s="1">
        <v>92.0</v>
      </c>
      <c r="G15" s="1">
        <v>0.0</v>
      </c>
      <c r="H15" s="1">
        <v>16.0</v>
      </c>
      <c r="I15" s="1"/>
      <c r="J15" s="1">
        <v>46.0</v>
      </c>
      <c r="K15" s="1">
        <v>10.0</v>
      </c>
      <c r="L15" s="1">
        <v>112.0</v>
      </c>
      <c r="M15" s="1"/>
      <c r="N15" s="1">
        <v>56.0</v>
      </c>
      <c r="O15" s="1">
        <v>0.0</v>
      </c>
      <c r="P15" s="1">
        <v>52.0</v>
      </c>
      <c r="Q15" s="1"/>
      <c r="R15" s="1"/>
    </row>
    <row r="16">
      <c r="B16" s="3"/>
      <c r="D16" s="4"/>
    </row>
    <row r="17">
      <c r="B17" s="6">
        <v>4.0</v>
      </c>
      <c r="C17" s="1">
        <v>10.0</v>
      </c>
      <c r="D17" s="5">
        <v>58.0</v>
      </c>
      <c r="E17" s="1">
        <v>10.0</v>
      </c>
      <c r="F17" s="1">
        <v>106.0</v>
      </c>
      <c r="H17" s="1">
        <v>16.0</v>
      </c>
      <c r="I17" s="1"/>
      <c r="J17" s="1">
        <v>46.0</v>
      </c>
      <c r="K17" s="1">
        <v>10.0</v>
      </c>
      <c r="L17" s="1">
        <v>126.0</v>
      </c>
      <c r="M17" s="1">
        <v>10.0</v>
      </c>
      <c r="N17" s="1">
        <v>70.0</v>
      </c>
      <c r="O17" s="1"/>
      <c r="P17" s="1">
        <v>52.0</v>
      </c>
      <c r="Q17" s="1"/>
      <c r="R17" s="1"/>
    </row>
    <row r="18">
      <c r="B18" s="5">
        <v>4.0</v>
      </c>
      <c r="D18" s="5">
        <v>58.0</v>
      </c>
      <c r="F18" s="1">
        <v>106.0</v>
      </c>
      <c r="G18" s="1">
        <v>10.0</v>
      </c>
      <c r="H18" s="1">
        <v>34.0</v>
      </c>
      <c r="I18" s="1"/>
      <c r="J18" s="1">
        <v>46.0</v>
      </c>
      <c r="K18" s="1">
        <v>10.0</v>
      </c>
      <c r="L18" s="1">
        <v>140.0</v>
      </c>
      <c r="M18" s="1">
        <v>10.0</v>
      </c>
      <c r="N18" s="1">
        <v>84.0</v>
      </c>
      <c r="O18" s="1"/>
      <c r="P18" s="1">
        <v>52.0</v>
      </c>
      <c r="Q18" s="1"/>
      <c r="R18" s="1"/>
    </row>
    <row r="19">
      <c r="B19" s="6">
        <v>4.0</v>
      </c>
      <c r="C19" s="1">
        <v>0.0</v>
      </c>
      <c r="D19" s="5">
        <v>62.0</v>
      </c>
      <c r="F19" s="1">
        <v>106.0</v>
      </c>
      <c r="H19" s="1">
        <v>38.0</v>
      </c>
      <c r="I19" s="1">
        <v>10.0</v>
      </c>
      <c r="J19" s="1">
        <v>60.0</v>
      </c>
      <c r="K19" s="1"/>
      <c r="L19" s="1">
        <v>140.0</v>
      </c>
      <c r="M19" s="1">
        <v>10.0</v>
      </c>
      <c r="N19" s="1">
        <v>98.0</v>
      </c>
      <c r="O19" s="1"/>
      <c r="P19" s="1">
        <v>52.0</v>
      </c>
      <c r="Q19" s="1"/>
      <c r="R19" s="1"/>
    </row>
    <row r="20">
      <c r="A20" s="1">
        <v>0.0</v>
      </c>
      <c r="B20" s="5">
        <v>8.0</v>
      </c>
      <c r="D20" s="5">
        <v>62.0</v>
      </c>
      <c r="E20" s="1">
        <v>10.0</v>
      </c>
      <c r="F20" s="1">
        <v>120.0</v>
      </c>
      <c r="H20" s="1">
        <v>38.0</v>
      </c>
      <c r="I20" s="1"/>
      <c r="J20" s="1">
        <v>60.0</v>
      </c>
      <c r="K20" s="1">
        <v>0.0</v>
      </c>
      <c r="L20" s="1">
        <v>144.0</v>
      </c>
      <c r="M20" s="1"/>
      <c r="N20" s="1">
        <v>98.0</v>
      </c>
      <c r="O20" s="1">
        <v>10.0</v>
      </c>
      <c r="P20" s="1">
        <v>66.0</v>
      </c>
      <c r="Q20" s="1"/>
      <c r="R20" s="1"/>
    </row>
    <row r="21">
      <c r="B21" s="6">
        <v>8.0</v>
      </c>
      <c r="C21" s="1">
        <v>10.0</v>
      </c>
      <c r="D21" s="5">
        <v>76.0</v>
      </c>
      <c r="E21" s="1">
        <v>10.0</v>
      </c>
      <c r="F21" s="1">
        <v>134.0</v>
      </c>
      <c r="H21" s="1">
        <v>38.0</v>
      </c>
      <c r="I21" s="1">
        <v>10.0</v>
      </c>
      <c r="J21" s="1">
        <v>74.0</v>
      </c>
      <c r="K21" s="1"/>
      <c r="L21" s="1">
        <v>144.0</v>
      </c>
      <c r="M21" s="1">
        <v>10.0</v>
      </c>
      <c r="N21" s="1">
        <v>112.0</v>
      </c>
      <c r="O21" s="1"/>
      <c r="P21" s="1">
        <v>66.0</v>
      </c>
      <c r="Q21" s="1"/>
      <c r="R21" s="1"/>
    </row>
    <row r="22">
      <c r="A22" s="1">
        <v>0.0</v>
      </c>
      <c r="B22" s="5">
        <v>12.0</v>
      </c>
      <c r="D22" s="5">
        <v>76.0</v>
      </c>
      <c r="E22" s="1">
        <v>0.0</v>
      </c>
      <c r="F22" s="1">
        <v>138.0</v>
      </c>
      <c r="H22" s="1">
        <v>38.0</v>
      </c>
      <c r="I22" s="1">
        <v>0.0</v>
      </c>
      <c r="J22" s="1">
        <v>78.0</v>
      </c>
      <c r="K22" s="1"/>
      <c r="L22" s="1">
        <v>144.0</v>
      </c>
      <c r="M22" s="1">
        <v>10.0</v>
      </c>
      <c r="N22" s="1">
        <v>130.0</v>
      </c>
      <c r="O22" s="1"/>
      <c r="P22" s="1">
        <v>66.0</v>
      </c>
      <c r="Q22" s="1"/>
      <c r="R22" s="1"/>
    </row>
    <row r="23">
      <c r="B23" s="5">
        <v>12.0</v>
      </c>
      <c r="D23" s="5">
        <v>76.0</v>
      </c>
      <c r="E23" s="1">
        <v>10.0</v>
      </c>
      <c r="F23" s="1">
        <v>152.0</v>
      </c>
      <c r="H23" s="1">
        <v>38.0</v>
      </c>
      <c r="I23" s="1"/>
      <c r="J23" s="1">
        <v>78.0</v>
      </c>
      <c r="K23" s="1">
        <v>0.0</v>
      </c>
      <c r="L23" s="1">
        <v>148.0</v>
      </c>
      <c r="M23" s="1"/>
      <c r="N23" s="1">
        <v>130.0</v>
      </c>
      <c r="O23" s="1"/>
      <c r="P23" s="1">
        <v>70.0</v>
      </c>
      <c r="Q23" s="1"/>
      <c r="R23" s="1"/>
    </row>
    <row r="24">
      <c r="B24" s="6">
        <v>12.0</v>
      </c>
      <c r="C24" s="1">
        <v>10.0</v>
      </c>
      <c r="D24" s="5">
        <v>90.0</v>
      </c>
      <c r="E24" s="1">
        <v>10.0</v>
      </c>
      <c r="F24" s="1">
        <v>166.0</v>
      </c>
      <c r="H24" s="1">
        <v>38.0</v>
      </c>
      <c r="I24" s="1"/>
      <c r="J24" s="1">
        <v>78.0</v>
      </c>
      <c r="K24" s="1">
        <v>10.0</v>
      </c>
      <c r="L24" s="1">
        <v>162.0</v>
      </c>
      <c r="M24" s="1">
        <v>10.0</v>
      </c>
      <c r="N24" s="1">
        <v>144.0</v>
      </c>
      <c r="O24" s="1"/>
      <c r="P24" s="1">
        <v>70.0</v>
      </c>
      <c r="Q24" s="1"/>
      <c r="R24" s="1"/>
    </row>
    <row r="25">
      <c r="B25" s="6">
        <v>12.0</v>
      </c>
      <c r="C25" s="1">
        <v>10.0</v>
      </c>
      <c r="D25" s="5">
        <v>104.0</v>
      </c>
      <c r="E25" s="1">
        <v>10.0</v>
      </c>
      <c r="F25" s="1">
        <v>180.0</v>
      </c>
      <c r="H25" s="1">
        <v>38.0</v>
      </c>
      <c r="I25" s="1">
        <v>10.0</v>
      </c>
      <c r="J25" s="1">
        <v>92.0</v>
      </c>
      <c r="K25" s="1"/>
      <c r="L25" s="1">
        <v>162.0</v>
      </c>
      <c r="M25" s="1"/>
      <c r="N25" s="1">
        <v>144.0</v>
      </c>
      <c r="O25" s="1">
        <v>0.0</v>
      </c>
      <c r="P25" s="1">
        <v>74.0</v>
      </c>
      <c r="Q25" s="1"/>
      <c r="R25" s="1"/>
    </row>
    <row r="26">
      <c r="B26" s="6">
        <v>12.0</v>
      </c>
      <c r="C26" s="1">
        <v>0.0</v>
      </c>
      <c r="D26" s="5">
        <v>108.0</v>
      </c>
      <c r="E26" s="1">
        <v>10.0</v>
      </c>
      <c r="F26" s="1">
        <v>194.0</v>
      </c>
      <c r="H26" s="1">
        <v>38.0</v>
      </c>
      <c r="I26" s="1"/>
      <c r="J26" s="1">
        <v>92.0</v>
      </c>
      <c r="K26" s="1">
        <v>10.0</v>
      </c>
      <c r="L26" s="1">
        <v>176.0</v>
      </c>
      <c r="M26" s="1">
        <v>10.0</v>
      </c>
      <c r="N26" s="1">
        <v>158.0</v>
      </c>
      <c r="O26" s="1"/>
      <c r="P26" s="1">
        <v>74.0</v>
      </c>
      <c r="Q26" s="1"/>
      <c r="R26" s="1"/>
    </row>
    <row r="27">
      <c r="B27" s="5">
        <v>12.0</v>
      </c>
      <c r="D27" s="5">
        <v>108.0</v>
      </c>
      <c r="E27" s="1">
        <v>10.0</v>
      </c>
      <c r="F27" s="1">
        <v>208.0</v>
      </c>
      <c r="H27" s="1">
        <v>38.0</v>
      </c>
      <c r="I27" s="1"/>
      <c r="J27" s="1">
        <v>92.0</v>
      </c>
      <c r="K27" s="1">
        <v>0.0</v>
      </c>
      <c r="L27" s="1">
        <v>180.0</v>
      </c>
      <c r="M27" s="1">
        <v>0.0</v>
      </c>
      <c r="N27" s="1">
        <v>162.0</v>
      </c>
      <c r="O27" s="1"/>
      <c r="P27" s="1">
        <v>74.0</v>
      </c>
      <c r="Q27" s="1"/>
      <c r="R27" s="1"/>
    </row>
    <row r="28">
      <c r="B28" s="6">
        <v>12.0</v>
      </c>
      <c r="C28" s="1">
        <v>0.0</v>
      </c>
      <c r="D28" s="5">
        <v>112.0</v>
      </c>
      <c r="E28" s="1">
        <v>10.0</v>
      </c>
      <c r="F28" s="1">
        <v>222.0</v>
      </c>
      <c r="H28" s="1">
        <v>38.0</v>
      </c>
      <c r="I28" s="1">
        <v>10.0</v>
      </c>
      <c r="J28" s="1">
        <v>106.0</v>
      </c>
      <c r="K28" s="1"/>
      <c r="L28" s="1">
        <v>180.0</v>
      </c>
      <c r="M28" s="1">
        <v>10.0</v>
      </c>
      <c r="N28" s="1">
        <v>176.0</v>
      </c>
      <c r="O28" s="1"/>
      <c r="P28" s="1">
        <v>74.0</v>
      </c>
      <c r="Q28" s="1"/>
      <c r="R28" s="1"/>
    </row>
    <row r="29">
      <c r="B29" s="4"/>
      <c r="D29" s="4"/>
    </row>
    <row r="30">
      <c r="B30" s="4"/>
      <c r="D30" s="4"/>
    </row>
    <row r="31">
      <c r="A31" s="1" t="s">
        <v>4</v>
      </c>
      <c r="B31" s="1" t="s">
        <v>4</v>
      </c>
      <c r="C31" s="1" t="s">
        <v>7</v>
      </c>
      <c r="D31" s="1" t="s">
        <v>7</v>
      </c>
      <c r="E31" s="1" t="s">
        <v>8</v>
      </c>
      <c r="F31" s="1" t="s">
        <v>8</v>
      </c>
      <c r="G31" s="1" t="s">
        <v>1</v>
      </c>
      <c r="H31" s="1" t="s">
        <v>1</v>
      </c>
      <c r="I31" s="1" t="s">
        <v>0</v>
      </c>
      <c r="J31" s="1" t="s">
        <v>0</v>
      </c>
      <c r="K31" s="1" t="s">
        <v>3</v>
      </c>
      <c r="L31" s="1" t="s">
        <v>3</v>
      </c>
      <c r="M31" s="1" t="s">
        <v>2</v>
      </c>
      <c r="N31" s="1" t="s">
        <v>2</v>
      </c>
      <c r="O31" s="1" t="s">
        <v>5</v>
      </c>
      <c r="P31" s="1" t="s">
        <v>5</v>
      </c>
      <c r="Q31" s="1" t="s">
        <v>6</v>
      </c>
      <c r="R31" s="1" t="s">
        <v>6</v>
      </c>
    </row>
    <row r="32">
      <c r="A32" s="1" t="s">
        <v>16</v>
      </c>
      <c r="B32" s="3" t="s">
        <v>19</v>
      </c>
      <c r="C32" s="1" t="s">
        <v>16</v>
      </c>
      <c r="D32" s="4" t="s">
        <v>19</v>
      </c>
      <c r="E32" s="1" t="s">
        <v>16</v>
      </c>
      <c r="F32" s="1" t="s">
        <v>19</v>
      </c>
      <c r="G32" s="1" t="s">
        <v>16</v>
      </c>
      <c r="H32" s="1" t="s">
        <v>19</v>
      </c>
      <c r="I32" s="1" t="s">
        <v>16</v>
      </c>
      <c r="J32" s="1" t="s">
        <v>19</v>
      </c>
      <c r="K32" s="1" t="s">
        <v>16</v>
      </c>
      <c r="L32" s="1" t="s">
        <v>19</v>
      </c>
      <c r="M32" s="1" t="s">
        <v>16</v>
      </c>
      <c r="N32" s="1" t="s">
        <v>19</v>
      </c>
      <c r="O32" s="1" t="s">
        <v>16</v>
      </c>
      <c r="P32" s="1" t="s">
        <v>19</v>
      </c>
      <c r="Q32" s="1" t="s">
        <v>16</v>
      </c>
      <c r="R32" s="1" t="s">
        <v>19</v>
      </c>
    </row>
    <row r="33">
      <c r="B33" s="3"/>
      <c r="D33" s="4"/>
    </row>
    <row r="34">
      <c r="B34" s="5">
        <v>0.0</v>
      </c>
      <c r="D34" s="5">
        <v>0.0</v>
      </c>
      <c r="F34" s="1">
        <v>0.0</v>
      </c>
      <c r="G34" s="1">
        <v>0.0</v>
      </c>
      <c r="H34" s="1">
        <v>4.0</v>
      </c>
      <c r="I34" s="1">
        <v>10.0</v>
      </c>
      <c r="J34" s="1">
        <v>14.0</v>
      </c>
      <c r="K34" s="1"/>
      <c r="L34" s="1">
        <v>0.0</v>
      </c>
      <c r="M34" s="1"/>
      <c r="N34" s="1">
        <v>0.0</v>
      </c>
      <c r="O34" s="1">
        <v>10.0</v>
      </c>
      <c r="P34" s="1">
        <v>14.0</v>
      </c>
      <c r="Q34" s="1"/>
      <c r="R34" s="1"/>
    </row>
    <row r="35">
      <c r="A35" s="1">
        <v>10.0</v>
      </c>
      <c r="B35" s="5">
        <v>14.0</v>
      </c>
      <c r="D35" s="5">
        <v>0.0</v>
      </c>
      <c r="F35" s="1">
        <v>0.0</v>
      </c>
      <c r="G35" s="1">
        <v>10.0</v>
      </c>
      <c r="H35" s="1">
        <v>18.0</v>
      </c>
      <c r="I35" s="1"/>
      <c r="J35" s="1">
        <v>14.0</v>
      </c>
      <c r="K35" s="1">
        <v>10.0</v>
      </c>
      <c r="L35" s="1">
        <v>14.0</v>
      </c>
      <c r="M35" s="1">
        <v>10.0</v>
      </c>
      <c r="N35" s="1">
        <v>18.0</v>
      </c>
      <c r="O35" s="1"/>
      <c r="P35" s="1">
        <v>14.0</v>
      </c>
      <c r="Q35" s="1"/>
      <c r="R35" s="1"/>
    </row>
    <row r="36">
      <c r="A36" s="1">
        <v>10.0</v>
      </c>
      <c r="B36" s="5">
        <v>28.0</v>
      </c>
      <c r="D36" s="5">
        <v>0.0</v>
      </c>
      <c r="F36" s="1">
        <v>0.0</v>
      </c>
      <c r="H36" s="1">
        <v>22.0</v>
      </c>
      <c r="I36" s="1"/>
      <c r="J36" s="1">
        <v>14.0</v>
      </c>
      <c r="K36" s="1">
        <v>10.0</v>
      </c>
      <c r="L36" s="1">
        <v>28.0</v>
      </c>
      <c r="M36" s="1">
        <v>10.0</v>
      </c>
      <c r="N36" s="1">
        <v>32.0</v>
      </c>
      <c r="O36" s="1"/>
      <c r="P36" s="1">
        <v>14.0</v>
      </c>
      <c r="Q36" s="1"/>
      <c r="R36" s="1"/>
    </row>
    <row r="37">
      <c r="A37" s="1">
        <v>10.0</v>
      </c>
      <c r="B37" s="5">
        <v>42.0</v>
      </c>
      <c r="D37" s="5">
        <v>0.0</v>
      </c>
      <c r="E37" s="1">
        <v>10.0</v>
      </c>
      <c r="F37" s="1">
        <v>14.0</v>
      </c>
      <c r="H37" s="1">
        <v>22.0</v>
      </c>
      <c r="I37" s="1"/>
      <c r="J37" s="1">
        <v>14.0</v>
      </c>
      <c r="K37" s="1"/>
      <c r="L37" s="1">
        <v>28.0</v>
      </c>
      <c r="M37" s="1">
        <v>10.0</v>
      </c>
      <c r="N37" s="1">
        <v>46.0</v>
      </c>
      <c r="O37" s="1"/>
      <c r="P37" s="1">
        <v>14.0</v>
      </c>
      <c r="Q37" s="1"/>
      <c r="R37" s="1"/>
    </row>
    <row r="38">
      <c r="A38" s="1">
        <v>0.0</v>
      </c>
      <c r="B38" s="5">
        <v>46.0</v>
      </c>
      <c r="D38" s="5">
        <v>0.0</v>
      </c>
      <c r="E38" s="1">
        <v>0.0</v>
      </c>
      <c r="F38" s="1">
        <v>18.0</v>
      </c>
      <c r="H38" s="1">
        <v>22.0</v>
      </c>
      <c r="I38" s="1">
        <v>0.0</v>
      </c>
      <c r="J38" s="1">
        <v>18.0</v>
      </c>
      <c r="K38" s="1"/>
      <c r="L38" s="1">
        <v>28.0</v>
      </c>
      <c r="M38" s="1">
        <v>0.0</v>
      </c>
      <c r="N38" s="1">
        <v>50.0</v>
      </c>
      <c r="O38" s="1"/>
      <c r="P38" s="1">
        <v>14.0</v>
      </c>
      <c r="Q38" s="1"/>
      <c r="R38" s="1"/>
    </row>
    <row r="39">
      <c r="A39" s="1">
        <v>0.0</v>
      </c>
      <c r="B39" s="5">
        <v>50.0</v>
      </c>
      <c r="D39" s="5">
        <v>0.0</v>
      </c>
      <c r="E39" s="1">
        <v>0.0</v>
      </c>
      <c r="F39" s="1">
        <v>22.0</v>
      </c>
      <c r="H39" s="1">
        <v>22.0</v>
      </c>
      <c r="I39" s="1"/>
      <c r="J39" s="1">
        <v>18.0</v>
      </c>
      <c r="K39" s="1">
        <v>0.0</v>
      </c>
      <c r="L39" s="1">
        <v>32.0</v>
      </c>
      <c r="M39" s="1">
        <v>0.0</v>
      </c>
      <c r="N39" s="1">
        <v>54.0</v>
      </c>
      <c r="O39" s="1"/>
      <c r="P39" s="1">
        <v>14.0</v>
      </c>
      <c r="Q39" s="1"/>
      <c r="R39" s="1"/>
    </row>
    <row r="40">
      <c r="A40" s="1">
        <v>10.0</v>
      </c>
      <c r="B40" s="5">
        <v>64.0</v>
      </c>
      <c r="D40" s="5">
        <v>0.0</v>
      </c>
      <c r="E40" s="1">
        <v>0.0</v>
      </c>
      <c r="F40" s="1">
        <v>26.0</v>
      </c>
      <c r="H40" s="1">
        <v>22.0</v>
      </c>
      <c r="I40" s="1"/>
      <c r="J40" s="1">
        <v>18.0</v>
      </c>
      <c r="K40" s="1"/>
      <c r="L40" s="1">
        <v>32.0</v>
      </c>
      <c r="M40" s="1">
        <v>10.0</v>
      </c>
      <c r="N40" s="1">
        <v>68.0</v>
      </c>
      <c r="O40" s="1"/>
      <c r="P40" s="1">
        <v>14.0</v>
      </c>
      <c r="Q40" s="1"/>
      <c r="R40" s="1"/>
    </row>
    <row r="41">
      <c r="B41" s="5">
        <v>64.0</v>
      </c>
      <c r="C41" s="1">
        <v>0.0</v>
      </c>
      <c r="D41" s="5">
        <v>4.0</v>
      </c>
      <c r="E41" s="1">
        <v>10.0</v>
      </c>
      <c r="F41" s="1">
        <v>40.0</v>
      </c>
      <c r="H41" s="1">
        <v>22.0</v>
      </c>
      <c r="I41" s="1"/>
      <c r="J41" s="1">
        <v>18.0</v>
      </c>
      <c r="K41" s="1"/>
      <c r="L41" s="1">
        <v>32.0</v>
      </c>
      <c r="M41" s="1"/>
      <c r="N41" s="1">
        <v>68.0</v>
      </c>
      <c r="O41" s="1">
        <v>10.0</v>
      </c>
      <c r="P41" s="1">
        <v>28.0</v>
      </c>
      <c r="Q41" s="1"/>
      <c r="R41" s="1"/>
    </row>
    <row r="42">
      <c r="B42" s="5">
        <v>64.0</v>
      </c>
      <c r="C42" s="1">
        <v>10.0</v>
      </c>
      <c r="D42" s="5">
        <v>18.0</v>
      </c>
      <c r="E42" s="1">
        <v>10.0</v>
      </c>
      <c r="F42" s="1">
        <v>54.0</v>
      </c>
      <c r="H42" s="1">
        <v>22.0</v>
      </c>
      <c r="I42" s="1"/>
      <c r="J42" s="1">
        <v>18.0</v>
      </c>
      <c r="K42" s="1"/>
      <c r="L42" s="1">
        <v>32.0</v>
      </c>
      <c r="M42" s="1">
        <v>10.0</v>
      </c>
      <c r="N42" s="1">
        <v>82.0</v>
      </c>
      <c r="O42" s="1"/>
      <c r="P42" s="1">
        <v>28.0</v>
      </c>
      <c r="Q42" s="1"/>
      <c r="R42" s="1"/>
    </row>
    <row r="43">
      <c r="B43" s="5">
        <v>64.0</v>
      </c>
      <c r="C43" s="1">
        <v>0.0</v>
      </c>
      <c r="D43" s="5">
        <v>22.0</v>
      </c>
      <c r="E43" s="1">
        <v>0.0</v>
      </c>
      <c r="F43" s="1">
        <v>58.0</v>
      </c>
      <c r="H43" s="1">
        <v>22.0</v>
      </c>
      <c r="I43" s="1"/>
      <c r="J43" s="1">
        <v>18.0</v>
      </c>
      <c r="K43" s="1"/>
      <c r="L43" s="1">
        <v>32.0</v>
      </c>
      <c r="M43" s="1"/>
      <c r="N43" s="1">
        <v>82.0</v>
      </c>
      <c r="O43" s="1">
        <v>10.0</v>
      </c>
      <c r="P43" s="1">
        <v>46.0</v>
      </c>
      <c r="Q43" s="1"/>
      <c r="R43" s="1"/>
    </row>
    <row r="44">
      <c r="B44" s="5">
        <v>64.0</v>
      </c>
      <c r="D44" s="5">
        <v>22.0</v>
      </c>
      <c r="E44" s="1">
        <v>10.0</v>
      </c>
      <c r="F44" s="1">
        <v>72.0</v>
      </c>
      <c r="H44" s="1">
        <v>22.0</v>
      </c>
      <c r="I44" s="1"/>
      <c r="J44" s="1">
        <v>18.0</v>
      </c>
      <c r="K44" s="1"/>
      <c r="L44" s="1">
        <v>32.0</v>
      </c>
      <c r="M44" s="1">
        <v>10.0</v>
      </c>
      <c r="N44" s="1">
        <v>96.0</v>
      </c>
      <c r="O44" s="1"/>
      <c r="P44" s="1">
        <v>46.0</v>
      </c>
      <c r="Q44" s="1"/>
      <c r="R44" s="1"/>
    </row>
    <row r="45">
      <c r="B45" s="5">
        <v>64.0</v>
      </c>
      <c r="C45" s="1">
        <v>0.0</v>
      </c>
      <c r="D45" s="5">
        <v>26.0</v>
      </c>
      <c r="F45" s="1">
        <v>72.0</v>
      </c>
      <c r="G45" s="1">
        <v>10.0</v>
      </c>
      <c r="H45" s="1">
        <v>36.0</v>
      </c>
      <c r="I45" s="1"/>
      <c r="J45" s="1">
        <v>18.0</v>
      </c>
      <c r="K45" s="1"/>
      <c r="L45" s="1">
        <v>32.0</v>
      </c>
      <c r="M45" s="1">
        <v>10.0</v>
      </c>
      <c r="N45" s="1">
        <v>110.0</v>
      </c>
      <c r="O45" s="1"/>
      <c r="P45" s="1">
        <v>46.0</v>
      </c>
      <c r="Q45" s="1"/>
      <c r="R45" s="1"/>
    </row>
    <row r="46">
      <c r="B46" s="3"/>
      <c r="D46" s="4"/>
    </row>
    <row r="47">
      <c r="B47" s="5">
        <v>64.0</v>
      </c>
      <c r="D47" s="5">
        <v>26.0</v>
      </c>
      <c r="F47" s="1">
        <v>72.0</v>
      </c>
      <c r="H47" s="1">
        <v>36.0</v>
      </c>
      <c r="I47" s="1"/>
      <c r="J47" s="1">
        <v>18.0</v>
      </c>
      <c r="K47" s="1"/>
      <c r="L47" s="1">
        <v>32.0</v>
      </c>
      <c r="M47" s="1"/>
      <c r="N47" s="1">
        <v>110.0</v>
      </c>
      <c r="O47" s="1"/>
      <c r="P47" s="1">
        <v>50.0</v>
      </c>
      <c r="Q47" s="1"/>
      <c r="R47" s="1"/>
    </row>
    <row r="48">
      <c r="A48" s="1">
        <v>10.0</v>
      </c>
      <c r="B48" s="5">
        <v>78.0</v>
      </c>
      <c r="D48" s="5">
        <v>26.0</v>
      </c>
      <c r="E48" s="1">
        <v>10.0</v>
      </c>
      <c r="F48" s="1">
        <v>86.0</v>
      </c>
      <c r="H48" s="1">
        <v>36.0</v>
      </c>
      <c r="I48" s="1">
        <v>10.0</v>
      </c>
      <c r="J48" s="1">
        <v>32.0</v>
      </c>
      <c r="K48" s="1"/>
      <c r="L48" s="1">
        <v>32.0</v>
      </c>
      <c r="M48" s="1">
        <v>10.0</v>
      </c>
      <c r="N48" s="1">
        <v>124.0</v>
      </c>
      <c r="O48" s="1"/>
      <c r="P48" s="1">
        <v>50.0</v>
      </c>
      <c r="Q48" s="1"/>
      <c r="R48" s="1"/>
    </row>
    <row r="49">
      <c r="A49" s="1">
        <v>10.0</v>
      </c>
      <c r="B49" s="5">
        <v>92.0</v>
      </c>
      <c r="D49" s="5">
        <v>26.0</v>
      </c>
      <c r="F49" s="1">
        <v>86.0</v>
      </c>
      <c r="G49" s="1">
        <v>10.0</v>
      </c>
      <c r="H49" s="1">
        <v>50.0</v>
      </c>
      <c r="I49" s="1"/>
      <c r="J49" s="1">
        <v>32.0</v>
      </c>
      <c r="K49" s="1">
        <v>10.0</v>
      </c>
      <c r="L49" s="1">
        <v>46.0</v>
      </c>
      <c r="M49" s="1">
        <v>10.0</v>
      </c>
      <c r="N49" s="1">
        <v>138.0</v>
      </c>
      <c r="O49" s="1"/>
      <c r="P49" s="1">
        <v>50.0</v>
      </c>
      <c r="Q49" s="1"/>
      <c r="R49" s="1"/>
    </row>
    <row r="50">
      <c r="B50" s="5">
        <v>92.0</v>
      </c>
      <c r="D50" s="5">
        <v>26.0</v>
      </c>
      <c r="E50" s="1">
        <v>10.0</v>
      </c>
      <c r="F50" s="1">
        <v>100.0</v>
      </c>
      <c r="H50" s="1">
        <v>50.0</v>
      </c>
      <c r="I50" s="1">
        <v>10.0</v>
      </c>
      <c r="J50" s="1">
        <v>46.0</v>
      </c>
      <c r="K50" s="1"/>
      <c r="L50" s="1">
        <v>46.0</v>
      </c>
      <c r="M50" s="1"/>
      <c r="N50" s="1">
        <v>138.0</v>
      </c>
      <c r="O50" s="1">
        <v>10.0</v>
      </c>
      <c r="P50" s="1">
        <v>64.0</v>
      </c>
      <c r="Q50" s="1"/>
      <c r="R50" s="1"/>
    </row>
    <row r="51">
      <c r="A51" s="1">
        <v>10.0</v>
      </c>
      <c r="B51" s="5">
        <v>106.0</v>
      </c>
      <c r="D51" s="5">
        <v>26.0</v>
      </c>
      <c r="E51" s="1">
        <v>10.0</v>
      </c>
      <c r="F51" s="1">
        <v>114.0</v>
      </c>
      <c r="H51" s="1">
        <v>50.0</v>
      </c>
      <c r="I51" s="1">
        <v>10.0</v>
      </c>
      <c r="J51" s="1">
        <v>60.0</v>
      </c>
      <c r="K51" s="1"/>
      <c r="L51" s="1">
        <v>46.0</v>
      </c>
      <c r="M51" s="1">
        <v>10.0</v>
      </c>
      <c r="N51" s="1">
        <v>152.0</v>
      </c>
      <c r="O51" s="1"/>
      <c r="P51" s="1">
        <v>64.0</v>
      </c>
      <c r="Q51" s="1"/>
      <c r="R51" s="1"/>
    </row>
    <row r="52">
      <c r="A52" s="1">
        <v>10.0</v>
      </c>
      <c r="B52" s="5">
        <v>120.0</v>
      </c>
      <c r="D52" s="5">
        <v>26.0</v>
      </c>
      <c r="E52" s="1">
        <v>0.0</v>
      </c>
      <c r="F52" s="1">
        <v>118.0</v>
      </c>
      <c r="H52" s="1">
        <v>50.0</v>
      </c>
      <c r="I52" s="1">
        <v>10.0</v>
      </c>
      <c r="J52" s="1">
        <v>74.0</v>
      </c>
      <c r="K52" s="1"/>
      <c r="L52" s="1">
        <v>46.0</v>
      </c>
      <c r="M52" s="1">
        <v>10.0</v>
      </c>
      <c r="N52" s="1">
        <v>166.0</v>
      </c>
      <c r="O52" s="1"/>
      <c r="P52" s="1">
        <v>64.0</v>
      </c>
      <c r="Q52" s="1"/>
      <c r="R52" s="1"/>
    </row>
    <row r="53">
      <c r="A53" s="1">
        <v>10.0</v>
      </c>
      <c r="B53" s="5">
        <v>134.0</v>
      </c>
      <c r="D53" s="5">
        <v>26.0</v>
      </c>
      <c r="E53" s="1">
        <v>10.0</v>
      </c>
      <c r="F53" s="1">
        <v>132.0</v>
      </c>
      <c r="H53" s="1">
        <v>50.0</v>
      </c>
      <c r="I53" s="1"/>
      <c r="J53" s="1">
        <v>74.0</v>
      </c>
      <c r="K53" s="1"/>
      <c r="L53" s="1">
        <v>46.0</v>
      </c>
      <c r="M53" s="1">
        <v>10.0</v>
      </c>
      <c r="N53" s="1">
        <v>180.0</v>
      </c>
      <c r="O53" s="1"/>
      <c r="P53" s="1">
        <v>64.0</v>
      </c>
      <c r="Q53" s="1"/>
      <c r="R53" s="1"/>
    </row>
    <row r="54">
      <c r="A54" s="1">
        <v>10.0</v>
      </c>
      <c r="B54" s="5">
        <v>148.0</v>
      </c>
      <c r="D54" s="5">
        <v>26.0</v>
      </c>
      <c r="E54" s="1">
        <v>10.0</v>
      </c>
      <c r="F54" s="1">
        <v>146.0</v>
      </c>
      <c r="H54" s="1">
        <v>50.0</v>
      </c>
      <c r="I54" s="1">
        <v>10.0</v>
      </c>
      <c r="J54" s="1">
        <v>88.0</v>
      </c>
      <c r="K54" s="1"/>
      <c r="L54" s="1">
        <v>46.0</v>
      </c>
      <c r="M54" s="1">
        <v>10.0</v>
      </c>
      <c r="N54" s="1">
        <v>198.0</v>
      </c>
      <c r="O54" s="1"/>
      <c r="P54" s="1">
        <v>64.0</v>
      </c>
      <c r="Q54" s="1"/>
      <c r="R54" s="1"/>
    </row>
    <row r="55">
      <c r="A55" s="1">
        <v>10.0</v>
      </c>
      <c r="B55" s="5">
        <v>162.0</v>
      </c>
      <c r="D55" s="5">
        <v>26.0</v>
      </c>
      <c r="F55" s="1">
        <v>146.0</v>
      </c>
      <c r="G55" s="1">
        <v>10.0</v>
      </c>
      <c r="H55" s="1">
        <v>64.0</v>
      </c>
      <c r="I55" s="1">
        <v>0.0</v>
      </c>
      <c r="J55" s="1">
        <v>92.0</v>
      </c>
      <c r="K55" s="1"/>
      <c r="L55" s="1">
        <v>46.0</v>
      </c>
      <c r="M55" s="1"/>
      <c r="N55" s="1">
        <v>198.0</v>
      </c>
      <c r="O55" s="1">
        <v>0.0</v>
      </c>
      <c r="P55" s="1">
        <v>68.0</v>
      </c>
      <c r="Q55" s="1"/>
      <c r="R55" s="1"/>
    </row>
    <row r="56">
      <c r="A56" s="1">
        <v>10.0</v>
      </c>
      <c r="B56" s="5">
        <v>176.0</v>
      </c>
      <c r="D56" s="5">
        <v>26.0</v>
      </c>
      <c r="E56" s="1">
        <v>0.0</v>
      </c>
      <c r="F56" s="1">
        <v>150.0</v>
      </c>
      <c r="H56" s="1">
        <v>64.0</v>
      </c>
      <c r="I56" s="1"/>
      <c r="J56" s="1">
        <v>92.0</v>
      </c>
      <c r="K56" s="1"/>
      <c r="L56" s="1">
        <v>46.0</v>
      </c>
      <c r="M56" s="1">
        <v>10.0</v>
      </c>
      <c r="N56" s="1">
        <v>212.0</v>
      </c>
      <c r="O56" s="1"/>
      <c r="P56" s="1">
        <v>68.0</v>
      </c>
      <c r="Q56" s="1"/>
      <c r="R56" s="1"/>
    </row>
    <row r="57">
      <c r="A57" s="1">
        <v>0.0</v>
      </c>
      <c r="B57" s="5">
        <v>180.0</v>
      </c>
      <c r="D57" s="5">
        <v>26.0</v>
      </c>
      <c r="E57" s="1">
        <v>10.0</v>
      </c>
      <c r="F57" s="1">
        <v>164.0</v>
      </c>
      <c r="H57" s="1">
        <v>64.0</v>
      </c>
      <c r="I57" s="1"/>
      <c r="J57" s="1">
        <v>92.0</v>
      </c>
      <c r="K57" s="1">
        <v>0.0</v>
      </c>
      <c r="L57" s="1">
        <v>50.0</v>
      </c>
      <c r="M57" s="1"/>
      <c r="N57" s="1">
        <v>212.0</v>
      </c>
      <c r="O57" s="1">
        <v>0.0</v>
      </c>
      <c r="P57" s="1">
        <v>76.0</v>
      </c>
      <c r="Q57" s="1"/>
      <c r="R57" s="1"/>
    </row>
    <row r="58">
      <c r="B58" s="5">
        <v>180.0</v>
      </c>
      <c r="D58" s="5">
        <v>26.0</v>
      </c>
      <c r="F58" s="1">
        <v>164.0</v>
      </c>
      <c r="H58" s="1">
        <v>64.0</v>
      </c>
      <c r="I58" s="1"/>
      <c r="J58" s="1">
        <v>92.0</v>
      </c>
      <c r="K58" s="1"/>
      <c r="L58" s="1">
        <v>50.0</v>
      </c>
      <c r="M58" s="1"/>
      <c r="N58" s="1">
        <v>212.0</v>
      </c>
      <c r="O58" s="1"/>
      <c r="P58" s="1">
        <v>80.0</v>
      </c>
      <c r="Q58" s="1"/>
      <c r="R58" s="1"/>
    </row>
    <row r="59">
      <c r="B59" s="4"/>
      <c r="D59" s="4"/>
    </row>
    <row r="60">
      <c r="B60" s="4"/>
      <c r="D60" s="4"/>
    </row>
    <row r="61">
      <c r="A61" s="1" t="s">
        <v>5</v>
      </c>
      <c r="B61" s="1" t="s">
        <v>5</v>
      </c>
      <c r="C61" s="1" t="s">
        <v>0</v>
      </c>
      <c r="D61" s="1" t="s">
        <v>0</v>
      </c>
      <c r="E61" s="1" t="s">
        <v>2</v>
      </c>
      <c r="F61" s="1" t="s">
        <v>2</v>
      </c>
      <c r="G61" s="1" t="s">
        <v>4</v>
      </c>
      <c r="H61" s="1" t="s">
        <v>4</v>
      </c>
      <c r="I61" s="1" t="s">
        <v>6</v>
      </c>
      <c r="J61" s="1" t="s">
        <v>6</v>
      </c>
      <c r="K61" s="1" t="s">
        <v>1</v>
      </c>
      <c r="L61" s="1" t="s">
        <v>1</v>
      </c>
      <c r="M61" s="1" t="s">
        <v>8</v>
      </c>
      <c r="N61" s="1" t="s">
        <v>8</v>
      </c>
      <c r="O61" s="1" t="s">
        <v>3</v>
      </c>
      <c r="P61" s="1" t="s">
        <v>3</v>
      </c>
      <c r="Q61" s="7" t="s">
        <v>7</v>
      </c>
      <c r="R61" s="7" t="s">
        <v>7</v>
      </c>
    </row>
    <row r="62">
      <c r="A62" s="1" t="s">
        <v>16</v>
      </c>
      <c r="B62" s="3" t="s">
        <v>19</v>
      </c>
      <c r="C62" s="1" t="s">
        <v>16</v>
      </c>
      <c r="D62" s="4" t="s">
        <v>19</v>
      </c>
      <c r="E62" s="1" t="s">
        <v>16</v>
      </c>
      <c r="F62" s="1" t="s">
        <v>19</v>
      </c>
      <c r="G62" s="1" t="s">
        <v>16</v>
      </c>
      <c r="H62" s="1" t="s">
        <v>19</v>
      </c>
      <c r="I62" s="1" t="s">
        <v>16</v>
      </c>
      <c r="J62" s="1" t="s">
        <v>19</v>
      </c>
      <c r="K62" s="1" t="s">
        <v>16</v>
      </c>
      <c r="L62" s="1" t="s">
        <v>19</v>
      </c>
      <c r="M62" s="1" t="s">
        <v>16</v>
      </c>
      <c r="N62" s="1" t="s">
        <v>19</v>
      </c>
      <c r="O62" s="1" t="s">
        <v>16</v>
      </c>
      <c r="P62" s="1" t="s">
        <v>19</v>
      </c>
      <c r="Q62" s="1" t="s">
        <v>16</v>
      </c>
      <c r="R62" s="1" t="s">
        <v>19</v>
      </c>
    </row>
    <row r="63">
      <c r="B63" s="3"/>
      <c r="D63" s="4"/>
    </row>
    <row r="64">
      <c r="A64" s="1">
        <v>10.0</v>
      </c>
      <c r="B64" s="5">
        <v>14.0</v>
      </c>
      <c r="D64" s="5">
        <v>0.0</v>
      </c>
      <c r="E64" s="1">
        <v>10.0</v>
      </c>
      <c r="F64" s="1">
        <v>14.0</v>
      </c>
      <c r="H64" s="1">
        <v>0.0</v>
      </c>
      <c r="I64" s="1">
        <v>10.0</v>
      </c>
      <c r="J64" s="1">
        <v>14.0</v>
      </c>
      <c r="K64" s="1"/>
      <c r="L64" s="1">
        <v>0.0</v>
      </c>
      <c r="M64" s="1">
        <v>10.0</v>
      </c>
      <c r="N64" s="1">
        <v>14.0</v>
      </c>
      <c r="O64" s="1"/>
      <c r="P64" s="1">
        <v>0.0</v>
      </c>
      <c r="Q64" s="1"/>
      <c r="R64" s="1"/>
    </row>
    <row r="65">
      <c r="A65" s="1">
        <v>10.0</v>
      </c>
      <c r="B65" s="5">
        <v>28.0</v>
      </c>
      <c r="D65" s="5">
        <v>0.0</v>
      </c>
      <c r="F65" s="1">
        <v>14.0</v>
      </c>
      <c r="G65" s="1">
        <v>0.0</v>
      </c>
      <c r="H65" s="1">
        <v>8.0</v>
      </c>
      <c r="I65" s="1">
        <v>0.0</v>
      </c>
      <c r="J65" s="1">
        <v>18.0</v>
      </c>
      <c r="K65" s="1"/>
      <c r="L65" s="1">
        <v>0.0</v>
      </c>
      <c r="M65" s="1">
        <v>0.0</v>
      </c>
      <c r="N65" s="1">
        <v>18.0</v>
      </c>
      <c r="O65" s="1"/>
      <c r="P65" s="1">
        <v>0.0</v>
      </c>
      <c r="Q65" s="1"/>
      <c r="R65" s="1"/>
    </row>
    <row r="66">
      <c r="B66" s="5">
        <v>28.0</v>
      </c>
      <c r="D66" s="5">
        <v>0.0</v>
      </c>
      <c r="F66" s="1">
        <v>14.0</v>
      </c>
      <c r="G66" s="1">
        <v>10.0</v>
      </c>
      <c r="H66" s="1">
        <v>26.0</v>
      </c>
      <c r="I66" s="1"/>
      <c r="J66" s="1">
        <v>18.0</v>
      </c>
      <c r="K66" s="1"/>
      <c r="L66" s="1">
        <v>0.0</v>
      </c>
      <c r="M66" s="1"/>
      <c r="N66" s="1">
        <v>18.0</v>
      </c>
      <c r="O66" s="1"/>
      <c r="P66" s="1">
        <v>0.0</v>
      </c>
      <c r="Q66" s="1"/>
      <c r="R66" s="1"/>
    </row>
    <row r="67">
      <c r="B67" s="6">
        <v>28.0</v>
      </c>
      <c r="C67" s="1">
        <v>10.0</v>
      </c>
      <c r="D67" s="5">
        <v>18.0</v>
      </c>
      <c r="E67" s="1">
        <v>0.0</v>
      </c>
      <c r="F67" s="1">
        <v>18.0</v>
      </c>
      <c r="H67" s="1">
        <v>26.0</v>
      </c>
      <c r="I67" s="1"/>
      <c r="J67" s="1">
        <v>18.0</v>
      </c>
      <c r="K67" s="1"/>
      <c r="L67" s="1">
        <v>0.0</v>
      </c>
      <c r="M67" s="1">
        <v>0.0</v>
      </c>
      <c r="N67" s="1">
        <v>22.0</v>
      </c>
      <c r="O67" s="1"/>
      <c r="P67" s="1">
        <v>0.0</v>
      </c>
      <c r="Q67" s="1"/>
      <c r="R67" s="1"/>
    </row>
    <row r="68">
      <c r="B68" s="5">
        <v>28.0</v>
      </c>
      <c r="D68" s="5">
        <v>22.0</v>
      </c>
      <c r="F68" s="1">
        <v>18.0</v>
      </c>
      <c r="G68" s="1">
        <v>10.0</v>
      </c>
      <c r="H68" s="1">
        <v>44.0</v>
      </c>
      <c r="I68" s="1">
        <v>0.0</v>
      </c>
      <c r="J68" s="1">
        <v>22.0</v>
      </c>
      <c r="K68" s="1"/>
      <c r="L68" s="1">
        <v>0.0</v>
      </c>
      <c r="M68" s="1">
        <v>10.0</v>
      </c>
      <c r="N68" s="1">
        <v>36.0</v>
      </c>
      <c r="O68" s="1"/>
      <c r="P68" s="1">
        <v>0.0</v>
      </c>
      <c r="Q68" s="1"/>
      <c r="R68" s="1"/>
    </row>
    <row r="69">
      <c r="A69" s="1">
        <v>10.0</v>
      </c>
      <c r="B69" s="5">
        <v>42.0</v>
      </c>
      <c r="D69" s="5">
        <v>22.0</v>
      </c>
      <c r="F69" s="1">
        <v>18.0</v>
      </c>
      <c r="G69" s="1">
        <v>10.0</v>
      </c>
      <c r="H69" s="1">
        <v>62.0</v>
      </c>
      <c r="I69" s="1">
        <v>10.0</v>
      </c>
      <c r="J69" s="1">
        <v>40.0</v>
      </c>
      <c r="K69" s="1"/>
      <c r="L69" s="1">
        <v>0.0</v>
      </c>
      <c r="M69" s="1">
        <v>10.0</v>
      </c>
      <c r="N69" s="1">
        <v>50.0</v>
      </c>
      <c r="O69" s="1"/>
      <c r="P69" s="1">
        <v>0.0</v>
      </c>
      <c r="Q69" s="1"/>
      <c r="R69" s="1"/>
    </row>
    <row r="70">
      <c r="A70" s="1">
        <v>10.0</v>
      </c>
      <c r="B70" s="5">
        <v>56.0</v>
      </c>
      <c r="D70" s="5">
        <v>22.0</v>
      </c>
      <c r="E70" s="1">
        <v>10.0</v>
      </c>
      <c r="F70" s="1">
        <v>32.0</v>
      </c>
      <c r="H70" s="1">
        <v>62.0</v>
      </c>
      <c r="I70" s="1">
        <v>10.0</v>
      </c>
      <c r="J70" s="1">
        <v>54.0</v>
      </c>
      <c r="K70" s="1"/>
      <c r="L70" s="1">
        <v>0.0</v>
      </c>
      <c r="M70" s="1">
        <v>10.0</v>
      </c>
      <c r="N70" s="1">
        <v>64.0</v>
      </c>
      <c r="O70" s="1"/>
      <c r="P70" s="1">
        <v>0.0</v>
      </c>
      <c r="Q70" s="1"/>
      <c r="R70" s="1"/>
    </row>
    <row r="71">
      <c r="A71" s="1">
        <v>10.0</v>
      </c>
      <c r="B71" s="5">
        <v>70.0</v>
      </c>
      <c r="D71" s="5">
        <v>22.0</v>
      </c>
      <c r="F71" s="1">
        <v>32.0</v>
      </c>
      <c r="G71" s="1">
        <v>0.0</v>
      </c>
      <c r="H71" s="1">
        <v>66.0</v>
      </c>
      <c r="I71" s="1">
        <v>10.0</v>
      </c>
      <c r="J71" s="1">
        <v>68.0</v>
      </c>
      <c r="K71" s="1"/>
      <c r="L71" s="1">
        <v>0.0</v>
      </c>
      <c r="M71" s="1"/>
      <c r="N71" s="1">
        <v>64.0</v>
      </c>
      <c r="O71" s="1">
        <v>0.0</v>
      </c>
      <c r="P71" s="1">
        <v>4.0</v>
      </c>
      <c r="Q71" s="1"/>
      <c r="R71" s="1"/>
    </row>
    <row r="72">
      <c r="B72" s="5">
        <v>70.0</v>
      </c>
      <c r="D72" s="5">
        <v>22.0</v>
      </c>
      <c r="F72" s="1">
        <v>32.0</v>
      </c>
      <c r="H72" s="1">
        <v>66.0</v>
      </c>
      <c r="I72" s="1"/>
      <c r="J72" s="1">
        <v>68.0</v>
      </c>
      <c r="K72" s="1"/>
      <c r="L72" s="1">
        <v>0.0</v>
      </c>
      <c r="M72" s="1"/>
      <c r="N72" s="1">
        <v>64.0</v>
      </c>
      <c r="O72" s="1"/>
      <c r="P72" s="1">
        <v>4.0</v>
      </c>
      <c r="Q72" s="1"/>
      <c r="R72" s="1"/>
    </row>
    <row r="73">
      <c r="A73" s="1">
        <v>10.0</v>
      </c>
      <c r="B73" s="5">
        <v>84.0</v>
      </c>
      <c r="D73" s="5">
        <v>22.0</v>
      </c>
      <c r="E73" s="1">
        <v>10.0</v>
      </c>
      <c r="F73" s="1">
        <v>46.0</v>
      </c>
      <c r="H73" s="1">
        <v>66.0</v>
      </c>
      <c r="I73" s="1"/>
      <c r="J73" s="1">
        <v>68.0</v>
      </c>
      <c r="K73" s="1">
        <v>10.0</v>
      </c>
      <c r="L73" s="1">
        <v>14.0</v>
      </c>
      <c r="M73" s="1">
        <v>10.0</v>
      </c>
      <c r="N73" s="1">
        <v>78.0</v>
      </c>
      <c r="O73" s="1"/>
      <c r="P73" s="1">
        <v>4.0</v>
      </c>
      <c r="Q73" s="1"/>
      <c r="R73" s="1"/>
    </row>
    <row r="74">
      <c r="B74" s="5">
        <v>84.0</v>
      </c>
      <c r="D74" s="5">
        <v>22.0</v>
      </c>
      <c r="E74" s="1">
        <v>10.0</v>
      </c>
      <c r="F74" s="1">
        <v>60.0</v>
      </c>
      <c r="H74" s="1">
        <v>66.0</v>
      </c>
      <c r="I74" s="1"/>
      <c r="J74" s="1">
        <v>68.0</v>
      </c>
      <c r="K74" s="1">
        <v>10.0</v>
      </c>
      <c r="L74" s="1">
        <v>28.0</v>
      </c>
      <c r="M74" s="1"/>
      <c r="N74" s="1">
        <v>78.0</v>
      </c>
      <c r="O74" s="1"/>
      <c r="P74" s="1">
        <v>8.0</v>
      </c>
      <c r="Q74" s="1"/>
      <c r="R74" s="1"/>
    </row>
    <row r="75">
      <c r="A75" s="1">
        <v>10.0</v>
      </c>
      <c r="B75" s="5">
        <v>98.0</v>
      </c>
      <c r="D75" s="5">
        <v>22.0</v>
      </c>
      <c r="F75" s="1">
        <v>60.0</v>
      </c>
      <c r="G75" s="1">
        <v>0.0</v>
      </c>
      <c r="H75" s="1">
        <v>70.0</v>
      </c>
      <c r="I75" s="1"/>
      <c r="J75" s="1">
        <v>68.0</v>
      </c>
      <c r="K75" s="1">
        <v>10.0</v>
      </c>
      <c r="L75" s="1">
        <v>42.0</v>
      </c>
      <c r="M75" s="1">
        <v>0.0</v>
      </c>
      <c r="N75" s="1">
        <v>82.0</v>
      </c>
      <c r="O75" s="1"/>
      <c r="P75" s="1">
        <v>8.0</v>
      </c>
      <c r="Q75" s="1"/>
      <c r="R75" s="1"/>
    </row>
    <row r="76">
      <c r="B76" s="3"/>
      <c r="D76" s="4"/>
    </row>
    <row r="77">
      <c r="A77" s="1">
        <v>10.0</v>
      </c>
      <c r="B77" s="5">
        <v>112.0</v>
      </c>
      <c r="D77" s="5">
        <v>22.0</v>
      </c>
      <c r="E77" s="1">
        <v>10.0</v>
      </c>
      <c r="F77" s="1">
        <v>74.0</v>
      </c>
      <c r="H77" s="1">
        <v>70.0</v>
      </c>
      <c r="I77" s="1">
        <v>0.0</v>
      </c>
      <c r="J77" s="1">
        <v>72.0</v>
      </c>
      <c r="K77" s="1"/>
      <c r="L77" s="1">
        <v>42.0</v>
      </c>
      <c r="M77" s="1">
        <v>0.0</v>
      </c>
      <c r="N77" s="1">
        <v>86.0</v>
      </c>
      <c r="O77" s="1"/>
      <c r="P77" s="1">
        <v>8.0</v>
      </c>
      <c r="Q77" s="1"/>
      <c r="R77" s="1"/>
    </row>
    <row r="78">
      <c r="B78" s="5">
        <v>112.0</v>
      </c>
      <c r="C78" s="1">
        <v>0.0</v>
      </c>
      <c r="D78" s="5">
        <v>30.0</v>
      </c>
      <c r="F78" s="1">
        <v>74.0</v>
      </c>
      <c r="H78" s="1">
        <v>70.0</v>
      </c>
      <c r="I78" s="1"/>
      <c r="J78" s="1">
        <v>72.0</v>
      </c>
      <c r="K78" s="1"/>
      <c r="L78" s="1">
        <v>46.0</v>
      </c>
      <c r="M78" s="1"/>
      <c r="N78" s="1">
        <v>86.0</v>
      </c>
      <c r="O78" s="1">
        <v>0.0</v>
      </c>
      <c r="P78" s="1">
        <v>12.0</v>
      </c>
      <c r="Q78" s="1"/>
      <c r="R78" s="1"/>
    </row>
    <row r="79">
      <c r="A79" s="1">
        <v>0.0</v>
      </c>
      <c r="B79" s="5">
        <v>116.0</v>
      </c>
      <c r="D79" s="5">
        <v>30.0</v>
      </c>
      <c r="E79" s="1">
        <v>10.0</v>
      </c>
      <c r="F79" s="1">
        <v>88.0</v>
      </c>
      <c r="H79" s="1">
        <v>70.0</v>
      </c>
      <c r="I79" s="1"/>
      <c r="J79" s="1">
        <v>72.0</v>
      </c>
      <c r="K79" s="1"/>
      <c r="L79" s="1">
        <v>46.0</v>
      </c>
      <c r="M79" s="1"/>
      <c r="N79" s="1">
        <v>86.0</v>
      </c>
      <c r="O79" s="1"/>
      <c r="P79" s="1">
        <v>12.0</v>
      </c>
      <c r="Q79" s="1"/>
      <c r="R79" s="1"/>
    </row>
    <row r="80">
      <c r="A80" s="1">
        <v>0.0</v>
      </c>
      <c r="B80" s="5">
        <v>120.0</v>
      </c>
      <c r="D80" s="5">
        <v>30.0</v>
      </c>
      <c r="E80" s="1">
        <v>0.0</v>
      </c>
      <c r="F80" s="1">
        <v>92.0</v>
      </c>
      <c r="H80" s="1">
        <v>70.0</v>
      </c>
      <c r="I80" s="1"/>
      <c r="J80" s="1">
        <v>72.0</v>
      </c>
      <c r="K80" s="1">
        <v>0.0</v>
      </c>
      <c r="L80" s="1">
        <v>50.0</v>
      </c>
      <c r="M80" s="1"/>
      <c r="N80" s="1">
        <v>86.0</v>
      </c>
      <c r="O80" s="1"/>
      <c r="P80" s="1">
        <v>12.0</v>
      </c>
      <c r="Q80" s="1"/>
      <c r="R80" s="1"/>
    </row>
    <row r="81">
      <c r="A81" s="1">
        <v>0.0</v>
      </c>
      <c r="B81" s="5">
        <v>124.0</v>
      </c>
      <c r="D81" s="5">
        <v>30.0</v>
      </c>
      <c r="E81" s="1">
        <v>10.0</v>
      </c>
      <c r="F81" s="1">
        <v>106.0</v>
      </c>
      <c r="H81" s="1">
        <v>70.0</v>
      </c>
      <c r="I81" s="1"/>
      <c r="J81" s="1">
        <v>72.0</v>
      </c>
      <c r="K81" s="1">
        <v>0.0</v>
      </c>
      <c r="L81" s="1">
        <v>54.0</v>
      </c>
      <c r="M81" s="1">
        <v>10.0</v>
      </c>
      <c r="N81" s="1">
        <v>100.0</v>
      </c>
      <c r="O81" s="1"/>
      <c r="P81" s="1">
        <v>12.0</v>
      </c>
      <c r="Q81" s="1"/>
      <c r="R81" s="1"/>
    </row>
    <row r="82">
      <c r="A82" s="1">
        <v>10.0</v>
      </c>
      <c r="B82" s="5">
        <v>138.0</v>
      </c>
      <c r="D82" s="5">
        <v>30.0</v>
      </c>
      <c r="E82" s="1">
        <v>10.0</v>
      </c>
      <c r="F82" s="1">
        <v>120.0</v>
      </c>
      <c r="H82" s="1">
        <v>70.0</v>
      </c>
      <c r="I82" s="1"/>
      <c r="J82" s="1">
        <v>72.0</v>
      </c>
      <c r="K82" s="1">
        <v>10.0</v>
      </c>
      <c r="L82" s="1">
        <v>68.0</v>
      </c>
      <c r="M82" s="1">
        <v>10.0</v>
      </c>
      <c r="N82" s="1">
        <v>114.0</v>
      </c>
      <c r="O82" s="1"/>
      <c r="P82" s="1">
        <v>12.0</v>
      </c>
      <c r="Q82" s="1"/>
      <c r="R82" s="1"/>
    </row>
    <row r="83">
      <c r="A83" s="1">
        <v>10.0</v>
      </c>
      <c r="B83" s="5">
        <v>152.0</v>
      </c>
      <c r="D83" s="5">
        <v>30.0</v>
      </c>
      <c r="E83" s="1">
        <v>10.0</v>
      </c>
      <c r="F83" s="1">
        <v>134.0</v>
      </c>
      <c r="H83" s="1">
        <v>70.0</v>
      </c>
      <c r="I83" s="1">
        <v>10.0</v>
      </c>
      <c r="J83" s="1">
        <v>86.0</v>
      </c>
      <c r="K83" s="1"/>
      <c r="L83" s="1">
        <v>68.0</v>
      </c>
      <c r="M83" s="1"/>
      <c r="N83" s="1">
        <v>114.0</v>
      </c>
      <c r="O83" s="1">
        <v>0.0</v>
      </c>
      <c r="P83" s="1">
        <v>16.0</v>
      </c>
      <c r="Q83" s="1"/>
      <c r="R83" s="1"/>
    </row>
    <row r="84">
      <c r="A84" s="1">
        <v>10.0</v>
      </c>
      <c r="B84" s="5">
        <v>166.0</v>
      </c>
      <c r="D84" s="5">
        <v>30.0</v>
      </c>
      <c r="F84" s="1">
        <v>134.0</v>
      </c>
      <c r="G84" s="1">
        <v>0.0</v>
      </c>
      <c r="H84" s="1">
        <v>74.0</v>
      </c>
      <c r="I84" s="1">
        <v>0.0</v>
      </c>
      <c r="J84" s="1">
        <v>90.0</v>
      </c>
      <c r="K84" s="1"/>
      <c r="L84" s="1">
        <v>68.0</v>
      </c>
      <c r="M84" s="1">
        <v>0.0</v>
      </c>
      <c r="N84" s="1">
        <v>118.0</v>
      </c>
      <c r="O84" s="1"/>
      <c r="P84" s="1">
        <v>16.0</v>
      </c>
      <c r="Q84" s="1"/>
      <c r="R84" s="1"/>
    </row>
    <row r="85">
      <c r="A85" s="1">
        <v>10.0</v>
      </c>
      <c r="B85" s="5">
        <v>184.0</v>
      </c>
      <c r="D85" s="5">
        <v>30.0</v>
      </c>
      <c r="E85" s="1">
        <v>10.0</v>
      </c>
      <c r="F85" s="1">
        <v>148.0</v>
      </c>
      <c r="H85" s="1">
        <v>74.0</v>
      </c>
      <c r="I85" s="1">
        <v>10.0</v>
      </c>
      <c r="J85" s="1">
        <v>104.0</v>
      </c>
      <c r="K85" s="1"/>
      <c r="L85" s="1">
        <v>68.0</v>
      </c>
      <c r="M85" s="1"/>
      <c r="N85" s="1">
        <v>118.0</v>
      </c>
      <c r="O85" s="1"/>
      <c r="P85" s="1">
        <v>16.0</v>
      </c>
      <c r="Q85" s="1"/>
      <c r="R85" s="1"/>
    </row>
    <row r="86">
      <c r="B86" s="5">
        <v>184.0</v>
      </c>
      <c r="D86" s="5">
        <v>30.0</v>
      </c>
      <c r="E86" s="1">
        <v>10.0</v>
      </c>
      <c r="F86" s="1">
        <v>162.0</v>
      </c>
      <c r="H86" s="1">
        <v>74.0</v>
      </c>
      <c r="I86" s="1"/>
      <c r="J86" s="1">
        <v>104.0</v>
      </c>
      <c r="K86" s="1"/>
      <c r="L86" s="1">
        <v>68.0</v>
      </c>
      <c r="M86" s="1"/>
      <c r="N86" s="1">
        <v>118.0</v>
      </c>
      <c r="O86" s="1">
        <v>0.0</v>
      </c>
      <c r="P86" s="1">
        <v>20.0</v>
      </c>
      <c r="Q86" s="1"/>
      <c r="R86" s="1"/>
    </row>
    <row r="87">
      <c r="B87" s="5">
        <v>184.0</v>
      </c>
      <c r="D87" s="5">
        <v>30.0</v>
      </c>
      <c r="F87" s="1">
        <v>162.0</v>
      </c>
      <c r="G87" s="1">
        <v>0.0</v>
      </c>
      <c r="H87" s="1">
        <v>78.0</v>
      </c>
      <c r="I87" s="1">
        <v>0.0</v>
      </c>
      <c r="J87" s="1">
        <v>108.0</v>
      </c>
      <c r="K87" s="1"/>
      <c r="L87" s="1">
        <v>68.0</v>
      </c>
      <c r="M87" s="1"/>
      <c r="N87" s="1">
        <v>118.0</v>
      </c>
      <c r="O87" s="1">
        <v>0.0</v>
      </c>
      <c r="P87" s="1">
        <v>24.0</v>
      </c>
      <c r="Q87" s="1"/>
      <c r="R87" s="1"/>
    </row>
    <row r="88">
      <c r="A88" s="1">
        <v>10.0</v>
      </c>
      <c r="B88" s="5">
        <v>198.0</v>
      </c>
      <c r="D88" s="5">
        <v>30.0</v>
      </c>
      <c r="F88" s="1">
        <v>162.0</v>
      </c>
      <c r="G88" s="1">
        <v>10.0</v>
      </c>
      <c r="H88" s="1">
        <v>92.0</v>
      </c>
      <c r="I88" s="1">
        <v>0.0</v>
      </c>
      <c r="J88" s="1">
        <v>112.0</v>
      </c>
      <c r="K88" s="1"/>
      <c r="L88" s="1">
        <v>68.0</v>
      </c>
      <c r="M88" s="1">
        <v>10.0</v>
      </c>
      <c r="N88" s="1">
        <v>132.0</v>
      </c>
      <c r="O88" s="1"/>
      <c r="P88" s="1">
        <v>24.0</v>
      </c>
      <c r="Q88" s="1"/>
      <c r="R88" s="1"/>
    </row>
    <row r="89">
      <c r="B89" s="4"/>
      <c r="D89" s="4"/>
    </row>
    <row r="90">
      <c r="B90" s="4"/>
      <c r="D90" s="4"/>
    </row>
    <row r="91">
      <c r="A91" s="1" t="s">
        <v>6</v>
      </c>
      <c r="B91" s="1" t="s">
        <v>6</v>
      </c>
      <c r="C91" s="1" t="s">
        <v>3</v>
      </c>
      <c r="D91" s="1" t="s">
        <v>3</v>
      </c>
      <c r="E91" s="1" t="s">
        <v>5</v>
      </c>
      <c r="F91" s="1" t="s">
        <v>5</v>
      </c>
      <c r="G91" s="1" t="s">
        <v>8</v>
      </c>
      <c r="H91" s="1" t="s">
        <v>8</v>
      </c>
      <c r="I91" s="1" t="s">
        <v>0</v>
      </c>
      <c r="J91" s="1" t="s">
        <v>0</v>
      </c>
      <c r="K91" s="1" t="s">
        <v>4</v>
      </c>
      <c r="L91" s="1" t="s">
        <v>4</v>
      </c>
      <c r="M91" s="1" t="s">
        <v>2</v>
      </c>
      <c r="N91" s="1" t="s">
        <v>2</v>
      </c>
      <c r="O91" s="1" t="s">
        <v>7</v>
      </c>
      <c r="P91" s="1" t="s">
        <v>7</v>
      </c>
      <c r="Q91" s="1" t="s">
        <v>1</v>
      </c>
      <c r="R91" s="1" t="s">
        <v>1</v>
      </c>
    </row>
    <row r="92">
      <c r="A92" s="1" t="s">
        <v>16</v>
      </c>
      <c r="B92" s="3" t="s">
        <v>19</v>
      </c>
      <c r="C92" s="1" t="s">
        <v>16</v>
      </c>
      <c r="D92" s="4" t="s">
        <v>19</v>
      </c>
      <c r="E92" s="1" t="s">
        <v>16</v>
      </c>
      <c r="F92" s="1" t="s">
        <v>19</v>
      </c>
      <c r="G92" s="1" t="s">
        <v>16</v>
      </c>
      <c r="H92" s="1" t="s">
        <v>19</v>
      </c>
      <c r="I92" s="1" t="s">
        <v>16</v>
      </c>
      <c r="J92" s="1" t="s">
        <v>19</v>
      </c>
      <c r="K92" s="1" t="s">
        <v>16</v>
      </c>
      <c r="L92" s="1" t="s">
        <v>19</v>
      </c>
      <c r="M92" s="1" t="s">
        <v>16</v>
      </c>
      <c r="N92" s="1" t="s">
        <v>19</v>
      </c>
      <c r="O92" s="1" t="s">
        <v>16</v>
      </c>
      <c r="P92" s="1" t="s">
        <v>19</v>
      </c>
      <c r="Q92" s="1" t="s">
        <v>16</v>
      </c>
      <c r="R92" s="1" t="s">
        <v>19</v>
      </c>
    </row>
    <row r="93">
      <c r="B93" s="3"/>
      <c r="D93" s="4"/>
    </row>
    <row r="94">
      <c r="B94" s="5">
        <v>0.0</v>
      </c>
      <c r="D94" s="5">
        <v>0.0</v>
      </c>
      <c r="E94" s="1">
        <v>10.0</v>
      </c>
      <c r="F94" s="1">
        <v>14.0</v>
      </c>
      <c r="H94" s="1">
        <v>0.0</v>
      </c>
      <c r="I94" s="1"/>
      <c r="J94" s="1">
        <v>0.0</v>
      </c>
      <c r="K94" s="1">
        <v>0.0</v>
      </c>
      <c r="L94" s="1">
        <v>4.0</v>
      </c>
      <c r="M94" s="1"/>
      <c r="N94" s="1">
        <v>0.0</v>
      </c>
      <c r="O94" s="1"/>
      <c r="P94" s="1">
        <v>0.0</v>
      </c>
      <c r="Q94" s="1"/>
      <c r="R94" s="1"/>
    </row>
    <row r="95">
      <c r="B95" s="5">
        <v>0.0</v>
      </c>
      <c r="D95" s="5">
        <v>0.0</v>
      </c>
      <c r="E95" s="1">
        <v>0.0</v>
      </c>
      <c r="F95" s="1">
        <v>18.0</v>
      </c>
      <c r="H95" s="1">
        <v>0.0</v>
      </c>
      <c r="I95" s="1"/>
      <c r="J95" s="1">
        <v>0.0</v>
      </c>
      <c r="K95" s="1"/>
      <c r="L95" s="1">
        <v>4.0</v>
      </c>
      <c r="M95" s="1"/>
      <c r="N95" s="1">
        <v>0.0</v>
      </c>
      <c r="O95" s="1"/>
      <c r="P95" s="1">
        <v>0.0</v>
      </c>
      <c r="Q95" s="1"/>
      <c r="R95" s="1"/>
    </row>
    <row r="96">
      <c r="B96" s="5">
        <v>0.0</v>
      </c>
      <c r="D96" s="5">
        <v>0.0</v>
      </c>
      <c r="F96" s="1">
        <v>18.0</v>
      </c>
      <c r="G96" s="1">
        <v>10.0</v>
      </c>
      <c r="H96" s="1">
        <v>14.0</v>
      </c>
      <c r="I96" s="1">
        <v>0.0</v>
      </c>
      <c r="J96" s="1">
        <v>4.0</v>
      </c>
      <c r="K96" s="1"/>
      <c r="L96" s="1">
        <v>4.0</v>
      </c>
      <c r="M96" s="1"/>
      <c r="N96" s="1">
        <v>0.0</v>
      </c>
      <c r="O96" s="1"/>
      <c r="P96" s="1">
        <v>4.0</v>
      </c>
      <c r="Q96" s="1"/>
      <c r="R96" s="1"/>
    </row>
    <row r="97">
      <c r="B97" s="5">
        <v>0.0</v>
      </c>
      <c r="D97" s="5">
        <v>0.0</v>
      </c>
      <c r="E97" s="1">
        <v>0.0</v>
      </c>
      <c r="F97" s="1">
        <v>22.0</v>
      </c>
      <c r="H97" s="1">
        <v>14.0</v>
      </c>
      <c r="I97" s="1"/>
      <c r="J97" s="1">
        <v>4.0</v>
      </c>
      <c r="K97" s="1">
        <v>0.0</v>
      </c>
      <c r="L97" s="1">
        <v>8.0</v>
      </c>
      <c r="M97" s="1">
        <v>10.0</v>
      </c>
      <c r="N97" s="1">
        <v>14.0</v>
      </c>
      <c r="O97" s="1"/>
      <c r="P97" s="1">
        <v>4.0</v>
      </c>
      <c r="Q97" s="1"/>
      <c r="R97" s="1"/>
    </row>
    <row r="98">
      <c r="B98" s="5">
        <v>0.0</v>
      </c>
      <c r="C98" s="1">
        <v>0.0</v>
      </c>
      <c r="D98" s="5">
        <v>4.0</v>
      </c>
      <c r="F98" s="1">
        <v>22.0</v>
      </c>
      <c r="G98" s="1">
        <v>0.0</v>
      </c>
      <c r="H98" s="1">
        <v>18.0</v>
      </c>
      <c r="I98" s="1"/>
      <c r="J98" s="1">
        <v>4.0</v>
      </c>
      <c r="K98" s="1">
        <v>10.0</v>
      </c>
      <c r="L98" s="1">
        <v>22.0</v>
      </c>
      <c r="M98" s="1"/>
      <c r="N98" s="1">
        <v>18.0</v>
      </c>
      <c r="O98" s="1"/>
      <c r="P98" s="1">
        <v>4.0</v>
      </c>
      <c r="Q98" s="1"/>
      <c r="R98" s="1"/>
    </row>
    <row r="99">
      <c r="A99" s="1">
        <v>10.0</v>
      </c>
      <c r="B99" s="5">
        <v>14.0</v>
      </c>
      <c r="D99" s="5">
        <v>4.0</v>
      </c>
      <c r="F99" s="1">
        <v>22.0</v>
      </c>
      <c r="H99" s="1">
        <v>22.0</v>
      </c>
      <c r="I99" s="1"/>
      <c r="J99" s="1">
        <v>4.0</v>
      </c>
      <c r="K99" s="1">
        <v>10.0</v>
      </c>
      <c r="L99" s="1">
        <v>36.0</v>
      </c>
      <c r="M99" s="1"/>
      <c r="N99" s="1">
        <v>18.0</v>
      </c>
      <c r="O99" s="1">
        <v>0.0</v>
      </c>
      <c r="P99" s="1">
        <v>12.0</v>
      </c>
      <c r="Q99" s="1"/>
      <c r="R99" s="1"/>
    </row>
    <row r="100">
      <c r="A100" s="1">
        <v>10.0</v>
      </c>
      <c r="B100" s="5">
        <v>28.0</v>
      </c>
      <c r="D100" s="5">
        <v>4.0</v>
      </c>
      <c r="F100" s="1">
        <v>22.0</v>
      </c>
      <c r="G100" s="1">
        <v>10.0</v>
      </c>
      <c r="H100" s="1">
        <v>36.0</v>
      </c>
      <c r="I100" s="1"/>
      <c r="J100" s="1">
        <v>4.0</v>
      </c>
      <c r="K100" s="1">
        <v>10.0</v>
      </c>
      <c r="L100" s="1">
        <v>50.0</v>
      </c>
      <c r="M100" s="1"/>
      <c r="N100" s="1">
        <v>18.0</v>
      </c>
      <c r="O100" s="1"/>
      <c r="P100" s="1">
        <v>16.0</v>
      </c>
      <c r="Q100" s="1"/>
      <c r="R100" s="1"/>
    </row>
    <row r="101">
      <c r="A101" s="1">
        <v>0.0</v>
      </c>
      <c r="B101" s="5">
        <v>32.0</v>
      </c>
      <c r="D101" s="5">
        <v>4.0</v>
      </c>
      <c r="E101" s="1">
        <v>10.0</v>
      </c>
      <c r="F101" s="1">
        <v>36.0</v>
      </c>
      <c r="H101" s="1">
        <v>36.0</v>
      </c>
      <c r="I101" s="1"/>
      <c r="J101" s="1">
        <v>4.0</v>
      </c>
      <c r="K101" s="1">
        <v>10.0</v>
      </c>
      <c r="L101" s="1">
        <v>64.0</v>
      </c>
      <c r="M101" s="1">
        <v>10.0</v>
      </c>
      <c r="N101" s="1">
        <v>32.0</v>
      </c>
      <c r="O101" s="1"/>
      <c r="P101" s="1">
        <v>16.0</v>
      </c>
      <c r="Q101" s="1"/>
      <c r="R101" s="1"/>
    </row>
    <row r="102">
      <c r="A102" s="1">
        <v>0.0</v>
      </c>
      <c r="B102" s="5">
        <v>36.0</v>
      </c>
      <c r="D102" s="5">
        <v>4.0</v>
      </c>
      <c r="F102" s="1">
        <v>36.0</v>
      </c>
      <c r="G102" s="1">
        <v>0.0</v>
      </c>
      <c r="H102" s="1">
        <v>40.0</v>
      </c>
      <c r="I102" s="1"/>
      <c r="J102" s="1">
        <v>4.0</v>
      </c>
      <c r="K102" s="1">
        <v>10.0</v>
      </c>
      <c r="L102" s="1">
        <v>78.0</v>
      </c>
      <c r="M102" s="1">
        <v>10.0</v>
      </c>
      <c r="N102" s="1">
        <v>46.0</v>
      </c>
      <c r="O102" s="1"/>
      <c r="P102" s="1">
        <v>16.0</v>
      </c>
      <c r="Q102" s="1"/>
      <c r="R102" s="1"/>
    </row>
    <row r="103">
      <c r="A103" s="1">
        <v>10.0</v>
      </c>
      <c r="B103" s="5">
        <v>50.0</v>
      </c>
      <c r="D103" s="5">
        <v>4.0</v>
      </c>
      <c r="F103" s="1">
        <v>36.0</v>
      </c>
      <c r="G103" s="1">
        <v>0.0</v>
      </c>
      <c r="H103" s="1">
        <v>44.0</v>
      </c>
      <c r="I103" s="1">
        <v>0.0</v>
      </c>
      <c r="J103" s="1">
        <v>12.0</v>
      </c>
      <c r="K103" s="1"/>
      <c r="L103" s="1">
        <v>78.0</v>
      </c>
      <c r="M103" s="1">
        <v>10.0</v>
      </c>
      <c r="N103" s="1">
        <v>60.0</v>
      </c>
      <c r="O103" s="1"/>
      <c r="P103" s="1">
        <v>16.0</v>
      </c>
      <c r="Q103" s="1"/>
      <c r="R103" s="1"/>
    </row>
    <row r="104">
      <c r="B104" s="5">
        <v>50.0</v>
      </c>
      <c r="D104" s="5">
        <v>4.0</v>
      </c>
      <c r="F104" s="1">
        <v>36.0</v>
      </c>
      <c r="G104" s="1">
        <v>0.0</v>
      </c>
      <c r="H104" s="1">
        <v>48.0</v>
      </c>
      <c r="I104" s="1"/>
      <c r="J104" s="1">
        <v>12.0</v>
      </c>
      <c r="K104" s="1">
        <v>0.0</v>
      </c>
      <c r="L104" s="1">
        <v>82.0</v>
      </c>
      <c r="M104" s="1">
        <v>0.0</v>
      </c>
      <c r="N104" s="1">
        <v>64.0</v>
      </c>
      <c r="O104" s="1"/>
      <c r="P104" s="1">
        <v>16.0</v>
      </c>
      <c r="Q104" s="1"/>
      <c r="R104" s="1"/>
    </row>
    <row r="105">
      <c r="A105" s="1">
        <v>0.0</v>
      </c>
      <c r="B105" s="5">
        <v>54.0</v>
      </c>
      <c r="D105" s="5">
        <v>4.0</v>
      </c>
      <c r="F105" s="1">
        <v>36.0</v>
      </c>
      <c r="G105" s="1">
        <v>10.0</v>
      </c>
      <c r="H105" s="1">
        <v>62.0</v>
      </c>
      <c r="I105" s="1"/>
      <c r="J105" s="1">
        <v>12.0</v>
      </c>
      <c r="K105" s="1">
        <v>10.0</v>
      </c>
      <c r="L105" s="1">
        <v>96.0</v>
      </c>
      <c r="M105" s="1"/>
      <c r="N105" s="1">
        <v>64.0</v>
      </c>
      <c r="O105" s="1">
        <v>0.0</v>
      </c>
      <c r="P105" s="1">
        <v>24.0</v>
      </c>
      <c r="Q105" s="1"/>
      <c r="R105" s="1"/>
    </row>
    <row r="106">
      <c r="B106" s="3"/>
      <c r="D106" s="4"/>
    </row>
    <row r="107">
      <c r="B107" s="5">
        <v>54.0</v>
      </c>
      <c r="D107" s="5">
        <v>4.0</v>
      </c>
      <c r="F107" s="1">
        <v>36.0</v>
      </c>
      <c r="G107" s="1">
        <v>0.0</v>
      </c>
      <c r="H107" s="1">
        <v>66.0</v>
      </c>
      <c r="I107" s="1"/>
      <c r="J107" s="1">
        <v>12.0</v>
      </c>
      <c r="K107" s="1">
        <v>0.0</v>
      </c>
      <c r="L107" s="1">
        <v>100.0</v>
      </c>
      <c r="M107" s="1">
        <v>0.0</v>
      </c>
      <c r="N107" s="1">
        <v>68.0</v>
      </c>
      <c r="O107" s="1"/>
      <c r="P107" s="1">
        <v>24.0</v>
      </c>
      <c r="Q107" s="1"/>
      <c r="R107" s="1"/>
    </row>
    <row r="108">
      <c r="B108" s="6">
        <v>54.0</v>
      </c>
      <c r="C108" s="1">
        <v>10.0</v>
      </c>
      <c r="D108" s="5">
        <v>18.0</v>
      </c>
      <c r="E108" s="1">
        <v>10.0</v>
      </c>
      <c r="F108" s="1">
        <v>50.0</v>
      </c>
      <c r="H108" s="1">
        <v>66.0</v>
      </c>
      <c r="I108" s="1">
        <v>10.0</v>
      </c>
      <c r="J108" s="1">
        <v>26.0</v>
      </c>
      <c r="K108" s="1"/>
      <c r="L108" s="1">
        <v>100.0</v>
      </c>
      <c r="M108" s="1">
        <v>10.0</v>
      </c>
      <c r="N108" s="1">
        <v>82.0</v>
      </c>
      <c r="O108" s="1"/>
      <c r="P108" s="1">
        <v>24.0</v>
      </c>
      <c r="Q108" s="1"/>
      <c r="R108" s="1"/>
    </row>
    <row r="109">
      <c r="B109" s="5">
        <v>54.0</v>
      </c>
      <c r="C109" s="1">
        <v>0.0</v>
      </c>
      <c r="D109" s="5">
        <v>22.0</v>
      </c>
      <c r="E109" s="1">
        <v>0.0</v>
      </c>
      <c r="F109" s="1">
        <v>54.0</v>
      </c>
      <c r="H109" s="1">
        <v>66.0</v>
      </c>
      <c r="I109" s="1"/>
      <c r="J109" s="1">
        <v>26.0</v>
      </c>
      <c r="K109" s="1">
        <v>10.0</v>
      </c>
      <c r="L109" s="1">
        <v>114.0</v>
      </c>
      <c r="M109" s="1"/>
      <c r="N109" s="1">
        <v>82.0</v>
      </c>
      <c r="O109" s="1">
        <v>10.0</v>
      </c>
      <c r="P109" s="1">
        <v>42.0</v>
      </c>
      <c r="Q109" s="1"/>
      <c r="R109" s="1"/>
    </row>
    <row r="110">
      <c r="B110" s="5">
        <v>54.0</v>
      </c>
      <c r="D110" s="5">
        <v>22.0</v>
      </c>
      <c r="F110" s="1">
        <v>54.0</v>
      </c>
      <c r="H110" s="1">
        <v>66.0</v>
      </c>
      <c r="I110" s="1"/>
      <c r="J110" s="1">
        <v>26.0</v>
      </c>
      <c r="K110" s="1"/>
      <c r="L110" s="1">
        <v>114.0</v>
      </c>
      <c r="M110" s="1">
        <v>10.0</v>
      </c>
      <c r="N110" s="1">
        <v>96.0</v>
      </c>
      <c r="O110" s="1"/>
      <c r="P110" s="1">
        <v>42.0</v>
      </c>
      <c r="Q110" s="1"/>
      <c r="R110" s="1"/>
    </row>
    <row r="111">
      <c r="A111" s="1">
        <v>0.0</v>
      </c>
      <c r="B111" s="5">
        <v>58.0</v>
      </c>
      <c r="D111" s="5">
        <v>22.0</v>
      </c>
      <c r="E111" s="1">
        <v>10.0</v>
      </c>
      <c r="F111" s="1">
        <v>68.0</v>
      </c>
      <c r="H111" s="1">
        <v>66.0</v>
      </c>
      <c r="I111" s="1">
        <v>10.0</v>
      </c>
      <c r="J111" s="1">
        <v>40.0</v>
      </c>
      <c r="K111" s="1"/>
      <c r="L111" s="1">
        <v>114.0</v>
      </c>
      <c r="M111" s="1">
        <v>10.0</v>
      </c>
      <c r="N111" s="1">
        <v>110.0</v>
      </c>
      <c r="O111" s="1"/>
      <c r="P111" s="1">
        <v>42.0</v>
      </c>
      <c r="Q111" s="1"/>
      <c r="R111" s="1"/>
    </row>
    <row r="112">
      <c r="B112" s="5">
        <v>58.0</v>
      </c>
      <c r="D112" s="5">
        <v>22.0</v>
      </c>
      <c r="E112" s="1">
        <v>0.0</v>
      </c>
      <c r="F112" s="1">
        <v>72.0</v>
      </c>
      <c r="H112" s="1">
        <v>66.0</v>
      </c>
      <c r="I112" s="1"/>
      <c r="J112" s="1">
        <v>40.0</v>
      </c>
      <c r="K112" s="1">
        <v>10.0</v>
      </c>
      <c r="L112" s="1">
        <v>128.0</v>
      </c>
      <c r="M112" s="1">
        <v>10.0</v>
      </c>
      <c r="N112" s="1">
        <v>124.0</v>
      </c>
      <c r="O112" s="1"/>
      <c r="P112" s="1">
        <v>42.0</v>
      </c>
      <c r="Q112" s="1"/>
      <c r="R112" s="1"/>
    </row>
    <row r="113">
      <c r="A113" s="1">
        <v>0.0</v>
      </c>
      <c r="B113" s="5">
        <v>62.0</v>
      </c>
      <c r="D113" s="5">
        <v>22.0</v>
      </c>
      <c r="E113" s="1">
        <v>0.0</v>
      </c>
      <c r="F113" s="1">
        <v>80.0</v>
      </c>
      <c r="H113" s="1">
        <v>66.0</v>
      </c>
      <c r="I113" s="1"/>
      <c r="J113" s="1">
        <v>40.0</v>
      </c>
      <c r="K113" s="1"/>
      <c r="L113" s="1">
        <v>128.0</v>
      </c>
      <c r="M113" s="1"/>
      <c r="N113" s="1">
        <v>124.0</v>
      </c>
      <c r="O113" s="1"/>
      <c r="P113" s="1">
        <v>46.0</v>
      </c>
      <c r="Q113" s="1"/>
      <c r="R113" s="1"/>
    </row>
    <row r="114">
      <c r="B114" s="5">
        <v>62.0</v>
      </c>
      <c r="D114" s="5">
        <v>22.0</v>
      </c>
      <c r="E114" s="1">
        <v>10.0</v>
      </c>
      <c r="F114" s="1">
        <v>94.0</v>
      </c>
      <c r="H114" s="1">
        <v>66.0</v>
      </c>
      <c r="I114" s="1"/>
      <c r="J114" s="1">
        <v>40.0</v>
      </c>
      <c r="K114" s="1"/>
      <c r="L114" s="1">
        <v>128.0</v>
      </c>
      <c r="M114" s="1"/>
      <c r="N114" s="1">
        <v>124.0</v>
      </c>
      <c r="O114" s="1"/>
      <c r="P114" s="1">
        <v>46.0</v>
      </c>
      <c r="Q114" s="1"/>
      <c r="R114" s="1"/>
    </row>
    <row r="115">
      <c r="B115" s="5">
        <v>62.0</v>
      </c>
      <c r="D115" s="5">
        <v>22.0</v>
      </c>
      <c r="E115" s="1">
        <v>10.0</v>
      </c>
      <c r="F115" s="1">
        <v>108.0</v>
      </c>
      <c r="H115" s="1">
        <v>66.0</v>
      </c>
      <c r="I115" s="1"/>
      <c r="J115" s="1">
        <v>44.0</v>
      </c>
      <c r="K115" s="1"/>
      <c r="L115" s="1">
        <v>128.0</v>
      </c>
      <c r="M115" s="1">
        <v>10.0</v>
      </c>
      <c r="N115" s="1">
        <v>138.0</v>
      </c>
      <c r="O115" s="1"/>
      <c r="P115" s="1">
        <v>46.0</v>
      </c>
      <c r="Q115" s="1"/>
      <c r="R115" s="1"/>
    </row>
    <row r="116">
      <c r="A116" s="1">
        <v>10.0</v>
      </c>
      <c r="B116" s="5">
        <v>76.0</v>
      </c>
      <c r="D116" s="5">
        <v>22.0</v>
      </c>
      <c r="E116" s="1">
        <v>10.0</v>
      </c>
      <c r="F116" s="1">
        <v>122.0</v>
      </c>
      <c r="H116" s="1">
        <v>66.0</v>
      </c>
      <c r="I116" s="1"/>
      <c r="J116" s="1">
        <v>44.0</v>
      </c>
      <c r="K116" s="1">
        <v>0.0</v>
      </c>
      <c r="L116" s="1">
        <v>132.0</v>
      </c>
      <c r="M116" s="1">
        <v>10.0</v>
      </c>
      <c r="N116" s="1">
        <v>152.0</v>
      </c>
      <c r="O116" s="1"/>
      <c r="P116" s="1">
        <v>46.0</v>
      </c>
      <c r="Q116" s="1"/>
      <c r="R116" s="1"/>
    </row>
    <row r="117">
      <c r="B117" s="5">
        <v>76.0</v>
      </c>
      <c r="C117" s="1">
        <v>0.0</v>
      </c>
      <c r="D117" s="5">
        <v>26.0</v>
      </c>
      <c r="F117" s="1">
        <v>122.0</v>
      </c>
      <c r="G117" s="1">
        <v>10.0</v>
      </c>
      <c r="H117" s="1">
        <v>80.0</v>
      </c>
      <c r="I117" s="1">
        <v>0.0</v>
      </c>
      <c r="J117" s="1">
        <v>48.0</v>
      </c>
      <c r="K117" s="1"/>
      <c r="L117" s="1">
        <v>132.0</v>
      </c>
      <c r="M117" s="1">
        <v>10.0</v>
      </c>
      <c r="N117" s="1">
        <v>166.0</v>
      </c>
      <c r="O117" s="1"/>
      <c r="P117" s="1">
        <v>46.0</v>
      </c>
      <c r="Q117" s="1"/>
      <c r="R117" s="1"/>
    </row>
    <row r="118">
      <c r="A118" s="1">
        <v>0.0</v>
      </c>
      <c r="B118" s="5">
        <v>80.0</v>
      </c>
      <c r="D118" s="5">
        <v>26.0</v>
      </c>
      <c r="F118" s="1">
        <v>122.0</v>
      </c>
      <c r="H118" s="1">
        <v>84.0</v>
      </c>
      <c r="I118" s="1"/>
      <c r="J118" s="1">
        <v>48.0</v>
      </c>
      <c r="K118" s="1">
        <v>10.0</v>
      </c>
      <c r="L118" s="1">
        <v>146.0</v>
      </c>
      <c r="M118" s="1">
        <v>0.0</v>
      </c>
      <c r="N118" s="1">
        <v>170.0</v>
      </c>
      <c r="O118" s="1"/>
      <c r="P118" s="1">
        <v>46.0</v>
      </c>
      <c r="Q118" s="1"/>
      <c r="R118" s="1"/>
    </row>
    <row r="119">
      <c r="B119" s="4"/>
      <c r="D119" s="4"/>
    </row>
    <row r="120">
      <c r="B120" s="4"/>
      <c r="D120" s="4"/>
    </row>
    <row r="121">
      <c r="A121" s="1" t="s">
        <v>0</v>
      </c>
      <c r="B121" s="1" t="s">
        <v>0</v>
      </c>
      <c r="C121" s="1" t="s">
        <v>2</v>
      </c>
      <c r="D121" s="1" t="s">
        <v>2</v>
      </c>
      <c r="E121" s="1" t="s">
        <v>7</v>
      </c>
      <c r="F121" s="1" t="s">
        <v>7</v>
      </c>
      <c r="G121" s="1" t="s">
        <v>1</v>
      </c>
      <c r="H121" s="1" t="s">
        <v>1</v>
      </c>
      <c r="I121" s="1" t="s">
        <v>6</v>
      </c>
      <c r="J121" s="1" t="s">
        <v>6</v>
      </c>
      <c r="K121" s="1" t="s">
        <v>5</v>
      </c>
      <c r="L121" s="1" t="s">
        <v>5</v>
      </c>
      <c r="M121" s="1" t="s">
        <v>4</v>
      </c>
      <c r="N121" s="1" t="s">
        <v>4</v>
      </c>
      <c r="O121" s="1" t="s">
        <v>8</v>
      </c>
      <c r="P121" s="1" t="s">
        <v>8</v>
      </c>
      <c r="Q121" s="1" t="s">
        <v>3</v>
      </c>
      <c r="R121" s="1" t="s">
        <v>3</v>
      </c>
    </row>
    <row r="122">
      <c r="A122" s="1" t="s">
        <v>16</v>
      </c>
      <c r="B122" s="3" t="s">
        <v>19</v>
      </c>
      <c r="C122" s="1" t="s">
        <v>16</v>
      </c>
      <c r="D122" s="4" t="s">
        <v>19</v>
      </c>
      <c r="E122" s="1" t="s">
        <v>16</v>
      </c>
      <c r="F122" s="1" t="s">
        <v>19</v>
      </c>
      <c r="G122" s="1" t="s">
        <v>16</v>
      </c>
      <c r="H122" s="1" t="s">
        <v>19</v>
      </c>
      <c r="I122" s="1" t="s">
        <v>16</v>
      </c>
      <c r="J122" s="1" t="s">
        <v>19</v>
      </c>
      <c r="K122" s="1" t="s">
        <v>16</v>
      </c>
      <c r="L122" s="1" t="s">
        <v>19</v>
      </c>
      <c r="M122" s="1" t="s">
        <v>16</v>
      </c>
      <c r="N122" s="1" t="s">
        <v>19</v>
      </c>
      <c r="O122" s="1" t="s">
        <v>16</v>
      </c>
      <c r="P122" s="1" t="s">
        <v>19</v>
      </c>
      <c r="Q122" s="1" t="s">
        <v>16</v>
      </c>
      <c r="R122" s="1" t="s">
        <v>19</v>
      </c>
    </row>
    <row r="123">
      <c r="B123" s="3"/>
      <c r="D123" s="4"/>
    </row>
    <row r="124">
      <c r="B124" s="5">
        <v>0.0</v>
      </c>
      <c r="C124" s="1">
        <v>10.0</v>
      </c>
      <c r="D124" s="5">
        <v>14.0</v>
      </c>
      <c r="F124" s="1">
        <v>0.0</v>
      </c>
      <c r="H124" s="1">
        <v>0.0</v>
      </c>
      <c r="I124" s="1"/>
      <c r="J124" s="1">
        <v>0.0</v>
      </c>
      <c r="K124" s="1"/>
      <c r="L124" s="1">
        <v>0.0</v>
      </c>
      <c r="M124" s="1"/>
      <c r="N124" s="1">
        <v>0.0</v>
      </c>
      <c r="O124" s="1"/>
      <c r="P124" s="1">
        <v>4.0</v>
      </c>
      <c r="Q124" s="1"/>
      <c r="R124" s="1"/>
    </row>
    <row r="125">
      <c r="B125" s="5">
        <v>0.0</v>
      </c>
      <c r="D125" s="5">
        <v>14.0</v>
      </c>
      <c r="F125" s="1">
        <v>0.0</v>
      </c>
      <c r="H125" s="1">
        <v>0.0</v>
      </c>
      <c r="I125" s="1"/>
      <c r="J125" s="1">
        <v>0.0</v>
      </c>
      <c r="K125" s="1">
        <v>10.0</v>
      </c>
      <c r="L125" s="1">
        <v>14.0</v>
      </c>
      <c r="M125" s="1">
        <v>0.0</v>
      </c>
      <c r="N125" s="1">
        <v>4.0</v>
      </c>
      <c r="O125" s="1"/>
      <c r="P125" s="1">
        <v>4.0</v>
      </c>
      <c r="Q125" s="1"/>
      <c r="R125" s="1"/>
    </row>
    <row r="126">
      <c r="B126" s="6">
        <v>0.0</v>
      </c>
      <c r="C126" s="1">
        <v>10.0</v>
      </c>
      <c r="D126" s="5">
        <v>28.0</v>
      </c>
      <c r="F126" s="1">
        <v>0.0</v>
      </c>
      <c r="H126" s="1">
        <v>0.0</v>
      </c>
      <c r="I126" s="1"/>
      <c r="J126" s="1">
        <v>0.0</v>
      </c>
      <c r="K126" s="1"/>
      <c r="L126" s="1">
        <v>14.0</v>
      </c>
      <c r="M126" s="1">
        <v>10.0</v>
      </c>
      <c r="N126" s="1">
        <v>18.0</v>
      </c>
      <c r="O126" s="1"/>
      <c r="P126" s="1">
        <v>4.0</v>
      </c>
      <c r="Q126" s="1"/>
      <c r="R126" s="1"/>
    </row>
    <row r="127">
      <c r="A127" s="1">
        <v>0.0</v>
      </c>
      <c r="B127" s="5">
        <v>4.0</v>
      </c>
      <c r="D127" s="5">
        <v>28.0</v>
      </c>
      <c r="F127" s="1">
        <v>0.0</v>
      </c>
      <c r="H127" s="1">
        <v>0.0</v>
      </c>
      <c r="I127" s="1"/>
      <c r="J127" s="1">
        <v>4.0</v>
      </c>
      <c r="K127" s="1"/>
      <c r="L127" s="1">
        <v>14.0</v>
      </c>
      <c r="M127" s="1">
        <v>0.0</v>
      </c>
      <c r="N127" s="1">
        <v>26.0</v>
      </c>
      <c r="O127" s="1"/>
      <c r="P127" s="1">
        <v>4.0</v>
      </c>
      <c r="Q127" s="1"/>
      <c r="R127" s="1"/>
    </row>
    <row r="128">
      <c r="B128" s="5">
        <v>8.0</v>
      </c>
      <c r="D128" s="5">
        <v>28.0</v>
      </c>
      <c r="F128" s="1">
        <v>0.0</v>
      </c>
      <c r="H128" s="1">
        <v>0.0</v>
      </c>
      <c r="I128" s="1"/>
      <c r="J128" s="1">
        <v>4.0</v>
      </c>
      <c r="K128" s="1">
        <v>10.0</v>
      </c>
      <c r="L128" s="1">
        <v>28.0</v>
      </c>
      <c r="M128" s="1"/>
      <c r="N128" s="1">
        <v>26.0</v>
      </c>
      <c r="O128" s="1"/>
      <c r="P128" s="1">
        <v>4.0</v>
      </c>
      <c r="Q128" s="1"/>
      <c r="R128" s="1"/>
    </row>
    <row r="129">
      <c r="A129" s="1">
        <v>0.0</v>
      </c>
      <c r="B129" s="5">
        <v>16.0</v>
      </c>
      <c r="D129" s="5">
        <v>28.0</v>
      </c>
      <c r="F129" s="1">
        <v>4.0</v>
      </c>
      <c r="H129" s="1">
        <v>0.0</v>
      </c>
      <c r="I129" s="1">
        <v>10.0</v>
      </c>
      <c r="J129" s="1">
        <v>22.0</v>
      </c>
      <c r="K129" s="1"/>
      <c r="L129" s="1">
        <v>28.0</v>
      </c>
      <c r="M129" s="1"/>
      <c r="N129" s="1">
        <v>26.0</v>
      </c>
      <c r="O129" s="1">
        <v>10.0</v>
      </c>
      <c r="P129" s="1">
        <v>22.0</v>
      </c>
      <c r="Q129" s="1"/>
      <c r="R129" s="1"/>
    </row>
    <row r="130">
      <c r="B130" s="5">
        <v>16.0</v>
      </c>
      <c r="C130" s="1">
        <v>10.0</v>
      </c>
      <c r="D130" s="5">
        <v>42.0</v>
      </c>
      <c r="F130" s="1">
        <v>4.0</v>
      </c>
      <c r="G130" s="1">
        <v>0.0</v>
      </c>
      <c r="H130" s="1">
        <v>4.0</v>
      </c>
      <c r="I130" s="1"/>
      <c r="J130" s="1">
        <v>22.0</v>
      </c>
      <c r="K130" s="1">
        <v>10.0</v>
      </c>
      <c r="L130" s="1">
        <v>42.0</v>
      </c>
      <c r="M130" s="1"/>
      <c r="N130" s="1">
        <v>26.0</v>
      </c>
      <c r="O130" s="1">
        <v>10.0</v>
      </c>
      <c r="P130" s="1">
        <v>36.0</v>
      </c>
      <c r="Q130" s="1"/>
      <c r="R130" s="1"/>
    </row>
    <row r="131">
      <c r="B131" s="5">
        <v>16.0</v>
      </c>
      <c r="D131" s="5">
        <v>42.0</v>
      </c>
      <c r="F131" s="1">
        <v>4.0</v>
      </c>
      <c r="H131" s="1">
        <v>4.0</v>
      </c>
      <c r="I131" s="1">
        <v>10.0</v>
      </c>
      <c r="J131" s="1">
        <v>36.0</v>
      </c>
      <c r="K131" s="1"/>
      <c r="L131" s="1">
        <v>42.0</v>
      </c>
      <c r="M131" s="1"/>
      <c r="N131" s="1">
        <v>26.0</v>
      </c>
      <c r="O131" s="1">
        <v>10.0</v>
      </c>
      <c r="P131" s="1">
        <v>54.0</v>
      </c>
      <c r="Q131" s="1"/>
      <c r="R131" s="1"/>
    </row>
    <row r="132">
      <c r="B132" s="6">
        <v>16.0</v>
      </c>
      <c r="C132" s="1">
        <v>10.0</v>
      </c>
      <c r="D132" s="5">
        <v>56.0</v>
      </c>
      <c r="F132" s="1">
        <v>4.0</v>
      </c>
      <c r="G132" s="1">
        <v>0.0</v>
      </c>
      <c r="H132" s="1">
        <v>8.0</v>
      </c>
      <c r="I132" s="1"/>
      <c r="J132" s="1">
        <v>40.0</v>
      </c>
      <c r="K132" s="1"/>
      <c r="L132" s="1">
        <v>42.0</v>
      </c>
      <c r="M132" s="1"/>
      <c r="N132" s="1">
        <v>26.0</v>
      </c>
      <c r="O132" s="1">
        <v>0.0</v>
      </c>
      <c r="P132" s="1">
        <v>58.0</v>
      </c>
      <c r="Q132" s="1"/>
      <c r="R132" s="1"/>
    </row>
    <row r="133">
      <c r="B133" s="5">
        <v>16.0</v>
      </c>
      <c r="C133" s="1">
        <v>10.0</v>
      </c>
      <c r="D133" s="5">
        <v>70.0</v>
      </c>
      <c r="F133" s="1">
        <v>4.0</v>
      </c>
      <c r="H133" s="1">
        <v>12.0</v>
      </c>
      <c r="I133" s="1"/>
      <c r="J133" s="1">
        <v>40.0</v>
      </c>
      <c r="K133" s="1">
        <v>0.0</v>
      </c>
      <c r="L133" s="1">
        <v>46.0</v>
      </c>
      <c r="M133" s="1">
        <v>0.0</v>
      </c>
      <c r="N133" s="1">
        <v>30.0</v>
      </c>
      <c r="O133" s="1"/>
      <c r="P133" s="1">
        <v>58.0</v>
      </c>
      <c r="Q133" s="1"/>
      <c r="R133" s="1"/>
    </row>
    <row r="134">
      <c r="B134" s="5">
        <v>16.0</v>
      </c>
      <c r="C134" s="1">
        <v>0.0</v>
      </c>
      <c r="D134" s="5">
        <v>74.0</v>
      </c>
      <c r="F134" s="1">
        <v>4.0</v>
      </c>
      <c r="H134" s="1">
        <v>12.0</v>
      </c>
      <c r="I134" s="1"/>
      <c r="J134" s="1">
        <v>40.0</v>
      </c>
      <c r="K134" s="1">
        <v>10.0</v>
      </c>
      <c r="L134" s="1">
        <v>64.0</v>
      </c>
      <c r="M134" s="1"/>
      <c r="N134" s="1">
        <v>30.0</v>
      </c>
      <c r="O134" s="1">
        <v>0.0</v>
      </c>
      <c r="P134" s="1">
        <v>62.0</v>
      </c>
      <c r="Q134" s="1"/>
      <c r="R134" s="1"/>
    </row>
    <row r="135">
      <c r="B135" s="5">
        <v>20.0</v>
      </c>
      <c r="D135" s="5">
        <v>78.0</v>
      </c>
      <c r="F135" s="1">
        <v>4.0</v>
      </c>
      <c r="H135" s="1">
        <v>12.0</v>
      </c>
      <c r="I135" s="1"/>
      <c r="J135" s="1">
        <v>40.0</v>
      </c>
      <c r="K135" s="1"/>
      <c r="L135" s="1">
        <v>64.0</v>
      </c>
      <c r="M135" s="1">
        <v>0.0</v>
      </c>
      <c r="N135" s="1">
        <v>34.0</v>
      </c>
      <c r="O135" s="1"/>
      <c r="P135" s="1">
        <v>62.0</v>
      </c>
      <c r="Q135" s="1"/>
      <c r="R135" s="1"/>
    </row>
    <row r="136">
      <c r="B136" s="3"/>
      <c r="D136" s="4"/>
    </row>
    <row r="137">
      <c r="B137" s="5">
        <v>20.0</v>
      </c>
      <c r="C137" s="1">
        <v>10.0</v>
      </c>
      <c r="D137" s="5">
        <v>92.0</v>
      </c>
      <c r="F137" s="1">
        <v>8.0</v>
      </c>
      <c r="H137" s="1">
        <v>12.0</v>
      </c>
      <c r="I137" s="1"/>
      <c r="J137" s="1">
        <v>40.0</v>
      </c>
      <c r="K137" s="1">
        <v>0.0</v>
      </c>
      <c r="L137" s="1">
        <v>68.0</v>
      </c>
      <c r="M137" s="1"/>
      <c r="N137" s="1">
        <v>34.0</v>
      </c>
      <c r="O137" s="1">
        <v>0.0</v>
      </c>
      <c r="P137" s="1">
        <v>66.0</v>
      </c>
      <c r="Q137" s="1"/>
      <c r="R137" s="1"/>
    </row>
    <row r="138">
      <c r="B138" s="5">
        <v>20.0</v>
      </c>
      <c r="D138" s="5">
        <v>92.0</v>
      </c>
      <c r="F138" s="1">
        <v>8.0</v>
      </c>
      <c r="H138" s="1">
        <v>12.0</v>
      </c>
      <c r="I138" s="1"/>
      <c r="J138" s="1">
        <v>40.0</v>
      </c>
      <c r="K138" s="1">
        <v>10.0</v>
      </c>
      <c r="L138" s="1">
        <v>82.0</v>
      </c>
      <c r="M138" s="1"/>
      <c r="N138" s="1">
        <v>34.0</v>
      </c>
      <c r="O138" s="1">
        <v>10.0</v>
      </c>
      <c r="P138" s="1">
        <v>80.0</v>
      </c>
      <c r="Q138" s="1"/>
      <c r="R138" s="1"/>
    </row>
    <row r="139">
      <c r="B139" s="6">
        <v>20.0</v>
      </c>
      <c r="C139" s="1">
        <v>10.0</v>
      </c>
      <c r="D139" s="5">
        <v>106.0</v>
      </c>
      <c r="E139" s="1">
        <v>0.0</v>
      </c>
      <c r="F139" s="1">
        <v>12.0</v>
      </c>
      <c r="H139" s="1">
        <v>12.0</v>
      </c>
      <c r="I139" s="1">
        <v>0.0</v>
      </c>
      <c r="J139" s="1">
        <v>44.0</v>
      </c>
      <c r="K139" s="1"/>
      <c r="L139" s="1">
        <v>82.0</v>
      </c>
      <c r="M139" s="1">
        <v>10.0</v>
      </c>
      <c r="N139" s="1">
        <v>48.0</v>
      </c>
      <c r="O139" s="1"/>
      <c r="P139" s="1">
        <v>80.0</v>
      </c>
      <c r="Q139" s="1"/>
      <c r="R139" s="1"/>
    </row>
    <row r="140">
      <c r="B140" s="5">
        <v>20.0</v>
      </c>
      <c r="C140" s="1">
        <v>0.0</v>
      </c>
      <c r="D140" s="5">
        <v>110.0</v>
      </c>
      <c r="F140" s="1">
        <v>12.0</v>
      </c>
      <c r="H140" s="1">
        <v>12.0</v>
      </c>
      <c r="I140" s="1"/>
      <c r="J140" s="1">
        <v>48.0</v>
      </c>
      <c r="K140" s="1"/>
      <c r="L140" s="1">
        <v>82.0</v>
      </c>
      <c r="M140" s="1"/>
      <c r="N140" s="1">
        <v>48.0</v>
      </c>
      <c r="O140" s="1">
        <v>0.0</v>
      </c>
      <c r="P140" s="1">
        <v>84.0</v>
      </c>
      <c r="Q140" s="1"/>
      <c r="R140" s="1"/>
    </row>
    <row r="141">
      <c r="B141" s="5">
        <v>20.0</v>
      </c>
      <c r="C141" s="1">
        <v>10.0</v>
      </c>
      <c r="D141" s="5">
        <v>124.0</v>
      </c>
      <c r="F141" s="1">
        <v>12.0</v>
      </c>
      <c r="H141" s="1">
        <v>12.0</v>
      </c>
      <c r="I141" s="1"/>
      <c r="J141" s="1">
        <v>48.0</v>
      </c>
      <c r="K141" s="1">
        <v>10.0</v>
      </c>
      <c r="L141" s="1">
        <v>96.0</v>
      </c>
      <c r="M141" s="1">
        <v>0.0</v>
      </c>
      <c r="N141" s="1">
        <v>52.0</v>
      </c>
      <c r="O141" s="1"/>
      <c r="P141" s="1">
        <v>84.0</v>
      </c>
      <c r="Q141" s="1"/>
      <c r="R141" s="1"/>
    </row>
    <row r="142">
      <c r="B142" s="5">
        <v>20.0</v>
      </c>
      <c r="C142" s="1">
        <v>10.0</v>
      </c>
      <c r="D142" s="5">
        <v>138.0</v>
      </c>
      <c r="F142" s="1">
        <v>12.0</v>
      </c>
      <c r="H142" s="1">
        <v>12.0</v>
      </c>
      <c r="I142" s="1"/>
      <c r="J142" s="1">
        <v>48.0</v>
      </c>
      <c r="K142" s="1">
        <v>10.0</v>
      </c>
      <c r="L142" s="1">
        <v>110.0</v>
      </c>
      <c r="M142" s="1">
        <v>10.0</v>
      </c>
      <c r="N142" s="1">
        <v>66.0</v>
      </c>
      <c r="O142" s="1"/>
      <c r="P142" s="1">
        <v>84.0</v>
      </c>
      <c r="Q142" s="1"/>
      <c r="R142" s="1"/>
    </row>
    <row r="143">
      <c r="B143" s="5">
        <v>20.0</v>
      </c>
      <c r="C143" s="1">
        <v>10.0</v>
      </c>
      <c r="D143" s="5">
        <v>152.0</v>
      </c>
      <c r="F143" s="1">
        <v>12.0</v>
      </c>
      <c r="G143" s="1">
        <v>0.0</v>
      </c>
      <c r="H143" s="1">
        <v>16.0</v>
      </c>
      <c r="I143" s="1">
        <v>10.0</v>
      </c>
      <c r="J143" s="1">
        <v>66.0</v>
      </c>
      <c r="K143" s="1"/>
      <c r="L143" s="1">
        <v>110.0</v>
      </c>
      <c r="M143" s="1"/>
      <c r="N143" s="1">
        <v>66.0</v>
      </c>
      <c r="O143" s="1">
        <v>10.0</v>
      </c>
      <c r="P143" s="1">
        <v>98.0</v>
      </c>
      <c r="Q143" s="1"/>
      <c r="R143" s="1"/>
    </row>
    <row r="144">
      <c r="B144" s="5">
        <v>20.0</v>
      </c>
      <c r="C144" s="1">
        <v>10.0</v>
      </c>
      <c r="D144" s="5">
        <v>166.0</v>
      </c>
      <c r="E144" s="1">
        <v>10.0</v>
      </c>
      <c r="F144" s="1">
        <v>26.0</v>
      </c>
      <c r="H144" s="1">
        <v>16.0</v>
      </c>
      <c r="I144" s="1"/>
      <c r="J144" s="1">
        <v>66.0</v>
      </c>
      <c r="K144" s="1">
        <v>10.0</v>
      </c>
      <c r="L144" s="1">
        <v>124.0</v>
      </c>
      <c r="M144" s="1"/>
      <c r="N144" s="1">
        <v>66.0</v>
      </c>
      <c r="O144" s="1">
        <v>10.0</v>
      </c>
      <c r="P144" s="1">
        <v>112.0</v>
      </c>
      <c r="Q144" s="1"/>
      <c r="R144" s="1"/>
    </row>
    <row r="145">
      <c r="B145" s="6">
        <v>20.0</v>
      </c>
      <c r="C145" s="1">
        <v>10.0</v>
      </c>
      <c r="D145" s="5">
        <v>180.0</v>
      </c>
      <c r="F145" s="1">
        <v>26.0</v>
      </c>
      <c r="H145" s="1">
        <v>16.0</v>
      </c>
      <c r="I145" s="1"/>
      <c r="J145" s="1">
        <v>66.0</v>
      </c>
      <c r="K145" s="1"/>
      <c r="L145" s="1">
        <v>124.0</v>
      </c>
      <c r="M145" s="1"/>
      <c r="N145" s="1">
        <v>66.0</v>
      </c>
      <c r="O145" s="1">
        <v>0.0</v>
      </c>
      <c r="P145" s="1">
        <v>116.0</v>
      </c>
      <c r="Q145" s="1"/>
      <c r="R145" s="1"/>
    </row>
    <row r="146">
      <c r="B146" s="5">
        <v>20.0</v>
      </c>
      <c r="C146" s="1">
        <v>0.0</v>
      </c>
      <c r="D146" s="5">
        <v>184.0</v>
      </c>
      <c r="F146" s="1">
        <v>26.0</v>
      </c>
      <c r="H146" s="1">
        <v>16.0</v>
      </c>
      <c r="I146" s="1"/>
      <c r="J146" s="1">
        <v>66.0</v>
      </c>
      <c r="K146" s="1">
        <v>0.0</v>
      </c>
      <c r="L146" s="1">
        <v>128.0</v>
      </c>
      <c r="M146" s="1">
        <v>0.0</v>
      </c>
      <c r="N146" s="1">
        <v>70.0</v>
      </c>
      <c r="O146" s="1"/>
      <c r="P146" s="1">
        <v>116.0</v>
      </c>
      <c r="Q146" s="1"/>
      <c r="R146" s="1"/>
    </row>
    <row r="147">
      <c r="B147" s="5">
        <v>20.0</v>
      </c>
      <c r="D147" s="5">
        <v>184.0</v>
      </c>
      <c r="F147" s="1">
        <v>26.0</v>
      </c>
      <c r="H147" s="1">
        <v>16.0</v>
      </c>
      <c r="I147" s="1"/>
      <c r="J147" s="1">
        <v>66.0</v>
      </c>
      <c r="K147" s="1"/>
      <c r="L147" s="1">
        <v>128.0</v>
      </c>
      <c r="M147" s="1">
        <v>10.0</v>
      </c>
      <c r="N147" s="1">
        <v>84.0</v>
      </c>
      <c r="O147" s="1"/>
      <c r="P147" s="1">
        <v>116.0</v>
      </c>
      <c r="Q147" s="1"/>
      <c r="R147" s="1"/>
    </row>
    <row r="148">
      <c r="B148" s="5">
        <v>20.0</v>
      </c>
      <c r="C148" s="1">
        <v>10.0</v>
      </c>
      <c r="D148" s="5">
        <v>198.0</v>
      </c>
      <c r="F148" s="1">
        <v>26.0</v>
      </c>
      <c r="H148" s="1">
        <v>16.0</v>
      </c>
      <c r="I148" s="1"/>
      <c r="J148" s="1">
        <v>66.0</v>
      </c>
      <c r="K148" s="1">
        <v>0.0</v>
      </c>
      <c r="L148" s="1">
        <v>132.0</v>
      </c>
      <c r="M148" s="1"/>
      <c r="N148" s="1">
        <v>84.0</v>
      </c>
      <c r="O148" s="1"/>
      <c r="P148" s="1">
        <v>120.0</v>
      </c>
      <c r="Q148" s="1"/>
      <c r="R148" s="1"/>
    </row>
    <row r="149">
      <c r="B149" s="4"/>
      <c r="D149" s="4"/>
    </row>
    <row r="150">
      <c r="B150" s="4"/>
      <c r="D150" s="4"/>
    </row>
    <row r="151">
      <c r="A151" s="1" t="s">
        <v>3</v>
      </c>
      <c r="B151" s="1" t="s">
        <v>3</v>
      </c>
      <c r="C151" s="1" t="s">
        <v>1</v>
      </c>
      <c r="D151" s="1" t="s">
        <v>1</v>
      </c>
      <c r="E151" s="1" t="s">
        <v>4</v>
      </c>
      <c r="F151" s="1" t="s">
        <v>4</v>
      </c>
      <c r="G151" s="1" t="s">
        <v>6</v>
      </c>
      <c r="H151" s="1" t="s">
        <v>6</v>
      </c>
      <c r="I151" s="1" t="s">
        <v>8</v>
      </c>
      <c r="J151" s="1" t="s">
        <v>8</v>
      </c>
      <c r="K151" s="1" t="s">
        <v>2</v>
      </c>
      <c r="L151" s="1" t="s">
        <v>2</v>
      </c>
      <c r="M151" s="1" t="s">
        <v>7</v>
      </c>
      <c r="N151" s="1" t="s">
        <v>7</v>
      </c>
      <c r="O151" s="1" t="s">
        <v>0</v>
      </c>
      <c r="P151" s="1" t="s">
        <v>0</v>
      </c>
      <c r="Q151" s="1" t="s">
        <v>5</v>
      </c>
      <c r="R151" s="1" t="s">
        <v>5</v>
      </c>
    </row>
    <row r="152">
      <c r="A152" s="1" t="s">
        <v>16</v>
      </c>
      <c r="B152" s="3" t="s">
        <v>19</v>
      </c>
      <c r="C152" s="1" t="s">
        <v>16</v>
      </c>
      <c r="D152" s="4" t="s">
        <v>19</v>
      </c>
      <c r="E152" s="1" t="s">
        <v>16</v>
      </c>
      <c r="F152" s="1" t="s">
        <v>19</v>
      </c>
      <c r="G152" s="1" t="s">
        <v>16</v>
      </c>
      <c r="H152" s="1" t="s">
        <v>19</v>
      </c>
      <c r="I152" s="1" t="s">
        <v>16</v>
      </c>
      <c r="J152" s="1" t="s">
        <v>19</v>
      </c>
      <c r="K152" s="1" t="s">
        <v>16</v>
      </c>
      <c r="L152" s="1" t="s">
        <v>19</v>
      </c>
      <c r="M152" s="1" t="s">
        <v>16</v>
      </c>
      <c r="N152" s="1" t="s">
        <v>19</v>
      </c>
      <c r="O152" s="1" t="s">
        <v>16</v>
      </c>
      <c r="P152" s="1" t="s">
        <v>19</v>
      </c>
      <c r="Q152" s="1" t="s">
        <v>16</v>
      </c>
      <c r="R152" s="1" t="s">
        <v>19</v>
      </c>
    </row>
    <row r="153">
      <c r="B153" s="3"/>
      <c r="D153" s="4"/>
    </row>
    <row r="154">
      <c r="B154" s="5">
        <v>0.0</v>
      </c>
      <c r="D154" s="5">
        <v>0.0</v>
      </c>
      <c r="F154" s="1">
        <v>0.0</v>
      </c>
      <c r="H154" s="1">
        <v>4.0</v>
      </c>
      <c r="I154" s="1">
        <v>10.0</v>
      </c>
      <c r="J154" s="1">
        <v>18.0</v>
      </c>
      <c r="K154" s="1"/>
      <c r="L154" s="1">
        <v>0.0</v>
      </c>
      <c r="M154" s="1"/>
      <c r="N154" s="1">
        <v>0.0</v>
      </c>
      <c r="O154" s="1"/>
      <c r="P154" s="1">
        <v>0.0</v>
      </c>
      <c r="Q154" s="1"/>
      <c r="R154" s="1"/>
    </row>
    <row r="155">
      <c r="B155" s="5">
        <v>0.0</v>
      </c>
      <c r="D155" s="5">
        <v>0.0</v>
      </c>
      <c r="E155" s="1">
        <v>10.0</v>
      </c>
      <c r="F155" s="1">
        <v>14.0</v>
      </c>
      <c r="H155" s="1">
        <v>4.0</v>
      </c>
      <c r="I155" s="1">
        <v>10.0</v>
      </c>
      <c r="J155" s="1">
        <v>32.0</v>
      </c>
      <c r="K155" s="1"/>
      <c r="L155" s="1">
        <v>0.0</v>
      </c>
      <c r="M155" s="1"/>
      <c r="N155" s="1">
        <v>0.0</v>
      </c>
      <c r="O155" s="1"/>
      <c r="P155" s="1">
        <v>0.0</v>
      </c>
      <c r="Q155" s="1"/>
      <c r="R155" s="1"/>
    </row>
    <row r="156">
      <c r="B156" s="5">
        <v>0.0</v>
      </c>
      <c r="D156" s="5">
        <v>0.0</v>
      </c>
      <c r="E156" s="1">
        <v>10.0</v>
      </c>
      <c r="F156" s="1">
        <v>28.0</v>
      </c>
      <c r="H156" s="1">
        <v>4.0</v>
      </c>
      <c r="I156" s="1"/>
      <c r="J156" s="1">
        <v>32.0</v>
      </c>
      <c r="K156" s="1">
        <v>0.0</v>
      </c>
      <c r="L156" s="1">
        <v>4.0</v>
      </c>
      <c r="M156" s="1"/>
      <c r="N156" s="1">
        <v>0.0</v>
      </c>
      <c r="O156" s="1"/>
      <c r="P156" s="1">
        <v>0.0</v>
      </c>
      <c r="Q156" s="1"/>
      <c r="R156" s="1"/>
    </row>
    <row r="157">
      <c r="A157" s="1">
        <v>0.0</v>
      </c>
      <c r="B157" s="5">
        <v>4.0</v>
      </c>
      <c r="D157" s="5">
        <v>0.0</v>
      </c>
      <c r="F157" s="1">
        <v>28.0</v>
      </c>
      <c r="H157" s="1">
        <v>4.0</v>
      </c>
      <c r="I157" s="1"/>
      <c r="J157" s="1">
        <v>32.0</v>
      </c>
      <c r="K157" s="1">
        <v>10.0</v>
      </c>
      <c r="L157" s="1">
        <v>18.0</v>
      </c>
      <c r="M157" s="1"/>
      <c r="N157" s="1">
        <v>0.0</v>
      </c>
      <c r="O157" s="1">
        <v>0.0</v>
      </c>
      <c r="P157" s="1">
        <v>4.0</v>
      </c>
      <c r="Q157" s="1"/>
      <c r="R157" s="1"/>
    </row>
    <row r="158">
      <c r="B158" s="5">
        <v>4.0</v>
      </c>
      <c r="D158" s="5">
        <v>0.0</v>
      </c>
      <c r="F158" s="1">
        <v>28.0</v>
      </c>
      <c r="H158" s="1">
        <v>4.0</v>
      </c>
      <c r="I158" s="1"/>
      <c r="J158" s="1">
        <v>32.0</v>
      </c>
      <c r="K158" s="1">
        <v>10.0</v>
      </c>
      <c r="L158" s="1">
        <v>32.0</v>
      </c>
      <c r="M158" s="1"/>
      <c r="N158" s="1">
        <v>0.0</v>
      </c>
      <c r="O158" s="1"/>
      <c r="P158" s="1">
        <v>4.0</v>
      </c>
      <c r="Q158" s="1"/>
      <c r="R158" s="1"/>
    </row>
    <row r="159">
      <c r="B159" s="5">
        <v>4.0</v>
      </c>
      <c r="D159" s="5">
        <v>0.0</v>
      </c>
      <c r="F159" s="1">
        <v>28.0</v>
      </c>
      <c r="H159" s="1">
        <v>4.0</v>
      </c>
      <c r="I159" s="1"/>
      <c r="J159" s="1">
        <v>32.0</v>
      </c>
      <c r="K159" s="1">
        <v>0.0</v>
      </c>
      <c r="L159" s="1">
        <v>40.0</v>
      </c>
      <c r="M159" s="1"/>
      <c r="N159" s="1">
        <v>0.0</v>
      </c>
      <c r="O159" s="1"/>
      <c r="P159" s="1">
        <v>4.0</v>
      </c>
      <c r="Q159" s="1"/>
      <c r="R159" s="1"/>
    </row>
    <row r="160">
      <c r="B160" s="6">
        <v>4.0</v>
      </c>
      <c r="C160" s="1">
        <v>10.0</v>
      </c>
      <c r="D160" s="5">
        <v>14.0</v>
      </c>
      <c r="F160" s="1">
        <v>28.0</v>
      </c>
      <c r="G160" s="1">
        <v>10.0</v>
      </c>
      <c r="H160" s="1">
        <v>18.0</v>
      </c>
      <c r="I160" s="1"/>
      <c r="J160" s="1">
        <v>32.0</v>
      </c>
      <c r="K160" s="1">
        <v>10.0</v>
      </c>
      <c r="L160" s="1">
        <v>54.0</v>
      </c>
      <c r="M160" s="1">
        <v>10.0</v>
      </c>
      <c r="N160" s="1">
        <v>14.0</v>
      </c>
      <c r="O160" s="1"/>
      <c r="P160" s="1">
        <v>4.0</v>
      </c>
      <c r="Q160" s="1"/>
      <c r="R160" s="1"/>
    </row>
    <row r="161">
      <c r="B161" s="6">
        <v>4.0</v>
      </c>
      <c r="C161" s="1">
        <v>0.0</v>
      </c>
      <c r="D161" s="5">
        <v>18.0</v>
      </c>
      <c r="E161" s="1">
        <v>0.0</v>
      </c>
      <c r="F161" s="1">
        <v>32.0</v>
      </c>
      <c r="H161" s="1">
        <v>18.0</v>
      </c>
      <c r="I161" s="1"/>
      <c r="J161" s="1">
        <v>32.0</v>
      </c>
      <c r="K161" s="1"/>
      <c r="L161" s="1">
        <v>54.0</v>
      </c>
      <c r="M161" s="1"/>
      <c r="N161" s="1">
        <v>14.0</v>
      </c>
      <c r="O161" s="1"/>
      <c r="P161" s="1">
        <v>4.0</v>
      </c>
      <c r="Q161" s="1"/>
      <c r="R161" s="1"/>
    </row>
    <row r="162">
      <c r="A162" s="1">
        <v>0.0</v>
      </c>
      <c r="B162" s="5">
        <v>8.0</v>
      </c>
      <c r="D162" s="5">
        <v>18.0</v>
      </c>
      <c r="E162" s="1">
        <v>0.0</v>
      </c>
      <c r="F162" s="1">
        <v>36.0</v>
      </c>
      <c r="H162" s="1">
        <v>18.0</v>
      </c>
      <c r="I162" s="1"/>
      <c r="J162" s="1">
        <v>32.0</v>
      </c>
      <c r="K162" s="1">
        <v>0.0</v>
      </c>
      <c r="L162" s="1">
        <v>58.0</v>
      </c>
      <c r="M162" s="1"/>
      <c r="N162" s="1">
        <v>14.0</v>
      </c>
      <c r="O162" s="1"/>
      <c r="P162" s="1">
        <v>4.0</v>
      </c>
      <c r="Q162" s="1"/>
      <c r="R162" s="1"/>
    </row>
    <row r="163">
      <c r="B163" s="5">
        <v>8.0</v>
      </c>
      <c r="D163" s="5">
        <v>18.0</v>
      </c>
      <c r="F163" s="1">
        <v>36.0</v>
      </c>
      <c r="H163" s="1">
        <v>18.0</v>
      </c>
      <c r="I163" s="1"/>
      <c r="J163" s="1">
        <v>32.0</v>
      </c>
      <c r="K163" s="1">
        <v>10.0</v>
      </c>
      <c r="L163" s="1">
        <v>72.0</v>
      </c>
      <c r="M163" s="1"/>
      <c r="N163" s="1">
        <v>14.0</v>
      </c>
      <c r="O163" s="1"/>
      <c r="P163" s="1">
        <v>4.0</v>
      </c>
      <c r="Q163" s="1"/>
      <c r="R163" s="1"/>
    </row>
    <row r="164">
      <c r="B164" s="5">
        <v>8.0</v>
      </c>
      <c r="D164" s="5">
        <v>18.0</v>
      </c>
      <c r="F164" s="1">
        <v>36.0</v>
      </c>
      <c r="H164" s="1">
        <v>22.0</v>
      </c>
      <c r="I164" s="1">
        <v>10.0</v>
      </c>
      <c r="J164" s="1">
        <v>50.0</v>
      </c>
      <c r="K164" s="1"/>
      <c r="L164" s="1">
        <v>72.0</v>
      </c>
      <c r="M164" s="1"/>
      <c r="N164" s="1">
        <v>14.0</v>
      </c>
      <c r="O164" s="1"/>
      <c r="P164" s="1">
        <v>4.0</v>
      </c>
      <c r="Q164" s="1"/>
      <c r="R164" s="1"/>
    </row>
    <row r="165">
      <c r="A165" s="1">
        <v>0.0</v>
      </c>
      <c r="B165" s="6">
        <v>16.0</v>
      </c>
      <c r="D165" s="5">
        <v>18.0</v>
      </c>
      <c r="E165" s="1">
        <v>10.0</v>
      </c>
      <c r="F165" s="1">
        <v>50.0</v>
      </c>
      <c r="H165" s="1">
        <v>22.0</v>
      </c>
      <c r="I165" s="1"/>
      <c r="J165" s="1">
        <v>50.0</v>
      </c>
      <c r="K165" s="1">
        <v>10.0</v>
      </c>
      <c r="L165" s="1">
        <v>86.0</v>
      </c>
      <c r="M165" s="1"/>
      <c r="N165" s="1">
        <v>14.0</v>
      </c>
      <c r="O165" s="1">
        <v>0.0</v>
      </c>
      <c r="P165" s="1">
        <v>8.0</v>
      </c>
      <c r="Q165" s="1"/>
      <c r="R165" s="1"/>
    </row>
    <row r="166">
      <c r="B166" s="3"/>
      <c r="D166" s="4"/>
    </row>
    <row r="167">
      <c r="B167" s="5">
        <v>16.0</v>
      </c>
      <c r="D167" s="5">
        <v>18.0</v>
      </c>
      <c r="F167" s="1">
        <v>50.0</v>
      </c>
      <c r="H167" s="1">
        <v>22.0</v>
      </c>
      <c r="I167" s="1"/>
      <c r="J167" s="1">
        <v>50.0</v>
      </c>
      <c r="K167" s="1">
        <v>0.0</v>
      </c>
      <c r="L167" s="1">
        <v>90.0</v>
      </c>
      <c r="M167" s="1"/>
      <c r="N167" s="1">
        <v>14.0</v>
      </c>
      <c r="O167" s="1"/>
      <c r="P167" s="1">
        <v>8.0</v>
      </c>
      <c r="Q167" s="1"/>
      <c r="R167" s="1"/>
    </row>
    <row r="168">
      <c r="B168" s="5">
        <v>16.0</v>
      </c>
      <c r="D168" s="5">
        <v>18.0</v>
      </c>
      <c r="F168" s="1">
        <v>50.0</v>
      </c>
      <c r="H168" s="1">
        <v>22.0</v>
      </c>
      <c r="I168" s="1"/>
      <c r="J168" s="1">
        <v>50.0</v>
      </c>
      <c r="K168" s="1">
        <v>10.0</v>
      </c>
      <c r="L168" s="1">
        <v>108.0</v>
      </c>
      <c r="M168" s="1"/>
      <c r="N168" s="1">
        <v>14.0</v>
      </c>
      <c r="O168" s="1"/>
      <c r="P168" s="1">
        <v>8.0</v>
      </c>
      <c r="Q168" s="1"/>
      <c r="R168" s="1"/>
    </row>
    <row r="169">
      <c r="B169" s="5">
        <v>16.0</v>
      </c>
      <c r="D169" s="5">
        <v>18.0</v>
      </c>
      <c r="E169" s="1">
        <v>10.0</v>
      </c>
      <c r="F169" s="1">
        <v>64.0</v>
      </c>
      <c r="H169" s="1">
        <v>22.0</v>
      </c>
      <c r="I169" s="1">
        <v>10.0</v>
      </c>
      <c r="J169" s="1">
        <v>64.0</v>
      </c>
      <c r="K169" s="1"/>
      <c r="L169" s="1">
        <v>108.0</v>
      </c>
      <c r="M169" s="1"/>
      <c r="N169" s="1">
        <v>14.0</v>
      </c>
      <c r="O169" s="1">
        <v>0.0</v>
      </c>
      <c r="P169" s="1">
        <v>12.0</v>
      </c>
      <c r="Q169" s="1"/>
      <c r="R169" s="1"/>
    </row>
    <row r="170">
      <c r="B170" s="5">
        <v>16.0</v>
      </c>
      <c r="C170" s="1">
        <v>10.0</v>
      </c>
      <c r="D170" s="5">
        <v>32.0</v>
      </c>
      <c r="F170" s="1">
        <v>64.0</v>
      </c>
      <c r="H170" s="1">
        <v>22.0</v>
      </c>
      <c r="I170" s="1">
        <v>10.0</v>
      </c>
      <c r="J170" s="1">
        <v>82.0</v>
      </c>
      <c r="K170" s="1"/>
      <c r="L170" s="1">
        <v>108.0</v>
      </c>
      <c r="M170" s="1">
        <v>10.0</v>
      </c>
      <c r="N170" s="1">
        <v>28.0</v>
      </c>
      <c r="O170" s="1"/>
      <c r="P170" s="1">
        <v>12.0</v>
      </c>
      <c r="Q170" s="1"/>
      <c r="R170" s="1"/>
    </row>
    <row r="171">
      <c r="A171" s="1">
        <v>0.0</v>
      </c>
      <c r="B171" s="5">
        <v>20.0</v>
      </c>
      <c r="D171" s="5">
        <v>32.0</v>
      </c>
      <c r="F171" s="1">
        <v>64.0</v>
      </c>
      <c r="H171" s="1">
        <v>22.0</v>
      </c>
      <c r="I171" s="1"/>
      <c r="J171" s="1">
        <v>82.0</v>
      </c>
      <c r="K171" s="1">
        <v>10.0</v>
      </c>
      <c r="L171" s="1">
        <v>122.0</v>
      </c>
      <c r="M171" s="1"/>
      <c r="N171" s="1">
        <v>28.0</v>
      </c>
      <c r="O171" s="1"/>
      <c r="P171" s="1">
        <v>12.0</v>
      </c>
      <c r="Q171" s="1"/>
      <c r="R171" s="1"/>
    </row>
    <row r="172">
      <c r="B172" s="6">
        <v>20.0</v>
      </c>
      <c r="C172" s="1">
        <v>10.0</v>
      </c>
      <c r="D172" s="5">
        <v>46.0</v>
      </c>
      <c r="E172" s="1">
        <v>10.0</v>
      </c>
      <c r="F172" s="1">
        <v>78.0</v>
      </c>
      <c r="H172" s="1">
        <v>22.0</v>
      </c>
      <c r="I172" s="1"/>
      <c r="J172" s="1">
        <v>82.0</v>
      </c>
      <c r="K172" s="1">
        <v>10.0</v>
      </c>
      <c r="L172" s="1">
        <v>136.0</v>
      </c>
      <c r="M172" s="1"/>
      <c r="N172" s="1">
        <v>28.0</v>
      </c>
      <c r="O172" s="1"/>
      <c r="P172" s="1">
        <v>12.0</v>
      </c>
      <c r="Q172" s="1"/>
      <c r="R172" s="1"/>
    </row>
    <row r="173">
      <c r="B173" s="5">
        <v>20.0</v>
      </c>
      <c r="D173" s="5">
        <v>46.0</v>
      </c>
      <c r="F173" s="1">
        <v>78.0</v>
      </c>
      <c r="G173" s="1">
        <v>10.0</v>
      </c>
      <c r="H173" s="1">
        <v>36.0</v>
      </c>
      <c r="I173" s="1"/>
      <c r="J173" s="1">
        <v>82.0</v>
      </c>
      <c r="K173" s="1">
        <v>10.0</v>
      </c>
      <c r="L173" s="1">
        <v>154.0</v>
      </c>
      <c r="M173" s="1"/>
      <c r="N173" s="1">
        <v>28.0</v>
      </c>
      <c r="O173" s="1"/>
      <c r="P173" s="1">
        <v>16.0</v>
      </c>
      <c r="Q173" s="1"/>
      <c r="R173" s="1"/>
    </row>
    <row r="174">
      <c r="A174" s="1">
        <v>10.0</v>
      </c>
      <c r="B174" s="5">
        <v>34.0</v>
      </c>
      <c r="D174" s="5">
        <v>46.0</v>
      </c>
      <c r="E174" s="1">
        <v>10.0</v>
      </c>
      <c r="F174" s="1">
        <v>92.0</v>
      </c>
      <c r="H174" s="1">
        <v>36.0</v>
      </c>
      <c r="I174" s="1"/>
      <c r="J174" s="1">
        <v>82.0</v>
      </c>
      <c r="K174" s="1">
        <v>10.0</v>
      </c>
      <c r="L174" s="1">
        <v>168.0</v>
      </c>
      <c r="M174" s="1">
        <v>0.0</v>
      </c>
      <c r="N174" s="1">
        <v>32.0</v>
      </c>
      <c r="O174" s="1"/>
      <c r="P174" s="1">
        <v>16.0</v>
      </c>
      <c r="Q174" s="1"/>
      <c r="R174" s="1"/>
    </row>
    <row r="175">
      <c r="A175" s="1">
        <v>0.0</v>
      </c>
      <c r="B175" s="5">
        <v>38.0</v>
      </c>
      <c r="D175" s="5">
        <v>46.0</v>
      </c>
      <c r="F175" s="1">
        <v>92.0</v>
      </c>
      <c r="G175" s="1">
        <v>0.0</v>
      </c>
      <c r="H175" s="1">
        <v>40.0</v>
      </c>
      <c r="I175" s="1"/>
      <c r="J175" s="1">
        <v>82.0</v>
      </c>
      <c r="K175" s="1">
        <v>10.0</v>
      </c>
      <c r="L175" s="1">
        <v>182.0</v>
      </c>
      <c r="M175" s="1"/>
      <c r="N175" s="1">
        <v>32.0</v>
      </c>
      <c r="O175" s="1">
        <v>0.0</v>
      </c>
      <c r="P175" s="1">
        <v>20.0</v>
      </c>
      <c r="Q175" s="1"/>
      <c r="R175" s="1"/>
    </row>
    <row r="176">
      <c r="B176" s="6">
        <v>38.0</v>
      </c>
      <c r="C176" s="1">
        <v>10.0</v>
      </c>
      <c r="D176" s="5">
        <v>60.0</v>
      </c>
      <c r="E176" s="1">
        <v>0.0</v>
      </c>
      <c r="F176" s="1">
        <v>96.0</v>
      </c>
      <c r="H176" s="1">
        <v>40.0</v>
      </c>
      <c r="I176" s="1"/>
      <c r="J176" s="1">
        <v>82.0</v>
      </c>
      <c r="K176" s="1">
        <v>0.0</v>
      </c>
      <c r="L176" s="1">
        <v>186.0</v>
      </c>
      <c r="M176" s="1">
        <v>0.0</v>
      </c>
      <c r="N176" s="1">
        <v>36.0</v>
      </c>
      <c r="O176" s="1"/>
      <c r="P176" s="1">
        <v>20.0</v>
      </c>
      <c r="Q176" s="1"/>
      <c r="R176" s="1"/>
    </row>
    <row r="177">
      <c r="B177" s="6">
        <v>38.0</v>
      </c>
      <c r="C177" s="1">
        <v>0.0</v>
      </c>
      <c r="D177" s="5">
        <v>64.0</v>
      </c>
      <c r="F177" s="1">
        <v>96.0</v>
      </c>
      <c r="G177" s="1">
        <v>0.0</v>
      </c>
      <c r="H177" s="1">
        <v>44.0</v>
      </c>
      <c r="I177" s="1"/>
      <c r="J177" s="1">
        <v>82.0</v>
      </c>
      <c r="K177" s="1"/>
      <c r="L177" s="1">
        <v>190.0</v>
      </c>
      <c r="M177" s="1"/>
      <c r="N177" s="1">
        <v>36.0</v>
      </c>
      <c r="O177" s="1">
        <v>0.0</v>
      </c>
      <c r="P177" s="1">
        <v>24.0</v>
      </c>
      <c r="Q177" s="1"/>
      <c r="R177" s="1"/>
    </row>
    <row r="178">
      <c r="B178" s="6">
        <v>38.0</v>
      </c>
      <c r="C178" s="1">
        <v>10.0</v>
      </c>
      <c r="D178" s="5">
        <v>78.0</v>
      </c>
      <c r="F178" s="1">
        <v>96.0</v>
      </c>
      <c r="G178" s="1">
        <v>10.0</v>
      </c>
      <c r="H178" s="1">
        <v>58.0</v>
      </c>
      <c r="I178" s="1">
        <v>10.0</v>
      </c>
      <c r="J178" s="1">
        <v>100.0</v>
      </c>
      <c r="K178" s="1"/>
      <c r="L178" s="1">
        <v>190.0</v>
      </c>
      <c r="M178" s="1"/>
      <c r="N178" s="1">
        <v>36.0</v>
      </c>
      <c r="O178" s="1"/>
      <c r="P178" s="1">
        <v>24.0</v>
      </c>
      <c r="Q178" s="1"/>
      <c r="R178" s="1"/>
    </row>
    <row r="179">
      <c r="B179" s="4"/>
      <c r="D179" s="4"/>
    </row>
    <row r="180">
      <c r="B180" s="4"/>
      <c r="D180" s="4"/>
    </row>
    <row r="181">
      <c r="A181" s="1" t="s">
        <v>8</v>
      </c>
      <c r="B181" s="1" t="s">
        <v>8</v>
      </c>
      <c r="C181" s="1" t="s">
        <v>0</v>
      </c>
      <c r="D181" s="1" t="s">
        <v>0</v>
      </c>
      <c r="E181" s="1" t="s">
        <v>5</v>
      </c>
      <c r="F181" s="1" t="s">
        <v>5</v>
      </c>
      <c r="G181" s="1" t="s">
        <v>1</v>
      </c>
      <c r="H181" s="1" t="s">
        <v>1</v>
      </c>
      <c r="I181" s="1" t="s">
        <v>7</v>
      </c>
      <c r="J181" s="1" t="s">
        <v>7</v>
      </c>
      <c r="K181" s="1" t="s">
        <v>3</v>
      </c>
      <c r="L181" s="1" t="s">
        <v>3</v>
      </c>
      <c r="M181" s="1" t="s">
        <v>6</v>
      </c>
      <c r="N181" s="1" t="s">
        <v>6</v>
      </c>
      <c r="O181" s="1" t="s">
        <v>2</v>
      </c>
      <c r="P181" s="1" t="s">
        <v>2</v>
      </c>
      <c r="Q181" s="1" t="s">
        <v>4</v>
      </c>
      <c r="R181" s="1" t="s">
        <v>4</v>
      </c>
    </row>
    <row r="182">
      <c r="A182" s="1" t="s">
        <v>16</v>
      </c>
      <c r="B182" s="3" t="s">
        <v>19</v>
      </c>
      <c r="C182" s="1" t="s">
        <v>16</v>
      </c>
      <c r="D182" s="4" t="s">
        <v>19</v>
      </c>
      <c r="E182" s="1" t="s">
        <v>16</v>
      </c>
      <c r="F182" s="1" t="s">
        <v>19</v>
      </c>
      <c r="G182" s="1" t="s">
        <v>16</v>
      </c>
      <c r="H182" s="1" t="s">
        <v>19</v>
      </c>
      <c r="I182" s="1" t="s">
        <v>16</v>
      </c>
      <c r="J182" s="1" t="s">
        <v>19</v>
      </c>
      <c r="K182" s="1" t="s">
        <v>16</v>
      </c>
      <c r="L182" s="1" t="s">
        <v>19</v>
      </c>
      <c r="M182" s="1" t="s">
        <v>16</v>
      </c>
      <c r="N182" s="1" t="s">
        <v>19</v>
      </c>
      <c r="O182" s="1" t="s">
        <v>16</v>
      </c>
      <c r="P182" s="1" t="s">
        <v>19</v>
      </c>
      <c r="Q182" s="1" t="s">
        <v>16</v>
      </c>
      <c r="R182" s="1" t="s">
        <v>19</v>
      </c>
    </row>
    <row r="183">
      <c r="B183" s="3"/>
      <c r="D183" s="4"/>
    </row>
    <row r="184">
      <c r="B184" s="6">
        <v>0.0</v>
      </c>
      <c r="C184" s="1">
        <v>0.0</v>
      </c>
      <c r="D184" s="5">
        <v>4.0</v>
      </c>
      <c r="E184" s="1">
        <v>10.0</v>
      </c>
      <c r="F184" s="1">
        <v>14.0</v>
      </c>
      <c r="H184" s="1">
        <v>0.0</v>
      </c>
      <c r="I184" s="1"/>
      <c r="J184" s="1">
        <v>0.0</v>
      </c>
      <c r="K184" s="1"/>
      <c r="L184" s="1">
        <v>0.0</v>
      </c>
      <c r="M184" s="1">
        <v>10.0</v>
      </c>
      <c r="N184" s="1">
        <v>14.0</v>
      </c>
      <c r="O184" s="1"/>
      <c r="P184" s="1">
        <v>0.0</v>
      </c>
      <c r="Q184" s="1"/>
      <c r="R184" s="1"/>
    </row>
    <row r="185">
      <c r="B185" s="5">
        <v>0.0</v>
      </c>
      <c r="D185" s="5">
        <v>4.0</v>
      </c>
      <c r="F185" s="1">
        <v>14.0</v>
      </c>
      <c r="H185" s="1">
        <v>0.0</v>
      </c>
      <c r="I185" s="1"/>
      <c r="J185" s="1">
        <v>0.0</v>
      </c>
      <c r="K185" s="1"/>
      <c r="L185" s="1">
        <v>0.0</v>
      </c>
      <c r="M185" s="1"/>
      <c r="N185" s="1">
        <v>14.0</v>
      </c>
      <c r="O185" s="1"/>
      <c r="P185" s="1">
        <v>0.0</v>
      </c>
      <c r="Q185" s="1"/>
      <c r="R185" s="1"/>
    </row>
    <row r="186">
      <c r="A186" s="1">
        <v>0.0</v>
      </c>
      <c r="B186" s="5">
        <v>4.0</v>
      </c>
      <c r="D186" s="5">
        <v>4.0</v>
      </c>
      <c r="E186" s="1">
        <v>0.0</v>
      </c>
      <c r="F186" s="1">
        <v>18.0</v>
      </c>
      <c r="H186" s="1">
        <v>0.0</v>
      </c>
      <c r="I186" s="1">
        <v>0.0</v>
      </c>
      <c r="J186" s="1">
        <v>4.0</v>
      </c>
      <c r="K186" s="1"/>
      <c r="L186" s="1">
        <v>0.0</v>
      </c>
      <c r="M186" s="1"/>
      <c r="N186" s="1">
        <v>14.0</v>
      </c>
      <c r="O186" s="1"/>
      <c r="P186" s="1">
        <v>0.0</v>
      </c>
      <c r="Q186" s="1"/>
      <c r="R186" s="1"/>
    </row>
    <row r="187">
      <c r="B187" s="6">
        <v>4.0</v>
      </c>
      <c r="C187" s="1">
        <v>10.0</v>
      </c>
      <c r="D187" s="5">
        <v>18.0</v>
      </c>
      <c r="E187" s="1">
        <v>0.0</v>
      </c>
      <c r="F187" s="1">
        <v>22.0</v>
      </c>
      <c r="H187" s="1">
        <v>0.0</v>
      </c>
      <c r="I187" s="1"/>
      <c r="J187" s="1">
        <v>4.0</v>
      </c>
      <c r="K187" s="1">
        <v>0.0</v>
      </c>
      <c r="L187" s="1">
        <v>4.0</v>
      </c>
      <c r="M187" s="1">
        <v>0.0</v>
      </c>
      <c r="N187" s="1">
        <v>18.0</v>
      </c>
      <c r="O187" s="1"/>
      <c r="P187" s="1">
        <v>0.0</v>
      </c>
      <c r="Q187" s="1"/>
      <c r="R187" s="1"/>
    </row>
    <row r="188">
      <c r="B188" s="5">
        <v>4.0</v>
      </c>
      <c r="D188" s="5">
        <v>18.0</v>
      </c>
      <c r="E188" s="1">
        <v>10.0</v>
      </c>
      <c r="F188" s="1">
        <v>36.0</v>
      </c>
      <c r="H188" s="1">
        <v>0.0</v>
      </c>
      <c r="I188" s="1"/>
      <c r="J188" s="1">
        <v>4.0</v>
      </c>
      <c r="K188" s="1">
        <v>0.0</v>
      </c>
      <c r="L188" s="1">
        <v>8.0</v>
      </c>
      <c r="M188" s="1">
        <v>0.0</v>
      </c>
      <c r="N188" s="1">
        <v>22.0</v>
      </c>
      <c r="O188" s="1"/>
      <c r="P188" s="1">
        <v>0.0</v>
      </c>
      <c r="Q188" s="1"/>
      <c r="R188" s="1"/>
    </row>
    <row r="189">
      <c r="B189" s="5">
        <v>4.0</v>
      </c>
      <c r="D189" s="5">
        <v>18.0</v>
      </c>
      <c r="F189" s="1">
        <v>36.0</v>
      </c>
      <c r="G189" s="1">
        <v>10.0</v>
      </c>
      <c r="H189" s="1">
        <v>14.0</v>
      </c>
      <c r="I189" s="1"/>
      <c r="J189" s="1">
        <v>4.0</v>
      </c>
      <c r="K189" s="1">
        <v>0.0</v>
      </c>
      <c r="L189" s="1">
        <v>12.0</v>
      </c>
      <c r="M189" s="1"/>
      <c r="N189" s="1">
        <v>26.0</v>
      </c>
      <c r="O189" s="1"/>
      <c r="P189" s="1">
        <v>0.0</v>
      </c>
      <c r="Q189" s="1"/>
      <c r="R189" s="1"/>
    </row>
    <row r="190">
      <c r="A190" s="1">
        <v>10.0</v>
      </c>
      <c r="B190" s="5">
        <v>18.0</v>
      </c>
      <c r="D190" s="5">
        <v>18.0</v>
      </c>
      <c r="E190" s="1">
        <v>10.0</v>
      </c>
      <c r="F190" s="1">
        <v>50.0</v>
      </c>
      <c r="H190" s="1">
        <v>14.0</v>
      </c>
      <c r="I190" s="1"/>
      <c r="J190" s="1">
        <v>4.0</v>
      </c>
      <c r="K190" s="1">
        <v>0.0</v>
      </c>
      <c r="L190" s="1">
        <v>16.0</v>
      </c>
      <c r="M190" s="1"/>
      <c r="N190" s="1">
        <v>26.0</v>
      </c>
      <c r="O190" s="1"/>
      <c r="P190" s="1">
        <v>0.0</v>
      </c>
      <c r="Q190" s="1"/>
      <c r="R190" s="1"/>
    </row>
    <row r="191">
      <c r="A191" s="1">
        <v>10.0</v>
      </c>
      <c r="B191" s="5">
        <v>32.0</v>
      </c>
      <c r="D191" s="5">
        <v>18.0</v>
      </c>
      <c r="F191" s="1">
        <v>54.0</v>
      </c>
      <c r="H191" s="1">
        <v>18.0</v>
      </c>
      <c r="I191" s="1"/>
      <c r="J191" s="1">
        <v>4.0</v>
      </c>
      <c r="K191" s="1">
        <v>0.0</v>
      </c>
      <c r="L191" s="1">
        <v>20.0</v>
      </c>
      <c r="M191" s="1"/>
      <c r="N191" s="1">
        <v>26.0</v>
      </c>
      <c r="O191" s="1">
        <v>10.0</v>
      </c>
      <c r="P191" s="1">
        <v>18.0</v>
      </c>
      <c r="Q191" s="1"/>
      <c r="R191" s="1"/>
    </row>
    <row r="192">
      <c r="A192" s="1">
        <v>0.0</v>
      </c>
      <c r="B192" s="6">
        <v>40.0</v>
      </c>
      <c r="D192" s="5">
        <v>18.0</v>
      </c>
      <c r="E192" s="1">
        <v>10.0</v>
      </c>
      <c r="F192" s="1">
        <v>68.0</v>
      </c>
      <c r="H192" s="1">
        <v>18.0</v>
      </c>
      <c r="I192" s="1"/>
      <c r="J192" s="1">
        <v>4.0</v>
      </c>
      <c r="K192" s="1">
        <v>0.0</v>
      </c>
      <c r="L192" s="1">
        <v>24.0</v>
      </c>
      <c r="M192" s="1">
        <v>0.0</v>
      </c>
      <c r="N192" s="1">
        <v>34.0</v>
      </c>
      <c r="O192" s="1"/>
      <c r="P192" s="1">
        <v>18.0</v>
      </c>
      <c r="Q192" s="1"/>
      <c r="R192" s="1"/>
    </row>
    <row r="193">
      <c r="B193" s="5">
        <v>40.0</v>
      </c>
      <c r="D193" s="5">
        <v>18.0</v>
      </c>
      <c r="F193" s="1">
        <v>68.0</v>
      </c>
      <c r="H193" s="1">
        <v>18.0</v>
      </c>
      <c r="I193" s="1"/>
      <c r="J193" s="1">
        <v>4.0</v>
      </c>
      <c r="K193" s="1"/>
      <c r="L193" s="1">
        <v>24.0</v>
      </c>
      <c r="M193" s="1"/>
      <c r="N193" s="1">
        <v>34.0</v>
      </c>
      <c r="O193" s="1">
        <v>0.0</v>
      </c>
      <c r="P193" s="1">
        <v>22.0</v>
      </c>
      <c r="Q193" s="1"/>
      <c r="R193" s="1"/>
    </row>
    <row r="194">
      <c r="A194" s="1">
        <v>0.0</v>
      </c>
      <c r="B194" s="5">
        <v>44.0</v>
      </c>
      <c r="D194" s="5">
        <v>18.0</v>
      </c>
      <c r="F194" s="1">
        <v>68.0</v>
      </c>
      <c r="H194" s="1">
        <v>18.0</v>
      </c>
      <c r="I194" s="1">
        <v>0.0</v>
      </c>
      <c r="J194" s="1">
        <v>8.0</v>
      </c>
      <c r="K194" s="1"/>
      <c r="L194" s="1">
        <v>24.0</v>
      </c>
      <c r="M194" s="1"/>
      <c r="N194" s="1">
        <v>38.0</v>
      </c>
      <c r="O194" s="1"/>
      <c r="P194" s="1">
        <v>22.0</v>
      </c>
      <c r="Q194" s="1"/>
      <c r="R194" s="1"/>
    </row>
    <row r="195">
      <c r="B195" s="5">
        <v>44.0</v>
      </c>
      <c r="C195" s="1">
        <v>0.0</v>
      </c>
      <c r="D195" s="5">
        <v>22.0</v>
      </c>
      <c r="E195" s="1">
        <v>10.0</v>
      </c>
      <c r="F195" s="1">
        <v>82.0</v>
      </c>
      <c r="H195" s="1">
        <v>18.0</v>
      </c>
      <c r="I195" s="1"/>
      <c r="J195" s="1">
        <v>8.0</v>
      </c>
      <c r="K195" s="1">
        <v>10.0</v>
      </c>
      <c r="L195" s="1">
        <v>38.0</v>
      </c>
      <c r="M195" s="1"/>
      <c r="N195" s="1">
        <v>38.0</v>
      </c>
      <c r="O195" s="1">
        <v>10.0</v>
      </c>
      <c r="P195" s="1">
        <v>36.0</v>
      </c>
      <c r="Q195" s="1"/>
      <c r="R195" s="1"/>
    </row>
    <row r="196">
      <c r="B196" s="3"/>
      <c r="D196" s="4"/>
    </row>
    <row r="197">
      <c r="A197" s="1">
        <v>10.0</v>
      </c>
      <c r="B197" s="5">
        <v>58.0</v>
      </c>
      <c r="D197" s="5">
        <v>22.0</v>
      </c>
      <c r="F197" s="1">
        <v>82.0</v>
      </c>
      <c r="H197" s="1">
        <v>18.0</v>
      </c>
      <c r="I197" s="1"/>
      <c r="J197" s="1">
        <v>8.0</v>
      </c>
      <c r="K197" s="1"/>
      <c r="L197" s="1">
        <v>38.0</v>
      </c>
      <c r="M197" s="1"/>
      <c r="N197" s="1">
        <v>38.0</v>
      </c>
      <c r="O197" s="1"/>
      <c r="P197" s="1">
        <v>36.0</v>
      </c>
      <c r="Q197" s="1"/>
      <c r="R197" s="1"/>
    </row>
    <row r="198">
      <c r="A198" s="1">
        <v>0.0</v>
      </c>
      <c r="B198" s="5">
        <v>62.0</v>
      </c>
      <c r="D198" s="5">
        <v>22.0</v>
      </c>
      <c r="E198" s="1">
        <v>10.0</v>
      </c>
      <c r="F198" s="1">
        <v>96.0</v>
      </c>
      <c r="H198" s="1">
        <v>18.0</v>
      </c>
      <c r="I198" s="1"/>
      <c r="J198" s="1">
        <v>8.0</v>
      </c>
      <c r="K198" s="1">
        <v>0.0</v>
      </c>
      <c r="L198" s="1">
        <v>42.0</v>
      </c>
      <c r="M198" s="1"/>
      <c r="N198" s="1">
        <v>38.0</v>
      </c>
      <c r="O198" s="1">
        <v>0.0</v>
      </c>
      <c r="P198" s="1">
        <v>40.0</v>
      </c>
      <c r="Q198" s="1"/>
      <c r="R198" s="1"/>
    </row>
    <row r="199">
      <c r="B199" s="6">
        <v>62.0</v>
      </c>
      <c r="C199" s="1">
        <v>10.0</v>
      </c>
      <c r="D199" s="5">
        <v>36.0</v>
      </c>
      <c r="E199" s="1">
        <v>10.0</v>
      </c>
      <c r="F199" s="1">
        <v>110.0</v>
      </c>
      <c r="H199" s="1">
        <v>18.0</v>
      </c>
      <c r="I199" s="1"/>
      <c r="J199" s="1">
        <v>8.0</v>
      </c>
      <c r="K199" s="1">
        <v>0.0</v>
      </c>
      <c r="L199" s="1">
        <v>46.0</v>
      </c>
      <c r="M199" s="1"/>
      <c r="N199" s="1">
        <v>38.0</v>
      </c>
      <c r="O199" s="1">
        <v>0.0</v>
      </c>
      <c r="P199" s="1">
        <v>44.0</v>
      </c>
      <c r="Q199" s="1"/>
      <c r="R199" s="1"/>
    </row>
    <row r="200">
      <c r="A200" s="1">
        <v>10.0</v>
      </c>
      <c r="B200" s="5">
        <v>76.0</v>
      </c>
      <c r="D200" s="5">
        <v>36.0</v>
      </c>
      <c r="F200" s="1">
        <v>110.0</v>
      </c>
      <c r="H200" s="1">
        <v>18.0</v>
      </c>
      <c r="I200" s="1"/>
      <c r="J200" s="1">
        <v>8.0</v>
      </c>
      <c r="K200" s="1"/>
      <c r="L200" s="1">
        <v>46.0</v>
      </c>
      <c r="M200" s="1"/>
      <c r="N200" s="1">
        <v>38.0</v>
      </c>
      <c r="O200" s="1">
        <v>10.0</v>
      </c>
      <c r="P200" s="1">
        <v>58.0</v>
      </c>
      <c r="Q200" s="1"/>
      <c r="R200" s="1"/>
    </row>
    <row r="201">
      <c r="A201" s="1">
        <v>0.0</v>
      </c>
      <c r="B201" s="5">
        <v>80.0</v>
      </c>
      <c r="D201" s="5">
        <v>36.0</v>
      </c>
      <c r="E201" s="1">
        <v>10.0</v>
      </c>
      <c r="F201" s="1">
        <v>124.0</v>
      </c>
      <c r="H201" s="1">
        <v>18.0</v>
      </c>
      <c r="I201" s="1"/>
      <c r="J201" s="1">
        <v>8.0</v>
      </c>
      <c r="K201" s="1"/>
      <c r="L201" s="1">
        <v>46.0</v>
      </c>
      <c r="M201" s="1"/>
      <c r="N201" s="1">
        <v>38.0</v>
      </c>
      <c r="O201" s="1">
        <v>10.0</v>
      </c>
      <c r="P201" s="1">
        <v>72.0</v>
      </c>
      <c r="Q201" s="1"/>
      <c r="R201" s="1"/>
    </row>
    <row r="202">
      <c r="A202" s="1">
        <v>0.0</v>
      </c>
      <c r="B202" s="5">
        <v>84.0</v>
      </c>
      <c r="D202" s="5">
        <v>36.0</v>
      </c>
      <c r="F202" s="1">
        <v>124.0</v>
      </c>
      <c r="H202" s="1">
        <v>18.0</v>
      </c>
      <c r="I202" s="1"/>
      <c r="J202" s="1">
        <v>8.0</v>
      </c>
      <c r="K202" s="1">
        <v>0.0</v>
      </c>
      <c r="L202" s="1">
        <v>50.0</v>
      </c>
      <c r="M202" s="1"/>
      <c r="N202" s="1">
        <v>38.0</v>
      </c>
      <c r="O202" s="1"/>
      <c r="P202" s="1">
        <v>72.0</v>
      </c>
      <c r="Q202" s="1"/>
      <c r="R202" s="1"/>
    </row>
    <row r="203">
      <c r="A203" s="1">
        <v>0.0</v>
      </c>
      <c r="B203" s="5">
        <v>88.0</v>
      </c>
      <c r="D203" s="5">
        <v>36.0</v>
      </c>
      <c r="E203" s="1">
        <v>10.0</v>
      </c>
      <c r="F203" s="1">
        <v>138.0</v>
      </c>
      <c r="H203" s="1">
        <v>18.0</v>
      </c>
      <c r="I203" s="1"/>
      <c r="J203" s="1">
        <v>8.0</v>
      </c>
      <c r="K203" s="1"/>
      <c r="L203" s="1">
        <v>50.0</v>
      </c>
      <c r="M203" s="1">
        <v>10.0</v>
      </c>
      <c r="N203" s="1">
        <v>52.0</v>
      </c>
      <c r="O203" s="1"/>
      <c r="P203" s="1">
        <v>72.0</v>
      </c>
      <c r="Q203" s="1"/>
      <c r="R203" s="1"/>
    </row>
    <row r="204">
      <c r="B204" s="5">
        <v>88.0</v>
      </c>
      <c r="D204" s="5">
        <v>36.0</v>
      </c>
      <c r="F204" s="1">
        <v>138.0</v>
      </c>
      <c r="H204" s="1">
        <v>18.0</v>
      </c>
      <c r="I204" s="1"/>
      <c r="J204" s="1">
        <v>8.0</v>
      </c>
      <c r="K204" s="1"/>
      <c r="L204" s="1">
        <v>50.0</v>
      </c>
      <c r="M204" s="1">
        <v>10.0</v>
      </c>
      <c r="N204" s="1">
        <v>66.0</v>
      </c>
      <c r="O204" s="1"/>
      <c r="P204" s="1">
        <v>72.0</v>
      </c>
      <c r="Q204" s="1"/>
      <c r="R204" s="1"/>
    </row>
    <row r="205">
      <c r="B205" s="6">
        <v>88.0</v>
      </c>
      <c r="C205" s="1">
        <v>0.0</v>
      </c>
      <c r="D205" s="5">
        <v>40.0</v>
      </c>
      <c r="F205" s="1">
        <v>138.0</v>
      </c>
      <c r="H205" s="1">
        <v>18.0</v>
      </c>
      <c r="I205" s="1"/>
      <c r="J205" s="1">
        <v>8.0</v>
      </c>
      <c r="K205" s="1"/>
      <c r="L205" s="1">
        <v>50.0</v>
      </c>
      <c r="M205" s="1"/>
      <c r="N205" s="1">
        <v>66.0</v>
      </c>
      <c r="O205" s="1">
        <v>10.0</v>
      </c>
      <c r="P205" s="1">
        <v>86.0</v>
      </c>
      <c r="Q205" s="1"/>
      <c r="R205" s="1"/>
    </row>
    <row r="206">
      <c r="B206" s="5">
        <v>88.0</v>
      </c>
      <c r="C206" s="1">
        <v>0.0</v>
      </c>
      <c r="D206" s="5">
        <v>44.0</v>
      </c>
      <c r="F206" s="1">
        <v>138.0</v>
      </c>
      <c r="H206" s="1">
        <v>18.0</v>
      </c>
      <c r="I206" s="1"/>
      <c r="J206" s="1">
        <v>8.0</v>
      </c>
      <c r="K206" s="1"/>
      <c r="L206" s="1">
        <v>50.0</v>
      </c>
      <c r="M206" s="1"/>
      <c r="N206" s="1">
        <v>66.0</v>
      </c>
      <c r="O206" s="1"/>
      <c r="P206" s="1">
        <v>86.0</v>
      </c>
      <c r="Q206" s="1"/>
      <c r="R206" s="1"/>
    </row>
    <row r="207">
      <c r="A207" s="1">
        <v>0.0</v>
      </c>
      <c r="B207" s="5">
        <v>92.0</v>
      </c>
      <c r="D207" s="5">
        <v>44.0</v>
      </c>
      <c r="F207" s="1">
        <v>138.0</v>
      </c>
      <c r="G207" s="1">
        <v>0.0</v>
      </c>
      <c r="H207" s="1">
        <v>22.0</v>
      </c>
      <c r="I207" s="1">
        <v>0.0</v>
      </c>
      <c r="J207" s="1">
        <v>12.0</v>
      </c>
      <c r="K207" s="1"/>
      <c r="L207" s="1">
        <v>50.0</v>
      </c>
      <c r="M207" s="1"/>
      <c r="N207" s="1">
        <v>66.0</v>
      </c>
      <c r="O207" s="1">
        <v>10.0</v>
      </c>
      <c r="P207" s="1">
        <v>100.0</v>
      </c>
      <c r="Q207" s="1"/>
      <c r="R207" s="1"/>
    </row>
    <row r="208">
      <c r="B208" s="5">
        <v>92.0</v>
      </c>
      <c r="D208" s="5">
        <v>44.0</v>
      </c>
      <c r="E208" s="1">
        <v>10.0</v>
      </c>
      <c r="F208" s="1">
        <v>152.0</v>
      </c>
      <c r="H208" s="1">
        <v>22.0</v>
      </c>
      <c r="I208" s="1"/>
      <c r="J208" s="1">
        <v>12.0</v>
      </c>
      <c r="K208" s="1"/>
      <c r="L208" s="1">
        <v>50.0</v>
      </c>
      <c r="M208" s="1"/>
      <c r="N208" s="1">
        <v>66.0</v>
      </c>
      <c r="O208" s="1"/>
      <c r="P208" s="1">
        <v>100.0</v>
      </c>
      <c r="Q208" s="1"/>
      <c r="R208" s="1"/>
    </row>
    <row r="209">
      <c r="B209" s="4"/>
      <c r="D209" s="4"/>
    </row>
    <row r="210">
      <c r="B210" s="4"/>
      <c r="D210" s="4"/>
    </row>
    <row r="211">
      <c r="A211" s="1" t="s">
        <v>5</v>
      </c>
      <c r="B211" s="1" t="s">
        <v>5</v>
      </c>
      <c r="C211" s="1" t="s">
        <v>3</v>
      </c>
      <c r="D211" s="1" t="s">
        <v>3</v>
      </c>
      <c r="E211" s="1" t="s">
        <v>1</v>
      </c>
      <c r="F211" s="1" t="s">
        <v>1</v>
      </c>
      <c r="G211" s="1" t="s">
        <v>4</v>
      </c>
      <c r="H211" s="1" t="s">
        <v>4</v>
      </c>
      <c r="I211" s="1" t="s">
        <v>6</v>
      </c>
      <c r="J211" s="1" t="s">
        <v>6</v>
      </c>
      <c r="K211" s="1" t="s">
        <v>0</v>
      </c>
      <c r="L211" s="1" t="s">
        <v>0</v>
      </c>
      <c r="M211" s="1" t="s">
        <v>7</v>
      </c>
      <c r="N211" s="1" t="s">
        <v>7</v>
      </c>
      <c r="O211" s="1" t="s">
        <v>8</v>
      </c>
      <c r="P211" s="1" t="s">
        <v>8</v>
      </c>
      <c r="Q211" s="1" t="s">
        <v>2</v>
      </c>
      <c r="R211" s="1" t="s">
        <v>2</v>
      </c>
    </row>
    <row r="212">
      <c r="A212" s="1" t="s">
        <v>16</v>
      </c>
      <c r="B212" s="3" t="s">
        <v>19</v>
      </c>
      <c r="C212" s="1" t="s">
        <v>16</v>
      </c>
      <c r="D212" s="4" t="s">
        <v>19</v>
      </c>
      <c r="E212" s="1" t="s">
        <v>16</v>
      </c>
      <c r="F212" s="1" t="s">
        <v>19</v>
      </c>
      <c r="G212" s="1" t="s">
        <v>16</v>
      </c>
      <c r="H212" s="1" t="s">
        <v>19</v>
      </c>
      <c r="I212" s="1" t="s">
        <v>16</v>
      </c>
      <c r="J212" s="1" t="s">
        <v>19</v>
      </c>
      <c r="K212" s="1" t="s">
        <v>16</v>
      </c>
      <c r="L212" s="1" t="s">
        <v>19</v>
      </c>
      <c r="M212" s="1" t="s">
        <v>16</v>
      </c>
      <c r="N212" s="1" t="s">
        <v>19</v>
      </c>
      <c r="O212" s="1" t="s">
        <v>16</v>
      </c>
      <c r="P212" s="1" t="s">
        <v>19</v>
      </c>
      <c r="Q212" s="1" t="s">
        <v>16</v>
      </c>
      <c r="R212" s="1" t="s">
        <v>19</v>
      </c>
    </row>
    <row r="213">
      <c r="B213" s="3"/>
      <c r="D213" s="4"/>
    </row>
    <row r="214">
      <c r="B214" s="5">
        <v>0.0</v>
      </c>
      <c r="D214" s="5">
        <v>0.0</v>
      </c>
      <c r="E214" s="1">
        <v>10.0</v>
      </c>
      <c r="F214" s="1">
        <v>14.0</v>
      </c>
      <c r="H214" s="1">
        <v>0.0</v>
      </c>
      <c r="I214" s="1">
        <v>0.0</v>
      </c>
      <c r="J214" s="1">
        <v>4.0</v>
      </c>
      <c r="K214" s="1"/>
      <c r="L214" s="1">
        <v>0.0</v>
      </c>
      <c r="M214" s="1"/>
      <c r="N214" s="1">
        <v>0.0</v>
      </c>
      <c r="O214" s="1"/>
      <c r="P214" s="1">
        <v>0.0</v>
      </c>
      <c r="Q214" s="1"/>
      <c r="R214" s="1"/>
    </row>
    <row r="215">
      <c r="B215" s="5">
        <v>0.0</v>
      </c>
      <c r="D215" s="5">
        <v>0.0</v>
      </c>
      <c r="F215" s="1">
        <v>14.0</v>
      </c>
      <c r="H215" s="1">
        <v>0.0</v>
      </c>
      <c r="I215" s="1"/>
      <c r="J215" s="1">
        <v>4.0</v>
      </c>
      <c r="K215" s="1"/>
      <c r="L215" s="1">
        <v>0.0</v>
      </c>
      <c r="M215" s="1"/>
      <c r="N215" s="1">
        <v>0.0</v>
      </c>
      <c r="O215" s="1"/>
      <c r="P215" s="1">
        <v>0.0</v>
      </c>
      <c r="Q215" s="1"/>
      <c r="R215" s="1"/>
    </row>
    <row r="216">
      <c r="B216" s="5">
        <v>0.0</v>
      </c>
      <c r="D216" s="5">
        <v>0.0</v>
      </c>
      <c r="F216" s="1">
        <v>14.0</v>
      </c>
      <c r="G216" s="1">
        <v>10.0</v>
      </c>
      <c r="H216" s="1">
        <v>14.0</v>
      </c>
      <c r="I216" s="1"/>
      <c r="J216" s="1">
        <v>4.0</v>
      </c>
      <c r="K216" s="1">
        <v>0.0</v>
      </c>
      <c r="L216" s="1">
        <v>4.0</v>
      </c>
      <c r="M216" s="1">
        <v>10.0</v>
      </c>
      <c r="N216" s="1">
        <v>14.0</v>
      </c>
      <c r="O216" s="1"/>
      <c r="P216" s="1">
        <v>0.0</v>
      </c>
      <c r="Q216" s="1"/>
      <c r="R216" s="1"/>
    </row>
    <row r="217">
      <c r="B217" s="5">
        <v>0.0</v>
      </c>
      <c r="C217" s="1">
        <v>0.0</v>
      </c>
      <c r="D217" s="5">
        <v>4.0</v>
      </c>
      <c r="F217" s="1">
        <v>14.0</v>
      </c>
      <c r="H217" s="1">
        <v>14.0</v>
      </c>
      <c r="I217" s="1"/>
      <c r="J217" s="1">
        <v>4.0</v>
      </c>
      <c r="K217" s="1"/>
      <c r="L217" s="1">
        <v>4.0</v>
      </c>
      <c r="M217" s="1"/>
      <c r="N217" s="1">
        <v>14.0</v>
      </c>
      <c r="O217" s="1"/>
      <c r="P217" s="1">
        <v>0.0</v>
      </c>
      <c r="Q217" s="1"/>
      <c r="R217" s="1"/>
    </row>
    <row r="218">
      <c r="B218" s="5">
        <v>0.0</v>
      </c>
      <c r="D218" s="5">
        <v>4.0</v>
      </c>
      <c r="F218" s="1">
        <v>14.0</v>
      </c>
      <c r="H218" s="1">
        <v>14.0</v>
      </c>
      <c r="I218" s="1"/>
      <c r="J218" s="1">
        <v>4.0</v>
      </c>
      <c r="K218" s="1"/>
      <c r="L218" s="1">
        <v>8.0</v>
      </c>
      <c r="M218" s="1"/>
      <c r="N218" s="1">
        <v>14.0</v>
      </c>
      <c r="O218" s="1"/>
      <c r="P218" s="1">
        <v>0.0</v>
      </c>
      <c r="Q218" s="1"/>
      <c r="R218" s="1"/>
    </row>
    <row r="219">
      <c r="A219" s="1">
        <v>10.0</v>
      </c>
      <c r="B219" s="5">
        <v>14.0</v>
      </c>
      <c r="D219" s="5">
        <v>4.0</v>
      </c>
      <c r="F219" s="1">
        <v>14.0</v>
      </c>
      <c r="G219" s="1">
        <v>0.0</v>
      </c>
      <c r="H219" s="1">
        <v>18.0</v>
      </c>
      <c r="I219" s="1">
        <v>0.0</v>
      </c>
      <c r="J219" s="1">
        <v>8.0</v>
      </c>
      <c r="K219" s="1"/>
      <c r="L219" s="1">
        <v>8.0</v>
      </c>
      <c r="M219" s="1"/>
      <c r="N219" s="1">
        <v>14.0</v>
      </c>
      <c r="O219" s="1"/>
      <c r="P219" s="1">
        <v>0.0</v>
      </c>
      <c r="Q219" s="1"/>
      <c r="R219" s="1"/>
    </row>
    <row r="220">
      <c r="A220" s="1">
        <v>0.0</v>
      </c>
      <c r="B220" s="5">
        <v>18.0</v>
      </c>
      <c r="D220" s="5">
        <v>4.0</v>
      </c>
      <c r="E220" s="1">
        <v>0.0</v>
      </c>
      <c r="F220" s="1">
        <v>18.0</v>
      </c>
      <c r="H220" s="1">
        <v>18.0</v>
      </c>
      <c r="I220" s="1">
        <v>0.0</v>
      </c>
      <c r="J220" s="1">
        <v>12.0</v>
      </c>
      <c r="K220" s="1"/>
      <c r="L220" s="1">
        <v>8.0</v>
      </c>
      <c r="M220" s="1"/>
      <c r="N220" s="1">
        <v>14.0</v>
      </c>
      <c r="O220" s="1">
        <v>10.0</v>
      </c>
      <c r="P220" s="1">
        <v>14.0</v>
      </c>
      <c r="Q220" s="1"/>
      <c r="R220" s="1"/>
    </row>
    <row r="221">
      <c r="B221" s="5">
        <v>18.0</v>
      </c>
      <c r="D221" s="5">
        <v>4.0</v>
      </c>
      <c r="F221" s="1">
        <v>18.0</v>
      </c>
      <c r="H221" s="1">
        <v>18.0</v>
      </c>
      <c r="I221" s="1">
        <v>0.0</v>
      </c>
      <c r="J221" s="1">
        <v>16.0</v>
      </c>
      <c r="K221" s="1"/>
      <c r="L221" s="1">
        <v>8.0</v>
      </c>
      <c r="M221" s="1"/>
      <c r="N221" s="1">
        <v>14.0</v>
      </c>
      <c r="O221" s="1">
        <v>0.0</v>
      </c>
      <c r="P221" s="1">
        <v>18.0</v>
      </c>
      <c r="Q221" s="1"/>
      <c r="R221" s="1"/>
    </row>
    <row r="222">
      <c r="A222" s="1">
        <v>0.0</v>
      </c>
      <c r="B222" s="5">
        <v>22.0</v>
      </c>
      <c r="D222" s="5">
        <v>4.0</v>
      </c>
      <c r="F222" s="1">
        <v>18.0</v>
      </c>
      <c r="G222" s="1">
        <v>0.0</v>
      </c>
      <c r="H222" s="1">
        <v>22.0</v>
      </c>
      <c r="I222" s="1">
        <v>10.0</v>
      </c>
      <c r="J222" s="1">
        <v>30.0</v>
      </c>
      <c r="K222" s="1"/>
      <c r="L222" s="1">
        <v>8.0</v>
      </c>
      <c r="M222" s="1"/>
      <c r="N222" s="1">
        <v>14.0</v>
      </c>
      <c r="O222" s="1">
        <v>10.0</v>
      </c>
      <c r="P222" s="1">
        <v>32.0</v>
      </c>
      <c r="Q222" s="1"/>
      <c r="R222" s="1"/>
    </row>
    <row r="223">
      <c r="A223" s="1">
        <v>0.0</v>
      </c>
      <c r="B223" s="5">
        <v>26.0</v>
      </c>
      <c r="D223" s="5">
        <v>4.0</v>
      </c>
      <c r="F223" s="1">
        <v>18.0</v>
      </c>
      <c r="G223" s="1">
        <v>0.0</v>
      </c>
      <c r="H223" s="1">
        <v>26.0</v>
      </c>
      <c r="I223" s="1"/>
      <c r="J223" s="1">
        <v>30.0</v>
      </c>
      <c r="K223" s="1"/>
      <c r="L223" s="1">
        <v>8.0</v>
      </c>
      <c r="M223" s="1"/>
      <c r="N223" s="1">
        <v>14.0</v>
      </c>
      <c r="O223" s="1">
        <v>0.0</v>
      </c>
      <c r="P223" s="1">
        <v>36.0</v>
      </c>
      <c r="Q223" s="1"/>
      <c r="R223" s="1"/>
    </row>
    <row r="224">
      <c r="A224" s="1">
        <v>0.0</v>
      </c>
      <c r="B224" s="5">
        <v>30.0</v>
      </c>
      <c r="D224" s="5">
        <v>4.0</v>
      </c>
      <c r="F224" s="1">
        <v>18.0</v>
      </c>
      <c r="H224" s="1">
        <v>26.0</v>
      </c>
      <c r="I224" s="1">
        <v>0.0</v>
      </c>
      <c r="J224" s="1">
        <v>34.0</v>
      </c>
      <c r="K224" s="1"/>
      <c r="L224" s="1">
        <v>8.0</v>
      </c>
      <c r="M224" s="1"/>
      <c r="N224" s="1">
        <v>14.0</v>
      </c>
      <c r="O224" s="1">
        <v>0.0</v>
      </c>
      <c r="P224" s="1">
        <v>40.0</v>
      </c>
      <c r="Q224" s="1"/>
      <c r="R224" s="1"/>
    </row>
    <row r="225">
      <c r="B225" s="5">
        <v>30.0</v>
      </c>
      <c r="D225" s="5">
        <v>4.0</v>
      </c>
      <c r="F225" s="1">
        <v>18.0</v>
      </c>
      <c r="H225" s="1">
        <v>26.0</v>
      </c>
      <c r="I225" s="1">
        <v>0.0</v>
      </c>
      <c r="J225" s="1">
        <v>38.0</v>
      </c>
      <c r="K225" s="1"/>
      <c r="L225" s="1">
        <v>8.0</v>
      </c>
      <c r="M225" s="1"/>
      <c r="N225" s="1">
        <v>14.0</v>
      </c>
      <c r="O225" s="1"/>
      <c r="P225" s="1">
        <v>40.0</v>
      </c>
      <c r="Q225" s="1"/>
      <c r="R225" s="1"/>
    </row>
    <row r="226">
      <c r="B226" s="3"/>
      <c r="D226" s="4"/>
    </row>
    <row r="227">
      <c r="B227" s="5">
        <v>30.0</v>
      </c>
      <c r="C227" s="1">
        <v>0.0</v>
      </c>
      <c r="D227" s="5">
        <v>8.0</v>
      </c>
      <c r="F227" s="1">
        <v>18.0</v>
      </c>
      <c r="H227" s="1">
        <v>26.0</v>
      </c>
      <c r="I227" s="1"/>
      <c r="J227" s="1">
        <v>38.0</v>
      </c>
      <c r="K227" s="1"/>
      <c r="L227" s="1">
        <v>8.0</v>
      </c>
      <c r="M227" s="1">
        <v>0.0</v>
      </c>
      <c r="N227" s="1">
        <v>18.0</v>
      </c>
      <c r="O227" s="1"/>
      <c r="P227" s="1">
        <v>40.0</v>
      </c>
      <c r="Q227" s="1"/>
      <c r="R227" s="1"/>
    </row>
    <row r="228">
      <c r="B228" s="5">
        <v>30.0</v>
      </c>
      <c r="C228" s="1">
        <v>0.0</v>
      </c>
      <c r="D228" s="5">
        <v>12.0</v>
      </c>
      <c r="F228" s="1">
        <v>18.0</v>
      </c>
      <c r="G228" s="1">
        <v>0.0</v>
      </c>
      <c r="H228" s="1">
        <v>30.0</v>
      </c>
      <c r="I228" s="1"/>
      <c r="J228" s="1">
        <v>38.0</v>
      </c>
      <c r="K228" s="1"/>
      <c r="L228" s="1">
        <v>8.0</v>
      </c>
      <c r="M228" s="1"/>
      <c r="N228" s="1">
        <v>18.0</v>
      </c>
      <c r="O228" s="1"/>
      <c r="P228" s="1">
        <v>40.0</v>
      </c>
      <c r="Q228" s="1"/>
      <c r="R228" s="1"/>
    </row>
    <row r="229">
      <c r="B229" s="6">
        <v>30.0</v>
      </c>
      <c r="C229" s="1">
        <v>0.0</v>
      </c>
      <c r="D229" s="5">
        <v>16.0</v>
      </c>
      <c r="E229" s="1">
        <v>10.0</v>
      </c>
      <c r="F229" s="1">
        <v>36.0</v>
      </c>
      <c r="H229" s="1">
        <v>30.0</v>
      </c>
      <c r="I229" s="1"/>
      <c r="J229" s="1">
        <v>38.0</v>
      </c>
      <c r="K229" s="1">
        <v>0.0</v>
      </c>
      <c r="L229" s="1">
        <v>12.0</v>
      </c>
      <c r="M229" s="1"/>
      <c r="N229" s="1">
        <v>18.0</v>
      </c>
      <c r="O229" s="1">
        <v>10.0</v>
      </c>
      <c r="P229" s="1">
        <v>54.0</v>
      </c>
      <c r="Q229" s="1"/>
      <c r="R229" s="1"/>
    </row>
    <row r="230">
      <c r="A230" s="1">
        <v>10.0</v>
      </c>
      <c r="B230" s="5">
        <v>44.0</v>
      </c>
      <c r="D230" s="5">
        <v>16.0</v>
      </c>
      <c r="F230" s="1">
        <v>36.0</v>
      </c>
      <c r="H230" s="1">
        <v>30.0</v>
      </c>
      <c r="I230" s="1"/>
      <c r="J230" s="1">
        <v>38.0</v>
      </c>
      <c r="K230" s="1">
        <v>10.0</v>
      </c>
      <c r="L230" s="1">
        <v>26.0</v>
      </c>
      <c r="M230" s="1">
        <v>10.0</v>
      </c>
      <c r="N230" s="1">
        <v>32.0</v>
      </c>
      <c r="O230" s="1"/>
      <c r="P230" s="1">
        <v>54.0</v>
      </c>
      <c r="Q230" s="1"/>
      <c r="R230" s="1"/>
    </row>
    <row r="231">
      <c r="B231" s="5">
        <v>44.0</v>
      </c>
      <c r="C231" s="1">
        <v>0.0</v>
      </c>
      <c r="D231" s="5">
        <v>20.0</v>
      </c>
      <c r="F231" s="1">
        <v>36.0</v>
      </c>
      <c r="G231" s="1">
        <v>0.0</v>
      </c>
      <c r="H231" s="1">
        <v>34.0</v>
      </c>
      <c r="I231" s="1">
        <v>0.0</v>
      </c>
      <c r="J231" s="1">
        <v>42.0</v>
      </c>
      <c r="K231" s="1"/>
      <c r="L231" s="1">
        <v>26.0</v>
      </c>
      <c r="M231" s="1"/>
      <c r="N231" s="1">
        <v>32.0</v>
      </c>
      <c r="O231" s="1">
        <v>0.0</v>
      </c>
      <c r="P231" s="1">
        <v>58.0</v>
      </c>
      <c r="Q231" s="1"/>
      <c r="R231" s="1"/>
    </row>
    <row r="232">
      <c r="A232" s="1">
        <v>0.0</v>
      </c>
      <c r="B232" s="5">
        <v>48.0</v>
      </c>
      <c r="D232" s="5">
        <v>20.0</v>
      </c>
      <c r="F232" s="1">
        <v>36.0</v>
      </c>
      <c r="G232" s="1">
        <v>0.0</v>
      </c>
      <c r="H232" s="1">
        <v>38.0</v>
      </c>
      <c r="I232" s="1"/>
      <c r="J232" s="1">
        <v>42.0</v>
      </c>
      <c r="K232" s="1"/>
      <c r="L232" s="1">
        <v>26.0</v>
      </c>
      <c r="M232" s="1"/>
      <c r="N232" s="1">
        <v>32.0</v>
      </c>
      <c r="O232" s="1">
        <v>0.0</v>
      </c>
      <c r="P232" s="1">
        <v>62.0</v>
      </c>
      <c r="Q232" s="1"/>
      <c r="R232" s="1"/>
    </row>
    <row r="233">
      <c r="B233" s="5">
        <v>48.0</v>
      </c>
      <c r="D233" s="5">
        <v>20.0</v>
      </c>
      <c r="F233" s="1">
        <v>36.0</v>
      </c>
      <c r="H233" s="1">
        <v>38.0</v>
      </c>
      <c r="I233" s="1"/>
      <c r="J233" s="1">
        <v>42.0</v>
      </c>
      <c r="K233" s="1"/>
      <c r="L233" s="1">
        <v>26.0</v>
      </c>
      <c r="M233" s="1"/>
      <c r="N233" s="1">
        <v>32.0</v>
      </c>
      <c r="O233" s="1"/>
      <c r="P233" s="1">
        <v>62.0</v>
      </c>
      <c r="Q233" s="1"/>
      <c r="R233" s="1"/>
    </row>
    <row r="234">
      <c r="A234" s="1">
        <v>10.0</v>
      </c>
      <c r="B234" s="5">
        <v>62.0</v>
      </c>
      <c r="D234" s="5">
        <v>20.0</v>
      </c>
      <c r="F234" s="1">
        <v>36.0</v>
      </c>
      <c r="G234" s="1">
        <v>0.0</v>
      </c>
      <c r="H234" s="1">
        <v>42.0</v>
      </c>
      <c r="I234" s="1"/>
      <c r="J234" s="1">
        <v>42.0</v>
      </c>
      <c r="K234" s="1"/>
      <c r="L234" s="1">
        <v>26.0</v>
      </c>
      <c r="M234" s="1">
        <v>0.0</v>
      </c>
      <c r="N234" s="1">
        <v>36.0</v>
      </c>
      <c r="O234" s="1"/>
      <c r="P234" s="1">
        <v>62.0</v>
      </c>
      <c r="Q234" s="1"/>
      <c r="R234" s="1"/>
    </row>
    <row r="235">
      <c r="A235" s="1">
        <v>0.0</v>
      </c>
      <c r="B235" s="5">
        <v>66.0</v>
      </c>
      <c r="D235" s="5">
        <v>20.0</v>
      </c>
      <c r="E235" s="1">
        <v>0.0</v>
      </c>
      <c r="F235" s="1">
        <v>40.0</v>
      </c>
      <c r="H235" s="1">
        <v>42.0</v>
      </c>
      <c r="I235" s="1">
        <v>0.0</v>
      </c>
      <c r="J235" s="1">
        <v>46.0</v>
      </c>
      <c r="K235" s="1"/>
      <c r="L235" s="1">
        <v>26.0</v>
      </c>
      <c r="M235" s="1"/>
      <c r="N235" s="1">
        <v>36.0</v>
      </c>
      <c r="O235" s="1">
        <v>0.0</v>
      </c>
      <c r="P235" s="1">
        <v>66.0</v>
      </c>
      <c r="Q235" s="1"/>
      <c r="R235" s="1"/>
    </row>
    <row r="236">
      <c r="A236" s="1">
        <v>10.0</v>
      </c>
      <c r="B236" s="5">
        <v>80.0</v>
      </c>
      <c r="D236" s="5">
        <v>20.0</v>
      </c>
      <c r="F236" s="1">
        <v>40.0</v>
      </c>
      <c r="G236" s="1">
        <v>10.0</v>
      </c>
      <c r="H236" s="1">
        <v>56.0</v>
      </c>
      <c r="I236" s="1"/>
      <c r="J236" s="1">
        <v>46.0</v>
      </c>
      <c r="K236" s="1"/>
      <c r="L236" s="1">
        <v>26.0</v>
      </c>
      <c r="M236" s="1"/>
      <c r="N236" s="1">
        <v>36.0</v>
      </c>
      <c r="O236" s="1">
        <v>10.0</v>
      </c>
      <c r="P236" s="1">
        <v>80.0</v>
      </c>
      <c r="Q236" s="1"/>
      <c r="R236" s="1"/>
    </row>
    <row r="237">
      <c r="B237" s="5">
        <v>80.0</v>
      </c>
      <c r="C237" s="1">
        <v>0.0</v>
      </c>
      <c r="D237" s="5">
        <v>24.0</v>
      </c>
      <c r="F237" s="1">
        <v>40.0</v>
      </c>
      <c r="H237" s="1">
        <v>56.0</v>
      </c>
      <c r="I237" s="1"/>
      <c r="J237" s="1">
        <v>46.0</v>
      </c>
      <c r="K237" s="1"/>
      <c r="L237" s="1">
        <v>30.0</v>
      </c>
      <c r="M237" s="1"/>
      <c r="N237" s="1">
        <v>36.0</v>
      </c>
      <c r="O237" s="1">
        <v>10.0</v>
      </c>
      <c r="P237" s="1">
        <v>94.0</v>
      </c>
      <c r="Q237" s="1"/>
      <c r="R237" s="1"/>
    </row>
    <row r="238">
      <c r="A238" s="1">
        <v>0.0</v>
      </c>
      <c r="B238" s="5">
        <v>84.0</v>
      </c>
      <c r="D238" s="5">
        <v>24.0</v>
      </c>
      <c r="F238" s="1">
        <v>40.0</v>
      </c>
      <c r="G238" s="1">
        <v>0.0</v>
      </c>
      <c r="H238" s="1">
        <v>60.0</v>
      </c>
      <c r="I238" s="1">
        <v>0.0</v>
      </c>
      <c r="J238" s="1">
        <v>50.0</v>
      </c>
      <c r="K238" s="1"/>
      <c r="L238" s="1">
        <v>30.0</v>
      </c>
      <c r="M238" s="1">
        <v>0.0</v>
      </c>
      <c r="N238" s="1">
        <v>40.0</v>
      </c>
      <c r="O238" s="1"/>
      <c r="P238" s="1">
        <v>94.0</v>
      </c>
      <c r="Q238" s="1"/>
      <c r="R238" s="1"/>
    </row>
    <row r="239">
      <c r="B239" s="4"/>
      <c r="D239" s="4"/>
    </row>
    <row r="240">
      <c r="B240" s="4"/>
      <c r="D240" s="4"/>
    </row>
    <row r="241">
      <c r="A241" s="1" t="s">
        <v>8</v>
      </c>
      <c r="B241" s="1" t="s">
        <v>8</v>
      </c>
      <c r="C241" s="1" t="s">
        <v>6</v>
      </c>
      <c r="D241" s="1" t="s">
        <v>6</v>
      </c>
      <c r="E241" s="1" t="s">
        <v>3</v>
      </c>
      <c r="F241" s="1" t="s">
        <v>3</v>
      </c>
      <c r="G241" s="1" t="s">
        <v>4</v>
      </c>
      <c r="H241" s="1" t="s">
        <v>4</v>
      </c>
      <c r="I241" s="1" t="s">
        <v>7</v>
      </c>
      <c r="J241" s="1" t="s">
        <v>7</v>
      </c>
      <c r="K241" s="1" t="s">
        <v>5</v>
      </c>
      <c r="L241" s="1" t="s">
        <v>5</v>
      </c>
      <c r="M241" s="1" t="s">
        <v>2</v>
      </c>
      <c r="N241" s="1" t="s">
        <v>2</v>
      </c>
      <c r="O241" s="1" t="s">
        <v>1</v>
      </c>
      <c r="P241" s="1" t="s">
        <v>1</v>
      </c>
      <c r="Q241" s="1" t="s">
        <v>0</v>
      </c>
      <c r="R241" s="1" t="s">
        <v>0</v>
      </c>
    </row>
    <row r="242">
      <c r="A242" s="1" t="s">
        <v>16</v>
      </c>
      <c r="B242" s="3" t="s">
        <v>19</v>
      </c>
      <c r="C242" s="1" t="s">
        <v>16</v>
      </c>
      <c r="D242" s="4" t="s">
        <v>19</v>
      </c>
      <c r="E242" s="1" t="s">
        <v>16</v>
      </c>
      <c r="F242" s="1" t="s">
        <v>19</v>
      </c>
      <c r="G242" s="1" t="s">
        <v>16</v>
      </c>
      <c r="H242" s="1" t="s">
        <v>19</v>
      </c>
      <c r="I242" s="1" t="s">
        <v>16</v>
      </c>
      <c r="J242" s="1" t="s">
        <v>19</v>
      </c>
      <c r="K242" s="1" t="s">
        <v>16</v>
      </c>
      <c r="L242" s="1" t="s">
        <v>19</v>
      </c>
      <c r="M242" s="1" t="s">
        <v>16</v>
      </c>
      <c r="N242" s="1" t="s">
        <v>19</v>
      </c>
      <c r="O242" s="1" t="s">
        <v>16</v>
      </c>
      <c r="P242" s="1" t="s">
        <v>19</v>
      </c>
      <c r="Q242" s="1" t="s">
        <v>16</v>
      </c>
      <c r="R242" s="1" t="s">
        <v>19</v>
      </c>
    </row>
    <row r="243">
      <c r="B243" s="3"/>
      <c r="D243" s="4"/>
    </row>
    <row r="244">
      <c r="B244" s="5">
        <v>0.0</v>
      </c>
      <c r="D244" s="5">
        <v>0.0</v>
      </c>
      <c r="F244" s="1">
        <v>0.0</v>
      </c>
      <c r="H244" s="1">
        <v>0.0</v>
      </c>
      <c r="I244" s="1">
        <v>0.0</v>
      </c>
      <c r="J244" s="1">
        <v>4.0</v>
      </c>
      <c r="K244" s="1"/>
      <c r="L244" s="1">
        <v>0.0</v>
      </c>
      <c r="M244" s="1"/>
      <c r="N244" s="1">
        <v>0.0</v>
      </c>
      <c r="O244" s="1"/>
      <c r="P244" s="1">
        <v>0.0</v>
      </c>
      <c r="Q244" s="1"/>
      <c r="R244" s="1"/>
    </row>
    <row r="245">
      <c r="B245" s="5">
        <v>0.0</v>
      </c>
      <c r="D245" s="5">
        <v>0.0</v>
      </c>
      <c r="F245" s="1">
        <v>0.0</v>
      </c>
      <c r="H245" s="1">
        <v>0.0</v>
      </c>
      <c r="I245" s="1"/>
      <c r="J245" s="1">
        <v>4.0</v>
      </c>
      <c r="K245" s="1">
        <v>10.0</v>
      </c>
      <c r="L245" s="1">
        <v>14.0</v>
      </c>
      <c r="M245" s="1"/>
      <c r="N245" s="1">
        <v>0.0</v>
      </c>
      <c r="O245" s="1"/>
      <c r="P245" s="1">
        <v>0.0</v>
      </c>
      <c r="Q245" s="1"/>
      <c r="R245" s="1"/>
    </row>
    <row r="246">
      <c r="A246" s="1">
        <v>0.0</v>
      </c>
      <c r="B246" s="5">
        <v>4.0</v>
      </c>
      <c r="D246" s="5">
        <v>0.0</v>
      </c>
      <c r="F246" s="1">
        <v>0.0</v>
      </c>
      <c r="G246" s="1">
        <v>10.0</v>
      </c>
      <c r="H246" s="1">
        <v>14.0</v>
      </c>
      <c r="I246" s="1"/>
      <c r="J246" s="1">
        <v>4.0</v>
      </c>
      <c r="K246" s="1"/>
      <c r="L246" s="1">
        <v>14.0</v>
      </c>
      <c r="M246" s="1">
        <v>10.0</v>
      </c>
      <c r="N246" s="1">
        <v>14.0</v>
      </c>
      <c r="O246" s="1"/>
      <c r="P246" s="1">
        <v>0.0</v>
      </c>
      <c r="Q246" s="1"/>
      <c r="R246" s="1"/>
    </row>
    <row r="247">
      <c r="B247" s="5">
        <v>4.0</v>
      </c>
      <c r="D247" s="5">
        <v>0.0</v>
      </c>
      <c r="F247" s="1">
        <v>0.0</v>
      </c>
      <c r="H247" s="1">
        <v>14.0</v>
      </c>
      <c r="I247" s="1"/>
      <c r="J247" s="1">
        <v>4.0</v>
      </c>
      <c r="K247" s="1"/>
      <c r="L247" s="1">
        <v>14.0</v>
      </c>
      <c r="M247" s="1">
        <v>0.0</v>
      </c>
      <c r="N247" s="1">
        <v>18.0</v>
      </c>
      <c r="O247" s="1"/>
      <c r="P247" s="1">
        <v>0.0</v>
      </c>
      <c r="Q247" s="1"/>
      <c r="R247" s="1"/>
    </row>
    <row r="248">
      <c r="B248" s="5">
        <v>4.0</v>
      </c>
      <c r="D248" s="5">
        <v>0.0</v>
      </c>
      <c r="F248" s="1">
        <v>0.0</v>
      </c>
      <c r="G248" s="1">
        <v>10.0</v>
      </c>
      <c r="H248" s="1">
        <v>28.0</v>
      </c>
      <c r="I248" s="1"/>
      <c r="J248" s="1">
        <v>4.0</v>
      </c>
      <c r="K248" s="1">
        <v>10.0</v>
      </c>
      <c r="L248" s="1">
        <v>28.0</v>
      </c>
      <c r="M248" s="1">
        <v>0.0</v>
      </c>
      <c r="N248" s="1">
        <v>22.0</v>
      </c>
      <c r="O248" s="1"/>
      <c r="P248" s="1">
        <v>0.0</v>
      </c>
      <c r="Q248" s="1"/>
      <c r="R248" s="1"/>
    </row>
    <row r="249">
      <c r="B249" s="6">
        <v>4.0</v>
      </c>
      <c r="C249" s="1">
        <v>0.0</v>
      </c>
      <c r="D249" s="5">
        <v>4.0</v>
      </c>
      <c r="F249" s="1">
        <v>0.0</v>
      </c>
      <c r="H249" s="1">
        <v>28.0</v>
      </c>
      <c r="I249" s="1"/>
      <c r="J249" s="1">
        <v>4.0</v>
      </c>
      <c r="K249" s="1">
        <v>0.0</v>
      </c>
      <c r="L249" s="1">
        <v>32.0</v>
      </c>
      <c r="M249" s="1"/>
      <c r="N249" s="1">
        <v>22.0</v>
      </c>
      <c r="O249" s="1">
        <v>0.0</v>
      </c>
      <c r="P249" s="1">
        <v>4.0</v>
      </c>
      <c r="Q249" s="1"/>
      <c r="R249" s="1"/>
    </row>
    <row r="250">
      <c r="A250" s="1">
        <v>0.0</v>
      </c>
      <c r="B250" s="5">
        <v>8.0</v>
      </c>
      <c r="D250" s="5">
        <v>4.0</v>
      </c>
      <c r="F250" s="1">
        <v>0.0</v>
      </c>
      <c r="H250" s="1">
        <v>28.0</v>
      </c>
      <c r="I250" s="1"/>
      <c r="J250" s="1">
        <v>4.0</v>
      </c>
      <c r="K250" s="1">
        <v>0.0</v>
      </c>
      <c r="L250" s="1">
        <v>36.0</v>
      </c>
      <c r="M250" s="1">
        <v>10.0</v>
      </c>
      <c r="N250" s="1">
        <v>36.0</v>
      </c>
      <c r="O250" s="1"/>
      <c r="P250" s="1">
        <v>4.0</v>
      </c>
      <c r="Q250" s="1"/>
      <c r="R250" s="1"/>
    </row>
    <row r="251">
      <c r="B251" s="5">
        <v>8.0</v>
      </c>
      <c r="D251" s="5">
        <v>4.0</v>
      </c>
      <c r="F251" s="1">
        <v>0.0</v>
      </c>
      <c r="H251" s="1">
        <v>28.0</v>
      </c>
      <c r="I251" s="1"/>
      <c r="J251" s="1">
        <v>4.0</v>
      </c>
      <c r="K251" s="1"/>
      <c r="L251" s="1">
        <v>36.0</v>
      </c>
      <c r="M251" s="1"/>
      <c r="N251" s="1">
        <v>36.0</v>
      </c>
      <c r="O251" s="1"/>
      <c r="P251" s="1">
        <v>4.0</v>
      </c>
      <c r="Q251" s="1"/>
      <c r="R251" s="1"/>
    </row>
    <row r="252">
      <c r="B252" s="5">
        <v>8.0</v>
      </c>
      <c r="C252" s="1">
        <v>0.0</v>
      </c>
      <c r="D252" s="5">
        <v>8.0</v>
      </c>
      <c r="F252" s="1">
        <v>0.0</v>
      </c>
      <c r="H252" s="1">
        <v>28.0</v>
      </c>
      <c r="I252" s="1"/>
      <c r="J252" s="1">
        <v>4.0</v>
      </c>
      <c r="K252" s="1"/>
      <c r="L252" s="1">
        <v>36.0</v>
      </c>
      <c r="M252" s="1">
        <v>0.0</v>
      </c>
      <c r="N252" s="1">
        <v>40.0</v>
      </c>
      <c r="O252" s="1"/>
      <c r="P252" s="1">
        <v>4.0</v>
      </c>
      <c r="Q252" s="1"/>
      <c r="R252" s="1"/>
    </row>
    <row r="253">
      <c r="A253" s="1">
        <v>0.0</v>
      </c>
      <c r="B253" s="5">
        <v>12.0</v>
      </c>
      <c r="D253" s="5">
        <v>8.0</v>
      </c>
      <c r="F253" s="1">
        <v>0.0</v>
      </c>
      <c r="G253" s="1">
        <v>0.0</v>
      </c>
      <c r="H253" s="1">
        <v>32.0</v>
      </c>
      <c r="I253" s="1"/>
      <c r="J253" s="1">
        <v>4.0</v>
      </c>
      <c r="K253" s="1">
        <v>0.0</v>
      </c>
      <c r="L253" s="1">
        <v>40.0</v>
      </c>
      <c r="M253" s="1">
        <v>10.0</v>
      </c>
      <c r="N253" s="1">
        <v>54.0</v>
      </c>
      <c r="O253" s="1"/>
      <c r="P253" s="1">
        <v>4.0</v>
      </c>
      <c r="Q253" s="1"/>
      <c r="R253" s="1"/>
    </row>
    <row r="254">
      <c r="B254" s="6">
        <v>12.0</v>
      </c>
      <c r="C254" s="1">
        <v>10.0</v>
      </c>
      <c r="D254" s="5">
        <v>22.0</v>
      </c>
      <c r="F254" s="1">
        <v>0.0</v>
      </c>
      <c r="H254" s="1">
        <v>32.0</v>
      </c>
      <c r="I254" s="1"/>
      <c r="J254" s="1">
        <v>4.0</v>
      </c>
      <c r="K254" s="1">
        <v>10.0</v>
      </c>
      <c r="L254" s="1">
        <v>54.0</v>
      </c>
      <c r="M254" s="1"/>
      <c r="N254" s="1">
        <v>54.0</v>
      </c>
      <c r="O254" s="1"/>
      <c r="P254" s="1">
        <v>4.0</v>
      </c>
      <c r="Q254" s="1"/>
      <c r="R254" s="1"/>
    </row>
    <row r="255">
      <c r="B255" s="5">
        <v>12.0</v>
      </c>
      <c r="D255" s="5">
        <v>22.0</v>
      </c>
      <c r="F255" s="1">
        <v>0.0</v>
      </c>
      <c r="H255" s="1">
        <v>32.0</v>
      </c>
      <c r="I255" s="1"/>
      <c r="J255" s="1">
        <v>4.0</v>
      </c>
      <c r="K255" s="1"/>
      <c r="L255" s="1">
        <v>54.0</v>
      </c>
      <c r="M255" s="1"/>
      <c r="N255" s="1">
        <v>54.0</v>
      </c>
      <c r="O255" s="1"/>
      <c r="P255" s="1">
        <v>4.0</v>
      </c>
      <c r="Q255" s="1"/>
      <c r="R255" s="1"/>
    </row>
    <row r="256">
      <c r="B256" s="3"/>
      <c r="D256" s="4"/>
    </row>
    <row r="257">
      <c r="B257" s="6">
        <v>12.0</v>
      </c>
      <c r="C257" s="1">
        <v>0.0</v>
      </c>
      <c r="D257" s="5">
        <v>26.0</v>
      </c>
      <c r="F257" s="1">
        <v>4.0</v>
      </c>
      <c r="H257" s="1">
        <v>32.0</v>
      </c>
      <c r="I257" s="1"/>
      <c r="J257" s="1">
        <v>4.0</v>
      </c>
      <c r="K257" s="1"/>
      <c r="L257" s="1">
        <v>54.0</v>
      </c>
      <c r="M257" s="1">
        <v>10.0</v>
      </c>
      <c r="N257" s="1">
        <v>68.0</v>
      </c>
      <c r="O257" s="1"/>
      <c r="P257" s="1">
        <v>4.0</v>
      </c>
      <c r="Q257" s="1"/>
      <c r="R257" s="1"/>
    </row>
    <row r="258">
      <c r="B258" s="5">
        <v>12.0</v>
      </c>
      <c r="D258" s="5">
        <v>26.0</v>
      </c>
      <c r="F258" s="1">
        <v>4.0</v>
      </c>
      <c r="H258" s="1">
        <v>32.0</v>
      </c>
      <c r="I258" s="1"/>
      <c r="J258" s="1">
        <v>4.0</v>
      </c>
      <c r="K258" s="1"/>
      <c r="L258" s="1">
        <v>54.0</v>
      </c>
      <c r="M258" s="1"/>
      <c r="N258" s="1">
        <v>68.0</v>
      </c>
      <c r="O258" s="1"/>
      <c r="P258" s="1">
        <v>4.0</v>
      </c>
      <c r="Q258" s="1"/>
      <c r="R258" s="1"/>
    </row>
    <row r="259">
      <c r="B259" s="5">
        <v>12.0</v>
      </c>
      <c r="C259" s="1">
        <v>0.0</v>
      </c>
      <c r="D259" s="5">
        <v>30.0</v>
      </c>
      <c r="F259" s="1">
        <v>4.0</v>
      </c>
      <c r="G259" s="1">
        <v>0.0</v>
      </c>
      <c r="H259" s="1">
        <v>36.0</v>
      </c>
      <c r="I259" s="1"/>
      <c r="J259" s="1">
        <v>4.0</v>
      </c>
      <c r="K259" s="1">
        <v>0.0</v>
      </c>
      <c r="L259" s="1">
        <v>58.0</v>
      </c>
      <c r="M259" s="1">
        <v>10.0</v>
      </c>
      <c r="N259" s="1">
        <v>82.0</v>
      </c>
      <c r="O259" s="1"/>
      <c r="P259" s="1">
        <v>4.0</v>
      </c>
      <c r="Q259" s="1"/>
      <c r="R259" s="1"/>
    </row>
    <row r="260">
      <c r="A260" s="1">
        <v>10.0</v>
      </c>
      <c r="B260" s="5">
        <v>26.0</v>
      </c>
      <c r="D260" s="5">
        <v>30.0</v>
      </c>
      <c r="F260" s="1">
        <v>4.0</v>
      </c>
      <c r="G260" s="1">
        <v>10.0</v>
      </c>
      <c r="H260" s="1">
        <v>50.0</v>
      </c>
      <c r="I260" s="1"/>
      <c r="J260" s="1">
        <v>4.0</v>
      </c>
      <c r="K260" s="1">
        <v>0.0</v>
      </c>
      <c r="L260" s="1">
        <v>62.0</v>
      </c>
      <c r="M260" s="1">
        <v>10.0</v>
      </c>
      <c r="N260" s="1">
        <v>96.0</v>
      </c>
      <c r="O260" s="1"/>
      <c r="P260" s="1">
        <v>4.0</v>
      </c>
      <c r="Q260" s="1"/>
      <c r="R260" s="1"/>
    </row>
    <row r="261">
      <c r="A261" s="1">
        <v>10.0</v>
      </c>
      <c r="B261" s="5">
        <v>40.0</v>
      </c>
      <c r="D261" s="5">
        <v>30.0</v>
      </c>
      <c r="F261" s="1">
        <v>4.0</v>
      </c>
      <c r="H261" s="1">
        <v>50.0</v>
      </c>
      <c r="I261" s="1"/>
      <c r="J261" s="1">
        <v>4.0</v>
      </c>
      <c r="K261" s="1">
        <v>0.0</v>
      </c>
      <c r="L261" s="1">
        <v>66.0</v>
      </c>
      <c r="M261" s="1">
        <v>10.0</v>
      </c>
      <c r="N261" s="1">
        <v>110.0</v>
      </c>
      <c r="O261" s="1"/>
      <c r="P261" s="1">
        <v>4.0</v>
      </c>
      <c r="Q261" s="1"/>
      <c r="R261" s="1"/>
    </row>
    <row r="262">
      <c r="B262" s="5">
        <v>40.0</v>
      </c>
      <c r="D262" s="5">
        <v>30.0</v>
      </c>
      <c r="F262" s="1">
        <v>4.0</v>
      </c>
      <c r="G262" s="1">
        <v>10.0</v>
      </c>
      <c r="H262" s="1">
        <v>64.0</v>
      </c>
      <c r="I262" s="1"/>
      <c r="J262" s="1">
        <v>4.0</v>
      </c>
      <c r="K262" s="1"/>
      <c r="L262" s="1">
        <v>66.0</v>
      </c>
      <c r="M262" s="1">
        <v>0.0</v>
      </c>
      <c r="N262" s="1">
        <v>114.0</v>
      </c>
      <c r="O262" s="1"/>
      <c r="P262" s="1">
        <v>4.0</v>
      </c>
      <c r="Q262" s="1"/>
      <c r="R262" s="1"/>
    </row>
    <row r="263">
      <c r="B263" s="5">
        <v>40.0</v>
      </c>
      <c r="C263" s="1">
        <v>0.0</v>
      </c>
      <c r="D263" s="5">
        <v>38.0</v>
      </c>
      <c r="F263" s="1">
        <v>4.0</v>
      </c>
      <c r="H263" s="1">
        <v>64.0</v>
      </c>
      <c r="I263" s="1"/>
      <c r="J263" s="1">
        <v>4.0</v>
      </c>
      <c r="K263" s="1">
        <v>0.0</v>
      </c>
      <c r="L263" s="1">
        <v>70.0</v>
      </c>
      <c r="M263" s="1">
        <v>0.0</v>
      </c>
      <c r="N263" s="1">
        <v>118.0</v>
      </c>
      <c r="O263" s="1"/>
      <c r="P263" s="1">
        <v>4.0</v>
      </c>
      <c r="Q263" s="1"/>
      <c r="R263" s="1"/>
    </row>
    <row r="264">
      <c r="B264" s="5">
        <v>40.0</v>
      </c>
      <c r="D264" s="5">
        <v>38.0</v>
      </c>
      <c r="F264" s="1">
        <v>4.0</v>
      </c>
      <c r="H264" s="1">
        <v>64.0</v>
      </c>
      <c r="I264" s="1"/>
      <c r="J264" s="1">
        <v>4.0</v>
      </c>
      <c r="K264" s="1">
        <v>10.0</v>
      </c>
      <c r="L264" s="1">
        <v>84.0</v>
      </c>
      <c r="M264" s="1"/>
      <c r="N264" s="1">
        <v>118.0</v>
      </c>
      <c r="O264" s="1"/>
      <c r="P264" s="1">
        <v>4.0</v>
      </c>
      <c r="Q264" s="1"/>
      <c r="R264" s="1"/>
    </row>
    <row r="265">
      <c r="B265" s="5">
        <v>40.0</v>
      </c>
      <c r="D265" s="5">
        <v>38.0</v>
      </c>
      <c r="F265" s="1">
        <v>4.0</v>
      </c>
      <c r="H265" s="1">
        <v>64.0</v>
      </c>
      <c r="I265" s="1"/>
      <c r="J265" s="1">
        <v>4.0</v>
      </c>
      <c r="K265" s="1">
        <v>10.0</v>
      </c>
      <c r="L265" s="1">
        <v>98.0</v>
      </c>
      <c r="M265" s="1">
        <v>10.0</v>
      </c>
      <c r="N265" s="1">
        <v>132.0</v>
      </c>
      <c r="O265" s="1"/>
      <c r="P265" s="1">
        <v>4.0</v>
      </c>
      <c r="Q265" s="1"/>
      <c r="R265" s="1"/>
    </row>
    <row r="266">
      <c r="A266" s="1">
        <v>0.0</v>
      </c>
      <c r="B266" s="5">
        <v>44.0</v>
      </c>
      <c r="D266" s="5">
        <v>38.0</v>
      </c>
      <c r="F266" s="1">
        <v>4.0</v>
      </c>
      <c r="G266" s="1">
        <v>10.0</v>
      </c>
      <c r="H266" s="1">
        <v>78.0</v>
      </c>
      <c r="I266" s="1"/>
      <c r="J266" s="1">
        <v>4.0</v>
      </c>
      <c r="K266" s="1">
        <v>10.0</v>
      </c>
      <c r="L266" s="1">
        <v>112.0</v>
      </c>
      <c r="M266" s="1">
        <v>10.0</v>
      </c>
      <c r="N266" s="1">
        <v>146.0</v>
      </c>
      <c r="O266" s="1"/>
      <c r="P266" s="1">
        <v>4.0</v>
      </c>
      <c r="Q266" s="1"/>
      <c r="R266" s="1"/>
    </row>
    <row r="267">
      <c r="B267" s="5">
        <v>44.0</v>
      </c>
      <c r="C267" s="1">
        <v>0.0</v>
      </c>
      <c r="D267" s="5">
        <v>42.0</v>
      </c>
      <c r="E267" s="1">
        <v>0.0</v>
      </c>
      <c r="F267" s="1">
        <v>8.0</v>
      </c>
      <c r="H267" s="1">
        <v>78.0</v>
      </c>
      <c r="I267" s="1">
        <v>0.0</v>
      </c>
      <c r="J267" s="1">
        <v>8.0</v>
      </c>
      <c r="K267" s="1"/>
      <c r="L267" s="1">
        <v>112.0</v>
      </c>
      <c r="M267" s="1">
        <v>0.0</v>
      </c>
      <c r="N267" s="1">
        <v>150.0</v>
      </c>
      <c r="O267" s="1"/>
      <c r="P267" s="1">
        <v>4.0</v>
      </c>
      <c r="Q267" s="1"/>
      <c r="R267" s="1"/>
    </row>
    <row r="268">
      <c r="A268" s="1">
        <v>0.0</v>
      </c>
      <c r="B268" s="5">
        <v>48.0</v>
      </c>
      <c r="D268" s="5">
        <v>42.0</v>
      </c>
      <c r="E268" s="1">
        <v>0.0</v>
      </c>
      <c r="F268" s="1">
        <v>12.0</v>
      </c>
      <c r="H268" s="1">
        <v>78.0</v>
      </c>
      <c r="I268" s="1"/>
      <c r="J268" s="1">
        <v>8.0</v>
      </c>
      <c r="K268" s="1"/>
      <c r="L268" s="1">
        <v>112.0</v>
      </c>
      <c r="M268" s="1">
        <v>0.0</v>
      </c>
      <c r="N268" s="1">
        <v>154.0</v>
      </c>
      <c r="O268" s="1"/>
      <c r="P268" s="1">
        <v>4.0</v>
      </c>
      <c r="Q268" s="1"/>
      <c r="R268" s="1"/>
    </row>
    <row r="269">
      <c r="B269" s="4"/>
      <c r="D269" s="4"/>
    </row>
    <row r="270">
      <c r="B270" s="4"/>
      <c r="D270" s="4"/>
    </row>
    <row r="271">
      <c r="A271" s="1" t="s">
        <v>2</v>
      </c>
      <c r="B271" s="1" t="s">
        <v>2</v>
      </c>
      <c r="C271" s="1" t="s">
        <v>5</v>
      </c>
      <c r="D271" s="1" t="s">
        <v>5</v>
      </c>
      <c r="E271" s="1" t="s">
        <v>8</v>
      </c>
      <c r="F271" s="1" t="s">
        <v>8</v>
      </c>
      <c r="G271" s="1" t="s">
        <v>6</v>
      </c>
      <c r="H271" s="1" t="s">
        <v>6</v>
      </c>
      <c r="I271" s="1" t="s">
        <v>3</v>
      </c>
      <c r="J271" s="1" t="s">
        <v>3</v>
      </c>
      <c r="K271" s="1" t="s">
        <v>4</v>
      </c>
      <c r="L271" s="1" t="s">
        <v>4</v>
      </c>
      <c r="M271" s="1" t="s">
        <v>7</v>
      </c>
      <c r="N271" s="1" t="s">
        <v>7</v>
      </c>
      <c r="O271" s="1" t="s">
        <v>1</v>
      </c>
      <c r="P271" s="1" t="s">
        <v>1</v>
      </c>
      <c r="Q271" s="1" t="s">
        <v>0</v>
      </c>
      <c r="R271" s="1" t="s">
        <v>0</v>
      </c>
    </row>
    <row r="272">
      <c r="A272" s="1" t="s">
        <v>16</v>
      </c>
      <c r="B272" s="3" t="s">
        <v>19</v>
      </c>
      <c r="C272" s="1" t="s">
        <v>16</v>
      </c>
      <c r="D272" s="4" t="s">
        <v>19</v>
      </c>
      <c r="E272" s="4" t="s">
        <v>16</v>
      </c>
      <c r="F272" s="4" t="s">
        <v>19</v>
      </c>
      <c r="G272" s="4" t="s">
        <v>16</v>
      </c>
      <c r="H272" s="4" t="s">
        <v>19</v>
      </c>
      <c r="I272" s="4" t="s">
        <v>16</v>
      </c>
      <c r="J272" s="4" t="s">
        <v>19</v>
      </c>
      <c r="K272" s="4" t="s">
        <v>16</v>
      </c>
      <c r="L272" s="4" t="s">
        <v>19</v>
      </c>
      <c r="M272" s="4" t="s">
        <v>16</v>
      </c>
      <c r="N272" s="4" t="s">
        <v>19</v>
      </c>
      <c r="O272" s="4" t="s">
        <v>16</v>
      </c>
      <c r="P272" s="4" t="s">
        <v>19</v>
      </c>
      <c r="Q272" s="1" t="s">
        <v>16</v>
      </c>
      <c r="R272" s="1" t="s">
        <v>19</v>
      </c>
    </row>
    <row r="273">
      <c r="B273" s="3"/>
      <c r="D273" s="4"/>
    </row>
    <row r="274">
      <c r="B274" s="5">
        <v>0.0</v>
      </c>
      <c r="C274" s="1">
        <v>10.0</v>
      </c>
      <c r="D274" s="5">
        <v>14.0</v>
      </c>
    </row>
    <row r="275">
      <c r="B275" s="5">
        <v>0.0</v>
      </c>
      <c r="C275" s="1">
        <v>10.0</v>
      </c>
      <c r="D275" s="5">
        <v>28.0</v>
      </c>
    </row>
    <row r="276">
      <c r="A276" s="1">
        <v>0.0</v>
      </c>
      <c r="B276" s="5">
        <v>4.0</v>
      </c>
      <c r="D276" s="5">
        <v>28.0</v>
      </c>
    </row>
    <row r="277">
      <c r="B277" s="5">
        <v>4.0</v>
      </c>
      <c r="D277" s="5">
        <v>32.0</v>
      </c>
    </row>
    <row r="278">
      <c r="A278" s="1">
        <v>0.0</v>
      </c>
      <c r="B278" s="5">
        <v>8.0</v>
      </c>
      <c r="D278" s="5">
        <v>32.0</v>
      </c>
    </row>
    <row r="279">
      <c r="A279" s="1">
        <v>10.0</v>
      </c>
      <c r="B279" s="5">
        <v>22.0</v>
      </c>
      <c r="D279" s="5">
        <v>32.0</v>
      </c>
    </row>
    <row r="280">
      <c r="B280" s="5">
        <v>22.0</v>
      </c>
      <c r="D280" s="5">
        <v>32.0</v>
      </c>
    </row>
    <row r="281">
      <c r="B281" s="5">
        <v>22.0</v>
      </c>
      <c r="C281" s="1">
        <v>10.0</v>
      </c>
      <c r="D281" s="5">
        <v>46.0</v>
      </c>
    </row>
    <row r="282">
      <c r="A282" s="1">
        <v>10.0</v>
      </c>
      <c r="B282" s="5">
        <v>36.0</v>
      </c>
      <c r="D282" s="5">
        <v>46.0</v>
      </c>
    </row>
    <row r="283">
      <c r="B283" s="5">
        <v>36.0</v>
      </c>
      <c r="C283" s="1">
        <v>10.0</v>
      </c>
      <c r="D283" s="5">
        <v>60.0</v>
      </c>
    </row>
    <row r="284">
      <c r="A284" s="1">
        <v>0.0</v>
      </c>
      <c r="B284" s="5">
        <v>40.0</v>
      </c>
      <c r="D284" s="5">
        <v>60.0</v>
      </c>
    </row>
    <row r="285">
      <c r="B285" s="5">
        <v>40.0</v>
      </c>
      <c r="C285" s="1">
        <v>0.0</v>
      </c>
      <c r="D285" s="5">
        <v>68.0</v>
      </c>
    </row>
    <row r="286">
      <c r="B286" s="3"/>
      <c r="D286" s="4"/>
    </row>
    <row r="287">
      <c r="B287" s="5">
        <v>40.0</v>
      </c>
      <c r="D287" s="5">
        <v>72.0</v>
      </c>
    </row>
    <row r="288">
      <c r="B288" s="5">
        <v>40.0</v>
      </c>
      <c r="C288" s="1">
        <v>0.0</v>
      </c>
      <c r="D288" s="5">
        <v>76.0</v>
      </c>
    </row>
    <row r="289">
      <c r="B289" s="5">
        <v>40.0</v>
      </c>
      <c r="D289" s="5">
        <v>80.0</v>
      </c>
    </row>
    <row r="290">
      <c r="A290" s="1">
        <v>10.0</v>
      </c>
      <c r="B290" s="5">
        <v>54.0</v>
      </c>
      <c r="D290" s="5">
        <v>80.0</v>
      </c>
    </row>
    <row r="291">
      <c r="B291" s="5">
        <v>54.0</v>
      </c>
      <c r="C291" s="1">
        <v>10.0</v>
      </c>
      <c r="D291" s="5">
        <v>98.0</v>
      </c>
    </row>
    <row r="292">
      <c r="A292" s="1">
        <v>0.0</v>
      </c>
      <c r="B292" s="5">
        <v>58.0</v>
      </c>
      <c r="D292" s="5">
        <v>98.0</v>
      </c>
    </row>
    <row r="293">
      <c r="B293" s="5">
        <v>58.0</v>
      </c>
      <c r="C293" s="1">
        <v>0.0</v>
      </c>
      <c r="D293" s="5">
        <v>102.0</v>
      </c>
    </row>
    <row r="294">
      <c r="B294" s="5">
        <v>58.0</v>
      </c>
      <c r="C294" s="1">
        <v>10.0</v>
      </c>
      <c r="D294" s="5">
        <v>116.0</v>
      </c>
    </row>
    <row r="295">
      <c r="A295" s="1">
        <v>10.0</v>
      </c>
      <c r="B295" s="5">
        <v>72.0</v>
      </c>
      <c r="D295" s="5">
        <v>116.0</v>
      </c>
    </row>
    <row r="296">
      <c r="B296" s="5">
        <v>72.0</v>
      </c>
      <c r="D296" s="5">
        <v>120.0</v>
      </c>
    </row>
    <row r="297">
      <c r="A297" s="1">
        <v>10.0</v>
      </c>
      <c r="B297" s="5">
        <v>86.0</v>
      </c>
      <c r="D297" s="5">
        <v>120.0</v>
      </c>
    </row>
    <row r="298">
      <c r="B298" s="5">
        <v>86.0</v>
      </c>
      <c r="D298" s="5">
        <v>124.0</v>
      </c>
    </row>
    <row r="299">
      <c r="B299" s="4"/>
      <c r="D299" s="4"/>
    </row>
    <row r="300">
      <c r="B300" s="4"/>
      <c r="D300" s="4"/>
    </row>
    <row r="301">
      <c r="A301" s="1" t="s">
        <v>2</v>
      </c>
      <c r="B301" s="1" t="s">
        <v>2</v>
      </c>
      <c r="C301" s="1" t="s">
        <v>5</v>
      </c>
      <c r="D301" s="1" t="s">
        <v>5</v>
      </c>
      <c r="E301" s="1" t="s">
        <v>8</v>
      </c>
      <c r="F301" s="1" t="s">
        <v>8</v>
      </c>
      <c r="G301" s="1" t="s">
        <v>6</v>
      </c>
      <c r="H301" s="1" t="s">
        <v>6</v>
      </c>
      <c r="I301" s="1" t="s">
        <v>3</v>
      </c>
      <c r="J301" s="1" t="s">
        <v>3</v>
      </c>
      <c r="K301" s="1" t="s">
        <v>4</v>
      </c>
      <c r="L301" s="1" t="s">
        <v>4</v>
      </c>
      <c r="M301" s="1" t="s">
        <v>7</v>
      </c>
      <c r="N301" s="1" t="s">
        <v>7</v>
      </c>
      <c r="O301" s="1" t="s">
        <v>1</v>
      </c>
      <c r="P301" s="1" t="s">
        <v>1</v>
      </c>
      <c r="Q301" s="1" t="s">
        <v>0</v>
      </c>
      <c r="R301" s="1" t="s">
        <v>0</v>
      </c>
    </row>
    <row r="302">
      <c r="A302" s="1" t="s">
        <v>16</v>
      </c>
      <c r="B302" s="3" t="s">
        <v>19</v>
      </c>
      <c r="C302" s="1" t="s">
        <v>16</v>
      </c>
      <c r="D302" s="4" t="s">
        <v>19</v>
      </c>
      <c r="E302" s="4" t="s">
        <v>16</v>
      </c>
      <c r="F302" s="4" t="s">
        <v>19</v>
      </c>
      <c r="G302" s="4" t="s">
        <v>16</v>
      </c>
      <c r="H302" s="4" t="s">
        <v>19</v>
      </c>
      <c r="I302" s="4" t="s">
        <v>16</v>
      </c>
      <c r="J302" s="4" t="s">
        <v>19</v>
      </c>
      <c r="K302" s="4" t="s">
        <v>16</v>
      </c>
      <c r="L302" s="4" t="s">
        <v>19</v>
      </c>
      <c r="M302" s="4" t="s">
        <v>16</v>
      </c>
      <c r="N302" s="4" t="s">
        <v>19</v>
      </c>
      <c r="O302" s="4" t="s">
        <v>16</v>
      </c>
      <c r="P302" s="4" t="s">
        <v>19</v>
      </c>
      <c r="Q302" s="1" t="s">
        <v>16</v>
      </c>
      <c r="R302" s="1" t="s">
        <v>19</v>
      </c>
    </row>
    <row r="303">
      <c r="B303" s="3"/>
      <c r="D303" s="4"/>
    </row>
    <row r="304">
      <c r="B304" s="5">
        <v>0.0</v>
      </c>
      <c r="C304" s="1">
        <v>0.0</v>
      </c>
      <c r="D304" s="5">
        <v>8.0</v>
      </c>
    </row>
    <row r="305">
      <c r="B305" s="5">
        <v>0.0</v>
      </c>
      <c r="C305" s="1">
        <v>0.0</v>
      </c>
      <c r="D305" s="5">
        <v>12.0</v>
      </c>
    </row>
    <row r="306">
      <c r="A306" s="1">
        <v>0.0</v>
      </c>
      <c r="B306" s="5">
        <v>4.0</v>
      </c>
      <c r="D306" s="5">
        <v>12.0</v>
      </c>
    </row>
    <row r="307">
      <c r="B307" s="5">
        <v>4.0</v>
      </c>
      <c r="C307" s="1">
        <v>0.0</v>
      </c>
      <c r="D307" s="5">
        <v>16.0</v>
      </c>
    </row>
    <row r="308">
      <c r="B308" s="5">
        <v>4.0</v>
      </c>
      <c r="D308" s="5">
        <v>16.0</v>
      </c>
    </row>
    <row r="309">
      <c r="B309" s="5">
        <v>4.0</v>
      </c>
      <c r="C309" s="1">
        <v>10.0</v>
      </c>
      <c r="D309" s="5">
        <v>30.0</v>
      </c>
    </row>
    <row r="310">
      <c r="A310" s="1">
        <v>10.0</v>
      </c>
      <c r="B310" s="5">
        <v>18.0</v>
      </c>
      <c r="D310" s="5">
        <v>30.0</v>
      </c>
    </row>
    <row r="311">
      <c r="B311" s="5">
        <v>18.0</v>
      </c>
      <c r="D311" s="5">
        <v>30.0</v>
      </c>
    </row>
    <row r="312">
      <c r="B312" s="5">
        <v>18.0</v>
      </c>
      <c r="C312" s="1">
        <v>0.0</v>
      </c>
      <c r="D312" s="5">
        <v>38.0</v>
      </c>
    </row>
    <row r="313">
      <c r="B313" s="5">
        <v>18.0</v>
      </c>
      <c r="D313" s="5">
        <v>38.0</v>
      </c>
    </row>
    <row r="314">
      <c r="A314" s="1">
        <v>10.0</v>
      </c>
      <c r="B314" s="5">
        <v>32.0</v>
      </c>
      <c r="D314" s="5">
        <v>38.0</v>
      </c>
    </row>
    <row r="315">
      <c r="B315" s="5">
        <v>32.0</v>
      </c>
      <c r="D315" s="5">
        <v>38.0</v>
      </c>
    </row>
    <row r="316">
      <c r="B316" s="3"/>
      <c r="D316" s="4"/>
    </row>
    <row r="317">
      <c r="B317" s="6">
        <v>32.0</v>
      </c>
      <c r="C317" s="1">
        <v>10.0</v>
      </c>
      <c r="D317" s="5">
        <v>52.0</v>
      </c>
    </row>
    <row r="318">
      <c r="B318" s="5">
        <v>32.0</v>
      </c>
      <c r="D318" s="5">
        <v>52.0</v>
      </c>
    </row>
    <row r="319">
      <c r="A319" s="1">
        <v>0.0</v>
      </c>
      <c r="B319" s="5">
        <v>36.0</v>
      </c>
      <c r="D319" s="5">
        <v>52.0</v>
      </c>
    </row>
    <row r="320">
      <c r="A320" s="1">
        <v>10.0</v>
      </c>
      <c r="B320" s="5">
        <v>50.0</v>
      </c>
      <c r="D320" s="5">
        <v>52.0</v>
      </c>
    </row>
    <row r="321">
      <c r="B321" s="5">
        <v>50.0</v>
      </c>
      <c r="D321" s="5">
        <v>56.0</v>
      </c>
    </row>
    <row r="322">
      <c r="A322" s="1">
        <v>10.0</v>
      </c>
      <c r="B322" s="5">
        <v>64.0</v>
      </c>
      <c r="D322" s="5">
        <v>56.0</v>
      </c>
    </row>
    <row r="323">
      <c r="B323" s="6">
        <v>64.0</v>
      </c>
      <c r="C323" s="1">
        <v>0.0</v>
      </c>
      <c r="D323" s="5">
        <v>64.0</v>
      </c>
    </row>
    <row r="324">
      <c r="B324" s="5">
        <v>64.0</v>
      </c>
      <c r="D324" s="5">
        <v>64.0</v>
      </c>
    </row>
    <row r="325">
      <c r="B325" s="5">
        <v>64.0</v>
      </c>
      <c r="C325" s="1">
        <v>0.0</v>
      </c>
      <c r="D325" s="5">
        <v>68.0</v>
      </c>
    </row>
    <row r="326">
      <c r="B326" s="5">
        <v>64.0</v>
      </c>
      <c r="C326" s="1">
        <v>0.0</v>
      </c>
      <c r="D326" s="5">
        <v>72.0</v>
      </c>
    </row>
    <row r="327">
      <c r="B327" s="6">
        <v>64.0</v>
      </c>
      <c r="C327" s="1">
        <v>0.0</v>
      </c>
      <c r="D327" s="5">
        <v>76.0</v>
      </c>
    </row>
    <row r="328">
      <c r="B328" s="5">
        <v>64.0</v>
      </c>
      <c r="D328" s="5">
        <v>76.0</v>
      </c>
    </row>
    <row r="329">
      <c r="B329" s="4"/>
      <c r="D329" s="4"/>
    </row>
    <row r="330">
      <c r="B330" s="4"/>
      <c r="D330" s="4"/>
    </row>
    <row r="331">
      <c r="B331" s="4"/>
      <c r="D331" s="4"/>
    </row>
    <row r="332">
      <c r="B332" s="4"/>
      <c r="D332" s="4"/>
    </row>
    <row r="333">
      <c r="B333" s="4"/>
      <c r="D333" s="4"/>
    </row>
    <row r="334">
      <c r="B334" s="4"/>
      <c r="D334" s="4"/>
    </row>
    <row r="335">
      <c r="B335" s="4"/>
      <c r="D335" s="4"/>
    </row>
    <row r="336">
      <c r="B336" s="4"/>
      <c r="D336" s="4"/>
    </row>
    <row r="337">
      <c r="B337" s="4"/>
      <c r="D337" s="4"/>
    </row>
    <row r="338">
      <c r="B338" s="4"/>
      <c r="D338" s="4"/>
    </row>
    <row r="339">
      <c r="B339" s="4"/>
      <c r="D339" s="4"/>
    </row>
    <row r="340">
      <c r="B340" s="4"/>
      <c r="D340" s="4"/>
    </row>
    <row r="341">
      <c r="B341" s="4"/>
      <c r="D341" s="4"/>
    </row>
    <row r="342">
      <c r="B342" s="4"/>
      <c r="D342" s="4"/>
    </row>
    <row r="343">
      <c r="B343" s="4"/>
      <c r="D343" s="4"/>
    </row>
    <row r="344">
      <c r="B344" s="4"/>
      <c r="D344" s="4"/>
    </row>
    <row r="345">
      <c r="B345" s="4"/>
      <c r="D345" s="4"/>
    </row>
    <row r="346">
      <c r="B346" s="4"/>
      <c r="D346" s="4"/>
    </row>
    <row r="347">
      <c r="B347" s="4"/>
      <c r="D347" s="4"/>
    </row>
    <row r="348">
      <c r="B348" s="4"/>
      <c r="D348" s="4"/>
    </row>
    <row r="349">
      <c r="B349" s="4"/>
      <c r="D349" s="4"/>
    </row>
    <row r="350">
      <c r="B350" s="4"/>
      <c r="D350" s="4"/>
    </row>
    <row r="351">
      <c r="B351" s="4"/>
      <c r="D351" s="4"/>
    </row>
    <row r="352">
      <c r="B352" s="4"/>
      <c r="D352" s="4"/>
    </row>
    <row r="353">
      <c r="B353" s="4"/>
      <c r="D353" s="4"/>
    </row>
    <row r="354">
      <c r="B354" s="4"/>
      <c r="D354" s="4"/>
    </row>
    <row r="355">
      <c r="B355" s="4"/>
      <c r="D355" s="4"/>
    </row>
    <row r="356">
      <c r="B356" s="4"/>
      <c r="D356" s="4"/>
    </row>
    <row r="357">
      <c r="B357" s="4"/>
      <c r="D357" s="4"/>
    </row>
    <row r="358">
      <c r="B358" s="4"/>
      <c r="D358" s="4"/>
    </row>
    <row r="359">
      <c r="B359" s="4"/>
      <c r="D359" s="4"/>
    </row>
    <row r="360">
      <c r="B360" s="4"/>
      <c r="D360" s="4"/>
    </row>
    <row r="361">
      <c r="B361" s="4"/>
      <c r="D361" s="4"/>
    </row>
    <row r="362">
      <c r="B362" s="4"/>
      <c r="D362" s="4"/>
    </row>
    <row r="363">
      <c r="B363" s="4"/>
      <c r="D363" s="4"/>
    </row>
    <row r="364">
      <c r="B364" s="4"/>
      <c r="D364" s="4"/>
    </row>
    <row r="365">
      <c r="B365" s="4"/>
      <c r="D365" s="4"/>
    </row>
    <row r="366">
      <c r="B366" s="4"/>
      <c r="D366" s="4"/>
    </row>
    <row r="367">
      <c r="B367" s="4"/>
      <c r="D367" s="4"/>
    </row>
    <row r="368">
      <c r="B368" s="4"/>
      <c r="D368" s="4"/>
    </row>
    <row r="369">
      <c r="B369" s="4"/>
      <c r="D369" s="4"/>
    </row>
    <row r="370">
      <c r="B370" s="4"/>
      <c r="D370" s="4"/>
    </row>
    <row r="371">
      <c r="B371" s="4"/>
      <c r="D371" s="4"/>
    </row>
    <row r="372">
      <c r="B372" s="4"/>
      <c r="D372" s="4"/>
    </row>
    <row r="373">
      <c r="B373" s="4"/>
      <c r="D373" s="4"/>
    </row>
    <row r="374">
      <c r="B374" s="4"/>
      <c r="D374" s="4"/>
    </row>
    <row r="375">
      <c r="B375" s="4"/>
      <c r="D375" s="4"/>
    </row>
    <row r="376">
      <c r="B376" s="4"/>
      <c r="D376" s="4"/>
    </row>
    <row r="377">
      <c r="B377" s="4"/>
      <c r="D377" s="4"/>
    </row>
    <row r="378">
      <c r="B378" s="4"/>
      <c r="D378" s="4"/>
    </row>
    <row r="379">
      <c r="B379" s="4"/>
      <c r="D379" s="4"/>
    </row>
    <row r="380">
      <c r="B380" s="4"/>
      <c r="D380" s="4"/>
    </row>
    <row r="381">
      <c r="B381" s="4"/>
      <c r="D381" s="4"/>
    </row>
    <row r="382">
      <c r="B382" s="4"/>
      <c r="D382" s="4"/>
    </row>
    <row r="383">
      <c r="B383" s="4"/>
      <c r="D383" s="4"/>
    </row>
    <row r="384">
      <c r="B384" s="4"/>
      <c r="D384" s="4"/>
    </row>
    <row r="385">
      <c r="B385" s="4"/>
      <c r="D385" s="4"/>
    </row>
    <row r="386">
      <c r="B386" s="4"/>
      <c r="D386" s="4"/>
    </row>
    <row r="387">
      <c r="B387" s="4"/>
      <c r="D387" s="4"/>
    </row>
    <row r="388">
      <c r="B388" s="4"/>
      <c r="D388" s="4"/>
    </row>
    <row r="389">
      <c r="B389" s="4"/>
      <c r="D389" s="4"/>
    </row>
    <row r="390">
      <c r="B390" s="4"/>
      <c r="D390" s="4"/>
    </row>
    <row r="391">
      <c r="B391" s="4"/>
      <c r="D391" s="4"/>
    </row>
    <row r="392">
      <c r="B392" s="4"/>
      <c r="D392" s="4"/>
    </row>
    <row r="393">
      <c r="B393" s="4"/>
      <c r="D393" s="4"/>
    </row>
    <row r="394">
      <c r="B394" s="4"/>
      <c r="D394" s="4"/>
    </row>
    <row r="395">
      <c r="B395" s="4"/>
      <c r="D395" s="4"/>
    </row>
    <row r="396">
      <c r="B396" s="4"/>
      <c r="D396" s="4"/>
    </row>
    <row r="397">
      <c r="B397" s="4"/>
      <c r="D397" s="4"/>
    </row>
    <row r="398">
      <c r="B398" s="4"/>
      <c r="D398" s="4"/>
    </row>
    <row r="399">
      <c r="B399" s="4"/>
      <c r="D399" s="4"/>
    </row>
    <row r="400">
      <c r="B400" s="4"/>
      <c r="D400" s="4"/>
    </row>
    <row r="401">
      <c r="B401" s="4"/>
      <c r="D401" s="4"/>
    </row>
    <row r="402">
      <c r="B402" s="4"/>
      <c r="D402" s="4"/>
    </row>
    <row r="403">
      <c r="B403" s="4"/>
      <c r="D403" s="4"/>
    </row>
    <row r="404">
      <c r="B404" s="4"/>
      <c r="D404" s="4"/>
    </row>
    <row r="405">
      <c r="B405" s="4"/>
      <c r="D405" s="4"/>
    </row>
    <row r="406">
      <c r="B406" s="4"/>
      <c r="D406" s="4"/>
    </row>
    <row r="407">
      <c r="B407" s="4"/>
      <c r="D407" s="4"/>
    </row>
    <row r="408">
      <c r="B408" s="4"/>
      <c r="D408" s="4"/>
    </row>
    <row r="409">
      <c r="B409" s="4"/>
      <c r="D409" s="4"/>
    </row>
    <row r="410">
      <c r="B410" s="4"/>
      <c r="D410" s="4"/>
    </row>
    <row r="411">
      <c r="B411" s="4"/>
      <c r="D411" s="4"/>
    </row>
    <row r="412">
      <c r="B412" s="4"/>
      <c r="D412" s="4"/>
    </row>
    <row r="413">
      <c r="B413" s="4"/>
      <c r="D413" s="4"/>
    </row>
    <row r="414">
      <c r="B414" s="4"/>
      <c r="D414" s="4"/>
    </row>
    <row r="415">
      <c r="B415" s="4"/>
      <c r="D415" s="4"/>
    </row>
    <row r="416">
      <c r="B416" s="4"/>
      <c r="D416" s="4"/>
    </row>
    <row r="417">
      <c r="B417" s="4"/>
      <c r="D417" s="4"/>
    </row>
    <row r="418">
      <c r="B418" s="4"/>
      <c r="D418" s="4"/>
    </row>
    <row r="419">
      <c r="B419" s="4"/>
      <c r="D419" s="4"/>
    </row>
    <row r="420">
      <c r="B420" s="4"/>
      <c r="D420" s="4"/>
    </row>
    <row r="421">
      <c r="B421" s="4"/>
      <c r="D421" s="4"/>
    </row>
    <row r="422">
      <c r="B422" s="4"/>
      <c r="D422" s="4"/>
    </row>
    <row r="423">
      <c r="B423" s="4"/>
      <c r="D423" s="4"/>
    </row>
    <row r="424">
      <c r="B424" s="4"/>
      <c r="D424" s="4"/>
    </row>
    <row r="425">
      <c r="B425" s="4"/>
      <c r="D425" s="4"/>
    </row>
    <row r="426">
      <c r="B426" s="4"/>
      <c r="D426" s="4"/>
    </row>
    <row r="427">
      <c r="B427" s="4"/>
      <c r="D427" s="4"/>
    </row>
    <row r="428">
      <c r="B428" s="4"/>
      <c r="D428" s="4"/>
    </row>
    <row r="429">
      <c r="B429" s="4"/>
      <c r="D429" s="4"/>
    </row>
    <row r="430">
      <c r="B430" s="4"/>
      <c r="D430" s="4"/>
    </row>
    <row r="431">
      <c r="B431" s="4"/>
      <c r="D431" s="4"/>
    </row>
    <row r="432">
      <c r="B432" s="4"/>
      <c r="D432" s="4"/>
    </row>
    <row r="433">
      <c r="B433" s="4"/>
      <c r="D433" s="4"/>
    </row>
    <row r="434">
      <c r="B434" s="4"/>
      <c r="D434" s="4"/>
    </row>
    <row r="435">
      <c r="B435" s="4"/>
      <c r="D435" s="4"/>
    </row>
    <row r="436">
      <c r="B436" s="4"/>
      <c r="D436" s="4"/>
    </row>
    <row r="437">
      <c r="B437" s="4"/>
      <c r="D437" s="4"/>
    </row>
    <row r="438">
      <c r="B438" s="4"/>
      <c r="D438" s="4"/>
    </row>
    <row r="439">
      <c r="B439" s="4"/>
      <c r="D439" s="4"/>
    </row>
    <row r="440">
      <c r="B440" s="4"/>
      <c r="D440" s="4"/>
    </row>
    <row r="441">
      <c r="B441" s="4"/>
      <c r="D441" s="4"/>
    </row>
    <row r="442">
      <c r="B442" s="4"/>
      <c r="D442" s="4"/>
    </row>
    <row r="443">
      <c r="B443" s="4"/>
      <c r="D443" s="4"/>
    </row>
    <row r="444">
      <c r="B444" s="4"/>
      <c r="D444" s="4"/>
    </row>
    <row r="445">
      <c r="B445" s="4"/>
      <c r="D445" s="4"/>
    </row>
    <row r="446">
      <c r="B446" s="4"/>
      <c r="D446" s="4"/>
    </row>
    <row r="447">
      <c r="B447" s="4"/>
      <c r="D447" s="4"/>
    </row>
    <row r="448">
      <c r="B448" s="4"/>
      <c r="D448" s="4"/>
    </row>
    <row r="449">
      <c r="B449" s="4"/>
      <c r="D449" s="4"/>
    </row>
    <row r="450">
      <c r="B450" s="4"/>
      <c r="D450" s="4"/>
    </row>
    <row r="451">
      <c r="B451" s="4"/>
      <c r="D451" s="4"/>
    </row>
    <row r="452">
      <c r="B452" s="4"/>
      <c r="D452" s="4"/>
    </row>
    <row r="453">
      <c r="B453" s="4"/>
      <c r="D453" s="4"/>
    </row>
    <row r="454">
      <c r="B454" s="4"/>
      <c r="D454" s="4"/>
    </row>
    <row r="455">
      <c r="B455" s="4"/>
      <c r="D455" s="4"/>
    </row>
    <row r="456">
      <c r="B456" s="4"/>
      <c r="D456" s="4"/>
    </row>
    <row r="457">
      <c r="B457" s="4"/>
      <c r="D457" s="4"/>
    </row>
    <row r="458">
      <c r="B458" s="4"/>
      <c r="D458" s="4"/>
    </row>
    <row r="459">
      <c r="B459" s="4"/>
      <c r="D459" s="4"/>
    </row>
    <row r="460">
      <c r="B460" s="4"/>
      <c r="D460" s="4"/>
    </row>
    <row r="461">
      <c r="B461" s="4"/>
      <c r="D461" s="4"/>
    </row>
    <row r="462">
      <c r="B462" s="4"/>
      <c r="D462" s="4"/>
    </row>
    <row r="463">
      <c r="B463" s="4"/>
      <c r="D463" s="4"/>
    </row>
    <row r="464">
      <c r="B464" s="4"/>
      <c r="D464" s="4"/>
    </row>
    <row r="465">
      <c r="B465" s="4"/>
      <c r="D465" s="4"/>
    </row>
    <row r="466">
      <c r="B466" s="4"/>
      <c r="D466" s="4"/>
    </row>
    <row r="467">
      <c r="B467" s="4"/>
      <c r="D467" s="4"/>
    </row>
    <row r="468">
      <c r="B468" s="4"/>
      <c r="D468" s="4"/>
    </row>
    <row r="469">
      <c r="B469" s="4"/>
      <c r="D469" s="4"/>
    </row>
    <row r="470">
      <c r="B470" s="4"/>
      <c r="D470" s="4"/>
    </row>
    <row r="471">
      <c r="B471" s="4"/>
      <c r="D471" s="4"/>
    </row>
    <row r="472">
      <c r="B472" s="4"/>
      <c r="D472" s="4"/>
    </row>
    <row r="473">
      <c r="B473" s="4"/>
      <c r="D473" s="4"/>
    </row>
    <row r="474">
      <c r="B474" s="4"/>
      <c r="D474" s="4"/>
    </row>
    <row r="475">
      <c r="B475" s="4"/>
      <c r="D475" s="4"/>
    </row>
    <row r="476">
      <c r="B476" s="4"/>
      <c r="D476" s="4"/>
    </row>
    <row r="477">
      <c r="B477" s="4"/>
      <c r="D477" s="4"/>
    </row>
    <row r="478">
      <c r="B478" s="4"/>
      <c r="D478" s="4"/>
    </row>
    <row r="479">
      <c r="B479" s="4"/>
      <c r="D479" s="4"/>
    </row>
    <row r="480">
      <c r="B480" s="4"/>
      <c r="D480" s="4"/>
    </row>
    <row r="481">
      <c r="B481" s="4"/>
      <c r="D481" s="4"/>
    </row>
    <row r="482">
      <c r="B482" s="4"/>
      <c r="D482" s="4"/>
    </row>
    <row r="483">
      <c r="B483" s="4"/>
      <c r="D483" s="4"/>
    </row>
    <row r="484">
      <c r="B484" s="4"/>
      <c r="D484" s="4"/>
    </row>
    <row r="485">
      <c r="B485" s="4"/>
      <c r="D485" s="4"/>
    </row>
    <row r="486">
      <c r="B486" s="4"/>
      <c r="D486" s="4"/>
    </row>
    <row r="487">
      <c r="B487" s="4"/>
      <c r="D487" s="4"/>
    </row>
    <row r="488">
      <c r="B488" s="4"/>
      <c r="D488" s="4"/>
    </row>
    <row r="489">
      <c r="B489" s="4"/>
      <c r="D489" s="4"/>
    </row>
    <row r="490">
      <c r="B490" s="4"/>
      <c r="D490" s="4"/>
    </row>
    <row r="491">
      <c r="B491" s="4"/>
      <c r="D491" s="4"/>
    </row>
    <row r="492">
      <c r="B492" s="4"/>
      <c r="D492" s="4"/>
    </row>
    <row r="493">
      <c r="B493" s="4"/>
      <c r="D493" s="4"/>
    </row>
    <row r="494">
      <c r="B494" s="4"/>
      <c r="D494" s="4"/>
    </row>
    <row r="495">
      <c r="B495" s="4"/>
      <c r="D495" s="4"/>
    </row>
    <row r="496">
      <c r="B496" s="4"/>
      <c r="D496" s="4"/>
    </row>
    <row r="497">
      <c r="B497" s="4"/>
      <c r="D497" s="4"/>
    </row>
    <row r="498">
      <c r="B498" s="4"/>
      <c r="D498" s="4"/>
    </row>
    <row r="499">
      <c r="B499" s="4"/>
      <c r="D499" s="4"/>
    </row>
    <row r="500">
      <c r="B500" s="4"/>
      <c r="D500" s="4"/>
    </row>
    <row r="501">
      <c r="B501" s="4"/>
      <c r="D501" s="4"/>
    </row>
    <row r="502">
      <c r="B502" s="4"/>
      <c r="D502" s="4"/>
    </row>
    <row r="503">
      <c r="B503" s="4"/>
      <c r="D503" s="4"/>
    </row>
    <row r="504">
      <c r="B504" s="4"/>
      <c r="D504" s="4"/>
    </row>
    <row r="505">
      <c r="B505" s="4"/>
      <c r="D505" s="4"/>
    </row>
    <row r="506">
      <c r="B506" s="4"/>
      <c r="D506" s="4"/>
    </row>
    <row r="507">
      <c r="B507" s="4"/>
      <c r="D507" s="4"/>
    </row>
    <row r="508">
      <c r="B508" s="4"/>
      <c r="D508" s="4"/>
    </row>
    <row r="509">
      <c r="B509" s="4"/>
      <c r="D509" s="4"/>
    </row>
    <row r="510">
      <c r="B510" s="4"/>
      <c r="D510" s="4"/>
    </row>
    <row r="511">
      <c r="B511" s="4"/>
      <c r="D511" s="4"/>
    </row>
    <row r="512">
      <c r="B512" s="4"/>
      <c r="D512" s="4"/>
    </row>
    <row r="513">
      <c r="B513" s="4"/>
      <c r="D513" s="4"/>
    </row>
    <row r="514">
      <c r="B514" s="4"/>
      <c r="D514" s="4"/>
    </row>
    <row r="515">
      <c r="B515" s="4"/>
      <c r="D515" s="4"/>
    </row>
    <row r="516">
      <c r="B516" s="4"/>
      <c r="D516" s="4"/>
    </row>
    <row r="517">
      <c r="B517" s="4"/>
      <c r="D517" s="4"/>
    </row>
    <row r="518">
      <c r="B518" s="4"/>
      <c r="D518" s="4"/>
    </row>
    <row r="519">
      <c r="B519" s="4"/>
      <c r="D519" s="4"/>
    </row>
    <row r="520">
      <c r="B520" s="4"/>
      <c r="D520" s="4"/>
    </row>
    <row r="521">
      <c r="B521" s="4"/>
      <c r="D521" s="4"/>
    </row>
    <row r="522">
      <c r="B522" s="4"/>
      <c r="D522" s="4"/>
    </row>
    <row r="523">
      <c r="B523" s="4"/>
      <c r="D523" s="4"/>
    </row>
    <row r="524">
      <c r="B524" s="4"/>
      <c r="D524" s="4"/>
    </row>
    <row r="525">
      <c r="B525" s="4"/>
      <c r="D525" s="4"/>
    </row>
    <row r="526">
      <c r="B526" s="4"/>
      <c r="D526" s="4"/>
    </row>
    <row r="527">
      <c r="B527" s="4"/>
      <c r="D527" s="4"/>
    </row>
    <row r="528">
      <c r="B528" s="4"/>
      <c r="D528" s="4"/>
    </row>
    <row r="529">
      <c r="B529" s="4"/>
      <c r="D529" s="4"/>
    </row>
    <row r="530">
      <c r="B530" s="4"/>
      <c r="D530" s="4"/>
    </row>
    <row r="531">
      <c r="B531" s="4"/>
      <c r="D531" s="4"/>
    </row>
    <row r="532">
      <c r="B532" s="4"/>
      <c r="D532" s="4"/>
    </row>
    <row r="533">
      <c r="B533" s="4"/>
      <c r="D533" s="4"/>
    </row>
    <row r="534">
      <c r="B534" s="4"/>
      <c r="D534" s="4"/>
    </row>
    <row r="535">
      <c r="B535" s="4"/>
      <c r="D535" s="4"/>
    </row>
    <row r="536">
      <c r="B536" s="4"/>
      <c r="D536" s="4"/>
    </row>
    <row r="537">
      <c r="B537" s="4"/>
      <c r="D537" s="4"/>
    </row>
    <row r="538">
      <c r="B538" s="4"/>
      <c r="D538" s="4"/>
    </row>
    <row r="539">
      <c r="B539" s="4"/>
      <c r="D539" s="4"/>
    </row>
    <row r="540">
      <c r="B540" s="4"/>
      <c r="D540" s="4"/>
    </row>
    <row r="541">
      <c r="B541" s="4"/>
      <c r="D541" s="4"/>
    </row>
    <row r="542">
      <c r="B542" s="4"/>
      <c r="D542" s="4"/>
    </row>
    <row r="543">
      <c r="B543" s="4"/>
      <c r="D543" s="4"/>
    </row>
    <row r="544">
      <c r="B544" s="4"/>
      <c r="D544" s="4"/>
    </row>
    <row r="545">
      <c r="B545" s="4"/>
      <c r="D545" s="4"/>
    </row>
    <row r="546">
      <c r="B546" s="4"/>
      <c r="D546" s="4"/>
    </row>
    <row r="547">
      <c r="B547" s="4"/>
      <c r="D547" s="4"/>
    </row>
    <row r="548">
      <c r="B548" s="4"/>
      <c r="D548" s="4"/>
    </row>
    <row r="549">
      <c r="B549" s="4"/>
      <c r="D549" s="4"/>
    </row>
    <row r="550">
      <c r="B550" s="4"/>
      <c r="D550" s="4"/>
    </row>
    <row r="551">
      <c r="B551" s="4"/>
      <c r="D551" s="4"/>
    </row>
    <row r="552">
      <c r="B552" s="4"/>
      <c r="D552" s="4"/>
    </row>
    <row r="553">
      <c r="B553" s="4"/>
      <c r="D553" s="4"/>
    </row>
    <row r="554">
      <c r="B554" s="4"/>
      <c r="D554" s="4"/>
    </row>
    <row r="555">
      <c r="B555" s="4"/>
      <c r="D555" s="4"/>
    </row>
    <row r="556">
      <c r="B556" s="4"/>
      <c r="D556" s="4"/>
    </row>
    <row r="557">
      <c r="B557" s="4"/>
      <c r="D557" s="4"/>
    </row>
    <row r="558">
      <c r="B558" s="4"/>
      <c r="D558" s="4"/>
    </row>
    <row r="559">
      <c r="B559" s="4"/>
      <c r="D559" s="4"/>
    </row>
    <row r="560">
      <c r="B560" s="4"/>
      <c r="D560" s="4"/>
    </row>
    <row r="561">
      <c r="B561" s="4"/>
      <c r="D561" s="4"/>
    </row>
    <row r="562">
      <c r="B562" s="4"/>
      <c r="D562" s="4"/>
    </row>
    <row r="563">
      <c r="B563" s="4"/>
      <c r="D563" s="4"/>
    </row>
    <row r="564">
      <c r="B564" s="4"/>
      <c r="D564" s="4"/>
    </row>
    <row r="565">
      <c r="B565" s="4"/>
      <c r="D565" s="4"/>
    </row>
    <row r="566">
      <c r="B566" s="4"/>
      <c r="D566" s="4"/>
    </row>
    <row r="567">
      <c r="B567" s="4"/>
      <c r="D567" s="4"/>
    </row>
    <row r="568">
      <c r="B568" s="4"/>
      <c r="D568" s="4"/>
    </row>
    <row r="569">
      <c r="B569" s="4"/>
      <c r="D569" s="4"/>
    </row>
    <row r="570">
      <c r="B570" s="4"/>
      <c r="D570" s="4"/>
    </row>
    <row r="571">
      <c r="B571" s="4"/>
      <c r="D571" s="4"/>
    </row>
    <row r="572">
      <c r="B572" s="4"/>
      <c r="D572" s="4"/>
    </row>
    <row r="573">
      <c r="B573" s="4"/>
      <c r="D573" s="4"/>
    </row>
    <row r="574">
      <c r="B574" s="4"/>
      <c r="D574" s="4"/>
    </row>
    <row r="575">
      <c r="B575" s="4"/>
      <c r="D575" s="4"/>
    </row>
    <row r="576">
      <c r="B576" s="4"/>
      <c r="D576" s="4"/>
    </row>
    <row r="577">
      <c r="B577" s="4"/>
      <c r="D577" s="4"/>
    </row>
    <row r="578">
      <c r="B578" s="4"/>
      <c r="D578" s="4"/>
    </row>
    <row r="579">
      <c r="B579" s="4"/>
      <c r="D579" s="4"/>
    </row>
    <row r="580">
      <c r="B580" s="4"/>
      <c r="D580" s="4"/>
    </row>
    <row r="581">
      <c r="B581" s="4"/>
      <c r="D581" s="4"/>
    </row>
    <row r="582">
      <c r="B582" s="4"/>
      <c r="D582" s="4"/>
    </row>
    <row r="583">
      <c r="B583" s="4"/>
      <c r="D583" s="4"/>
    </row>
    <row r="584">
      <c r="B584" s="4"/>
      <c r="D584" s="4"/>
    </row>
    <row r="585">
      <c r="B585" s="4"/>
      <c r="D585" s="4"/>
    </row>
    <row r="586">
      <c r="B586" s="4"/>
      <c r="D586" s="4"/>
    </row>
    <row r="587">
      <c r="B587" s="4"/>
      <c r="D587" s="4"/>
    </row>
    <row r="588">
      <c r="B588" s="4"/>
      <c r="D588" s="4"/>
    </row>
    <row r="589">
      <c r="B589" s="4"/>
      <c r="D589" s="4"/>
    </row>
    <row r="590">
      <c r="B590" s="4"/>
      <c r="D590" s="4"/>
    </row>
    <row r="591">
      <c r="B591" s="4"/>
      <c r="D591" s="4"/>
    </row>
    <row r="592">
      <c r="B592" s="4"/>
      <c r="D592" s="4"/>
    </row>
    <row r="593">
      <c r="B593" s="4"/>
      <c r="D593" s="4"/>
    </row>
    <row r="594">
      <c r="B594" s="4"/>
      <c r="D594" s="4"/>
    </row>
    <row r="595">
      <c r="B595" s="4"/>
      <c r="D595" s="4"/>
    </row>
    <row r="596">
      <c r="B596" s="4"/>
      <c r="D596" s="4"/>
    </row>
    <row r="597">
      <c r="B597" s="4"/>
      <c r="D597" s="4"/>
    </row>
    <row r="598">
      <c r="B598" s="4"/>
      <c r="D598" s="4"/>
    </row>
    <row r="599">
      <c r="B599" s="4"/>
      <c r="D599" s="4"/>
    </row>
    <row r="600">
      <c r="B600" s="4"/>
      <c r="D600" s="4"/>
    </row>
    <row r="601">
      <c r="B601" s="4"/>
      <c r="D601" s="4"/>
    </row>
    <row r="602">
      <c r="B602" s="4"/>
      <c r="D602" s="4"/>
    </row>
    <row r="603">
      <c r="B603" s="4"/>
      <c r="D603" s="4"/>
    </row>
    <row r="604">
      <c r="B604" s="4"/>
      <c r="D604" s="4"/>
    </row>
    <row r="605">
      <c r="B605" s="4"/>
      <c r="D605" s="4"/>
    </row>
    <row r="606">
      <c r="B606" s="4"/>
      <c r="D606" s="4"/>
    </row>
    <row r="607">
      <c r="B607" s="4"/>
      <c r="D607" s="4"/>
    </row>
    <row r="608">
      <c r="B608" s="4"/>
      <c r="D608" s="4"/>
    </row>
    <row r="609">
      <c r="B609" s="4"/>
      <c r="D609" s="4"/>
    </row>
    <row r="610">
      <c r="B610" s="4"/>
      <c r="D610" s="4"/>
    </row>
    <row r="611">
      <c r="B611" s="4"/>
      <c r="D611" s="4"/>
    </row>
    <row r="612">
      <c r="B612" s="4"/>
      <c r="D612" s="4"/>
    </row>
    <row r="613">
      <c r="B613" s="4"/>
      <c r="D613" s="4"/>
    </row>
    <row r="614">
      <c r="B614" s="4"/>
      <c r="D614" s="4"/>
    </row>
    <row r="615">
      <c r="B615" s="4"/>
      <c r="D615" s="4"/>
    </row>
    <row r="616">
      <c r="B616" s="4"/>
      <c r="D616" s="4"/>
    </row>
    <row r="617">
      <c r="B617" s="4"/>
      <c r="D617" s="4"/>
    </row>
    <row r="618">
      <c r="B618" s="4"/>
      <c r="D618" s="4"/>
    </row>
    <row r="619">
      <c r="B619" s="4"/>
      <c r="D619" s="4"/>
    </row>
    <row r="620">
      <c r="B620" s="4"/>
      <c r="D620" s="4"/>
    </row>
    <row r="621">
      <c r="B621" s="4"/>
      <c r="D621" s="4"/>
    </row>
    <row r="622">
      <c r="B622" s="4"/>
      <c r="D622" s="4"/>
    </row>
    <row r="623">
      <c r="B623" s="4"/>
      <c r="D623" s="4"/>
    </row>
    <row r="624">
      <c r="B624" s="4"/>
      <c r="D624" s="4"/>
    </row>
    <row r="625">
      <c r="B625" s="4"/>
      <c r="D625" s="4"/>
    </row>
    <row r="626">
      <c r="B626" s="4"/>
      <c r="D626" s="4"/>
    </row>
    <row r="627">
      <c r="B627" s="4"/>
      <c r="D627" s="4"/>
    </row>
    <row r="628">
      <c r="B628" s="4"/>
      <c r="D628" s="4"/>
    </row>
    <row r="629">
      <c r="B629" s="4"/>
      <c r="D629" s="4"/>
    </row>
    <row r="630">
      <c r="B630" s="4"/>
      <c r="D630" s="4"/>
    </row>
    <row r="631">
      <c r="B631" s="4"/>
      <c r="D631" s="4"/>
    </row>
    <row r="632">
      <c r="B632" s="4"/>
      <c r="D632" s="4"/>
    </row>
    <row r="633">
      <c r="B633" s="4"/>
      <c r="D633" s="4"/>
    </row>
    <row r="634">
      <c r="B634" s="4"/>
      <c r="D634" s="4"/>
    </row>
    <row r="635">
      <c r="B635" s="4"/>
      <c r="D635" s="4"/>
    </row>
    <row r="636">
      <c r="B636" s="4"/>
      <c r="D636" s="4"/>
    </row>
    <row r="637">
      <c r="B637" s="4"/>
      <c r="D637" s="4"/>
    </row>
    <row r="638">
      <c r="B638" s="4"/>
      <c r="D638" s="4"/>
    </row>
    <row r="639">
      <c r="B639" s="4"/>
      <c r="D639" s="4"/>
    </row>
    <row r="640">
      <c r="B640" s="4"/>
      <c r="D640" s="4"/>
    </row>
    <row r="641">
      <c r="B641" s="4"/>
      <c r="D641" s="4"/>
    </row>
    <row r="642">
      <c r="B642" s="4"/>
      <c r="D642" s="4"/>
    </row>
    <row r="643">
      <c r="B643" s="4"/>
      <c r="D643" s="4"/>
    </row>
    <row r="644">
      <c r="B644" s="4"/>
      <c r="D644" s="4"/>
    </row>
    <row r="645">
      <c r="B645" s="4"/>
      <c r="D645" s="4"/>
    </row>
    <row r="646">
      <c r="B646" s="4"/>
      <c r="D646" s="4"/>
    </row>
    <row r="647">
      <c r="B647" s="4"/>
      <c r="D647" s="4"/>
    </row>
    <row r="648">
      <c r="B648" s="4"/>
      <c r="D648" s="4"/>
    </row>
    <row r="649">
      <c r="B649" s="4"/>
      <c r="D649" s="4"/>
    </row>
    <row r="650">
      <c r="B650" s="4"/>
      <c r="D650" s="4"/>
    </row>
    <row r="651">
      <c r="B651" s="4"/>
      <c r="D651" s="4"/>
    </row>
    <row r="652">
      <c r="B652" s="4"/>
      <c r="D652" s="4"/>
    </row>
    <row r="653">
      <c r="B653" s="4"/>
      <c r="D653" s="4"/>
    </row>
    <row r="654">
      <c r="B654" s="4"/>
      <c r="D654" s="4"/>
    </row>
    <row r="655">
      <c r="B655" s="4"/>
      <c r="D655" s="4"/>
    </row>
    <row r="656">
      <c r="B656" s="4"/>
      <c r="D656" s="4"/>
    </row>
    <row r="657">
      <c r="B657" s="4"/>
      <c r="D657" s="4"/>
    </row>
    <row r="658">
      <c r="B658" s="4"/>
      <c r="D658" s="4"/>
    </row>
    <row r="659">
      <c r="B659" s="4"/>
      <c r="D659" s="4"/>
    </row>
    <row r="660">
      <c r="B660" s="4"/>
      <c r="D660" s="4"/>
    </row>
    <row r="661">
      <c r="B661" s="4"/>
      <c r="D661" s="4"/>
    </row>
    <row r="662">
      <c r="B662" s="4"/>
      <c r="D662" s="4"/>
    </row>
    <row r="663">
      <c r="B663" s="4"/>
      <c r="D663" s="4"/>
    </row>
    <row r="664">
      <c r="B664" s="4"/>
      <c r="D664" s="4"/>
    </row>
    <row r="665">
      <c r="B665" s="4"/>
      <c r="D665" s="4"/>
    </row>
    <row r="666">
      <c r="B666" s="4"/>
      <c r="D666" s="4"/>
    </row>
    <row r="667">
      <c r="B667" s="4"/>
      <c r="D667" s="4"/>
    </row>
    <row r="668">
      <c r="B668" s="4"/>
      <c r="D668" s="4"/>
    </row>
    <row r="669">
      <c r="B669" s="4"/>
      <c r="D669" s="4"/>
    </row>
    <row r="670">
      <c r="B670" s="4"/>
      <c r="D670" s="4"/>
    </row>
    <row r="671">
      <c r="B671" s="4"/>
      <c r="D671" s="4"/>
    </row>
    <row r="672">
      <c r="B672" s="4"/>
      <c r="D672" s="4"/>
    </row>
    <row r="673">
      <c r="B673" s="4"/>
      <c r="D673" s="4"/>
    </row>
    <row r="674">
      <c r="B674" s="4"/>
      <c r="D674" s="4"/>
    </row>
    <row r="675">
      <c r="B675" s="4"/>
      <c r="D675" s="4"/>
    </row>
    <row r="676">
      <c r="B676" s="4"/>
      <c r="D676" s="4"/>
    </row>
    <row r="677">
      <c r="B677" s="4"/>
      <c r="D677" s="4"/>
    </row>
    <row r="678">
      <c r="B678" s="4"/>
      <c r="D678" s="4"/>
    </row>
    <row r="679">
      <c r="B679" s="4"/>
      <c r="D679" s="4"/>
    </row>
    <row r="680">
      <c r="B680" s="4"/>
      <c r="D680" s="4"/>
    </row>
    <row r="681">
      <c r="B681" s="4"/>
      <c r="D681" s="4"/>
    </row>
    <row r="682">
      <c r="B682" s="4"/>
      <c r="D682" s="4"/>
    </row>
    <row r="683">
      <c r="B683" s="4"/>
      <c r="D683" s="4"/>
    </row>
    <row r="684">
      <c r="B684" s="4"/>
      <c r="D684" s="4"/>
    </row>
    <row r="685">
      <c r="B685" s="4"/>
      <c r="D685" s="4"/>
    </row>
    <row r="686">
      <c r="B686" s="4"/>
      <c r="D686" s="4"/>
    </row>
    <row r="687">
      <c r="B687" s="4"/>
      <c r="D687" s="4"/>
    </row>
    <row r="688">
      <c r="B688" s="4"/>
      <c r="D688" s="4"/>
    </row>
    <row r="689">
      <c r="B689" s="4"/>
      <c r="D689" s="4"/>
    </row>
    <row r="690">
      <c r="B690" s="4"/>
      <c r="D690" s="4"/>
    </row>
    <row r="691">
      <c r="B691" s="4"/>
      <c r="D691" s="4"/>
    </row>
    <row r="692">
      <c r="B692" s="4"/>
      <c r="D692" s="4"/>
    </row>
    <row r="693">
      <c r="B693" s="4"/>
      <c r="D693" s="4"/>
    </row>
    <row r="694">
      <c r="B694" s="4"/>
      <c r="D694" s="4"/>
    </row>
    <row r="695">
      <c r="B695" s="4"/>
      <c r="D695" s="4"/>
    </row>
    <row r="696">
      <c r="B696" s="4"/>
      <c r="D696" s="4"/>
    </row>
    <row r="697">
      <c r="B697" s="4"/>
      <c r="D697" s="4"/>
    </row>
    <row r="698">
      <c r="B698" s="4"/>
      <c r="D698" s="4"/>
    </row>
    <row r="699">
      <c r="B699" s="4"/>
      <c r="D699" s="4"/>
    </row>
    <row r="700">
      <c r="B700" s="4"/>
      <c r="D700" s="4"/>
    </row>
    <row r="701">
      <c r="B701" s="4"/>
      <c r="D701" s="4"/>
    </row>
    <row r="702">
      <c r="B702" s="4"/>
      <c r="D702" s="4"/>
    </row>
    <row r="703">
      <c r="B703" s="4"/>
      <c r="D703" s="4"/>
    </row>
    <row r="704">
      <c r="B704" s="4"/>
      <c r="D704" s="4"/>
    </row>
    <row r="705">
      <c r="B705" s="4"/>
      <c r="D705" s="4"/>
    </row>
    <row r="706">
      <c r="B706" s="4"/>
      <c r="D706" s="4"/>
    </row>
    <row r="707">
      <c r="B707" s="4"/>
      <c r="D707" s="4"/>
    </row>
    <row r="708">
      <c r="B708" s="4"/>
      <c r="D708" s="4"/>
    </row>
    <row r="709">
      <c r="B709" s="4"/>
      <c r="D709" s="4"/>
    </row>
    <row r="710">
      <c r="B710" s="4"/>
      <c r="D710" s="4"/>
    </row>
    <row r="711">
      <c r="B711" s="4"/>
      <c r="D711" s="4"/>
    </row>
    <row r="712">
      <c r="B712" s="4"/>
      <c r="D712" s="4"/>
    </row>
    <row r="713">
      <c r="B713" s="4"/>
      <c r="D713" s="4"/>
    </row>
    <row r="714">
      <c r="B714" s="4"/>
      <c r="D714" s="4"/>
    </row>
    <row r="715">
      <c r="B715" s="4"/>
      <c r="D715" s="4"/>
    </row>
    <row r="716">
      <c r="B716" s="4"/>
      <c r="D716" s="4"/>
    </row>
    <row r="717">
      <c r="B717" s="4"/>
      <c r="D717" s="4"/>
    </row>
    <row r="718">
      <c r="B718" s="4"/>
      <c r="D718" s="4"/>
    </row>
    <row r="719">
      <c r="B719" s="4"/>
      <c r="D719" s="4"/>
    </row>
    <row r="720">
      <c r="B720" s="4"/>
      <c r="D720" s="4"/>
    </row>
    <row r="721">
      <c r="B721" s="4"/>
      <c r="D721" s="4"/>
    </row>
    <row r="722">
      <c r="B722" s="4"/>
      <c r="D722" s="4"/>
    </row>
    <row r="723">
      <c r="B723" s="4"/>
      <c r="D723" s="4"/>
    </row>
    <row r="724">
      <c r="B724" s="4"/>
      <c r="D724" s="4"/>
    </row>
    <row r="725">
      <c r="B725" s="4"/>
      <c r="D725" s="4"/>
    </row>
    <row r="726">
      <c r="B726" s="4"/>
      <c r="D726" s="4"/>
    </row>
    <row r="727">
      <c r="B727" s="4"/>
      <c r="D727" s="4"/>
    </row>
    <row r="728">
      <c r="B728" s="4"/>
      <c r="D728" s="4"/>
    </row>
    <row r="729">
      <c r="B729" s="4"/>
      <c r="D729" s="4"/>
    </row>
    <row r="730">
      <c r="B730" s="4"/>
      <c r="D730" s="4"/>
    </row>
    <row r="731">
      <c r="B731" s="4"/>
      <c r="D731" s="4"/>
    </row>
    <row r="732">
      <c r="B732" s="4"/>
      <c r="D732" s="4"/>
    </row>
    <row r="733">
      <c r="B733" s="4"/>
      <c r="D733" s="4"/>
    </row>
    <row r="734">
      <c r="B734" s="4"/>
      <c r="D734" s="4"/>
    </row>
    <row r="735">
      <c r="B735" s="4"/>
      <c r="D735" s="4"/>
    </row>
    <row r="736">
      <c r="B736" s="4"/>
      <c r="D736" s="4"/>
    </row>
    <row r="737">
      <c r="B737" s="4"/>
      <c r="D737" s="4"/>
    </row>
    <row r="738">
      <c r="B738" s="4"/>
      <c r="D738" s="4"/>
    </row>
    <row r="739">
      <c r="B739" s="4"/>
      <c r="D739" s="4"/>
    </row>
    <row r="740">
      <c r="B740" s="4"/>
      <c r="D740" s="4"/>
    </row>
    <row r="741">
      <c r="B741" s="4"/>
      <c r="D741" s="4"/>
    </row>
    <row r="742">
      <c r="B742" s="4"/>
      <c r="D742" s="4"/>
    </row>
    <row r="743">
      <c r="B743" s="4"/>
      <c r="D743" s="4"/>
    </row>
    <row r="744">
      <c r="B744" s="4"/>
      <c r="D744" s="4"/>
    </row>
    <row r="745">
      <c r="B745" s="4"/>
      <c r="D745" s="4"/>
    </row>
    <row r="746">
      <c r="B746" s="4"/>
      <c r="D746" s="4"/>
    </row>
    <row r="747">
      <c r="B747" s="4"/>
      <c r="D747" s="4"/>
    </row>
    <row r="748">
      <c r="B748" s="4"/>
      <c r="D748" s="4"/>
    </row>
    <row r="749">
      <c r="B749" s="4"/>
      <c r="D749" s="4"/>
    </row>
    <row r="750">
      <c r="B750" s="4"/>
      <c r="D750" s="4"/>
    </row>
    <row r="751">
      <c r="B751" s="4"/>
      <c r="D751" s="4"/>
    </row>
    <row r="752">
      <c r="B752" s="4"/>
      <c r="D752" s="4"/>
    </row>
    <row r="753">
      <c r="B753" s="4"/>
      <c r="D753" s="4"/>
    </row>
    <row r="754">
      <c r="B754" s="4"/>
      <c r="D754" s="4"/>
    </row>
    <row r="755">
      <c r="B755" s="4"/>
      <c r="D755" s="4"/>
    </row>
    <row r="756">
      <c r="B756" s="4"/>
      <c r="D756" s="4"/>
    </row>
    <row r="757">
      <c r="B757" s="4"/>
      <c r="D757" s="4"/>
    </row>
    <row r="758">
      <c r="B758" s="4"/>
      <c r="D758" s="4"/>
    </row>
    <row r="759">
      <c r="B759" s="4"/>
      <c r="D759" s="4"/>
    </row>
    <row r="760">
      <c r="B760" s="4"/>
      <c r="D760" s="4"/>
    </row>
    <row r="761">
      <c r="B761" s="4"/>
      <c r="D761" s="4"/>
    </row>
    <row r="762">
      <c r="B762" s="4"/>
      <c r="D762" s="4"/>
    </row>
    <row r="763">
      <c r="B763" s="4"/>
      <c r="D763" s="4"/>
    </row>
    <row r="764">
      <c r="B764" s="4"/>
      <c r="D764" s="4"/>
    </row>
    <row r="765">
      <c r="B765" s="4"/>
      <c r="D765" s="4"/>
    </row>
    <row r="766">
      <c r="B766" s="4"/>
      <c r="D766" s="4"/>
    </row>
    <row r="767">
      <c r="B767" s="4"/>
      <c r="D767" s="4"/>
    </row>
    <row r="768">
      <c r="B768" s="4"/>
      <c r="D768" s="4"/>
    </row>
    <row r="769">
      <c r="B769" s="4"/>
      <c r="D769" s="4"/>
    </row>
    <row r="770">
      <c r="B770" s="4"/>
      <c r="D770" s="4"/>
    </row>
    <row r="771">
      <c r="B771" s="4"/>
      <c r="D771" s="4"/>
    </row>
    <row r="772">
      <c r="B772" s="4"/>
      <c r="D772" s="4"/>
    </row>
    <row r="773">
      <c r="B773" s="4"/>
      <c r="D773" s="4"/>
    </row>
    <row r="774">
      <c r="B774" s="4"/>
      <c r="D774" s="4"/>
    </row>
    <row r="775">
      <c r="B775" s="4"/>
      <c r="D775" s="4"/>
    </row>
    <row r="776">
      <c r="B776" s="4"/>
      <c r="D776" s="4"/>
    </row>
    <row r="777">
      <c r="B777" s="4"/>
      <c r="D777" s="4"/>
    </row>
    <row r="778">
      <c r="B778" s="4"/>
      <c r="D778" s="4"/>
    </row>
    <row r="779">
      <c r="B779" s="4"/>
      <c r="D779" s="4"/>
    </row>
    <row r="780">
      <c r="B780" s="4"/>
      <c r="D780" s="4"/>
    </row>
    <row r="781">
      <c r="B781" s="4"/>
      <c r="D781" s="4"/>
    </row>
    <row r="782">
      <c r="B782" s="4"/>
      <c r="D782" s="4"/>
    </row>
    <row r="783">
      <c r="B783" s="4"/>
      <c r="D783" s="4"/>
    </row>
    <row r="784">
      <c r="B784" s="4"/>
      <c r="D784" s="4"/>
    </row>
    <row r="785">
      <c r="B785" s="4"/>
      <c r="D785" s="4"/>
    </row>
    <row r="786">
      <c r="B786" s="4"/>
      <c r="D786" s="4"/>
    </row>
    <row r="787">
      <c r="B787" s="4"/>
      <c r="D787" s="4"/>
    </row>
    <row r="788">
      <c r="B788" s="4"/>
      <c r="D788" s="4"/>
    </row>
    <row r="789">
      <c r="B789" s="4"/>
      <c r="D789" s="4"/>
    </row>
    <row r="790">
      <c r="B790" s="4"/>
      <c r="D790" s="4"/>
    </row>
    <row r="791">
      <c r="B791" s="4"/>
      <c r="D791" s="4"/>
    </row>
    <row r="792">
      <c r="B792" s="4"/>
      <c r="D792" s="4"/>
    </row>
    <row r="793">
      <c r="B793" s="4"/>
      <c r="D793" s="4"/>
    </row>
    <row r="794">
      <c r="B794" s="4"/>
      <c r="D794" s="4"/>
    </row>
    <row r="795">
      <c r="B795" s="4"/>
      <c r="D795" s="4"/>
    </row>
    <row r="796">
      <c r="B796" s="4"/>
      <c r="D796" s="4"/>
    </row>
    <row r="797">
      <c r="B797" s="4"/>
      <c r="D797" s="4"/>
    </row>
    <row r="798">
      <c r="B798" s="4"/>
      <c r="D798" s="4"/>
    </row>
    <row r="799">
      <c r="B799" s="4"/>
      <c r="D799" s="4"/>
    </row>
    <row r="800">
      <c r="B800" s="4"/>
      <c r="D800" s="4"/>
    </row>
    <row r="801">
      <c r="B801" s="4"/>
      <c r="D801" s="4"/>
    </row>
    <row r="802">
      <c r="B802" s="4"/>
      <c r="D802" s="4"/>
    </row>
    <row r="803">
      <c r="B803" s="4"/>
      <c r="D803" s="4"/>
    </row>
    <row r="804">
      <c r="B804" s="4"/>
      <c r="D804" s="4"/>
    </row>
    <row r="805">
      <c r="B805" s="4"/>
      <c r="D805" s="4"/>
    </row>
    <row r="806">
      <c r="B806" s="4"/>
      <c r="D806" s="4"/>
    </row>
    <row r="807">
      <c r="B807" s="4"/>
      <c r="D807" s="4"/>
    </row>
    <row r="808">
      <c r="B808" s="4"/>
      <c r="D808" s="4"/>
    </row>
    <row r="809">
      <c r="B809" s="4"/>
      <c r="D809" s="4"/>
    </row>
    <row r="810">
      <c r="B810" s="4"/>
      <c r="D810" s="4"/>
    </row>
    <row r="811">
      <c r="B811" s="4"/>
      <c r="D811" s="4"/>
    </row>
    <row r="812">
      <c r="B812" s="4"/>
      <c r="D812" s="4"/>
    </row>
    <row r="813">
      <c r="B813" s="4"/>
      <c r="D813" s="4"/>
    </row>
    <row r="814">
      <c r="B814" s="4"/>
      <c r="D814" s="4"/>
    </row>
    <row r="815">
      <c r="B815" s="4"/>
      <c r="D815" s="4"/>
    </row>
    <row r="816">
      <c r="B816" s="4"/>
      <c r="D816" s="4"/>
    </row>
    <row r="817">
      <c r="B817" s="4"/>
      <c r="D817" s="4"/>
    </row>
    <row r="818">
      <c r="B818" s="4"/>
      <c r="D818" s="4"/>
    </row>
    <row r="819">
      <c r="B819" s="4"/>
      <c r="D819" s="4"/>
    </row>
    <row r="820">
      <c r="B820" s="4"/>
      <c r="D820" s="4"/>
    </row>
    <row r="821">
      <c r="B821" s="4"/>
      <c r="D821" s="4"/>
    </row>
    <row r="822">
      <c r="B822" s="4"/>
      <c r="D822" s="4"/>
    </row>
    <row r="823">
      <c r="B823" s="4"/>
      <c r="D823" s="4"/>
    </row>
    <row r="824">
      <c r="B824" s="4"/>
      <c r="D824" s="4"/>
    </row>
    <row r="825">
      <c r="B825" s="4"/>
      <c r="D825" s="4"/>
    </row>
    <row r="826">
      <c r="B826" s="4"/>
      <c r="D826" s="4"/>
    </row>
    <row r="827">
      <c r="B827" s="4"/>
      <c r="D827" s="4"/>
    </row>
    <row r="828">
      <c r="B828" s="4"/>
      <c r="D828" s="4"/>
    </row>
    <row r="829">
      <c r="B829" s="4"/>
      <c r="D829" s="4"/>
    </row>
    <row r="830">
      <c r="B830" s="4"/>
      <c r="D830" s="4"/>
    </row>
    <row r="831">
      <c r="B831" s="4"/>
      <c r="D831" s="4"/>
    </row>
    <row r="832">
      <c r="B832" s="4"/>
      <c r="D832" s="4"/>
    </row>
    <row r="833">
      <c r="B833" s="4"/>
      <c r="D833" s="4"/>
    </row>
    <row r="834">
      <c r="B834" s="4"/>
      <c r="D834" s="4"/>
    </row>
    <row r="835">
      <c r="B835" s="4"/>
      <c r="D835" s="4"/>
    </row>
    <row r="836">
      <c r="B836" s="4"/>
      <c r="D836" s="4"/>
    </row>
    <row r="837">
      <c r="B837" s="4"/>
      <c r="D837" s="4"/>
    </row>
    <row r="838">
      <c r="B838" s="4"/>
      <c r="D838" s="4"/>
    </row>
    <row r="839">
      <c r="B839" s="4"/>
      <c r="D839" s="4"/>
    </row>
    <row r="840">
      <c r="B840" s="4"/>
      <c r="D840" s="4"/>
    </row>
    <row r="841">
      <c r="B841" s="4"/>
      <c r="D841" s="4"/>
    </row>
    <row r="842">
      <c r="B842" s="4"/>
      <c r="D842" s="4"/>
    </row>
    <row r="843">
      <c r="B843" s="4"/>
      <c r="D843" s="4"/>
    </row>
    <row r="844">
      <c r="B844" s="4"/>
      <c r="D844" s="4"/>
    </row>
    <row r="845">
      <c r="B845" s="4"/>
      <c r="D845" s="4"/>
    </row>
    <row r="846">
      <c r="B846" s="4"/>
      <c r="D846" s="4"/>
    </row>
    <row r="847">
      <c r="B847" s="4"/>
      <c r="D847" s="4"/>
    </row>
    <row r="848">
      <c r="B848" s="4"/>
      <c r="D848" s="4"/>
    </row>
    <row r="849">
      <c r="B849" s="4"/>
      <c r="D849" s="4"/>
    </row>
    <row r="850">
      <c r="B850" s="4"/>
      <c r="D850" s="4"/>
    </row>
    <row r="851">
      <c r="B851" s="4"/>
      <c r="D851" s="4"/>
    </row>
    <row r="852">
      <c r="B852" s="4"/>
      <c r="D852" s="4"/>
    </row>
    <row r="853">
      <c r="B853" s="4"/>
      <c r="D853" s="4"/>
    </row>
    <row r="854">
      <c r="B854" s="4"/>
      <c r="D854" s="4"/>
    </row>
    <row r="855">
      <c r="B855" s="4"/>
      <c r="D855" s="4"/>
    </row>
    <row r="856">
      <c r="B856" s="4"/>
      <c r="D856" s="4"/>
    </row>
    <row r="857">
      <c r="B857" s="4"/>
      <c r="D857" s="4"/>
    </row>
    <row r="858">
      <c r="B858" s="4"/>
      <c r="D858" s="4"/>
    </row>
    <row r="859">
      <c r="B859" s="4"/>
      <c r="D859" s="4"/>
    </row>
    <row r="860">
      <c r="B860" s="4"/>
      <c r="D860" s="4"/>
    </row>
    <row r="861">
      <c r="B861" s="4"/>
      <c r="D861" s="4"/>
    </row>
    <row r="862">
      <c r="B862" s="4"/>
      <c r="D862" s="4"/>
    </row>
    <row r="863">
      <c r="B863" s="4"/>
      <c r="D863" s="4"/>
    </row>
    <row r="864">
      <c r="B864" s="4"/>
      <c r="D864" s="4"/>
    </row>
    <row r="865">
      <c r="B865" s="4"/>
      <c r="D865" s="4"/>
    </row>
    <row r="866">
      <c r="B866" s="4"/>
      <c r="D866" s="4"/>
    </row>
    <row r="867">
      <c r="B867" s="4"/>
      <c r="D867" s="4"/>
    </row>
    <row r="868">
      <c r="B868" s="4"/>
      <c r="D868" s="4"/>
    </row>
    <row r="869">
      <c r="B869" s="4"/>
      <c r="D869" s="4"/>
    </row>
    <row r="870">
      <c r="B870" s="4"/>
      <c r="D870" s="4"/>
    </row>
    <row r="871">
      <c r="B871" s="4"/>
      <c r="D871" s="4"/>
    </row>
    <row r="872">
      <c r="B872" s="4"/>
      <c r="D872" s="4"/>
    </row>
    <row r="873">
      <c r="B873" s="4"/>
      <c r="D873" s="4"/>
    </row>
    <row r="874">
      <c r="B874" s="4"/>
      <c r="D874" s="4"/>
    </row>
    <row r="875">
      <c r="B875" s="4"/>
      <c r="D875" s="4"/>
    </row>
    <row r="876">
      <c r="B876" s="4"/>
      <c r="D876" s="4"/>
    </row>
    <row r="877">
      <c r="B877" s="4"/>
      <c r="D877" s="4"/>
    </row>
    <row r="878">
      <c r="B878" s="4"/>
      <c r="D878" s="4"/>
    </row>
    <row r="879">
      <c r="B879" s="4"/>
      <c r="D879" s="4"/>
    </row>
    <row r="880">
      <c r="B880" s="4"/>
      <c r="D880" s="4"/>
    </row>
    <row r="881">
      <c r="B881" s="4"/>
      <c r="D881" s="4"/>
    </row>
    <row r="882">
      <c r="B882" s="4"/>
      <c r="D882" s="4"/>
    </row>
    <row r="883">
      <c r="B883" s="4"/>
      <c r="D883" s="4"/>
    </row>
    <row r="884">
      <c r="B884" s="4"/>
      <c r="D884" s="4"/>
    </row>
    <row r="885">
      <c r="B885" s="4"/>
      <c r="D885" s="4"/>
    </row>
    <row r="886">
      <c r="B886" s="4"/>
      <c r="D886" s="4"/>
    </row>
    <row r="887">
      <c r="B887" s="4"/>
      <c r="D887" s="4"/>
    </row>
    <row r="888">
      <c r="B888" s="4"/>
      <c r="D888" s="4"/>
    </row>
    <row r="889">
      <c r="B889" s="4"/>
      <c r="D889" s="4"/>
    </row>
    <row r="890">
      <c r="B890" s="4"/>
      <c r="D890" s="4"/>
    </row>
    <row r="891">
      <c r="B891" s="4"/>
      <c r="D891" s="4"/>
    </row>
    <row r="892">
      <c r="B892" s="4"/>
      <c r="D892" s="4"/>
    </row>
    <row r="893">
      <c r="B893" s="4"/>
      <c r="D893" s="4"/>
    </row>
    <row r="894">
      <c r="B894" s="4"/>
      <c r="D894" s="4"/>
    </row>
    <row r="895">
      <c r="B895" s="4"/>
      <c r="D895" s="4"/>
    </row>
    <row r="896">
      <c r="B896" s="4"/>
      <c r="D896" s="4"/>
    </row>
    <row r="897">
      <c r="B897" s="4"/>
      <c r="D897" s="4"/>
    </row>
    <row r="898">
      <c r="B898" s="4"/>
      <c r="D898" s="4"/>
    </row>
    <row r="899">
      <c r="B899" s="4"/>
      <c r="D899" s="4"/>
    </row>
    <row r="900">
      <c r="B900" s="4"/>
      <c r="D900" s="4"/>
    </row>
    <row r="901">
      <c r="B901" s="4"/>
      <c r="D901" s="4"/>
    </row>
    <row r="902">
      <c r="B902" s="4"/>
      <c r="D902" s="4"/>
    </row>
    <row r="903">
      <c r="B903" s="4"/>
      <c r="D903" s="4"/>
    </row>
    <row r="904">
      <c r="B904" s="4"/>
      <c r="D904" s="4"/>
    </row>
    <row r="905">
      <c r="B905" s="4"/>
      <c r="D905" s="4"/>
    </row>
    <row r="906">
      <c r="B906" s="4"/>
      <c r="D906" s="4"/>
    </row>
    <row r="907">
      <c r="B907" s="4"/>
      <c r="D907" s="4"/>
    </row>
    <row r="908">
      <c r="B908" s="4"/>
      <c r="D908" s="4"/>
    </row>
    <row r="909">
      <c r="B909" s="4"/>
      <c r="D909" s="4"/>
    </row>
    <row r="910">
      <c r="B910" s="4"/>
      <c r="D910" s="4"/>
    </row>
    <row r="911">
      <c r="B911" s="4"/>
      <c r="D911" s="4"/>
    </row>
    <row r="912">
      <c r="B912" s="4"/>
      <c r="D912" s="4"/>
    </row>
    <row r="913">
      <c r="B913" s="4"/>
      <c r="D913" s="4"/>
    </row>
    <row r="914">
      <c r="B914" s="4"/>
      <c r="D914" s="4"/>
    </row>
    <row r="915">
      <c r="B915" s="4"/>
      <c r="D915" s="4"/>
    </row>
    <row r="916">
      <c r="B916" s="4"/>
      <c r="D916" s="4"/>
    </row>
    <row r="917">
      <c r="B917" s="4"/>
      <c r="D917" s="4"/>
    </row>
    <row r="918">
      <c r="B918" s="4"/>
      <c r="D918" s="4"/>
    </row>
    <row r="919">
      <c r="B919" s="4"/>
      <c r="D919" s="4"/>
    </row>
    <row r="920">
      <c r="B920" s="4"/>
      <c r="D920" s="4"/>
    </row>
    <row r="921">
      <c r="B921" s="4"/>
      <c r="D921" s="4"/>
    </row>
    <row r="922">
      <c r="B922" s="4"/>
      <c r="D922" s="4"/>
    </row>
    <row r="923">
      <c r="B923" s="4"/>
      <c r="D923" s="4"/>
    </row>
    <row r="924">
      <c r="B924" s="4"/>
      <c r="D924" s="4"/>
    </row>
    <row r="925">
      <c r="B925" s="4"/>
      <c r="D925" s="4"/>
    </row>
    <row r="926">
      <c r="B926" s="4"/>
      <c r="D926" s="4"/>
    </row>
    <row r="927">
      <c r="B927" s="4"/>
      <c r="D927" s="4"/>
    </row>
    <row r="928">
      <c r="B928" s="4"/>
      <c r="D928" s="4"/>
    </row>
    <row r="929">
      <c r="B929" s="4"/>
      <c r="D929" s="4"/>
    </row>
    <row r="930">
      <c r="B930" s="4"/>
      <c r="D930" s="4"/>
    </row>
    <row r="931">
      <c r="B931" s="4"/>
      <c r="D931" s="4"/>
    </row>
    <row r="932">
      <c r="B932" s="4"/>
      <c r="D932" s="4"/>
    </row>
    <row r="933">
      <c r="B933" s="4"/>
      <c r="D933" s="4"/>
    </row>
    <row r="934">
      <c r="B934" s="4"/>
      <c r="D934" s="4"/>
    </row>
    <row r="935">
      <c r="B935" s="4"/>
      <c r="D935" s="4"/>
    </row>
    <row r="936">
      <c r="B936" s="4"/>
      <c r="D936" s="4"/>
    </row>
    <row r="937">
      <c r="B937" s="4"/>
      <c r="D937" s="4"/>
    </row>
    <row r="938">
      <c r="B938" s="4"/>
      <c r="D938" s="4"/>
    </row>
    <row r="939">
      <c r="B939" s="4"/>
      <c r="D939" s="4"/>
    </row>
    <row r="940">
      <c r="B940" s="4"/>
      <c r="D940" s="4"/>
    </row>
    <row r="941">
      <c r="B941" s="4"/>
      <c r="D941" s="4"/>
    </row>
    <row r="942">
      <c r="B942" s="4"/>
      <c r="D942" s="4"/>
    </row>
    <row r="943">
      <c r="B943" s="4"/>
      <c r="D943" s="4"/>
    </row>
    <row r="944">
      <c r="B944" s="4"/>
      <c r="D944" s="4"/>
    </row>
    <row r="945">
      <c r="B945" s="4"/>
      <c r="D945" s="4"/>
    </row>
    <row r="946">
      <c r="B946" s="4"/>
      <c r="D946" s="4"/>
    </row>
    <row r="947">
      <c r="B947" s="4"/>
      <c r="D947" s="4"/>
    </row>
    <row r="948">
      <c r="B948" s="4"/>
      <c r="D948" s="4"/>
    </row>
    <row r="949">
      <c r="B949" s="4"/>
      <c r="D949" s="4"/>
    </row>
    <row r="950">
      <c r="B950" s="4"/>
      <c r="D950" s="4"/>
    </row>
    <row r="951">
      <c r="B951" s="4"/>
      <c r="D951" s="4"/>
    </row>
    <row r="952">
      <c r="B952" s="4"/>
      <c r="D952" s="4"/>
    </row>
    <row r="953">
      <c r="B953" s="4"/>
      <c r="D953" s="4"/>
    </row>
    <row r="954">
      <c r="B954" s="4"/>
      <c r="D954" s="4"/>
    </row>
    <row r="955">
      <c r="B955" s="4"/>
      <c r="D955" s="4"/>
    </row>
    <row r="956">
      <c r="B956" s="4"/>
      <c r="D956" s="4"/>
    </row>
    <row r="957">
      <c r="B957" s="4"/>
      <c r="D957" s="4"/>
    </row>
    <row r="958">
      <c r="B958" s="4"/>
      <c r="D958" s="4"/>
    </row>
    <row r="959">
      <c r="B959" s="4"/>
      <c r="D959" s="4"/>
    </row>
    <row r="960">
      <c r="B960" s="4"/>
      <c r="D960" s="4"/>
    </row>
    <row r="961">
      <c r="B961" s="4"/>
      <c r="D961" s="4"/>
    </row>
    <row r="962">
      <c r="B962" s="4"/>
      <c r="D962" s="4"/>
    </row>
    <row r="963">
      <c r="B963" s="4"/>
      <c r="D963" s="4"/>
    </row>
    <row r="964">
      <c r="B964" s="4"/>
      <c r="D964" s="4"/>
    </row>
    <row r="965">
      <c r="B965" s="4"/>
      <c r="D965" s="4"/>
    </row>
    <row r="966">
      <c r="B966" s="4"/>
      <c r="D966" s="4"/>
    </row>
    <row r="967">
      <c r="B967" s="4"/>
      <c r="D967" s="4"/>
    </row>
    <row r="968">
      <c r="B968" s="4"/>
      <c r="D968" s="4"/>
    </row>
    <row r="969">
      <c r="B969" s="4"/>
      <c r="D969" s="4"/>
    </row>
    <row r="970">
      <c r="B970" s="4"/>
      <c r="D970" s="4"/>
    </row>
    <row r="971">
      <c r="B971" s="4"/>
      <c r="D971" s="4"/>
    </row>
    <row r="972">
      <c r="B972" s="4"/>
      <c r="D972" s="4"/>
    </row>
    <row r="973">
      <c r="B973" s="4"/>
      <c r="D973" s="4"/>
    </row>
    <row r="974">
      <c r="B974" s="4"/>
      <c r="D974" s="4"/>
    </row>
    <row r="975">
      <c r="B975" s="4"/>
      <c r="D975" s="4"/>
    </row>
    <row r="976">
      <c r="B976" s="4"/>
      <c r="D976" s="4"/>
    </row>
    <row r="977">
      <c r="B977" s="4"/>
      <c r="D977" s="4"/>
    </row>
    <row r="978">
      <c r="B978" s="4"/>
      <c r="D978" s="4"/>
    </row>
    <row r="979">
      <c r="B979" s="4"/>
      <c r="D979" s="4"/>
    </row>
    <row r="980">
      <c r="B980" s="4"/>
      <c r="D980" s="4"/>
    </row>
    <row r="981">
      <c r="B981" s="4"/>
      <c r="D981" s="4"/>
    </row>
    <row r="982">
      <c r="B982" s="4"/>
      <c r="D982" s="4"/>
    </row>
    <row r="983">
      <c r="B983" s="4"/>
      <c r="D983" s="4"/>
    </row>
    <row r="984">
      <c r="B984" s="4"/>
      <c r="D984" s="4"/>
    </row>
    <row r="985">
      <c r="B985" s="4"/>
      <c r="D985" s="4"/>
    </row>
    <row r="986">
      <c r="B986" s="4"/>
      <c r="D986" s="4"/>
    </row>
    <row r="987">
      <c r="B987" s="4"/>
      <c r="D987" s="4"/>
    </row>
    <row r="988">
      <c r="B988" s="4"/>
      <c r="D988" s="4"/>
    </row>
    <row r="989">
      <c r="B989" s="4"/>
      <c r="D989" s="4"/>
    </row>
    <row r="990">
      <c r="B990" s="4"/>
      <c r="D990" s="4"/>
    </row>
    <row r="991">
      <c r="B991" s="4"/>
      <c r="D991" s="4"/>
    </row>
    <row r="992">
      <c r="B992" s="4"/>
      <c r="D992" s="4"/>
    </row>
    <row r="993">
      <c r="B993" s="4"/>
      <c r="D993" s="4"/>
    </row>
    <row r="994">
      <c r="B994" s="4"/>
      <c r="D994" s="4"/>
    </row>
    <row r="995">
      <c r="B995" s="4"/>
      <c r="D995" s="4"/>
    </row>
    <row r="996">
      <c r="B996" s="4"/>
      <c r="D996" s="4"/>
    </row>
    <row r="997">
      <c r="B997" s="4"/>
      <c r="D997" s="4"/>
    </row>
    <row r="998">
      <c r="B998" s="4"/>
      <c r="D998" s="4"/>
    </row>
    <row r="999">
      <c r="B999" s="4"/>
      <c r="D999" s="4"/>
    </row>
    <row r="1000">
      <c r="B1000" s="4"/>
      <c r="D1000" s="4"/>
    </row>
    <row r="1001">
      <c r="B1001" s="4"/>
      <c r="D1001" s="4"/>
    </row>
    <row r="1002">
      <c r="B1002" s="4"/>
      <c r="D100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tr">
        <f t="array" ref="B1:S30">transpose(sort(transpose(Full!A1:R30),1,true))</f>
        <v>Cupertino A</v>
      </c>
      <c r="C1" s="2" t="s">
        <v>8</v>
      </c>
      <c r="D1" s="2" t="s">
        <v>0</v>
      </c>
      <c r="E1" s="2" t="s">
        <v>0</v>
      </c>
      <c r="F1" s="2" t="s">
        <v>2</v>
      </c>
      <c r="G1" s="2" t="s">
        <v>2</v>
      </c>
      <c r="H1" s="2" t="s">
        <v>4</v>
      </c>
      <c r="I1" s="2" t="s">
        <v>4</v>
      </c>
      <c r="J1" s="2" t="s">
        <v>6</v>
      </c>
      <c r="K1" s="2" t="s">
        <v>6</v>
      </c>
      <c r="L1" s="2" t="s">
        <v>7</v>
      </c>
      <c r="M1" s="2" t="s">
        <v>7</v>
      </c>
      <c r="N1" s="2" t="s">
        <v>5</v>
      </c>
      <c r="O1" s="2" t="s">
        <v>5</v>
      </c>
      <c r="P1" s="2" t="s">
        <v>3</v>
      </c>
      <c r="Q1" s="2" t="s">
        <v>3</v>
      </c>
      <c r="R1" s="2" t="s">
        <v>1</v>
      </c>
      <c r="S1" s="2" t="s">
        <v>1</v>
      </c>
    </row>
    <row r="2">
      <c r="B2" s="2" t="s">
        <v>16</v>
      </c>
      <c r="C2" s="2" t="s">
        <v>19</v>
      </c>
      <c r="D2" s="2" t="s">
        <v>16</v>
      </c>
      <c r="E2" s="2" t="s">
        <v>19</v>
      </c>
      <c r="F2" s="2" t="s">
        <v>16</v>
      </c>
      <c r="G2" s="2" t="s">
        <v>19</v>
      </c>
      <c r="H2" s="2" t="s">
        <v>16</v>
      </c>
      <c r="I2" s="2" t="s">
        <v>19</v>
      </c>
      <c r="J2" s="2" t="s">
        <v>16</v>
      </c>
      <c r="K2" s="2" t="s">
        <v>19</v>
      </c>
      <c r="L2" s="2" t="s">
        <v>16</v>
      </c>
      <c r="M2" s="2" t="s">
        <v>19</v>
      </c>
      <c r="N2" s="2" t="s">
        <v>16</v>
      </c>
      <c r="O2" s="2" t="s">
        <v>19</v>
      </c>
      <c r="P2" s="2" t="s">
        <v>16</v>
      </c>
      <c r="Q2" s="2" t="s">
        <v>19</v>
      </c>
      <c r="R2" s="2" t="s">
        <v>16</v>
      </c>
      <c r="S2" s="2" t="s">
        <v>19</v>
      </c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47</v>
      </c>
      <c r="B4" s="2"/>
      <c r="C4" s="2"/>
      <c r="D4" s="2">
        <v>0.0</v>
      </c>
      <c r="E4" s="2">
        <v>4.0</v>
      </c>
      <c r="F4" s="2">
        <v>0.0</v>
      </c>
      <c r="G4" s="2">
        <v>4.0</v>
      </c>
      <c r="H4" s="2">
        <v>0.0</v>
      </c>
      <c r="I4" s="2">
        <v>4.0</v>
      </c>
      <c r="J4" s="2"/>
      <c r="K4" s="2">
        <v>0.0</v>
      </c>
      <c r="L4" s="2"/>
      <c r="M4" s="2">
        <v>4.0</v>
      </c>
      <c r="N4" s="2"/>
      <c r="O4" s="2">
        <v>0.0</v>
      </c>
      <c r="P4" s="2"/>
      <c r="Q4" s="2">
        <v>0.0</v>
      </c>
      <c r="R4" s="2"/>
      <c r="S4" s="2">
        <v>0.0</v>
      </c>
    </row>
    <row r="5">
      <c r="A5" s="2" t="s">
        <v>48</v>
      </c>
      <c r="B5" s="2"/>
      <c r="C5" s="2"/>
      <c r="D5" s="2"/>
      <c r="E5" s="2">
        <v>4.0</v>
      </c>
      <c r="F5" s="2"/>
      <c r="G5" s="2">
        <v>4.0</v>
      </c>
      <c r="H5" s="2"/>
      <c r="I5" s="2">
        <v>4.0</v>
      </c>
      <c r="J5" s="2">
        <v>10.0</v>
      </c>
      <c r="K5" s="2">
        <v>14.0</v>
      </c>
      <c r="L5" s="2"/>
      <c r="M5" s="2">
        <v>4.0</v>
      </c>
      <c r="N5" s="2">
        <v>10.0</v>
      </c>
      <c r="O5" s="2">
        <v>14.0</v>
      </c>
      <c r="P5" s="2"/>
      <c r="Q5" s="2">
        <v>4.0</v>
      </c>
      <c r="R5" s="2">
        <v>10.0</v>
      </c>
      <c r="S5" s="2">
        <v>14.0</v>
      </c>
    </row>
    <row r="6">
      <c r="A6" s="2" t="s">
        <v>49</v>
      </c>
      <c r="B6" s="2"/>
      <c r="C6" s="2"/>
      <c r="D6" s="2"/>
      <c r="E6" s="2">
        <v>4.0</v>
      </c>
      <c r="F6" s="2">
        <v>10.0</v>
      </c>
      <c r="G6" s="2">
        <v>18.0</v>
      </c>
      <c r="H6" s="2">
        <v>10.0</v>
      </c>
      <c r="I6" s="2">
        <v>18.0</v>
      </c>
      <c r="J6" s="2">
        <v>10.0</v>
      </c>
      <c r="K6" s="2">
        <v>28.0</v>
      </c>
      <c r="L6" s="2"/>
      <c r="M6" s="2">
        <v>4.0</v>
      </c>
      <c r="N6" s="2"/>
      <c r="O6" s="2">
        <v>14.0</v>
      </c>
      <c r="P6" s="2"/>
      <c r="Q6" s="2">
        <v>4.0</v>
      </c>
      <c r="R6" s="2">
        <v>0.0</v>
      </c>
      <c r="S6" s="2">
        <v>18.0</v>
      </c>
    </row>
    <row r="7">
      <c r="A7" s="2" t="s">
        <v>50</v>
      </c>
      <c r="B7" s="2"/>
      <c r="C7" s="2"/>
      <c r="D7" s="2"/>
      <c r="E7" s="2">
        <v>4.0</v>
      </c>
      <c r="F7" s="2"/>
      <c r="G7" s="2">
        <v>18.0</v>
      </c>
      <c r="H7" s="2"/>
      <c r="I7" s="2">
        <v>18.0</v>
      </c>
      <c r="J7" s="2"/>
      <c r="K7" s="2">
        <v>28.0</v>
      </c>
      <c r="L7" s="2">
        <v>10.0</v>
      </c>
      <c r="M7" s="2">
        <v>22.0</v>
      </c>
      <c r="N7" s="2">
        <v>10.0</v>
      </c>
      <c r="O7" s="2">
        <v>28.0</v>
      </c>
      <c r="P7" s="2"/>
      <c r="Q7" s="2">
        <v>8.0</v>
      </c>
      <c r="R7" s="2"/>
      <c r="S7" s="2">
        <v>18.0</v>
      </c>
    </row>
    <row r="8">
      <c r="A8" s="2" t="s">
        <v>51</v>
      </c>
      <c r="B8" s="2"/>
      <c r="C8" s="2"/>
      <c r="D8" s="2"/>
      <c r="E8" s="2">
        <v>4.0</v>
      </c>
      <c r="F8" s="2">
        <v>10.0</v>
      </c>
      <c r="G8" s="2">
        <v>32.0</v>
      </c>
      <c r="H8" s="2"/>
      <c r="I8" s="2">
        <v>18.0</v>
      </c>
      <c r="J8" s="2"/>
      <c r="K8" s="2">
        <v>28.0</v>
      </c>
      <c r="L8" s="2"/>
      <c r="M8" s="2">
        <v>26.0</v>
      </c>
      <c r="N8" s="2">
        <v>10.0</v>
      </c>
      <c r="O8" s="2">
        <v>42.0</v>
      </c>
      <c r="P8" s="2"/>
      <c r="Q8" s="2">
        <v>8.0</v>
      </c>
      <c r="R8" s="2">
        <v>10.0</v>
      </c>
      <c r="S8" s="2">
        <v>32.0</v>
      </c>
    </row>
    <row r="9">
      <c r="A9" s="2" t="s">
        <v>52</v>
      </c>
      <c r="B9" s="2"/>
      <c r="C9" s="2"/>
      <c r="D9" s="2"/>
      <c r="E9" s="2">
        <v>4.0</v>
      </c>
      <c r="F9" s="2">
        <v>10.0</v>
      </c>
      <c r="G9" s="2">
        <v>46.0</v>
      </c>
      <c r="H9" s="2">
        <v>10.0</v>
      </c>
      <c r="I9" s="2">
        <v>32.0</v>
      </c>
      <c r="J9" s="2"/>
      <c r="K9" s="2">
        <v>28.0</v>
      </c>
      <c r="L9" s="2">
        <v>0.0</v>
      </c>
      <c r="M9" s="2">
        <v>30.0</v>
      </c>
      <c r="N9" s="2"/>
      <c r="O9" s="2">
        <v>42.0</v>
      </c>
      <c r="P9" s="2"/>
      <c r="Q9" s="2">
        <v>8.0</v>
      </c>
      <c r="R9" s="2"/>
      <c r="S9" s="2">
        <v>32.0</v>
      </c>
    </row>
    <row r="10">
      <c r="A10" s="2" t="s">
        <v>47</v>
      </c>
      <c r="B10" s="2"/>
      <c r="C10" s="2"/>
      <c r="D10" s="2"/>
      <c r="E10" s="2">
        <v>4.0</v>
      </c>
      <c r="F10" s="2">
        <v>10.0</v>
      </c>
      <c r="G10" s="2">
        <v>60.0</v>
      </c>
      <c r="H10" s="2"/>
      <c r="I10" s="2">
        <v>32.0</v>
      </c>
      <c r="J10" s="2"/>
      <c r="K10" s="2">
        <v>28.0</v>
      </c>
      <c r="L10" s="2"/>
      <c r="M10" s="2">
        <v>30.0</v>
      </c>
      <c r="N10" s="2">
        <v>10.0</v>
      </c>
      <c r="O10" s="2">
        <v>56.0</v>
      </c>
      <c r="P10" s="2"/>
      <c r="Q10" s="2">
        <v>8.0</v>
      </c>
      <c r="R10" s="2"/>
      <c r="S10" s="2">
        <v>32.0</v>
      </c>
    </row>
    <row r="11">
      <c r="A11" s="2" t="s">
        <v>48</v>
      </c>
      <c r="B11" s="2"/>
      <c r="C11" s="2"/>
      <c r="D11" s="2"/>
      <c r="E11" s="2">
        <v>4.0</v>
      </c>
      <c r="F11" s="2"/>
      <c r="G11" s="2">
        <v>60.0</v>
      </c>
      <c r="H11" s="2"/>
      <c r="I11" s="2">
        <v>32.0</v>
      </c>
      <c r="J11" s="2">
        <v>10.0</v>
      </c>
      <c r="K11" s="2">
        <v>42.0</v>
      </c>
      <c r="L11" s="2"/>
      <c r="M11" s="2">
        <v>30.0</v>
      </c>
      <c r="N11" s="2">
        <v>10.0</v>
      </c>
      <c r="O11" s="2">
        <v>70.0</v>
      </c>
      <c r="P11" s="2"/>
      <c r="Q11" s="2">
        <v>8.0</v>
      </c>
      <c r="R11" s="2"/>
      <c r="S11" s="2">
        <v>32.0</v>
      </c>
    </row>
    <row r="12">
      <c r="A12" s="2" t="s">
        <v>49</v>
      </c>
      <c r="B12" s="2"/>
      <c r="C12" s="2"/>
      <c r="D12" s="2"/>
      <c r="E12" s="2">
        <v>4.0</v>
      </c>
      <c r="F12" s="2">
        <v>10.0</v>
      </c>
      <c r="G12" s="2">
        <v>74.0</v>
      </c>
      <c r="H12" s="2">
        <v>10.0</v>
      </c>
      <c r="I12" s="2">
        <v>46.0</v>
      </c>
      <c r="J12" s="2">
        <v>10.0</v>
      </c>
      <c r="K12" s="2">
        <v>56.0</v>
      </c>
      <c r="L12" s="2"/>
      <c r="M12" s="2">
        <v>30.0</v>
      </c>
      <c r="N12" s="2"/>
      <c r="O12" s="2">
        <v>70.0</v>
      </c>
      <c r="P12" s="2"/>
      <c r="Q12" s="2">
        <v>8.0</v>
      </c>
      <c r="R12" s="2">
        <v>0.0</v>
      </c>
      <c r="S12" s="2">
        <v>36.0</v>
      </c>
    </row>
    <row r="13">
      <c r="A13" s="2" t="s">
        <v>50</v>
      </c>
      <c r="B13" s="2"/>
      <c r="C13" s="2"/>
      <c r="D13" s="2"/>
      <c r="E13" s="2">
        <v>4.0</v>
      </c>
      <c r="F13" s="2">
        <v>0.0</v>
      </c>
      <c r="G13" s="2">
        <v>78.0</v>
      </c>
      <c r="H13" s="2"/>
      <c r="I13" s="2">
        <v>46.0</v>
      </c>
      <c r="J13" s="2"/>
      <c r="K13" s="2">
        <v>56.0</v>
      </c>
      <c r="L13" s="2">
        <v>10.0</v>
      </c>
      <c r="M13" s="2">
        <v>44.0</v>
      </c>
      <c r="N13" s="2">
        <v>10.0</v>
      </c>
      <c r="O13" s="2">
        <v>84.0</v>
      </c>
      <c r="P13" s="2"/>
      <c r="Q13" s="2">
        <v>8.0</v>
      </c>
      <c r="R13" s="2"/>
      <c r="S13" s="2">
        <v>36.0</v>
      </c>
    </row>
    <row r="14">
      <c r="A14" s="2" t="s">
        <v>51</v>
      </c>
      <c r="B14" s="2"/>
      <c r="C14" s="2"/>
      <c r="D14" s="2"/>
      <c r="E14" s="2">
        <v>4.0</v>
      </c>
      <c r="F14" s="2">
        <v>10.0</v>
      </c>
      <c r="G14" s="2">
        <v>92.0</v>
      </c>
      <c r="H14" s="2"/>
      <c r="I14" s="2">
        <v>46.0</v>
      </c>
      <c r="J14" s="2"/>
      <c r="K14" s="2">
        <v>56.0</v>
      </c>
      <c r="L14" s="2">
        <v>0.0</v>
      </c>
      <c r="M14" s="2">
        <v>48.0</v>
      </c>
      <c r="N14" s="2">
        <v>10.0</v>
      </c>
      <c r="O14" s="2">
        <v>98.0</v>
      </c>
      <c r="P14" s="2"/>
      <c r="Q14" s="2">
        <v>8.0</v>
      </c>
      <c r="R14" s="2"/>
      <c r="S14" s="2">
        <v>36.0</v>
      </c>
    </row>
    <row r="15">
      <c r="A15" s="2" t="s">
        <v>52</v>
      </c>
      <c r="B15" s="2"/>
      <c r="C15" s="2"/>
      <c r="D15" s="2"/>
      <c r="E15" s="2">
        <v>4.0</v>
      </c>
      <c r="F15" s="2"/>
      <c r="G15" s="2">
        <v>92.0</v>
      </c>
      <c r="H15" s="2"/>
      <c r="I15" s="2">
        <v>46.0</v>
      </c>
      <c r="J15" s="2"/>
      <c r="K15" s="2">
        <v>56.0</v>
      </c>
      <c r="L15" s="2">
        <v>0.0</v>
      </c>
      <c r="M15" s="2">
        <v>52.0</v>
      </c>
      <c r="N15" s="2">
        <v>10.0</v>
      </c>
      <c r="O15" s="2">
        <v>112.0</v>
      </c>
      <c r="P15" s="2">
        <v>0.0</v>
      </c>
      <c r="Q15" s="2">
        <v>16.0</v>
      </c>
      <c r="R15" s="2">
        <v>0.0</v>
      </c>
      <c r="S15" s="2">
        <v>40.0</v>
      </c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2" t="s">
        <v>47</v>
      </c>
      <c r="B17" s="2"/>
      <c r="C17" s="2"/>
      <c r="D17" s="2"/>
      <c r="E17" s="2">
        <v>4.0</v>
      </c>
      <c r="F17" s="2">
        <v>10.0</v>
      </c>
      <c r="G17" s="2">
        <v>106.0</v>
      </c>
      <c r="H17" s="2"/>
      <c r="I17" s="2">
        <v>46.0</v>
      </c>
      <c r="J17" s="2">
        <v>10.0</v>
      </c>
      <c r="K17" s="2">
        <v>70.0</v>
      </c>
      <c r="L17" s="2"/>
      <c r="M17" s="2">
        <v>52.0</v>
      </c>
      <c r="N17" s="2">
        <v>10.0</v>
      </c>
      <c r="O17" s="2">
        <v>126.0</v>
      </c>
      <c r="P17" s="2"/>
      <c r="Q17" s="2">
        <v>16.0</v>
      </c>
      <c r="R17" s="2">
        <v>10.0</v>
      </c>
      <c r="S17" s="2">
        <v>58.0</v>
      </c>
    </row>
    <row r="18">
      <c r="A18" s="2" t="s">
        <v>48</v>
      </c>
      <c r="B18" s="2"/>
      <c r="C18" s="2"/>
      <c r="D18" s="2"/>
      <c r="E18" s="2">
        <v>4.0</v>
      </c>
      <c r="F18" s="2"/>
      <c r="G18" s="2">
        <v>106.0</v>
      </c>
      <c r="H18" s="2"/>
      <c r="I18" s="2">
        <v>46.0</v>
      </c>
      <c r="J18" s="2">
        <v>10.0</v>
      </c>
      <c r="K18" s="2">
        <v>84.0</v>
      </c>
      <c r="L18" s="2"/>
      <c r="M18" s="2">
        <v>52.0</v>
      </c>
      <c r="N18" s="2">
        <v>10.0</v>
      </c>
      <c r="O18" s="2">
        <v>140.0</v>
      </c>
      <c r="P18" s="2">
        <v>10.0</v>
      </c>
      <c r="Q18" s="2">
        <v>34.0</v>
      </c>
      <c r="R18" s="2"/>
      <c r="S18" s="2">
        <v>58.0</v>
      </c>
    </row>
    <row r="19">
      <c r="A19" s="2" t="s">
        <v>49</v>
      </c>
      <c r="B19" s="2"/>
      <c r="C19" s="2"/>
      <c r="D19" s="2"/>
      <c r="E19" s="2">
        <v>4.0</v>
      </c>
      <c r="F19" s="2"/>
      <c r="G19" s="2">
        <v>106.0</v>
      </c>
      <c r="H19" s="2">
        <v>10.0</v>
      </c>
      <c r="I19" s="2">
        <v>60.0</v>
      </c>
      <c r="J19" s="2">
        <v>10.0</v>
      </c>
      <c r="K19" s="2">
        <v>98.0</v>
      </c>
      <c r="L19" s="2"/>
      <c r="M19" s="2">
        <v>52.0</v>
      </c>
      <c r="N19" s="2"/>
      <c r="O19" s="2">
        <v>140.0</v>
      </c>
      <c r="P19" s="2"/>
      <c r="Q19" s="2">
        <v>38.0</v>
      </c>
      <c r="R19" s="2">
        <v>0.0</v>
      </c>
      <c r="S19" s="2">
        <v>62.0</v>
      </c>
    </row>
    <row r="20">
      <c r="A20" s="2" t="s">
        <v>50</v>
      </c>
      <c r="B20" s="2"/>
      <c r="C20" s="2"/>
      <c r="D20" s="2">
        <v>0.0</v>
      </c>
      <c r="E20" s="2">
        <v>8.0</v>
      </c>
      <c r="F20" s="2">
        <v>10.0</v>
      </c>
      <c r="G20" s="2">
        <v>120.0</v>
      </c>
      <c r="H20" s="2"/>
      <c r="I20" s="2">
        <v>60.0</v>
      </c>
      <c r="J20" s="2"/>
      <c r="K20" s="2">
        <v>98.0</v>
      </c>
      <c r="L20" s="2">
        <v>10.0</v>
      </c>
      <c r="M20" s="2">
        <v>66.0</v>
      </c>
      <c r="N20" s="2">
        <v>0.0</v>
      </c>
      <c r="O20" s="2">
        <v>144.0</v>
      </c>
      <c r="P20" s="2"/>
      <c r="Q20" s="2">
        <v>38.0</v>
      </c>
      <c r="R20" s="2"/>
      <c r="S20" s="2">
        <v>62.0</v>
      </c>
    </row>
    <row r="21">
      <c r="A21" s="2" t="s">
        <v>51</v>
      </c>
      <c r="B21" s="2"/>
      <c r="C21" s="2"/>
      <c r="D21" s="2"/>
      <c r="E21" s="2">
        <v>8.0</v>
      </c>
      <c r="F21" s="2">
        <v>10.0</v>
      </c>
      <c r="G21" s="2">
        <v>134.0</v>
      </c>
      <c r="H21" s="2">
        <v>10.0</v>
      </c>
      <c r="I21" s="2">
        <v>74.0</v>
      </c>
      <c r="J21" s="2">
        <v>10.0</v>
      </c>
      <c r="K21" s="2">
        <v>112.0</v>
      </c>
      <c r="L21" s="2"/>
      <c r="M21" s="2">
        <v>66.0</v>
      </c>
      <c r="N21" s="2"/>
      <c r="O21" s="2">
        <v>144.0</v>
      </c>
      <c r="P21" s="2"/>
      <c r="Q21" s="2">
        <v>38.0</v>
      </c>
      <c r="R21" s="2">
        <v>10.0</v>
      </c>
      <c r="S21" s="2">
        <v>76.0</v>
      </c>
    </row>
    <row r="22">
      <c r="A22" s="2" t="s">
        <v>52</v>
      </c>
      <c r="B22" s="2"/>
      <c r="C22" s="2"/>
      <c r="D22" s="2">
        <v>0.0</v>
      </c>
      <c r="E22" s="2">
        <v>12.0</v>
      </c>
      <c r="F22" s="2">
        <v>0.0</v>
      </c>
      <c r="G22" s="2">
        <v>138.0</v>
      </c>
      <c r="H22" s="2">
        <v>0.0</v>
      </c>
      <c r="I22" s="2">
        <v>78.0</v>
      </c>
      <c r="J22" s="2">
        <v>10.0</v>
      </c>
      <c r="K22" s="2">
        <v>130.0</v>
      </c>
      <c r="L22" s="2"/>
      <c r="M22" s="2">
        <v>66.0</v>
      </c>
      <c r="N22" s="2"/>
      <c r="O22" s="2">
        <v>144.0</v>
      </c>
      <c r="P22" s="2"/>
      <c r="Q22" s="2">
        <v>38.0</v>
      </c>
      <c r="R22" s="2"/>
      <c r="S22" s="2">
        <v>76.0</v>
      </c>
    </row>
    <row r="23">
      <c r="A23" s="2" t="s">
        <v>47</v>
      </c>
      <c r="B23" s="2"/>
      <c r="C23" s="2"/>
      <c r="D23" s="2"/>
      <c r="E23" s="2">
        <v>12.0</v>
      </c>
      <c r="F23" s="2">
        <v>10.0</v>
      </c>
      <c r="G23" s="2">
        <v>152.0</v>
      </c>
      <c r="H23" s="2"/>
      <c r="I23" s="2">
        <v>78.0</v>
      </c>
      <c r="J23" s="2"/>
      <c r="K23" s="2">
        <v>130.0</v>
      </c>
      <c r="L23" s="2"/>
      <c r="M23" s="2">
        <v>70.0</v>
      </c>
      <c r="N23" s="2">
        <v>0.0</v>
      </c>
      <c r="O23" s="2">
        <v>148.0</v>
      </c>
      <c r="P23" s="2"/>
      <c r="Q23" s="2">
        <v>38.0</v>
      </c>
      <c r="R23" s="2"/>
      <c r="S23" s="2">
        <v>76.0</v>
      </c>
    </row>
    <row r="24">
      <c r="A24" s="2" t="s">
        <v>48</v>
      </c>
      <c r="B24" s="2"/>
      <c r="C24" s="2"/>
      <c r="D24" s="2"/>
      <c r="E24" s="2">
        <v>12.0</v>
      </c>
      <c r="F24" s="2">
        <v>10.0</v>
      </c>
      <c r="G24" s="2">
        <v>166.0</v>
      </c>
      <c r="H24" s="2"/>
      <c r="I24" s="2">
        <v>78.0</v>
      </c>
      <c r="J24" s="2">
        <v>10.0</v>
      </c>
      <c r="K24" s="2">
        <v>144.0</v>
      </c>
      <c r="L24" s="2"/>
      <c r="M24" s="2">
        <v>70.0</v>
      </c>
      <c r="N24" s="2">
        <v>10.0</v>
      </c>
      <c r="O24" s="2">
        <v>162.0</v>
      </c>
      <c r="P24" s="2"/>
      <c r="Q24" s="2">
        <v>38.0</v>
      </c>
      <c r="R24" s="2">
        <v>10.0</v>
      </c>
      <c r="S24" s="2">
        <v>90.0</v>
      </c>
    </row>
    <row r="25">
      <c r="A25" s="2" t="s">
        <v>49</v>
      </c>
      <c r="B25" s="2"/>
      <c r="C25" s="2"/>
      <c r="D25" s="2"/>
      <c r="E25" s="2">
        <v>12.0</v>
      </c>
      <c r="F25" s="2">
        <v>10.0</v>
      </c>
      <c r="G25" s="2">
        <v>180.0</v>
      </c>
      <c r="H25" s="2">
        <v>10.0</v>
      </c>
      <c r="I25" s="2">
        <v>92.0</v>
      </c>
      <c r="J25" s="2"/>
      <c r="K25" s="2">
        <v>144.0</v>
      </c>
      <c r="L25" s="2">
        <v>0.0</v>
      </c>
      <c r="M25" s="2">
        <v>74.0</v>
      </c>
      <c r="N25" s="2"/>
      <c r="O25" s="2">
        <v>162.0</v>
      </c>
      <c r="P25" s="2"/>
      <c r="Q25" s="2">
        <v>38.0</v>
      </c>
      <c r="R25" s="2">
        <v>10.0</v>
      </c>
      <c r="S25" s="2">
        <v>104.0</v>
      </c>
    </row>
    <row r="26">
      <c r="A26" s="2" t="s">
        <v>50</v>
      </c>
      <c r="B26" s="2"/>
      <c r="C26" s="2"/>
      <c r="D26" s="2"/>
      <c r="E26" s="2">
        <v>12.0</v>
      </c>
      <c r="F26" s="2">
        <v>10.0</v>
      </c>
      <c r="G26" s="2">
        <v>194.0</v>
      </c>
      <c r="H26" s="2"/>
      <c r="I26" s="2">
        <v>92.0</v>
      </c>
      <c r="J26" s="2">
        <v>10.0</v>
      </c>
      <c r="K26" s="2">
        <v>158.0</v>
      </c>
      <c r="L26" s="2"/>
      <c r="M26" s="2">
        <v>74.0</v>
      </c>
      <c r="N26" s="2">
        <v>10.0</v>
      </c>
      <c r="O26" s="2">
        <v>176.0</v>
      </c>
      <c r="P26" s="2"/>
      <c r="Q26" s="2">
        <v>38.0</v>
      </c>
      <c r="R26" s="2">
        <v>0.0</v>
      </c>
      <c r="S26" s="2">
        <v>108.0</v>
      </c>
    </row>
    <row r="27">
      <c r="A27" s="2" t="s">
        <v>51</v>
      </c>
      <c r="B27" s="2"/>
      <c r="C27" s="2"/>
      <c r="D27" s="2"/>
      <c r="E27" s="2">
        <v>12.0</v>
      </c>
      <c r="F27" s="2">
        <v>10.0</v>
      </c>
      <c r="G27" s="2">
        <v>208.0</v>
      </c>
      <c r="H27" s="2"/>
      <c r="I27" s="2">
        <v>92.0</v>
      </c>
      <c r="J27" s="2">
        <v>0.0</v>
      </c>
      <c r="K27" s="2">
        <v>162.0</v>
      </c>
      <c r="L27" s="2"/>
      <c r="M27" s="2">
        <v>74.0</v>
      </c>
      <c r="N27" s="2">
        <v>0.0</v>
      </c>
      <c r="O27" s="2">
        <v>180.0</v>
      </c>
      <c r="P27" s="2"/>
      <c r="Q27" s="2">
        <v>38.0</v>
      </c>
      <c r="R27" s="2"/>
      <c r="S27" s="2">
        <v>108.0</v>
      </c>
    </row>
    <row r="28">
      <c r="A28" s="2" t="s">
        <v>52</v>
      </c>
      <c r="B28" s="2"/>
      <c r="C28" s="2"/>
      <c r="D28" s="2"/>
      <c r="E28" s="2">
        <v>12.0</v>
      </c>
      <c r="F28" s="2">
        <v>10.0</v>
      </c>
      <c r="G28" s="2">
        <v>222.0</v>
      </c>
      <c r="H28" s="2">
        <v>10.0</v>
      </c>
      <c r="I28" s="2">
        <v>106.0</v>
      </c>
      <c r="J28" s="2">
        <v>10.0</v>
      </c>
      <c r="K28" s="2">
        <v>176.0</v>
      </c>
      <c r="L28" s="2"/>
      <c r="M28" s="2">
        <v>74.0</v>
      </c>
      <c r="N28" s="2"/>
      <c r="O28" s="2">
        <v>180.0</v>
      </c>
      <c r="P28" s="2"/>
      <c r="Q28" s="2">
        <v>38.0</v>
      </c>
      <c r="R28" s="2">
        <v>0.0</v>
      </c>
      <c r="S28" s="2">
        <v>112.0</v>
      </c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B31" s="2" t="str">
        <f t="array" ref="B31:S60">transpose(sort(transpose(Full!A31:R60),1,true))</f>
        <v>Cupertino A</v>
      </c>
      <c r="C31" s="2" t="s">
        <v>8</v>
      </c>
      <c r="D31" s="2" t="s">
        <v>0</v>
      </c>
      <c r="E31" s="2" t="s">
        <v>0</v>
      </c>
      <c r="F31" s="2" t="s">
        <v>2</v>
      </c>
      <c r="G31" s="2" t="s">
        <v>2</v>
      </c>
      <c r="H31" s="2" t="s">
        <v>4</v>
      </c>
      <c r="I31" s="2" t="s">
        <v>4</v>
      </c>
      <c r="J31" s="2" t="s">
        <v>6</v>
      </c>
      <c r="K31" s="2" t="s">
        <v>6</v>
      </c>
      <c r="L31" s="2" t="s">
        <v>7</v>
      </c>
      <c r="M31" s="2" t="s">
        <v>7</v>
      </c>
      <c r="N31" s="2" t="s">
        <v>5</v>
      </c>
      <c r="O31" s="2" t="s">
        <v>5</v>
      </c>
      <c r="P31" s="2" t="s">
        <v>3</v>
      </c>
      <c r="Q31" s="2" t="s">
        <v>3</v>
      </c>
      <c r="R31" s="2" t="s">
        <v>1</v>
      </c>
      <c r="S31" s="2" t="s">
        <v>1</v>
      </c>
    </row>
    <row r="32">
      <c r="B32" s="2" t="s">
        <v>16</v>
      </c>
      <c r="C32" s="2" t="s">
        <v>19</v>
      </c>
      <c r="D32" s="2" t="s">
        <v>16</v>
      </c>
      <c r="E32" s="2" t="s">
        <v>19</v>
      </c>
      <c r="F32" s="2" t="s">
        <v>16</v>
      </c>
      <c r="G32" s="2" t="s">
        <v>19</v>
      </c>
      <c r="H32" s="2" t="s">
        <v>16</v>
      </c>
      <c r="I32" s="2" t="s">
        <v>19</v>
      </c>
      <c r="J32" s="2" t="s">
        <v>16</v>
      </c>
      <c r="K32" s="2" t="s">
        <v>19</v>
      </c>
      <c r="L32" s="2" t="s">
        <v>16</v>
      </c>
      <c r="M32" s="2" t="s">
        <v>19</v>
      </c>
      <c r="N32" s="2" t="s">
        <v>16</v>
      </c>
      <c r="O32" s="2" t="s">
        <v>19</v>
      </c>
      <c r="P32" s="2" t="s">
        <v>16</v>
      </c>
      <c r="Q32" s="2" t="s">
        <v>19</v>
      </c>
      <c r="R32" s="2" t="s">
        <v>16</v>
      </c>
      <c r="S32" s="2" t="s">
        <v>19</v>
      </c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 t="s">
        <v>47</v>
      </c>
      <c r="B34" s="2"/>
      <c r="C34" s="2">
        <v>0.0</v>
      </c>
      <c r="D34" s="2">
        <v>10.0</v>
      </c>
      <c r="E34" s="2">
        <v>14.0</v>
      </c>
      <c r="F34" s="2"/>
      <c r="G34" s="2">
        <v>0.0</v>
      </c>
      <c r="H34" s="2"/>
      <c r="I34" s="2">
        <v>0.0</v>
      </c>
      <c r="J34" s="2"/>
      <c r="K34" s="2"/>
      <c r="L34" s="2"/>
      <c r="M34" s="2">
        <v>0.0</v>
      </c>
      <c r="N34" s="2">
        <v>10.0</v>
      </c>
      <c r="O34" s="2">
        <v>14.0</v>
      </c>
      <c r="P34" s="2"/>
      <c r="Q34" s="2">
        <v>0.0</v>
      </c>
      <c r="R34" s="2">
        <v>0.0</v>
      </c>
      <c r="S34" s="2">
        <v>4.0</v>
      </c>
    </row>
    <row r="35">
      <c r="A35" s="2" t="s">
        <v>48</v>
      </c>
      <c r="B35" s="2"/>
      <c r="C35" s="2">
        <v>0.0</v>
      </c>
      <c r="D35" s="2"/>
      <c r="E35" s="2">
        <v>14.0</v>
      </c>
      <c r="F35" s="2">
        <v>10.0</v>
      </c>
      <c r="G35" s="2">
        <v>18.0</v>
      </c>
      <c r="H35" s="2">
        <v>10.0</v>
      </c>
      <c r="I35" s="2">
        <v>14.0</v>
      </c>
      <c r="J35" s="2"/>
      <c r="K35" s="2"/>
      <c r="L35" s="2"/>
      <c r="M35" s="2">
        <v>0.0</v>
      </c>
      <c r="N35" s="2"/>
      <c r="O35" s="2">
        <v>14.0</v>
      </c>
      <c r="P35" s="2">
        <v>10.0</v>
      </c>
      <c r="Q35" s="2">
        <v>14.0</v>
      </c>
      <c r="R35" s="2">
        <v>10.0</v>
      </c>
      <c r="S35" s="2">
        <v>18.0</v>
      </c>
    </row>
    <row r="36">
      <c r="A36" s="2" t="s">
        <v>49</v>
      </c>
      <c r="B36" s="2"/>
      <c r="C36" s="2">
        <v>0.0</v>
      </c>
      <c r="D36" s="2"/>
      <c r="E36" s="2">
        <v>14.0</v>
      </c>
      <c r="F36" s="2">
        <v>10.0</v>
      </c>
      <c r="G36" s="2">
        <v>32.0</v>
      </c>
      <c r="H36" s="2">
        <v>10.0</v>
      </c>
      <c r="I36" s="2">
        <v>28.0</v>
      </c>
      <c r="J36" s="2"/>
      <c r="K36" s="2"/>
      <c r="L36" s="2"/>
      <c r="M36" s="2">
        <v>0.0</v>
      </c>
      <c r="N36" s="2"/>
      <c r="O36" s="2">
        <v>14.0</v>
      </c>
      <c r="P36" s="2">
        <v>10.0</v>
      </c>
      <c r="Q36" s="2">
        <v>28.0</v>
      </c>
      <c r="R36" s="2"/>
      <c r="S36" s="2">
        <v>22.0</v>
      </c>
    </row>
    <row r="37">
      <c r="A37" s="2" t="s">
        <v>50</v>
      </c>
      <c r="B37" s="2">
        <v>10.0</v>
      </c>
      <c r="C37" s="2">
        <v>14.0</v>
      </c>
      <c r="D37" s="2"/>
      <c r="E37" s="2">
        <v>14.0</v>
      </c>
      <c r="F37" s="2">
        <v>10.0</v>
      </c>
      <c r="G37" s="2">
        <v>46.0</v>
      </c>
      <c r="H37" s="2">
        <v>10.0</v>
      </c>
      <c r="I37" s="2">
        <v>42.0</v>
      </c>
      <c r="J37" s="2"/>
      <c r="K37" s="2"/>
      <c r="L37" s="2"/>
      <c r="M37" s="2">
        <v>0.0</v>
      </c>
      <c r="N37" s="2"/>
      <c r="O37" s="2">
        <v>14.0</v>
      </c>
      <c r="P37" s="2"/>
      <c r="Q37" s="2">
        <v>28.0</v>
      </c>
      <c r="R37" s="2"/>
      <c r="S37" s="2">
        <v>22.0</v>
      </c>
    </row>
    <row r="38">
      <c r="A38" s="2" t="s">
        <v>51</v>
      </c>
      <c r="B38" s="2">
        <v>0.0</v>
      </c>
      <c r="C38" s="2">
        <v>18.0</v>
      </c>
      <c r="D38" s="2">
        <v>0.0</v>
      </c>
      <c r="E38" s="2">
        <v>18.0</v>
      </c>
      <c r="F38" s="2">
        <v>0.0</v>
      </c>
      <c r="G38" s="2">
        <v>50.0</v>
      </c>
      <c r="H38" s="2">
        <v>0.0</v>
      </c>
      <c r="I38" s="2">
        <v>46.0</v>
      </c>
      <c r="J38" s="2"/>
      <c r="K38" s="2"/>
      <c r="L38" s="2"/>
      <c r="M38" s="2">
        <v>0.0</v>
      </c>
      <c r="N38" s="2"/>
      <c r="O38" s="2">
        <v>14.0</v>
      </c>
      <c r="P38" s="2"/>
      <c r="Q38" s="2">
        <v>28.0</v>
      </c>
      <c r="R38" s="2"/>
      <c r="S38" s="2">
        <v>22.0</v>
      </c>
    </row>
    <row r="39">
      <c r="A39" s="2" t="s">
        <v>52</v>
      </c>
      <c r="B39" s="2">
        <v>0.0</v>
      </c>
      <c r="C39" s="2">
        <v>22.0</v>
      </c>
      <c r="D39" s="2"/>
      <c r="E39" s="2">
        <v>18.0</v>
      </c>
      <c r="F39" s="2">
        <v>0.0</v>
      </c>
      <c r="G39" s="2">
        <v>54.0</v>
      </c>
      <c r="H39" s="2">
        <v>0.0</v>
      </c>
      <c r="I39" s="2">
        <v>50.0</v>
      </c>
      <c r="J39" s="2"/>
      <c r="K39" s="2"/>
      <c r="L39" s="2"/>
      <c r="M39" s="2">
        <v>0.0</v>
      </c>
      <c r="N39" s="2"/>
      <c r="O39" s="2">
        <v>14.0</v>
      </c>
      <c r="P39" s="2">
        <v>0.0</v>
      </c>
      <c r="Q39" s="2">
        <v>32.0</v>
      </c>
      <c r="R39" s="2"/>
      <c r="S39" s="2">
        <v>22.0</v>
      </c>
    </row>
    <row r="40">
      <c r="A40" s="2" t="s">
        <v>47</v>
      </c>
      <c r="B40" s="2">
        <v>0.0</v>
      </c>
      <c r="C40" s="2">
        <v>26.0</v>
      </c>
      <c r="D40" s="2"/>
      <c r="E40" s="2">
        <v>18.0</v>
      </c>
      <c r="F40" s="2">
        <v>10.0</v>
      </c>
      <c r="G40" s="2">
        <v>68.0</v>
      </c>
      <c r="H40" s="2">
        <v>10.0</v>
      </c>
      <c r="I40" s="2">
        <v>64.0</v>
      </c>
      <c r="J40" s="2"/>
      <c r="K40" s="2"/>
      <c r="L40" s="2"/>
      <c r="M40" s="2">
        <v>0.0</v>
      </c>
      <c r="N40" s="2"/>
      <c r="O40" s="2">
        <v>14.0</v>
      </c>
      <c r="P40" s="2"/>
      <c r="Q40" s="2">
        <v>32.0</v>
      </c>
      <c r="R40" s="2"/>
      <c r="S40" s="2">
        <v>22.0</v>
      </c>
    </row>
    <row r="41">
      <c r="A41" s="2" t="s">
        <v>48</v>
      </c>
      <c r="B41" s="2">
        <v>10.0</v>
      </c>
      <c r="C41" s="2">
        <v>40.0</v>
      </c>
      <c r="D41" s="2"/>
      <c r="E41" s="2">
        <v>18.0</v>
      </c>
      <c r="F41" s="2"/>
      <c r="G41" s="2">
        <v>68.0</v>
      </c>
      <c r="H41" s="2"/>
      <c r="I41" s="2">
        <v>64.0</v>
      </c>
      <c r="J41" s="2"/>
      <c r="K41" s="2"/>
      <c r="L41" s="2">
        <v>0.0</v>
      </c>
      <c r="M41" s="2">
        <v>4.0</v>
      </c>
      <c r="N41" s="2">
        <v>10.0</v>
      </c>
      <c r="O41" s="2">
        <v>28.0</v>
      </c>
      <c r="P41" s="2"/>
      <c r="Q41" s="2">
        <v>32.0</v>
      </c>
      <c r="R41" s="2"/>
      <c r="S41" s="2">
        <v>22.0</v>
      </c>
    </row>
    <row r="42">
      <c r="A42" s="2" t="s">
        <v>49</v>
      </c>
      <c r="B42" s="2">
        <v>10.0</v>
      </c>
      <c r="C42" s="2">
        <v>54.0</v>
      </c>
      <c r="D42" s="2"/>
      <c r="E42" s="2">
        <v>18.0</v>
      </c>
      <c r="F42" s="2">
        <v>10.0</v>
      </c>
      <c r="G42" s="2">
        <v>82.0</v>
      </c>
      <c r="H42" s="2"/>
      <c r="I42" s="2">
        <v>64.0</v>
      </c>
      <c r="J42" s="2"/>
      <c r="K42" s="2"/>
      <c r="L42" s="2">
        <v>10.0</v>
      </c>
      <c r="M42" s="2">
        <v>18.0</v>
      </c>
      <c r="N42" s="2"/>
      <c r="O42" s="2">
        <v>28.0</v>
      </c>
      <c r="P42" s="2"/>
      <c r="Q42" s="2">
        <v>32.0</v>
      </c>
      <c r="R42" s="2"/>
      <c r="S42" s="2">
        <v>22.0</v>
      </c>
    </row>
    <row r="43">
      <c r="A43" s="2" t="s">
        <v>50</v>
      </c>
      <c r="B43" s="2">
        <v>0.0</v>
      </c>
      <c r="C43" s="2">
        <v>58.0</v>
      </c>
      <c r="D43" s="2"/>
      <c r="E43" s="2">
        <v>18.0</v>
      </c>
      <c r="F43" s="2"/>
      <c r="G43" s="2">
        <v>82.0</v>
      </c>
      <c r="H43" s="2"/>
      <c r="I43" s="2">
        <v>64.0</v>
      </c>
      <c r="J43" s="2"/>
      <c r="K43" s="2"/>
      <c r="L43" s="2">
        <v>0.0</v>
      </c>
      <c r="M43" s="2">
        <v>22.0</v>
      </c>
      <c r="N43" s="2">
        <v>10.0</v>
      </c>
      <c r="O43" s="2">
        <v>46.0</v>
      </c>
      <c r="P43" s="2"/>
      <c r="Q43" s="2">
        <v>32.0</v>
      </c>
      <c r="R43" s="2"/>
      <c r="S43" s="2">
        <v>22.0</v>
      </c>
    </row>
    <row r="44">
      <c r="A44" s="2" t="s">
        <v>51</v>
      </c>
      <c r="B44" s="2">
        <v>10.0</v>
      </c>
      <c r="C44" s="2">
        <v>72.0</v>
      </c>
      <c r="D44" s="2"/>
      <c r="E44" s="2">
        <v>18.0</v>
      </c>
      <c r="F44" s="2">
        <v>10.0</v>
      </c>
      <c r="G44" s="2">
        <v>96.0</v>
      </c>
      <c r="H44" s="2"/>
      <c r="I44" s="2">
        <v>64.0</v>
      </c>
      <c r="J44" s="2"/>
      <c r="K44" s="2"/>
      <c r="L44" s="2"/>
      <c r="M44" s="2">
        <v>22.0</v>
      </c>
      <c r="N44" s="2"/>
      <c r="O44" s="2">
        <v>46.0</v>
      </c>
      <c r="P44" s="2"/>
      <c r="Q44" s="2">
        <v>32.0</v>
      </c>
      <c r="R44" s="2"/>
      <c r="S44" s="2">
        <v>22.0</v>
      </c>
    </row>
    <row r="45">
      <c r="A45" s="2" t="s">
        <v>52</v>
      </c>
      <c r="B45" s="2"/>
      <c r="C45" s="2">
        <v>72.0</v>
      </c>
      <c r="D45" s="2"/>
      <c r="E45" s="2">
        <v>18.0</v>
      </c>
      <c r="F45" s="2">
        <v>10.0</v>
      </c>
      <c r="G45" s="2">
        <v>110.0</v>
      </c>
      <c r="H45" s="2"/>
      <c r="I45" s="2">
        <v>64.0</v>
      </c>
      <c r="J45" s="2"/>
      <c r="K45" s="2"/>
      <c r="L45" s="2">
        <v>0.0</v>
      </c>
      <c r="M45" s="2">
        <v>26.0</v>
      </c>
      <c r="N45" s="2"/>
      <c r="O45" s="2">
        <v>46.0</v>
      </c>
      <c r="P45" s="2"/>
      <c r="Q45" s="2">
        <v>32.0</v>
      </c>
      <c r="R45" s="2">
        <v>10.0</v>
      </c>
      <c r="S45" s="2">
        <v>36.0</v>
      </c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 t="s">
        <v>47</v>
      </c>
      <c r="B47" s="2"/>
      <c r="C47" s="2">
        <v>72.0</v>
      </c>
      <c r="D47" s="2"/>
      <c r="E47" s="2">
        <v>18.0</v>
      </c>
      <c r="F47" s="2"/>
      <c r="G47" s="2">
        <v>110.0</v>
      </c>
      <c r="H47" s="2"/>
      <c r="I47" s="2">
        <v>64.0</v>
      </c>
      <c r="J47" s="2"/>
      <c r="K47" s="2"/>
      <c r="L47" s="2"/>
      <c r="M47" s="2">
        <v>26.0</v>
      </c>
      <c r="N47" s="2"/>
      <c r="O47" s="2">
        <v>50.0</v>
      </c>
      <c r="P47" s="2"/>
      <c r="Q47" s="2">
        <v>32.0</v>
      </c>
      <c r="R47" s="2"/>
      <c r="S47" s="2">
        <v>36.0</v>
      </c>
    </row>
    <row r="48">
      <c r="A48" s="2" t="s">
        <v>48</v>
      </c>
      <c r="B48" s="2">
        <v>10.0</v>
      </c>
      <c r="C48" s="2">
        <v>86.0</v>
      </c>
      <c r="D48" s="2">
        <v>10.0</v>
      </c>
      <c r="E48" s="2">
        <v>32.0</v>
      </c>
      <c r="F48" s="2">
        <v>10.0</v>
      </c>
      <c r="G48" s="2">
        <v>124.0</v>
      </c>
      <c r="H48" s="2">
        <v>10.0</v>
      </c>
      <c r="I48" s="2">
        <v>78.0</v>
      </c>
      <c r="J48" s="2"/>
      <c r="K48" s="2"/>
      <c r="L48" s="2"/>
      <c r="M48" s="2">
        <v>26.0</v>
      </c>
      <c r="N48" s="2"/>
      <c r="O48" s="2">
        <v>50.0</v>
      </c>
      <c r="P48" s="2"/>
      <c r="Q48" s="2">
        <v>32.0</v>
      </c>
      <c r="R48" s="2"/>
      <c r="S48" s="2">
        <v>36.0</v>
      </c>
    </row>
    <row r="49">
      <c r="A49" s="2" t="s">
        <v>49</v>
      </c>
      <c r="B49" s="2"/>
      <c r="C49" s="2">
        <v>86.0</v>
      </c>
      <c r="D49" s="2"/>
      <c r="E49" s="2">
        <v>32.0</v>
      </c>
      <c r="F49" s="2">
        <v>10.0</v>
      </c>
      <c r="G49" s="2">
        <v>138.0</v>
      </c>
      <c r="H49" s="2">
        <v>10.0</v>
      </c>
      <c r="I49" s="2">
        <v>92.0</v>
      </c>
      <c r="J49" s="2"/>
      <c r="K49" s="2"/>
      <c r="L49" s="2"/>
      <c r="M49" s="2">
        <v>26.0</v>
      </c>
      <c r="N49" s="2"/>
      <c r="O49" s="2">
        <v>50.0</v>
      </c>
      <c r="P49" s="2">
        <v>10.0</v>
      </c>
      <c r="Q49" s="2">
        <v>46.0</v>
      </c>
      <c r="R49" s="2">
        <v>10.0</v>
      </c>
      <c r="S49" s="2">
        <v>50.0</v>
      </c>
    </row>
    <row r="50">
      <c r="A50" s="2" t="s">
        <v>50</v>
      </c>
      <c r="B50" s="2">
        <v>10.0</v>
      </c>
      <c r="C50" s="2">
        <v>100.0</v>
      </c>
      <c r="D50" s="2">
        <v>10.0</v>
      </c>
      <c r="E50" s="2">
        <v>46.0</v>
      </c>
      <c r="F50" s="2"/>
      <c r="G50" s="2">
        <v>138.0</v>
      </c>
      <c r="H50" s="2"/>
      <c r="I50" s="2">
        <v>92.0</v>
      </c>
      <c r="J50" s="2"/>
      <c r="K50" s="2"/>
      <c r="L50" s="2"/>
      <c r="M50" s="2">
        <v>26.0</v>
      </c>
      <c r="N50" s="2">
        <v>10.0</v>
      </c>
      <c r="O50" s="2">
        <v>64.0</v>
      </c>
      <c r="P50" s="2"/>
      <c r="Q50" s="2">
        <v>46.0</v>
      </c>
      <c r="R50" s="2"/>
      <c r="S50" s="2">
        <v>50.0</v>
      </c>
    </row>
    <row r="51">
      <c r="A51" s="2" t="s">
        <v>51</v>
      </c>
      <c r="B51" s="2">
        <v>10.0</v>
      </c>
      <c r="C51" s="2">
        <v>114.0</v>
      </c>
      <c r="D51" s="2">
        <v>10.0</v>
      </c>
      <c r="E51" s="2">
        <v>60.0</v>
      </c>
      <c r="F51" s="2">
        <v>10.0</v>
      </c>
      <c r="G51" s="2">
        <v>152.0</v>
      </c>
      <c r="H51" s="2">
        <v>10.0</v>
      </c>
      <c r="I51" s="2">
        <v>106.0</v>
      </c>
      <c r="J51" s="2"/>
      <c r="K51" s="2"/>
      <c r="L51" s="2"/>
      <c r="M51" s="2">
        <v>26.0</v>
      </c>
      <c r="N51" s="2"/>
      <c r="O51" s="2">
        <v>64.0</v>
      </c>
      <c r="P51" s="2"/>
      <c r="Q51" s="2">
        <v>46.0</v>
      </c>
      <c r="R51" s="2"/>
      <c r="S51" s="2">
        <v>50.0</v>
      </c>
    </row>
    <row r="52">
      <c r="A52" s="2" t="s">
        <v>52</v>
      </c>
      <c r="B52" s="2">
        <v>0.0</v>
      </c>
      <c r="C52" s="2">
        <v>118.0</v>
      </c>
      <c r="D52" s="2">
        <v>10.0</v>
      </c>
      <c r="E52" s="2">
        <v>74.0</v>
      </c>
      <c r="F52" s="2">
        <v>10.0</v>
      </c>
      <c r="G52" s="2">
        <v>166.0</v>
      </c>
      <c r="H52" s="2">
        <v>10.0</v>
      </c>
      <c r="I52" s="2">
        <v>120.0</v>
      </c>
      <c r="J52" s="2"/>
      <c r="K52" s="2"/>
      <c r="L52" s="2"/>
      <c r="M52" s="2">
        <v>26.0</v>
      </c>
      <c r="N52" s="2"/>
      <c r="O52" s="2">
        <v>64.0</v>
      </c>
      <c r="P52" s="2"/>
      <c r="Q52" s="2">
        <v>46.0</v>
      </c>
      <c r="R52" s="2"/>
      <c r="S52" s="2">
        <v>50.0</v>
      </c>
    </row>
    <row r="53">
      <c r="A53" s="2" t="s">
        <v>47</v>
      </c>
      <c r="B53" s="2">
        <v>10.0</v>
      </c>
      <c r="C53" s="2">
        <v>132.0</v>
      </c>
      <c r="D53" s="2"/>
      <c r="E53" s="2">
        <v>74.0</v>
      </c>
      <c r="F53" s="2">
        <v>10.0</v>
      </c>
      <c r="G53" s="2">
        <v>180.0</v>
      </c>
      <c r="H53" s="2">
        <v>10.0</v>
      </c>
      <c r="I53" s="2">
        <v>134.0</v>
      </c>
      <c r="J53" s="2"/>
      <c r="K53" s="2"/>
      <c r="L53" s="2"/>
      <c r="M53" s="2">
        <v>26.0</v>
      </c>
      <c r="N53" s="2"/>
      <c r="O53" s="2">
        <v>64.0</v>
      </c>
      <c r="P53" s="2"/>
      <c r="Q53" s="2">
        <v>46.0</v>
      </c>
      <c r="R53" s="2"/>
      <c r="S53" s="2">
        <v>50.0</v>
      </c>
    </row>
    <row r="54">
      <c r="A54" s="2" t="s">
        <v>48</v>
      </c>
      <c r="B54" s="2">
        <v>10.0</v>
      </c>
      <c r="C54" s="2">
        <v>146.0</v>
      </c>
      <c r="D54" s="2">
        <v>10.0</v>
      </c>
      <c r="E54" s="2">
        <v>88.0</v>
      </c>
      <c r="F54" s="2">
        <v>10.0</v>
      </c>
      <c r="G54" s="2">
        <v>198.0</v>
      </c>
      <c r="H54" s="2">
        <v>10.0</v>
      </c>
      <c r="I54" s="2">
        <v>148.0</v>
      </c>
      <c r="J54" s="2"/>
      <c r="K54" s="2"/>
      <c r="L54" s="2"/>
      <c r="M54" s="2">
        <v>26.0</v>
      </c>
      <c r="N54" s="2"/>
      <c r="O54" s="2">
        <v>64.0</v>
      </c>
      <c r="P54" s="2"/>
      <c r="Q54" s="2">
        <v>46.0</v>
      </c>
      <c r="R54" s="2"/>
      <c r="S54" s="2">
        <v>50.0</v>
      </c>
    </row>
    <row r="55">
      <c r="A55" s="2" t="s">
        <v>49</v>
      </c>
      <c r="B55" s="2"/>
      <c r="C55" s="2">
        <v>146.0</v>
      </c>
      <c r="D55" s="2">
        <v>0.0</v>
      </c>
      <c r="E55" s="2">
        <v>92.0</v>
      </c>
      <c r="F55" s="2"/>
      <c r="G55" s="2">
        <v>198.0</v>
      </c>
      <c r="H55" s="2">
        <v>10.0</v>
      </c>
      <c r="I55" s="2">
        <v>162.0</v>
      </c>
      <c r="J55" s="2"/>
      <c r="K55" s="2"/>
      <c r="L55" s="2"/>
      <c r="M55" s="2">
        <v>26.0</v>
      </c>
      <c r="N55" s="2">
        <v>0.0</v>
      </c>
      <c r="O55" s="2">
        <v>68.0</v>
      </c>
      <c r="P55" s="2"/>
      <c r="Q55" s="2">
        <v>46.0</v>
      </c>
      <c r="R55" s="2">
        <v>10.0</v>
      </c>
      <c r="S55" s="2">
        <v>64.0</v>
      </c>
    </row>
    <row r="56">
      <c r="A56" s="2" t="s">
        <v>50</v>
      </c>
      <c r="B56" s="2">
        <v>0.0</v>
      </c>
      <c r="C56" s="2">
        <v>150.0</v>
      </c>
      <c r="D56" s="2"/>
      <c r="E56" s="2">
        <v>92.0</v>
      </c>
      <c r="F56" s="2">
        <v>10.0</v>
      </c>
      <c r="G56" s="2">
        <v>212.0</v>
      </c>
      <c r="H56" s="2">
        <v>10.0</v>
      </c>
      <c r="I56" s="2">
        <v>176.0</v>
      </c>
      <c r="J56" s="2"/>
      <c r="K56" s="2"/>
      <c r="L56" s="2"/>
      <c r="M56" s="2">
        <v>26.0</v>
      </c>
      <c r="N56" s="2"/>
      <c r="O56" s="2">
        <v>68.0</v>
      </c>
      <c r="P56" s="2"/>
      <c r="Q56" s="2">
        <v>46.0</v>
      </c>
      <c r="R56" s="2"/>
      <c r="S56" s="2">
        <v>64.0</v>
      </c>
    </row>
    <row r="57">
      <c r="A57" s="2" t="s">
        <v>51</v>
      </c>
      <c r="B57" s="2">
        <v>10.0</v>
      </c>
      <c r="C57" s="2">
        <v>164.0</v>
      </c>
      <c r="D57" s="2"/>
      <c r="E57" s="2">
        <v>92.0</v>
      </c>
      <c r="F57" s="2"/>
      <c r="G57" s="2">
        <v>212.0</v>
      </c>
      <c r="H57" s="2">
        <v>0.0</v>
      </c>
      <c r="I57" s="2">
        <v>180.0</v>
      </c>
      <c r="J57" s="2"/>
      <c r="K57" s="2"/>
      <c r="L57" s="2"/>
      <c r="M57" s="2">
        <v>26.0</v>
      </c>
      <c r="N57" s="2">
        <v>0.0</v>
      </c>
      <c r="O57" s="2">
        <v>76.0</v>
      </c>
      <c r="P57" s="2">
        <v>0.0</v>
      </c>
      <c r="Q57" s="2">
        <v>50.0</v>
      </c>
      <c r="R57" s="2"/>
      <c r="S57" s="2">
        <v>64.0</v>
      </c>
    </row>
    <row r="58">
      <c r="A58" s="2" t="s">
        <v>52</v>
      </c>
      <c r="B58" s="2"/>
      <c r="C58" s="2">
        <v>164.0</v>
      </c>
      <c r="D58" s="2"/>
      <c r="E58" s="2">
        <v>92.0</v>
      </c>
      <c r="F58" s="2"/>
      <c r="G58" s="2">
        <v>212.0</v>
      </c>
      <c r="H58" s="2"/>
      <c r="I58" s="2">
        <v>180.0</v>
      </c>
      <c r="J58" s="2"/>
      <c r="K58" s="2"/>
      <c r="L58" s="2"/>
      <c r="M58" s="2">
        <v>26.0</v>
      </c>
      <c r="N58" s="2"/>
      <c r="O58" s="2">
        <v>80.0</v>
      </c>
      <c r="P58" s="2"/>
      <c r="Q58" s="2">
        <v>50.0</v>
      </c>
      <c r="R58" s="2"/>
      <c r="S58" s="2">
        <v>64.0</v>
      </c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B61" s="2" t="str">
        <f t="array" ref="B61:S90">transpose(sort(transpose(Full!A61:R90),1,true))</f>
        <v>Cupertino A</v>
      </c>
      <c r="C61" s="2" t="s">
        <v>8</v>
      </c>
      <c r="D61" s="2" t="s">
        <v>0</v>
      </c>
      <c r="E61" s="2" t="s">
        <v>0</v>
      </c>
      <c r="F61" s="2" t="s">
        <v>2</v>
      </c>
      <c r="G61" s="2" t="s">
        <v>2</v>
      </c>
      <c r="H61" s="2" t="s">
        <v>4</v>
      </c>
      <c r="I61" s="2" t="s">
        <v>4</v>
      </c>
      <c r="J61" s="2" t="s">
        <v>6</v>
      </c>
      <c r="K61" s="2" t="s">
        <v>6</v>
      </c>
      <c r="L61" s="2" t="s">
        <v>7</v>
      </c>
      <c r="M61" s="2" t="s">
        <v>7</v>
      </c>
      <c r="N61" s="2" t="s">
        <v>5</v>
      </c>
      <c r="O61" s="2" t="s">
        <v>5</v>
      </c>
      <c r="P61" s="2" t="s">
        <v>3</v>
      </c>
      <c r="Q61" s="2" t="s">
        <v>3</v>
      </c>
      <c r="R61" s="2" t="s">
        <v>1</v>
      </c>
      <c r="S61" s="2" t="s">
        <v>1</v>
      </c>
    </row>
    <row r="62">
      <c r="B62" s="2" t="s">
        <v>16</v>
      </c>
      <c r="C62" s="2" t="s">
        <v>19</v>
      </c>
      <c r="D62" s="2" t="s">
        <v>16</v>
      </c>
      <c r="E62" s="2" t="s">
        <v>19</v>
      </c>
      <c r="F62" s="2" t="s">
        <v>16</v>
      </c>
      <c r="G62" s="2" t="s">
        <v>19</v>
      </c>
      <c r="H62" s="2" t="s">
        <v>16</v>
      </c>
      <c r="I62" s="2" t="s">
        <v>19</v>
      </c>
      <c r="J62" s="2" t="s">
        <v>16</v>
      </c>
      <c r="K62" s="2" t="s">
        <v>19</v>
      </c>
      <c r="L62" s="2" t="s">
        <v>16</v>
      </c>
      <c r="M62" s="2" t="s">
        <v>19</v>
      </c>
      <c r="N62" s="2" t="s">
        <v>16</v>
      </c>
      <c r="O62" s="2" t="s">
        <v>19</v>
      </c>
      <c r="P62" s="2" t="s">
        <v>16</v>
      </c>
      <c r="Q62" s="2" t="s">
        <v>19</v>
      </c>
      <c r="R62" s="2" t="s">
        <v>16</v>
      </c>
      <c r="S62" s="2" t="s">
        <v>19</v>
      </c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 t="s">
        <v>47</v>
      </c>
      <c r="B64" s="2">
        <v>10.0</v>
      </c>
      <c r="C64" s="2">
        <v>14.0</v>
      </c>
      <c r="D64" s="2"/>
      <c r="E64" s="2">
        <v>0.0</v>
      </c>
      <c r="F64" s="2">
        <v>10.0</v>
      </c>
      <c r="G64" s="2">
        <v>14.0</v>
      </c>
      <c r="H64" s="2"/>
      <c r="I64" s="2">
        <v>0.0</v>
      </c>
      <c r="J64" s="2">
        <v>10.0</v>
      </c>
      <c r="K64" s="2">
        <v>14.0</v>
      </c>
      <c r="L64" s="2"/>
      <c r="M64" s="2"/>
      <c r="N64" s="2">
        <v>10.0</v>
      </c>
      <c r="O64" s="2">
        <v>14.0</v>
      </c>
      <c r="P64" s="2"/>
      <c r="Q64" s="2">
        <v>0.0</v>
      </c>
      <c r="R64" s="2"/>
      <c r="S64" s="2">
        <v>0.0</v>
      </c>
    </row>
    <row r="65">
      <c r="A65" s="2" t="s">
        <v>48</v>
      </c>
      <c r="B65" s="2">
        <v>0.0</v>
      </c>
      <c r="C65" s="2">
        <v>18.0</v>
      </c>
      <c r="D65" s="2"/>
      <c r="E65" s="2">
        <v>0.0</v>
      </c>
      <c r="F65" s="2"/>
      <c r="G65" s="2">
        <v>14.0</v>
      </c>
      <c r="H65" s="2">
        <v>0.0</v>
      </c>
      <c r="I65" s="2">
        <v>8.0</v>
      </c>
      <c r="J65" s="2">
        <v>0.0</v>
      </c>
      <c r="K65" s="2">
        <v>18.0</v>
      </c>
      <c r="L65" s="2"/>
      <c r="M65" s="2"/>
      <c r="N65" s="2">
        <v>10.0</v>
      </c>
      <c r="O65" s="2">
        <v>28.0</v>
      </c>
      <c r="P65" s="2"/>
      <c r="Q65" s="2">
        <v>0.0</v>
      </c>
      <c r="R65" s="2"/>
      <c r="S65" s="2">
        <v>0.0</v>
      </c>
    </row>
    <row r="66">
      <c r="A66" s="2" t="s">
        <v>49</v>
      </c>
      <c r="B66" s="2"/>
      <c r="C66" s="2">
        <v>18.0</v>
      </c>
      <c r="D66" s="2"/>
      <c r="E66" s="2">
        <v>0.0</v>
      </c>
      <c r="F66" s="2"/>
      <c r="G66" s="2">
        <v>14.0</v>
      </c>
      <c r="H66" s="2">
        <v>10.0</v>
      </c>
      <c r="I66" s="2">
        <v>26.0</v>
      </c>
      <c r="J66" s="2"/>
      <c r="K66" s="2">
        <v>18.0</v>
      </c>
      <c r="L66" s="2"/>
      <c r="M66" s="2"/>
      <c r="N66" s="2"/>
      <c r="O66" s="2">
        <v>28.0</v>
      </c>
      <c r="P66" s="2"/>
      <c r="Q66" s="2">
        <v>0.0</v>
      </c>
      <c r="R66" s="2"/>
      <c r="S66" s="2">
        <v>0.0</v>
      </c>
    </row>
    <row r="67">
      <c r="A67" s="2" t="s">
        <v>50</v>
      </c>
      <c r="B67" s="2">
        <v>0.0</v>
      </c>
      <c r="C67" s="2">
        <v>22.0</v>
      </c>
      <c r="D67" s="2">
        <v>10.0</v>
      </c>
      <c r="E67" s="2">
        <v>18.0</v>
      </c>
      <c r="F67" s="2">
        <v>0.0</v>
      </c>
      <c r="G67" s="2">
        <v>18.0</v>
      </c>
      <c r="H67" s="2"/>
      <c r="I67" s="2">
        <v>26.0</v>
      </c>
      <c r="J67" s="2"/>
      <c r="K67" s="2">
        <v>18.0</v>
      </c>
      <c r="L67" s="2"/>
      <c r="M67" s="2"/>
      <c r="N67" s="2"/>
      <c r="O67" s="2">
        <v>28.0</v>
      </c>
      <c r="P67" s="2"/>
      <c r="Q67" s="2">
        <v>0.0</v>
      </c>
      <c r="R67" s="2"/>
      <c r="S67" s="2">
        <v>0.0</v>
      </c>
    </row>
    <row r="68">
      <c r="A68" s="2" t="s">
        <v>51</v>
      </c>
      <c r="B68" s="2">
        <v>10.0</v>
      </c>
      <c r="C68" s="2">
        <v>36.0</v>
      </c>
      <c r="D68" s="2"/>
      <c r="E68" s="2">
        <v>22.0</v>
      </c>
      <c r="F68" s="2"/>
      <c r="G68" s="2">
        <v>18.0</v>
      </c>
      <c r="H68" s="2">
        <v>10.0</v>
      </c>
      <c r="I68" s="2">
        <v>44.0</v>
      </c>
      <c r="J68" s="2">
        <v>0.0</v>
      </c>
      <c r="K68" s="2">
        <v>22.0</v>
      </c>
      <c r="L68" s="2"/>
      <c r="M68" s="2"/>
      <c r="N68" s="2"/>
      <c r="O68" s="2">
        <v>28.0</v>
      </c>
      <c r="P68" s="2"/>
      <c r="Q68" s="2">
        <v>0.0</v>
      </c>
      <c r="R68" s="2"/>
      <c r="S68" s="2">
        <v>0.0</v>
      </c>
    </row>
    <row r="69">
      <c r="A69" s="2" t="s">
        <v>52</v>
      </c>
      <c r="B69" s="2">
        <v>10.0</v>
      </c>
      <c r="C69" s="2">
        <v>50.0</v>
      </c>
      <c r="D69" s="2"/>
      <c r="E69" s="2">
        <v>22.0</v>
      </c>
      <c r="F69" s="2"/>
      <c r="G69" s="2">
        <v>18.0</v>
      </c>
      <c r="H69" s="2">
        <v>10.0</v>
      </c>
      <c r="I69" s="2">
        <v>62.0</v>
      </c>
      <c r="J69" s="2">
        <v>10.0</v>
      </c>
      <c r="K69" s="2">
        <v>40.0</v>
      </c>
      <c r="L69" s="2"/>
      <c r="M69" s="2"/>
      <c r="N69" s="2">
        <v>10.0</v>
      </c>
      <c r="O69" s="2">
        <v>42.0</v>
      </c>
      <c r="P69" s="2"/>
      <c r="Q69" s="2">
        <v>0.0</v>
      </c>
      <c r="R69" s="2"/>
      <c r="S69" s="2">
        <v>0.0</v>
      </c>
    </row>
    <row r="70">
      <c r="A70" s="2" t="s">
        <v>47</v>
      </c>
      <c r="B70" s="2">
        <v>10.0</v>
      </c>
      <c r="C70" s="2">
        <v>64.0</v>
      </c>
      <c r="D70" s="2"/>
      <c r="E70" s="2">
        <v>22.0</v>
      </c>
      <c r="F70" s="2">
        <v>10.0</v>
      </c>
      <c r="G70" s="2">
        <v>32.0</v>
      </c>
      <c r="H70" s="2"/>
      <c r="I70" s="2">
        <v>62.0</v>
      </c>
      <c r="J70" s="2">
        <v>10.0</v>
      </c>
      <c r="K70" s="2">
        <v>54.0</v>
      </c>
      <c r="L70" s="2"/>
      <c r="M70" s="2"/>
      <c r="N70" s="2">
        <v>10.0</v>
      </c>
      <c r="O70" s="2">
        <v>56.0</v>
      </c>
      <c r="P70" s="2"/>
      <c r="Q70" s="2">
        <v>0.0</v>
      </c>
      <c r="R70" s="2"/>
      <c r="S70" s="2">
        <v>0.0</v>
      </c>
    </row>
    <row r="71">
      <c r="A71" s="2" t="s">
        <v>48</v>
      </c>
      <c r="B71" s="2"/>
      <c r="C71" s="2">
        <v>64.0</v>
      </c>
      <c r="D71" s="2"/>
      <c r="E71" s="2">
        <v>22.0</v>
      </c>
      <c r="F71" s="2"/>
      <c r="G71" s="2">
        <v>32.0</v>
      </c>
      <c r="H71" s="2">
        <v>0.0</v>
      </c>
      <c r="I71" s="2">
        <v>66.0</v>
      </c>
      <c r="J71" s="2">
        <v>10.0</v>
      </c>
      <c r="K71" s="2">
        <v>68.0</v>
      </c>
      <c r="L71" s="2"/>
      <c r="M71" s="2"/>
      <c r="N71" s="2">
        <v>10.0</v>
      </c>
      <c r="O71" s="2">
        <v>70.0</v>
      </c>
      <c r="P71" s="2">
        <v>0.0</v>
      </c>
      <c r="Q71" s="2">
        <v>4.0</v>
      </c>
      <c r="R71" s="2"/>
      <c r="S71" s="2">
        <v>0.0</v>
      </c>
    </row>
    <row r="72">
      <c r="A72" s="2" t="s">
        <v>49</v>
      </c>
      <c r="B72" s="2"/>
      <c r="C72" s="2">
        <v>64.0</v>
      </c>
      <c r="D72" s="2"/>
      <c r="E72" s="2">
        <v>22.0</v>
      </c>
      <c r="F72" s="2"/>
      <c r="G72" s="2">
        <v>32.0</v>
      </c>
      <c r="H72" s="2"/>
      <c r="I72" s="2">
        <v>66.0</v>
      </c>
      <c r="J72" s="2"/>
      <c r="K72" s="2">
        <v>68.0</v>
      </c>
      <c r="L72" s="2"/>
      <c r="M72" s="2"/>
      <c r="N72" s="2"/>
      <c r="O72" s="2">
        <v>70.0</v>
      </c>
      <c r="P72" s="2"/>
      <c r="Q72" s="2">
        <v>4.0</v>
      </c>
      <c r="R72" s="2"/>
      <c r="S72" s="2">
        <v>0.0</v>
      </c>
    </row>
    <row r="73">
      <c r="A73" s="2" t="s">
        <v>50</v>
      </c>
      <c r="B73" s="2">
        <v>10.0</v>
      </c>
      <c r="C73" s="2">
        <v>78.0</v>
      </c>
      <c r="D73" s="2"/>
      <c r="E73" s="2">
        <v>22.0</v>
      </c>
      <c r="F73" s="2">
        <v>10.0</v>
      </c>
      <c r="G73" s="2">
        <v>46.0</v>
      </c>
      <c r="H73" s="2"/>
      <c r="I73" s="2">
        <v>66.0</v>
      </c>
      <c r="J73" s="2"/>
      <c r="K73" s="2">
        <v>68.0</v>
      </c>
      <c r="L73" s="2"/>
      <c r="M73" s="2"/>
      <c r="N73" s="2">
        <v>10.0</v>
      </c>
      <c r="O73" s="2">
        <v>84.0</v>
      </c>
      <c r="P73" s="2"/>
      <c r="Q73" s="2">
        <v>4.0</v>
      </c>
      <c r="R73" s="2">
        <v>10.0</v>
      </c>
      <c r="S73" s="2">
        <v>14.0</v>
      </c>
    </row>
    <row r="74">
      <c r="A74" s="2" t="s">
        <v>51</v>
      </c>
      <c r="B74" s="2"/>
      <c r="C74" s="2">
        <v>78.0</v>
      </c>
      <c r="D74" s="2"/>
      <c r="E74" s="2">
        <v>22.0</v>
      </c>
      <c r="F74" s="2">
        <v>10.0</v>
      </c>
      <c r="G74" s="2">
        <v>60.0</v>
      </c>
      <c r="H74" s="2"/>
      <c r="I74" s="2">
        <v>66.0</v>
      </c>
      <c r="J74" s="2"/>
      <c r="K74" s="2">
        <v>68.0</v>
      </c>
      <c r="L74" s="2"/>
      <c r="M74" s="2"/>
      <c r="N74" s="2"/>
      <c r="O74" s="2">
        <v>84.0</v>
      </c>
      <c r="P74" s="2"/>
      <c r="Q74" s="2">
        <v>8.0</v>
      </c>
      <c r="R74" s="2">
        <v>10.0</v>
      </c>
      <c r="S74" s="2">
        <v>28.0</v>
      </c>
    </row>
    <row r="75">
      <c r="A75" s="2" t="s">
        <v>52</v>
      </c>
      <c r="B75" s="2">
        <v>0.0</v>
      </c>
      <c r="C75" s="2">
        <v>82.0</v>
      </c>
      <c r="D75" s="2"/>
      <c r="E75" s="2">
        <v>22.0</v>
      </c>
      <c r="F75" s="2"/>
      <c r="G75" s="2">
        <v>60.0</v>
      </c>
      <c r="H75" s="2">
        <v>0.0</v>
      </c>
      <c r="I75" s="2">
        <v>70.0</v>
      </c>
      <c r="J75" s="2"/>
      <c r="K75" s="2">
        <v>68.0</v>
      </c>
      <c r="L75" s="2"/>
      <c r="M75" s="2"/>
      <c r="N75" s="2">
        <v>10.0</v>
      </c>
      <c r="O75" s="2">
        <v>98.0</v>
      </c>
      <c r="P75" s="2"/>
      <c r="Q75" s="2">
        <v>8.0</v>
      </c>
      <c r="R75" s="2">
        <v>10.0</v>
      </c>
      <c r="S75" s="2">
        <v>42.0</v>
      </c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 t="s">
        <v>47</v>
      </c>
      <c r="B77" s="2">
        <v>0.0</v>
      </c>
      <c r="C77" s="2">
        <v>86.0</v>
      </c>
      <c r="D77" s="2"/>
      <c r="E77" s="2">
        <v>22.0</v>
      </c>
      <c r="F77" s="2">
        <v>10.0</v>
      </c>
      <c r="G77" s="2">
        <v>74.0</v>
      </c>
      <c r="H77" s="2"/>
      <c r="I77" s="2">
        <v>70.0</v>
      </c>
      <c r="J77" s="2">
        <v>0.0</v>
      </c>
      <c r="K77" s="2">
        <v>72.0</v>
      </c>
      <c r="L77" s="2"/>
      <c r="M77" s="2"/>
      <c r="N77" s="2">
        <v>10.0</v>
      </c>
      <c r="O77" s="2">
        <v>112.0</v>
      </c>
      <c r="P77" s="2"/>
      <c r="Q77" s="2">
        <v>8.0</v>
      </c>
      <c r="R77" s="2"/>
      <c r="S77" s="2">
        <v>42.0</v>
      </c>
    </row>
    <row r="78">
      <c r="A78" s="2" t="s">
        <v>48</v>
      </c>
      <c r="B78" s="2"/>
      <c r="C78" s="2">
        <v>86.0</v>
      </c>
      <c r="D78" s="2">
        <v>0.0</v>
      </c>
      <c r="E78" s="2">
        <v>30.0</v>
      </c>
      <c r="F78" s="2"/>
      <c r="G78" s="2">
        <v>74.0</v>
      </c>
      <c r="H78" s="2"/>
      <c r="I78" s="2">
        <v>70.0</v>
      </c>
      <c r="J78" s="2"/>
      <c r="K78" s="2">
        <v>72.0</v>
      </c>
      <c r="L78" s="2"/>
      <c r="M78" s="2"/>
      <c r="N78" s="2"/>
      <c r="O78" s="2">
        <v>112.0</v>
      </c>
      <c r="P78" s="2">
        <v>0.0</v>
      </c>
      <c r="Q78" s="2">
        <v>12.0</v>
      </c>
      <c r="R78" s="2"/>
      <c r="S78" s="2">
        <v>46.0</v>
      </c>
    </row>
    <row r="79">
      <c r="A79" s="2" t="s">
        <v>49</v>
      </c>
      <c r="B79" s="2"/>
      <c r="C79" s="2">
        <v>86.0</v>
      </c>
      <c r="D79" s="2"/>
      <c r="E79" s="2">
        <v>30.0</v>
      </c>
      <c r="F79" s="2">
        <v>10.0</v>
      </c>
      <c r="G79" s="2">
        <v>88.0</v>
      </c>
      <c r="H79" s="2"/>
      <c r="I79" s="2">
        <v>70.0</v>
      </c>
      <c r="J79" s="2"/>
      <c r="K79" s="2">
        <v>72.0</v>
      </c>
      <c r="L79" s="2"/>
      <c r="M79" s="2"/>
      <c r="N79" s="2">
        <v>0.0</v>
      </c>
      <c r="O79" s="2">
        <v>116.0</v>
      </c>
      <c r="P79" s="2"/>
      <c r="Q79" s="2">
        <v>12.0</v>
      </c>
      <c r="R79" s="2"/>
      <c r="S79" s="2">
        <v>46.0</v>
      </c>
    </row>
    <row r="80">
      <c r="A80" s="2" t="s">
        <v>50</v>
      </c>
      <c r="B80" s="2"/>
      <c r="C80" s="2">
        <v>86.0</v>
      </c>
      <c r="D80" s="2"/>
      <c r="E80" s="2">
        <v>30.0</v>
      </c>
      <c r="F80" s="2">
        <v>0.0</v>
      </c>
      <c r="G80" s="2">
        <v>92.0</v>
      </c>
      <c r="H80" s="2"/>
      <c r="I80" s="2">
        <v>70.0</v>
      </c>
      <c r="J80" s="2"/>
      <c r="K80" s="2">
        <v>72.0</v>
      </c>
      <c r="L80" s="2"/>
      <c r="M80" s="2"/>
      <c r="N80" s="2">
        <v>0.0</v>
      </c>
      <c r="O80" s="2">
        <v>120.0</v>
      </c>
      <c r="P80" s="2"/>
      <c r="Q80" s="2">
        <v>12.0</v>
      </c>
      <c r="R80" s="2">
        <v>0.0</v>
      </c>
      <c r="S80" s="2">
        <v>50.0</v>
      </c>
    </row>
    <row r="81">
      <c r="A81" s="2" t="s">
        <v>51</v>
      </c>
      <c r="B81" s="2">
        <v>10.0</v>
      </c>
      <c r="C81" s="2">
        <v>100.0</v>
      </c>
      <c r="D81" s="2"/>
      <c r="E81" s="2">
        <v>30.0</v>
      </c>
      <c r="F81" s="2">
        <v>10.0</v>
      </c>
      <c r="G81" s="2">
        <v>106.0</v>
      </c>
      <c r="H81" s="2"/>
      <c r="I81" s="2">
        <v>70.0</v>
      </c>
      <c r="J81" s="2"/>
      <c r="K81" s="2">
        <v>72.0</v>
      </c>
      <c r="L81" s="2"/>
      <c r="M81" s="2"/>
      <c r="N81" s="2">
        <v>0.0</v>
      </c>
      <c r="O81" s="2">
        <v>124.0</v>
      </c>
      <c r="P81" s="2"/>
      <c r="Q81" s="2">
        <v>12.0</v>
      </c>
      <c r="R81" s="2">
        <v>0.0</v>
      </c>
      <c r="S81" s="2">
        <v>54.0</v>
      </c>
    </row>
    <row r="82">
      <c r="A82" s="2" t="s">
        <v>52</v>
      </c>
      <c r="B82" s="2">
        <v>10.0</v>
      </c>
      <c r="C82" s="2">
        <v>114.0</v>
      </c>
      <c r="D82" s="2"/>
      <c r="E82" s="2">
        <v>30.0</v>
      </c>
      <c r="F82" s="2">
        <v>10.0</v>
      </c>
      <c r="G82" s="2">
        <v>120.0</v>
      </c>
      <c r="H82" s="2"/>
      <c r="I82" s="2">
        <v>70.0</v>
      </c>
      <c r="J82" s="2"/>
      <c r="K82" s="2">
        <v>72.0</v>
      </c>
      <c r="L82" s="2"/>
      <c r="M82" s="2"/>
      <c r="N82" s="2">
        <v>10.0</v>
      </c>
      <c r="O82" s="2">
        <v>138.0</v>
      </c>
      <c r="P82" s="2"/>
      <c r="Q82" s="2">
        <v>12.0</v>
      </c>
      <c r="R82" s="2">
        <v>10.0</v>
      </c>
      <c r="S82" s="2">
        <v>68.0</v>
      </c>
    </row>
    <row r="83">
      <c r="A83" s="2" t="s">
        <v>47</v>
      </c>
      <c r="B83" s="2"/>
      <c r="C83" s="2">
        <v>114.0</v>
      </c>
      <c r="D83" s="2"/>
      <c r="E83" s="2">
        <v>30.0</v>
      </c>
      <c r="F83" s="2">
        <v>10.0</v>
      </c>
      <c r="G83" s="2">
        <v>134.0</v>
      </c>
      <c r="H83" s="2"/>
      <c r="I83" s="2">
        <v>70.0</v>
      </c>
      <c r="J83" s="2">
        <v>10.0</v>
      </c>
      <c r="K83" s="2">
        <v>86.0</v>
      </c>
      <c r="L83" s="2"/>
      <c r="M83" s="2"/>
      <c r="N83" s="2">
        <v>10.0</v>
      </c>
      <c r="O83" s="2">
        <v>152.0</v>
      </c>
      <c r="P83" s="2">
        <v>0.0</v>
      </c>
      <c r="Q83" s="2">
        <v>16.0</v>
      </c>
      <c r="R83" s="2"/>
      <c r="S83" s="2">
        <v>68.0</v>
      </c>
    </row>
    <row r="84">
      <c r="A84" s="2" t="s">
        <v>48</v>
      </c>
      <c r="B84" s="2">
        <v>0.0</v>
      </c>
      <c r="C84" s="2">
        <v>118.0</v>
      </c>
      <c r="D84" s="2"/>
      <c r="E84" s="2">
        <v>30.0</v>
      </c>
      <c r="F84" s="2"/>
      <c r="G84" s="2">
        <v>134.0</v>
      </c>
      <c r="H84" s="2">
        <v>0.0</v>
      </c>
      <c r="I84" s="2">
        <v>74.0</v>
      </c>
      <c r="J84" s="2">
        <v>0.0</v>
      </c>
      <c r="K84" s="2">
        <v>90.0</v>
      </c>
      <c r="L84" s="2"/>
      <c r="M84" s="2"/>
      <c r="N84" s="2">
        <v>10.0</v>
      </c>
      <c r="O84" s="2">
        <v>166.0</v>
      </c>
      <c r="P84" s="2"/>
      <c r="Q84" s="2">
        <v>16.0</v>
      </c>
      <c r="R84" s="2"/>
      <c r="S84" s="2">
        <v>68.0</v>
      </c>
    </row>
    <row r="85">
      <c r="A85" s="2" t="s">
        <v>49</v>
      </c>
      <c r="B85" s="2"/>
      <c r="C85" s="2">
        <v>118.0</v>
      </c>
      <c r="D85" s="2"/>
      <c r="E85" s="2">
        <v>30.0</v>
      </c>
      <c r="F85" s="2">
        <v>10.0</v>
      </c>
      <c r="G85" s="2">
        <v>148.0</v>
      </c>
      <c r="H85" s="2"/>
      <c r="I85" s="2">
        <v>74.0</v>
      </c>
      <c r="J85" s="2">
        <v>10.0</v>
      </c>
      <c r="K85" s="2">
        <v>104.0</v>
      </c>
      <c r="L85" s="2"/>
      <c r="M85" s="2"/>
      <c r="N85" s="2">
        <v>10.0</v>
      </c>
      <c r="O85" s="2">
        <v>184.0</v>
      </c>
      <c r="P85" s="2"/>
      <c r="Q85" s="2">
        <v>16.0</v>
      </c>
      <c r="R85" s="2"/>
      <c r="S85" s="2">
        <v>68.0</v>
      </c>
    </row>
    <row r="86">
      <c r="A86" s="2" t="s">
        <v>50</v>
      </c>
      <c r="B86" s="2"/>
      <c r="C86" s="2">
        <v>118.0</v>
      </c>
      <c r="D86" s="2"/>
      <c r="E86" s="2">
        <v>30.0</v>
      </c>
      <c r="F86" s="2">
        <v>10.0</v>
      </c>
      <c r="G86" s="2">
        <v>162.0</v>
      </c>
      <c r="H86" s="2"/>
      <c r="I86" s="2">
        <v>74.0</v>
      </c>
      <c r="J86" s="2"/>
      <c r="K86" s="2">
        <v>104.0</v>
      </c>
      <c r="L86" s="2"/>
      <c r="M86" s="2"/>
      <c r="N86" s="2"/>
      <c r="O86" s="2">
        <v>184.0</v>
      </c>
      <c r="P86" s="2">
        <v>0.0</v>
      </c>
      <c r="Q86" s="2">
        <v>20.0</v>
      </c>
      <c r="R86" s="2"/>
      <c r="S86" s="2">
        <v>68.0</v>
      </c>
    </row>
    <row r="87">
      <c r="A87" s="2" t="s">
        <v>51</v>
      </c>
      <c r="B87" s="2"/>
      <c r="C87" s="2">
        <v>118.0</v>
      </c>
      <c r="D87" s="2"/>
      <c r="E87" s="2">
        <v>30.0</v>
      </c>
      <c r="F87" s="2"/>
      <c r="G87" s="2">
        <v>162.0</v>
      </c>
      <c r="H87" s="2">
        <v>0.0</v>
      </c>
      <c r="I87" s="2">
        <v>78.0</v>
      </c>
      <c r="J87" s="2">
        <v>0.0</v>
      </c>
      <c r="K87" s="2">
        <v>108.0</v>
      </c>
      <c r="L87" s="2"/>
      <c r="M87" s="2"/>
      <c r="N87" s="2"/>
      <c r="O87" s="2">
        <v>184.0</v>
      </c>
      <c r="P87" s="2">
        <v>0.0</v>
      </c>
      <c r="Q87" s="2">
        <v>24.0</v>
      </c>
      <c r="R87" s="2"/>
      <c r="S87" s="2">
        <v>68.0</v>
      </c>
    </row>
    <row r="88">
      <c r="A88" s="2" t="s">
        <v>52</v>
      </c>
      <c r="B88" s="2">
        <v>10.0</v>
      </c>
      <c r="C88" s="2">
        <v>132.0</v>
      </c>
      <c r="D88" s="2"/>
      <c r="E88" s="2">
        <v>30.0</v>
      </c>
      <c r="F88" s="2"/>
      <c r="G88" s="2">
        <v>162.0</v>
      </c>
      <c r="H88" s="2">
        <v>10.0</v>
      </c>
      <c r="I88" s="2">
        <v>92.0</v>
      </c>
      <c r="J88" s="2">
        <v>0.0</v>
      </c>
      <c r="K88" s="2">
        <v>112.0</v>
      </c>
      <c r="L88" s="2"/>
      <c r="M88" s="2"/>
      <c r="N88" s="2">
        <v>10.0</v>
      </c>
      <c r="O88" s="2">
        <v>198.0</v>
      </c>
      <c r="P88" s="2"/>
      <c r="Q88" s="2">
        <v>24.0</v>
      </c>
      <c r="R88" s="2"/>
      <c r="S88" s="2">
        <v>68.0</v>
      </c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B91" s="2" t="str">
        <f t="array" ref="B91:S120">transpose(sort(transpose(Full!A91:R120),1,true))</f>
        <v>Cupertino A</v>
      </c>
      <c r="C91" s="2" t="s">
        <v>8</v>
      </c>
      <c r="D91" s="2" t="s">
        <v>0</v>
      </c>
      <c r="E91" s="2" t="s">
        <v>0</v>
      </c>
      <c r="F91" s="2" t="s">
        <v>2</v>
      </c>
      <c r="G91" s="2" t="s">
        <v>2</v>
      </c>
      <c r="H91" s="2" t="s">
        <v>4</v>
      </c>
      <c r="I91" s="2" t="s">
        <v>4</v>
      </c>
      <c r="J91" s="2" t="s">
        <v>6</v>
      </c>
      <c r="K91" s="2" t="s">
        <v>6</v>
      </c>
      <c r="L91" s="2" t="s">
        <v>7</v>
      </c>
      <c r="M91" s="2" t="s">
        <v>7</v>
      </c>
      <c r="N91" s="2" t="s">
        <v>5</v>
      </c>
      <c r="O91" s="2" t="s">
        <v>5</v>
      </c>
      <c r="P91" s="2" t="s">
        <v>3</v>
      </c>
      <c r="Q91" s="2" t="s">
        <v>3</v>
      </c>
      <c r="R91" s="2" t="s">
        <v>1</v>
      </c>
      <c r="S91" s="2" t="s">
        <v>1</v>
      </c>
    </row>
    <row r="92">
      <c r="B92" s="2" t="s">
        <v>16</v>
      </c>
      <c r="C92" s="2" t="s">
        <v>19</v>
      </c>
      <c r="D92" s="2" t="s">
        <v>16</v>
      </c>
      <c r="E92" s="2" t="s">
        <v>19</v>
      </c>
      <c r="F92" s="2" t="s">
        <v>16</v>
      </c>
      <c r="G92" s="2" t="s">
        <v>19</v>
      </c>
      <c r="H92" s="2" t="s">
        <v>16</v>
      </c>
      <c r="I92" s="2" t="s">
        <v>19</v>
      </c>
      <c r="J92" s="2" t="s">
        <v>16</v>
      </c>
      <c r="K92" s="2" t="s">
        <v>19</v>
      </c>
      <c r="L92" s="2" t="s">
        <v>16</v>
      </c>
      <c r="M92" s="2" t="s">
        <v>19</v>
      </c>
      <c r="N92" s="2" t="s">
        <v>16</v>
      </c>
      <c r="O92" s="2" t="s">
        <v>19</v>
      </c>
      <c r="P92" s="2" t="s">
        <v>16</v>
      </c>
      <c r="Q92" s="2" t="s">
        <v>19</v>
      </c>
      <c r="R92" s="2" t="s">
        <v>16</v>
      </c>
      <c r="S92" s="2" t="s">
        <v>19</v>
      </c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 t="s">
        <v>47</v>
      </c>
      <c r="B94" s="2"/>
      <c r="C94" s="2">
        <v>0.0</v>
      </c>
      <c r="D94" s="2"/>
      <c r="E94" s="2">
        <v>0.0</v>
      </c>
      <c r="F94" s="2"/>
      <c r="G94" s="2">
        <v>0.0</v>
      </c>
      <c r="H94" s="2">
        <v>0.0</v>
      </c>
      <c r="I94" s="2">
        <v>4.0</v>
      </c>
      <c r="J94" s="2"/>
      <c r="K94" s="2">
        <v>0.0</v>
      </c>
      <c r="L94" s="2"/>
      <c r="M94" s="2">
        <v>0.0</v>
      </c>
      <c r="N94" s="2">
        <v>10.0</v>
      </c>
      <c r="O94" s="2">
        <v>14.0</v>
      </c>
      <c r="P94" s="2"/>
      <c r="Q94" s="2">
        <v>0.0</v>
      </c>
      <c r="R94" s="2"/>
      <c r="S94" s="2"/>
    </row>
    <row r="95">
      <c r="A95" s="2" t="s">
        <v>48</v>
      </c>
      <c r="B95" s="2"/>
      <c r="C95" s="2">
        <v>0.0</v>
      </c>
      <c r="D95" s="2"/>
      <c r="E95" s="2">
        <v>0.0</v>
      </c>
      <c r="F95" s="2"/>
      <c r="G95" s="2">
        <v>0.0</v>
      </c>
      <c r="H95" s="2"/>
      <c r="I95" s="2">
        <v>4.0</v>
      </c>
      <c r="J95" s="2"/>
      <c r="K95" s="2">
        <v>0.0</v>
      </c>
      <c r="L95" s="2"/>
      <c r="M95" s="2">
        <v>0.0</v>
      </c>
      <c r="N95" s="2">
        <v>0.0</v>
      </c>
      <c r="O95" s="2">
        <v>18.0</v>
      </c>
      <c r="P95" s="2"/>
      <c r="Q95" s="2">
        <v>0.0</v>
      </c>
      <c r="R95" s="2"/>
      <c r="S95" s="2"/>
    </row>
    <row r="96">
      <c r="A96" s="2" t="s">
        <v>49</v>
      </c>
      <c r="B96" s="2">
        <v>10.0</v>
      </c>
      <c r="C96" s="2">
        <v>14.0</v>
      </c>
      <c r="D96" s="2">
        <v>0.0</v>
      </c>
      <c r="E96" s="2">
        <v>4.0</v>
      </c>
      <c r="F96" s="2"/>
      <c r="G96" s="2">
        <v>0.0</v>
      </c>
      <c r="H96" s="2"/>
      <c r="I96" s="2">
        <v>4.0</v>
      </c>
      <c r="J96" s="2"/>
      <c r="K96" s="2">
        <v>0.0</v>
      </c>
      <c r="L96" s="2"/>
      <c r="M96" s="2">
        <v>4.0</v>
      </c>
      <c r="N96" s="2"/>
      <c r="O96" s="2">
        <v>18.0</v>
      </c>
      <c r="P96" s="2"/>
      <c r="Q96" s="2">
        <v>0.0</v>
      </c>
      <c r="R96" s="2"/>
      <c r="S96" s="2"/>
    </row>
    <row r="97">
      <c r="A97" s="2" t="s">
        <v>50</v>
      </c>
      <c r="B97" s="2"/>
      <c r="C97" s="2">
        <v>14.0</v>
      </c>
      <c r="D97" s="2"/>
      <c r="E97" s="2">
        <v>4.0</v>
      </c>
      <c r="F97" s="2">
        <v>10.0</v>
      </c>
      <c r="G97" s="2">
        <v>14.0</v>
      </c>
      <c r="H97" s="2">
        <v>0.0</v>
      </c>
      <c r="I97" s="2">
        <v>8.0</v>
      </c>
      <c r="J97" s="2"/>
      <c r="K97" s="2">
        <v>0.0</v>
      </c>
      <c r="L97" s="2"/>
      <c r="M97" s="2">
        <v>4.0</v>
      </c>
      <c r="N97" s="2">
        <v>0.0</v>
      </c>
      <c r="O97" s="2">
        <v>22.0</v>
      </c>
      <c r="P97" s="2"/>
      <c r="Q97" s="2">
        <v>0.0</v>
      </c>
      <c r="R97" s="2"/>
      <c r="S97" s="2"/>
    </row>
    <row r="98">
      <c r="A98" s="2" t="s">
        <v>51</v>
      </c>
      <c r="B98" s="2">
        <v>0.0</v>
      </c>
      <c r="C98" s="2">
        <v>18.0</v>
      </c>
      <c r="D98" s="2"/>
      <c r="E98" s="2">
        <v>4.0</v>
      </c>
      <c r="F98" s="2"/>
      <c r="G98" s="2">
        <v>18.0</v>
      </c>
      <c r="H98" s="2">
        <v>10.0</v>
      </c>
      <c r="I98" s="2">
        <v>22.0</v>
      </c>
      <c r="J98" s="2"/>
      <c r="K98" s="2">
        <v>0.0</v>
      </c>
      <c r="L98" s="2"/>
      <c r="M98" s="2">
        <v>4.0</v>
      </c>
      <c r="N98" s="2"/>
      <c r="O98" s="2">
        <v>22.0</v>
      </c>
      <c r="P98" s="2">
        <v>0.0</v>
      </c>
      <c r="Q98" s="2">
        <v>4.0</v>
      </c>
      <c r="R98" s="2"/>
      <c r="S98" s="2"/>
    </row>
    <row r="99">
      <c r="A99" s="2" t="s">
        <v>52</v>
      </c>
      <c r="B99" s="2"/>
      <c r="C99" s="2">
        <v>22.0</v>
      </c>
      <c r="D99" s="2"/>
      <c r="E99" s="2">
        <v>4.0</v>
      </c>
      <c r="F99" s="2"/>
      <c r="G99" s="2">
        <v>18.0</v>
      </c>
      <c r="H99" s="2">
        <v>10.0</v>
      </c>
      <c r="I99" s="2">
        <v>36.0</v>
      </c>
      <c r="J99" s="2">
        <v>10.0</v>
      </c>
      <c r="K99" s="2">
        <v>14.0</v>
      </c>
      <c r="L99" s="2">
        <v>0.0</v>
      </c>
      <c r="M99" s="2">
        <v>12.0</v>
      </c>
      <c r="N99" s="2"/>
      <c r="O99" s="2">
        <v>22.0</v>
      </c>
      <c r="P99" s="2"/>
      <c r="Q99" s="2">
        <v>4.0</v>
      </c>
      <c r="R99" s="2"/>
      <c r="S99" s="2"/>
    </row>
    <row r="100">
      <c r="A100" s="2" t="s">
        <v>47</v>
      </c>
      <c r="B100" s="2">
        <v>10.0</v>
      </c>
      <c r="C100" s="2">
        <v>36.0</v>
      </c>
      <c r="D100" s="2"/>
      <c r="E100" s="2">
        <v>4.0</v>
      </c>
      <c r="F100" s="2"/>
      <c r="G100" s="2">
        <v>18.0</v>
      </c>
      <c r="H100" s="2">
        <v>10.0</v>
      </c>
      <c r="I100" s="2">
        <v>50.0</v>
      </c>
      <c r="J100" s="2">
        <v>10.0</v>
      </c>
      <c r="K100" s="2">
        <v>28.0</v>
      </c>
      <c r="L100" s="2"/>
      <c r="M100" s="2">
        <v>16.0</v>
      </c>
      <c r="N100" s="2"/>
      <c r="O100" s="2">
        <v>22.0</v>
      </c>
      <c r="P100" s="2"/>
      <c r="Q100" s="2">
        <v>4.0</v>
      </c>
      <c r="R100" s="2"/>
      <c r="S100" s="2"/>
    </row>
    <row r="101">
      <c r="A101" s="2" t="s">
        <v>48</v>
      </c>
      <c r="B101" s="2"/>
      <c r="C101" s="2">
        <v>36.0</v>
      </c>
      <c r="D101" s="2"/>
      <c r="E101" s="2">
        <v>4.0</v>
      </c>
      <c r="F101" s="2">
        <v>10.0</v>
      </c>
      <c r="G101" s="2">
        <v>32.0</v>
      </c>
      <c r="H101" s="2">
        <v>10.0</v>
      </c>
      <c r="I101" s="2">
        <v>64.0</v>
      </c>
      <c r="J101" s="2">
        <v>0.0</v>
      </c>
      <c r="K101" s="2">
        <v>32.0</v>
      </c>
      <c r="L101" s="2"/>
      <c r="M101" s="2">
        <v>16.0</v>
      </c>
      <c r="N101" s="2">
        <v>10.0</v>
      </c>
      <c r="O101" s="2">
        <v>36.0</v>
      </c>
      <c r="P101" s="2"/>
      <c r="Q101" s="2">
        <v>4.0</v>
      </c>
      <c r="R101" s="2"/>
      <c r="S101" s="2"/>
    </row>
    <row r="102">
      <c r="A102" s="2" t="s">
        <v>49</v>
      </c>
      <c r="B102" s="2">
        <v>0.0</v>
      </c>
      <c r="C102" s="2">
        <v>40.0</v>
      </c>
      <c r="D102" s="2"/>
      <c r="E102" s="2">
        <v>4.0</v>
      </c>
      <c r="F102" s="2">
        <v>10.0</v>
      </c>
      <c r="G102" s="2">
        <v>46.0</v>
      </c>
      <c r="H102" s="2">
        <v>10.0</v>
      </c>
      <c r="I102" s="2">
        <v>78.0</v>
      </c>
      <c r="J102" s="2">
        <v>0.0</v>
      </c>
      <c r="K102" s="2">
        <v>36.0</v>
      </c>
      <c r="L102" s="2"/>
      <c r="M102" s="2">
        <v>16.0</v>
      </c>
      <c r="N102" s="2"/>
      <c r="O102" s="2">
        <v>36.0</v>
      </c>
      <c r="P102" s="2"/>
      <c r="Q102" s="2">
        <v>4.0</v>
      </c>
      <c r="R102" s="2"/>
      <c r="S102" s="2"/>
    </row>
    <row r="103">
      <c r="A103" s="2" t="s">
        <v>50</v>
      </c>
      <c r="B103" s="2">
        <v>0.0</v>
      </c>
      <c r="C103" s="2">
        <v>44.0</v>
      </c>
      <c r="D103" s="2">
        <v>0.0</v>
      </c>
      <c r="E103" s="2">
        <v>12.0</v>
      </c>
      <c r="F103" s="2">
        <v>10.0</v>
      </c>
      <c r="G103" s="2">
        <v>60.0</v>
      </c>
      <c r="H103" s="2"/>
      <c r="I103" s="2">
        <v>78.0</v>
      </c>
      <c r="J103" s="2">
        <v>10.0</v>
      </c>
      <c r="K103" s="2">
        <v>50.0</v>
      </c>
      <c r="L103" s="2"/>
      <c r="M103" s="2">
        <v>16.0</v>
      </c>
      <c r="N103" s="2"/>
      <c r="O103" s="2">
        <v>36.0</v>
      </c>
      <c r="P103" s="2"/>
      <c r="Q103" s="2">
        <v>4.0</v>
      </c>
      <c r="R103" s="2"/>
      <c r="S103" s="2"/>
    </row>
    <row r="104">
      <c r="A104" s="2" t="s">
        <v>51</v>
      </c>
      <c r="B104" s="2">
        <v>0.0</v>
      </c>
      <c r="C104" s="2">
        <v>48.0</v>
      </c>
      <c r="D104" s="2"/>
      <c r="E104" s="2">
        <v>12.0</v>
      </c>
      <c r="F104" s="2">
        <v>0.0</v>
      </c>
      <c r="G104" s="2">
        <v>64.0</v>
      </c>
      <c r="H104" s="2">
        <v>0.0</v>
      </c>
      <c r="I104" s="2">
        <v>82.0</v>
      </c>
      <c r="J104" s="2"/>
      <c r="K104" s="2">
        <v>50.0</v>
      </c>
      <c r="L104" s="2"/>
      <c r="M104" s="2">
        <v>16.0</v>
      </c>
      <c r="N104" s="2"/>
      <c r="O104" s="2">
        <v>36.0</v>
      </c>
      <c r="P104" s="2"/>
      <c r="Q104" s="2">
        <v>4.0</v>
      </c>
      <c r="R104" s="2"/>
      <c r="S104" s="2"/>
    </row>
    <row r="105">
      <c r="A105" s="2" t="s">
        <v>52</v>
      </c>
      <c r="B105" s="2">
        <v>10.0</v>
      </c>
      <c r="C105" s="2">
        <v>62.0</v>
      </c>
      <c r="D105" s="2"/>
      <c r="E105" s="2">
        <v>12.0</v>
      </c>
      <c r="F105" s="2"/>
      <c r="G105" s="2">
        <v>64.0</v>
      </c>
      <c r="H105" s="2">
        <v>10.0</v>
      </c>
      <c r="I105" s="2">
        <v>96.0</v>
      </c>
      <c r="J105" s="2">
        <v>0.0</v>
      </c>
      <c r="K105" s="2">
        <v>54.0</v>
      </c>
      <c r="L105" s="2">
        <v>0.0</v>
      </c>
      <c r="M105" s="2">
        <v>24.0</v>
      </c>
      <c r="N105" s="2"/>
      <c r="O105" s="2">
        <v>36.0</v>
      </c>
      <c r="P105" s="2"/>
      <c r="Q105" s="2">
        <v>4.0</v>
      </c>
      <c r="R105" s="2"/>
      <c r="S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 t="s">
        <v>47</v>
      </c>
      <c r="B107" s="2">
        <v>0.0</v>
      </c>
      <c r="C107" s="2">
        <v>66.0</v>
      </c>
      <c r="D107" s="2"/>
      <c r="E107" s="2">
        <v>12.0</v>
      </c>
      <c r="F107" s="2">
        <v>0.0</v>
      </c>
      <c r="G107" s="2">
        <v>68.0</v>
      </c>
      <c r="H107" s="2">
        <v>0.0</v>
      </c>
      <c r="I107" s="2">
        <v>100.0</v>
      </c>
      <c r="J107" s="2"/>
      <c r="K107" s="2">
        <v>54.0</v>
      </c>
      <c r="L107" s="2"/>
      <c r="M107" s="2">
        <v>24.0</v>
      </c>
      <c r="N107" s="2"/>
      <c r="O107" s="2">
        <v>36.0</v>
      </c>
      <c r="P107" s="2"/>
      <c r="Q107" s="2">
        <v>4.0</v>
      </c>
      <c r="R107" s="2"/>
      <c r="S107" s="2"/>
    </row>
    <row r="108">
      <c r="A108" s="2" t="s">
        <v>48</v>
      </c>
      <c r="B108" s="2"/>
      <c r="C108" s="2">
        <v>66.0</v>
      </c>
      <c r="D108" s="2">
        <v>10.0</v>
      </c>
      <c r="E108" s="2">
        <v>26.0</v>
      </c>
      <c r="F108" s="2">
        <v>10.0</v>
      </c>
      <c r="G108" s="2">
        <v>82.0</v>
      </c>
      <c r="H108" s="2"/>
      <c r="I108" s="2">
        <v>100.0</v>
      </c>
      <c r="J108" s="2"/>
      <c r="K108" s="2">
        <v>54.0</v>
      </c>
      <c r="L108" s="2"/>
      <c r="M108" s="2">
        <v>24.0</v>
      </c>
      <c r="N108" s="2">
        <v>10.0</v>
      </c>
      <c r="O108" s="2">
        <v>50.0</v>
      </c>
      <c r="P108" s="2">
        <v>10.0</v>
      </c>
      <c r="Q108" s="2">
        <v>18.0</v>
      </c>
      <c r="R108" s="2"/>
      <c r="S108" s="2"/>
    </row>
    <row r="109">
      <c r="A109" s="2" t="s">
        <v>49</v>
      </c>
      <c r="B109" s="2"/>
      <c r="C109" s="2">
        <v>66.0</v>
      </c>
      <c r="D109" s="2"/>
      <c r="E109" s="2">
        <v>26.0</v>
      </c>
      <c r="F109" s="2"/>
      <c r="G109" s="2">
        <v>82.0</v>
      </c>
      <c r="H109" s="2">
        <v>10.0</v>
      </c>
      <c r="I109" s="2">
        <v>114.0</v>
      </c>
      <c r="J109" s="2"/>
      <c r="K109" s="2">
        <v>54.0</v>
      </c>
      <c r="L109" s="2">
        <v>10.0</v>
      </c>
      <c r="M109" s="2">
        <v>42.0</v>
      </c>
      <c r="N109" s="2">
        <v>0.0</v>
      </c>
      <c r="O109" s="2">
        <v>54.0</v>
      </c>
      <c r="P109" s="2">
        <v>0.0</v>
      </c>
      <c r="Q109" s="2">
        <v>22.0</v>
      </c>
      <c r="R109" s="2"/>
      <c r="S109" s="2"/>
    </row>
    <row r="110">
      <c r="A110" s="2" t="s">
        <v>50</v>
      </c>
      <c r="B110" s="2"/>
      <c r="C110" s="2">
        <v>66.0</v>
      </c>
      <c r="D110" s="2"/>
      <c r="E110" s="2">
        <v>26.0</v>
      </c>
      <c r="F110" s="2">
        <v>10.0</v>
      </c>
      <c r="G110" s="2">
        <v>96.0</v>
      </c>
      <c r="H110" s="2"/>
      <c r="I110" s="2">
        <v>114.0</v>
      </c>
      <c r="J110" s="2"/>
      <c r="K110" s="2">
        <v>54.0</v>
      </c>
      <c r="L110" s="2"/>
      <c r="M110" s="2">
        <v>42.0</v>
      </c>
      <c r="N110" s="2"/>
      <c r="O110" s="2">
        <v>54.0</v>
      </c>
      <c r="P110" s="2"/>
      <c r="Q110" s="2">
        <v>22.0</v>
      </c>
      <c r="R110" s="2"/>
      <c r="S110" s="2"/>
    </row>
    <row r="111">
      <c r="A111" s="2" t="s">
        <v>51</v>
      </c>
      <c r="B111" s="2"/>
      <c r="C111" s="2">
        <v>66.0</v>
      </c>
      <c r="D111" s="2">
        <v>10.0</v>
      </c>
      <c r="E111" s="2">
        <v>40.0</v>
      </c>
      <c r="F111" s="2">
        <v>10.0</v>
      </c>
      <c r="G111" s="2">
        <v>110.0</v>
      </c>
      <c r="H111" s="2"/>
      <c r="I111" s="2">
        <v>114.0</v>
      </c>
      <c r="J111" s="2">
        <v>0.0</v>
      </c>
      <c r="K111" s="2">
        <v>58.0</v>
      </c>
      <c r="L111" s="2"/>
      <c r="M111" s="2">
        <v>42.0</v>
      </c>
      <c r="N111" s="2">
        <v>10.0</v>
      </c>
      <c r="O111" s="2">
        <v>68.0</v>
      </c>
      <c r="P111" s="2"/>
      <c r="Q111" s="2">
        <v>22.0</v>
      </c>
      <c r="R111" s="2"/>
      <c r="S111" s="2"/>
    </row>
    <row r="112">
      <c r="A112" s="2" t="s">
        <v>52</v>
      </c>
      <c r="B112" s="2"/>
      <c r="C112" s="2">
        <v>66.0</v>
      </c>
      <c r="D112" s="2"/>
      <c r="E112" s="2">
        <v>40.0</v>
      </c>
      <c r="F112" s="2">
        <v>10.0</v>
      </c>
      <c r="G112" s="2">
        <v>124.0</v>
      </c>
      <c r="H112" s="2">
        <v>10.0</v>
      </c>
      <c r="I112" s="2">
        <v>128.0</v>
      </c>
      <c r="J112" s="2"/>
      <c r="K112" s="2">
        <v>58.0</v>
      </c>
      <c r="L112" s="2"/>
      <c r="M112" s="2">
        <v>42.0</v>
      </c>
      <c r="N112" s="2">
        <v>0.0</v>
      </c>
      <c r="O112" s="2">
        <v>72.0</v>
      </c>
      <c r="P112" s="2"/>
      <c r="Q112" s="2">
        <v>22.0</v>
      </c>
      <c r="R112" s="2"/>
      <c r="S112" s="2"/>
    </row>
    <row r="113">
      <c r="A113" s="2" t="s">
        <v>47</v>
      </c>
      <c r="B113" s="2"/>
      <c r="C113" s="2">
        <v>66.0</v>
      </c>
      <c r="D113" s="2"/>
      <c r="E113" s="2">
        <v>40.0</v>
      </c>
      <c r="F113" s="2"/>
      <c r="G113" s="2">
        <v>124.0</v>
      </c>
      <c r="H113" s="2"/>
      <c r="I113" s="2">
        <v>128.0</v>
      </c>
      <c r="J113" s="2">
        <v>0.0</v>
      </c>
      <c r="K113" s="2">
        <v>62.0</v>
      </c>
      <c r="L113" s="2"/>
      <c r="M113" s="2">
        <v>46.0</v>
      </c>
      <c r="N113" s="2">
        <v>0.0</v>
      </c>
      <c r="O113" s="2">
        <v>80.0</v>
      </c>
      <c r="P113" s="2"/>
      <c r="Q113" s="2">
        <v>22.0</v>
      </c>
      <c r="R113" s="2"/>
      <c r="S113" s="2"/>
    </row>
    <row r="114">
      <c r="A114" s="2" t="s">
        <v>48</v>
      </c>
      <c r="B114" s="2"/>
      <c r="C114" s="2">
        <v>66.0</v>
      </c>
      <c r="D114" s="2"/>
      <c r="E114" s="2">
        <v>40.0</v>
      </c>
      <c r="F114" s="2"/>
      <c r="G114" s="2">
        <v>124.0</v>
      </c>
      <c r="H114" s="2"/>
      <c r="I114" s="2">
        <v>128.0</v>
      </c>
      <c r="J114" s="2"/>
      <c r="K114" s="2">
        <v>62.0</v>
      </c>
      <c r="L114" s="2"/>
      <c r="M114" s="2">
        <v>46.0</v>
      </c>
      <c r="N114" s="2">
        <v>10.0</v>
      </c>
      <c r="O114" s="2">
        <v>94.0</v>
      </c>
      <c r="P114" s="2"/>
      <c r="Q114" s="2">
        <v>22.0</v>
      </c>
      <c r="R114" s="2"/>
      <c r="S114" s="2"/>
    </row>
    <row r="115">
      <c r="A115" s="2" t="s">
        <v>49</v>
      </c>
      <c r="B115" s="2"/>
      <c r="C115" s="2">
        <v>66.0</v>
      </c>
      <c r="D115" s="2"/>
      <c r="E115" s="2">
        <v>44.0</v>
      </c>
      <c r="F115" s="2">
        <v>10.0</v>
      </c>
      <c r="G115" s="2">
        <v>138.0</v>
      </c>
      <c r="H115" s="2"/>
      <c r="I115" s="2">
        <v>128.0</v>
      </c>
      <c r="J115" s="2"/>
      <c r="K115" s="2">
        <v>62.0</v>
      </c>
      <c r="L115" s="2"/>
      <c r="M115" s="2">
        <v>46.0</v>
      </c>
      <c r="N115" s="2">
        <v>10.0</v>
      </c>
      <c r="O115" s="2">
        <v>108.0</v>
      </c>
      <c r="P115" s="2"/>
      <c r="Q115" s="2">
        <v>22.0</v>
      </c>
      <c r="R115" s="2"/>
      <c r="S115" s="2"/>
    </row>
    <row r="116">
      <c r="A116" s="2" t="s">
        <v>50</v>
      </c>
      <c r="B116" s="2"/>
      <c r="C116" s="2">
        <v>66.0</v>
      </c>
      <c r="D116" s="2"/>
      <c r="E116" s="2">
        <v>44.0</v>
      </c>
      <c r="F116" s="2">
        <v>10.0</v>
      </c>
      <c r="G116" s="2">
        <v>152.0</v>
      </c>
      <c r="H116" s="2">
        <v>0.0</v>
      </c>
      <c r="I116" s="2">
        <v>132.0</v>
      </c>
      <c r="J116" s="2">
        <v>10.0</v>
      </c>
      <c r="K116" s="2">
        <v>76.0</v>
      </c>
      <c r="L116" s="2"/>
      <c r="M116" s="2">
        <v>46.0</v>
      </c>
      <c r="N116" s="2">
        <v>10.0</v>
      </c>
      <c r="O116" s="2">
        <v>122.0</v>
      </c>
      <c r="P116" s="2"/>
      <c r="Q116" s="2">
        <v>22.0</v>
      </c>
      <c r="R116" s="2"/>
      <c r="S116" s="2"/>
    </row>
    <row r="117">
      <c r="A117" s="2" t="s">
        <v>51</v>
      </c>
      <c r="B117" s="2">
        <v>10.0</v>
      </c>
      <c r="C117" s="2">
        <v>80.0</v>
      </c>
      <c r="D117" s="2">
        <v>0.0</v>
      </c>
      <c r="E117" s="2">
        <v>48.0</v>
      </c>
      <c r="F117" s="2">
        <v>10.0</v>
      </c>
      <c r="G117" s="2">
        <v>166.0</v>
      </c>
      <c r="H117" s="2"/>
      <c r="I117" s="2">
        <v>132.0</v>
      </c>
      <c r="J117" s="2"/>
      <c r="K117" s="2">
        <v>76.0</v>
      </c>
      <c r="L117" s="2"/>
      <c r="M117" s="2">
        <v>46.0</v>
      </c>
      <c r="N117" s="2"/>
      <c r="O117" s="2">
        <v>122.0</v>
      </c>
      <c r="P117" s="2">
        <v>0.0</v>
      </c>
      <c r="Q117" s="2">
        <v>26.0</v>
      </c>
      <c r="R117" s="2"/>
      <c r="S117" s="2"/>
    </row>
    <row r="118">
      <c r="A118" s="2" t="s">
        <v>52</v>
      </c>
      <c r="B118" s="2"/>
      <c r="C118" s="2">
        <v>84.0</v>
      </c>
      <c r="D118" s="2"/>
      <c r="E118" s="2">
        <v>48.0</v>
      </c>
      <c r="F118" s="2">
        <v>0.0</v>
      </c>
      <c r="G118" s="2">
        <v>170.0</v>
      </c>
      <c r="H118" s="2">
        <v>10.0</v>
      </c>
      <c r="I118" s="2">
        <v>146.0</v>
      </c>
      <c r="J118" s="2">
        <v>0.0</v>
      </c>
      <c r="K118" s="2">
        <v>80.0</v>
      </c>
      <c r="L118" s="2"/>
      <c r="M118" s="2">
        <v>46.0</v>
      </c>
      <c r="N118" s="2"/>
      <c r="O118" s="2">
        <v>122.0</v>
      </c>
      <c r="P118" s="2"/>
      <c r="Q118" s="2">
        <v>26.0</v>
      </c>
      <c r="R118" s="2"/>
      <c r="S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B121" s="2" t="str">
        <f t="array" ref="B121:S150">transpose(sort(transpose(Full!A121:R150),1,true))</f>
        <v>Cupertino A</v>
      </c>
      <c r="C121" s="2" t="s">
        <v>8</v>
      </c>
      <c r="D121" s="2" t="s">
        <v>0</v>
      </c>
      <c r="E121" s="2" t="s">
        <v>0</v>
      </c>
      <c r="F121" s="2" t="s">
        <v>2</v>
      </c>
      <c r="G121" s="2" t="s">
        <v>2</v>
      </c>
      <c r="H121" s="2" t="s">
        <v>4</v>
      </c>
      <c r="I121" s="2" t="s">
        <v>4</v>
      </c>
      <c r="J121" s="2" t="s">
        <v>6</v>
      </c>
      <c r="K121" s="2" t="s">
        <v>6</v>
      </c>
      <c r="L121" s="2" t="s">
        <v>7</v>
      </c>
      <c r="M121" s="2" t="s">
        <v>7</v>
      </c>
      <c r="N121" s="2" t="s">
        <v>5</v>
      </c>
      <c r="O121" s="2" t="s">
        <v>5</v>
      </c>
      <c r="P121" s="2" t="s">
        <v>3</v>
      </c>
      <c r="Q121" s="2" t="s">
        <v>3</v>
      </c>
      <c r="R121" s="2" t="s">
        <v>1</v>
      </c>
      <c r="S121" s="2" t="s">
        <v>1</v>
      </c>
    </row>
    <row r="122">
      <c r="B122" s="2" t="s">
        <v>16</v>
      </c>
      <c r="C122" s="2" t="s">
        <v>19</v>
      </c>
      <c r="D122" s="2" t="s">
        <v>16</v>
      </c>
      <c r="E122" s="2" t="s">
        <v>19</v>
      </c>
      <c r="F122" s="2" t="s">
        <v>16</v>
      </c>
      <c r="G122" s="2" t="s">
        <v>19</v>
      </c>
      <c r="H122" s="2" t="s">
        <v>16</v>
      </c>
      <c r="I122" s="2" t="s">
        <v>19</v>
      </c>
      <c r="J122" s="2" t="s">
        <v>16</v>
      </c>
      <c r="K122" s="2" t="s">
        <v>19</v>
      </c>
      <c r="L122" s="2" t="s">
        <v>16</v>
      </c>
      <c r="M122" s="2" t="s">
        <v>19</v>
      </c>
      <c r="N122" s="2" t="s">
        <v>16</v>
      </c>
      <c r="O122" s="2" t="s">
        <v>19</v>
      </c>
      <c r="P122" s="2" t="s">
        <v>16</v>
      </c>
      <c r="Q122" s="2" t="s">
        <v>19</v>
      </c>
      <c r="R122" s="2" t="s">
        <v>16</v>
      </c>
      <c r="S122" s="2" t="s">
        <v>19</v>
      </c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 t="s">
        <v>47</v>
      </c>
      <c r="B124" s="2"/>
      <c r="C124" s="2">
        <v>4.0</v>
      </c>
      <c r="D124" s="2"/>
      <c r="E124" s="2">
        <v>0.0</v>
      </c>
      <c r="F124" s="2">
        <v>10.0</v>
      </c>
      <c r="G124" s="2">
        <v>14.0</v>
      </c>
      <c r="H124" s="2"/>
      <c r="I124" s="2">
        <v>0.0</v>
      </c>
      <c r="J124" s="2"/>
      <c r="K124" s="2">
        <v>0.0</v>
      </c>
      <c r="L124" s="2"/>
      <c r="M124" s="2">
        <v>0.0</v>
      </c>
      <c r="N124" s="2"/>
      <c r="O124" s="2">
        <v>0.0</v>
      </c>
      <c r="P124" s="2"/>
      <c r="Q124" s="2"/>
      <c r="R124" s="2"/>
      <c r="S124" s="2">
        <v>0.0</v>
      </c>
    </row>
    <row r="125">
      <c r="A125" s="2" t="s">
        <v>48</v>
      </c>
      <c r="B125" s="2"/>
      <c r="C125" s="2">
        <v>4.0</v>
      </c>
      <c r="D125" s="2"/>
      <c r="E125" s="2">
        <v>0.0</v>
      </c>
      <c r="F125" s="2"/>
      <c r="G125" s="2">
        <v>14.0</v>
      </c>
      <c r="H125" s="2">
        <v>0.0</v>
      </c>
      <c r="I125" s="2">
        <v>4.0</v>
      </c>
      <c r="J125" s="2"/>
      <c r="K125" s="2">
        <v>0.0</v>
      </c>
      <c r="L125" s="2"/>
      <c r="M125" s="2">
        <v>0.0</v>
      </c>
      <c r="N125" s="2">
        <v>10.0</v>
      </c>
      <c r="O125" s="2">
        <v>14.0</v>
      </c>
      <c r="P125" s="2"/>
      <c r="Q125" s="2"/>
      <c r="R125" s="2"/>
      <c r="S125" s="2">
        <v>0.0</v>
      </c>
    </row>
    <row r="126">
      <c r="A126" s="2" t="s">
        <v>49</v>
      </c>
      <c r="B126" s="2"/>
      <c r="C126" s="2">
        <v>4.0</v>
      </c>
      <c r="D126" s="2"/>
      <c r="E126" s="2">
        <v>0.0</v>
      </c>
      <c r="F126" s="2">
        <v>10.0</v>
      </c>
      <c r="G126" s="2">
        <v>28.0</v>
      </c>
      <c r="H126" s="2">
        <v>10.0</v>
      </c>
      <c r="I126" s="2">
        <v>18.0</v>
      </c>
      <c r="J126" s="2"/>
      <c r="K126" s="2">
        <v>0.0</v>
      </c>
      <c r="L126" s="2"/>
      <c r="M126" s="2">
        <v>0.0</v>
      </c>
      <c r="N126" s="2"/>
      <c r="O126" s="2">
        <v>14.0</v>
      </c>
      <c r="P126" s="2"/>
      <c r="Q126" s="2"/>
      <c r="R126" s="2"/>
      <c r="S126" s="2">
        <v>0.0</v>
      </c>
    </row>
    <row r="127">
      <c r="A127" s="2" t="s">
        <v>50</v>
      </c>
      <c r="B127" s="2"/>
      <c r="C127" s="2">
        <v>4.0</v>
      </c>
      <c r="D127" s="2">
        <v>0.0</v>
      </c>
      <c r="E127" s="2">
        <v>4.0</v>
      </c>
      <c r="F127" s="2"/>
      <c r="G127" s="2">
        <v>28.0</v>
      </c>
      <c r="H127" s="2">
        <v>0.0</v>
      </c>
      <c r="I127" s="2">
        <v>26.0</v>
      </c>
      <c r="J127" s="2"/>
      <c r="K127" s="2">
        <v>4.0</v>
      </c>
      <c r="L127" s="2"/>
      <c r="M127" s="2">
        <v>0.0</v>
      </c>
      <c r="N127" s="2"/>
      <c r="O127" s="2">
        <v>14.0</v>
      </c>
      <c r="P127" s="2"/>
      <c r="Q127" s="2"/>
      <c r="R127" s="2"/>
      <c r="S127" s="2">
        <v>0.0</v>
      </c>
    </row>
    <row r="128">
      <c r="A128" s="2" t="s">
        <v>51</v>
      </c>
      <c r="B128" s="2"/>
      <c r="C128" s="2">
        <v>4.0</v>
      </c>
      <c r="D128" s="2"/>
      <c r="E128" s="2">
        <v>8.0</v>
      </c>
      <c r="F128" s="2"/>
      <c r="G128" s="2">
        <v>28.0</v>
      </c>
      <c r="H128" s="2"/>
      <c r="I128" s="2">
        <v>26.0</v>
      </c>
      <c r="J128" s="2"/>
      <c r="K128" s="2">
        <v>4.0</v>
      </c>
      <c r="L128" s="2"/>
      <c r="M128" s="2">
        <v>0.0</v>
      </c>
      <c r="N128" s="2">
        <v>10.0</v>
      </c>
      <c r="O128" s="2">
        <v>28.0</v>
      </c>
      <c r="P128" s="2"/>
      <c r="Q128" s="2"/>
      <c r="R128" s="2"/>
      <c r="S128" s="2">
        <v>0.0</v>
      </c>
    </row>
    <row r="129">
      <c r="A129" s="2" t="s">
        <v>52</v>
      </c>
      <c r="B129" s="2">
        <v>10.0</v>
      </c>
      <c r="C129" s="2">
        <v>22.0</v>
      </c>
      <c r="D129" s="2">
        <v>0.0</v>
      </c>
      <c r="E129" s="2">
        <v>16.0</v>
      </c>
      <c r="F129" s="2"/>
      <c r="G129" s="2">
        <v>28.0</v>
      </c>
      <c r="H129" s="2"/>
      <c r="I129" s="2">
        <v>26.0</v>
      </c>
      <c r="J129" s="2">
        <v>10.0</v>
      </c>
      <c r="K129" s="2">
        <v>22.0</v>
      </c>
      <c r="L129" s="2"/>
      <c r="M129" s="2">
        <v>4.0</v>
      </c>
      <c r="N129" s="2"/>
      <c r="O129" s="2">
        <v>28.0</v>
      </c>
      <c r="P129" s="2"/>
      <c r="Q129" s="2"/>
      <c r="R129" s="2"/>
      <c r="S129" s="2">
        <v>0.0</v>
      </c>
    </row>
    <row r="130">
      <c r="A130" s="2" t="s">
        <v>47</v>
      </c>
      <c r="B130" s="2">
        <v>10.0</v>
      </c>
      <c r="C130" s="2">
        <v>36.0</v>
      </c>
      <c r="D130" s="2"/>
      <c r="E130" s="2">
        <v>16.0</v>
      </c>
      <c r="F130" s="2">
        <v>10.0</v>
      </c>
      <c r="G130" s="2">
        <v>42.0</v>
      </c>
      <c r="H130" s="2"/>
      <c r="I130" s="2">
        <v>26.0</v>
      </c>
      <c r="J130" s="2"/>
      <c r="K130" s="2">
        <v>22.0</v>
      </c>
      <c r="L130" s="2"/>
      <c r="M130" s="2">
        <v>4.0</v>
      </c>
      <c r="N130" s="2">
        <v>10.0</v>
      </c>
      <c r="O130" s="2">
        <v>42.0</v>
      </c>
      <c r="P130" s="2"/>
      <c r="Q130" s="2"/>
      <c r="R130" s="2">
        <v>0.0</v>
      </c>
      <c r="S130" s="2">
        <v>4.0</v>
      </c>
    </row>
    <row r="131">
      <c r="A131" s="2" t="s">
        <v>48</v>
      </c>
      <c r="B131" s="2">
        <v>10.0</v>
      </c>
      <c r="C131" s="2">
        <v>54.0</v>
      </c>
      <c r="D131" s="2"/>
      <c r="E131" s="2">
        <v>16.0</v>
      </c>
      <c r="F131" s="2"/>
      <c r="G131" s="2">
        <v>42.0</v>
      </c>
      <c r="H131" s="2"/>
      <c r="I131" s="2">
        <v>26.0</v>
      </c>
      <c r="J131" s="2">
        <v>10.0</v>
      </c>
      <c r="K131" s="2">
        <v>36.0</v>
      </c>
      <c r="L131" s="2"/>
      <c r="M131" s="2">
        <v>4.0</v>
      </c>
      <c r="N131" s="2"/>
      <c r="O131" s="2">
        <v>42.0</v>
      </c>
      <c r="P131" s="2"/>
      <c r="Q131" s="2"/>
      <c r="R131" s="2"/>
      <c r="S131" s="2">
        <v>4.0</v>
      </c>
    </row>
    <row r="132">
      <c r="A132" s="2" t="s">
        <v>49</v>
      </c>
      <c r="B132" s="2">
        <v>0.0</v>
      </c>
      <c r="C132" s="2">
        <v>58.0</v>
      </c>
      <c r="D132" s="2"/>
      <c r="E132" s="2">
        <v>16.0</v>
      </c>
      <c r="F132" s="2">
        <v>10.0</v>
      </c>
      <c r="G132" s="2">
        <v>56.0</v>
      </c>
      <c r="H132" s="2"/>
      <c r="I132" s="2">
        <v>26.0</v>
      </c>
      <c r="J132" s="2"/>
      <c r="K132" s="2">
        <v>40.0</v>
      </c>
      <c r="L132" s="2"/>
      <c r="M132" s="2">
        <v>4.0</v>
      </c>
      <c r="N132" s="2"/>
      <c r="O132" s="2">
        <v>42.0</v>
      </c>
      <c r="P132" s="2"/>
      <c r="Q132" s="2"/>
      <c r="R132" s="2">
        <v>0.0</v>
      </c>
      <c r="S132" s="2">
        <v>8.0</v>
      </c>
    </row>
    <row r="133">
      <c r="A133" s="2" t="s">
        <v>50</v>
      </c>
      <c r="B133" s="2"/>
      <c r="C133" s="2">
        <v>58.0</v>
      </c>
      <c r="D133" s="2"/>
      <c r="E133" s="2">
        <v>16.0</v>
      </c>
      <c r="F133" s="2">
        <v>10.0</v>
      </c>
      <c r="G133" s="2">
        <v>70.0</v>
      </c>
      <c r="H133" s="2">
        <v>0.0</v>
      </c>
      <c r="I133" s="2">
        <v>30.0</v>
      </c>
      <c r="J133" s="2"/>
      <c r="K133" s="2">
        <v>40.0</v>
      </c>
      <c r="L133" s="2"/>
      <c r="M133" s="2">
        <v>4.0</v>
      </c>
      <c r="N133" s="2">
        <v>0.0</v>
      </c>
      <c r="O133" s="2">
        <v>46.0</v>
      </c>
      <c r="P133" s="2"/>
      <c r="Q133" s="2"/>
      <c r="R133" s="2"/>
      <c r="S133" s="2">
        <v>12.0</v>
      </c>
    </row>
    <row r="134">
      <c r="A134" s="2" t="s">
        <v>51</v>
      </c>
      <c r="B134" s="2">
        <v>0.0</v>
      </c>
      <c r="C134" s="2">
        <v>62.0</v>
      </c>
      <c r="D134" s="2"/>
      <c r="E134" s="2">
        <v>16.0</v>
      </c>
      <c r="F134" s="2">
        <v>0.0</v>
      </c>
      <c r="G134" s="2">
        <v>74.0</v>
      </c>
      <c r="H134" s="2"/>
      <c r="I134" s="2">
        <v>30.0</v>
      </c>
      <c r="J134" s="2"/>
      <c r="K134" s="2">
        <v>40.0</v>
      </c>
      <c r="L134" s="2"/>
      <c r="M134" s="2">
        <v>4.0</v>
      </c>
      <c r="N134" s="2">
        <v>10.0</v>
      </c>
      <c r="O134" s="2">
        <v>64.0</v>
      </c>
      <c r="P134" s="2"/>
      <c r="Q134" s="2"/>
      <c r="R134" s="2"/>
      <c r="S134" s="2">
        <v>12.0</v>
      </c>
    </row>
    <row r="135">
      <c r="A135" s="2" t="s">
        <v>52</v>
      </c>
      <c r="B135" s="2"/>
      <c r="C135" s="2">
        <v>62.0</v>
      </c>
      <c r="D135" s="2"/>
      <c r="E135" s="2">
        <v>20.0</v>
      </c>
      <c r="F135" s="2"/>
      <c r="G135" s="2">
        <v>78.0</v>
      </c>
      <c r="H135" s="2">
        <v>0.0</v>
      </c>
      <c r="I135" s="2">
        <v>34.0</v>
      </c>
      <c r="J135" s="2"/>
      <c r="K135" s="2">
        <v>40.0</v>
      </c>
      <c r="L135" s="2"/>
      <c r="M135" s="2">
        <v>4.0</v>
      </c>
      <c r="N135" s="2"/>
      <c r="O135" s="2">
        <v>64.0</v>
      </c>
      <c r="P135" s="2"/>
      <c r="Q135" s="2"/>
      <c r="R135" s="2"/>
      <c r="S135" s="2">
        <v>12.0</v>
      </c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 t="s">
        <v>47</v>
      </c>
      <c r="B137" s="2">
        <v>0.0</v>
      </c>
      <c r="C137" s="2">
        <v>66.0</v>
      </c>
      <c r="D137" s="2"/>
      <c r="E137" s="2">
        <v>20.0</v>
      </c>
      <c r="F137" s="2">
        <v>10.0</v>
      </c>
      <c r="G137" s="2">
        <v>92.0</v>
      </c>
      <c r="H137" s="2"/>
      <c r="I137" s="2">
        <v>34.0</v>
      </c>
      <c r="J137" s="2"/>
      <c r="K137" s="2">
        <v>40.0</v>
      </c>
      <c r="L137" s="2"/>
      <c r="M137" s="2">
        <v>8.0</v>
      </c>
      <c r="N137" s="2">
        <v>0.0</v>
      </c>
      <c r="O137" s="2">
        <v>68.0</v>
      </c>
      <c r="P137" s="2"/>
      <c r="Q137" s="2"/>
      <c r="R137" s="2"/>
      <c r="S137" s="2">
        <v>12.0</v>
      </c>
    </row>
    <row r="138">
      <c r="A138" s="2" t="s">
        <v>48</v>
      </c>
      <c r="B138" s="2">
        <v>10.0</v>
      </c>
      <c r="C138" s="2">
        <v>80.0</v>
      </c>
      <c r="D138" s="2"/>
      <c r="E138" s="2">
        <v>20.0</v>
      </c>
      <c r="F138" s="2"/>
      <c r="G138" s="2">
        <v>92.0</v>
      </c>
      <c r="H138" s="2"/>
      <c r="I138" s="2">
        <v>34.0</v>
      </c>
      <c r="J138" s="2"/>
      <c r="K138" s="2">
        <v>40.0</v>
      </c>
      <c r="L138" s="2"/>
      <c r="M138" s="2">
        <v>8.0</v>
      </c>
      <c r="N138" s="2">
        <v>10.0</v>
      </c>
      <c r="O138" s="2">
        <v>82.0</v>
      </c>
      <c r="P138" s="2"/>
      <c r="Q138" s="2"/>
      <c r="R138" s="2"/>
      <c r="S138" s="2">
        <v>12.0</v>
      </c>
    </row>
    <row r="139">
      <c r="A139" s="2" t="s">
        <v>49</v>
      </c>
      <c r="B139" s="2"/>
      <c r="C139" s="2">
        <v>80.0</v>
      </c>
      <c r="D139" s="2"/>
      <c r="E139" s="2">
        <v>20.0</v>
      </c>
      <c r="F139" s="2">
        <v>10.0</v>
      </c>
      <c r="G139" s="2">
        <v>106.0</v>
      </c>
      <c r="H139" s="2">
        <v>10.0</v>
      </c>
      <c r="I139" s="2">
        <v>48.0</v>
      </c>
      <c r="J139" s="2">
        <v>0.0</v>
      </c>
      <c r="K139" s="2">
        <v>44.0</v>
      </c>
      <c r="L139" s="2">
        <v>0.0</v>
      </c>
      <c r="M139" s="2">
        <v>12.0</v>
      </c>
      <c r="N139" s="2"/>
      <c r="O139" s="2">
        <v>82.0</v>
      </c>
      <c r="P139" s="2"/>
      <c r="Q139" s="2"/>
      <c r="R139" s="2"/>
      <c r="S139" s="2">
        <v>12.0</v>
      </c>
    </row>
    <row r="140">
      <c r="A140" s="2" t="s">
        <v>50</v>
      </c>
      <c r="B140" s="2">
        <v>0.0</v>
      </c>
      <c r="C140" s="2">
        <v>84.0</v>
      </c>
      <c r="D140" s="2"/>
      <c r="E140" s="2">
        <v>20.0</v>
      </c>
      <c r="F140" s="2">
        <v>0.0</v>
      </c>
      <c r="G140" s="2">
        <v>110.0</v>
      </c>
      <c r="H140" s="2"/>
      <c r="I140" s="2">
        <v>48.0</v>
      </c>
      <c r="J140" s="2"/>
      <c r="K140" s="2">
        <v>48.0</v>
      </c>
      <c r="L140" s="2"/>
      <c r="M140" s="2">
        <v>12.0</v>
      </c>
      <c r="N140" s="2"/>
      <c r="O140" s="2">
        <v>82.0</v>
      </c>
      <c r="P140" s="2"/>
      <c r="Q140" s="2"/>
      <c r="R140" s="2"/>
      <c r="S140" s="2">
        <v>12.0</v>
      </c>
    </row>
    <row r="141">
      <c r="A141" s="2" t="s">
        <v>51</v>
      </c>
      <c r="B141" s="2"/>
      <c r="C141" s="2">
        <v>84.0</v>
      </c>
      <c r="D141" s="2"/>
      <c r="E141" s="2">
        <v>20.0</v>
      </c>
      <c r="F141" s="2">
        <v>10.0</v>
      </c>
      <c r="G141" s="2">
        <v>124.0</v>
      </c>
      <c r="H141" s="2">
        <v>0.0</v>
      </c>
      <c r="I141" s="2">
        <v>52.0</v>
      </c>
      <c r="J141" s="2"/>
      <c r="K141" s="2">
        <v>48.0</v>
      </c>
      <c r="L141" s="2"/>
      <c r="M141" s="2">
        <v>12.0</v>
      </c>
      <c r="N141" s="2">
        <v>10.0</v>
      </c>
      <c r="O141" s="2">
        <v>96.0</v>
      </c>
      <c r="P141" s="2"/>
      <c r="Q141" s="2"/>
      <c r="R141" s="2"/>
      <c r="S141" s="2">
        <v>12.0</v>
      </c>
    </row>
    <row r="142">
      <c r="A142" s="2" t="s">
        <v>52</v>
      </c>
      <c r="B142" s="2"/>
      <c r="C142" s="2">
        <v>84.0</v>
      </c>
      <c r="D142" s="2"/>
      <c r="E142" s="2">
        <v>20.0</v>
      </c>
      <c r="F142" s="2">
        <v>10.0</v>
      </c>
      <c r="G142" s="2">
        <v>138.0</v>
      </c>
      <c r="H142" s="2">
        <v>10.0</v>
      </c>
      <c r="I142" s="2">
        <v>66.0</v>
      </c>
      <c r="J142" s="2"/>
      <c r="K142" s="2">
        <v>48.0</v>
      </c>
      <c r="L142" s="2"/>
      <c r="M142" s="2">
        <v>12.0</v>
      </c>
      <c r="N142" s="2">
        <v>10.0</v>
      </c>
      <c r="O142" s="2">
        <v>110.0</v>
      </c>
      <c r="P142" s="2"/>
      <c r="Q142" s="2"/>
      <c r="R142" s="2"/>
      <c r="S142" s="2">
        <v>12.0</v>
      </c>
    </row>
    <row r="143">
      <c r="A143" s="2" t="s">
        <v>47</v>
      </c>
      <c r="B143" s="2">
        <v>10.0</v>
      </c>
      <c r="C143" s="2">
        <v>98.0</v>
      </c>
      <c r="D143" s="2"/>
      <c r="E143" s="2">
        <v>20.0</v>
      </c>
      <c r="F143" s="2">
        <v>10.0</v>
      </c>
      <c r="G143" s="2">
        <v>152.0</v>
      </c>
      <c r="H143" s="2"/>
      <c r="I143" s="2">
        <v>66.0</v>
      </c>
      <c r="J143" s="2">
        <v>10.0</v>
      </c>
      <c r="K143" s="2">
        <v>66.0</v>
      </c>
      <c r="L143" s="2"/>
      <c r="M143" s="2">
        <v>12.0</v>
      </c>
      <c r="N143" s="2"/>
      <c r="O143" s="2">
        <v>110.0</v>
      </c>
      <c r="P143" s="2"/>
      <c r="Q143" s="2"/>
      <c r="R143" s="2">
        <v>0.0</v>
      </c>
      <c r="S143" s="2">
        <v>16.0</v>
      </c>
    </row>
    <row r="144">
      <c r="A144" s="2" t="s">
        <v>48</v>
      </c>
      <c r="B144" s="2">
        <v>10.0</v>
      </c>
      <c r="C144" s="2">
        <v>112.0</v>
      </c>
      <c r="D144" s="2"/>
      <c r="E144" s="2">
        <v>20.0</v>
      </c>
      <c r="F144" s="2">
        <v>10.0</v>
      </c>
      <c r="G144" s="2">
        <v>166.0</v>
      </c>
      <c r="H144" s="2"/>
      <c r="I144" s="2">
        <v>66.0</v>
      </c>
      <c r="J144" s="2"/>
      <c r="K144" s="2">
        <v>66.0</v>
      </c>
      <c r="L144" s="2">
        <v>10.0</v>
      </c>
      <c r="M144" s="2">
        <v>26.0</v>
      </c>
      <c r="N144" s="2">
        <v>10.0</v>
      </c>
      <c r="O144" s="2">
        <v>124.0</v>
      </c>
      <c r="P144" s="2"/>
      <c r="Q144" s="2"/>
      <c r="R144" s="2"/>
      <c r="S144" s="2">
        <v>16.0</v>
      </c>
    </row>
    <row r="145">
      <c r="A145" s="2" t="s">
        <v>49</v>
      </c>
      <c r="B145" s="2">
        <v>0.0</v>
      </c>
      <c r="C145" s="2">
        <v>116.0</v>
      </c>
      <c r="D145" s="2"/>
      <c r="E145" s="2">
        <v>20.0</v>
      </c>
      <c r="F145" s="2">
        <v>10.0</v>
      </c>
      <c r="G145" s="2">
        <v>180.0</v>
      </c>
      <c r="H145" s="2"/>
      <c r="I145" s="2">
        <v>66.0</v>
      </c>
      <c r="J145" s="2"/>
      <c r="K145" s="2">
        <v>66.0</v>
      </c>
      <c r="L145" s="2"/>
      <c r="M145" s="2">
        <v>26.0</v>
      </c>
      <c r="N145" s="2"/>
      <c r="O145" s="2">
        <v>124.0</v>
      </c>
      <c r="P145" s="2"/>
      <c r="Q145" s="2"/>
      <c r="R145" s="2"/>
      <c r="S145" s="2">
        <v>16.0</v>
      </c>
    </row>
    <row r="146">
      <c r="A146" s="2" t="s">
        <v>50</v>
      </c>
      <c r="B146" s="2"/>
      <c r="C146" s="2">
        <v>116.0</v>
      </c>
      <c r="D146" s="2"/>
      <c r="E146" s="2">
        <v>20.0</v>
      </c>
      <c r="F146" s="2">
        <v>0.0</v>
      </c>
      <c r="G146" s="2">
        <v>184.0</v>
      </c>
      <c r="H146" s="2">
        <v>0.0</v>
      </c>
      <c r="I146" s="2">
        <v>70.0</v>
      </c>
      <c r="J146" s="2"/>
      <c r="K146" s="2">
        <v>66.0</v>
      </c>
      <c r="L146" s="2"/>
      <c r="M146" s="2">
        <v>26.0</v>
      </c>
      <c r="N146" s="2">
        <v>0.0</v>
      </c>
      <c r="O146" s="2">
        <v>128.0</v>
      </c>
      <c r="P146" s="2"/>
      <c r="Q146" s="2"/>
      <c r="R146" s="2"/>
      <c r="S146" s="2">
        <v>16.0</v>
      </c>
    </row>
    <row r="147">
      <c r="A147" s="2" t="s">
        <v>51</v>
      </c>
      <c r="B147" s="2"/>
      <c r="C147" s="2">
        <v>116.0</v>
      </c>
      <c r="D147" s="2"/>
      <c r="E147" s="2">
        <v>20.0</v>
      </c>
      <c r="F147" s="2"/>
      <c r="G147" s="2">
        <v>184.0</v>
      </c>
      <c r="H147" s="2">
        <v>10.0</v>
      </c>
      <c r="I147" s="2">
        <v>84.0</v>
      </c>
      <c r="J147" s="2"/>
      <c r="K147" s="2">
        <v>66.0</v>
      </c>
      <c r="L147" s="2"/>
      <c r="M147" s="2">
        <v>26.0</v>
      </c>
      <c r="N147" s="2"/>
      <c r="O147" s="2">
        <v>128.0</v>
      </c>
      <c r="P147" s="2"/>
      <c r="Q147" s="2"/>
      <c r="R147" s="2"/>
      <c r="S147" s="2">
        <v>16.0</v>
      </c>
    </row>
    <row r="148">
      <c r="A148" s="2" t="s">
        <v>52</v>
      </c>
      <c r="B148" s="2"/>
      <c r="C148" s="2">
        <v>120.0</v>
      </c>
      <c r="D148" s="2"/>
      <c r="E148" s="2">
        <v>20.0</v>
      </c>
      <c r="F148" s="2">
        <v>10.0</v>
      </c>
      <c r="G148" s="2">
        <v>198.0</v>
      </c>
      <c r="H148" s="2"/>
      <c r="I148" s="2">
        <v>84.0</v>
      </c>
      <c r="J148" s="2"/>
      <c r="K148" s="2">
        <v>66.0</v>
      </c>
      <c r="L148" s="2"/>
      <c r="M148" s="2">
        <v>26.0</v>
      </c>
      <c r="N148" s="2">
        <v>0.0</v>
      </c>
      <c r="O148" s="2">
        <v>132.0</v>
      </c>
      <c r="P148" s="2"/>
      <c r="Q148" s="2"/>
      <c r="R148" s="2"/>
      <c r="S148" s="2">
        <v>16.0</v>
      </c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B151" s="2" t="str">
        <f t="array" ref="B151:S180">transpose(sort(transpose(Full!A151:R180),1,true))</f>
        <v>Cupertino A</v>
      </c>
      <c r="C151" s="2" t="s">
        <v>8</v>
      </c>
      <c r="D151" s="2" t="s">
        <v>0</v>
      </c>
      <c r="E151" s="2" t="s">
        <v>0</v>
      </c>
      <c r="F151" s="2" t="s">
        <v>2</v>
      </c>
      <c r="G151" s="2" t="s">
        <v>2</v>
      </c>
      <c r="H151" s="2" t="s">
        <v>4</v>
      </c>
      <c r="I151" s="2" t="s">
        <v>4</v>
      </c>
      <c r="J151" s="2" t="s">
        <v>6</v>
      </c>
      <c r="K151" s="2" t="s">
        <v>6</v>
      </c>
      <c r="L151" s="2" t="s">
        <v>7</v>
      </c>
      <c r="M151" s="2" t="s">
        <v>7</v>
      </c>
      <c r="N151" s="2" t="s">
        <v>5</v>
      </c>
      <c r="O151" s="2" t="s">
        <v>5</v>
      </c>
      <c r="P151" s="2" t="s">
        <v>3</v>
      </c>
      <c r="Q151" s="2" t="s">
        <v>3</v>
      </c>
      <c r="R151" s="2" t="s">
        <v>1</v>
      </c>
      <c r="S151" s="2" t="s">
        <v>1</v>
      </c>
    </row>
    <row r="152">
      <c r="B152" s="2" t="s">
        <v>16</v>
      </c>
      <c r="C152" s="2" t="s">
        <v>19</v>
      </c>
      <c r="D152" s="2" t="s">
        <v>16</v>
      </c>
      <c r="E152" s="2" t="s">
        <v>19</v>
      </c>
      <c r="F152" s="2" t="s">
        <v>16</v>
      </c>
      <c r="G152" s="2" t="s">
        <v>19</v>
      </c>
      <c r="H152" s="2" t="s">
        <v>16</v>
      </c>
      <c r="I152" s="2" t="s">
        <v>19</v>
      </c>
      <c r="J152" s="2" t="s">
        <v>16</v>
      </c>
      <c r="K152" s="2" t="s">
        <v>19</v>
      </c>
      <c r="L152" s="2" t="s">
        <v>16</v>
      </c>
      <c r="M152" s="2" t="s">
        <v>19</v>
      </c>
      <c r="N152" s="2" t="s">
        <v>16</v>
      </c>
      <c r="O152" s="2" t="s">
        <v>19</v>
      </c>
      <c r="P152" s="2" t="s">
        <v>16</v>
      </c>
      <c r="Q152" s="2" t="s">
        <v>19</v>
      </c>
      <c r="R152" s="2" t="s">
        <v>16</v>
      </c>
      <c r="S152" s="2" t="s">
        <v>19</v>
      </c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 t="s">
        <v>47</v>
      </c>
      <c r="B154" s="2">
        <v>10.0</v>
      </c>
      <c r="C154" s="2">
        <v>18.0</v>
      </c>
      <c r="D154" s="2"/>
      <c r="E154" s="2">
        <v>0.0</v>
      </c>
      <c r="F154" s="2"/>
      <c r="G154" s="2">
        <v>0.0</v>
      </c>
      <c r="H154" s="2"/>
      <c r="I154" s="2">
        <v>0.0</v>
      </c>
      <c r="J154" s="2"/>
      <c r="K154" s="2">
        <v>4.0</v>
      </c>
      <c r="L154" s="2"/>
      <c r="M154" s="2">
        <v>0.0</v>
      </c>
      <c r="N154" s="2"/>
      <c r="O154" s="2"/>
      <c r="P154" s="2"/>
      <c r="Q154" s="2">
        <v>0.0</v>
      </c>
      <c r="R154" s="2"/>
      <c r="S154" s="2">
        <v>0.0</v>
      </c>
    </row>
    <row r="155">
      <c r="A155" s="2" t="s">
        <v>48</v>
      </c>
      <c r="B155" s="2">
        <v>10.0</v>
      </c>
      <c r="C155" s="2">
        <v>32.0</v>
      </c>
      <c r="D155" s="2"/>
      <c r="E155" s="2">
        <v>0.0</v>
      </c>
      <c r="F155" s="2"/>
      <c r="G155" s="2">
        <v>0.0</v>
      </c>
      <c r="H155" s="2">
        <v>10.0</v>
      </c>
      <c r="I155" s="2">
        <v>14.0</v>
      </c>
      <c r="J155" s="2"/>
      <c r="K155" s="2">
        <v>4.0</v>
      </c>
      <c r="L155" s="2"/>
      <c r="M155" s="2">
        <v>0.0</v>
      </c>
      <c r="N155" s="2"/>
      <c r="O155" s="2"/>
      <c r="P155" s="2"/>
      <c r="Q155" s="2">
        <v>0.0</v>
      </c>
      <c r="R155" s="2"/>
      <c r="S155" s="2">
        <v>0.0</v>
      </c>
    </row>
    <row r="156">
      <c r="A156" s="2" t="s">
        <v>49</v>
      </c>
      <c r="B156" s="2"/>
      <c r="C156" s="2">
        <v>32.0</v>
      </c>
      <c r="D156" s="2"/>
      <c r="E156" s="2">
        <v>0.0</v>
      </c>
      <c r="F156" s="2">
        <v>0.0</v>
      </c>
      <c r="G156" s="2">
        <v>4.0</v>
      </c>
      <c r="H156" s="2">
        <v>10.0</v>
      </c>
      <c r="I156" s="2">
        <v>28.0</v>
      </c>
      <c r="J156" s="2"/>
      <c r="K156" s="2">
        <v>4.0</v>
      </c>
      <c r="L156" s="2"/>
      <c r="M156" s="2">
        <v>0.0</v>
      </c>
      <c r="N156" s="2"/>
      <c r="O156" s="2"/>
      <c r="P156" s="2"/>
      <c r="Q156" s="2">
        <v>0.0</v>
      </c>
      <c r="R156" s="2"/>
      <c r="S156" s="2">
        <v>0.0</v>
      </c>
    </row>
    <row r="157">
      <c r="A157" s="2" t="s">
        <v>50</v>
      </c>
      <c r="B157" s="2"/>
      <c r="C157" s="2">
        <v>32.0</v>
      </c>
      <c r="D157" s="2">
        <v>0.0</v>
      </c>
      <c r="E157" s="2">
        <v>4.0</v>
      </c>
      <c r="F157" s="2">
        <v>10.0</v>
      </c>
      <c r="G157" s="2">
        <v>18.0</v>
      </c>
      <c r="H157" s="2"/>
      <c r="I157" s="2">
        <v>28.0</v>
      </c>
      <c r="J157" s="2"/>
      <c r="K157" s="2">
        <v>4.0</v>
      </c>
      <c r="L157" s="2"/>
      <c r="M157" s="2">
        <v>0.0</v>
      </c>
      <c r="N157" s="2"/>
      <c r="O157" s="2"/>
      <c r="P157" s="2">
        <v>0.0</v>
      </c>
      <c r="Q157" s="2">
        <v>4.0</v>
      </c>
      <c r="R157" s="2"/>
      <c r="S157" s="2">
        <v>0.0</v>
      </c>
    </row>
    <row r="158">
      <c r="A158" s="2" t="s">
        <v>51</v>
      </c>
      <c r="B158" s="2"/>
      <c r="C158" s="2">
        <v>32.0</v>
      </c>
      <c r="D158" s="2"/>
      <c r="E158" s="2">
        <v>4.0</v>
      </c>
      <c r="F158" s="2">
        <v>10.0</v>
      </c>
      <c r="G158" s="2">
        <v>32.0</v>
      </c>
      <c r="H158" s="2"/>
      <c r="I158" s="2">
        <v>28.0</v>
      </c>
      <c r="J158" s="2"/>
      <c r="K158" s="2">
        <v>4.0</v>
      </c>
      <c r="L158" s="2"/>
      <c r="M158" s="2">
        <v>0.0</v>
      </c>
      <c r="N158" s="2"/>
      <c r="O158" s="2"/>
      <c r="P158" s="2"/>
      <c r="Q158" s="2">
        <v>4.0</v>
      </c>
      <c r="R158" s="2"/>
      <c r="S158" s="2">
        <v>0.0</v>
      </c>
    </row>
    <row r="159">
      <c r="A159" s="2" t="s">
        <v>52</v>
      </c>
      <c r="B159" s="2"/>
      <c r="C159" s="2">
        <v>32.0</v>
      </c>
      <c r="D159" s="2"/>
      <c r="E159" s="2">
        <v>4.0</v>
      </c>
      <c r="F159" s="2">
        <v>0.0</v>
      </c>
      <c r="G159" s="2">
        <v>40.0</v>
      </c>
      <c r="H159" s="2"/>
      <c r="I159" s="2">
        <v>28.0</v>
      </c>
      <c r="J159" s="2"/>
      <c r="K159" s="2">
        <v>4.0</v>
      </c>
      <c r="L159" s="2"/>
      <c r="M159" s="2">
        <v>0.0</v>
      </c>
      <c r="N159" s="2"/>
      <c r="O159" s="2"/>
      <c r="P159" s="2"/>
      <c r="Q159" s="2">
        <v>4.0</v>
      </c>
      <c r="R159" s="2"/>
      <c r="S159" s="2">
        <v>0.0</v>
      </c>
    </row>
    <row r="160">
      <c r="A160" s="2" t="s">
        <v>47</v>
      </c>
      <c r="B160" s="2"/>
      <c r="C160" s="2">
        <v>32.0</v>
      </c>
      <c r="D160" s="2"/>
      <c r="E160" s="2">
        <v>4.0</v>
      </c>
      <c r="F160" s="2">
        <v>10.0</v>
      </c>
      <c r="G160" s="2">
        <v>54.0</v>
      </c>
      <c r="H160" s="2"/>
      <c r="I160" s="2">
        <v>28.0</v>
      </c>
      <c r="J160" s="2">
        <v>10.0</v>
      </c>
      <c r="K160" s="2">
        <v>18.0</v>
      </c>
      <c r="L160" s="2">
        <v>10.0</v>
      </c>
      <c r="M160" s="2">
        <v>14.0</v>
      </c>
      <c r="N160" s="2"/>
      <c r="O160" s="2"/>
      <c r="P160" s="2"/>
      <c r="Q160" s="2">
        <v>4.0</v>
      </c>
      <c r="R160" s="2">
        <v>10.0</v>
      </c>
      <c r="S160" s="2">
        <v>14.0</v>
      </c>
    </row>
    <row r="161">
      <c r="A161" s="2" t="s">
        <v>48</v>
      </c>
      <c r="B161" s="2"/>
      <c r="C161" s="2">
        <v>32.0</v>
      </c>
      <c r="D161" s="2"/>
      <c r="E161" s="2">
        <v>4.0</v>
      </c>
      <c r="F161" s="2"/>
      <c r="G161" s="2">
        <v>54.0</v>
      </c>
      <c r="H161" s="2">
        <v>0.0</v>
      </c>
      <c r="I161" s="2">
        <v>32.0</v>
      </c>
      <c r="J161" s="2"/>
      <c r="K161" s="2">
        <v>18.0</v>
      </c>
      <c r="L161" s="2"/>
      <c r="M161" s="2">
        <v>14.0</v>
      </c>
      <c r="N161" s="2"/>
      <c r="O161" s="2"/>
      <c r="P161" s="2"/>
      <c r="Q161" s="2">
        <v>4.0</v>
      </c>
      <c r="R161" s="2">
        <v>0.0</v>
      </c>
      <c r="S161" s="2">
        <v>18.0</v>
      </c>
    </row>
    <row r="162">
      <c r="A162" s="2" t="s">
        <v>49</v>
      </c>
      <c r="B162" s="2"/>
      <c r="C162" s="2">
        <v>32.0</v>
      </c>
      <c r="D162" s="2"/>
      <c r="E162" s="2">
        <v>4.0</v>
      </c>
      <c r="F162" s="2">
        <v>0.0</v>
      </c>
      <c r="G162" s="2">
        <v>58.0</v>
      </c>
      <c r="H162" s="2">
        <v>0.0</v>
      </c>
      <c r="I162" s="2">
        <v>36.0</v>
      </c>
      <c r="J162" s="2"/>
      <c r="K162" s="2">
        <v>18.0</v>
      </c>
      <c r="L162" s="2"/>
      <c r="M162" s="2">
        <v>14.0</v>
      </c>
      <c r="N162" s="2"/>
      <c r="O162" s="2"/>
      <c r="P162" s="2">
        <v>0.0</v>
      </c>
      <c r="Q162" s="2">
        <v>8.0</v>
      </c>
      <c r="R162" s="2"/>
      <c r="S162" s="2">
        <v>18.0</v>
      </c>
    </row>
    <row r="163">
      <c r="A163" s="2" t="s">
        <v>50</v>
      </c>
      <c r="B163" s="2"/>
      <c r="C163" s="2">
        <v>32.0</v>
      </c>
      <c r="D163" s="2"/>
      <c r="E163" s="2">
        <v>4.0</v>
      </c>
      <c r="F163" s="2">
        <v>10.0</v>
      </c>
      <c r="G163" s="2">
        <v>72.0</v>
      </c>
      <c r="H163" s="2"/>
      <c r="I163" s="2">
        <v>36.0</v>
      </c>
      <c r="J163" s="2"/>
      <c r="K163" s="2">
        <v>18.0</v>
      </c>
      <c r="L163" s="2"/>
      <c r="M163" s="2">
        <v>14.0</v>
      </c>
      <c r="N163" s="2"/>
      <c r="O163" s="2"/>
      <c r="P163" s="2"/>
      <c r="Q163" s="2">
        <v>8.0</v>
      </c>
      <c r="R163" s="2"/>
      <c r="S163" s="2">
        <v>18.0</v>
      </c>
    </row>
    <row r="164">
      <c r="A164" s="2" t="s">
        <v>51</v>
      </c>
      <c r="B164" s="2">
        <v>10.0</v>
      </c>
      <c r="C164" s="2">
        <v>50.0</v>
      </c>
      <c r="D164" s="2"/>
      <c r="E164" s="2">
        <v>4.0</v>
      </c>
      <c r="F164" s="2"/>
      <c r="G164" s="2">
        <v>72.0</v>
      </c>
      <c r="H164" s="2"/>
      <c r="I164" s="2">
        <v>36.0</v>
      </c>
      <c r="J164" s="2"/>
      <c r="K164" s="2">
        <v>22.0</v>
      </c>
      <c r="L164" s="2"/>
      <c r="M164" s="2">
        <v>14.0</v>
      </c>
      <c r="N164" s="2"/>
      <c r="O164" s="2"/>
      <c r="P164" s="2"/>
      <c r="Q164" s="2">
        <v>8.0</v>
      </c>
      <c r="R164" s="2"/>
      <c r="S164" s="2">
        <v>18.0</v>
      </c>
    </row>
    <row r="165">
      <c r="A165" s="2" t="s">
        <v>52</v>
      </c>
      <c r="B165" s="2"/>
      <c r="C165" s="2">
        <v>50.0</v>
      </c>
      <c r="D165" s="2">
        <v>0.0</v>
      </c>
      <c r="E165" s="2">
        <v>8.0</v>
      </c>
      <c r="F165" s="2">
        <v>10.0</v>
      </c>
      <c r="G165" s="2">
        <v>86.0</v>
      </c>
      <c r="H165" s="2">
        <v>10.0</v>
      </c>
      <c r="I165" s="2">
        <v>50.0</v>
      </c>
      <c r="J165" s="2"/>
      <c r="K165" s="2">
        <v>22.0</v>
      </c>
      <c r="L165" s="2"/>
      <c r="M165" s="2">
        <v>14.0</v>
      </c>
      <c r="N165" s="2"/>
      <c r="O165" s="2"/>
      <c r="P165" s="2">
        <v>0.0</v>
      </c>
      <c r="Q165" s="2">
        <v>16.0</v>
      </c>
      <c r="R165" s="2"/>
      <c r="S165" s="2">
        <v>18.0</v>
      </c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 t="s">
        <v>47</v>
      </c>
      <c r="B167" s="2"/>
      <c r="C167" s="2">
        <v>50.0</v>
      </c>
      <c r="D167" s="2"/>
      <c r="E167" s="2">
        <v>8.0</v>
      </c>
      <c r="F167" s="2">
        <v>0.0</v>
      </c>
      <c r="G167" s="2">
        <v>90.0</v>
      </c>
      <c r="H167" s="2"/>
      <c r="I167" s="2">
        <v>50.0</v>
      </c>
      <c r="J167" s="2"/>
      <c r="K167" s="2">
        <v>22.0</v>
      </c>
      <c r="L167" s="2"/>
      <c r="M167" s="2">
        <v>14.0</v>
      </c>
      <c r="N167" s="2"/>
      <c r="O167" s="2"/>
      <c r="P167" s="2"/>
      <c r="Q167" s="2">
        <v>16.0</v>
      </c>
      <c r="R167" s="2"/>
      <c r="S167" s="2">
        <v>18.0</v>
      </c>
    </row>
    <row r="168">
      <c r="A168" s="2" t="s">
        <v>48</v>
      </c>
      <c r="B168" s="2"/>
      <c r="C168" s="2">
        <v>50.0</v>
      </c>
      <c r="D168" s="2"/>
      <c r="E168" s="2">
        <v>8.0</v>
      </c>
      <c r="F168" s="2">
        <v>10.0</v>
      </c>
      <c r="G168" s="2">
        <v>108.0</v>
      </c>
      <c r="H168" s="2"/>
      <c r="I168" s="2">
        <v>50.0</v>
      </c>
      <c r="J168" s="2"/>
      <c r="K168" s="2">
        <v>22.0</v>
      </c>
      <c r="L168" s="2"/>
      <c r="M168" s="2">
        <v>14.0</v>
      </c>
      <c r="N168" s="2"/>
      <c r="O168" s="2"/>
      <c r="P168" s="2"/>
      <c r="Q168" s="2">
        <v>16.0</v>
      </c>
      <c r="R168" s="2"/>
      <c r="S168" s="2">
        <v>18.0</v>
      </c>
    </row>
    <row r="169">
      <c r="A169" s="2" t="s">
        <v>49</v>
      </c>
      <c r="B169" s="2">
        <v>10.0</v>
      </c>
      <c r="C169" s="2">
        <v>64.0</v>
      </c>
      <c r="D169" s="2">
        <v>0.0</v>
      </c>
      <c r="E169" s="2">
        <v>12.0</v>
      </c>
      <c r="F169" s="2"/>
      <c r="G169" s="2">
        <v>108.0</v>
      </c>
      <c r="H169" s="2">
        <v>10.0</v>
      </c>
      <c r="I169" s="2">
        <v>64.0</v>
      </c>
      <c r="J169" s="2"/>
      <c r="K169" s="2">
        <v>22.0</v>
      </c>
      <c r="L169" s="2"/>
      <c r="M169" s="2">
        <v>14.0</v>
      </c>
      <c r="N169" s="2"/>
      <c r="O169" s="2"/>
      <c r="P169" s="2"/>
      <c r="Q169" s="2">
        <v>16.0</v>
      </c>
      <c r="R169" s="2"/>
      <c r="S169" s="2">
        <v>18.0</v>
      </c>
    </row>
    <row r="170">
      <c r="A170" s="2" t="s">
        <v>50</v>
      </c>
      <c r="B170" s="2">
        <v>10.0</v>
      </c>
      <c r="C170" s="2">
        <v>82.0</v>
      </c>
      <c r="D170" s="2"/>
      <c r="E170" s="2">
        <v>12.0</v>
      </c>
      <c r="F170" s="2"/>
      <c r="G170" s="2">
        <v>108.0</v>
      </c>
      <c r="H170" s="2"/>
      <c r="I170" s="2">
        <v>64.0</v>
      </c>
      <c r="J170" s="2"/>
      <c r="K170" s="2">
        <v>22.0</v>
      </c>
      <c r="L170" s="2">
        <v>10.0</v>
      </c>
      <c r="M170" s="2">
        <v>28.0</v>
      </c>
      <c r="N170" s="2"/>
      <c r="O170" s="2"/>
      <c r="P170" s="2"/>
      <c r="Q170" s="2">
        <v>16.0</v>
      </c>
      <c r="R170" s="2">
        <v>10.0</v>
      </c>
      <c r="S170" s="2">
        <v>32.0</v>
      </c>
    </row>
    <row r="171">
      <c r="A171" s="2" t="s">
        <v>51</v>
      </c>
      <c r="B171" s="2"/>
      <c r="C171" s="2">
        <v>82.0</v>
      </c>
      <c r="D171" s="2"/>
      <c r="E171" s="2">
        <v>12.0</v>
      </c>
      <c r="F171" s="2">
        <v>10.0</v>
      </c>
      <c r="G171" s="2">
        <v>122.0</v>
      </c>
      <c r="H171" s="2"/>
      <c r="I171" s="2">
        <v>64.0</v>
      </c>
      <c r="J171" s="2"/>
      <c r="K171" s="2">
        <v>22.0</v>
      </c>
      <c r="L171" s="2"/>
      <c r="M171" s="2">
        <v>28.0</v>
      </c>
      <c r="N171" s="2"/>
      <c r="O171" s="2"/>
      <c r="P171" s="2">
        <v>0.0</v>
      </c>
      <c r="Q171" s="2">
        <v>20.0</v>
      </c>
      <c r="R171" s="2"/>
      <c r="S171" s="2">
        <v>32.0</v>
      </c>
    </row>
    <row r="172">
      <c r="A172" s="2" t="s">
        <v>52</v>
      </c>
      <c r="B172" s="2"/>
      <c r="C172" s="2">
        <v>82.0</v>
      </c>
      <c r="D172" s="2"/>
      <c r="E172" s="2">
        <v>12.0</v>
      </c>
      <c r="F172" s="2">
        <v>10.0</v>
      </c>
      <c r="G172" s="2">
        <v>136.0</v>
      </c>
      <c r="H172" s="2">
        <v>10.0</v>
      </c>
      <c r="I172" s="2">
        <v>78.0</v>
      </c>
      <c r="J172" s="2"/>
      <c r="K172" s="2">
        <v>22.0</v>
      </c>
      <c r="L172" s="2"/>
      <c r="M172" s="2">
        <v>28.0</v>
      </c>
      <c r="N172" s="2"/>
      <c r="O172" s="2"/>
      <c r="P172" s="2"/>
      <c r="Q172" s="2">
        <v>20.0</v>
      </c>
      <c r="R172" s="2">
        <v>10.0</v>
      </c>
      <c r="S172" s="2">
        <v>46.0</v>
      </c>
    </row>
    <row r="173">
      <c r="A173" s="2" t="s">
        <v>47</v>
      </c>
      <c r="B173" s="2"/>
      <c r="C173" s="2">
        <v>82.0</v>
      </c>
      <c r="D173" s="2"/>
      <c r="E173" s="2">
        <v>16.0</v>
      </c>
      <c r="F173" s="2">
        <v>10.0</v>
      </c>
      <c r="G173" s="2">
        <v>154.0</v>
      </c>
      <c r="H173" s="2"/>
      <c r="I173" s="2">
        <v>78.0</v>
      </c>
      <c r="J173" s="2">
        <v>10.0</v>
      </c>
      <c r="K173" s="2">
        <v>36.0</v>
      </c>
      <c r="L173" s="2"/>
      <c r="M173" s="2">
        <v>28.0</v>
      </c>
      <c r="N173" s="2"/>
      <c r="O173" s="2"/>
      <c r="P173" s="2"/>
      <c r="Q173" s="2">
        <v>20.0</v>
      </c>
      <c r="R173" s="2"/>
      <c r="S173" s="2">
        <v>46.0</v>
      </c>
    </row>
    <row r="174">
      <c r="A174" s="2" t="s">
        <v>48</v>
      </c>
      <c r="B174" s="2"/>
      <c r="C174" s="2">
        <v>82.0</v>
      </c>
      <c r="D174" s="2"/>
      <c r="E174" s="2">
        <v>16.0</v>
      </c>
      <c r="F174" s="2">
        <v>10.0</v>
      </c>
      <c r="G174" s="2">
        <v>168.0</v>
      </c>
      <c r="H174" s="2">
        <v>10.0</v>
      </c>
      <c r="I174" s="2">
        <v>92.0</v>
      </c>
      <c r="J174" s="2"/>
      <c r="K174" s="2">
        <v>36.0</v>
      </c>
      <c r="L174" s="2">
        <v>0.0</v>
      </c>
      <c r="M174" s="2">
        <v>32.0</v>
      </c>
      <c r="N174" s="2"/>
      <c r="O174" s="2"/>
      <c r="P174" s="2">
        <v>10.0</v>
      </c>
      <c r="Q174" s="2">
        <v>34.0</v>
      </c>
      <c r="R174" s="2"/>
      <c r="S174" s="2">
        <v>46.0</v>
      </c>
    </row>
    <row r="175">
      <c r="A175" s="2" t="s">
        <v>49</v>
      </c>
      <c r="B175" s="2"/>
      <c r="C175" s="2">
        <v>82.0</v>
      </c>
      <c r="D175" s="2">
        <v>0.0</v>
      </c>
      <c r="E175" s="2">
        <v>20.0</v>
      </c>
      <c r="F175" s="2">
        <v>10.0</v>
      </c>
      <c r="G175" s="2">
        <v>182.0</v>
      </c>
      <c r="H175" s="2"/>
      <c r="I175" s="2">
        <v>92.0</v>
      </c>
      <c r="J175" s="2">
        <v>0.0</v>
      </c>
      <c r="K175" s="2">
        <v>40.0</v>
      </c>
      <c r="L175" s="2"/>
      <c r="M175" s="2">
        <v>32.0</v>
      </c>
      <c r="N175" s="2"/>
      <c r="O175" s="2"/>
      <c r="P175" s="2">
        <v>0.0</v>
      </c>
      <c r="Q175" s="2">
        <v>38.0</v>
      </c>
      <c r="R175" s="2"/>
      <c r="S175" s="2">
        <v>46.0</v>
      </c>
    </row>
    <row r="176">
      <c r="A176" s="2" t="s">
        <v>50</v>
      </c>
      <c r="B176" s="2"/>
      <c r="C176" s="2">
        <v>82.0</v>
      </c>
      <c r="D176" s="2"/>
      <c r="E176" s="2">
        <v>20.0</v>
      </c>
      <c r="F176" s="2">
        <v>0.0</v>
      </c>
      <c r="G176" s="2">
        <v>186.0</v>
      </c>
      <c r="H176" s="2">
        <v>0.0</v>
      </c>
      <c r="I176" s="2">
        <v>96.0</v>
      </c>
      <c r="J176" s="2"/>
      <c r="K176" s="2">
        <v>40.0</v>
      </c>
      <c r="L176" s="2">
        <v>0.0</v>
      </c>
      <c r="M176" s="2">
        <v>36.0</v>
      </c>
      <c r="N176" s="2"/>
      <c r="O176" s="2"/>
      <c r="P176" s="2"/>
      <c r="Q176" s="2">
        <v>38.0</v>
      </c>
      <c r="R176" s="2">
        <v>10.0</v>
      </c>
      <c r="S176" s="2">
        <v>60.0</v>
      </c>
    </row>
    <row r="177">
      <c r="A177" s="2" t="s">
        <v>51</v>
      </c>
      <c r="B177" s="2"/>
      <c r="C177" s="2">
        <v>82.0</v>
      </c>
      <c r="D177" s="2">
        <v>0.0</v>
      </c>
      <c r="E177" s="2">
        <v>24.0</v>
      </c>
      <c r="F177" s="2"/>
      <c r="G177" s="2">
        <v>190.0</v>
      </c>
      <c r="H177" s="2"/>
      <c r="I177" s="2">
        <v>96.0</v>
      </c>
      <c r="J177" s="2">
        <v>0.0</v>
      </c>
      <c r="K177" s="2">
        <v>44.0</v>
      </c>
      <c r="L177" s="2"/>
      <c r="M177" s="2">
        <v>36.0</v>
      </c>
      <c r="N177" s="2"/>
      <c r="O177" s="2"/>
      <c r="P177" s="2"/>
      <c r="Q177" s="2">
        <v>38.0</v>
      </c>
      <c r="R177" s="2">
        <v>0.0</v>
      </c>
      <c r="S177" s="2">
        <v>64.0</v>
      </c>
    </row>
    <row r="178">
      <c r="A178" s="2" t="s">
        <v>52</v>
      </c>
      <c r="B178" s="2">
        <v>10.0</v>
      </c>
      <c r="C178" s="2">
        <v>100.0</v>
      </c>
      <c r="D178" s="2"/>
      <c r="E178" s="2">
        <v>24.0</v>
      </c>
      <c r="F178" s="2"/>
      <c r="G178" s="2">
        <v>190.0</v>
      </c>
      <c r="H178" s="2"/>
      <c r="I178" s="2">
        <v>96.0</v>
      </c>
      <c r="J178" s="2">
        <v>10.0</v>
      </c>
      <c r="K178" s="2">
        <v>58.0</v>
      </c>
      <c r="L178" s="2"/>
      <c r="M178" s="2">
        <v>36.0</v>
      </c>
      <c r="N178" s="2"/>
      <c r="O178" s="2"/>
      <c r="P178" s="2"/>
      <c r="Q178" s="2">
        <v>38.0</v>
      </c>
      <c r="R178" s="2">
        <v>10.0</v>
      </c>
      <c r="S178" s="2">
        <v>78.0</v>
      </c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B181" s="2" t="str">
        <f t="array" ref="B181:S210">transpose(sort(transpose(Full!A181:R210),1,true))</f>
        <v>Cupertino A</v>
      </c>
      <c r="C181" s="2" t="s">
        <v>8</v>
      </c>
      <c r="D181" s="2" t="s">
        <v>0</v>
      </c>
      <c r="E181" s="2" t="s">
        <v>0</v>
      </c>
      <c r="F181" s="2" t="s">
        <v>2</v>
      </c>
      <c r="G181" s="2" t="s">
        <v>2</v>
      </c>
      <c r="H181" s="2" t="s">
        <v>4</v>
      </c>
      <c r="I181" s="2" t="s">
        <v>4</v>
      </c>
      <c r="J181" s="2" t="s">
        <v>6</v>
      </c>
      <c r="K181" s="2" t="s">
        <v>6</v>
      </c>
      <c r="L181" s="2" t="s">
        <v>7</v>
      </c>
      <c r="M181" s="2" t="s">
        <v>7</v>
      </c>
      <c r="N181" s="2" t="s">
        <v>5</v>
      </c>
      <c r="O181" s="2" t="s">
        <v>5</v>
      </c>
      <c r="P181" s="2" t="s">
        <v>3</v>
      </c>
      <c r="Q181" s="2" t="s">
        <v>3</v>
      </c>
      <c r="R181" s="2" t="s">
        <v>1</v>
      </c>
      <c r="S181" s="2" t="s">
        <v>1</v>
      </c>
    </row>
    <row r="182">
      <c r="B182" s="2" t="s">
        <v>16</v>
      </c>
      <c r="C182" s="2" t="s">
        <v>19</v>
      </c>
      <c r="D182" s="2" t="s">
        <v>16</v>
      </c>
      <c r="E182" s="2" t="s">
        <v>19</v>
      </c>
      <c r="F182" s="2" t="s">
        <v>16</v>
      </c>
      <c r="G182" s="2" t="s">
        <v>19</v>
      </c>
      <c r="H182" s="2" t="s">
        <v>16</v>
      </c>
      <c r="I182" s="2" t="s">
        <v>19</v>
      </c>
      <c r="J182" s="2" t="s">
        <v>16</v>
      </c>
      <c r="K182" s="2" t="s">
        <v>19</v>
      </c>
      <c r="L182" s="2" t="s">
        <v>16</v>
      </c>
      <c r="M182" s="2" t="s">
        <v>19</v>
      </c>
      <c r="N182" s="2" t="s">
        <v>16</v>
      </c>
      <c r="O182" s="2" t="s">
        <v>19</v>
      </c>
      <c r="P182" s="2" t="s">
        <v>16</v>
      </c>
      <c r="Q182" s="2" t="s">
        <v>19</v>
      </c>
      <c r="R182" s="2" t="s">
        <v>16</v>
      </c>
      <c r="S182" s="2" t="s">
        <v>19</v>
      </c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 t="s">
        <v>47</v>
      </c>
      <c r="B184" s="2"/>
      <c r="C184" s="2">
        <v>0.0</v>
      </c>
      <c r="D184" s="2">
        <v>0.0</v>
      </c>
      <c r="E184" s="2">
        <v>4.0</v>
      </c>
      <c r="F184" s="2"/>
      <c r="G184" s="2">
        <v>0.0</v>
      </c>
      <c r="H184" s="2"/>
      <c r="I184" s="2"/>
      <c r="J184" s="2">
        <v>10.0</v>
      </c>
      <c r="K184" s="2">
        <v>14.0</v>
      </c>
      <c r="L184" s="2"/>
      <c r="M184" s="2">
        <v>0.0</v>
      </c>
      <c r="N184" s="2">
        <v>10.0</v>
      </c>
      <c r="O184" s="2">
        <v>14.0</v>
      </c>
      <c r="P184" s="2"/>
      <c r="Q184" s="2">
        <v>0.0</v>
      </c>
      <c r="R184" s="2"/>
      <c r="S184" s="2">
        <v>0.0</v>
      </c>
    </row>
    <row r="185">
      <c r="A185" s="2" t="s">
        <v>48</v>
      </c>
      <c r="B185" s="2"/>
      <c r="C185" s="2">
        <v>0.0</v>
      </c>
      <c r="D185" s="2"/>
      <c r="E185" s="2">
        <v>4.0</v>
      </c>
      <c r="F185" s="2"/>
      <c r="G185" s="2">
        <v>0.0</v>
      </c>
      <c r="H185" s="2"/>
      <c r="I185" s="2"/>
      <c r="J185" s="2"/>
      <c r="K185" s="2">
        <v>14.0</v>
      </c>
      <c r="L185" s="2"/>
      <c r="M185" s="2">
        <v>0.0</v>
      </c>
      <c r="N185" s="2"/>
      <c r="O185" s="2">
        <v>14.0</v>
      </c>
      <c r="P185" s="2"/>
      <c r="Q185" s="2">
        <v>0.0</v>
      </c>
      <c r="R185" s="2"/>
      <c r="S185" s="2">
        <v>0.0</v>
      </c>
    </row>
    <row r="186">
      <c r="A186" s="2" t="s">
        <v>49</v>
      </c>
      <c r="B186" s="2">
        <v>0.0</v>
      </c>
      <c r="C186" s="2">
        <v>4.0</v>
      </c>
      <c r="D186" s="2"/>
      <c r="E186" s="2">
        <v>4.0</v>
      </c>
      <c r="F186" s="2"/>
      <c r="G186" s="2">
        <v>0.0</v>
      </c>
      <c r="H186" s="2"/>
      <c r="I186" s="2"/>
      <c r="J186" s="2"/>
      <c r="K186" s="2">
        <v>14.0</v>
      </c>
      <c r="L186" s="2">
        <v>0.0</v>
      </c>
      <c r="M186" s="2">
        <v>4.0</v>
      </c>
      <c r="N186" s="2">
        <v>0.0</v>
      </c>
      <c r="O186" s="2">
        <v>18.0</v>
      </c>
      <c r="P186" s="2"/>
      <c r="Q186" s="2">
        <v>0.0</v>
      </c>
      <c r="R186" s="2"/>
      <c r="S186" s="2">
        <v>0.0</v>
      </c>
    </row>
    <row r="187">
      <c r="A187" s="2" t="s">
        <v>50</v>
      </c>
      <c r="B187" s="2"/>
      <c r="C187" s="2">
        <v>4.0</v>
      </c>
      <c r="D187" s="2">
        <v>10.0</v>
      </c>
      <c r="E187" s="2">
        <v>18.0</v>
      </c>
      <c r="F187" s="2"/>
      <c r="G187" s="2">
        <v>0.0</v>
      </c>
      <c r="H187" s="2"/>
      <c r="I187" s="2"/>
      <c r="J187" s="2">
        <v>0.0</v>
      </c>
      <c r="K187" s="2">
        <v>18.0</v>
      </c>
      <c r="L187" s="2"/>
      <c r="M187" s="2">
        <v>4.0</v>
      </c>
      <c r="N187" s="2">
        <v>0.0</v>
      </c>
      <c r="O187" s="2">
        <v>22.0</v>
      </c>
      <c r="P187" s="2">
        <v>0.0</v>
      </c>
      <c r="Q187" s="2">
        <v>4.0</v>
      </c>
      <c r="R187" s="2"/>
      <c r="S187" s="2">
        <v>0.0</v>
      </c>
    </row>
    <row r="188">
      <c r="A188" s="2" t="s">
        <v>51</v>
      </c>
      <c r="B188" s="2"/>
      <c r="C188" s="2">
        <v>4.0</v>
      </c>
      <c r="D188" s="2"/>
      <c r="E188" s="2">
        <v>18.0</v>
      </c>
      <c r="F188" s="2"/>
      <c r="G188" s="2">
        <v>0.0</v>
      </c>
      <c r="H188" s="2"/>
      <c r="I188" s="2"/>
      <c r="J188" s="2">
        <v>0.0</v>
      </c>
      <c r="K188" s="2">
        <v>22.0</v>
      </c>
      <c r="L188" s="2"/>
      <c r="M188" s="2">
        <v>4.0</v>
      </c>
      <c r="N188" s="2">
        <v>10.0</v>
      </c>
      <c r="O188" s="2">
        <v>36.0</v>
      </c>
      <c r="P188" s="2">
        <v>0.0</v>
      </c>
      <c r="Q188" s="2">
        <v>8.0</v>
      </c>
      <c r="R188" s="2"/>
      <c r="S188" s="2">
        <v>0.0</v>
      </c>
    </row>
    <row r="189">
      <c r="A189" s="2" t="s">
        <v>52</v>
      </c>
      <c r="B189" s="2"/>
      <c r="C189" s="2">
        <v>4.0</v>
      </c>
      <c r="D189" s="2"/>
      <c r="E189" s="2">
        <v>18.0</v>
      </c>
      <c r="F189" s="2"/>
      <c r="G189" s="2">
        <v>0.0</v>
      </c>
      <c r="H189" s="2"/>
      <c r="I189" s="2"/>
      <c r="J189" s="2"/>
      <c r="K189" s="2">
        <v>26.0</v>
      </c>
      <c r="L189" s="2"/>
      <c r="M189" s="2">
        <v>4.0</v>
      </c>
      <c r="N189" s="2"/>
      <c r="O189" s="2">
        <v>36.0</v>
      </c>
      <c r="P189" s="2">
        <v>0.0</v>
      </c>
      <c r="Q189" s="2">
        <v>12.0</v>
      </c>
      <c r="R189" s="2">
        <v>10.0</v>
      </c>
      <c r="S189" s="2">
        <v>14.0</v>
      </c>
    </row>
    <row r="190">
      <c r="A190" s="2" t="s">
        <v>47</v>
      </c>
      <c r="B190" s="2">
        <v>10.0</v>
      </c>
      <c r="C190" s="2">
        <v>18.0</v>
      </c>
      <c r="D190" s="2"/>
      <c r="E190" s="2">
        <v>18.0</v>
      </c>
      <c r="F190" s="2"/>
      <c r="G190" s="2">
        <v>0.0</v>
      </c>
      <c r="H190" s="2"/>
      <c r="I190" s="2"/>
      <c r="J190" s="2"/>
      <c r="K190" s="2">
        <v>26.0</v>
      </c>
      <c r="L190" s="2"/>
      <c r="M190" s="2">
        <v>4.0</v>
      </c>
      <c r="N190" s="2">
        <v>10.0</v>
      </c>
      <c r="O190" s="2">
        <v>50.0</v>
      </c>
      <c r="P190" s="2">
        <v>0.0</v>
      </c>
      <c r="Q190" s="2">
        <v>16.0</v>
      </c>
      <c r="R190" s="2"/>
      <c r="S190" s="2">
        <v>14.0</v>
      </c>
    </row>
    <row r="191">
      <c r="A191" s="2" t="s">
        <v>48</v>
      </c>
      <c r="B191" s="2">
        <v>10.0</v>
      </c>
      <c r="C191" s="2">
        <v>32.0</v>
      </c>
      <c r="D191" s="2"/>
      <c r="E191" s="2">
        <v>18.0</v>
      </c>
      <c r="F191" s="2">
        <v>10.0</v>
      </c>
      <c r="G191" s="2">
        <v>18.0</v>
      </c>
      <c r="H191" s="2"/>
      <c r="I191" s="2"/>
      <c r="J191" s="2"/>
      <c r="K191" s="2">
        <v>26.0</v>
      </c>
      <c r="L191" s="2"/>
      <c r="M191" s="2">
        <v>4.0</v>
      </c>
      <c r="N191" s="2"/>
      <c r="O191" s="2">
        <v>54.0</v>
      </c>
      <c r="P191" s="2">
        <v>0.0</v>
      </c>
      <c r="Q191" s="2">
        <v>20.0</v>
      </c>
      <c r="R191" s="2"/>
      <c r="S191" s="2">
        <v>18.0</v>
      </c>
    </row>
    <row r="192">
      <c r="A192" s="2" t="s">
        <v>49</v>
      </c>
      <c r="B192" s="2">
        <v>0.0</v>
      </c>
      <c r="C192" s="2">
        <v>40.0</v>
      </c>
      <c r="D192" s="2"/>
      <c r="E192" s="2">
        <v>18.0</v>
      </c>
      <c r="F192" s="2"/>
      <c r="G192" s="2">
        <v>18.0</v>
      </c>
      <c r="H192" s="2"/>
      <c r="I192" s="2"/>
      <c r="J192" s="2">
        <v>0.0</v>
      </c>
      <c r="K192" s="2">
        <v>34.0</v>
      </c>
      <c r="L192" s="2"/>
      <c r="M192" s="2">
        <v>4.0</v>
      </c>
      <c r="N192" s="2">
        <v>10.0</v>
      </c>
      <c r="O192" s="2">
        <v>68.0</v>
      </c>
      <c r="P192" s="2">
        <v>0.0</v>
      </c>
      <c r="Q192" s="2">
        <v>24.0</v>
      </c>
      <c r="R192" s="2"/>
      <c r="S192" s="2">
        <v>18.0</v>
      </c>
    </row>
    <row r="193">
      <c r="A193" s="2" t="s">
        <v>50</v>
      </c>
      <c r="B193" s="2"/>
      <c r="C193" s="2">
        <v>40.0</v>
      </c>
      <c r="D193" s="2"/>
      <c r="E193" s="2">
        <v>18.0</v>
      </c>
      <c r="F193" s="2">
        <v>0.0</v>
      </c>
      <c r="G193" s="2">
        <v>22.0</v>
      </c>
      <c r="H193" s="2"/>
      <c r="I193" s="2"/>
      <c r="J193" s="2"/>
      <c r="K193" s="2">
        <v>34.0</v>
      </c>
      <c r="L193" s="2"/>
      <c r="M193" s="2">
        <v>4.0</v>
      </c>
      <c r="N193" s="2"/>
      <c r="O193" s="2">
        <v>68.0</v>
      </c>
      <c r="P193" s="2"/>
      <c r="Q193" s="2">
        <v>24.0</v>
      </c>
      <c r="R193" s="2"/>
      <c r="S193" s="2">
        <v>18.0</v>
      </c>
    </row>
    <row r="194">
      <c r="A194" s="2" t="s">
        <v>51</v>
      </c>
      <c r="B194" s="2">
        <v>0.0</v>
      </c>
      <c r="C194" s="2">
        <v>44.0</v>
      </c>
      <c r="D194" s="2"/>
      <c r="E194" s="2">
        <v>18.0</v>
      </c>
      <c r="F194" s="2"/>
      <c r="G194" s="2">
        <v>22.0</v>
      </c>
      <c r="H194" s="2"/>
      <c r="I194" s="2"/>
      <c r="J194" s="2"/>
      <c r="K194" s="2">
        <v>38.0</v>
      </c>
      <c r="L194" s="2">
        <v>0.0</v>
      </c>
      <c r="M194" s="2">
        <v>8.0</v>
      </c>
      <c r="N194" s="2"/>
      <c r="O194" s="2">
        <v>68.0</v>
      </c>
      <c r="P194" s="2"/>
      <c r="Q194" s="2">
        <v>24.0</v>
      </c>
      <c r="R194" s="2"/>
      <c r="S194" s="2">
        <v>18.0</v>
      </c>
    </row>
    <row r="195">
      <c r="A195" s="2" t="s">
        <v>52</v>
      </c>
      <c r="B195" s="2"/>
      <c r="C195" s="2">
        <v>44.0</v>
      </c>
      <c r="D195" s="2">
        <v>0.0</v>
      </c>
      <c r="E195" s="2">
        <v>22.0</v>
      </c>
      <c r="F195" s="2">
        <v>10.0</v>
      </c>
      <c r="G195" s="2">
        <v>36.0</v>
      </c>
      <c r="H195" s="2"/>
      <c r="I195" s="2"/>
      <c r="J195" s="2"/>
      <c r="K195" s="2">
        <v>38.0</v>
      </c>
      <c r="L195" s="2"/>
      <c r="M195" s="2">
        <v>8.0</v>
      </c>
      <c r="N195" s="2">
        <v>10.0</v>
      </c>
      <c r="O195" s="2">
        <v>82.0</v>
      </c>
      <c r="P195" s="2">
        <v>10.0</v>
      </c>
      <c r="Q195" s="2">
        <v>38.0</v>
      </c>
      <c r="R195" s="2"/>
      <c r="S195" s="2">
        <v>18.0</v>
      </c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 t="s">
        <v>47</v>
      </c>
      <c r="B197" s="2">
        <v>10.0</v>
      </c>
      <c r="C197" s="2">
        <v>58.0</v>
      </c>
      <c r="D197" s="2"/>
      <c r="E197" s="2">
        <v>22.0</v>
      </c>
      <c r="F197" s="2"/>
      <c r="G197" s="2">
        <v>36.0</v>
      </c>
      <c r="H197" s="2"/>
      <c r="I197" s="2"/>
      <c r="J197" s="2"/>
      <c r="K197" s="2">
        <v>38.0</v>
      </c>
      <c r="L197" s="2"/>
      <c r="M197" s="2">
        <v>8.0</v>
      </c>
      <c r="N197" s="2"/>
      <c r="O197" s="2">
        <v>82.0</v>
      </c>
      <c r="P197" s="2"/>
      <c r="Q197" s="2">
        <v>38.0</v>
      </c>
      <c r="R197" s="2"/>
      <c r="S197" s="2">
        <v>18.0</v>
      </c>
    </row>
    <row r="198">
      <c r="A198" s="2" t="s">
        <v>48</v>
      </c>
      <c r="B198" s="2">
        <v>0.0</v>
      </c>
      <c r="C198" s="2">
        <v>62.0</v>
      </c>
      <c r="D198" s="2"/>
      <c r="E198" s="2">
        <v>22.0</v>
      </c>
      <c r="F198" s="2">
        <v>0.0</v>
      </c>
      <c r="G198" s="2">
        <v>40.0</v>
      </c>
      <c r="H198" s="2"/>
      <c r="I198" s="2"/>
      <c r="J198" s="2"/>
      <c r="K198" s="2">
        <v>38.0</v>
      </c>
      <c r="L198" s="2"/>
      <c r="M198" s="2">
        <v>8.0</v>
      </c>
      <c r="N198" s="2">
        <v>10.0</v>
      </c>
      <c r="O198" s="2">
        <v>96.0</v>
      </c>
      <c r="P198" s="2">
        <v>0.0</v>
      </c>
      <c r="Q198" s="2">
        <v>42.0</v>
      </c>
      <c r="R198" s="2"/>
      <c r="S198" s="2">
        <v>18.0</v>
      </c>
    </row>
    <row r="199">
      <c r="A199" s="2" t="s">
        <v>49</v>
      </c>
      <c r="B199" s="2"/>
      <c r="C199" s="2">
        <v>62.0</v>
      </c>
      <c r="D199" s="2">
        <v>10.0</v>
      </c>
      <c r="E199" s="2">
        <v>36.0</v>
      </c>
      <c r="F199" s="2">
        <v>0.0</v>
      </c>
      <c r="G199" s="2">
        <v>44.0</v>
      </c>
      <c r="H199" s="2"/>
      <c r="I199" s="2"/>
      <c r="J199" s="2"/>
      <c r="K199" s="2">
        <v>38.0</v>
      </c>
      <c r="L199" s="2"/>
      <c r="M199" s="2">
        <v>8.0</v>
      </c>
      <c r="N199" s="2">
        <v>10.0</v>
      </c>
      <c r="O199" s="2">
        <v>110.0</v>
      </c>
      <c r="P199" s="2">
        <v>0.0</v>
      </c>
      <c r="Q199" s="2">
        <v>46.0</v>
      </c>
      <c r="R199" s="2"/>
      <c r="S199" s="2">
        <v>18.0</v>
      </c>
    </row>
    <row r="200">
      <c r="A200" s="2" t="s">
        <v>50</v>
      </c>
      <c r="B200" s="2">
        <v>10.0</v>
      </c>
      <c r="C200" s="2">
        <v>76.0</v>
      </c>
      <c r="D200" s="2"/>
      <c r="E200" s="2">
        <v>36.0</v>
      </c>
      <c r="F200" s="2">
        <v>10.0</v>
      </c>
      <c r="G200" s="2">
        <v>58.0</v>
      </c>
      <c r="H200" s="2"/>
      <c r="I200" s="2"/>
      <c r="J200" s="2"/>
      <c r="K200" s="2">
        <v>38.0</v>
      </c>
      <c r="L200" s="2"/>
      <c r="M200" s="2">
        <v>8.0</v>
      </c>
      <c r="N200" s="2"/>
      <c r="O200" s="2">
        <v>110.0</v>
      </c>
      <c r="P200" s="2"/>
      <c r="Q200" s="2">
        <v>46.0</v>
      </c>
      <c r="R200" s="2"/>
      <c r="S200" s="2">
        <v>18.0</v>
      </c>
    </row>
    <row r="201">
      <c r="A201" s="2" t="s">
        <v>51</v>
      </c>
      <c r="B201" s="2">
        <v>0.0</v>
      </c>
      <c r="C201" s="2">
        <v>80.0</v>
      </c>
      <c r="D201" s="2"/>
      <c r="E201" s="2">
        <v>36.0</v>
      </c>
      <c r="F201" s="2">
        <v>10.0</v>
      </c>
      <c r="G201" s="2">
        <v>72.0</v>
      </c>
      <c r="H201" s="2"/>
      <c r="I201" s="2"/>
      <c r="J201" s="2"/>
      <c r="K201" s="2">
        <v>38.0</v>
      </c>
      <c r="L201" s="2"/>
      <c r="M201" s="2">
        <v>8.0</v>
      </c>
      <c r="N201" s="2">
        <v>10.0</v>
      </c>
      <c r="O201" s="2">
        <v>124.0</v>
      </c>
      <c r="P201" s="2"/>
      <c r="Q201" s="2">
        <v>46.0</v>
      </c>
      <c r="R201" s="2"/>
      <c r="S201" s="2">
        <v>18.0</v>
      </c>
    </row>
    <row r="202">
      <c r="A202" s="2" t="s">
        <v>52</v>
      </c>
      <c r="B202" s="2">
        <v>0.0</v>
      </c>
      <c r="C202" s="2">
        <v>84.0</v>
      </c>
      <c r="D202" s="2"/>
      <c r="E202" s="2">
        <v>36.0</v>
      </c>
      <c r="F202" s="2"/>
      <c r="G202" s="2">
        <v>72.0</v>
      </c>
      <c r="H202" s="2"/>
      <c r="I202" s="2"/>
      <c r="J202" s="2"/>
      <c r="K202" s="2">
        <v>38.0</v>
      </c>
      <c r="L202" s="2"/>
      <c r="M202" s="2">
        <v>8.0</v>
      </c>
      <c r="N202" s="2"/>
      <c r="O202" s="2">
        <v>124.0</v>
      </c>
      <c r="P202" s="2">
        <v>0.0</v>
      </c>
      <c r="Q202" s="2">
        <v>50.0</v>
      </c>
      <c r="R202" s="2"/>
      <c r="S202" s="2">
        <v>18.0</v>
      </c>
    </row>
    <row r="203">
      <c r="A203" s="2" t="s">
        <v>47</v>
      </c>
      <c r="B203" s="2">
        <v>0.0</v>
      </c>
      <c r="C203" s="2">
        <v>88.0</v>
      </c>
      <c r="D203" s="2"/>
      <c r="E203" s="2">
        <v>36.0</v>
      </c>
      <c r="F203" s="2"/>
      <c r="G203" s="2">
        <v>72.0</v>
      </c>
      <c r="H203" s="2"/>
      <c r="I203" s="2"/>
      <c r="J203" s="2">
        <v>10.0</v>
      </c>
      <c r="K203" s="2">
        <v>52.0</v>
      </c>
      <c r="L203" s="2"/>
      <c r="M203" s="2">
        <v>8.0</v>
      </c>
      <c r="N203" s="2">
        <v>10.0</v>
      </c>
      <c r="O203" s="2">
        <v>138.0</v>
      </c>
      <c r="P203" s="2"/>
      <c r="Q203" s="2">
        <v>50.0</v>
      </c>
      <c r="R203" s="2"/>
      <c r="S203" s="2">
        <v>18.0</v>
      </c>
    </row>
    <row r="204">
      <c r="A204" s="2" t="s">
        <v>48</v>
      </c>
      <c r="B204" s="2"/>
      <c r="C204" s="2">
        <v>88.0</v>
      </c>
      <c r="D204" s="2"/>
      <c r="E204" s="2">
        <v>36.0</v>
      </c>
      <c r="F204" s="2"/>
      <c r="G204" s="2">
        <v>72.0</v>
      </c>
      <c r="H204" s="2"/>
      <c r="I204" s="2"/>
      <c r="J204" s="2">
        <v>10.0</v>
      </c>
      <c r="K204" s="2">
        <v>66.0</v>
      </c>
      <c r="L204" s="2"/>
      <c r="M204" s="2">
        <v>8.0</v>
      </c>
      <c r="N204" s="2"/>
      <c r="O204" s="2">
        <v>138.0</v>
      </c>
      <c r="P204" s="2"/>
      <c r="Q204" s="2">
        <v>50.0</v>
      </c>
      <c r="R204" s="2"/>
      <c r="S204" s="2">
        <v>18.0</v>
      </c>
    </row>
    <row r="205">
      <c r="A205" s="2" t="s">
        <v>49</v>
      </c>
      <c r="B205" s="2"/>
      <c r="C205" s="2">
        <v>88.0</v>
      </c>
      <c r="D205" s="2">
        <v>0.0</v>
      </c>
      <c r="E205" s="2">
        <v>40.0</v>
      </c>
      <c r="F205" s="2">
        <v>10.0</v>
      </c>
      <c r="G205" s="2">
        <v>86.0</v>
      </c>
      <c r="H205" s="2"/>
      <c r="I205" s="2"/>
      <c r="J205" s="2"/>
      <c r="K205" s="2">
        <v>66.0</v>
      </c>
      <c r="L205" s="2"/>
      <c r="M205" s="2">
        <v>8.0</v>
      </c>
      <c r="N205" s="2"/>
      <c r="O205" s="2">
        <v>138.0</v>
      </c>
      <c r="P205" s="2"/>
      <c r="Q205" s="2">
        <v>50.0</v>
      </c>
      <c r="R205" s="2"/>
      <c r="S205" s="2">
        <v>18.0</v>
      </c>
    </row>
    <row r="206">
      <c r="A206" s="2" t="s">
        <v>50</v>
      </c>
      <c r="B206" s="2"/>
      <c r="C206" s="2">
        <v>88.0</v>
      </c>
      <c r="D206" s="2">
        <v>0.0</v>
      </c>
      <c r="E206" s="2">
        <v>44.0</v>
      </c>
      <c r="F206" s="2"/>
      <c r="G206" s="2">
        <v>86.0</v>
      </c>
      <c r="H206" s="2"/>
      <c r="I206" s="2"/>
      <c r="J206" s="2"/>
      <c r="K206" s="2">
        <v>66.0</v>
      </c>
      <c r="L206" s="2"/>
      <c r="M206" s="2">
        <v>8.0</v>
      </c>
      <c r="N206" s="2"/>
      <c r="O206" s="2">
        <v>138.0</v>
      </c>
      <c r="P206" s="2"/>
      <c r="Q206" s="2">
        <v>50.0</v>
      </c>
      <c r="R206" s="2"/>
      <c r="S206" s="2">
        <v>18.0</v>
      </c>
    </row>
    <row r="207">
      <c r="A207" s="2" t="s">
        <v>51</v>
      </c>
      <c r="B207" s="2">
        <v>0.0</v>
      </c>
      <c r="C207" s="2">
        <v>92.0</v>
      </c>
      <c r="D207" s="2"/>
      <c r="E207" s="2">
        <v>44.0</v>
      </c>
      <c r="F207" s="2">
        <v>10.0</v>
      </c>
      <c r="G207" s="2">
        <v>100.0</v>
      </c>
      <c r="H207" s="2"/>
      <c r="I207" s="2"/>
      <c r="J207" s="2"/>
      <c r="K207" s="2">
        <v>66.0</v>
      </c>
      <c r="L207" s="2">
        <v>0.0</v>
      </c>
      <c r="M207" s="2">
        <v>12.0</v>
      </c>
      <c r="N207" s="2"/>
      <c r="O207" s="2">
        <v>138.0</v>
      </c>
      <c r="P207" s="2"/>
      <c r="Q207" s="2">
        <v>50.0</v>
      </c>
      <c r="R207" s="2">
        <v>0.0</v>
      </c>
      <c r="S207" s="2">
        <v>22.0</v>
      </c>
    </row>
    <row r="208">
      <c r="A208" s="2" t="s">
        <v>52</v>
      </c>
      <c r="B208" s="2"/>
      <c r="C208" s="2">
        <v>92.0</v>
      </c>
      <c r="D208" s="2"/>
      <c r="E208" s="2">
        <v>44.0</v>
      </c>
      <c r="F208" s="2"/>
      <c r="G208" s="2">
        <v>100.0</v>
      </c>
      <c r="H208" s="2"/>
      <c r="I208" s="2"/>
      <c r="J208" s="2"/>
      <c r="K208" s="2">
        <v>66.0</v>
      </c>
      <c r="L208" s="2"/>
      <c r="M208" s="2">
        <v>12.0</v>
      </c>
      <c r="N208" s="2">
        <v>10.0</v>
      </c>
      <c r="O208" s="2">
        <v>152.0</v>
      </c>
      <c r="P208" s="2"/>
      <c r="Q208" s="2">
        <v>50.0</v>
      </c>
      <c r="R208" s="2"/>
      <c r="S208" s="2">
        <v>22.0</v>
      </c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B211" s="2" t="str">
        <f t="array" ref="B211:S240">transpose(sort(transpose(Full!A211:R240),1,true))</f>
        <v>Cupertino A</v>
      </c>
      <c r="C211" s="2" t="s">
        <v>8</v>
      </c>
      <c r="D211" s="2" t="s">
        <v>0</v>
      </c>
      <c r="E211" s="2" t="s">
        <v>0</v>
      </c>
      <c r="F211" s="2" t="s">
        <v>2</v>
      </c>
      <c r="G211" s="2" t="s">
        <v>2</v>
      </c>
      <c r="H211" s="2" t="s">
        <v>4</v>
      </c>
      <c r="I211" s="2" t="s">
        <v>4</v>
      </c>
      <c r="J211" s="2" t="s">
        <v>6</v>
      </c>
      <c r="K211" s="2" t="s">
        <v>6</v>
      </c>
      <c r="L211" s="2" t="s">
        <v>7</v>
      </c>
      <c r="M211" s="2" t="s">
        <v>7</v>
      </c>
      <c r="N211" s="2" t="s">
        <v>5</v>
      </c>
      <c r="O211" s="2" t="s">
        <v>5</v>
      </c>
      <c r="P211" s="2" t="s">
        <v>3</v>
      </c>
      <c r="Q211" s="2" t="s">
        <v>3</v>
      </c>
      <c r="R211" s="2" t="s">
        <v>1</v>
      </c>
      <c r="S211" s="2" t="s">
        <v>1</v>
      </c>
    </row>
    <row r="212">
      <c r="B212" s="2" t="s">
        <v>16</v>
      </c>
      <c r="C212" s="2" t="s">
        <v>19</v>
      </c>
      <c r="D212" s="2" t="s">
        <v>16</v>
      </c>
      <c r="E212" s="2" t="s">
        <v>19</v>
      </c>
      <c r="F212" s="2" t="s">
        <v>16</v>
      </c>
      <c r="G212" s="2" t="s">
        <v>19</v>
      </c>
      <c r="H212" s="2" t="s">
        <v>16</v>
      </c>
      <c r="I212" s="2" t="s">
        <v>19</v>
      </c>
      <c r="J212" s="2" t="s">
        <v>16</v>
      </c>
      <c r="K212" s="2" t="s">
        <v>19</v>
      </c>
      <c r="L212" s="2" t="s">
        <v>16</v>
      </c>
      <c r="M212" s="2" t="s">
        <v>19</v>
      </c>
      <c r="N212" s="2" t="s">
        <v>16</v>
      </c>
      <c r="O212" s="2" t="s">
        <v>19</v>
      </c>
      <c r="P212" s="2" t="s">
        <v>16</v>
      </c>
      <c r="Q212" s="2" t="s">
        <v>19</v>
      </c>
      <c r="R212" s="2" t="s">
        <v>16</v>
      </c>
      <c r="S212" s="2" t="s">
        <v>19</v>
      </c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 t="s">
        <v>47</v>
      </c>
      <c r="B214" s="2"/>
      <c r="C214" s="2">
        <v>0.0</v>
      </c>
      <c r="D214" s="2"/>
      <c r="E214" s="2">
        <v>0.0</v>
      </c>
      <c r="F214" s="2"/>
      <c r="G214" s="2"/>
      <c r="H214" s="2"/>
      <c r="I214" s="2">
        <v>0.0</v>
      </c>
      <c r="J214" s="2">
        <v>0.0</v>
      </c>
      <c r="K214" s="2">
        <v>4.0</v>
      </c>
      <c r="L214" s="2"/>
      <c r="M214" s="2">
        <v>0.0</v>
      </c>
      <c r="N214" s="2"/>
      <c r="O214" s="2">
        <v>0.0</v>
      </c>
      <c r="P214" s="2"/>
      <c r="Q214" s="2">
        <v>0.0</v>
      </c>
      <c r="R214" s="2">
        <v>10.0</v>
      </c>
      <c r="S214" s="2">
        <v>14.0</v>
      </c>
    </row>
    <row r="215">
      <c r="A215" s="2" t="s">
        <v>48</v>
      </c>
      <c r="B215" s="2"/>
      <c r="C215" s="2">
        <v>0.0</v>
      </c>
      <c r="D215" s="2"/>
      <c r="E215" s="2">
        <v>0.0</v>
      </c>
      <c r="F215" s="2"/>
      <c r="G215" s="2"/>
      <c r="H215" s="2"/>
      <c r="I215" s="2">
        <v>0.0</v>
      </c>
      <c r="J215" s="2"/>
      <c r="K215" s="2">
        <v>4.0</v>
      </c>
      <c r="L215" s="2"/>
      <c r="M215" s="2">
        <v>0.0</v>
      </c>
      <c r="N215" s="2"/>
      <c r="O215" s="2">
        <v>0.0</v>
      </c>
      <c r="P215" s="2"/>
      <c r="Q215" s="2">
        <v>0.0</v>
      </c>
      <c r="R215" s="2"/>
      <c r="S215" s="2">
        <v>14.0</v>
      </c>
    </row>
    <row r="216">
      <c r="A216" s="2" t="s">
        <v>49</v>
      </c>
      <c r="B216" s="2"/>
      <c r="C216" s="2">
        <v>0.0</v>
      </c>
      <c r="D216" s="2">
        <v>0.0</v>
      </c>
      <c r="E216" s="2">
        <v>4.0</v>
      </c>
      <c r="F216" s="2"/>
      <c r="G216" s="2"/>
      <c r="H216" s="2">
        <v>10.0</v>
      </c>
      <c r="I216" s="2">
        <v>14.0</v>
      </c>
      <c r="J216" s="2"/>
      <c r="K216" s="2">
        <v>4.0</v>
      </c>
      <c r="L216" s="2">
        <v>10.0</v>
      </c>
      <c r="M216" s="2">
        <v>14.0</v>
      </c>
      <c r="N216" s="2"/>
      <c r="O216" s="2">
        <v>0.0</v>
      </c>
      <c r="P216" s="2"/>
      <c r="Q216" s="2">
        <v>0.0</v>
      </c>
      <c r="R216" s="2"/>
      <c r="S216" s="2">
        <v>14.0</v>
      </c>
    </row>
    <row r="217">
      <c r="A217" s="2" t="s">
        <v>50</v>
      </c>
      <c r="B217" s="2"/>
      <c r="C217" s="2">
        <v>0.0</v>
      </c>
      <c r="D217" s="2"/>
      <c r="E217" s="2">
        <v>4.0</v>
      </c>
      <c r="F217" s="2"/>
      <c r="G217" s="2"/>
      <c r="H217" s="2"/>
      <c r="I217" s="2">
        <v>14.0</v>
      </c>
      <c r="J217" s="2"/>
      <c r="K217" s="2">
        <v>4.0</v>
      </c>
      <c r="L217" s="2"/>
      <c r="M217" s="2">
        <v>14.0</v>
      </c>
      <c r="N217" s="2"/>
      <c r="O217" s="2">
        <v>0.0</v>
      </c>
      <c r="P217" s="2">
        <v>0.0</v>
      </c>
      <c r="Q217" s="2">
        <v>4.0</v>
      </c>
      <c r="R217" s="2"/>
      <c r="S217" s="2">
        <v>14.0</v>
      </c>
    </row>
    <row r="218">
      <c r="A218" s="2" t="s">
        <v>51</v>
      </c>
      <c r="B218" s="2"/>
      <c r="C218" s="2">
        <v>0.0</v>
      </c>
      <c r="D218" s="2"/>
      <c r="E218" s="2">
        <v>8.0</v>
      </c>
      <c r="F218" s="2"/>
      <c r="G218" s="2"/>
      <c r="H218" s="2"/>
      <c r="I218" s="2">
        <v>14.0</v>
      </c>
      <c r="J218" s="2"/>
      <c r="K218" s="2">
        <v>4.0</v>
      </c>
      <c r="L218" s="2"/>
      <c r="M218" s="2">
        <v>14.0</v>
      </c>
      <c r="N218" s="2"/>
      <c r="O218" s="2">
        <v>0.0</v>
      </c>
      <c r="P218" s="2"/>
      <c r="Q218" s="2">
        <v>4.0</v>
      </c>
      <c r="R218" s="2"/>
      <c r="S218" s="2">
        <v>14.0</v>
      </c>
    </row>
    <row r="219">
      <c r="A219" s="2" t="s">
        <v>52</v>
      </c>
      <c r="B219" s="2"/>
      <c r="C219" s="2">
        <v>0.0</v>
      </c>
      <c r="D219" s="2"/>
      <c r="E219" s="2">
        <v>8.0</v>
      </c>
      <c r="F219" s="2"/>
      <c r="G219" s="2"/>
      <c r="H219" s="2">
        <v>0.0</v>
      </c>
      <c r="I219" s="2">
        <v>18.0</v>
      </c>
      <c r="J219" s="2">
        <v>0.0</v>
      </c>
      <c r="K219" s="2">
        <v>8.0</v>
      </c>
      <c r="L219" s="2"/>
      <c r="M219" s="2">
        <v>14.0</v>
      </c>
      <c r="N219" s="2">
        <v>10.0</v>
      </c>
      <c r="O219" s="2">
        <v>14.0</v>
      </c>
      <c r="P219" s="2"/>
      <c r="Q219" s="2">
        <v>4.0</v>
      </c>
      <c r="R219" s="2"/>
      <c r="S219" s="2">
        <v>14.0</v>
      </c>
    </row>
    <row r="220">
      <c r="A220" s="2" t="s">
        <v>47</v>
      </c>
      <c r="B220" s="2">
        <v>10.0</v>
      </c>
      <c r="C220" s="2">
        <v>14.0</v>
      </c>
      <c r="D220" s="2"/>
      <c r="E220" s="2">
        <v>8.0</v>
      </c>
      <c r="F220" s="2"/>
      <c r="G220" s="2"/>
      <c r="H220" s="2"/>
      <c r="I220" s="2">
        <v>18.0</v>
      </c>
      <c r="J220" s="2">
        <v>0.0</v>
      </c>
      <c r="K220" s="2">
        <v>12.0</v>
      </c>
      <c r="L220" s="2"/>
      <c r="M220" s="2">
        <v>14.0</v>
      </c>
      <c r="N220" s="2">
        <v>0.0</v>
      </c>
      <c r="O220" s="2">
        <v>18.0</v>
      </c>
      <c r="P220" s="2"/>
      <c r="Q220" s="2">
        <v>4.0</v>
      </c>
      <c r="R220" s="2">
        <v>0.0</v>
      </c>
      <c r="S220" s="2">
        <v>18.0</v>
      </c>
    </row>
    <row r="221">
      <c r="A221" s="2" t="s">
        <v>48</v>
      </c>
      <c r="B221" s="2">
        <v>0.0</v>
      </c>
      <c r="C221" s="2">
        <v>18.0</v>
      </c>
      <c r="D221" s="2"/>
      <c r="E221" s="2">
        <v>8.0</v>
      </c>
      <c r="F221" s="2"/>
      <c r="G221" s="2"/>
      <c r="H221" s="2"/>
      <c r="I221" s="2">
        <v>18.0</v>
      </c>
      <c r="J221" s="2">
        <v>0.0</v>
      </c>
      <c r="K221" s="2">
        <v>16.0</v>
      </c>
      <c r="L221" s="2"/>
      <c r="M221" s="2">
        <v>14.0</v>
      </c>
      <c r="N221" s="2"/>
      <c r="O221" s="2">
        <v>18.0</v>
      </c>
      <c r="P221" s="2"/>
      <c r="Q221" s="2">
        <v>4.0</v>
      </c>
      <c r="R221" s="2"/>
      <c r="S221" s="2">
        <v>18.0</v>
      </c>
    </row>
    <row r="222">
      <c r="A222" s="2" t="s">
        <v>49</v>
      </c>
      <c r="B222" s="2">
        <v>10.0</v>
      </c>
      <c r="C222" s="2">
        <v>32.0</v>
      </c>
      <c r="D222" s="2"/>
      <c r="E222" s="2">
        <v>8.0</v>
      </c>
      <c r="F222" s="2"/>
      <c r="G222" s="2"/>
      <c r="H222" s="2">
        <v>0.0</v>
      </c>
      <c r="I222" s="2">
        <v>22.0</v>
      </c>
      <c r="J222" s="2">
        <v>10.0</v>
      </c>
      <c r="K222" s="2">
        <v>30.0</v>
      </c>
      <c r="L222" s="2"/>
      <c r="M222" s="2">
        <v>14.0</v>
      </c>
      <c r="N222" s="2">
        <v>0.0</v>
      </c>
      <c r="O222" s="2">
        <v>22.0</v>
      </c>
      <c r="P222" s="2"/>
      <c r="Q222" s="2">
        <v>4.0</v>
      </c>
      <c r="R222" s="2"/>
      <c r="S222" s="2">
        <v>18.0</v>
      </c>
    </row>
    <row r="223">
      <c r="A223" s="2" t="s">
        <v>50</v>
      </c>
      <c r="B223" s="2">
        <v>0.0</v>
      </c>
      <c r="C223" s="2">
        <v>36.0</v>
      </c>
      <c r="D223" s="2"/>
      <c r="E223" s="2">
        <v>8.0</v>
      </c>
      <c r="F223" s="2"/>
      <c r="G223" s="2"/>
      <c r="H223" s="2">
        <v>0.0</v>
      </c>
      <c r="I223" s="2">
        <v>26.0</v>
      </c>
      <c r="J223" s="2"/>
      <c r="K223" s="2">
        <v>30.0</v>
      </c>
      <c r="L223" s="2"/>
      <c r="M223" s="2">
        <v>14.0</v>
      </c>
      <c r="N223" s="2">
        <v>0.0</v>
      </c>
      <c r="O223" s="2">
        <v>26.0</v>
      </c>
      <c r="P223" s="2"/>
      <c r="Q223" s="2">
        <v>4.0</v>
      </c>
      <c r="R223" s="2"/>
      <c r="S223" s="2">
        <v>18.0</v>
      </c>
    </row>
    <row r="224">
      <c r="A224" s="2" t="s">
        <v>51</v>
      </c>
      <c r="B224" s="2">
        <v>0.0</v>
      </c>
      <c r="C224" s="2">
        <v>40.0</v>
      </c>
      <c r="D224" s="2"/>
      <c r="E224" s="2">
        <v>8.0</v>
      </c>
      <c r="F224" s="2"/>
      <c r="G224" s="2"/>
      <c r="H224" s="2"/>
      <c r="I224" s="2">
        <v>26.0</v>
      </c>
      <c r="J224" s="2">
        <v>0.0</v>
      </c>
      <c r="K224" s="2">
        <v>34.0</v>
      </c>
      <c r="L224" s="2"/>
      <c r="M224" s="2">
        <v>14.0</v>
      </c>
      <c r="N224" s="2">
        <v>0.0</v>
      </c>
      <c r="O224" s="2">
        <v>30.0</v>
      </c>
      <c r="P224" s="2"/>
      <c r="Q224" s="2">
        <v>4.0</v>
      </c>
      <c r="R224" s="2"/>
      <c r="S224" s="2">
        <v>18.0</v>
      </c>
    </row>
    <row r="225">
      <c r="A225" s="2" t="s">
        <v>52</v>
      </c>
      <c r="B225" s="2"/>
      <c r="C225" s="2">
        <v>40.0</v>
      </c>
      <c r="D225" s="2"/>
      <c r="E225" s="2">
        <v>8.0</v>
      </c>
      <c r="F225" s="2"/>
      <c r="G225" s="2"/>
      <c r="H225" s="2"/>
      <c r="I225" s="2">
        <v>26.0</v>
      </c>
      <c r="J225" s="2">
        <v>0.0</v>
      </c>
      <c r="K225" s="2">
        <v>38.0</v>
      </c>
      <c r="L225" s="2"/>
      <c r="M225" s="2">
        <v>14.0</v>
      </c>
      <c r="N225" s="2"/>
      <c r="O225" s="2">
        <v>30.0</v>
      </c>
      <c r="P225" s="2"/>
      <c r="Q225" s="2">
        <v>4.0</v>
      </c>
      <c r="R225" s="2"/>
      <c r="S225" s="2">
        <v>18.0</v>
      </c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 t="s">
        <v>47</v>
      </c>
      <c r="B227" s="2"/>
      <c r="C227" s="2">
        <v>40.0</v>
      </c>
      <c r="D227" s="2"/>
      <c r="E227" s="2">
        <v>8.0</v>
      </c>
      <c r="F227" s="2"/>
      <c r="G227" s="2"/>
      <c r="H227" s="2"/>
      <c r="I227" s="2">
        <v>26.0</v>
      </c>
      <c r="J227" s="2"/>
      <c r="K227" s="2">
        <v>38.0</v>
      </c>
      <c r="L227" s="2">
        <v>0.0</v>
      </c>
      <c r="M227" s="2">
        <v>18.0</v>
      </c>
      <c r="N227" s="2"/>
      <c r="O227" s="2">
        <v>30.0</v>
      </c>
      <c r="P227" s="2">
        <v>0.0</v>
      </c>
      <c r="Q227" s="2">
        <v>8.0</v>
      </c>
      <c r="R227" s="2"/>
      <c r="S227" s="2">
        <v>18.0</v>
      </c>
    </row>
    <row r="228">
      <c r="A228" s="2" t="s">
        <v>48</v>
      </c>
      <c r="B228" s="2"/>
      <c r="C228" s="2">
        <v>40.0</v>
      </c>
      <c r="D228" s="2"/>
      <c r="E228" s="2">
        <v>8.0</v>
      </c>
      <c r="F228" s="2"/>
      <c r="G228" s="2"/>
      <c r="H228" s="2">
        <v>0.0</v>
      </c>
      <c r="I228" s="2">
        <v>30.0</v>
      </c>
      <c r="J228" s="2"/>
      <c r="K228" s="2">
        <v>38.0</v>
      </c>
      <c r="L228" s="2"/>
      <c r="M228" s="2">
        <v>18.0</v>
      </c>
      <c r="N228" s="2"/>
      <c r="O228" s="2">
        <v>30.0</v>
      </c>
      <c r="P228" s="2">
        <v>0.0</v>
      </c>
      <c r="Q228" s="2">
        <v>12.0</v>
      </c>
      <c r="R228" s="2"/>
      <c r="S228" s="2">
        <v>18.0</v>
      </c>
    </row>
    <row r="229">
      <c r="A229" s="2" t="s">
        <v>49</v>
      </c>
      <c r="B229" s="2">
        <v>10.0</v>
      </c>
      <c r="C229" s="2">
        <v>54.0</v>
      </c>
      <c r="D229" s="2">
        <v>0.0</v>
      </c>
      <c r="E229" s="2">
        <v>12.0</v>
      </c>
      <c r="F229" s="2"/>
      <c r="G229" s="2"/>
      <c r="H229" s="2"/>
      <c r="I229" s="2">
        <v>30.0</v>
      </c>
      <c r="J229" s="2"/>
      <c r="K229" s="2">
        <v>38.0</v>
      </c>
      <c r="L229" s="2"/>
      <c r="M229" s="2">
        <v>18.0</v>
      </c>
      <c r="N229" s="2"/>
      <c r="O229" s="2">
        <v>30.0</v>
      </c>
      <c r="P229" s="2">
        <v>0.0</v>
      </c>
      <c r="Q229" s="2">
        <v>16.0</v>
      </c>
      <c r="R229" s="2">
        <v>10.0</v>
      </c>
      <c r="S229" s="2">
        <v>36.0</v>
      </c>
    </row>
    <row r="230">
      <c r="A230" s="2" t="s">
        <v>50</v>
      </c>
      <c r="B230" s="2"/>
      <c r="C230" s="2">
        <v>54.0</v>
      </c>
      <c r="D230" s="2">
        <v>10.0</v>
      </c>
      <c r="E230" s="2">
        <v>26.0</v>
      </c>
      <c r="F230" s="2"/>
      <c r="G230" s="2"/>
      <c r="H230" s="2"/>
      <c r="I230" s="2">
        <v>30.0</v>
      </c>
      <c r="J230" s="2"/>
      <c r="K230" s="2">
        <v>38.0</v>
      </c>
      <c r="L230" s="2">
        <v>10.0</v>
      </c>
      <c r="M230" s="2">
        <v>32.0</v>
      </c>
      <c r="N230" s="2">
        <v>10.0</v>
      </c>
      <c r="O230" s="2">
        <v>44.0</v>
      </c>
      <c r="P230" s="2"/>
      <c r="Q230" s="2">
        <v>16.0</v>
      </c>
      <c r="R230" s="2"/>
      <c r="S230" s="2">
        <v>36.0</v>
      </c>
    </row>
    <row r="231">
      <c r="A231" s="2" t="s">
        <v>51</v>
      </c>
      <c r="B231" s="2">
        <v>0.0</v>
      </c>
      <c r="C231" s="2">
        <v>58.0</v>
      </c>
      <c r="D231" s="2"/>
      <c r="E231" s="2">
        <v>26.0</v>
      </c>
      <c r="F231" s="2"/>
      <c r="G231" s="2"/>
      <c r="H231" s="2">
        <v>0.0</v>
      </c>
      <c r="I231" s="2">
        <v>34.0</v>
      </c>
      <c r="J231" s="2">
        <v>0.0</v>
      </c>
      <c r="K231" s="2">
        <v>42.0</v>
      </c>
      <c r="L231" s="2"/>
      <c r="M231" s="2">
        <v>32.0</v>
      </c>
      <c r="N231" s="2"/>
      <c r="O231" s="2">
        <v>44.0</v>
      </c>
      <c r="P231" s="2">
        <v>0.0</v>
      </c>
      <c r="Q231" s="2">
        <v>20.0</v>
      </c>
      <c r="R231" s="2"/>
      <c r="S231" s="2">
        <v>36.0</v>
      </c>
    </row>
    <row r="232">
      <c r="A232" s="2" t="s">
        <v>52</v>
      </c>
      <c r="B232" s="2">
        <v>0.0</v>
      </c>
      <c r="C232" s="2">
        <v>62.0</v>
      </c>
      <c r="D232" s="2"/>
      <c r="E232" s="2">
        <v>26.0</v>
      </c>
      <c r="F232" s="2"/>
      <c r="G232" s="2"/>
      <c r="H232" s="2">
        <v>0.0</v>
      </c>
      <c r="I232" s="2">
        <v>38.0</v>
      </c>
      <c r="J232" s="2"/>
      <c r="K232" s="2">
        <v>42.0</v>
      </c>
      <c r="L232" s="2"/>
      <c r="M232" s="2">
        <v>32.0</v>
      </c>
      <c r="N232" s="2">
        <v>0.0</v>
      </c>
      <c r="O232" s="2">
        <v>48.0</v>
      </c>
      <c r="P232" s="2"/>
      <c r="Q232" s="2">
        <v>20.0</v>
      </c>
      <c r="R232" s="2"/>
      <c r="S232" s="2">
        <v>36.0</v>
      </c>
    </row>
    <row r="233">
      <c r="A233" s="2" t="s">
        <v>47</v>
      </c>
      <c r="B233" s="2"/>
      <c r="C233" s="2">
        <v>62.0</v>
      </c>
      <c r="D233" s="2"/>
      <c r="E233" s="2">
        <v>26.0</v>
      </c>
      <c r="F233" s="2"/>
      <c r="G233" s="2"/>
      <c r="H233" s="2"/>
      <c r="I233" s="2">
        <v>38.0</v>
      </c>
      <c r="J233" s="2"/>
      <c r="K233" s="2">
        <v>42.0</v>
      </c>
      <c r="L233" s="2"/>
      <c r="M233" s="2">
        <v>32.0</v>
      </c>
      <c r="N233" s="2"/>
      <c r="O233" s="2">
        <v>48.0</v>
      </c>
      <c r="P233" s="2"/>
      <c r="Q233" s="2">
        <v>20.0</v>
      </c>
      <c r="R233" s="2"/>
      <c r="S233" s="2">
        <v>36.0</v>
      </c>
    </row>
    <row r="234">
      <c r="A234" s="2" t="s">
        <v>48</v>
      </c>
      <c r="B234" s="2"/>
      <c r="C234" s="2">
        <v>62.0</v>
      </c>
      <c r="D234" s="2"/>
      <c r="E234" s="2">
        <v>26.0</v>
      </c>
      <c r="F234" s="2"/>
      <c r="G234" s="2"/>
      <c r="H234" s="2">
        <v>0.0</v>
      </c>
      <c r="I234" s="2">
        <v>42.0</v>
      </c>
      <c r="J234" s="2"/>
      <c r="K234" s="2">
        <v>42.0</v>
      </c>
      <c r="L234" s="2">
        <v>0.0</v>
      </c>
      <c r="M234" s="2">
        <v>36.0</v>
      </c>
      <c r="N234" s="2">
        <v>10.0</v>
      </c>
      <c r="O234" s="2">
        <v>62.0</v>
      </c>
      <c r="P234" s="2"/>
      <c r="Q234" s="2">
        <v>20.0</v>
      </c>
      <c r="R234" s="2"/>
      <c r="S234" s="2">
        <v>36.0</v>
      </c>
    </row>
    <row r="235">
      <c r="A235" s="2" t="s">
        <v>49</v>
      </c>
      <c r="B235" s="2">
        <v>0.0</v>
      </c>
      <c r="C235" s="2">
        <v>66.0</v>
      </c>
      <c r="D235" s="2"/>
      <c r="E235" s="2">
        <v>26.0</v>
      </c>
      <c r="F235" s="2"/>
      <c r="G235" s="2"/>
      <c r="H235" s="2"/>
      <c r="I235" s="2">
        <v>42.0</v>
      </c>
      <c r="J235" s="2">
        <v>0.0</v>
      </c>
      <c r="K235" s="2">
        <v>46.0</v>
      </c>
      <c r="L235" s="2"/>
      <c r="M235" s="2">
        <v>36.0</v>
      </c>
      <c r="N235" s="2">
        <v>0.0</v>
      </c>
      <c r="O235" s="2">
        <v>66.0</v>
      </c>
      <c r="P235" s="2"/>
      <c r="Q235" s="2">
        <v>20.0</v>
      </c>
      <c r="R235" s="2">
        <v>0.0</v>
      </c>
      <c r="S235" s="2">
        <v>40.0</v>
      </c>
    </row>
    <row r="236">
      <c r="A236" s="2" t="s">
        <v>50</v>
      </c>
      <c r="B236" s="2">
        <v>10.0</v>
      </c>
      <c r="C236" s="2">
        <v>80.0</v>
      </c>
      <c r="D236" s="2"/>
      <c r="E236" s="2">
        <v>26.0</v>
      </c>
      <c r="F236" s="2"/>
      <c r="G236" s="2"/>
      <c r="H236" s="2">
        <v>10.0</v>
      </c>
      <c r="I236" s="2">
        <v>56.0</v>
      </c>
      <c r="J236" s="2"/>
      <c r="K236" s="2">
        <v>46.0</v>
      </c>
      <c r="L236" s="2"/>
      <c r="M236" s="2">
        <v>36.0</v>
      </c>
      <c r="N236" s="2">
        <v>10.0</v>
      </c>
      <c r="O236" s="2">
        <v>80.0</v>
      </c>
      <c r="P236" s="2"/>
      <c r="Q236" s="2">
        <v>20.0</v>
      </c>
      <c r="R236" s="2"/>
      <c r="S236" s="2">
        <v>40.0</v>
      </c>
    </row>
    <row r="237">
      <c r="A237" s="2" t="s">
        <v>51</v>
      </c>
      <c r="B237" s="2">
        <v>10.0</v>
      </c>
      <c r="C237" s="2">
        <v>94.0</v>
      </c>
      <c r="D237" s="2"/>
      <c r="E237" s="2">
        <v>30.0</v>
      </c>
      <c r="F237" s="2"/>
      <c r="G237" s="2"/>
      <c r="H237" s="2"/>
      <c r="I237" s="2">
        <v>56.0</v>
      </c>
      <c r="J237" s="2"/>
      <c r="K237" s="2">
        <v>46.0</v>
      </c>
      <c r="L237" s="2"/>
      <c r="M237" s="2">
        <v>36.0</v>
      </c>
      <c r="N237" s="2"/>
      <c r="O237" s="2">
        <v>80.0</v>
      </c>
      <c r="P237" s="2">
        <v>0.0</v>
      </c>
      <c r="Q237" s="2">
        <v>24.0</v>
      </c>
      <c r="R237" s="2"/>
      <c r="S237" s="2">
        <v>40.0</v>
      </c>
    </row>
    <row r="238">
      <c r="A238" s="2" t="s">
        <v>52</v>
      </c>
      <c r="B238" s="2"/>
      <c r="C238" s="2">
        <v>94.0</v>
      </c>
      <c r="D238" s="2"/>
      <c r="E238" s="2">
        <v>30.0</v>
      </c>
      <c r="F238" s="2"/>
      <c r="G238" s="2"/>
      <c r="H238" s="2">
        <v>0.0</v>
      </c>
      <c r="I238" s="2">
        <v>60.0</v>
      </c>
      <c r="J238" s="2">
        <v>0.0</v>
      </c>
      <c r="K238" s="2">
        <v>50.0</v>
      </c>
      <c r="L238" s="2">
        <v>0.0</v>
      </c>
      <c r="M238" s="2">
        <v>40.0</v>
      </c>
      <c r="N238" s="2">
        <v>0.0</v>
      </c>
      <c r="O238" s="2">
        <v>84.0</v>
      </c>
      <c r="P238" s="2"/>
      <c r="Q238" s="2">
        <v>24.0</v>
      </c>
      <c r="R238" s="2"/>
      <c r="S238" s="2">
        <v>40.0</v>
      </c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B241" s="2" t="str">
        <f t="array" ref="B241:S270">transpose(sort(transpose(Full!A241:R270),1,true))</f>
        <v>Cupertino A</v>
      </c>
      <c r="C241" s="2" t="s">
        <v>8</v>
      </c>
      <c r="D241" s="2" t="s">
        <v>0</v>
      </c>
      <c r="E241" s="2" t="s">
        <v>0</v>
      </c>
      <c r="F241" s="2" t="s">
        <v>2</v>
      </c>
      <c r="G241" s="2" t="s">
        <v>2</v>
      </c>
      <c r="H241" s="2" t="s">
        <v>4</v>
      </c>
      <c r="I241" s="2" t="s">
        <v>4</v>
      </c>
      <c r="J241" s="2" t="s">
        <v>6</v>
      </c>
      <c r="K241" s="2" t="s">
        <v>6</v>
      </c>
      <c r="L241" s="2" t="s">
        <v>7</v>
      </c>
      <c r="M241" s="2" t="s">
        <v>7</v>
      </c>
      <c r="N241" s="2" t="s">
        <v>5</v>
      </c>
      <c r="O241" s="2" t="s">
        <v>5</v>
      </c>
      <c r="P241" s="2" t="s">
        <v>3</v>
      </c>
      <c r="Q241" s="2" t="s">
        <v>3</v>
      </c>
      <c r="R241" s="2" t="s">
        <v>1</v>
      </c>
      <c r="S241" s="2" t="s">
        <v>1</v>
      </c>
    </row>
    <row r="242">
      <c r="B242" s="2" t="s">
        <v>16</v>
      </c>
      <c r="C242" s="2" t="s">
        <v>19</v>
      </c>
      <c r="D242" s="2" t="s">
        <v>16</v>
      </c>
      <c r="E242" s="2" t="s">
        <v>19</v>
      </c>
      <c r="F242" s="2" t="s">
        <v>16</v>
      </c>
      <c r="G242" s="2" t="s">
        <v>19</v>
      </c>
      <c r="H242" s="2" t="s">
        <v>16</v>
      </c>
      <c r="I242" s="2" t="s">
        <v>19</v>
      </c>
      <c r="J242" s="2" t="s">
        <v>16</v>
      </c>
      <c r="K242" s="2" t="s">
        <v>19</v>
      </c>
      <c r="L242" s="2" t="s">
        <v>16</v>
      </c>
      <c r="M242" s="2" t="s">
        <v>19</v>
      </c>
      <c r="N242" s="2" t="s">
        <v>16</v>
      </c>
      <c r="O242" s="2" t="s">
        <v>19</v>
      </c>
      <c r="P242" s="2" t="s">
        <v>16</v>
      </c>
      <c r="Q242" s="2" t="s">
        <v>19</v>
      </c>
      <c r="R242" s="2" t="s">
        <v>16</v>
      </c>
      <c r="S242" s="2" t="s">
        <v>19</v>
      </c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 t="s">
        <v>47</v>
      </c>
      <c r="B244" s="2"/>
      <c r="C244" s="2">
        <v>0.0</v>
      </c>
      <c r="D244" s="2"/>
      <c r="E244" s="2"/>
      <c r="F244" s="2"/>
      <c r="G244" s="2">
        <v>0.0</v>
      </c>
      <c r="H244" s="2"/>
      <c r="I244" s="2">
        <v>0.0</v>
      </c>
      <c r="J244" s="2"/>
      <c r="K244" s="2">
        <v>0.0</v>
      </c>
      <c r="L244" s="2">
        <v>0.0</v>
      </c>
      <c r="M244" s="2">
        <v>4.0</v>
      </c>
      <c r="N244" s="2"/>
      <c r="O244" s="2">
        <v>0.0</v>
      </c>
      <c r="P244" s="2"/>
      <c r="Q244" s="2">
        <v>0.0</v>
      </c>
      <c r="R244" s="2"/>
      <c r="S244" s="2">
        <v>0.0</v>
      </c>
    </row>
    <row r="245">
      <c r="A245" s="2" t="s">
        <v>48</v>
      </c>
      <c r="B245" s="2"/>
      <c r="C245" s="2">
        <v>0.0</v>
      </c>
      <c r="D245" s="2"/>
      <c r="E245" s="2"/>
      <c r="F245" s="2"/>
      <c r="G245" s="2">
        <v>0.0</v>
      </c>
      <c r="H245" s="2"/>
      <c r="I245" s="2">
        <v>0.0</v>
      </c>
      <c r="J245" s="2"/>
      <c r="K245" s="2">
        <v>0.0</v>
      </c>
      <c r="L245" s="2"/>
      <c r="M245" s="2">
        <v>4.0</v>
      </c>
      <c r="N245" s="2">
        <v>10.0</v>
      </c>
      <c r="O245" s="2">
        <v>14.0</v>
      </c>
      <c r="P245" s="2"/>
      <c r="Q245" s="2">
        <v>0.0</v>
      </c>
      <c r="R245" s="2"/>
      <c r="S245" s="2">
        <v>0.0</v>
      </c>
    </row>
    <row r="246">
      <c r="A246" s="2" t="s">
        <v>49</v>
      </c>
      <c r="B246" s="2">
        <v>0.0</v>
      </c>
      <c r="C246" s="2">
        <v>4.0</v>
      </c>
      <c r="D246" s="2"/>
      <c r="E246" s="2"/>
      <c r="F246" s="2">
        <v>10.0</v>
      </c>
      <c r="G246" s="2">
        <v>14.0</v>
      </c>
      <c r="H246" s="2">
        <v>10.0</v>
      </c>
      <c r="I246" s="2">
        <v>14.0</v>
      </c>
      <c r="J246" s="2"/>
      <c r="K246" s="2">
        <v>0.0</v>
      </c>
      <c r="L246" s="2"/>
      <c r="M246" s="2">
        <v>4.0</v>
      </c>
      <c r="N246" s="2"/>
      <c r="O246" s="2">
        <v>14.0</v>
      </c>
      <c r="P246" s="2"/>
      <c r="Q246" s="2">
        <v>0.0</v>
      </c>
      <c r="R246" s="2"/>
      <c r="S246" s="2">
        <v>0.0</v>
      </c>
    </row>
    <row r="247">
      <c r="A247" s="2" t="s">
        <v>50</v>
      </c>
      <c r="B247" s="2"/>
      <c r="C247" s="2">
        <v>4.0</v>
      </c>
      <c r="D247" s="2"/>
      <c r="E247" s="2"/>
      <c r="F247" s="2">
        <v>0.0</v>
      </c>
      <c r="G247" s="2">
        <v>18.0</v>
      </c>
      <c r="H247" s="2"/>
      <c r="I247" s="2">
        <v>14.0</v>
      </c>
      <c r="J247" s="2"/>
      <c r="K247" s="2">
        <v>0.0</v>
      </c>
      <c r="L247" s="2"/>
      <c r="M247" s="2">
        <v>4.0</v>
      </c>
      <c r="N247" s="2"/>
      <c r="O247" s="2">
        <v>14.0</v>
      </c>
      <c r="P247" s="2"/>
      <c r="Q247" s="2">
        <v>0.0</v>
      </c>
      <c r="R247" s="2"/>
      <c r="S247" s="2">
        <v>0.0</v>
      </c>
    </row>
    <row r="248">
      <c r="A248" s="2" t="s">
        <v>51</v>
      </c>
      <c r="B248" s="2"/>
      <c r="C248" s="2">
        <v>4.0</v>
      </c>
      <c r="D248" s="2"/>
      <c r="E248" s="2"/>
      <c r="F248" s="2">
        <v>0.0</v>
      </c>
      <c r="G248" s="2">
        <v>22.0</v>
      </c>
      <c r="H248" s="2">
        <v>10.0</v>
      </c>
      <c r="I248" s="2">
        <v>28.0</v>
      </c>
      <c r="J248" s="2"/>
      <c r="K248" s="2">
        <v>0.0</v>
      </c>
      <c r="L248" s="2"/>
      <c r="M248" s="2">
        <v>4.0</v>
      </c>
      <c r="N248" s="2">
        <v>10.0</v>
      </c>
      <c r="O248" s="2">
        <v>28.0</v>
      </c>
      <c r="P248" s="2"/>
      <c r="Q248" s="2">
        <v>0.0</v>
      </c>
      <c r="R248" s="2"/>
      <c r="S248" s="2">
        <v>0.0</v>
      </c>
    </row>
    <row r="249">
      <c r="A249" s="2" t="s">
        <v>52</v>
      </c>
      <c r="B249" s="2"/>
      <c r="C249" s="2">
        <v>4.0</v>
      </c>
      <c r="D249" s="2"/>
      <c r="E249" s="2"/>
      <c r="F249" s="2"/>
      <c r="G249" s="2">
        <v>22.0</v>
      </c>
      <c r="H249" s="2"/>
      <c r="I249" s="2">
        <v>28.0</v>
      </c>
      <c r="J249" s="2">
        <v>0.0</v>
      </c>
      <c r="K249" s="2">
        <v>4.0</v>
      </c>
      <c r="L249" s="2"/>
      <c r="M249" s="2">
        <v>4.0</v>
      </c>
      <c r="N249" s="2">
        <v>0.0</v>
      </c>
      <c r="O249" s="2">
        <v>32.0</v>
      </c>
      <c r="P249" s="2"/>
      <c r="Q249" s="2">
        <v>0.0</v>
      </c>
      <c r="R249" s="2">
        <v>0.0</v>
      </c>
      <c r="S249" s="2">
        <v>4.0</v>
      </c>
    </row>
    <row r="250">
      <c r="A250" s="2" t="s">
        <v>47</v>
      </c>
      <c r="B250" s="2">
        <v>0.0</v>
      </c>
      <c r="C250" s="2">
        <v>8.0</v>
      </c>
      <c r="D250" s="2"/>
      <c r="E250" s="2"/>
      <c r="F250" s="2">
        <v>10.0</v>
      </c>
      <c r="G250" s="2">
        <v>36.0</v>
      </c>
      <c r="H250" s="2"/>
      <c r="I250" s="2">
        <v>28.0</v>
      </c>
      <c r="J250" s="2"/>
      <c r="K250" s="2">
        <v>4.0</v>
      </c>
      <c r="L250" s="2"/>
      <c r="M250" s="2">
        <v>4.0</v>
      </c>
      <c r="N250" s="2">
        <v>0.0</v>
      </c>
      <c r="O250" s="2">
        <v>36.0</v>
      </c>
      <c r="P250" s="2"/>
      <c r="Q250" s="2">
        <v>0.0</v>
      </c>
      <c r="R250" s="2"/>
      <c r="S250" s="2">
        <v>4.0</v>
      </c>
    </row>
    <row r="251">
      <c r="A251" s="2" t="s">
        <v>48</v>
      </c>
      <c r="B251" s="2"/>
      <c r="C251" s="2">
        <v>8.0</v>
      </c>
      <c r="D251" s="2"/>
      <c r="E251" s="2"/>
      <c r="F251" s="2"/>
      <c r="G251" s="2">
        <v>36.0</v>
      </c>
      <c r="H251" s="2"/>
      <c r="I251" s="2">
        <v>28.0</v>
      </c>
      <c r="J251" s="2"/>
      <c r="K251" s="2">
        <v>4.0</v>
      </c>
      <c r="L251" s="2"/>
      <c r="M251" s="2">
        <v>4.0</v>
      </c>
      <c r="N251" s="2"/>
      <c r="O251" s="2">
        <v>36.0</v>
      </c>
      <c r="P251" s="2"/>
      <c r="Q251" s="2">
        <v>0.0</v>
      </c>
      <c r="R251" s="2"/>
      <c r="S251" s="2">
        <v>4.0</v>
      </c>
    </row>
    <row r="252">
      <c r="A252" s="2" t="s">
        <v>49</v>
      </c>
      <c r="B252" s="2"/>
      <c r="C252" s="2">
        <v>8.0</v>
      </c>
      <c r="D252" s="2"/>
      <c r="E252" s="2"/>
      <c r="F252" s="2">
        <v>0.0</v>
      </c>
      <c r="G252" s="2">
        <v>40.0</v>
      </c>
      <c r="H252" s="2"/>
      <c r="I252" s="2">
        <v>28.0</v>
      </c>
      <c r="J252" s="2">
        <v>0.0</v>
      </c>
      <c r="K252" s="2">
        <v>8.0</v>
      </c>
      <c r="L252" s="2"/>
      <c r="M252" s="2">
        <v>4.0</v>
      </c>
      <c r="N252" s="2"/>
      <c r="O252" s="2">
        <v>36.0</v>
      </c>
      <c r="P252" s="2"/>
      <c r="Q252" s="2">
        <v>0.0</v>
      </c>
      <c r="R252" s="2"/>
      <c r="S252" s="2">
        <v>4.0</v>
      </c>
    </row>
    <row r="253">
      <c r="A253" s="2" t="s">
        <v>50</v>
      </c>
      <c r="B253" s="2">
        <v>0.0</v>
      </c>
      <c r="C253" s="2">
        <v>12.0</v>
      </c>
      <c r="D253" s="2"/>
      <c r="E253" s="2"/>
      <c r="F253" s="2">
        <v>10.0</v>
      </c>
      <c r="G253" s="2">
        <v>54.0</v>
      </c>
      <c r="H253" s="2">
        <v>0.0</v>
      </c>
      <c r="I253" s="2">
        <v>32.0</v>
      </c>
      <c r="J253" s="2"/>
      <c r="K253" s="2">
        <v>8.0</v>
      </c>
      <c r="L253" s="2"/>
      <c r="M253" s="2">
        <v>4.0</v>
      </c>
      <c r="N253" s="2">
        <v>0.0</v>
      </c>
      <c r="O253" s="2">
        <v>40.0</v>
      </c>
      <c r="P253" s="2"/>
      <c r="Q253" s="2">
        <v>0.0</v>
      </c>
      <c r="R253" s="2"/>
      <c r="S253" s="2">
        <v>4.0</v>
      </c>
    </row>
    <row r="254">
      <c r="A254" s="2" t="s">
        <v>51</v>
      </c>
      <c r="B254" s="2"/>
      <c r="C254" s="2">
        <v>12.0</v>
      </c>
      <c r="D254" s="2"/>
      <c r="E254" s="2"/>
      <c r="F254" s="2"/>
      <c r="G254" s="2">
        <v>54.0</v>
      </c>
      <c r="H254" s="2"/>
      <c r="I254" s="2">
        <v>32.0</v>
      </c>
      <c r="J254" s="2">
        <v>10.0</v>
      </c>
      <c r="K254" s="2">
        <v>22.0</v>
      </c>
      <c r="L254" s="2"/>
      <c r="M254" s="2">
        <v>4.0</v>
      </c>
      <c r="N254" s="2">
        <v>10.0</v>
      </c>
      <c r="O254" s="2">
        <v>54.0</v>
      </c>
      <c r="P254" s="2"/>
      <c r="Q254" s="2">
        <v>0.0</v>
      </c>
      <c r="R254" s="2"/>
      <c r="S254" s="2">
        <v>4.0</v>
      </c>
    </row>
    <row r="255">
      <c r="A255" s="2" t="s">
        <v>52</v>
      </c>
      <c r="B255" s="2"/>
      <c r="C255" s="2">
        <v>12.0</v>
      </c>
      <c r="D255" s="2"/>
      <c r="E255" s="2"/>
      <c r="F255" s="2"/>
      <c r="G255" s="2">
        <v>54.0</v>
      </c>
      <c r="H255" s="2"/>
      <c r="I255" s="2">
        <v>32.0</v>
      </c>
      <c r="J255" s="2"/>
      <c r="K255" s="2">
        <v>22.0</v>
      </c>
      <c r="L255" s="2"/>
      <c r="M255" s="2">
        <v>4.0</v>
      </c>
      <c r="N255" s="2"/>
      <c r="O255" s="2">
        <v>54.0</v>
      </c>
      <c r="P255" s="2"/>
      <c r="Q255" s="2">
        <v>0.0</v>
      </c>
      <c r="R255" s="2"/>
      <c r="S255" s="2">
        <v>4.0</v>
      </c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 t="s">
        <v>47</v>
      </c>
      <c r="B257" s="2"/>
      <c r="C257" s="2">
        <v>12.0</v>
      </c>
      <c r="D257" s="2"/>
      <c r="E257" s="2"/>
      <c r="F257" s="2">
        <v>10.0</v>
      </c>
      <c r="G257" s="2">
        <v>68.0</v>
      </c>
      <c r="H257" s="2"/>
      <c r="I257" s="2">
        <v>32.0</v>
      </c>
      <c r="J257" s="2">
        <v>0.0</v>
      </c>
      <c r="K257" s="2">
        <v>26.0</v>
      </c>
      <c r="L257" s="2"/>
      <c r="M257" s="2">
        <v>4.0</v>
      </c>
      <c r="N257" s="2"/>
      <c r="O257" s="2">
        <v>54.0</v>
      </c>
      <c r="P257" s="2"/>
      <c r="Q257" s="2">
        <v>4.0</v>
      </c>
      <c r="R257" s="2"/>
      <c r="S257" s="2">
        <v>4.0</v>
      </c>
    </row>
    <row r="258">
      <c r="A258" s="2" t="s">
        <v>48</v>
      </c>
      <c r="B258" s="2"/>
      <c r="C258" s="2">
        <v>12.0</v>
      </c>
      <c r="D258" s="2"/>
      <c r="E258" s="2"/>
      <c r="F258" s="2"/>
      <c r="G258" s="2">
        <v>68.0</v>
      </c>
      <c r="H258" s="2"/>
      <c r="I258" s="2">
        <v>32.0</v>
      </c>
      <c r="J258" s="2"/>
      <c r="K258" s="2">
        <v>26.0</v>
      </c>
      <c r="L258" s="2"/>
      <c r="M258" s="2">
        <v>4.0</v>
      </c>
      <c r="N258" s="2"/>
      <c r="O258" s="2">
        <v>54.0</v>
      </c>
      <c r="P258" s="2"/>
      <c r="Q258" s="2">
        <v>4.0</v>
      </c>
      <c r="R258" s="2"/>
      <c r="S258" s="2">
        <v>4.0</v>
      </c>
    </row>
    <row r="259">
      <c r="A259" s="2" t="s">
        <v>49</v>
      </c>
      <c r="B259" s="2"/>
      <c r="C259" s="2">
        <v>12.0</v>
      </c>
      <c r="D259" s="2"/>
      <c r="E259" s="2"/>
      <c r="F259" s="2">
        <v>10.0</v>
      </c>
      <c r="G259" s="2">
        <v>82.0</v>
      </c>
      <c r="H259" s="2">
        <v>0.0</v>
      </c>
      <c r="I259" s="2">
        <v>36.0</v>
      </c>
      <c r="J259" s="2">
        <v>0.0</v>
      </c>
      <c r="K259" s="2">
        <v>30.0</v>
      </c>
      <c r="L259" s="2"/>
      <c r="M259" s="2">
        <v>4.0</v>
      </c>
      <c r="N259" s="2">
        <v>0.0</v>
      </c>
      <c r="O259" s="2">
        <v>58.0</v>
      </c>
      <c r="P259" s="2"/>
      <c r="Q259" s="2">
        <v>4.0</v>
      </c>
      <c r="R259" s="2"/>
      <c r="S259" s="2">
        <v>4.0</v>
      </c>
    </row>
    <row r="260">
      <c r="A260" s="2" t="s">
        <v>50</v>
      </c>
      <c r="B260" s="2">
        <v>10.0</v>
      </c>
      <c r="C260" s="2">
        <v>26.0</v>
      </c>
      <c r="D260" s="2"/>
      <c r="E260" s="2"/>
      <c r="F260" s="2">
        <v>10.0</v>
      </c>
      <c r="G260" s="2">
        <v>96.0</v>
      </c>
      <c r="H260" s="2">
        <v>10.0</v>
      </c>
      <c r="I260" s="2">
        <v>50.0</v>
      </c>
      <c r="J260" s="2"/>
      <c r="K260" s="2">
        <v>30.0</v>
      </c>
      <c r="L260" s="2"/>
      <c r="M260" s="2">
        <v>4.0</v>
      </c>
      <c r="N260" s="2">
        <v>0.0</v>
      </c>
      <c r="O260" s="2">
        <v>62.0</v>
      </c>
      <c r="P260" s="2"/>
      <c r="Q260" s="2">
        <v>4.0</v>
      </c>
      <c r="R260" s="2"/>
      <c r="S260" s="2">
        <v>4.0</v>
      </c>
    </row>
    <row r="261">
      <c r="A261" s="2" t="s">
        <v>51</v>
      </c>
      <c r="B261" s="2">
        <v>10.0</v>
      </c>
      <c r="C261" s="2">
        <v>40.0</v>
      </c>
      <c r="D261" s="2"/>
      <c r="E261" s="2"/>
      <c r="F261" s="2">
        <v>10.0</v>
      </c>
      <c r="G261" s="2">
        <v>110.0</v>
      </c>
      <c r="H261" s="2"/>
      <c r="I261" s="2">
        <v>50.0</v>
      </c>
      <c r="J261" s="2"/>
      <c r="K261" s="2">
        <v>30.0</v>
      </c>
      <c r="L261" s="2"/>
      <c r="M261" s="2">
        <v>4.0</v>
      </c>
      <c r="N261" s="2">
        <v>0.0</v>
      </c>
      <c r="O261" s="2">
        <v>66.0</v>
      </c>
      <c r="P261" s="2"/>
      <c r="Q261" s="2">
        <v>4.0</v>
      </c>
      <c r="R261" s="2"/>
      <c r="S261" s="2">
        <v>4.0</v>
      </c>
    </row>
    <row r="262">
      <c r="A262" s="2" t="s">
        <v>52</v>
      </c>
      <c r="B262" s="2"/>
      <c r="C262" s="2">
        <v>40.0</v>
      </c>
      <c r="D262" s="2"/>
      <c r="E262" s="2"/>
      <c r="F262" s="2">
        <v>0.0</v>
      </c>
      <c r="G262" s="2">
        <v>114.0</v>
      </c>
      <c r="H262" s="2">
        <v>10.0</v>
      </c>
      <c r="I262" s="2">
        <v>64.0</v>
      </c>
      <c r="J262" s="2"/>
      <c r="K262" s="2">
        <v>30.0</v>
      </c>
      <c r="L262" s="2"/>
      <c r="M262" s="2">
        <v>4.0</v>
      </c>
      <c r="N262" s="2"/>
      <c r="O262" s="2">
        <v>66.0</v>
      </c>
      <c r="P262" s="2"/>
      <c r="Q262" s="2">
        <v>4.0</v>
      </c>
      <c r="R262" s="2"/>
      <c r="S262" s="2">
        <v>4.0</v>
      </c>
    </row>
    <row r="263">
      <c r="A263" s="2" t="s">
        <v>47</v>
      </c>
      <c r="B263" s="2"/>
      <c r="C263" s="2">
        <v>40.0</v>
      </c>
      <c r="D263" s="2"/>
      <c r="E263" s="2"/>
      <c r="F263" s="2">
        <v>0.0</v>
      </c>
      <c r="G263" s="2">
        <v>118.0</v>
      </c>
      <c r="H263" s="2"/>
      <c r="I263" s="2">
        <v>64.0</v>
      </c>
      <c r="J263" s="2">
        <v>0.0</v>
      </c>
      <c r="K263" s="2">
        <v>38.0</v>
      </c>
      <c r="L263" s="2"/>
      <c r="M263" s="2">
        <v>4.0</v>
      </c>
      <c r="N263" s="2">
        <v>0.0</v>
      </c>
      <c r="O263" s="2">
        <v>70.0</v>
      </c>
      <c r="P263" s="2"/>
      <c r="Q263" s="2">
        <v>4.0</v>
      </c>
      <c r="R263" s="2"/>
      <c r="S263" s="2">
        <v>4.0</v>
      </c>
    </row>
    <row r="264">
      <c r="A264" s="2" t="s">
        <v>48</v>
      </c>
      <c r="B264" s="2"/>
      <c r="C264" s="2">
        <v>40.0</v>
      </c>
      <c r="D264" s="2"/>
      <c r="E264" s="2"/>
      <c r="F264" s="2"/>
      <c r="G264" s="2">
        <v>118.0</v>
      </c>
      <c r="H264" s="2"/>
      <c r="I264" s="2">
        <v>64.0</v>
      </c>
      <c r="J264" s="2"/>
      <c r="K264" s="2">
        <v>38.0</v>
      </c>
      <c r="L264" s="2"/>
      <c r="M264" s="2">
        <v>4.0</v>
      </c>
      <c r="N264" s="2">
        <v>10.0</v>
      </c>
      <c r="O264" s="2">
        <v>84.0</v>
      </c>
      <c r="P264" s="2"/>
      <c r="Q264" s="2">
        <v>4.0</v>
      </c>
      <c r="R264" s="2"/>
      <c r="S264" s="2">
        <v>4.0</v>
      </c>
    </row>
    <row r="265">
      <c r="A265" s="2" t="s">
        <v>49</v>
      </c>
      <c r="B265" s="2"/>
      <c r="C265" s="2">
        <v>40.0</v>
      </c>
      <c r="D265" s="2"/>
      <c r="E265" s="2"/>
      <c r="F265" s="2">
        <v>10.0</v>
      </c>
      <c r="G265" s="2">
        <v>132.0</v>
      </c>
      <c r="H265" s="2"/>
      <c r="I265" s="2">
        <v>64.0</v>
      </c>
      <c r="J265" s="2"/>
      <c r="K265" s="2">
        <v>38.0</v>
      </c>
      <c r="L265" s="2"/>
      <c r="M265" s="2">
        <v>4.0</v>
      </c>
      <c r="N265" s="2">
        <v>10.0</v>
      </c>
      <c r="O265" s="2">
        <v>98.0</v>
      </c>
      <c r="P265" s="2"/>
      <c r="Q265" s="2">
        <v>4.0</v>
      </c>
      <c r="R265" s="2"/>
      <c r="S265" s="2">
        <v>4.0</v>
      </c>
    </row>
    <row r="266">
      <c r="A266" s="2" t="s">
        <v>50</v>
      </c>
      <c r="B266" s="2">
        <v>0.0</v>
      </c>
      <c r="C266" s="2">
        <v>44.0</v>
      </c>
      <c r="D266" s="2"/>
      <c r="E266" s="2"/>
      <c r="F266" s="2">
        <v>10.0</v>
      </c>
      <c r="G266" s="2">
        <v>146.0</v>
      </c>
      <c r="H266" s="2">
        <v>10.0</v>
      </c>
      <c r="I266" s="2">
        <v>78.0</v>
      </c>
      <c r="J266" s="2"/>
      <c r="K266" s="2">
        <v>38.0</v>
      </c>
      <c r="L266" s="2"/>
      <c r="M266" s="2">
        <v>4.0</v>
      </c>
      <c r="N266" s="2">
        <v>10.0</v>
      </c>
      <c r="O266" s="2">
        <v>112.0</v>
      </c>
      <c r="P266" s="2"/>
      <c r="Q266" s="2">
        <v>4.0</v>
      </c>
      <c r="R266" s="2"/>
      <c r="S266" s="2">
        <v>4.0</v>
      </c>
    </row>
    <row r="267">
      <c r="A267" s="2" t="s">
        <v>51</v>
      </c>
      <c r="B267" s="2"/>
      <c r="C267" s="2">
        <v>44.0</v>
      </c>
      <c r="D267" s="2"/>
      <c r="E267" s="2"/>
      <c r="F267" s="2">
        <v>0.0</v>
      </c>
      <c r="G267" s="2">
        <v>150.0</v>
      </c>
      <c r="H267" s="2"/>
      <c r="I267" s="2">
        <v>78.0</v>
      </c>
      <c r="J267" s="2">
        <v>0.0</v>
      </c>
      <c r="K267" s="2">
        <v>42.0</v>
      </c>
      <c r="L267" s="2">
        <v>0.0</v>
      </c>
      <c r="M267" s="2">
        <v>8.0</v>
      </c>
      <c r="N267" s="2"/>
      <c r="O267" s="2">
        <v>112.0</v>
      </c>
      <c r="P267" s="2">
        <v>0.0</v>
      </c>
      <c r="Q267" s="2">
        <v>8.0</v>
      </c>
      <c r="R267" s="2"/>
      <c r="S267" s="2">
        <v>4.0</v>
      </c>
    </row>
    <row r="268">
      <c r="A268" s="2" t="s">
        <v>52</v>
      </c>
      <c r="B268" s="2">
        <v>0.0</v>
      </c>
      <c r="C268" s="2">
        <v>48.0</v>
      </c>
      <c r="D268" s="2"/>
      <c r="E268" s="2"/>
      <c r="F268" s="2">
        <v>0.0</v>
      </c>
      <c r="G268" s="2">
        <v>154.0</v>
      </c>
      <c r="H268" s="2"/>
      <c r="I268" s="2">
        <v>78.0</v>
      </c>
      <c r="J268" s="2"/>
      <c r="K268" s="2">
        <v>42.0</v>
      </c>
      <c r="L268" s="2"/>
      <c r="M268" s="2">
        <v>8.0</v>
      </c>
      <c r="N268" s="2"/>
      <c r="O268" s="2">
        <v>112.0</v>
      </c>
      <c r="P268" s="2">
        <v>0.0</v>
      </c>
      <c r="Q268" s="2">
        <v>12.0</v>
      </c>
      <c r="R268" s="2"/>
      <c r="S268" s="2">
        <v>4.0</v>
      </c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B271" s="2" t="str">
        <f t="array" ref="B271:S300">transpose(sort(transpose(Full!A271:R300),1,true))</f>
        <v>Cupertino A</v>
      </c>
      <c r="C271" s="2" t="s">
        <v>8</v>
      </c>
      <c r="D271" s="2" t="s">
        <v>0</v>
      </c>
      <c r="E271" s="2" t="s">
        <v>0</v>
      </c>
      <c r="F271" s="2" t="s">
        <v>2</v>
      </c>
      <c r="G271" s="2" t="s">
        <v>2</v>
      </c>
      <c r="H271" s="2" t="s">
        <v>4</v>
      </c>
      <c r="I271" s="2" t="s">
        <v>4</v>
      </c>
      <c r="J271" s="2" t="s">
        <v>6</v>
      </c>
      <c r="K271" s="2" t="s">
        <v>6</v>
      </c>
      <c r="L271" s="2" t="s">
        <v>7</v>
      </c>
      <c r="M271" s="2" t="s">
        <v>7</v>
      </c>
      <c r="N271" s="2" t="s">
        <v>5</v>
      </c>
      <c r="O271" s="2" t="s">
        <v>5</v>
      </c>
      <c r="P271" s="2" t="s">
        <v>3</v>
      </c>
      <c r="Q271" s="2" t="s">
        <v>3</v>
      </c>
      <c r="R271" s="2" t="s">
        <v>1</v>
      </c>
      <c r="S271" s="2" t="s">
        <v>1</v>
      </c>
    </row>
    <row r="272">
      <c r="B272" s="2" t="s">
        <v>16</v>
      </c>
      <c r="C272" s="2" t="s">
        <v>19</v>
      </c>
      <c r="D272" s="2" t="s">
        <v>16</v>
      </c>
      <c r="E272" s="2" t="s">
        <v>19</v>
      </c>
      <c r="F272" s="2" t="s">
        <v>16</v>
      </c>
      <c r="G272" s="2" t="s">
        <v>19</v>
      </c>
      <c r="H272" s="2" t="s">
        <v>16</v>
      </c>
      <c r="I272" s="2" t="s">
        <v>19</v>
      </c>
      <c r="J272" s="2" t="s">
        <v>16</v>
      </c>
      <c r="K272" s="2" t="s">
        <v>19</v>
      </c>
      <c r="L272" s="2" t="s">
        <v>16</v>
      </c>
      <c r="M272" s="2" t="s">
        <v>19</v>
      </c>
      <c r="N272" s="2" t="s">
        <v>16</v>
      </c>
      <c r="O272" s="2" t="s">
        <v>19</v>
      </c>
      <c r="P272" s="2" t="s">
        <v>16</v>
      </c>
      <c r="Q272" s="2" t="s">
        <v>19</v>
      </c>
      <c r="R272" s="2" t="s">
        <v>16</v>
      </c>
      <c r="S272" s="2" t="s">
        <v>19</v>
      </c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 t="s">
        <v>47</v>
      </c>
      <c r="B274" s="2"/>
      <c r="C274" s="2"/>
      <c r="D274" s="2"/>
      <c r="E274" s="2"/>
      <c r="F274" s="2"/>
      <c r="G274" s="2">
        <v>0.0</v>
      </c>
      <c r="H274" s="2"/>
      <c r="I274" s="2"/>
      <c r="J274" s="2"/>
      <c r="K274" s="2"/>
      <c r="L274" s="2"/>
      <c r="M274" s="2"/>
      <c r="N274" s="2">
        <v>10.0</v>
      </c>
      <c r="O274" s="2">
        <v>14.0</v>
      </c>
      <c r="P274" s="2"/>
      <c r="Q274" s="2"/>
      <c r="R274" s="2"/>
      <c r="S274" s="2"/>
    </row>
    <row r="275">
      <c r="A275" s="2" t="s">
        <v>48</v>
      </c>
      <c r="B275" s="2"/>
      <c r="C275" s="2"/>
      <c r="D275" s="2"/>
      <c r="E275" s="2"/>
      <c r="F275" s="2"/>
      <c r="G275" s="2">
        <v>0.0</v>
      </c>
      <c r="H275" s="2"/>
      <c r="I275" s="2"/>
      <c r="J275" s="2"/>
      <c r="K275" s="2"/>
      <c r="L275" s="2"/>
      <c r="M275" s="2"/>
      <c r="N275" s="2">
        <v>10.0</v>
      </c>
      <c r="O275" s="2">
        <v>28.0</v>
      </c>
      <c r="P275" s="2"/>
      <c r="Q275" s="2"/>
      <c r="R275" s="2"/>
      <c r="S275" s="2"/>
    </row>
    <row r="276">
      <c r="A276" s="2" t="s">
        <v>49</v>
      </c>
      <c r="B276" s="2"/>
      <c r="C276" s="2"/>
      <c r="D276" s="2"/>
      <c r="E276" s="2"/>
      <c r="F276" s="2">
        <v>0.0</v>
      </c>
      <c r="G276" s="2">
        <v>4.0</v>
      </c>
      <c r="H276" s="2"/>
      <c r="I276" s="2"/>
      <c r="J276" s="2"/>
      <c r="K276" s="2"/>
      <c r="L276" s="2"/>
      <c r="M276" s="2"/>
      <c r="N276" s="2"/>
      <c r="O276" s="2">
        <v>28.0</v>
      </c>
      <c r="P276" s="2"/>
      <c r="Q276" s="2"/>
      <c r="R276" s="2"/>
      <c r="S276" s="2"/>
    </row>
    <row r="277">
      <c r="A277" s="2" t="s">
        <v>50</v>
      </c>
      <c r="B277" s="2"/>
      <c r="C277" s="2"/>
      <c r="D277" s="2"/>
      <c r="E277" s="2"/>
      <c r="F277" s="2"/>
      <c r="G277" s="2">
        <v>4.0</v>
      </c>
      <c r="H277" s="2"/>
      <c r="I277" s="2"/>
      <c r="J277" s="2"/>
      <c r="K277" s="2"/>
      <c r="L277" s="2"/>
      <c r="M277" s="2"/>
      <c r="N277" s="2"/>
      <c r="O277" s="2">
        <v>32.0</v>
      </c>
      <c r="P277" s="2"/>
      <c r="Q277" s="2"/>
      <c r="R277" s="2"/>
      <c r="S277" s="2"/>
    </row>
    <row r="278">
      <c r="A278" s="2" t="s">
        <v>51</v>
      </c>
      <c r="B278" s="2"/>
      <c r="C278" s="2"/>
      <c r="D278" s="2"/>
      <c r="E278" s="2"/>
      <c r="F278" s="2">
        <v>0.0</v>
      </c>
      <c r="G278" s="2">
        <v>8.0</v>
      </c>
      <c r="H278" s="2"/>
      <c r="I278" s="2"/>
      <c r="J278" s="2"/>
      <c r="K278" s="2"/>
      <c r="L278" s="2"/>
      <c r="M278" s="2"/>
      <c r="N278" s="2"/>
      <c r="O278" s="2">
        <v>32.0</v>
      </c>
      <c r="P278" s="2"/>
      <c r="Q278" s="2"/>
      <c r="R278" s="2"/>
      <c r="S278" s="2"/>
    </row>
    <row r="279">
      <c r="A279" s="2" t="s">
        <v>52</v>
      </c>
      <c r="B279" s="2"/>
      <c r="C279" s="2"/>
      <c r="D279" s="2"/>
      <c r="E279" s="2"/>
      <c r="F279" s="2">
        <v>10.0</v>
      </c>
      <c r="G279" s="2">
        <v>22.0</v>
      </c>
      <c r="H279" s="2"/>
      <c r="I279" s="2"/>
      <c r="J279" s="2"/>
      <c r="K279" s="2"/>
      <c r="L279" s="2"/>
      <c r="M279" s="2"/>
      <c r="N279" s="2"/>
      <c r="O279" s="2">
        <v>32.0</v>
      </c>
      <c r="P279" s="2"/>
      <c r="Q279" s="2"/>
      <c r="R279" s="2"/>
      <c r="S279" s="2"/>
    </row>
    <row r="280">
      <c r="A280" s="2" t="s">
        <v>47</v>
      </c>
      <c r="B280" s="2"/>
      <c r="C280" s="2"/>
      <c r="D280" s="2"/>
      <c r="E280" s="2"/>
      <c r="F280" s="2"/>
      <c r="G280" s="2">
        <v>22.0</v>
      </c>
      <c r="H280" s="2"/>
      <c r="I280" s="2"/>
      <c r="J280" s="2"/>
      <c r="K280" s="2"/>
      <c r="L280" s="2"/>
      <c r="M280" s="2"/>
      <c r="N280" s="2"/>
      <c r="O280" s="2">
        <v>32.0</v>
      </c>
      <c r="P280" s="2"/>
      <c r="Q280" s="2"/>
      <c r="R280" s="2"/>
      <c r="S280" s="2"/>
    </row>
    <row r="281">
      <c r="A281" s="2" t="s">
        <v>48</v>
      </c>
      <c r="B281" s="2"/>
      <c r="C281" s="2"/>
      <c r="D281" s="2"/>
      <c r="E281" s="2"/>
      <c r="F281" s="2"/>
      <c r="G281" s="2">
        <v>22.0</v>
      </c>
      <c r="H281" s="2"/>
      <c r="I281" s="2"/>
      <c r="J281" s="2"/>
      <c r="K281" s="2"/>
      <c r="L281" s="2"/>
      <c r="M281" s="2"/>
      <c r="N281" s="2">
        <v>10.0</v>
      </c>
      <c r="O281" s="2">
        <v>46.0</v>
      </c>
      <c r="P281" s="2"/>
      <c r="Q281" s="2"/>
      <c r="R281" s="2"/>
      <c r="S281" s="2"/>
    </row>
    <row r="282">
      <c r="A282" s="2" t="s">
        <v>49</v>
      </c>
      <c r="B282" s="2"/>
      <c r="C282" s="2"/>
      <c r="D282" s="2"/>
      <c r="E282" s="2"/>
      <c r="F282" s="2">
        <v>10.0</v>
      </c>
      <c r="G282" s="2">
        <v>36.0</v>
      </c>
      <c r="H282" s="2"/>
      <c r="I282" s="2"/>
      <c r="J282" s="2"/>
      <c r="K282" s="2"/>
      <c r="L282" s="2"/>
      <c r="M282" s="2"/>
      <c r="N282" s="2"/>
      <c r="O282" s="2">
        <v>46.0</v>
      </c>
      <c r="P282" s="2"/>
      <c r="Q282" s="2"/>
      <c r="R282" s="2"/>
      <c r="S282" s="2"/>
    </row>
    <row r="283">
      <c r="A283" s="2" t="s">
        <v>50</v>
      </c>
      <c r="B283" s="2"/>
      <c r="C283" s="2"/>
      <c r="D283" s="2"/>
      <c r="E283" s="2"/>
      <c r="F283" s="2"/>
      <c r="G283" s="2">
        <v>36.0</v>
      </c>
      <c r="H283" s="2"/>
      <c r="I283" s="2"/>
      <c r="J283" s="2"/>
      <c r="K283" s="2"/>
      <c r="L283" s="2"/>
      <c r="M283" s="2"/>
      <c r="N283" s="2">
        <v>10.0</v>
      </c>
      <c r="O283" s="2">
        <v>60.0</v>
      </c>
      <c r="P283" s="2"/>
      <c r="Q283" s="2"/>
      <c r="R283" s="2"/>
      <c r="S283" s="2"/>
    </row>
    <row r="284">
      <c r="A284" s="2" t="s">
        <v>51</v>
      </c>
      <c r="B284" s="2"/>
      <c r="C284" s="2"/>
      <c r="D284" s="2"/>
      <c r="E284" s="2"/>
      <c r="F284" s="2">
        <v>0.0</v>
      </c>
      <c r="G284" s="2">
        <v>40.0</v>
      </c>
      <c r="H284" s="2"/>
      <c r="I284" s="2"/>
      <c r="J284" s="2"/>
      <c r="K284" s="2"/>
      <c r="L284" s="2"/>
      <c r="M284" s="2"/>
      <c r="N284" s="2"/>
      <c r="O284" s="2">
        <v>60.0</v>
      </c>
      <c r="P284" s="2"/>
      <c r="Q284" s="2"/>
      <c r="R284" s="2"/>
      <c r="S284" s="2"/>
    </row>
    <row r="285">
      <c r="A285" s="2" t="s">
        <v>52</v>
      </c>
      <c r="B285" s="2"/>
      <c r="C285" s="2"/>
      <c r="D285" s="2"/>
      <c r="E285" s="2"/>
      <c r="F285" s="2"/>
      <c r="G285" s="2">
        <v>40.0</v>
      </c>
      <c r="H285" s="2"/>
      <c r="I285" s="2"/>
      <c r="J285" s="2"/>
      <c r="K285" s="2"/>
      <c r="L285" s="2"/>
      <c r="M285" s="2"/>
      <c r="N285" s="2">
        <v>0.0</v>
      </c>
      <c r="O285" s="2">
        <v>68.0</v>
      </c>
      <c r="P285" s="2"/>
      <c r="Q285" s="2"/>
      <c r="R285" s="2"/>
      <c r="S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 t="s">
        <v>47</v>
      </c>
      <c r="B287" s="2"/>
      <c r="C287" s="2"/>
      <c r="D287" s="2"/>
      <c r="E287" s="2"/>
      <c r="F287" s="2"/>
      <c r="G287" s="2">
        <v>40.0</v>
      </c>
      <c r="H287" s="2"/>
      <c r="I287" s="2"/>
      <c r="J287" s="2"/>
      <c r="K287" s="2"/>
      <c r="L287" s="2"/>
      <c r="M287" s="2"/>
      <c r="N287" s="2"/>
      <c r="O287" s="2">
        <v>72.0</v>
      </c>
      <c r="P287" s="2"/>
      <c r="Q287" s="2"/>
      <c r="R287" s="2"/>
      <c r="S287" s="2"/>
    </row>
    <row r="288">
      <c r="A288" s="2" t="s">
        <v>48</v>
      </c>
      <c r="B288" s="2"/>
      <c r="C288" s="2"/>
      <c r="D288" s="2"/>
      <c r="E288" s="2"/>
      <c r="F288" s="2"/>
      <c r="G288" s="2">
        <v>40.0</v>
      </c>
      <c r="H288" s="2"/>
      <c r="I288" s="2"/>
      <c r="J288" s="2"/>
      <c r="K288" s="2"/>
      <c r="L288" s="2"/>
      <c r="M288" s="2"/>
      <c r="N288" s="2">
        <v>0.0</v>
      </c>
      <c r="O288" s="2">
        <v>76.0</v>
      </c>
      <c r="P288" s="2"/>
      <c r="Q288" s="2"/>
      <c r="R288" s="2"/>
      <c r="S288" s="2"/>
    </row>
    <row r="289">
      <c r="A289" s="2" t="s">
        <v>49</v>
      </c>
      <c r="B289" s="2"/>
      <c r="C289" s="2"/>
      <c r="D289" s="2"/>
      <c r="E289" s="2"/>
      <c r="F289" s="2"/>
      <c r="G289" s="2">
        <v>40.0</v>
      </c>
      <c r="H289" s="2"/>
      <c r="I289" s="2"/>
      <c r="J289" s="2"/>
      <c r="K289" s="2"/>
      <c r="L289" s="2"/>
      <c r="M289" s="2"/>
      <c r="N289" s="2"/>
      <c r="O289" s="2">
        <v>80.0</v>
      </c>
      <c r="P289" s="2"/>
      <c r="Q289" s="2"/>
      <c r="R289" s="2"/>
      <c r="S289" s="2"/>
    </row>
    <row r="290">
      <c r="A290" s="2" t="s">
        <v>50</v>
      </c>
      <c r="B290" s="2"/>
      <c r="C290" s="2"/>
      <c r="D290" s="2"/>
      <c r="E290" s="2"/>
      <c r="F290" s="2">
        <v>10.0</v>
      </c>
      <c r="G290" s="2">
        <v>54.0</v>
      </c>
      <c r="H290" s="2"/>
      <c r="I290" s="2"/>
      <c r="J290" s="2"/>
      <c r="K290" s="2"/>
      <c r="L290" s="2"/>
      <c r="M290" s="2"/>
      <c r="N290" s="2"/>
      <c r="O290" s="2">
        <v>80.0</v>
      </c>
      <c r="P290" s="2"/>
      <c r="Q290" s="2"/>
      <c r="R290" s="2"/>
      <c r="S290" s="2"/>
    </row>
    <row r="291">
      <c r="A291" s="2" t="s">
        <v>51</v>
      </c>
      <c r="B291" s="2"/>
      <c r="C291" s="2"/>
      <c r="D291" s="2"/>
      <c r="E291" s="2"/>
      <c r="F291" s="2"/>
      <c r="G291" s="2">
        <v>54.0</v>
      </c>
      <c r="H291" s="2"/>
      <c r="I291" s="2"/>
      <c r="J291" s="2"/>
      <c r="K291" s="2"/>
      <c r="L291" s="2"/>
      <c r="M291" s="2"/>
      <c r="N291" s="2">
        <v>10.0</v>
      </c>
      <c r="O291" s="2">
        <v>98.0</v>
      </c>
      <c r="P291" s="2"/>
      <c r="Q291" s="2"/>
      <c r="R291" s="2"/>
      <c r="S291" s="2"/>
    </row>
    <row r="292">
      <c r="A292" s="2" t="s">
        <v>52</v>
      </c>
      <c r="B292" s="2"/>
      <c r="C292" s="2"/>
      <c r="D292" s="2"/>
      <c r="E292" s="2"/>
      <c r="F292" s="2">
        <v>0.0</v>
      </c>
      <c r="G292" s="2">
        <v>58.0</v>
      </c>
      <c r="H292" s="2"/>
      <c r="I292" s="2"/>
      <c r="J292" s="2"/>
      <c r="K292" s="2"/>
      <c r="L292" s="2"/>
      <c r="M292" s="2"/>
      <c r="N292" s="2"/>
      <c r="O292" s="2">
        <v>98.0</v>
      </c>
      <c r="P292" s="2"/>
      <c r="Q292" s="2"/>
      <c r="R292" s="2"/>
      <c r="S292" s="2"/>
    </row>
    <row r="293">
      <c r="A293" s="2" t="s">
        <v>47</v>
      </c>
      <c r="B293" s="2"/>
      <c r="C293" s="2"/>
      <c r="D293" s="2"/>
      <c r="E293" s="2"/>
      <c r="F293" s="2"/>
      <c r="G293" s="2">
        <v>58.0</v>
      </c>
      <c r="H293" s="2"/>
      <c r="I293" s="2"/>
      <c r="J293" s="2"/>
      <c r="K293" s="2"/>
      <c r="L293" s="2"/>
      <c r="M293" s="2"/>
      <c r="N293" s="2">
        <v>0.0</v>
      </c>
      <c r="O293" s="2">
        <v>102.0</v>
      </c>
      <c r="P293" s="2"/>
      <c r="Q293" s="2"/>
      <c r="R293" s="2"/>
      <c r="S293" s="2"/>
    </row>
    <row r="294">
      <c r="A294" s="2" t="s">
        <v>48</v>
      </c>
      <c r="B294" s="2"/>
      <c r="C294" s="2"/>
      <c r="D294" s="2"/>
      <c r="E294" s="2"/>
      <c r="F294" s="2"/>
      <c r="G294" s="2">
        <v>58.0</v>
      </c>
      <c r="H294" s="2"/>
      <c r="I294" s="2"/>
      <c r="J294" s="2"/>
      <c r="K294" s="2"/>
      <c r="L294" s="2"/>
      <c r="M294" s="2"/>
      <c r="N294" s="2">
        <v>10.0</v>
      </c>
      <c r="O294" s="2">
        <v>116.0</v>
      </c>
      <c r="P294" s="2"/>
      <c r="Q294" s="2"/>
      <c r="R294" s="2"/>
      <c r="S294" s="2"/>
    </row>
    <row r="295">
      <c r="A295" s="2" t="s">
        <v>49</v>
      </c>
      <c r="B295" s="2"/>
      <c r="C295" s="2"/>
      <c r="D295" s="2"/>
      <c r="E295" s="2"/>
      <c r="F295" s="2">
        <v>10.0</v>
      </c>
      <c r="G295" s="2">
        <v>72.0</v>
      </c>
      <c r="H295" s="2"/>
      <c r="I295" s="2"/>
      <c r="J295" s="2"/>
      <c r="K295" s="2"/>
      <c r="L295" s="2"/>
      <c r="M295" s="2"/>
      <c r="N295" s="2"/>
      <c r="O295" s="2">
        <v>116.0</v>
      </c>
      <c r="P295" s="2"/>
      <c r="Q295" s="2"/>
      <c r="R295" s="2"/>
      <c r="S295" s="2"/>
    </row>
    <row r="296">
      <c r="A296" s="2" t="s">
        <v>50</v>
      </c>
      <c r="B296" s="2"/>
      <c r="C296" s="2"/>
      <c r="D296" s="2"/>
      <c r="E296" s="2"/>
      <c r="F296" s="2"/>
      <c r="G296" s="2">
        <v>72.0</v>
      </c>
      <c r="H296" s="2"/>
      <c r="I296" s="2"/>
      <c r="J296" s="2"/>
      <c r="K296" s="2"/>
      <c r="L296" s="2"/>
      <c r="M296" s="2"/>
      <c r="N296" s="2"/>
      <c r="O296" s="2">
        <v>120.0</v>
      </c>
      <c r="P296" s="2"/>
      <c r="Q296" s="2"/>
      <c r="R296" s="2"/>
      <c r="S296" s="2"/>
    </row>
    <row r="297">
      <c r="A297" s="2" t="s">
        <v>51</v>
      </c>
      <c r="B297" s="2"/>
      <c r="C297" s="2"/>
      <c r="D297" s="2"/>
      <c r="E297" s="2"/>
      <c r="F297" s="2">
        <v>10.0</v>
      </c>
      <c r="G297" s="2">
        <v>86.0</v>
      </c>
      <c r="H297" s="2"/>
      <c r="I297" s="2"/>
      <c r="J297" s="2"/>
      <c r="K297" s="2"/>
      <c r="L297" s="2"/>
      <c r="M297" s="2"/>
      <c r="N297" s="2"/>
      <c r="O297" s="2">
        <v>120.0</v>
      </c>
      <c r="P297" s="2"/>
      <c r="Q297" s="2"/>
      <c r="R297" s="2"/>
      <c r="S297" s="2"/>
    </row>
    <row r="298">
      <c r="A298" s="2" t="s">
        <v>52</v>
      </c>
      <c r="B298" s="2"/>
      <c r="C298" s="2"/>
      <c r="D298" s="2"/>
      <c r="E298" s="2"/>
      <c r="F298" s="2"/>
      <c r="G298" s="2">
        <v>86.0</v>
      </c>
      <c r="H298" s="2"/>
      <c r="I298" s="2"/>
      <c r="J298" s="2"/>
      <c r="K298" s="2"/>
      <c r="L298" s="2"/>
      <c r="M298" s="2"/>
      <c r="N298" s="2"/>
      <c r="O298" s="2">
        <v>124.0</v>
      </c>
      <c r="P298" s="2"/>
      <c r="Q298" s="2"/>
      <c r="R298" s="2"/>
      <c r="S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B301" s="2" t="str">
        <f t="array" ref="B301:S330">transpose(sort(transpose(Full!A301:R330),1,true))</f>
        <v>Cupertino A</v>
      </c>
      <c r="C301" s="2" t="s">
        <v>8</v>
      </c>
      <c r="D301" s="2" t="s">
        <v>0</v>
      </c>
      <c r="E301" s="2" t="s">
        <v>0</v>
      </c>
      <c r="F301" s="2" t="s">
        <v>2</v>
      </c>
      <c r="G301" s="2" t="s">
        <v>2</v>
      </c>
      <c r="H301" s="2" t="s">
        <v>4</v>
      </c>
      <c r="I301" s="2" t="s">
        <v>4</v>
      </c>
      <c r="J301" s="2" t="s">
        <v>6</v>
      </c>
      <c r="K301" s="2" t="s">
        <v>6</v>
      </c>
      <c r="L301" s="2" t="s">
        <v>7</v>
      </c>
      <c r="M301" s="2" t="s">
        <v>7</v>
      </c>
      <c r="N301" s="2" t="s">
        <v>5</v>
      </c>
      <c r="O301" s="2" t="s">
        <v>5</v>
      </c>
      <c r="P301" s="2" t="s">
        <v>3</v>
      </c>
      <c r="Q301" s="2" t="s">
        <v>3</v>
      </c>
      <c r="R301" s="2" t="s">
        <v>1</v>
      </c>
      <c r="S301" s="2" t="s">
        <v>1</v>
      </c>
    </row>
    <row r="302">
      <c r="B302" s="2" t="s">
        <v>16</v>
      </c>
      <c r="C302" s="2" t="s">
        <v>19</v>
      </c>
      <c r="D302" s="2" t="s">
        <v>16</v>
      </c>
      <c r="E302" s="2" t="s">
        <v>19</v>
      </c>
      <c r="F302" s="2" t="s">
        <v>16</v>
      </c>
      <c r="G302" s="2" t="s">
        <v>19</v>
      </c>
      <c r="H302" s="2" t="s">
        <v>16</v>
      </c>
      <c r="I302" s="2" t="s">
        <v>19</v>
      </c>
      <c r="J302" s="2" t="s">
        <v>16</v>
      </c>
      <c r="K302" s="2" t="s">
        <v>19</v>
      </c>
      <c r="L302" s="2" t="s">
        <v>16</v>
      </c>
      <c r="M302" s="2" t="s">
        <v>19</v>
      </c>
      <c r="N302" s="2" t="s">
        <v>16</v>
      </c>
      <c r="O302" s="2" t="s">
        <v>19</v>
      </c>
      <c r="P302" s="2" t="s">
        <v>16</v>
      </c>
      <c r="Q302" s="2" t="s">
        <v>19</v>
      </c>
      <c r="R302" s="2" t="s">
        <v>16</v>
      </c>
      <c r="S302" s="2" t="s">
        <v>19</v>
      </c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 t="s">
        <v>47</v>
      </c>
      <c r="B304" s="2"/>
      <c r="C304" s="2"/>
      <c r="D304" s="2"/>
      <c r="E304" s="2"/>
      <c r="F304" s="2"/>
      <c r="G304" s="2">
        <v>0.0</v>
      </c>
      <c r="H304" s="2"/>
      <c r="I304" s="2"/>
      <c r="J304" s="2"/>
      <c r="K304" s="2"/>
      <c r="L304" s="2"/>
      <c r="M304" s="2"/>
      <c r="N304" s="2">
        <v>0.0</v>
      </c>
      <c r="O304" s="2">
        <v>8.0</v>
      </c>
      <c r="P304" s="2"/>
      <c r="Q304" s="2"/>
      <c r="R304" s="2"/>
      <c r="S304" s="2"/>
    </row>
    <row r="305">
      <c r="A305" s="2" t="s">
        <v>48</v>
      </c>
      <c r="B305" s="2"/>
      <c r="C305" s="2"/>
      <c r="D305" s="2"/>
      <c r="E305" s="2"/>
      <c r="F305" s="2"/>
      <c r="G305" s="2">
        <v>0.0</v>
      </c>
      <c r="H305" s="2"/>
      <c r="I305" s="2"/>
      <c r="J305" s="2"/>
      <c r="K305" s="2"/>
      <c r="L305" s="2"/>
      <c r="M305" s="2"/>
      <c r="N305" s="2">
        <v>0.0</v>
      </c>
      <c r="O305" s="2">
        <v>12.0</v>
      </c>
      <c r="P305" s="2"/>
      <c r="Q305" s="2"/>
      <c r="R305" s="2"/>
      <c r="S305" s="2"/>
    </row>
    <row r="306">
      <c r="A306" s="2" t="s">
        <v>49</v>
      </c>
      <c r="B306" s="2"/>
      <c r="C306" s="2"/>
      <c r="D306" s="2"/>
      <c r="E306" s="2"/>
      <c r="F306" s="2">
        <v>0.0</v>
      </c>
      <c r="G306" s="2">
        <v>4.0</v>
      </c>
      <c r="H306" s="2"/>
      <c r="I306" s="2"/>
      <c r="J306" s="2"/>
      <c r="K306" s="2"/>
      <c r="L306" s="2"/>
      <c r="M306" s="2"/>
      <c r="N306" s="2"/>
      <c r="O306" s="2">
        <v>12.0</v>
      </c>
      <c r="P306" s="2"/>
      <c r="Q306" s="2"/>
      <c r="R306" s="2"/>
      <c r="S306" s="2"/>
    </row>
    <row r="307">
      <c r="A307" s="2" t="s">
        <v>50</v>
      </c>
      <c r="B307" s="2"/>
      <c r="C307" s="2"/>
      <c r="D307" s="2"/>
      <c r="E307" s="2"/>
      <c r="F307" s="2"/>
      <c r="G307" s="2">
        <v>4.0</v>
      </c>
      <c r="H307" s="2"/>
      <c r="I307" s="2"/>
      <c r="J307" s="2"/>
      <c r="K307" s="2"/>
      <c r="L307" s="2"/>
      <c r="M307" s="2"/>
      <c r="N307" s="2">
        <v>0.0</v>
      </c>
      <c r="O307" s="2">
        <v>16.0</v>
      </c>
      <c r="P307" s="2"/>
      <c r="Q307" s="2"/>
      <c r="R307" s="2"/>
      <c r="S307" s="2"/>
    </row>
    <row r="308">
      <c r="A308" s="2" t="s">
        <v>51</v>
      </c>
      <c r="B308" s="2"/>
      <c r="C308" s="2"/>
      <c r="D308" s="2"/>
      <c r="E308" s="2"/>
      <c r="F308" s="2"/>
      <c r="G308" s="2">
        <v>4.0</v>
      </c>
      <c r="H308" s="2"/>
      <c r="I308" s="2"/>
      <c r="J308" s="2"/>
      <c r="K308" s="2"/>
      <c r="L308" s="2"/>
      <c r="M308" s="2"/>
      <c r="N308" s="2"/>
      <c r="O308" s="2">
        <v>16.0</v>
      </c>
      <c r="P308" s="2"/>
      <c r="Q308" s="2"/>
      <c r="R308" s="2"/>
      <c r="S308" s="2"/>
    </row>
    <row r="309">
      <c r="A309" s="2" t="s">
        <v>52</v>
      </c>
      <c r="B309" s="2"/>
      <c r="C309" s="2"/>
      <c r="D309" s="2"/>
      <c r="E309" s="2"/>
      <c r="F309" s="2"/>
      <c r="G309" s="2">
        <v>4.0</v>
      </c>
      <c r="H309" s="2"/>
      <c r="I309" s="2"/>
      <c r="J309" s="2"/>
      <c r="K309" s="2"/>
      <c r="L309" s="2"/>
      <c r="M309" s="2"/>
      <c r="N309" s="2">
        <v>10.0</v>
      </c>
      <c r="O309" s="2">
        <v>30.0</v>
      </c>
      <c r="P309" s="2"/>
      <c r="Q309" s="2"/>
      <c r="R309" s="2"/>
      <c r="S309" s="2"/>
    </row>
    <row r="310">
      <c r="A310" s="2" t="s">
        <v>47</v>
      </c>
      <c r="B310" s="2"/>
      <c r="C310" s="2"/>
      <c r="D310" s="2"/>
      <c r="E310" s="2"/>
      <c r="F310" s="2">
        <v>10.0</v>
      </c>
      <c r="G310" s="2">
        <v>18.0</v>
      </c>
      <c r="H310" s="2"/>
      <c r="I310" s="2"/>
      <c r="J310" s="2"/>
      <c r="K310" s="2"/>
      <c r="L310" s="2"/>
      <c r="M310" s="2"/>
      <c r="N310" s="2"/>
      <c r="O310" s="2">
        <v>30.0</v>
      </c>
      <c r="P310" s="2"/>
      <c r="Q310" s="2"/>
      <c r="R310" s="2"/>
      <c r="S310" s="2"/>
    </row>
    <row r="311">
      <c r="A311" s="2" t="s">
        <v>48</v>
      </c>
      <c r="B311" s="2"/>
      <c r="C311" s="2"/>
      <c r="D311" s="2"/>
      <c r="E311" s="2"/>
      <c r="F311" s="2"/>
      <c r="G311" s="2">
        <v>18.0</v>
      </c>
      <c r="H311" s="2"/>
      <c r="I311" s="2"/>
      <c r="J311" s="2"/>
      <c r="K311" s="2"/>
      <c r="L311" s="2"/>
      <c r="M311" s="2"/>
      <c r="N311" s="2"/>
      <c r="O311" s="2">
        <v>30.0</v>
      </c>
      <c r="P311" s="2"/>
      <c r="Q311" s="2"/>
      <c r="R311" s="2"/>
      <c r="S311" s="2"/>
    </row>
    <row r="312">
      <c r="A312" s="2" t="s">
        <v>49</v>
      </c>
      <c r="B312" s="2"/>
      <c r="C312" s="2"/>
      <c r="D312" s="2"/>
      <c r="E312" s="2"/>
      <c r="F312" s="2"/>
      <c r="G312" s="2">
        <v>18.0</v>
      </c>
      <c r="H312" s="2"/>
      <c r="I312" s="2"/>
      <c r="J312" s="2"/>
      <c r="K312" s="2"/>
      <c r="L312" s="2"/>
      <c r="M312" s="2"/>
      <c r="N312" s="2">
        <v>0.0</v>
      </c>
      <c r="O312" s="2">
        <v>38.0</v>
      </c>
      <c r="P312" s="2"/>
      <c r="Q312" s="2"/>
      <c r="R312" s="2"/>
      <c r="S312" s="2"/>
    </row>
    <row r="313">
      <c r="A313" s="2" t="s">
        <v>50</v>
      </c>
      <c r="B313" s="2"/>
      <c r="C313" s="2"/>
      <c r="D313" s="2"/>
      <c r="E313" s="2"/>
      <c r="F313" s="2"/>
      <c r="G313" s="2">
        <v>18.0</v>
      </c>
      <c r="H313" s="2"/>
      <c r="I313" s="2"/>
      <c r="J313" s="2"/>
      <c r="K313" s="2"/>
      <c r="L313" s="2"/>
      <c r="M313" s="2"/>
      <c r="N313" s="2"/>
      <c r="O313" s="2">
        <v>38.0</v>
      </c>
      <c r="P313" s="2"/>
      <c r="Q313" s="2"/>
      <c r="R313" s="2"/>
      <c r="S313" s="2"/>
    </row>
    <row r="314">
      <c r="A314" s="2" t="s">
        <v>51</v>
      </c>
      <c r="B314" s="2"/>
      <c r="C314" s="2"/>
      <c r="D314" s="2"/>
      <c r="E314" s="2"/>
      <c r="F314" s="2">
        <v>10.0</v>
      </c>
      <c r="G314" s="2">
        <v>32.0</v>
      </c>
      <c r="H314" s="2"/>
      <c r="I314" s="2"/>
      <c r="J314" s="2"/>
      <c r="K314" s="2"/>
      <c r="L314" s="2"/>
      <c r="M314" s="2"/>
      <c r="N314" s="2"/>
      <c r="O314" s="2">
        <v>38.0</v>
      </c>
      <c r="P314" s="2"/>
      <c r="Q314" s="2"/>
      <c r="R314" s="2"/>
      <c r="S314" s="2"/>
    </row>
    <row r="315">
      <c r="A315" s="2" t="s">
        <v>52</v>
      </c>
      <c r="B315" s="2"/>
      <c r="C315" s="2"/>
      <c r="D315" s="2"/>
      <c r="E315" s="2"/>
      <c r="F315" s="2"/>
      <c r="G315" s="2">
        <v>32.0</v>
      </c>
      <c r="H315" s="2"/>
      <c r="I315" s="2"/>
      <c r="J315" s="2"/>
      <c r="K315" s="2"/>
      <c r="L315" s="2"/>
      <c r="M315" s="2"/>
      <c r="N315" s="2"/>
      <c r="O315" s="2">
        <v>38.0</v>
      </c>
      <c r="P315" s="2"/>
      <c r="Q315" s="2"/>
      <c r="R315" s="2"/>
      <c r="S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 t="s">
        <v>47</v>
      </c>
      <c r="B317" s="2"/>
      <c r="C317" s="2"/>
      <c r="D317" s="2"/>
      <c r="E317" s="2"/>
      <c r="F317" s="2"/>
      <c r="G317" s="2">
        <v>32.0</v>
      </c>
      <c r="H317" s="2"/>
      <c r="I317" s="2"/>
      <c r="J317" s="2"/>
      <c r="K317" s="2"/>
      <c r="L317" s="2"/>
      <c r="M317" s="2"/>
      <c r="N317" s="2">
        <v>10.0</v>
      </c>
      <c r="O317" s="2">
        <v>52.0</v>
      </c>
      <c r="P317" s="2"/>
      <c r="Q317" s="2"/>
      <c r="R317" s="2"/>
      <c r="S317" s="2"/>
    </row>
    <row r="318">
      <c r="A318" s="2" t="s">
        <v>48</v>
      </c>
      <c r="B318" s="2"/>
      <c r="C318" s="2"/>
      <c r="D318" s="2"/>
      <c r="E318" s="2"/>
      <c r="F318" s="2"/>
      <c r="G318" s="2">
        <v>32.0</v>
      </c>
      <c r="H318" s="2"/>
      <c r="I318" s="2"/>
      <c r="J318" s="2"/>
      <c r="K318" s="2"/>
      <c r="L318" s="2"/>
      <c r="M318" s="2"/>
      <c r="N318" s="2"/>
      <c r="O318" s="2">
        <v>52.0</v>
      </c>
      <c r="P318" s="2"/>
      <c r="Q318" s="2"/>
      <c r="R318" s="2"/>
      <c r="S318" s="2"/>
    </row>
    <row r="319">
      <c r="A319" s="2" t="s">
        <v>49</v>
      </c>
      <c r="B319" s="2"/>
      <c r="C319" s="2"/>
      <c r="D319" s="2"/>
      <c r="E319" s="2"/>
      <c r="F319" s="2">
        <v>0.0</v>
      </c>
      <c r="G319" s="2">
        <v>36.0</v>
      </c>
      <c r="H319" s="2"/>
      <c r="I319" s="2"/>
      <c r="J319" s="2"/>
      <c r="K319" s="2"/>
      <c r="L319" s="2"/>
      <c r="M319" s="2"/>
      <c r="N319" s="2"/>
      <c r="O319" s="2">
        <v>52.0</v>
      </c>
      <c r="P319" s="2"/>
      <c r="Q319" s="2"/>
      <c r="R319" s="2"/>
      <c r="S319" s="2"/>
    </row>
    <row r="320">
      <c r="A320" s="2" t="s">
        <v>50</v>
      </c>
      <c r="B320" s="2"/>
      <c r="C320" s="2"/>
      <c r="D320" s="2"/>
      <c r="E320" s="2"/>
      <c r="F320" s="2">
        <v>10.0</v>
      </c>
      <c r="G320" s="2">
        <v>50.0</v>
      </c>
      <c r="H320" s="2"/>
      <c r="I320" s="2"/>
      <c r="J320" s="2"/>
      <c r="K320" s="2"/>
      <c r="L320" s="2"/>
      <c r="M320" s="2"/>
      <c r="N320" s="2"/>
      <c r="O320" s="2">
        <v>52.0</v>
      </c>
      <c r="P320" s="2"/>
      <c r="Q320" s="2"/>
      <c r="R320" s="2"/>
      <c r="S320" s="2"/>
    </row>
    <row r="321">
      <c r="A321" s="2" t="s">
        <v>51</v>
      </c>
      <c r="B321" s="2"/>
      <c r="C321" s="2"/>
      <c r="D321" s="2"/>
      <c r="E321" s="2"/>
      <c r="F321" s="2"/>
      <c r="G321" s="2">
        <v>50.0</v>
      </c>
      <c r="H321" s="2"/>
      <c r="I321" s="2"/>
      <c r="J321" s="2"/>
      <c r="K321" s="2"/>
      <c r="L321" s="2"/>
      <c r="M321" s="2"/>
      <c r="N321" s="2"/>
      <c r="O321" s="2">
        <v>56.0</v>
      </c>
      <c r="P321" s="2"/>
      <c r="Q321" s="2"/>
      <c r="R321" s="2"/>
      <c r="S321" s="2"/>
    </row>
    <row r="322">
      <c r="A322" s="2" t="s">
        <v>52</v>
      </c>
      <c r="B322" s="2"/>
      <c r="C322" s="2"/>
      <c r="D322" s="2"/>
      <c r="E322" s="2"/>
      <c r="F322" s="2">
        <v>10.0</v>
      </c>
      <c r="G322" s="2">
        <v>64.0</v>
      </c>
      <c r="H322" s="2"/>
      <c r="I322" s="2"/>
      <c r="J322" s="2"/>
      <c r="K322" s="2"/>
      <c r="L322" s="2"/>
      <c r="M322" s="2"/>
      <c r="N322" s="2"/>
      <c r="O322" s="2">
        <v>56.0</v>
      </c>
      <c r="P322" s="2"/>
      <c r="Q322" s="2"/>
      <c r="R322" s="2"/>
      <c r="S322" s="2"/>
    </row>
    <row r="323">
      <c r="A323" s="2" t="s">
        <v>47</v>
      </c>
      <c r="B323" s="2"/>
      <c r="C323" s="2"/>
      <c r="D323" s="2"/>
      <c r="E323" s="2"/>
      <c r="F323" s="2"/>
      <c r="G323" s="2">
        <v>64.0</v>
      </c>
      <c r="H323" s="2"/>
      <c r="I323" s="2"/>
      <c r="J323" s="2"/>
      <c r="K323" s="2"/>
      <c r="L323" s="2"/>
      <c r="M323" s="2"/>
      <c r="N323" s="2">
        <v>0.0</v>
      </c>
      <c r="O323" s="2">
        <v>64.0</v>
      </c>
      <c r="P323" s="2"/>
      <c r="Q323" s="2"/>
      <c r="R323" s="2"/>
      <c r="S323" s="2"/>
    </row>
    <row r="324">
      <c r="A324" s="2" t="s">
        <v>48</v>
      </c>
      <c r="B324" s="2"/>
      <c r="C324" s="2"/>
      <c r="D324" s="2"/>
      <c r="E324" s="2"/>
      <c r="F324" s="2"/>
      <c r="G324" s="2">
        <v>64.0</v>
      </c>
      <c r="H324" s="2"/>
      <c r="I324" s="2"/>
      <c r="J324" s="2"/>
      <c r="K324" s="2"/>
      <c r="L324" s="2"/>
      <c r="M324" s="2"/>
      <c r="N324" s="2"/>
      <c r="O324" s="2">
        <v>64.0</v>
      </c>
      <c r="P324" s="2"/>
      <c r="Q324" s="2"/>
      <c r="R324" s="2"/>
      <c r="S324" s="2"/>
    </row>
    <row r="325">
      <c r="A325" s="2" t="s">
        <v>49</v>
      </c>
      <c r="B325" s="2"/>
      <c r="C325" s="2"/>
      <c r="D325" s="2"/>
      <c r="E325" s="2"/>
      <c r="F325" s="2"/>
      <c r="G325" s="2">
        <v>64.0</v>
      </c>
      <c r="H325" s="2"/>
      <c r="I325" s="2"/>
      <c r="J325" s="2"/>
      <c r="K325" s="2"/>
      <c r="L325" s="2"/>
      <c r="M325" s="2"/>
      <c r="N325" s="2">
        <v>0.0</v>
      </c>
      <c r="O325" s="2">
        <v>68.0</v>
      </c>
      <c r="P325" s="2"/>
      <c r="Q325" s="2"/>
      <c r="R325" s="2"/>
      <c r="S325" s="2"/>
    </row>
    <row r="326">
      <c r="A326" s="2" t="s">
        <v>50</v>
      </c>
      <c r="B326" s="2"/>
      <c r="C326" s="2"/>
      <c r="D326" s="2"/>
      <c r="E326" s="2"/>
      <c r="F326" s="2"/>
      <c r="G326" s="2">
        <v>64.0</v>
      </c>
      <c r="H326" s="2"/>
      <c r="I326" s="2"/>
      <c r="J326" s="2"/>
      <c r="K326" s="2"/>
      <c r="L326" s="2"/>
      <c r="M326" s="2"/>
      <c r="N326" s="2">
        <v>0.0</v>
      </c>
      <c r="O326" s="2">
        <v>72.0</v>
      </c>
      <c r="P326" s="2"/>
      <c r="Q326" s="2"/>
      <c r="R326" s="2"/>
      <c r="S326" s="2"/>
    </row>
    <row r="327">
      <c r="A327" s="2" t="s">
        <v>51</v>
      </c>
      <c r="B327" s="2"/>
      <c r="C327" s="2"/>
      <c r="D327" s="2"/>
      <c r="E327" s="2"/>
      <c r="F327" s="2"/>
      <c r="G327" s="2">
        <v>64.0</v>
      </c>
      <c r="H327" s="2"/>
      <c r="I327" s="2"/>
      <c r="J327" s="2"/>
      <c r="K327" s="2"/>
      <c r="L327" s="2"/>
      <c r="M327" s="2"/>
      <c r="N327" s="2">
        <v>0.0</v>
      </c>
      <c r="O327" s="2">
        <v>76.0</v>
      </c>
      <c r="P327" s="2"/>
      <c r="Q327" s="2"/>
      <c r="R327" s="2"/>
      <c r="S327" s="2"/>
    </row>
    <row r="328">
      <c r="A328" s="2" t="s">
        <v>52</v>
      </c>
      <c r="B328" s="2"/>
      <c r="C328" s="2"/>
      <c r="D328" s="2"/>
      <c r="E328" s="2"/>
      <c r="F328" s="2"/>
      <c r="G328" s="2">
        <v>64.0</v>
      </c>
      <c r="H328" s="2"/>
      <c r="I328" s="2"/>
      <c r="J328" s="2"/>
      <c r="K328" s="2"/>
      <c r="L328" s="2"/>
      <c r="M328" s="2"/>
      <c r="N328" s="2"/>
      <c r="O328" s="2">
        <v>76.0</v>
      </c>
      <c r="P328" s="2"/>
      <c r="Q328" s="2"/>
      <c r="R328" s="2"/>
      <c r="S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1"/>
      <c r="B331" s="2" t="str">
        <f>B1</f>
        <v>Cupertino A</v>
      </c>
      <c r="D331" s="2" t="str">
        <f>D1</f>
        <v>Cupertino B</v>
      </c>
      <c r="F331" s="2" t="str">
        <f>F1</f>
        <v>Mira Loma A</v>
      </c>
      <c r="H331" s="2" t="str">
        <f>H1</f>
        <v>Mira Loma B</v>
      </c>
      <c r="J331" s="2" t="str">
        <f>J1</f>
        <v>Palo Alto A</v>
      </c>
      <c r="L331" s="2" t="str">
        <f>L1</f>
        <v>Palo Alto B</v>
      </c>
      <c r="N331" s="2" t="str">
        <f>N1</f>
        <v>Saratoga A</v>
      </c>
      <c r="P331" s="2" t="str">
        <f>P1</f>
        <v>Saratoga B</v>
      </c>
      <c r="R331" s="2" t="str">
        <f>R1</f>
        <v>Stanford OHS</v>
      </c>
    </row>
    <row r="332">
      <c r="A332" s="1" t="s">
        <v>63</v>
      </c>
      <c r="B332" s="2">
        <f>average(C28,C58,C88,C118,C148,C178,C208,C238,C268,C298,C328)</f>
        <v>104.25</v>
      </c>
      <c r="D332" s="2">
        <f>average(E28,E58,E88,E118,E148,E178,E208,E238,E268,E298,E328)</f>
        <v>37.5</v>
      </c>
      <c r="F332" s="2">
        <f>average(G28,G58,G88,G118,G148,G178,G208,G238,G268,G298,G328)</f>
        <v>155.8</v>
      </c>
      <c r="H332" s="2">
        <f>average(I28,I58,I88,I118,I148,I178,I208,I238,I268,I298,I328)</f>
        <v>105.25</v>
      </c>
      <c r="J332" s="2">
        <f>average(K28,K58,K88,K118,K148,K178,K208,K238,K268,K298,K328)</f>
        <v>81.25</v>
      </c>
      <c r="L332" s="2">
        <f>average(M28,M58,M88,M118,M148,M178,M208,M238,M268,M298,M328)</f>
        <v>33.5</v>
      </c>
      <c r="N332" s="2">
        <f>average(O28,O58,O88,O118,O148,O178,O208,O238,O268,O298,O328)</f>
        <v>126</v>
      </c>
      <c r="P332" s="2">
        <f>average(Q28,Q58,Q88,Q118,Q148,Q178,Q208,Q238,Q268,Q298,Q328)</f>
        <v>32.75</v>
      </c>
      <c r="R332" s="2">
        <f>average(S28,S58,S88,S118,S148,S178,S208,S238,S268,S298,S328)</f>
        <v>50.5</v>
      </c>
    </row>
    <row r="333">
      <c r="A333" s="1" t="s">
        <v>58</v>
      </c>
      <c r="B333" s="1">
        <v>8.0</v>
      </c>
      <c r="D333" s="1">
        <v>8.0</v>
      </c>
      <c r="F333" s="1">
        <v>8.0</v>
      </c>
      <c r="H333" s="1">
        <v>8.0</v>
      </c>
      <c r="J333" s="1">
        <v>8.0</v>
      </c>
      <c r="L333" s="1">
        <v>8.0</v>
      </c>
      <c r="N333" s="1">
        <v>8.0</v>
      </c>
      <c r="P333" s="1">
        <v>8.0</v>
      </c>
      <c r="R333" s="1">
        <v>8.0</v>
      </c>
    </row>
    <row r="334">
      <c r="A334" s="1" t="s">
        <v>16</v>
      </c>
      <c r="B334" s="2">
        <f>countif(B1:B330,"10")</f>
        <v>45</v>
      </c>
      <c r="D334" s="2">
        <f>countif(D1:D330,"10")</f>
        <v>12</v>
      </c>
      <c r="F334" s="2">
        <f>countif(F1:F330,"10")</f>
        <v>99</v>
      </c>
      <c r="H334" s="2">
        <f>countif(H1:H330,"10")</f>
        <v>49</v>
      </c>
      <c r="J334" s="2">
        <f>countif(J1:J330,"10")</f>
        <v>33</v>
      </c>
      <c r="L334" s="2">
        <f>countif(L1:L330,"10")</f>
        <v>10</v>
      </c>
      <c r="N334" s="2">
        <f>countif(N1:N330,"10")</f>
        <v>72</v>
      </c>
      <c r="P334" s="2">
        <f>countif(P1:P330,"10")</f>
        <v>7</v>
      </c>
      <c r="R334" s="2">
        <f>countif(R1:R330,"10")</f>
        <v>22</v>
      </c>
    </row>
    <row r="335">
      <c r="A335" s="1" t="s">
        <v>83</v>
      </c>
      <c r="B335" s="2">
        <f>countif(B1:B330,"10")/(countif(B1:B330,"10")+countif(B1:B330,"0"))</f>
        <v>0.5294117647</v>
      </c>
      <c r="D335" s="2">
        <f>countif(D1:D330,"10")/(countif(D1:D330,"10")+countif(D1:D330,"0"))</f>
        <v>0.3529411765</v>
      </c>
      <c r="F335" s="2">
        <f>countif(F1:F330,"10")/(countif(F1:F330,"10")+countif(F1:F330,"0"))</f>
        <v>0.7443609023</v>
      </c>
      <c r="H335" s="2">
        <f>countif(H1:H330,"10")/(countif(H1:H330,"10")+countif(H1:H330,"0"))</f>
        <v>0.5903614458</v>
      </c>
      <c r="J335" s="2">
        <f>countif(J1:J330,"10")/(countif(J1:J330,"10")+countif(J1:J330,"0"))</f>
        <v>0.4925373134</v>
      </c>
      <c r="L335" s="2">
        <f>countif(L1:L330,"10")/(countif(L1:L330,"10")+countif(L1:L330,"0"))</f>
        <v>0.3333333333</v>
      </c>
      <c r="N335" s="2">
        <f>countif(N1:N330,"10")/(countif(N1:N330,"10")+countif(N1:N330,"0"))</f>
        <v>0.6206896552</v>
      </c>
      <c r="P335" s="2">
        <f>countif(P1:P330,"10")/(countif(P1:P330,"10")+countif(P1:P330,"0"))</f>
        <v>0.175</v>
      </c>
      <c r="R335" s="2">
        <f>countif(R1:R330,"10")/(countif(R1:R330,"10")+countif(R1:R330,"0"))</f>
        <v>0.55</v>
      </c>
    </row>
    <row r="336">
      <c r="A336" s="1" t="s">
        <v>84</v>
      </c>
      <c r="B336" s="2">
        <f>countifs(B$2:B$330,"10",$A$2:$A$330,"X")</f>
        <v>10</v>
      </c>
      <c r="D336" s="2">
        <f>countifs(D$2:D$330,"10",$A$2:$A$330,"X")</f>
        <v>1</v>
      </c>
      <c r="F336" s="2">
        <f>countifs(F$2:F$330,"10",$A$2:$A$330,"X")</f>
        <v>18</v>
      </c>
      <c r="H336" s="2">
        <f>countifs(H$2:H$330,"10",$A$2:$A$330,"X")</f>
        <v>3</v>
      </c>
      <c r="J336" s="2">
        <f>countifs(J$2:J$330,"10",$A$2:$A$330,"X")</f>
        <v>10</v>
      </c>
      <c r="L336" s="2">
        <f>countifs(L$2:L$330,"10",$A$2:$A$330,"X")</f>
        <v>1</v>
      </c>
      <c r="N336" s="2">
        <f>countifs(N$2:N$330,"10",$A$2:$A$330,"X")</f>
        <v>14</v>
      </c>
      <c r="P336" s="2">
        <f>countifs(P$2:P$330,"10",$A$2:$A$330,"X")</f>
        <v>0</v>
      </c>
      <c r="R336" s="2">
        <f>countifs(R$2:R$330,"10",$A$2:$A$330,"X")</f>
        <v>3</v>
      </c>
    </row>
    <row r="337">
      <c r="A337" s="1" t="s">
        <v>85</v>
      </c>
      <c r="B337" s="2">
        <f>countifs(B$1:B$330,"10",$A$1:$A$330,"X")/(countifs(B$1:B$330,"10",$A$1:$A$330,"X")+COUNTIFS(B$1:B$330,"0",$A$1:$A$330,"X"))</f>
        <v>0.625</v>
      </c>
      <c r="D337" s="2">
        <f>countifs(D$1:D$330,"10",$A$1:$A$330,"X")/(countifs(D$1:D$330,"10",$A$1:$A$330,"X")+COUNTIFS(D$1:D$330,"0",$A$1:$A$330,"X"))</f>
        <v>0.3333333333</v>
      </c>
      <c r="F337" s="2">
        <f>countifs(F$1:F$330,"10",$A$1:$A$330,"X")/(countifs(F$1:F$330,"10",$A$1:$A$330,"X")+COUNTIFS(F$1:F$330,"0",$A$1:$A$330,"X"))</f>
        <v>0.8181818182</v>
      </c>
      <c r="H337" s="2">
        <f>countifs(H$1:H$330,"10",$A$1:$A$330,"X")/(countifs(H$1:H$330,"10",$A$1:$A$330,"X")+COUNTIFS(H$1:H$330,"0",$A$1:$A$330,"X"))</f>
        <v>0.5</v>
      </c>
      <c r="J337" s="2">
        <f>countifs(J$1:J$330,"10",$A$1:$A$330,"X")/(countifs(J$1:J$330,"10",$A$1:$A$330,"X")+COUNTIFS(J$1:J$330,"0",$A$1:$A$330,"X"))</f>
        <v>0.625</v>
      </c>
      <c r="L337" s="2">
        <f>countifs(L$1:L$330,"10",$A$1:$A$330,"X")/(countifs(L$1:L$330,"10",$A$1:$A$330,"X")+COUNTIFS(L$1:L$330,"0",$A$1:$A$330,"X"))</f>
        <v>0.3333333333</v>
      </c>
      <c r="N337" s="2">
        <f>countifs(N$1:N$330,"10",$A$1:$A$330,"X")/(countifs(N$1:N$330,"10",$A$1:$A$330,"X")+COUNTIFS(N$1:N$330,"0",$A$1:$A$330,"X"))</f>
        <v>0.6086956522</v>
      </c>
      <c r="P337" s="2">
        <f>countifs(P$1:P$330,"10",$A$1:$A$330,"X")/(countifs(P$1:P$330,"10",$A$1:$A$330,"X")+COUNTIFS(P$1:P$330,"0",$A$1:$A$330,"X"))</f>
        <v>0</v>
      </c>
      <c r="R337" s="2">
        <f>countifs(R$1:R$330,"10",$A$1:$A$330,"X")/(countifs(R$1:R$330,"10",$A$1:$A$330,"X")+COUNTIFS(R$1:R$330,"0",$A$1:$A$330,"X"))</f>
        <v>0.4285714286</v>
      </c>
    </row>
    <row r="338">
      <c r="A338" s="1" t="s">
        <v>86</v>
      </c>
      <c r="B338" s="2">
        <f>countifs(B$2:B$330,"10",$A$2:$A$330,"M")</f>
        <v>8</v>
      </c>
      <c r="D338" s="2">
        <f>countifs(D$2:D$330,"10",$A$2:$A$330,"M")</f>
        <v>3</v>
      </c>
      <c r="F338" s="2">
        <f>countifs(F$2:F$330,"10",$A$2:$A$330,"M")</f>
        <v>10</v>
      </c>
      <c r="H338" s="2">
        <f>countifs(H$2:H$330,"10",$A$2:$A$330,"M")</f>
        <v>6</v>
      </c>
      <c r="J338" s="2">
        <f>countifs(J$2:J$330,"10",$A$2:$A$330,"M")</f>
        <v>7</v>
      </c>
      <c r="L338" s="2">
        <f>countifs(L$2:L$330,"10",$A$2:$A$330,"M")</f>
        <v>1</v>
      </c>
      <c r="N338" s="2">
        <f>countifs(N$2:N$330,"10",$A$2:$A$330,"M")</f>
        <v>21</v>
      </c>
      <c r="P338" s="2">
        <f>countifs(P$2:P$330,"10",$A$2:$A$330,"M")</f>
        <v>4</v>
      </c>
      <c r="R338" s="2">
        <f>countifs(R$2:R$330,"10",$A$2:$A$330,"M")</f>
        <v>3</v>
      </c>
    </row>
    <row r="339">
      <c r="A339" s="1" t="s">
        <v>87</v>
      </c>
      <c r="B339" s="2">
        <f>countifs(B$1:B$330,"10",$A$1:$A$330,"M")/(countifs(B$1:B$330,"10",$A$1:$A$330,"M")+COUNTIFS(B$1:B$330,"0",$A$1:$A$330,"M"))</f>
        <v>0.6666666667</v>
      </c>
      <c r="D339" s="2">
        <f>countifs(D$1:D$330,"10",$A$1:$A$330,"M")/(countifs(D$1:D$330,"10",$A$1:$A$330,"M")+COUNTIFS(D$1:D$330,"0",$A$1:$A$330,"M"))</f>
        <v>0.75</v>
      </c>
      <c r="F339" s="2">
        <f>countifs(F$1:F$330,"10",$A$1:$A$330,"M")/(countifs(F$1:F$330,"10",$A$1:$A$330,"M")+COUNTIFS(F$1:F$330,"0",$A$1:$A$330,"M"))</f>
        <v>0.9090909091</v>
      </c>
      <c r="H339" s="2">
        <f>countifs(H$1:H$330,"10",$A$1:$A$330,"M")/(countifs(H$1:H$330,"10",$A$1:$A$330,"M")+COUNTIFS(H$1:H$330,"0",$A$1:$A$330,"M"))</f>
        <v>0.4615384615</v>
      </c>
      <c r="J339" s="2">
        <f>countifs(J$1:J$330,"10",$A$1:$A$330,"M")/(countifs(J$1:J$330,"10",$A$1:$A$330,"M")+COUNTIFS(J$1:J$330,"0",$A$1:$A$330,"M"))</f>
        <v>0.6363636364</v>
      </c>
      <c r="L339" s="2">
        <f>countifs(L$1:L$330,"10",$A$1:$A$330,"M")/(countifs(L$1:L$330,"10",$A$1:$A$330,"M")+COUNTIFS(L$1:L$330,"0",$A$1:$A$330,"M"))</f>
        <v>0.25</v>
      </c>
      <c r="N339" s="2">
        <f>countifs(N$1:N$330,"10",$A$1:$A$330,"M")/(countifs(N$1:N$330,"10",$A$1:$A$330,"M")+COUNTIFS(N$1:N$330,"0",$A$1:$A$330,"M"))</f>
        <v>0.875</v>
      </c>
      <c r="P339" s="2">
        <f>countifs(P$1:P$330,"10",$A$1:$A$330,"M")/(countifs(P$1:P$330,"10",$A$1:$A$330,"M")+COUNTIFS(P$1:P$330,"0",$A$1:$A$330,"M"))</f>
        <v>0.4444444444</v>
      </c>
      <c r="R339" s="2">
        <f>countifs(R$1:R$330,"10",$A$1:$A$330,"M")/(countifs(R$1:R$330,"10",$A$1:$A$330,"M")+COUNTIFS(R$1:R$330,"0",$A$1:$A$330,"M"))</f>
        <v>0.75</v>
      </c>
    </row>
    <row r="340">
      <c r="A340" s="1" t="s">
        <v>88</v>
      </c>
      <c r="B340" s="2">
        <f>countifs(B$2:B$330,"10",$A$2:$A$330,"C")</f>
        <v>5</v>
      </c>
      <c r="D340" s="2">
        <f>countifs(D$2:D$330,"10",$A$2:$A$330,"C")</f>
        <v>1</v>
      </c>
      <c r="F340" s="2">
        <f>countifs(F$2:F$330,"10",$A$2:$A$330,"C")</f>
        <v>21</v>
      </c>
      <c r="H340" s="2">
        <f>countifs(H$2:H$330,"10",$A$2:$A$330,"C")</f>
        <v>16</v>
      </c>
      <c r="J340" s="2">
        <f>countifs(J$2:J$330,"10",$A$2:$A$330,"C")</f>
        <v>5</v>
      </c>
      <c r="L340" s="2">
        <f>countifs(L$2:L$330,"10",$A$2:$A$330,"C")</f>
        <v>3</v>
      </c>
      <c r="N340" s="2">
        <f>countifs(N$2:N$330,"10",$A$2:$A$330,"C")</f>
        <v>5</v>
      </c>
      <c r="P340" s="2">
        <f>countifs(P$2:P$330,"10",$A$2:$A$330,"C")</f>
        <v>2</v>
      </c>
      <c r="R340" s="2">
        <f>countifs(R$2:R$330,"10",$A$2:$A$330,"C")</f>
        <v>4</v>
      </c>
    </row>
    <row r="341">
      <c r="A341" s="1" t="s">
        <v>89</v>
      </c>
      <c r="B341" s="2">
        <f>countifs(B$1:B$330,"10",$A$1:$A$330,"C")/(countifs(B$1:B$330,"10",$A$1:$A$330,"C")+COUNTIFS(B$1:B$330,"0",$A$1:$A$330,"C"))</f>
        <v>0.4166666667</v>
      </c>
      <c r="D341" s="2">
        <f>countifs(D$1:D$330,"10",$A$1:$A$330,"C")/(countifs(D$1:D$330,"10",$A$1:$A$330,"C")+COUNTIFS(D$1:D$330,"0",$A$1:$A$330,"C"))</f>
        <v>0.125</v>
      </c>
      <c r="F341" s="2">
        <f>countifs(F$1:F$330,"10",$A$1:$A$330,"C")/(countifs(F$1:F$330,"10",$A$1:$A$330,"C")+COUNTIFS(F$1:F$330,"0",$A$1:$A$330,"C"))</f>
        <v>0.75</v>
      </c>
      <c r="H341" s="2">
        <f>countifs(H$1:H$330,"10",$A$1:$A$330,"C")/(countifs(H$1:H$330,"10",$A$1:$A$330,"C")+COUNTIFS(H$1:H$330,"0",$A$1:$A$330,"C"))</f>
        <v>0.8421052632</v>
      </c>
      <c r="J341" s="2">
        <f>countifs(J$1:J$330,"10",$A$1:$A$330,"C")/(countifs(J$1:J$330,"10",$A$1:$A$330,"C")+COUNTIFS(J$1:J$330,"0",$A$1:$A$330,"C"))</f>
        <v>0.4166666667</v>
      </c>
      <c r="L341" s="2">
        <f>countifs(L$1:L$330,"10",$A$1:$A$330,"C")/(countifs(L$1:L$330,"10",$A$1:$A$330,"C")+COUNTIFS(L$1:L$330,"0",$A$1:$A$330,"C"))</f>
        <v>0.5</v>
      </c>
      <c r="N341" s="2">
        <f>countifs(N$1:N$330,"10",$A$1:$A$330,"C")/(countifs(N$1:N$330,"10",$A$1:$A$330,"C")+COUNTIFS(N$1:N$330,"0",$A$1:$A$330,"C"))</f>
        <v>0.3571428571</v>
      </c>
      <c r="P341" s="2">
        <f>countifs(P$1:P$330,"10",$A$1:$A$330,"C")/(countifs(P$1:P$330,"10",$A$1:$A$330,"C")+COUNTIFS(P$1:P$330,"0",$A$1:$A$330,"C"))</f>
        <v>0.25</v>
      </c>
      <c r="R341" s="2">
        <f>countifs(R$1:R$330,"10",$A$1:$A$330,"C")/(countifs(R$1:R$330,"10",$A$1:$A$330,"C")+COUNTIFS(R$1:R$330,"0",$A$1:$A$330,"C"))</f>
        <v>0.4444444444</v>
      </c>
    </row>
    <row r="342">
      <c r="A342" s="1" t="s">
        <v>90</v>
      </c>
      <c r="B342" s="2">
        <f>countifs(B$2:B$330,"10",$A$2:$A$330,"E")</f>
        <v>7</v>
      </c>
      <c r="D342" s="2">
        <f>countifs(D$2:D$330,"10",$A$2:$A$330,"E")</f>
        <v>4</v>
      </c>
      <c r="F342" s="2">
        <f>countifs(F$2:F$330,"10",$A$2:$A$330,"E")</f>
        <v>19</v>
      </c>
      <c r="H342" s="2">
        <f>countifs(H$2:H$330,"10",$A$2:$A$330,"E")</f>
        <v>5</v>
      </c>
      <c r="J342" s="2">
        <f>countifs(J$2:J$330,"10",$A$2:$A$330,"E")</f>
        <v>3</v>
      </c>
      <c r="L342" s="2">
        <f>countifs(L$2:L$330,"10",$A$2:$A$330,"E")</f>
        <v>5</v>
      </c>
      <c r="N342" s="2">
        <f>countifs(N$2:N$330,"10",$A$2:$A$330,"E")</f>
        <v>11</v>
      </c>
      <c r="P342" s="2">
        <f>countifs(P$2:P$330,"10",$A$2:$A$330,"E")</f>
        <v>0</v>
      </c>
      <c r="R342" s="2">
        <f>countifs(R$2:R$330,"10",$A$2:$A$330,"E")</f>
        <v>3</v>
      </c>
    </row>
    <row r="343">
      <c r="A343" s="1" t="s">
        <v>91</v>
      </c>
      <c r="B343" s="2">
        <f>countifs(B$1:B$330,"10",$A$1:$A$330,"E")/(countifs(B$1:B$330,"10",$A$1:$A$330,"E")+COUNTIFS(B$1:B$330,"0",$A$1:$A$330,"E"))</f>
        <v>0.4666666667</v>
      </c>
      <c r="D343" s="2">
        <f>countifs(D$1:D$330,"10",$A$1:$A$330,"E")/(countifs(D$1:D$330,"10",$A$1:$A$330,"E")+COUNTIFS(D$1:D$330,"0",$A$1:$A$330,"E"))</f>
        <v>0.4444444444</v>
      </c>
      <c r="F343" s="2">
        <f>countifs(F$1:F$330,"10",$A$1:$A$330,"E")/(countifs(F$1:F$330,"10",$A$1:$A$330,"E")+COUNTIFS(F$1:F$330,"0",$A$1:$A$330,"E"))</f>
        <v>0.7037037037</v>
      </c>
      <c r="H343" s="2">
        <f>countifs(H$1:H$330,"10",$A$1:$A$330,"E")/(countifs(H$1:H$330,"10",$A$1:$A$330,"E")+COUNTIFS(H$1:H$330,"0",$A$1:$A$330,"E"))</f>
        <v>0.3846153846</v>
      </c>
      <c r="J343" s="2">
        <f>countifs(J$1:J$330,"10",$A$1:$A$330,"E")/(countifs(J$1:J$330,"10",$A$1:$A$330,"E")+COUNTIFS(J$1:J$330,"0",$A$1:$A$330,"E"))</f>
        <v>0.75</v>
      </c>
      <c r="L343" s="2">
        <f>countifs(L$1:L$330,"10",$A$1:$A$330,"E")/(countifs(L$1:L$330,"10",$A$1:$A$330,"E")+COUNTIFS(L$1:L$330,"0",$A$1:$A$330,"E"))</f>
        <v>0.7142857143</v>
      </c>
      <c r="N343" s="2">
        <f>countifs(N$1:N$330,"10",$A$1:$A$330,"E")/(countifs(N$1:N$330,"10",$A$1:$A$330,"E")+COUNTIFS(N$1:N$330,"0",$A$1:$A$330,"E"))</f>
        <v>0.5</v>
      </c>
      <c r="P343" s="2">
        <f>countifs(P$1:P$330,"10",$A$1:$A$330,"E")/(countifs(P$1:P$330,"10",$A$1:$A$330,"E")+COUNTIFS(P$1:P$330,"0",$A$1:$A$330,"E"))</f>
        <v>0</v>
      </c>
      <c r="R343" s="2">
        <f>countifs(R$1:R$330,"10",$A$1:$A$330,"E")/(countifs(R$1:R$330,"10",$A$1:$A$330,"E")+COUNTIFS(R$1:R$330,"0",$A$1:$A$330,"E"))</f>
        <v>0.6</v>
      </c>
    </row>
    <row r="344">
      <c r="A344" s="1" t="s">
        <v>92</v>
      </c>
      <c r="B344" s="2">
        <f>countifs(B$2:B$330,"10",$A$2:$A$330,"B")</f>
        <v>9</v>
      </c>
      <c r="D344" s="2">
        <f>countifs(D$2:D$330,"10",$A$2:$A$330,"B")</f>
        <v>2</v>
      </c>
      <c r="F344" s="2">
        <f>countifs(F$2:F$330,"10",$A$2:$A$330,"B")</f>
        <v>18</v>
      </c>
      <c r="H344" s="2">
        <f>countifs(H$2:H$330,"10",$A$2:$A$330,"B")</f>
        <v>6</v>
      </c>
      <c r="J344" s="2">
        <f>countifs(J$2:J$330,"10",$A$2:$A$330,"B")</f>
        <v>2</v>
      </c>
      <c r="L344" s="2">
        <f>countifs(L$2:L$330,"10",$A$2:$A$330,"B")</f>
        <v>0</v>
      </c>
      <c r="N344" s="2">
        <f>countifs(N$2:N$330,"10",$A$2:$A$330,"B")</f>
        <v>11</v>
      </c>
      <c r="P344" s="2">
        <f>countifs(P$2:P$330,"10",$A$2:$A$330,"B")</f>
        <v>0</v>
      </c>
      <c r="R344" s="2">
        <f>countifs(R$2:R$330,"10",$A$2:$A$330,"B")</f>
        <v>3</v>
      </c>
    </row>
    <row r="345">
      <c r="A345" s="1" t="s">
        <v>93</v>
      </c>
      <c r="B345" s="2">
        <f>countifs(B$1:B$330,"10",$A$1:$A$330,"B")/(countifs(B$1:B$330,"10",$A$1:$A$330,"B")+COUNTIFS(B$1:B$330,"0",$A$1:$A$330,"B"))</f>
        <v>0.5</v>
      </c>
      <c r="D345" s="2">
        <f>countifs(D$1:D$330,"10",$A$1:$A$330,"B")/(countifs(D$1:D$330,"10",$A$1:$A$330,"B")+COUNTIFS(D$1:D$330,"0",$A$1:$A$330,"B"))</f>
        <v>0.4</v>
      </c>
      <c r="F345" s="2">
        <f>countifs(F$1:F$330,"10",$A$1:$A$330,"B")/(countifs(F$1:F$330,"10",$A$1:$A$330,"B")+COUNTIFS(F$1:F$330,"0",$A$1:$A$330,"B"))</f>
        <v>0.72</v>
      </c>
      <c r="H345" s="2">
        <f>countifs(H$1:H$330,"10",$A$1:$A$330,"B")/(countifs(H$1:H$330,"10",$A$1:$A$330,"B")+COUNTIFS(H$1:H$330,"0",$A$1:$A$330,"B"))</f>
        <v>0.5</v>
      </c>
      <c r="J345" s="2">
        <f>countifs(J$1:J$330,"10",$A$1:$A$330,"B")/(countifs(J$1:J$330,"10",$A$1:$A$330,"B")+COUNTIFS(J$1:J$330,"0",$A$1:$A$330,"B"))</f>
        <v>0.1818181818</v>
      </c>
      <c r="L345" s="2">
        <f>countifs(L$1:L$330,"10",$A$1:$A$330,"B")/(countifs(L$1:L$330,"10",$A$1:$A$330,"B")+COUNTIFS(L$1:L$330,"0",$A$1:$A$330,"B"))</f>
        <v>0</v>
      </c>
      <c r="N345" s="2">
        <f>countifs(N$1:N$330,"10",$A$1:$A$330,"B")/(countifs(N$1:N$330,"10",$A$1:$A$330,"B")+COUNTIFS(N$1:N$330,"0",$A$1:$A$330,"B"))</f>
        <v>0.6470588235</v>
      </c>
      <c r="P345" s="2">
        <f>countifs(P$1:P$330,"10",$A$1:$A$330,"B")/(countifs(P$1:P$330,"10",$A$1:$A$330,"B")+COUNTIFS(P$1:P$330,"0",$A$1:$A$330,"B"))</f>
        <v>0</v>
      </c>
      <c r="R345" s="2">
        <f>countifs(R$1:R$330,"10",$A$1:$A$330,"B")/(countifs(R$1:R$330,"10",$A$1:$A$330,"B")+COUNTIFS(R$1:R$330,"0",$A$1:$A$330,"B"))</f>
        <v>0.5</v>
      </c>
    </row>
    <row r="346">
      <c r="A346" s="1" t="s">
        <v>94</v>
      </c>
      <c r="B346" s="2">
        <f>countifs(B$2:B$330,"10",$A$2:$A$330,"P")</f>
        <v>6</v>
      </c>
      <c r="D346" s="2">
        <f>countifs(D$2:D$330,"10",$A$2:$A$330,"P")</f>
        <v>1</v>
      </c>
      <c r="F346" s="2">
        <f>countifs(F$2:F$330,"10",$A$2:$A$330,"P")</f>
        <v>13</v>
      </c>
      <c r="H346" s="2">
        <f>countifs(H$2:H$330,"10",$A$2:$A$330,"P")</f>
        <v>13</v>
      </c>
      <c r="J346" s="2">
        <f>countifs(J$2:J$330,"10",$A$2:$A$330,"P")</f>
        <v>6</v>
      </c>
      <c r="L346" s="2">
        <f>countifs(L$2:L$330,"10",$A$2:$A$330,"P")</f>
        <v>0</v>
      </c>
      <c r="N346" s="2">
        <f>countifs(N$2:N$330,"10",$A$2:$A$330,"P")</f>
        <v>10</v>
      </c>
      <c r="P346" s="2">
        <f>countifs(P$2:P$330,"10",$A$2:$A$330,"P")</f>
        <v>1</v>
      </c>
      <c r="R346" s="2">
        <f>countifs(R$2:R$330,"10",$A$2:$A$330,"P")</f>
        <v>6</v>
      </c>
    </row>
    <row r="347">
      <c r="A347" s="1" t="s">
        <v>95</v>
      </c>
      <c r="B347" s="2">
        <f>countifs(B$1:B$330,"10",$A$1:$A$330,"P")/(countifs(B$1:B$330,"10",$A$1:$A$330,"P")+COUNTIFS(B$1:B$330,"0",$A$1:$A$330,"P"))</f>
        <v>0.5</v>
      </c>
      <c r="D347" s="2">
        <f>countifs(D$1:D$330,"10",$A$1:$A$330,"P")/(countifs(D$1:D$330,"10",$A$1:$A$330,"P")+COUNTIFS(D$1:D$330,"0",$A$1:$A$330,"P"))</f>
        <v>0.2</v>
      </c>
      <c r="F347" s="2">
        <f>countifs(F$1:F$330,"10",$A$1:$A$330,"P")/(countifs(F$1:F$330,"10",$A$1:$A$330,"P")+COUNTIFS(F$1:F$330,"0",$A$1:$A$330,"P"))</f>
        <v>0.65</v>
      </c>
      <c r="H347" s="2">
        <f>countifs(H$1:H$330,"10",$A$1:$A$330,"P")/(countifs(H$1:H$330,"10",$A$1:$A$330,"P")+COUNTIFS(H$1:H$330,"0",$A$1:$A$330,"P"))</f>
        <v>0.65</v>
      </c>
      <c r="J347" s="2">
        <f>countifs(J$1:J$330,"10",$A$1:$A$330,"P")/(countifs(J$1:J$330,"10",$A$1:$A$330,"P")+COUNTIFS(J$1:J$330,"0",$A$1:$A$330,"P"))</f>
        <v>0.4615384615</v>
      </c>
      <c r="L347" s="2">
        <f>countifs(L$1:L$330,"10",$A$1:$A$330,"P")/(countifs(L$1:L$330,"10",$A$1:$A$330,"P")+COUNTIFS(L$1:L$330,"0",$A$1:$A$330,"P"))</f>
        <v>0</v>
      </c>
      <c r="N347" s="2">
        <f>countifs(N$1:N$330,"10",$A$1:$A$330,"P")/(countifs(N$1:N$330,"10",$A$1:$A$330,"P")+COUNTIFS(N$1:N$330,"0",$A$1:$A$330,"P"))</f>
        <v>0.625</v>
      </c>
      <c r="P347" s="2">
        <f>countifs(P$1:P$330,"10",$A$1:$A$330,"P")/(countifs(P$1:P$330,"10",$A$1:$A$330,"P")+COUNTIFS(P$1:P$330,"0",$A$1:$A$330,"P"))</f>
        <v>0.1428571429</v>
      </c>
      <c r="R347" s="2">
        <f>countifs(R$1:R$330,"10",$A$1:$A$330,"P")/(countifs(R$1:R$330,"10",$A$1:$A$330,"P")+COUNTIFS(R$1:R$330,"0",$A$1:$A$330,"P"))</f>
        <v>0.6666666667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8" width="7.63"/>
    <col customWidth="1" hidden="1" min="9" max="10" width="7.63"/>
    <col customWidth="1" min="11" max="11" width="7.63"/>
    <col customWidth="1" hidden="1" min="12" max="13" width="7.63"/>
    <col customWidth="1" min="14" max="14" width="7.63"/>
    <col customWidth="1" hidden="1" min="15" max="16" width="7.63"/>
    <col customWidth="1" min="17" max="17" width="7.63"/>
    <col customWidth="1" hidden="1" min="18" max="19" width="7.63"/>
    <col customWidth="1" min="20" max="20" width="7.63"/>
    <col customWidth="1" hidden="1" min="21" max="22" width="7.63"/>
    <col customWidth="1" min="23" max="23" width="7.63"/>
    <col customWidth="1" hidden="1" min="24" max="25" width="7.63"/>
    <col customWidth="1" min="26" max="26" width="7.63"/>
  </cols>
  <sheetData>
    <row r="1">
      <c r="A1" s="8" t="s">
        <v>56</v>
      </c>
      <c r="B1" s="8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10" t="s">
        <v>63</v>
      </c>
      <c r="I1" s="9" t="s">
        <v>64</v>
      </c>
      <c r="J1" s="9" t="s">
        <v>65</v>
      </c>
      <c r="K1" s="8" t="s">
        <v>66</v>
      </c>
      <c r="L1" s="9" t="s">
        <v>67</v>
      </c>
      <c r="M1" s="9" t="s">
        <v>68</v>
      </c>
      <c r="N1" s="8" t="s">
        <v>69</v>
      </c>
      <c r="O1" s="9" t="s">
        <v>70</v>
      </c>
      <c r="P1" s="9" t="s">
        <v>71</v>
      </c>
      <c r="Q1" s="8" t="s">
        <v>72</v>
      </c>
      <c r="R1" s="9" t="s">
        <v>73</v>
      </c>
      <c r="S1" s="9" t="s">
        <v>74</v>
      </c>
      <c r="T1" s="8" t="s">
        <v>75</v>
      </c>
      <c r="U1" s="9" t="s">
        <v>76</v>
      </c>
      <c r="V1" s="9" t="s">
        <v>77</v>
      </c>
      <c r="W1" s="8" t="s">
        <v>78</v>
      </c>
      <c r="X1" s="9" t="s">
        <v>79</v>
      </c>
      <c r="Y1" s="9" t="s">
        <v>80</v>
      </c>
      <c r="Z1" s="8" t="s">
        <v>81</v>
      </c>
    </row>
    <row r="2">
      <c r="A2" s="9" t="s">
        <v>18</v>
      </c>
      <c r="B2" s="11" t="s">
        <v>2</v>
      </c>
      <c r="C2" s="9">
        <v>10.0</v>
      </c>
      <c r="D2" s="9">
        <v>73.0</v>
      </c>
      <c r="E2" s="9">
        <v>23.0</v>
      </c>
      <c r="F2" s="12">
        <v>3.1739130434782608</v>
      </c>
      <c r="G2" s="9">
        <v>200.0</v>
      </c>
      <c r="H2" s="10">
        <v>20.0</v>
      </c>
      <c r="I2" s="9">
        <v>14.0</v>
      </c>
      <c r="J2" s="9">
        <v>6.0</v>
      </c>
      <c r="K2" s="9">
        <v>3.2</v>
      </c>
      <c r="L2" s="9">
        <v>7.0</v>
      </c>
      <c r="M2" s="9">
        <v>1.0</v>
      </c>
      <c r="N2" s="9">
        <v>2.4</v>
      </c>
      <c r="O2" s="9">
        <v>7.0</v>
      </c>
      <c r="P2" s="9">
        <v>3.0</v>
      </c>
      <c r="Q2" s="9">
        <v>1.6</v>
      </c>
      <c r="R2" s="9">
        <v>11.0</v>
      </c>
      <c r="S2" s="9">
        <v>4.0</v>
      </c>
      <c r="T2" s="9">
        <v>2.8</v>
      </c>
      <c r="U2" s="9">
        <v>26.0</v>
      </c>
      <c r="V2" s="9">
        <v>6.0</v>
      </c>
      <c r="W2" s="9">
        <v>8.0</v>
      </c>
      <c r="X2" s="9">
        <v>8.0</v>
      </c>
      <c r="Y2" s="9">
        <v>3.0</v>
      </c>
      <c r="Z2" s="9">
        <v>2.0</v>
      </c>
    </row>
    <row r="3">
      <c r="A3" s="9" t="s">
        <v>14</v>
      </c>
      <c r="B3" s="11" t="s">
        <v>1</v>
      </c>
      <c r="C3" s="9">
        <v>8.0</v>
      </c>
      <c r="D3" s="9">
        <v>37.0</v>
      </c>
      <c r="E3" s="9">
        <v>5.0</v>
      </c>
      <c r="F3" s="9">
        <v>7.4</v>
      </c>
      <c r="G3" s="9">
        <v>128.0</v>
      </c>
      <c r="H3" s="10">
        <v>16.0</v>
      </c>
      <c r="I3" s="9">
        <v>6.0</v>
      </c>
      <c r="J3" s="9">
        <v>1.0</v>
      </c>
      <c r="K3" s="9">
        <v>2.5</v>
      </c>
      <c r="L3" s="9">
        <v>4.0</v>
      </c>
      <c r="M3" s="9">
        <v>1.0</v>
      </c>
      <c r="N3" s="9">
        <v>1.5</v>
      </c>
      <c r="O3" s="9">
        <v>9.0</v>
      </c>
      <c r="P3" s="9">
        <v>0.0</v>
      </c>
      <c r="Q3" s="9">
        <v>4.5</v>
      </c>
      <c r="R3" s="9">
        <v>4.0</v>
      </c>
      <c r="S3" s="9">
        <v>0.0</v>
      </c>
      <c r="T3" s="9">
        <v>2.0</v>
      </c>
      <c r="U3" s="9">
        <v>6.0</v>
      </c>
      <c r="V3" s="9">
        <v>0.0</v>
      </c>
      <c r="W3" s="9">
        <v>3.0</v>
      </c>
      <c r="X3" s="9">
        <v>8.0</v>
      </c>
      <c r="Y3" s="9">
        <v>3.0</v>
      </c>
      <c r="Z3" s="9">
        <v>2.5</v>
      </c>
    </row>
    <row r="4">
      <c r="A4" s="9" t="s">
        <v>44</v>
      </c>
      <c r="B4" s="11" t="s">
        <v>8</v>
      </c>
      <c r="C4" s="9">
        <v>8.0</v>
      </c>
      <c r="D4" s="9">
        <v>34.0</v>
      </c>
      <c r="E4" s="9">
        <v>3.0</v>
      </c>
      <c r="F4" s="12">
        <v>11.333333333333334</v>
      </c>
      <c r="G4" s="9">
        <v>124.0</v>
      </c>
      <c r="H4" s="10">
        <v>15.5</v>
      </c>
      <c r="I4" s="9">
        <v>5.0</v>
      </c>
      <c r="J4" s="9">
        <v>1.0</v>
      </c>
      <c r="K4" s="9">
        <v>2.0</v>
      </c>
      <c r="L4" s="9">
        <v>5.0</v>
      </c>
      <c r="M4" s="9">
        <v>1.0</v>
      </c>
      <c r="N4" s="9">
        <v>2.0</v>
      </c>
      <c r="O4" s="9">
        <v>4.0</v>
      </c>
      <c r="P4" s="9">
        <v>1.0</v>
      </c>
      <c r="Q4" s="9">
        <v>1.5</v>
      </c>
      <c r="R4" s="9">
        <v>11.0</v>
      </c>
      <c r="S4" s="9">
        <v>0.0</v>
      </c>
      <c r="T4" s="9">
        <v>5.5</v>
      </c>
      <c r="U4" s="9">
        <v>1.0</v>
      </c>
      <c r="V4" s="9">
        <v>0.0</v>
      </c>
      <c r="W4" s="9">
        <v>0.5</v>
      </c>
      <c r="X4" s="9">
        <v>8.0</v>
      </c>
      <c r="Y4" s="9">
        <v>0.0</v>
      </c>
      <c r="Z4" s="9">
        <v>4.0</v>
      </c>
    </row>
    <row r="5">
      <c r="A5" s="9" t="s">
        <v>43</v>
      </c>
      <c r="B5" s="11" t="s">
        <v>8</v>
      </c>
      <c r="C5" s="9">
        <v>8.0</v>
      </c>
      <c r="D5" s="9">
        <v>34.0</v>
      </c>
      <c r="E5" s="9">
        <v>5.0</v>
      </c>
      <c r="F5" s="9">
        <v>6.8</v>
      </c>
      <c r="G5" s="9">
        <v>116.0</v>
      </c>
      <c r="H5" s="10">
        <v>14.5</v>
      </c>
      <c r="I5" s="9">
        <v>9.0</v>
      </c>
      <c r="J5" s="9">
        <v>2.0</v>
      </c>
      <c r="K5" s="9">
        <v>3.5</v>
      </c>
      <c r="L5" s="9">
        <v>1.0</v>
      </c>
      <c r="M5" s="9">
        <v>0.0</v>
      </c>
      <c r="N5" s="9">
        <v>0.5</v>
      </c>
      <c r="O5" s="9">
        <v>5.0</v>
      </c>
      <c r="P5" s="9">
        <v>0.0</v>
      </c>
      <c r="Q5" s="9">
        <v>2.5</v>
      </c>
      <c r="R5" s="9">
        <v>4.0</v>
      </c>
      <c r="S5" s="9">
        <v>1.0</v>
      </c>
      <c r="T5" s="9">
        <v>1.5</v>
      </c>
      <c r="U5" s="9">
        <v>13.0</v>
      </c>
      <c r="V5" s="9">
        <v>2.0</v>
      </c>
      <c r="W5" s="9">
        <v>5.5</v>
      </c>
      <c r="X5" s="9">
        <v>2.0</v>
      </c>
      <c r="Y5" s="9">
        <v>0.0</v>
      </c>
      <c r="Z5" s="9">
        <v>1.0</v>
      </c>
    </row>
    <row r="6">
      <c r="A6" s="9" t="s">
        <v>32</v>
      </c>
      <c r="B6" s="11" t="s">
        <v>5</v>
      </c>
      <c r="C6" s="9">
        <v>10.0</v>
      </c>
      <c r="D6" s="9">
        <v>39.0</v>
      </c>
      <c r="E6" s="9">
        <v>3.0</v>
      </c>
      <c r="F6" s="9">
        <v>13.0</v>
      </c>
      <c r="G6" s="9">
        <v>144.0</v>
      </c>
      <c r="H6" s="10">
        <v>14.4</v>
      </c>
      <c r="I6" s="9">
        <v>5.0</v>
      </c>
      <c r="J6" s="9">
        <v>0.0</v>
      </c>
      <c r="K6" s="9">
        <v>2.0</v>
      </c>
      <c r="L6" s="9">
        <v>2.0</v>
      </c>
      <c r="M6" s="9">
        <v>0.0</v>
      </c>
      <c r="N6" s="9">
        <v>0.8</v>
      </c>
      <c r="O6" s="9">
        <v>1.0</v>
      </c>
      <c r="P6" s="9">
        <v>0.0</v>
      </c>
      <c r="Q6" s="9">
        <v>0.4</v>
      </c>
      <c r="R6" s="9">
        <v>21.0</v>
      </c>
      <c r="S6" s="9">
        <v>2.0</v>
      </c>
      <c r="T6" s="9">
        <v>7.6</v>
      </c>
      <c r="U6" s="9">
        <v>3.0</v>
      </c>
      <c r="V6" s="9">
        <v>0.0</v>
      </c>
      <c r="W6" s="9">
        <v>1.2</v>
      </c>
      <c r="X6" s="9">
        <v>7.0</v>
      </c>
      <c r="Y6" s="9">
        <v>1.0</v>
      </c>
      <c r="Z6" s="9">
        <v>2.4</v>
      </c>
    </row>
    <row r="7">
      <c r="A7" s="9" t="s">
        <v>27</v>
      </c>
      <c r="B7" s="11" t="s">
        <v>4</v>
      </c>
      <c r="C7" s="9">
        <v>8.0</v>
      </c>
      <c r="D7" s="9">
        <v>27.0</v>
      </c>
      <c r="E7" s="9">
        <v>4.0</v>
      </c>
      <c r="F7" s="12">
        <v>6.75</v>
      </c>
      <c r="G7" s="9">
        <v>92.0</v>
      </c>
      <c r="H7" s="10">
        <v>11.5</v>
      </c>
      <c r="I7" s="9">
        <v>5.0</v>
      </c>
      <c r="J7" s="9">
        <v>3.0</v>
      </c>
      <c r="K7" s="9">
        <v>1.0</v>
      </c>
      <c r="L7" s="9">
        <v>2.0</v>
      </c>
      <c r="M7" s="9">
        <v>0.0</v>
      </c>
      <c r="N7" s="9">
        <v>1.0</v>
      </c>
      <c r="O7" s="9">
        <v>10.0</v>
      </c>
      <c r="P7" s="9">
        <v>1.0</v>
      </c>
      <c r="Q7" s="9">
        <v>4.5</v>
      </c>
      <c r="R7" s="9">
        <v>3.0</v>
      </c>
      <c r="S7" s="9">
        <v>0.0</v>
      </c>
      <c r="T7" s="9">
        <v>1.5</v>
      </c>
      <c r="U7" s="9">
        <v>2.0</v>
      </c>
      <c r="V7" s="9">
        <v>0.0</v>
      </c>
      <c r="W7" s="9">
        <v>1.0</v>
      </c>
      <c r="X7" s="9">
        <v>5.0</v>
      </c>
      <c r="Y7" s="9">
        <v>0.0</v>
      </c>
      <c r="Z7" s="9">
        <v>2.5</v>
      </c>
    </row>
    <row r="8">
      <c r="A8" s="9" t="s">
        <v>24</v>
      </c>
      <c r="B8" s="11" t="s">
        <v>3</v>
      </c>
      <c r="C8" s="9">
        <v>8.0</v>
      </c>
      <c r="D8" s="9">
        <v>22.0</v>
      </c>
      <c r="E8" s="9">
        <v>0.0</v>
      </c>
      <c r="F8" s="9" t="s">
        <v>82</v>
      </c>
      <c r="G8" s="9">
        <v>88.0</v>
      </c>
      <c r="H8" s="10">
        <v>11.0</v>
      </c>
      <c r="I8" s="9">
        <v>2.0</v>
      </c>
      <c r="J8" s="9">
        <v>0.0</v>
      </c>
      <c r="K8" s="9">
        <v>1.0</v>
      </c>
      <c r="L8" s="9">
        <v>5.0</v>
      </c>
      <c r="M8" s="9">
        <v>0.0</v>
      </c>
      <c r="N8" s="9">
        <v>2.5</v>
      </c>
      <c r="O8" s="9">
        <v>2.0</v>
      </c>
      <c r="P8" s="9">
        <v>0.0</v>
      </c>
      <c r="Q8" s="9">
        <v>1.0</v>
      </c>
      <c r="R8" s="9">
        <v>3.0</v>
      </c>
      <c r="S8" s="9">
        <v>0.0</v>
      </c>
      <c r="T8" s="9">
        <v>1.5</v>
      </c>
      <c r="U8" s="9">
        <v>9.0</v>
      </c>
      <c r="V8" s="9">
        <v>0.0</v>
      </c>
      <c r="W8" s="9">
        <v>4.5</v>
      </c>
      <c r="X8" s="9">
        <v>1.0</v>
      </c>
      <c r="Y8" s="9">
        <v>0.0</v>
      </c>
      <c r="Z8" s="9">
        <v>0.5</v>
      </c>
    </row>
    <row r="9">
      <c r="A9" s="9" t="s">
        <v>26</v>
      </c>
      <c r="B9" s="11" t="s">
        <v>4</v>
      </c>
      <c r="C9" s="9">
        <v>8.0</v>
      </c>
      <c r="D9" s="9">
        <v>25.0</v>
      </c>
      <c r="E9" s="9">
        <v>3.0</v>
      </c>
      <c r="F9" s="12">
        <v>8.333333333333334</v>
      </c>
      <c r="G9" s="9">
        <v>88.0</v>
      </c>
      <c r="H9" s="10">
        <v>11.0</v>
      </c>
      <c r="I9" s="9">
        <v>0.0</v>
      </c>
      <c r="J9" s="9">
        <v>0.0</v>
      </c>
      <c r="K9" s="9">
        <v>0.0</v>
      </c>
      <c r="L9" s="9">
        <v>10.0</v>
      </c>
      <c r="M9" s="9">
        <v>1.0</v>
      </c>
      <c r="N9" s="9">
        <v>4.5</v>
      </c>
      <c r="O9" s="9">
        <v>0.0</v>
      </c>
      <c r="P9" s="9">
        <v>0.0</v>
      </c>
      <c r="Q9" s="9">
        <v>0.0</v>
      </c>
      <c r="R9" s="9">
        <v>1.0</v>
      </c>
      <c r="S9" s="9">
        <v>0.0</v>
      </c>
      <c r="T9" s="9">
        <v>0.5</v>
      </c>
      <c r="U9" s="9">
        <v>2.0</v>
      </c>
      <c r="V9" s="9">
        <v>0.0</v>
      </c>
      <c r="W9" s="9">
        <v>1.0</v>
      </c>
      <c r="X9" s="9">
        <v>12.0</v>
      </c>
      <c r="Y9" s="9">
        <v>2.0</v>
      </c>
      <c r="Z9" s="9">
        <v>5.0</v>
      </c>
    </row>
    <row r="10">
      <c r="A10" s="9" t="s">
        <v>31</v>
      </c>
      <c r="B10" s="11" t="s">
        <v>5</v>
      </c>
      <c r="C10" s="9">
        <v>10.0</v>
      </c>
      <c r="D10" s="9">
        <v>32.0</v>
      </c>
      <c r="E10" s="9">
        <v>5.0</v>
      </c>
      <c r="F10" s="9">
        <v>6.4</v>
      </c>
      <c r="G10" s="9">
        <v>108.0</v>
      </c>
      <c r="H10" s="10">
        <v>10.8</v>
      </c>
      <c r="I10" s="9">
        <v>5.0</v>
      </c>
      <c r="J10" s="9">
        <v>0.0</v>
      </c>
      <c r="K10" s="9">
        <v>2.0</v>
      </c>
      <c r="L10" s="9">
        <v>16.0</v>
      </c>
      <c r="M10" s="9">
        <v>3.0</v>
      </c>
      <c r="N10" s="9">
        <v>5.2</v>
      </c>
      <c r="O10" s="9">
        <v>7.0</v>
      </c>
      <c r="P10" s="9">
        <v>1.0</v>
      </c>
      <c r="Q10" s="9">
        <v>2.4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4.0</v>
      </c>
      <c r="Y10" s="9">
        <v>1.0</v>
      </c>
      <c r="Z10" s="9">
        <v>1.2</v>
      </c>
    </row>
    <row r="11">
      <c r="A11" s="9" t="s">
        <v>17</v>
      </c>
      <c r="B11" s="11" t="s">
        <v>2</v>
      </c>
      <c r="C11" s="9">
        <v>10.0</v>
      </c>
      <c r="D11" s="9">
        <v>33.0</v>
      </c>
      <c r="E11" s="9">
        <v>6.0</v>
      </c>
      <c r="F11" s="9">
        <v>5.5</v>
      </c>
      <c r="G11" s="9">
        <v>108.0</v>
      </c>
      <c r="H11" s="10">
        <v>10.8</v>
      </c>
      <c r="I11" s="9">
        <v>3.0</v>
      </c>
      <c r="J11" s="9">
        <v>0.0</v>
      </c>
      <c r="K11" s="9">
        <v>1.2</v>
      </c>
      <c r="L11" s="9">
        <v>3.0</v>
      </c>
      <c r="M11" s="9">
        <v>1.0</v>
      </c>
      <c r="N11" s="9">
        <v>0.8</v>
      </c>
      <c r="O11" s="9">
        <v>20.0</v>
      </c>
      <c r="P11" s="9">
        <v>4.0</v>
      </c>
      <c r="Q11" s="9">
        <v>6.4</v>
      </c>
      <c r="R11" s="9">
        <v>6.0</v>
      </c>
      <c r="S11" s="9">
        <v>1.0</v>
      </c>
      <c r="T11" s="9">
        <v>2.0</v>
      </c>
      <c r="U11" s="9">
        <v>0.0</v>
      </c>
      <c r="V11" s="9">
        <v>0.0</v>
      </c>
      <c r="W11" s="9">
        <v>0.0</v>
      </c>
      <c r="X11" s="9">
        <v>1.0</v>
      </c>
      <c r="Y11" s="9">
        <v>0.0</v>
      </c>
      <c r="Z11" s="9">
        <v>0.4</v>
      </c>
    </row>
    <row r="12">
      <c r="A12" s="9" t="s">
        <v>55</v>
      </c>
      <c r="B12" s="11" t="s">
        <v>6</v>
      </c>
      <c r="C12" s="9">
        <v>8.0</v>
      </c>
      <c r="D12" s="9">
        <v>26.0</v>
      </c>
      <c r="E12" s="9">
        <v>5.0</v>
      </c>
      <c r="F12" s="9">
        <v>5.2</v>
      </c>
      <c r="G12" s="9">
        <v>84.0</v>
      </c>
      <c r="H12" s="10">
        <v>10.5</v>
      </c>
      <c r="I12" s="9">
        <v>9.0</v>
      </c>
      <c r="J12" s="9">
        <v>0.0</v>
      </c>
      <c r="K12" s="9">
        <v>4.5</v>
      </c>
      <c r="L12" s="9">
        <v>2.0</v>
      </c>
      <c r="M12" s="9">
        <v>1.0</v>
      </c>
      <c r="N12" s="9">
        <v>0.5</v>
      </c>
      <c r="O12" s="9">
        <v>4.0</v>
      </c>
      <c r="P12" s="9">
        <v>0.0</v>
      </c>
      <c r="Q12" s="9">
        <v>2.0</v>
      </c>
      <c r="R12" s="9">
        <v>1.0</v>
      </c>
      <c r="S12" s="9">
        <v>0.0</v>
      </c>
      <c r="T12" s="9">
        <v>0.5</v>
      </c>
      <c r="U12" s="9">
        <v>9.0</v>
      </c>
      <c r="V12" s="9">
        <v>4.0</v>
      </c>
      <c r="W12" s="9">
        <v>2.5</v>
      </c>
      <c r="X12" s="9">
        <v>1.0</v>
      </c>
      <c r="Y12" s="9">
        <v>0.0</v>
      </c>
      <c r="Z12" s="9">
        <v>0.5</v>
      </c>
    </row>
    <row r="13">
      <c r="A13" s="9" t="s">
        <v>33</v>
      </c>
      <c r="B13" s="11" t="s">
        <v>5</v>
      </c>
      <c r="C13" s="9">
        <v>10.0</v>
      </c>
      <c r="D13" s="9">
        <v>27.0</v>
      </c>
      <c r="E13" s="9">
        <v>5.0</v>
      </c>
      <c r="F13" s="9">
        <v>5.4</v>
      </c>
      <c r="G13" s="9">
        <v>88.0</v>
      </c>
      <c r="H13" s="10">
        <v>8.8</v>
      </c>
      <c r="I13" s="9">
        <v>5.0</v>
      </c>
      <c r="J13" s="9">
        <v>1.0</v>
      </c>
      <c r="K13" s="9">
        <v>1.6</v>
      </c>
      <c r="L13" s="9">
        <v>6.0</v>
      </c>
      <c r="M13" s="9">
        <v>1.0</v>
      </c>
      <c r="N13" s="9">
        <v>2.0</v>
      </c>
      <c r="O13" s="9">
        <v>5.0</v>
      </c>
      <c r="P13" s="9">
        <v>0.0</v>
      </c>
      <c r="Q13" s="9">
        <v>2.0</v>
      </c>
      <c r="R13" s="9">
        <v>1.0</v>
      </c>
      <c r="S13" s="9">
        <v>1.0</v>
      </c>
      <c r="T13" s="9">
        <v>0.0</v>
      </c>
      <c r="U13" s="9">
        <v>6.0</v>
      </c>
      <c r="V13" s="9">
        <v>1.0</v>
      </c>
      <c r="W13" s="9">
        <v>2.0</v>
      </c>
      <c r="X13" s="9">
        <v>4.0</v>
      </c>
      <c r="Y13" s="9">
        <v>1.0</v>
      </c>
      <c r="Z13" s="9">
        <v>1.2</v>
      </c>
    </row>
    <row r="14">
      <c r="A14" s="9" t="s">
        <v>37</v>
      </c>
      <c r="B14" s="11" t="s">
        <v>6</v>
      </c>
      <c r="C14" s="9">
        <v>8.0</v>
      </c>
      <c r="D14" s="9">
        <v>18.0</v>
      </c>
      <c r="E14" s="9">
        <v>1.0</v>
      </c>
      <c r="F14" s="9">
        <v>18.0</v>
      </c>
      <c r="G14" s="9">
        <v>68.0</v>
      </c>
      <c r="H14" s="10">
        <v>8.5</v>
      </c>
      <c r="I14" s="9">
        <v>4.0</v>
      </c>
      <c r="J14" s="9">
        <v>0.0</v>
      </c>
      <c r="K14" s="9">
        <v>2.0</v>
      </c>
      <c r="L14" s="9">
        <v>3.0</v>
      </c>
      <c r="M14" s="9">
        <v>0.0</v>
      </c>
      <c r="N14" s="9">
        <v>1.5</v>
      </c>
      <c r="O14" s="9">
        <v>5.0</v>
      </c>
      <c r="P14" s="9">
        <v>0.0</v>
      </c>
      <c r="Q14" s="9">
        <v>2.5</v>
      </c>
      <c r="R14" s="9">
        <v>0.0</v>
      </c>
      <c r="S14" s="9">
        <v>1.0</v>
      </c>
      <c r="T14" s="9">
        <v>-0.5</v>
      </c>
      <c r="U14" s="9">
        <v>1.0</v>
      </c>
      <c r="V14" s="9">
        <v>0.0</v>
      </c>
      <c r="W14" s="9">
        <v>0.5</v>
      </c>
      <c r="X14" s="9">
        <v>5.0</v>
      </c>
      <c r="Y14" s="9">
        <v>0.0</v>
      </c>
      <c r="Z14" s="9">
        <v>2.5</v>
      </c>
    </row>
    <row r="15">
      <c r="A15" s="9" t="s">
        <v>23</v>
      </c>
      <c r="B15" s="11" t="s">
        <v>3</v>
      </c>
      <c r="C15" s="9">
        <v>4.0</v>
      </c>
      <c r="D15" s="9">
        <v>8.0</v>
      </c>
      <c r="E15" s="9">
        <v>0.0</v>
      </c>
      <c r="F15" s="9" t="s">
        <v>82</v>
      </c>
      <c r="G15" s="9">
        <v>32.0</v>
      </c>
      <c r="H15" s="10">
        <v>8.0</v>
      </c>
      <c r="I15" s="9">
        <v>1.0</v>
      </c>
      <c r="J15" s="9">
        <v>0.0</v>
      </c>
      <c r="K15" s="9">
        <v>1.0</v>
      </c>
      <c r="L15" s="9">
        <v>1.0</v>
      </c>
      <c r="M15" s="9">
        <v>0.0</v>
      </c>
      <c r="N15" s="9">
        <v>1.0</v>
      </c>
      <c r="O15" s="9">
        <v>0.0</v>
      </c>
      <c r="P15" s="9">
        <v>0.0</v>
      </c>
      <c r="Q15" s="9">
        <v>0.0</v>
      </c>
      <c r="R15" s="9">
        <v>1.0</v>
      </c>
      <c r="S15" s="9">
        <v>0.0</v>
      </c>
      <c r="T15" s="9">
        <v>1.0</v>
      </c>
      <c r="U15" s="9">
        <v>0.0</v>
      </c>
      <c r="V15" s="9">
        <v>0.0</v>
      </c>
      <c r="W15" s="9">
        <v>0.0</v>
      </c>
      <c r="X15" s="9">
        <v>5.0</v>
      </c>
      <c r="Y15" s="9">
        <v>0.0</v>
      </c>
      <c r="Z15" s="9">
        <v>5.0</v>
      </c>
    </row>
    <row r="16">
      <c r="A16" s="9" t="s">
        <v>35</v>
      </c>
      <c r="B16" s="11" t="s">
        <v>6</v>
      </c>
      <c r="C16" s="9">
        <v>8.0</v>
      </c>
      <c r="D16" s="9">
        <v>16.0</v>
      </c>
      <c r="E16" s="9">
        <v>1.0</v>
      </c>
      <c r="F16" s="9">
        <v>16.0</v>
      </c>
      <c r="G16" s="9">
        <v>60.0</v>
      </c>
      <c r="H16" s="10">
        <v>7.5</v>
      </c>
      <c r="I16" s="9">
        <v>1.0</v>
      </c>
      <c r="J16" s="9">
        <v>0.0</v>
      </c>
      <c r="K16" s="9">
        <v>0.5</v>
      </c>
      <c r="L16" s="9">
        <v>5.0</v>
      </c>
      <c r="M16" s="9">
        <v>1.0</v>
      </c>
      <c r="N16" s="9">
        <v>2.0</v>
      </c>
      <c r="O16" s="9">
        <v>1.0</v>
      </c>
      <c r="P16" s="9">
        <v>0.0</v>
      </c>
      <c r="Q16" s="9">
        <v>0.5</v>
      </c>
      <c r="R16" s="9">
        <v>2.0</v>
      </c>
      <c r="S16" s="9">
        <v>0.0</v>
      </c>
      <c r="T16" s="9">
        <v>1.0</v>
      </c>
      <c r="U16" s="9">
        <v>1.0</v>
      </c>
      <c r="V16" s="9">
        <v>0.0</v>
      </c>
      <c r="W16" s="9">
        <v>0.5</v>
      </c>
      <c r="X16" s="9">
        <v>6.0</v>
      </c>
      <c r="Y16" s="9">
        <v>0.0</v>
      </c>
      <c r="Z16" s="9">
        <v>3.0</v>
      </c>
    </row>
    <row r="17">
      <c r="A17" s="9" t="s">
        <v>28</v>
      </c>
      <c r="B17" s="11" t="s">
        <v>4</v>
      </c>
      <c r="C17" s="9">
        <v>8.0</v>
      </c>
      <c r="D17" s="9">
        <v>16.0</v>
      </c>
      <c r="E17" s="9">
        <v>1.0</v>
      </c>
      <c r="F17" s="9">
        <v>16.0</v>
      </c>
      <c r="G17" s="9">
        <v>60.0</v>
      </c>
      <c r="H17" s="10">
        <v>7.5</v>
      </c>
      <c r="I17" s="9">
        <v>1.0</v>
      </c>
      <c r="J17" s="9">
        <v>0.0</v>
      </c>
      <c r="K17" s="9">
        <v>0.5</v>
      </c>
      <c r="L17" s="9">
        <v>1.0</v>
      </c>
      <c r="M17" s="9">
        <v>0.0</v>
      </c>
      <c r="N17" s="9">
        <v>0.5</v>
      </c>
      <c r="O17" s="9">
        <v>8.0</v>
      </c>
      <c r="P17" s="9">
        <v>1.0</v>
      </c>
      <c r="Q17" s="9">
        <v>3.5</v>
      </c>
      <c r="R17" s="9">
        <v>5.0</v>
      </c>
      <c r="S17" s="9">
        <v>0.0</v>
      </c>
      <c r="T17" s="9">
        <v>2.5</v>
      </c>
      <c r="U17" s="9">
        <v>0.0</v>
      </c>
      <c r="V17" s="9">
        <v>0.0</v>
      </c>
      <c r="W17" s="9">
        <v>0.0</v>
      </c>
      <c r="X17" s="9">
        <v>1.0</v>
      </c>
      <c r="Y17" s="9">
        <v>0.0</v>
      </c>
      <c r="Z17" s="9">
        <v>0.5</v>
      </c>
    </row>
    <row r="18">
      <c r="A18" s="9" t="s">
        <v>30</v>
      </c>
      <c r="B18" s="11" t="s">
        <v>5</v>
      </c>
      <c r="C18" s="9">
        <v>10.0</v>
      </c>
      <c r="D18" s="9">
        <v>18.0</v>
      </c>
      <c r="E18" s="9">
        <v>0.0</v>
      </c>
      <c r="F18" s="9" t="s">
        <v>82</v>
      </c>
      <c r="G18" s="9">
        <v>72.0</v>
      </c>
      <c r="H18" s="10">
        <v>7.2</v>
      </c>
      <c r="I18" s="9">
        <v>8.0</v>
      </c>
      <c r="J18" s="9">
        <v>0.0</v>
      </c>
      <c r="K18" s="9">
        <v>3.2</v>
      </c>
      <c r="L18" s="9">
        <v>0.0</v>
      </c>
      <c r="M18" s="9">
        <v>0.0</v>
      </c>
      <c r="N18" s="9">
        <v>0.0</v>
      </c>
      <c r="O18" s="9">
        <v>1.0</v>
      </c>
      <c r="P18" s="9">
        <v>0.0</v>
      </c>
      <c r="Q18" s="9">
        <v>0.4</v>
      </c>
      <c r="R18" s="9">
        <v>0.0</v>
      </c>
      <c r="S18" s="9">
        <v>0.0</v>
      </c>
      <c r="T18" s="9">
        <v>0.0</v>
      </c>
      <c r="U18" s="9">
        <v>8.0</v>
      </c>
      <c r="V18" s="9">
        <v>0.0</v>
      </c>
      <c r="W18" s="9">
        <v>3.2</v>
      </c>
      <c r="X18" s="9">
        <v>1.0</v>
      </c>
      <c r="Y18" s="9">
        <v>0.0</v>
      </c>
      <c r="Z18" s="9">
        <v>0.4</v>
      </c>
    </row>
    <row r="19">
      <c r="A19" s="9" t="s">
        <v>29</v>
      </c>
      <c r="B19" s="11" t="s">
        <v>4</v>
      </c>
      <c r="C19" s="9">
        <v>8.0</v>
      </c>
      <c r="D19" s="9">
        <v>15.0</v>
      </c>
      <c r="E19" s="9">
        <v>2.0</v>
      </c>
      <c r="F19" s="9">
        <v>7.5</v>
      </c>
      <c r="G19" s="9">
        <v>52.0</v>
      </c>
      <c r="H19" s="10">
        <v>6.5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9">
        <v>1.0</v>
      </c>
      <c r="P19" s="9">
        <v>0.0</v>
      </c>
      <c r="Q19" s="9">
        <v>0.5</v>
      </c>
      <c r="R19" s="9">
        <v>4.0</v>
      </c>
      <c r="S19" s="9">
        <v>1.0</v>
      </c>
      <c r="T19" s="9">
        <v>1.5</v>
      </c>
      <c r="U19" s="9">
        <v>8.0</v>
      </c>
      <c r="V19" s="9">
        <v>1.0</v>
      </c>
      <c r="W19" s="9">
        <v>3.5</v>
      </c>
      <c r="X19" s="9">
        <v>2.0</v>
      </c>
      <c r="Y19" s="9">
        <v>0.0</v>
      </c>
      <c r="Z19" s="9">
        <v>1.0</v>
      </c>
    </row>
    <row r="20">
      <c r="A20" s="9" t="s">
        <v>9</v>
      </c>
      <c r="B20" s="11" t="s">
        <v>0</v>
      </c>
      <c r="C20" s="9">
        <v>8.0</v>
      </c>
      <c r="D20" s="9">
        <v>13.0</v>
      </c>
      <c r="E20" s="9">
        <v>1.0</v>
      </c>
      <c r="F20" s="9">
        <v>13.0</v>
      </c>
      <c r="G20" s="9">
        <v>48.0</v>
      </c>
      <c r="H20" s="10">
        <v>6.0</v>
      </c>
      <c r="I20" s="9">
        <v>2.0</v>
      </c>
      <c r="J20" s="9">
        <v>0.0</v>
      </c>
      <c r="K20" s="9">
        <v>1.0</v>
      </c>
      <c r="L20" s="9">
        <v>1.0</v>
      </c>
      <c r="M20" s="9">
        <v>0.0</v>
      </c>
      <c r="N20" s="9">
        <v>0.5</v>
      </c>
      <c r="O20" s="9">
        <v>7.0</v>
      </c>
      <c r="P20" s="9">
        <v>1.0</v>
      </c>
      <c r="Q20" s="9">
        <v>3.0</v>
      </c>
      <c r="R20" s="9">
        <v>2.0</v>
      </c>
      <c r="S20" s="9">
        <v>0.0</v>
      </c>
      <c r="T20" s="9">
        <v>1.0</v>
      </c>
      <c r="U20" s="9">
        <v>1.0</v>
      </c>
      <c r="V20" s="9">
        <v>0.0</v>
      </c>
      <c r="W20" s="9">
        <v>0.5</v>
      </c>
      <c r="X20" s="9">
        <v>0.0</v>
      </c>
      <c r="Y20" s="9">
        <v>0.0</v>
      </c>
      <c r="Z20" s="9">
        <v>0.0</v>
      </c>
    </row>
    <row r="21">
      <c r="A21" s="9" t="s">
        <v>21</v>
      </c>
      <c r="B21" s="11" t="s">
        <v>2</v>
      </c>
      <c r="C21" s="9">
        <v>10.0</v>
      </c>
      <c r="D21" s="9">
        <v>23.0</v>
      </c>
      <c r="E21" s="9">
        <v>8.0</v>
      </c>
      <c r="F21" s="15">
        <v>2.875</v>
      </c>
      <c r="G21" s="9">
        <v>60.0</v>
      </c>
      <c r="H21" s="10">
        <v>6.0</v>
      </c>
      <c r="I21" s="9">
        <v>5.0</v>
      </c>
      <c r="J21" s="9">
        <v>1.0</v>
      </c>
      <c r="K21" s="9">
        <v>1.6</v>
      </c>
      <c r="L21" s="9">
        <v>1.0</v>
      </c>
      <c r="M21" s="9">
        <v>1.0</v>
      </c>
      <c r="N21" s="9">
        <v>0.0</v>
      </c>
      <c r="O21" s="9">
        <v>1.0</v>
      </c>
      <c r="P21" s="9">
        <v>0.0</v>
      </c>
      <c r="Q21" s="9">
        <v>0.4</v>
      </c>
      <c r="R21" s="9">
        <v>10.0</v>
      </c>
      <c r="S21" s="9">
        <v>0.0</v>
      </c>
      <c r="T21" s="9">
        <v>4.0</v>
      </c>
      <c r="U21" s="9">
        <v>0.0</v>
      </c>
      <c r="V21" s="9">
        <v>1.0</v>
      </c>
      <c r="W21" s="9">
        <v>-0.4</v>
      </c>
      <c r="X21" s="9">
        <v>6.0</v>
      </c>
      <c r="Y21" s="9">
        <v>5.0</v>
      </c>
      <c r="Z21" s="9">
        <v>0.4</v>
      </c>
    </row>
    <row r="22">
      <c r="A22" s="8" t="s">
        <v>53</v>
      </c>
      <c r="B22" s="11" t="s">
        <v>7</v>
      </c>
      <c r="C22" s="9">
        <v>8.0</v>
      </c>
      <c r="D22" s="9">
        <v>11.0</v>
      </c>
      <c r="E22" s="9">
        <v>0.0</v>
      </c>
      <c r="F22" s="9" t="s">
        <v>82</v>
      </c>
      <c r="G22" s="9">
        <v>44.0</v>
      </c>
      <c r="H22" s="10">
        <v>5.5</v>
      </c>
      <c r="I22" s="9">
        <v>1.0</v>
      </c>
      <c r="J22" s="9">
        <v>0.0</v>
      </c>
      <c r="K22" s="9">
        <v>0.5</v>
      </c>
      <c r="L22" s="9">
        <v>0.0</v>
      </c>
      <c r="M22" s="9">
        <v>0.0</v>
      </c>
      <c r="N22" s="9">
        <v>0.0</v>
      </c>
      <c r="O22" s="9">
        <v>5.0</v>
      </c>
      <c r="P22" s="9">
        <v>0.0</v>
      </c>
      <c r="Q22" s="9">
        <v>2.5</v>
      </c>
      <c r="R22" s="9">
        <v>4.0</v>
      </c>
      <c r="S22" s="9">
        <v>0.0</v>
      </c>
      <c r="T22" s="9">
        <v>2.0</v>
      </c>
      <c r="U22" s="9">
        <v>1.0</v>
      </c>
      <c r="V22" s="9">
        <v>0.0</v>
      </c>
      <c r="W22" s="9">
        <v>0.5</v>
      </c>
      <c r="X22" s="9">
        <v>0.0</v>
      </c>
      <c r="Y22" s="9">
        <v>0.0</v>
      </c>
      <c r="Z22" s="9">
        <v>0.0</v>
      </c>
    </row>
    <row r="23">
      <c r="A23" s="9" t="s">
        <v>22</v>
      </c>
      <c r="B23" s="11" t="s">
        <v>3</v>
      </c>
      <c r="C23" s="9">
        <v>8.0</v>
      </c>
      <c r="D23" s="9">
        <v>10.0</v>
      </c>
      <c r="E23" s="9">
        <v>0.0</v>
      </c>
      <c r="F23" s="9" t="s">
        <v>82</v>
      </c>
      <c r="G23" s="9">
        <v>40.0</v>
      </c>
      <c r="H23" s="10">
        <v>5.0</v>
      </c>
      <c r="I23" s="9">
        <v>0.0</v>
      </c>
      <c r="J23" s="9">
        <v>0.0</v>
      </c>
      <c r="K23" s="9">
        <v>0.0</v>
      </c>
      <c r="L23" s="9">
        <v>3.0</v>
      </c>
      <c r="M23" s="9">
        <v>0.0</v>
      </c>
      <c r="N23" s="9">
        <v>1.5</v>
      </c>
      <c r="O23" s="9">
        <v>6.0</v>
      </c>
      <c r="P23" s="9">
        <v>0.0</v>
      </c>
      <c r="Q23" s="9">
        <v>3.0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1.0</v>
      </c>
      <c r="Y23" s="9">
        <v>0.0</v>
      </c>
      <c r="Z23" s="9">
        <v>0.5</v>
      </c>
    </row>
    <row r="24">
      <c r="A24" s="9" t="s">
        <v>45</v>
      </c>
      <c r="B24" s="11" t="s">
        <v>8</v>
      </c>
      <c r="C24" s="9">
        <v>8.0</v>
      </c>
      <c r="D24" s="9">
        <v>10.0</v>
      </c>
      <c r="E24" s="9">
        <v>1.0</v>
      </c>
      <c r="F24" s="9">
        <v>10.0</v>
      </c>
      <c r="G24" s="9">
        <v>36.0</v>
      </c>
      <c r="H24" s="10">
        <v>4.5</v>
      </c>
      <c r="I24" s="9">
        <v>0.0</v>
      </c>
      <c r="J24" s="9">
        <v>0.0</v>
      </c>
      <c r="K24" s="9">
        <v>0.0</v>
      </c>
      <c r="L24" s="9">
        <v>4.0</v>
      </c>
      <c r="M24" s="9">
        <v>0.0</v>
      </c>
      <c r="N24" s="9">
        <v>2.0</v>
      </c>
      <c r="O24" s="9">
        <v>1.0</v>
      </c>
      <c r="P24" s="9">
        <v>0.0</v>
      </c>
      <c r="Q24" s="9">
        <v>0.5</v>
      </c>
      <c r="R24" s="9">
        <v>0.0</v>
      </c>
      <c r="S24" s="9">
        <v>0.0</v>
      </c>
      <c r="T24" s="9">
        <v>0.0</v>
      </c>
      <c r="U24" s="9">
        <v>3.0</v>
      </c>
      <c r="V24" s="9">
        <v>0.0</v>
      </c>
      <c r="W24" s="9">
        <v>1.5</v>
      </c>
      <c r="X24" s="9">
        <v>2.0</v>
      </c>
      <c r="Y24" s="9">
        <v>1.0</v>
      </c>
      <c r="Z24" s="9">
        <v>0.5</v>
      </c>
    </row>
    <row r="25">
      <c r="A25" s="9" t="s">
        <v>40</v>
      </c>
      <c r="B25" s="11" t="s">
        <v>7</v>
      </c>
      <c r="C25" s="9">
        <v>8.0</v>
      </c>
      <c r="D25" s="9">
        <v>9.0</v>
      </c>
      <c r="E25" s="9">
        <v>0.0</v>
      </c>
      <c r="F25" s="9" t="s">
        <v>82</v>
      </c>
      <c r="G25" s="9">
        <v>36.0</v>
      </c>
      <c r="H25" s="10">
        <v>4.5</v>
      </c>
      <c r="I25" s="9">
        <v>2.0</v>
      </c>
      <c r="J25" s="9">
        <v>0.0</v>
      </c>
      <c r="K25" s="9">
        <v>1.0</v>
      </c>
      <c r="L25" s="9">
        <v>0.0</v>
      </c>
      <c r="M25" s="9">
        <v>0.0</v>
      </c>
      <c r="N25" s="9">
        <v>0.0</v>
      </c>
      <c r="O25" s="9">
        <v>1.0</v>
      </c>
      <c r="P25" s="9">
        <v>0.0</v>
      </c>
      <c r="Q25" s="9">
        <v>0.5</v>
      </c>
      <c r="R25" s="9">
        <v>3.0</v>
      </c>
      <c r="S25" s="9">
        <v>0.0</v>
      </c>
      <c r="T25" s="9">
        <v>1.5</v>
      </c>
      <c r="U25" s="9">
        <v>0.0</v>
      </c>
      <c r="V25" s="9">
        <v>0.0</v>
      </c>
      <c r="W25" s="9">
        <v>0.0</v>
      </c>
      <c r="X25" s="9">
        <v>3.0</v>
      </c>
      <c r="Y25" s="9">
        <v>0.0</v>
      </c>
      <c r="Z25" s="9">
        <v>1.5</v>
      </c>
    </row>
    <row r="26">
      <c r="A26" s="9" t="s">
        <v>10</v>
      </c>
      <c r="B26" s="11" t="s">
        <v>0</v>
      </c>
      <c r="C26" s="9">
        <v>8.0</v>
      </c>
      <c r="D26" s="9">
        <v>10.0</v>
      </c>
      <c r="E26" s="9">
        <v>3.0</v>
      </c>
      <c r="F26" s="12">
        <v>3.3333333333333335</v>
      </c>
      <c r="G26" s="9">
        <v>28.0</v>
      </c>
      <c r="H26" s="10">
        <v>3.5</v>
      </c>
      <c r="I26" s="9">
        <v>0.0</v>
      </c>
      <c r="J26" s="9">
        <v>1.0</v>
      </c>
      <c r="K26" s="9">
        <v>-0.5</v>
      </c>
      <c r="L26" s="9">
        <v>3.0</v>
      </c>
      <c r="M26" s="9">
        <v>0.0</v>
      </c>
      <c r="N26" s="9">
        <v>1.5</v>
      </c>
      <c r="O26" s="9">
        <v>0.0</v>
      </c>
      <c r="P26" s="9">
        <v>1.0</v>
      </c>
      <c r="Q26" s="9">
        <v>-0.5</v>
      </c>
      <c r="R26" s="9">
        <v>1.0</v>
      </c>
      <c r="S26" s="9">
        <v>0.0</v>
      </c>
      <c r="T26" s="9">
        <v>0.5</v>
      </c>
      <c r="U26" s="9">
        <v>1.0</v>
      </c>
      <c r="V26" s="9">
        <v>0.0</v>
      </c>
      <c r="W26" s="9">
        <v>0.5</v>
      </c>
      <c r="X26" s="9">
        <v>5.0</v>
      </c>
      <c r="Y26" s="9">
        <v>1.0</v>
      </c>
      <c r="Z26" s="9">
        <v>2.0</v>
      </c>
    </row>
    <row r="27">
      <c r="A27" s="9" t="s">
        <v>34</v>
      </c>
      <c r="B27" s="11" t="s">
        <v>6</v>
      </c>
      <c r="C27" s="9">
        <v>8.0</v>
      </c>
      <c r="D27" s="9">
        <v>7.0</v>
      </c>
      <c r="E27" s="9">
        <v>0.0</v>
      </c>
      <c r="F27" s="9" t="s">
        <v>82</v>
      </c>
      <c r="G27" s="9">
        <v>28.0</v>
      </c>
      <c r="H27" s="10">
        <v>3.5</v>
      </c>
      <c r="I27" s="9">
        <v>2.0</v>
      </c>
      <c r="J27" s="9">
        <v>0.0</v>
      </c>
      <c r="K27" s="9">
        <v>1.0</v>
      </c>
      <c r="L27" s="9">
        <v>1.0</v>
      </c>
      <c r="M27" s="9">
        <v>0.0</v>
      </c>
      <c r="N27" s="9">
        <v>0.5</v>
      </c>
      <c r="O27" s="9">
        <v>2.0</v>
      </c>
      <c r="P27" s="9">
        <v>0.0</v>
      </c>
      <c r="Q27" s="9">
        <v>1.0</v>
      </c>
      <c r="R27" s="9">
        <v>1.0</v>
      </c>
      <c r="S27" s="9">
        <v>0.0</v>
      </c>
      <c r="T27" s="9">
        <v>0.5</v>
      </c>
      <c r="U27" s="9">
        <v>0.0</v>
      </c>
      <c r="V27" s="9">
        <v>0.0</v>
      </c>
      <c r="W27" s="9">
        <v>0.0</v>
      </c>
      <c r="X27" s="9">
        <v>1.0</v>
      </c>
      <c r="Y27" s="9">
        <v>0.0</v>
      </c>
      <c r="Z27" s="9">
        <v>0.5</v>
      </c>
    </row>
    <row r="28">
      <c r="A28" s="9" t="s">
        <v>46</v>
      </c>
      <c r="B28" s="11" t="s">
        <v>8</v>
      </c>
      <c r="C28" s="9">
        <v>8.0</v>
      </c>
      <c r="D28" s="9">
        <v>7.0</v>
      </c>
      <c r="E28" s="9">
        <v>0.0</v>
      </c>
      <c r="F28" s="9" t="s">
        <v>82</v>
      </c>
      <c r="G28" s="9">
        <v>28.0</v>
      </c>
      <c r="H28" s="10">
        <v>3.5</v>
      </c>
      <c r="I28" s="9">
        <v>2.0</v>
      </c>
      <c r="J28" s="9">
        <v>0.0</v>
      </c>
      <c r="K28" s="9">
        <v>1.0</v>
      </c>
      <c r="L28" s="9">
        <v>2.0</v>
      </c>
      <c r="M28" s="9">
        <v>0.0</v>
      </c>
      <c r="N28" s="9">
        <v>1.0</v>
      </c>
      <c r="O28" s="9">
        <v>2.0</v>
      </c>
      <c r="P28" s="9">
        <v>0.0</v>
      </c>
      <c r="Q28" s="9">
        <v>1.0</v>
      </c>
      <c r="R28" s="9">
        <v>0.0</v>
      </c>
      <c r="S28" s="9">
        <v>0.0</v>
      </c>
      <c r="T28" s="9">
        <v>0.0</v>
      </c>
      <c r="U28" s="9">
        <v>1.0</v>
      </c>
      <c r="V28" s="9">
        <v>0.0</v>
      </c>
      <c r="W28" s="9">
        <v>0.5</v>
      </c>
      <c r="X28" s="9">
        <v>0.0</v>
      </c>
      <c r="Y28" s="9">
        <v>0.0</v>
      </c>
      <c r="Z28" s="9">
        <v>0.0</v>
      </c>
    </row>
    <row r="29">
      <c r="A29" s="9" t="s">
        <v>11</v>
      </c>
      <c r="B29" s="11" t="s">
        <v>0</v>
      </c>
      <c r="C29" s="9">
        <v>8.0</v>
      </c>
      <c r="D29" s="9">
        <v>7.0</v>
      </c>
      <c r="E29" s="9">
        <v>0.0</v>
      </c>
      <c r="F29" s="9" t="s">
        <v>82</v>
      </c>
      <c r="G29" s="9">
        <v>28.0</v>
      </c>
      <c r="H29" s="10">
        <v>3.5</v>
      </c>
      <c r="I29" s="9">
        <v>1.0</v>
      </c>
      <c r="J29" s="9">
        <v>0.0</v>
      </c>
      <c r="K29" s="9">
        <v>0.5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6.0</v>
      </c>
      <c r="S29" s="9">
        <v>0.0</v>
      </c>
      <c r="T29" s="9">
        <v>3.0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</row>
    <row r="30">
      <c r="A30" s="9" t="s">
        <v>39</v>
      </c>
      <c r="B30" s="11" t="s">
        <v>7</v>
      </c>
      <c r="C30" s="9">
        <v>8.0</v>
      </c>
      <c r="D30" s="9">
        <v>8.0</v>
      </c>
      <c r="E30" s="9">
        <v>1.0</v>
      </c>
      <c r="F30" s="9">
        <v>8.0</v>
      </c>
      <c r="G30" s="9">
        <v>28.0</v>
      </c>
      <c r="H30" s="10">
        <v>3.5</v>
      </c>
      <c r="I30" s="9">
        <v>1.0</v>
      </c>
      <c r="J30" s="9">
        <v>0.0</v>
      </c>
      <c r="K30" s="9">
        <v>0.5</v>
      </c>
      <c r="L30" s="9">
        <v>4.0</v>
      </c>
      <c r="M30" s="9">
        <v>0.0</v>
      </c>
      <c r="N30" s="9">
        <v>2.0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3.0</v>
      </c>
      <c r="Y30" s="9">
        <v>1.0</v>
      </c>
      <c r="Z30" s="9">
        <v>1.0</v>
      </c>
    </row>
    <row r="31">
      <c r="A31" s="9" t="s">
        <v>13</v>
      </c>
      <c r="B31" s="11" t="s">
        <v>0</v>
      </c>
      <c r="C31" s="9">
        <v>8.0</v>
      </c>
      <c r="D31" s="9">
        <v>3.0</v>
      </c>
      <c r="E31" s="9">
        <v>0.0</v>
      </c>
      <c r="F31" s="9" t="s">
        <v>82</v>
      </c>
      <c r="G31" s="9">
        <v>12.0</v>
      </c>
      <c r="H31" s="10">
        <v>1.5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3.0</v>
      </c>
      <c r="V31" s="9">
        <v>0.0</v>
      </c>
      <c r="W31" s="9">
        <v>1.5</v>
      </c>
      <c r="X31" s="9">
        <v>0.0</v>
      </c>
      <c r="Y31" s="9">
        <v>0.0</v>
      </c>
      <c r="Z31" s="9">
        <v>0.0</v>
      </c>
    </row>
    <row r="32">
      <c r="A32" s="9" t="s">
        <v>15</v>
      </c>
      <c r="B32" s="11" t="s">
        <v>1</v>
      </c>
      <c r="C32" s="9">
        <v>8.0</v>
      </c>
      <c r="D32" s="9">
        <v>3.0</v>
      </c>
      <c r="E32" s="9">
        <v>0.0</v>
      </c>
      <c r="F32" s="9" t="s">
        <v>82</v>
      </c>
      <c r="G32" s="9">
        <v>12.0</v>
      </c>
      <c r="H32" s="10">
        <v>1.5</v>
      </c>
      <c r="I32" s="9">
        <v>1.0</v>
      </c>
      <c r="J32" s="9">
        <v>0.0</v>
      </c>
      <c r="K32" s="9">
        <v>0.5</v>
      </c>
      <c r="L32" s="9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1.0</v>
      </c>
      <c r="S32" s="9">
        <v>0.0</v>
      </c>
      <c r="T32" s="9">
        <v>0.5</v>
      </c>
      <c r="U32" s="9">
        <v>0.0</v>
      </c>
      <c r="V32" s="9">
        <v>0.0</v>
      </c>
      <c r="W32" s="9">
        <v>0.0</v>
      </c>
      <c r="X32" s="9">
        <v>1.0</v>
      </c>
      <c r="Y32" s="9">
        <v>0.0</v>
      </c>
      <c r="Z32" s="9">
        <v>0.5</v>
      </c>
    </row>
    <row r="33">
      <c r="A33" s="9" t="s">
        <v>42</v>
      </c>
      <c r="B33" s="11" t="s">
        <v>7</v>
      </c>
      <c r="C33" s="9">
        <v>8.0</v>
      </c>
      <c r="D33" s="9">
        <v>4.0</v>
      </c>
      <c r="E33" s="9">
        <v>2.0</v>
      </c>
      <c r="F33" s="9">
        <v>2.0</v>
      </c>
      <c r="G33" s="9">
        <v>8.0</v>
      </c>
      <c r="H33" s="10">
        <v>1.0</v>
      </c>
      <c r="I33" s="9">
        <v>1.0</v>
      </c>
      <c r="J33" s="9">
        <v>1.0</v>
      </c>
      <c r="K33" s="9">
        <v>0.0</v>
      </c>
      <c r="L33" s="9">
        <v>0.0</v>
      </c>
      <c r="M33" s="9">
        <v>0.0</v>
      </c>
      <c r="N33" s="9">
        <v>0.0</v>
      </c>
      <c r="O33" s="9">
        <v>0.0</v>
      </c>
      <c r="P33" s="9">
        <v>0.0</v>
      </c>
      <c r="Q33" s="9">
        <v>0.0</v>
      </c>
      <c r="R33" s="9">
        <v>0.0</v>
      </c>
      <c r="S33" s="9">
        <v>1.0</v>
      </c>
      <c r="T33" s="9">
        <v>-0.5</v>
      </c>
      <c r="U33" s="9">
        <v>3.0</v>
      </c>
      <c r="V33" s="9">
        <v>0.0</v>
      </c>
      <c r="W33" s="9">
        <v>1.5</v>
      </c>
      <c r="X33" s="9">
        <v>0.0</v>
      </c>
      <c r="Y33" s="9">
        <v>0.0</v>
      </c>
      <c r="Z33" s="9">
        <v>0.0</v>
      </c>
    </row>
    <row r="34">
      <c r="A34" s="9" t="s">
        <v>20</v>
      </c>
      <c r="B34" s="11" t="s">
        <v>2</v>
      </c>
      <c r="C34" s="9">
        <v>10.0</v>
      </c>
      <c r="D34" s="9">
        <v>5.0</v>
      </c>
      <c r="E34" s="9">
        <v>3.0</v>
      </c>
      <c r="F34" s="12">
        <v>1.6666666666666667</v>
      </c>
      <c r="G34" s="9">
        <v>8.0</v>
      </c>
      <c r="H34" s="10">
        <v>0.8</v>
      </c>
      <c r="I34" s="9">
        <v>0.0</v>
      </c>
      <c r="J34" s="9">
        <v>0.0</v>
      </c>
      <c r="K34" s="9">
        <v>0.0</v>
      </c>
      <c r="L34" s="9">
        <v>0.0</v>
      </c>
      <c r="M34" s="9">
        <v>0.0</v>
      </c>
      <c r="N34" s="9">
        <v>0.0</v>
      </c>
      <c r="O34" s="9">
        <v>0.0</v>
      </c>
      <c r="P34" s="9">
        <v>0.0</v>
      </c>
      <c r="Q34" s="9">
        <v>0.0</v>
      </c>
      <c r="R34" s="9">
        <v>0.0</v>
      </c>
      <c r="S34" s="9">
        <v>0.0</v>
      </c>
      <c r="T34" s="9">
        <v>0.0</v>
      </c>
      <c r="U34" s="9">
        <v>0.0</v>
      </c>
      <c r="V34" s="9">
        <v>0.0</v>
      </c>
      <c r="W34" s="9">
        <v>0.0</v>
      </c>
      <c r="X34" s="9">
        <v>5.0</v>
      </c>
      <c r="Y34" s="9">
        <v>3.0</v>
      </c>
      <c r="Z34" s="9">
        <v>0.8</v>
      </c>
    </row>
    <row r="35">
      <c r="A35" s="9" t="s">
        <v>12</v>
      </c>
      <c r="B35" s="11" t="s">
        <v>0</v>
      </c>
      <c r="C35" s="9">
        <v>8.0</v>
      </c>
      <c r="D35" s="9">
        <v>1.0</v>
      </c>
      <c r="E35" s="9">
        <v>0.0</v>
      </c>
      <c r="F35" s="9" t="s">
        <v>82</v>
      </c>
      <c r="G35" s="9">
        <v>4.0</v>
      </c>
      <c r="H35" s="10">
        <v>0.5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0.0</v>
      </c>
      <c r="O35" s="9">
        <v>1.0</v>
      </c>
      <c r="P35" s="9">
        <v>0.0</v>
      </c>
      <c r="Q35" s="9">
        <v>0.5</v>
      </c>
      <c r="R35" s="9">
        <v>0.0</v>
      </c>
      <c r="S35" s="9">
        <v>0.0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</row>
    <row r="36">
      <c r="A36" s="9" t="s">
        <v>41</v>
      </c>
      <c r="B36" s="11" t="s">
        <v>7</v>
      </c>
      <c r="C36" s="9">
        <v>8.0</v>
      </c>
      <c r="D36" s="9">
        <v>0.0</v>
      </c>
      <c r="E36" s="9">
        <v>0.0</v>
      </c>
      <c r="F36" s="9" t="s">
        <v>82</v>
      </c>
      <c r="G36" s="9">
        <v>0.0</v>
      </c>
      <c r="H36" s="10">
        <v>0.0</v>
      </c>
      <c r="I36" s="9">
        <v>0.0</v>
      </c>
      <c r="J36" s="9">
        <v>0.0</v>
      </c>
      <c r="K36" s="9">
        <v>0.0</v>
      </c>
      <c r="L36" s="9">
        <v>0.0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0.0</v>
      </c>
      <c r="T36" s="9">
        <v>0.0</v>
      </c>
      <c r="U36" s="9">
        <v>0.0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</row>
    <row r="37">
      <c r="B37" s="9"/>
      <c r="H37" s="16"/>
    </row>
    <row r="38">
      <c r="B38" s="9"/>
      <c r="H38" s="16"/>
    </row>
    <row r="39">
      <c r="B39" s="9"/>
      <c r="H39" s="16"/>
    </row>
    <row r="40">
      <c r="B40" s="9"/>
      <c r="H40" s="16"/>
    </row>
    <row r="41">
      <c r="B41" s="9"/>
      <c r="H41" s="16"/>
    </row>
    <row r="42">
      <c r="B42" s="9"/>
      <c r="H42" s="16"/>
    </row>
    <row r="43">
      <c r="B43" s="9"/>
      <c r="H43" s="16"/>
    </row>
    <row r="44">
      <c r="B44" s="9"/>
      <c r="H44" s="16"/>
    </row>
    <row r="45">
      <c r="B45" s="9"/>
      <c r="H45" s="16"/>
    </row>
    <row r="46">
      <c r="B46" s="9"/>
      <c r="H46" s="16"/>
    </row>
    <row r="47">
      <c r="B47" s="9"/>
      <c r="H47" s="16"/>
    </row>
    <row r="48">
      <c r="B48" s="9"/>
      <c r="H48" s="16"/>
    </row>
    <row r="49">
      <c r="B49" s="9"/>
      <c r="H49" s="16"/>
    </row>
    <row r="50">
      <c r="B50" s="9"/>
      <c r="H50" s="16"/>
    </row>
    <row r="51">
      <c r="B51" s="9"/>
      <c r="H51" s="16"/>
    </row>
    <row r="52">
      <c r="B52" s="9"/>
      <c r="H52" s="16"/>
    </row>
    <row r="53">
      <c r="B53" s="9"/>
      <c r="H53" s="16"/>
    </row>
    <row r="54">
      <c r="B54" s="9"/>
      <c r="H54" s="16"/>
    </row>
    <row r="55">
      <c r="B55" s="9"/>
      <c r="H55" s="16"/>
    </row>
    <row r="56">
      <c r="B56" s="9"/>
      <c r="H56" s="16"/>
    </row>
    <row r="57">
      <c r="B57" s="9"/>
      <c r="H57" s="16"/>
    </row>
    <row r="58">
      <c r="B58" s="9"/>
      <c r="H58" s="16"/>
    </row>
    <row r="59">
      <c r="B59" s="9"/>
      <c r="H59" s="16"/>
    </row>
    <row r="60">
      <c r="B60" s="9"/>
      <c r="H60" s="16"/>
    </row>
    <row r="61">
      <c r="B61" s="9"/>
      <c r="H61" s="16"/>
    </row>
    <row r="62">
      <c r="B62" s="9"/>
      <c r="H62" s="16"/>
    </row>
    <row r="63">
      <c r="B63" s="9"/>
      <c r="H63" s="16"/>
    </row>
    <row r="64">
      <c r="B64" s="9"/>
      <c r="H64" s="16"/>
    </row>
    <row r="65">
      <c r="B65" s="9"/>
      <c r="H65" s="16"/>
    </row>
    <row r="66">
      <c r="B66" s="9"/>
      <c r="H66" s="16"/>
    </row>
    <row r="67">
      <c r="B67" s="9"/>
      <c r="H67" s="16"/>
    </row>
    <row r="68">
      <c r="B68" s="9"/>
      <c r="H68" s="16"/>
    </row>
    <row r="69">
      <c r="B69" s="9"/>
      <c r="H69" s="16"/>
    </row>
    <row r="70">
      <c r="B70" s="9"/>
      <c r="H70" s="16"/>
    </row>
    <row r="71">
      <c r="B71" s="9"/>
      <c r="H71" s="16"/>
    </row>
    <row r="72">
      <c r="B72" s="9"/>
      <c r="H72" s="16"/>
    </row>
    <row r="73">
      <c r="B73" s="9"/>
      <c r="H73" s="16"/>
    </row>
    <row r="74">
      <c r="B74" s="9"/>
      <c r="H74" s="16"/>
    </row>
    <row r="75">
      <c r="B75" s="9"/>
      <c r="H75" s="16"/>
    </row>
    <row r="76">
      <c r="B76" s="9"/>
      <c r="H76" s="16"/>
    </row>
    <row r="77">
      <c r="B77" s="9"/>
      <c r="H77" s="16"/>
    </row>
    <row r="78">
      <c r="B78" s="9"/>
      <c r="H78" s="16"/>
    </row>
    <row r="79">
      <c r="B79" s="9"/>
      <c r="H79" s="16"/>
    </row>
    <row r="80">
      <c r="B80" s="9"/>
      <c r="H80" s="16"/>
    </row>
    <row r="81">
      <c r="B81" s="9"/>
      <c r="H81" s="16"/>
    </row>
    <row r="82">
      <c r="B82" s="9"/>
      <c r="H82" s="16"/>
    </row>
    <row r="83">
      <c r="B83" s="9"/>
      <c r="H83" s="16"/>
    </row>
    <row r="84">
      <c r="B84" s="9"/>
      <c r="H84" s="16"/>
    </row>
    <row r="85">
      <c r="B85" s="9"/>
      <c r="H85" s="16"/>
    </row>
    <row r="86">
      <c r="B86" s="9"/>
      <c r="H86" s="16"/>
    </row>
    <row r="87">
      <c r="B87" s="9"/>
      <c r="H87" s="16"/>
    </row>
    <row r="88">
      <c r="B88" s="9"/>
      <c r="H88" s="16"/>
    </row>
    <row r="89">
      <c r="B89" s="9"/>
      <c r="H89" s="16"/>
    </row>
    <row r="90">
      <c r="B90" s="9"/>
      <c r="H90" s="16"/>
    </row>
    <row r="91">
      <c r="B91" s="9"/>
      <c r="H91" s="16"/>
    </row>
    <row r="92">
      <c r="B92" s="9"/>
      <c r="H92" s="16"/>
    </row>
    <row r="93">
      <c r="B93" s="9"/>
      <c r="H93" s="16"/>
    </row>
    <row r="94">
      <c r="B94" s="9"/>
      <c r="H94" s="16"/>
    </row>
    <row r="95">
      <c r="B95" s="9"/>
      <c r="H95" s="16"/>
    </row>
    <row r="96">
      <c r="B96" s="9"/>
      <c r="H96" s="16"/>
    </row>
    <row r="97">
      <c r="B97" s="9"/>
      <c r="H97" s="16"/>
    </row>
    <row r="98">
      <c r="B98" s="9"/>
      <c r="H98" s="16"/>
    </row>
    <row r="99">
      <c r="B99" s="9"/>
      <c r="H99" s="16"/>
    </row>
    <row r="100">
      <c r="B100" s="9"/>
      <c r="H100" s="16"/>
    </row>
    <row r="101">
      <c r="B101" s="9"/>
      <c r="H101" s="16"/>
    </row>
    <row r="102">
      <c r="B102" s="9"/>
      <c r="H102" s="16"/>
    </row>
    <row r="103">
      <c r="B103" s="9"/>
      <c r="H103" s="16"/>
    </row>
    <row r="104">
      <c r="B104" s="9"/>
      <c r="H104" s="16"/>
    </row>
    <row r="105">
      <c r="B105" s="9"/>
      <c r="H105" s="16"/>
    </row>
    <row r="106">
      <c r="B106" s="9"/>
      <c r="H106" s="16"/>
    </row>
    <row r="107">
      <c r="B107" s="9"/>
      <c r="H107" s="16"/>
    </row>
    <row r="108">
      <c r="B108" s="9"/>
      <c r="H108" s="16"/>
    </row>
    <row r="109">
      <c r="B109" s="9"/>
      <c r="H109" s="16"/>
    </row>
    <row r="110">
      <c r="B110" s="9"/>
      <c r="H110" s="16"/>
    </row>
    <row r="111">
      <c r="B111" s="9"/>
      <c r="H111" s="16"/>
    </row>
    <row r="112">
      <c r="B112" s="9"/>
      <c r="H112" s="16"/>
    </row>
    <row r="113">
      <c r="B113" s="9"/>
      <c r="H113" s="16"/>
    </row>
    <row r="114">
      <c r="B114" s="9"/>
      <c r="H114" s="16"/>
    </row>
    <row r="115">
      <c r="B115" s="9"/>
      <c r="H115" s="16"/>
    </row>
    <row r="116">
      <c r="B116" s="9"/>
      <c r="H116" s="16"/>
    </row>
    <row r="117">
      <c r="B117" s="9"/>
      <c r="H117" s="16"/>
    </row>
    <row r="118">
      <c r="B118" s="9"/>
      <c r="H118" s="16"/>
    </row>
    <row r="119">
      <c r="B119" s="9"/>
      <c r="H119" s="16"/>
    </row>
    <row r="120">
      <c r="B120" s="9"/>
      <c r="H120" s="16"/>
    </row>
    <row r="121">
      <c r="B121" s="9"/>
      <c r="H121" s="16"/>
    </row>
    <row r="122">
      <c r="B122" s="9"/>
      <c r="H122" s="16"/>
    </row>
    <row r="123">
      <c r="B123" s="9"/>
      <c r="H123" s="16"/>
    </row>
    <row r="124">
      <c r="B124" s="9"/>
      <c r="H124" s="16"/>
    </row>
    <row r="125">
      <c r="B125" s="9"/>
      <c r="H125" s="16"/>
    </row>
    <row r="126">
      <c r="B126" s="9"/>
      <c r="H126" s="16"/>
    </row>
    <row r="127">
      <c r="B127" s="9"/>
      <c r="H127" s="16"/>
    </row>
    <row r="128">
      <c r="B128" s="9"/>
      <c r="H128" s="16"/>
    </row>
    <row r="129">
      <c r="B129" s="9"/>
      <c r="H129" s="16"/>
    </row>
    <row r="130">
      <c r="B130" s="9"/>
      <c r="H130" s="16"/>
    </row>
    <row r="131">
      <c r="B131" s="9"/>
      <c r="H131" s="16"/>
    </row>
    <row r="132">
      <c r="B132" s="9"/>
      <c r="H132" s="16"/>
    </row>
    <row r="133">
      <c r="B133" s="9"/>
      <c r="H133" s="16"/>
    </row>
    <row r="134">
      <c r="B134" s="9"/>
      <c r="H134" s="16"/>
    </row>
    <row r="135">
      <c r="B135" s="9"/>
      <c r="H135" s="16"/>
    </row>
    <row r="136">
      <c r="B136" s="9"/>
      <c r="H136" s="16"/>
    </row>
    <row r="137">
      <c r="B137" s="9"/>
      <c r="H137" s="16"/>
    </row>
    <row r="138">
      <c r="B138" s="9"/>
      <c r="H138" s="16"/>
    </row>
    <row r="139">
      <c r="B139" s="9"/>
      <c r="H139" s="16"/>
    </row>
    <row r="140">
      <c r="B140" s="9"/>
      <c r="H140" s="16"/>
    </row>
    <row r="141">
      <c r="B141" s="9"/>
      <c r="H141" s="16"/>
    </row>
    <row r="142">
      <c r="B142" s="9"/>
      <c r="H142" s="16"/>
    </row>
    <row r="143">
      <c r="B143" s="9"/>
      <c r="H143" s="16"/>
    </row>
    <row r="144">
      <c r="B144" s="9"/>
      <c r="H144" s="16"/>
    </row>
    <row r="145">
      <c r="B145" s="9"/>
      <c r="H145" s="16"/>
    </row>
    <row r="146">
      <c r="B146" s="9"/>
      <c r="H146" s="16"/>
    </row>
    <row r="147">
      <c r="B147" s="9"/>
      <c r="H147" s="16"/>
    </row>
    <row r="148">
      <c r="B148" s="9"/>
      <c r="H148" s="16"/>
    </row>
    <row r="149">
      <c r="B149" s="9"/>
      <c r="H149" s="16"/>
    </row>
    <row r="150">
      <c r="B150" s="9"/>
      <c r="H150" s="16"/>
    </row>
    <row r="151">
      <c r="B151" s="9"/>
      <c r="H151" s="16"/>
    </row>
    <row r="152">
      <c r="B152" s="9"/>
      <c r="H152" s="16"/>
    </row>
    <row r="153">
      <c r="B153" s="9"/>
      <c r="H153" s="16"/>
    </row>
    <row r="154">
      <c r="B154" s="9"/>
      <c r="H154" s="16"/>
    </row>
    <row r="155">
      <c r="B155" s="9"/>
      <c r="H155" s="16"/>
    </row>
    <row r="156">
      <c r="B156" s="9"/>
      <c r="H156" s="16"/>
    </row>
    <row r="157">
      <c r="B157" s="9"/>
      <c r="H157" s="16"/>
    </row>
    <row r="158">
      <c r="B158" s="9"/>
      <c r="H158" s="16"/>
    </row>
    <row r="159">
      <c r="B159" s="9"/>
      <c r="H159" s="16"/>
    </row>
    <row r="160">
      <c r="B160" s="9"/>
      <c r="H160" s="16"/>
    </row>
    <row r="161">
      <c r="B161" s="9"/>
      <c r="H161" s="16"/>
    </row>
    <row r="162">
      <c r="B162" s="9"/>
      <c r="H162" s="16"/>
    </row>
    <row r="163">
      <c r="B163" s="9"/>
      <c r="H163" s="16"/>
    </row>
    <row r="164">
      <c r="B164" s="9"/>
      <c r="H164" s="16"/>
    </row>
    <row r="165">
      <c r="B165" s="9"/>
      <c r="H165" s="16"/>
    </row>
    <row r="166">
      <c r="B166" s="9"/>
      <c r="H166" s="16"/>
    </row>
    <row r="167">
      <c r="B167" s="9"/>
      <c r="H167" s="16"/>
    </row>
    <row r="168">
      <c r="B168" s="9"/>
      <c r="H168" s="16"/>
    </row>
    <row r="169">
      <c r="B169" s="9"/>
      <c r="H169" s="16"/>
    </row>
    <row r="170">
      <c r="B170" s="9"/>
      <c r="H170" s="16"/>
    </row>
    <row r="171">
      <c r="B171" s="9"/>
      <c r="H171" s="16"/>
    </row>
    <row r="172">
      <c r="B172" s="9"/>
      <c r="H172" s="16"/>
    </row>
    <row r="173">
      <c r="B173" s="9"/>
      <c r="H173" s="16"/>
    </row>
    <row r="174">
      <c r="B174" s="9"/>
      <c r="H174" s="16"/>
    </row>
    <row r="175">
      <c r="B175" s="9"/>
      <c r="H175" s="16"/>
    </row>
    <row r="176">
      <c r="B176" s="9"/>
      <c r="H176" s="16"/>
    </row>
    <row r="177">
      <c r="B177" s="9"/>
      <c r="H177" s="16"/>
    </row>
    <row r="178">
      <c r="B178" s="9"/>
      <c r="H178" s="16"/>
    </row>
    <row r="179">
      <c r="B179" s="9"/>
      <c r="H179" s="16"/>
    </row>
    <row r="180">
      <c r="B180" s="9"/>
      <c r="H180" s="16"/>
    </row>
    <row r="181">
      <c r="B181" s="9"/>
      <c r="H181" s="16"/>
    </row>
    <row r="182">
      <c r="B182" s="9"/>
      <c r="H182" s="16"/>
    </row>
    <row r="183">
      <c r="B183" s="9"/>
      <c r="H183" s="16"/>
    </row>
    <row r="184">
      <c r="B184" s="9"/>
      <c r="H184" s="16"/>
    </row>
    <row r="185">
      <c r="B185" s="9"/>
      <c r="H185" s="16"/>
    </row>
    <row r="186">
      <c r="B186" s="9"/>
      <c r="H186" s="16"/>
    </row>
    <row r="187">
      <c r="B187" s="9"/>
      <c r="H187" s="16"/>
    </row>
    <row r="188">
      <c r="B188" s="9"/>
      <c r="H188" s="16"/>
    </row>
    <row r="189">
      <c r="B189" s="9"/>
      <c r="H189" s="16"/>
    </row>
    <row r="190">
      <c r="B190" s="9"/>
      <c r="H190" s="16"/>
    </row>
    <row r="191">
      <c r="B191" s="9"/>
      <c r="H191" s="16"/>
    </row>
    <row r="192">
      <c r="B192" s="9"/>
      <c r="H192" s="16"/>
    </row>
    <row r="193">
      <c r="B193" s="9"/>
      <c r="H193" s="16"/>
    </row>
    <row r="194">
      <c r="B194" s="9"/>
      <c r="H194" s="16"/>
    </row>
    <row r="195">
      <c r="B195" s="9"/>
      <c r="H195" s="16"/>
    </row>
    <row r="196">
      <c r="B196" s="9"/>
      <c r="H196" s="16"/>
    </row>
    <row r="197">
      <c r="B197" s="9"/>
      <c r="H197" s="16"/>
    </row>
    <row r="198">
      <c r="B198" s="9"/>
      <c r="H198" s="16"/>
    </row>
    <row r="199">
      <c r="B199" s="9"/>
      <c r="H199" s="16"/>
    </row>
    <row r="200">
      <c r="B200" s="9"/>
      <c r="H200" s="16"/>
    </row>
    <row r="201">
      <c r="B201" s="9"/>
      <c r="H201" s="16"/>
    </row>
    <row r="202">
      <c r="B202" s="9"/>
      <c r="H202" s="16"/>
    </row>
    <row r="203">
      <c r="B203" s="9"/>
      <c r="H203" s="16"/>
    </row>
    <row r="204">
      <c r="B204" s="9"/>
      <c r="H204" s="16"/>
    </row>
    <row r="205">
      <c r="B205" s="9"/>
      <c r="H205" s="16"/>
    </row>
    <row r="206">
      <c r="B206" s="9"/>
      <c r="H206" s="16"/>
    </row>
    <row r="207">
      <c r="B207" s="9"/>
      <c r="H207" s="16"/>
    </row>
    <row r="208">
      <c r="B208" s="9"/>
      <c r="H208" s="16"/>
    </row>
    <row r="209">
      <c r="B209" s="9"/>
      <c r="H209" s="16"/>
    </row>
    <row r="210">
      <c r="B210" s="9"/>
      <c r="H210" s="16"/>
    </row>
    <row r="211">
      <c r="B211" s="9"/>
      <c r="H211" s="16"/>
    </row>
    <row r="212">
      <c r="B212" s="9"/>
      <c r="H212" s="16"/>
    </row>
    <row r="213">
      <c r="B213" s="9"/>
      <c r="H213" s="16"/>
    </row>
    <row r="214">
      <c r="B214" s="9"/>
      <c r="H214" s="16"/>
    </row>
    <row r="215">
      <c r="B215" s="9"/>
      <c r="H215" s="16"/>
    </row>
    <row r="216">
      <c r="B216" s="9"/>
      <c r="H216" s="16"/>
    </row>
    <row r="217">
      <c r="B217" s="9"/>
      <c r="H217" s="16"/>
    </row>
    <row r="218">
      <c r="B218" s="9"/>
      <c r="H218" s="16"/>
    </row>
    <row r="219">
      <c r="B219" s="9"/>
      <c r="H219" s="16"/>
    </row>
    <row r="220">
      <c r="B220" s="9"/>
      <c r="H220" s="16"/>
    </row>
    <row r="221">
      <c r="B221" s="9"/>
      <c r="H221" s="16"/>
    </row>
    <row r="222">
      <c r="B222" s="9"/>
      <c r="H222" s="16"/>
    </row>
    <row r="223">
      <c r="B223" s="9"/>
      <c r="H223" s="16"/>
    </row>
    <row r="224">
      <c r="B224" s="9"/>
      <c r="H224" s="16"/>
    </row>
    <row r="225">
      <c r="B225" s="9"/>
      <c r="H225" s="16"/>
    </row>
    <row r="226">
      <c r="B226" s="9"/>
      <c r="H226" s="16"/>
    </row>
    <row r="227">
      <c r="B227" s="9"/>
      <c r="H227" s="16"/>
    </row>
    <row r="228">
      <c r="B228" s="9"/>
      <c r="H228" s="16"/>
    </row>
    <row r="229">
      <c r="B229" s="9"/>
      <c r="H229" s="16"/>
    </row>
    <row r="230">
      <c r="B230" s="9"/>
      <c r="H230" s="16"/>
    </row>
    <row r="231">
      <c r="B231" s="9"/>
      <c r="H231" s="16"/>
    </row>
    <row r="232">
      <c r="B232" s="9"/>
      <c r="H232" s="16"/>
    </row>
    <row r="233">
      <c r="B233" s="9"/>
      <c r="H233" s="16"/>
    </row>
    <row r="234">
      <c r="B234" s="9"/>
      <c r="H234" s="16"/>
    </row>
    <row r="235">
      <c r="B235" s="9"/>
      <c r="H235" s="16"/>
    </row>
    <row r="236">
      <c r="B236" s="9"/>
      <c r="H236" s="16"/>
    </row>
    <row r="237">
      <c r="B237" s="9"/>
      <c r="H237" s="16"/>
    </row>
    <row r="238">
      <c r="B238" s="9"/>
      <c r="H238" s="16"/>
    </row>
    <row r="239">
      <c r="B239" s="9"/>
      <c r="H239" s="16"/>
    </row>
    <row r="240">
      <c r="B240" s="9"/>
      <c r="H240" s="16"/>
    </row>
    <row r="241">
      <c r="B241" s="9"/>
      <c r="H241" s="16"/>
    </row>
    <row r="242">
      <c r="B242" s="9"/>
      <c r="H242" s="16"/>
    </row>
    <row r="243">
      <c r="B243" s="9"/>
      <c r="H243" s="16"/>
    </row>
    <row r="244">
      <c r="B244" s="9"/>
      <c r="H244" s="16"/>
    </row>
    <row r="245">
      <c r="B245" s="9"/>
      <c r="H245" s="16"/>
    </row>
    <row r="246">
      <c r="B246" s="9"/>
      <c r="H246" s="16"/>
    </row>
    <row r="247">
      <c r="B247" s="9"/>
      <c r="H247" s="16"/>
    </row>
    <row r="248">
      <c r="B248" s="9"/>
      <c r="H248" s="16"/>
    </row>
    <row r="249">
      <c r="B249" s="9"/>
      <c r="H249" s="16"/>
    </row>
    <row r="250">
      <c r="B250" s="9"/>
      <c r="H250" s="16"/>
    </row>
    <row r="251">
      <c r="B251" s="9"/>
      <c r="H251" s="16"/>
    </row>
    <row r="252">
      <c r="B252" s="9"/>
      <c r="H252" s="16"/>
    </row>
    <row r="253">
      <c r="B253" s="9"/>
      <c r="H253" s="16"/>
    </row>
    <row r="254">
      <c r="B254" s="9"/>
      <c r="H254" s="16"/>
    </row>
    <row r="255">
      <c r="B255" s="9"/>
      <c r="H255" s="16"/>
    </row>
    <row r="256">
      <c r="B256" s="9"/>
      <c r="H256" s="16"/>
    </row>
    <row r="257">
      <c r="B257" s="9"/>
      <c r="H257" s="16"/>
    </row>
    <row r="258">
      <c r="B258" s="9"/>
      <c r="H258" s="16"/>
    </row>
    <row r="259">
      <c r="B259" s="9"/>
      <c r="H259" s="16"/>
    </row>
    <row r="260">
      <c r="B260" s="9"/>
      <c r="H260" s="16"/>
    </row>
    <row r="261">
      <c r="B261" s="9"/>
      <c r="H261" s="16"/>
    </row>
    <row r="262">
      <c r="B262" s="9"/>
      <c r="H262" s="16"/>
    </row>
    <row r="263">
      <c r="B263" s="9"/>
      <c r="H263" s="16"/>
    </row>
    <row r="264">
      <c r="B264" s="9"/>
      <c r="H264" s="16"/>
    </row>
    <row r="265">
      <c r="B265" s="9"/>
      <c r="H265" s="16"/>
    </row>
    <row r="266">
      <c r="B266" s="9"/>
      <c r="H266" s="16"/>
    </row>
    <row r="267">
      <c r="B267" s="9"/>
      <c r="H267" s="16"/>
    </row>
    <row r="268">
      <c r="B268" s="9"/>
      <c r="H268" s="16"/>
    </row>
    <row r="269">
      <c r="B269" s="9"/>
      <c r="H269" s="16"/>
    </row>
    <row r="270">
      <c r="B270" s="9"/>
      <c r="H270" s="16"/>
    </row>
    <row r="271">
      <c r="B271" s="9"/>
      <c r="H271" s="16"/>
    </row>
    <row r="272">
      <c r="B272" s="9"/>
      <c r="H272" s="16"/>
    </row>
    <row r="273">
      <c r="B273" s="9"/>
      <c r="H273" s="16"/>
    </row>
    <row r="274">
      <c r="B274" s="9"/>
      <c r="H274" s="16"/>
    </row>
    <row r="275">
      <c r="B275" s="9"/>
      <c r="H275" s="16"/>
    </row>
    <row r="276">
      <c r="B276" s="9"/>
      <c r="H276" s="16"/>
    </row>
    <row r="277">
      <c r="B277" s="9"/>
      <c r="H277" s="16"/>
    </row>
    <row r="278">
      <c r="B278" s="9"/>
      <c r="H278" s="16"/>
    </row>
    <row r="279">
      <c r="B279" s="9"/>
      <c r="H279" s="16"/>
    </row>
    <row r="280">
      <c r="B280" s="9"/>
      <c r="H280" s="16"/>
    </row>
    <row r="281">
      <c r="B281" s="9"/>
      <c r="H281" s="16"/>
    </row>
    <row r="282">
      <c r="B282" s="9"/>
      <c r="H282" s="16"/>
    </row>
    <row r="283">
      <c r="B283" s="9"/>
      <c r="H283" s="16"/>
    </row>
    <row r="284">
      <c r="B284" s="9"/>
      <c r="H284" s="16"/>
    </row>
    <row r="285">
      <c r="B285" s="9"/>
      <c r="H285" s="16"/>
    </row>
    <row r="286">
      <c r="B286" s="9"/>
      <c r="H286" s="16"/>
    </row>
    <row r="287">
      <c r="B287" s="9"/>
      <c r="H287" s="16"/>
    </row>
    <row r="288">
      <c r="B288" s="9"/>
      <c r="H288" s="16"/>
    </row>
    <row r="289">
      <c r="B289" s="9"/>
      <c r="H289" s="16"/>
    </row>
    <row r="290">
      <c r="B290" s="9"/>
      <c r="H290" s="16"/>
    </row>
    <row r="291">
      <c r="B291" s="9"/>
      <c r="H291" s="16"/>
    </row>
    <row r="292">
      <c r="B292" s="9"/>
      <c r="H292" s="16"/>
    </row>
    <row r="293">
      <c r="B293" s="9"/>
      <c r="H293" s="16"/>
    </row>
    <row r="294">
      <c r="B294" s="9"/>
      <c r="H294" s="16"/>
    </row>
    <row r="295">
      <c r="B295" s="9"/>
      <c r="H295" s="16"/>
    </row>
    <row r="296">
      <c r="B296" s="9"/>
      <c r="H296" s="16"/>
    </row>
    <row r="297">
      <c r="B297" s="9"/>
      <c r="H297" s="16"/>
    </row>
    <row r="298">
      <c r="B298" s="9"/>
      <c r="H298" s="16"/>
    </row>
    <row r="299">
      <c r="B299" s="9"/>
      <c r="H299" s="16"/>
    </row>
    <row r="300">
      <c r="B300" s="9"/>
      <c r="H300" s="16"/>
    </row>
    <row r="301">
      <c r="B301" s="9"/>
      <c r="H301" s="16"/>
    </row>
    <row r="302">
      <c r="B302" s="9"/>
      <c r="H302" s="16"/>
    </row>
    <row r="303">
      <c r="B303" s="9"/>
      <c r="H303" s="16"/>
    </row>
    <row r="304">
      <c r="B304" s="9"/>
      <c r="H304" s="16"/>
    </row>
    <row r="305">
      <c r="B305" s="9"/>
      <c r="H305" s="16"/>
    </row>
    <row r="306">
      <c r="B306" s="9"/>
      <c r="H306" s="16"/>
    </row>
    <row r="307">
      <c r="B307" s="9"/>
      <c r="H307" s="16"/>
    </row>
    <row r="308">
      <c r="B308" s="9"/>
      <c r="H308" s="16"/>
    </row>
    <row r="309">
      <c r="B309" s="9"/>
      <c r="H309" s="16"/>
    </row>
    <row r="310">
      <c r="B310" s="9"/>
      <c r="H310" s="16"/>
    </row>
    <row r="311">
      <c r="B311" s="9"/>
      <c r="H311" s="16"/>
    </row>
    <row r="312">
      <c r="B312" s="9"/>
      <c r="H312" s="16"/>
    </row>
    <row r="313">
      <c r="B313" s="9"/>
      <c r="H313" s="16"/>
    </row>
    <row r="314">
      <c r="B314" s="9"/>
      <c r="H314" s="16"/>
    </row>
    <row r="315">
      <c r="B315" s="9"/>
      <c r="H315" s="16"/>
    </row>
    <row r="316">
      <c r="B316" s="9"/>
      <c r="H316" s="16"/>
    </row>
    <row r="317">
      <c r="B317" s="9"/>
      <c r="H317" s="16"/>
    </row>
    <row r="318">
      <c r="B318" s="9"/>
      <c r="H318" s="16"/>
    </row>
    <row r="319">
      <c r="B319" s="9"/>
      <c r="H319" s="16"/>
    </row>
    <row r="320">
      <c r="B320" s="9"/>
      <c r="H320" s="16"/>
    </row>
    <row r="321">
      <c r="B321" s="9"/>
      <c r="H321" s="16"/>
    </row>
    <row r="322">
      <c r="B322" s="9"/>
      <c r="H322" s="16"/>
    </row>
    <row r="323">
      <c r="B323" s="9"/>
      <c r="H323" s="16"/>
    </row>
    <row r="324">
      <c r="B324" s="9"/>
      <c r="H324" s="16"/>
    </row>
    <row r="325">
      <c r="B325" s="9"/>
      <c r="H325" s="16"/>
    </row>
    <row r="326">
      <c r="B326" s="9"/>
      <c r="H326" s="16"/>
    </row>
    <row r="327">
      <c r="B327" s="9"/>
      <c r="H327" s="16"/>
    </row>
    <row r="328">
      <c r="B328" s="9"/>
      <c r="H328" s="16"/>
    </row>
    <row r="329">
      <c r="B329" s="9"/>
      <c r="H329" s="16"/>
    </row>
    <row r="330">
      <c r="B330" s="9"/>
      <c r="H330" s="16"/>
    </row>
    <row r="331">
      <c r="B331" s="9"/>
      <c r="H331" s="16"/>
    </row>
    <row r="332">
      <c r="B332" s="9"/>
      <c r="H332" s="16"/>
    </row>
    <row r="333">
      <c r="B333" s="9"/>
      <c r="H333" s="16"/>
    </row>
    <row r="334">
      <c r="B334" s="9"/>
      <c r="H334" s="16"/>
    </row>
    <row r="335">
      <c r="B335" s="9"/>
      <c r="H335" s="16"/>
    </row>
    <row r="336">
      <c r="B336" s="9"/>
      <c r="H336" s="16"/>
    </row>
    <row r="337">
      <c r="B337" s="9"/>
      <c r="H337" s="16"/>
    </row>
    <row r="338">
      <c r="B338" s="9"/>
      <c r="H338" s="16"/>
    </row>
    <row r="339">
      <c r="B339" s="9"/>
      <c r="H339" s="16"/>
    </row>
    <row r="340">
      <c r="B340" s="9"/>
      <c r="H340" s="16"/>
    </row>
    <row r="341">
      <c r="B341" s="9"/>
      <c r="H341" s="16"/>
    </row>
    <row r="342">
      <c r="B342" s="9"/>
      <c r="H342" s="16"/>
    </row>
    <row r="343">
      <c r="B343" s="9"/>
      <c r="H343" s="16"/>
    </row>
    <row r="344">
      <c r="B344" s="9"/>
      <c r="H344" s="16"/>
    </row>
    <row r="345">
      <c r="B345" s="9"/>
      <c r="H345" s="16"/>
    </row>
    <row r="346">
      <c r="B346" s="9"/>
      <c r="H346" s="16"/>
    </row>
    <row r="347">
      <c r="B347" s="9"/>
      <c r="H347" s="16"/>
    </row>
    <row r="348">
      <c r="B348" s="9"/>
      <c r="H348" s="16"/>
    </row>
    <row r="349">
      <c r="B349" s="9"/>
      <c r="H349" s="16"/>
    </row>
    <row r="350">
      <c r="B350" s="9"/>
      <c r="H350" s="16"/>
    </row>
    <row r="351">
      <c r="B351" s="9"/>
      <c r="H351" s="16"/>
    </row>
    <row r="352">
      <c r="B352" s="9"/>
      <c r="H352" s="16"/>
    </row>
    <row r="353">
      <c r="B353" s="9"/>
      <c r="H353" s="16"/>
    </row>
    <row r="354">
      <c r="B354" s="9"/>
      <c r="H354" s="16"/>
    </row>
    <row r="355">
      <c r="B355" s="9"/>
      <c r="H355" s="16"/>
    </row>
    <row r="356">
      <c r="B356" s="9"/>
      <c r="H356" s="16"/>
    </row>
    <row r="357">
      <c r="B357" s="9"/>
      <c r="H357" s="16"/>
    </row>
    <row r="358">
      <c r="B358" s="9"/>
      <c r="H358" s="16"/>
    </row>
    <row r="359">
      <c r="B359" s="9"/>
      <c r="H359" s="16"/>
    </row>
    <row r="360">
      <c r="B360" s="9"/>
      <c r="H360" s="16"/>
    </row>
    <row r="361">
      <c r="B361" s="9"/>
      <c r="H361" s="16"/>
    </row>
    <row r="362">
      <c r="B362" s="9"/>
      <c r="H362" s="16"/>
    </row>
    <row r="363">
      <c r="B363" s="9"/>
      <c r="H363" s="16"/>
    </row>
    <row r="364">
      <c r="B364" s="9"/>
      <c r="H364" s="16"/>
    </row>
    <row r="365">
      <c r="B365" s="9"/>
      <c r="H365" s="16"/>
    </row>
    <row r="366">
      <c r="B366" s="9"/>
      <c r="H366" s="16"/>
    </row>
    <row r="367">
      <c r="B367" s="9"/>
      <c r="H367" s="16"/>
    </row>
    <row r="368">
      <c r="B368" s="9"/>
      <c r="H368" s="16"/>
    </row>
    <row r="369">
      <c r="B369" s="9"/>
      <c r="H369" s="16"/>
    </row>
    <row r="370">
      <c r="B370" s="9"/>
      <c r="H370" s="16"/>
    </row>
    <row r="371">
      <c r="B371" s="9"/>
      <c r="H371" s="16"/>
    </row>
    <row r="372">
      <c r="B372" s="9"/>
      <c r="H372" s="16"/>
    </row>
    <row r="373">
      <c r="B373" s="9"/>
      <c r="H373" s="16"/>
    </row>
    <row r="374">
      <c r="B374" s="9"/>
      <c r="H374" s="16"/>
    </row>
    <row r="375">
      <c r="B375" s="9"/>
      <c r="H375" s="16"/>
    </row>
    <row r="376">
      <c r="B376" s="9"/>
      <c r="H376" s="16"/>
    </row>
    <row r="377">
      <c r="B377" s="9"/>
      <c r="H377" s="16"/>
    </row>
    <row r="378">
      <c r="B378" s="9"/>
      <c r="H378" s="16"/>
    </row>
    <row r="379">
      <c r="B379" s="9"/>
      <c r="H379" s="16"/>
    </row>
    <row r="380">
      <c r="B380" s="9"/>
      <c r="H380" s="16"/>
    </row>
    <row r="381">
      <c r="B381" s="9"/>
      <c r="H381" s="16"/>
    </row>
    <row r="382">
      <c r="B382" s="9"/>
      <c r="H382" s="16"/>
    </row>
    <row r="383">
      <c r="B383" s="9"/>
      <c r="H383" s="16"/>
    </row>
    <row r="384">
      <c r="B384" s="9"/>
      <c r="H384" s="16"/>
    </row>
    <row r="385">
      <c r="B385" s="9"/>
      <c r="H385" s="16"/>
    </row>
    <row r="386">
      <c r="B386" s="9"/>
      <c r="H386" s="16"/>
    </row>
    <row r="387">
      <c r="B387" s="9"/>
      <c r="H387" s="16"/>
    </row>
    <row r="388">
      <c r="B388" s="9"/>
      <c r="H388" s="16"/>
    </row>
    <row r="389">
      <c r="B389" s="9"/>
      <c r="H389" s="16"/>
    </row>
    <row r="390">
      <c r="B390" s="9"/>
      <c r="H390" s="16"/>
    </row>
    <row r="391">
      <c r="B391" s="9"/>
      <c r="H391" s="16"/>
    </row>
    <row r="392">
      <c r="B392" s="9"/>
      <c r="H392" s="16"/>
    </row>
    <row r="393">
      <c r="B393" s="9"/>
      <c r="H393" s="16"/>
    </row>
    <row r="394">
      <c r="B394" s="9"/>
      <c r="H394" s="16"/>
    </row>
    <row r="395">
      <c r="B395" s="9"/>
      <c r="H395" s="16"/>
    </row>
    <row r="396">
      <c r="B396" s="9"/>
      <c r="H396" s="16"/>
    </row>
    <row r="397">
      <c r="B397" s="9"/>
      <c r="H397" s="16"/>
    </row>
    <row r="398">
      <c r="B398" s="9"/>
      <c r="H398" s="16"/>
    </row>
    <row r="399">
      <c r="B399" s="9"/>
      <c r="H399" s="16"/>
    </row>
    <row r="400">
      <c r="B400" s="9"/>
      <c r="H400" s="16"/>
    </row>
    <row r="401">
      <c r="B401" s="9"/>
      <c r="H401" s="16"/>
    </row>
    <row r="402">
      <c r="B402" s="9"/>
      <c r="H402" s="16"/>
    </row>
    <row r="403">
      <c r="B403" s="9"/>
      <c r="H403" s="16"/>
    </row>
    <row r="404">
      <c r="B404" s="9"/>
      <c r="H404" s="16"/>
    </row>
    <row r="405">
      <c r="B405" s="9"/>
      <c r="H405" s="16"/>
    </row>
    <row r="406">
      <c r="B406" s="9"/>
      <c r="H406" s="16"/>
    </row>
    <row r="407">
      <c r="B407" s="9"/>
      <c r="H407" s="16"/>
    </row>
    <row r="408">
      <c r="B408" s="9"/>
      <c r="H408" s="16"/>
    </row>
    <row r="409">
      <c r="B409" s="9"/>
      <c r="H409" s="16"/>
    </row>
    <row r="410">
      <c r="B410" s="9"/>
      <c r="H410" s="16"/>
    </row>
    <row r="411">
      <c r="B411" s="9"/>
      <c r="H411" s="16"/>
    </row>
    <row r="412">
      <c r="B412" s="9"/>
      <c r="H412" s="16"/>
    </row>
    <row r="413">
      <c r="B413" s="9"/>
      <c r="H413" s="16"/>
    </row>
    <row r="414">
      <c r="B414" s="9"/>
      <c r="H414" s="16"/>
    </row>
    <row r="415">
      <c r="B415" s="9"/>
      <c r="H415" s="16"/>
    </row>
    <row r="416">
      <c r="B416" s="9"/>
      <c r="H416" s="16"/>
    </row>
    <row r="417">
      <c r="B417" s="9"/>
      <c r="H417" s="16"/>
    </row>
    <row r="418">
      <c r="B418" s="9"/>
      <c r="H418" s="16"/>
    </row>
    <row r="419">
      <c r="B419" s="9"/>
      <c r="H419" s="16"/>
    </row>
    <row r="420">
      <c r="B420" s="9"/>
      <c r="H420" s="16"/>
    </row>
    <row r="421">
      <c r="B421" s="9"/>
      <c r="H421" s="16"/>
    </row>
    <row r="422">
      <c r="B422" s="9"/>
      <c r="H422" s="16"/>
    </row>
    <row r="423">
      <c r="B423" s="9"/>
      <c r="H423" s="16"/>
    </row>
    <row r="424">
      <c r="B424" s="9"/>
      <c r="H424" s="16"/>
    </row>
    <row r="425">
      <c r="B425" s="9"/>
      <c r="H425" s="16"/>
    </row>
    <row r="426">
      <c r="B426" s="9"/>
      <c r="H426" s="16"/>
    </row>
    <row r="427">
      <c r="B427" s="9"/>
      <c r="H427" s="16"/>
    </row>
    <row r="428">
      <c r="B428" s="9"/>
      <c r="H428" s="16"/>
    </row>
    <row r="429">
      <c r="B429" s="9"/>
      <c r="H429" s="16"/>
    </row>
    <row r="430">
      <c r="B430" s="9"/>
      <c r="H430" s="16"/>
    </row>
    <row r="431">
      <c r="B431" s="9"/>
      <c r="H431" s="16"/>
    </row>
    <row r="432">
      <c r="B432" s="9"/>
      <c r="H432" s="16"/>
    </row>
    <row r="433">
      <c r="B433" s="9"/>
      <c r="H433" s="16"/>
    </row>
    <row r="434">
      <c r="B434" s="9"/>
      <c r="H434" s="16"/>
    </row>
    <row r="435">
      <c r="B435" s="9"/>
      <c r="H435" s="16"/>
    </row>
    <row r="436">
      <c r="B436" s="9"/>
      <c r="H436" s="16"/>
    </row>
    <row r="437">
      <c r="B437" s="9"/>
      <c r="H437" s="16"/>
    </row>
    <row r="438">
      <c r="B438" s="9"/>
      <c r="H438" s="16"/>
    </row>
    <row r="439">
      <c r="B439" s="9"/>
      <c r="H439" s="16"/>
    </row>
    <row r="440">
      <c r="B440" s="9"/>
      <c r="H440" s="16"/>
    </row>
    <row r="441">
      <c r="B441" s="9"/>
      <c r="H441" s="16"/>
    </row>
    <row r="442">
      <c r="B442" s="9"/>
      <c r="H442" s="16"/>
    </row>
    <row r="443">
      <c r="B443" s="9"/>
      <c r="H443" s="16"/>
    </row>
    <row r="444">
      <c r="B444" s="9"/>
      <c r="H444" s="16"/>
    </row>
    <row r="445">
      <c r="B445" s="9"/>
      <c r="H445" s="16"/>
    </row>
    <row r="446">
      <c r="B446" s="9"/>
      <c r="H446" s="16"/>
    </row>
    <row r="447">
      <c r="B447" s="9"/>
      <c r="H447" s="16"/>
    </row>
    <row r="448">
      <c r="B448" s="9"/>
      <c r="H448" s="16"/>
    </row>
    <row r="449">
      <c r="B449" s="9"/>
      <c r="H449" s="16"/>
    </row>
    <row r="450">
      <c r="B450" s="9"/>
      <c r="H450" s="16"/>
    </row>
    <row r="451">
      <c r="B451" s="9"/>
      <c r="H451" s="16"/>
    </row>
    <row r="452">
      <c r="B452" s="9"/>
      <c r="H452" s="16"/>
    </row>
    <row r="453">
      <c r="B453" s="9"/>
      <c r="H453" s="16"/>
    </row>
    <row r="454">
      <c r="B454" s="9"/>
      <c r="H454" s="16"/>
    </row>
    <row r="455">
      <c r="B455" s="9"/>
      <c r="H455" s="16"/>
    </row>
    <row r="456">
      <c r="B456" s="9"/>
      <c r="H456" s="16"/>
    </row>
    <row r="457">
      <c r="B457" s="9"/>
      <c r="H457" s="16"/>
    </row>
    <row r="458">
      <c r="B458" s="9"/>
      <c r="H458" s="16"/>
    </row>
    <row r="459">
      <c r="B459" s="9"/>
      <c r="H459" s="16"/>
    </row>
    <row r="460">
      <c r="B460" s="9"/>
      <c r="H460" s="16"/>
    </row>
    <row r="461">
      <c r="B461" s="9"/>
      <c r="H461" s="16"/>
    </row>
    <row r="462">
      <c r="B462" s="9"/>
      <c r="H462" s="16"/>
    </row>
    <row r="463">
      <c r="B463" s="9"/>
      <c r="H463" s="16"/>
    </row>
    <row r="464">
      <c r="B464" s="9"/>
      <c r="H464" s="16"/>
    </row>
    <row r="465">
      <c r="B465" s="9"/>
      <c r="H465" s="16"/>
    </row>
    <row r="466">
      <c r="B466" s="9"/>
      <c r="H466" s="16"/>
    </row>
    <row r="467">
      <c r="B467" s="9"/>
      <c r="H467" s="16"/>
    </row>
    <row r="468">
      <c r="B468" s="9"/>
      <c r="H468" s="16"/>
    </row>
    <row r="469">
      <c r="B469" s="9"/>
      <c r="H469" s="16"/>
    </row>
    <row r="470">
      <c r="B470" s="9"/>
      <c r="H470" s="16"/>
    </row>
    <row r="471">
      <c r="B471" s="9"/>
      <c r="H471" s="16"/>
    </row>
    <row r="472">
      <c r="B472" s="9"/>
      <c r="H472" s="16"/>
    </row>
    <row r="473">
      <c r="B473" s="9"/>
      <c r="H473" s="16"/>
    </row>
    <row r="474">
      <c r="B474" s="9"/>
      <c r="H474" s="16"/>
    </row>
    <row r="475">
      <c r="B475" s="9"/>
      <c r="H475" s="16"/>
    </row>
    <row r="476">
      <c r="B476" s="9"/>
      <c r="H476" s="16"/>
    </row>
    <row r="477">
      <c r="B477" s="9"/>
      <c r="H477" s="16"/>
    </row>
    <row r="478">
      <c r="B478" s="9"/>
      <c r="H478" s="16"/>
    </row>
    <row r="479">
      <c r="B479" s="9"/>
      <c r="H479" s="16"/>
    </row>
    <row r="480">
      <c r="B480" s="9"/>
      <c r="H480" s="16"/>
    </row>
    <row r="481">
      <c r="B481" s="9"/>
      <c r="H481" s="16"/>
    </row>
    <row r="482">
      <c r="B482" s="9"/>
      <c r="H482" s="16"/>
    </row>
    <row r="483">
      <c r="B483" s="9"/>
      <c r="H483" s="16"/>
    </row>
    <row r="484">
      <c r="B484" s="9"/>
      <c r="H484" s="16"/>
    </row>
    <row r="485">
      <c r="B485" s="9"/>
      <c r="H485" s="16"/>
    </row>
    <row r="486">
      <c r="B486" s="9"/>
      <c r="H486" s="16"/>
    </row>
    <row r="487">
      <c r="B487" s="9"/>
      <c r="H487" s="16"/>
    </row>
    <row r="488">
      <c r="B488" s="9"/>
      <c r="H488" s="16"/>
    </row>
    <row r="489">
      <c r="B489" s="9"/>
      <c r="H489" s="16"/>
    </row>
    <row r="490">
      <c r="B490" s="9"/>
      <c r="H490" s="16"/>
    </row>
    <row r="491">
      <c r="B491" s="9"/>
      <c r="H491" s="16"/>
    </row>
    <row r="492">
      <c r="B492" s="9"/>
      <c r="H492" s="16"/>
    </row>
    <row r="493">
      <c r="B493" s="9"/>
      <c r="H493" s="16"/>
    </row>
    <row r="494">
      <c r="B494" s="9"/>
      <c r="H494" s="16"/>
    </row>
    <row r="495">
      <c r="B495" s="9"/>
      <c r="H495" s="16"/>
    </row>
    <row r="496">
      <c r="B496" s="9"/>
      <c r="H496" s="16"/>
    </row>
    <row r="497">
      <c r="B497" s="9"/>
      <c r="H497" s="16"/>
    </row>
    <row r="498">
      <c r="B498" s="9"/>
      <c r="H498" s="16"/>
    </row>
    <row r="499">
      <c r="B499" s="9"/>
      <c r="H499" s="16"/>
    </row>
    <row r="500">
      <c r="B500" s="9"/>
      <c r="H500" s="16"/>
    </row>
    <row r="501">
      <c r="B501" s="9"/>
      <c r="H501" s="16"/>
    </row>
    <row r="502">
      <c r="B502" s="9"/>
      <c r="H502" s="16"/>
    </row>
    <row r="503">
      <c r="B503" s="9"/>
      <c r="H503" s="16"/>
    </row>
    <row r="504">
      <c r="B504" s="9"/>
      <c r="H504" s="16"/>
    </row>
    <row r="505">
      <c r="B505" s="9"/>
      <c r="H505" s="16"/>
    </row>
    <row r="506">
      <c r="B506" s="9"/>
      <c r="H506" s="16"/>
    </row>
    <row r="507">
      <c r="B507" s="9"/>
      <c r="H507" s="16"/>
    </row>
    <row r="508">
      <c r="B508" s="9"/>
      <c r="H508" s="16"/>
    </row>
    <row r="509">
      <c r="B509" s="9"/>
      <c r="H509" s="16"/>
    </row>
    <row r="510">
      <c r="B510" s="9"/>
      <c r="H510" s="16"/>
    </row>
    <row r="511">
      <c r="B511" s="9"/>
      <c r="H511" s="16"/>
    </row>
    <row r="512">
      <c r="B512" s="9"/>
      <c r="H512" s="16"/>
    </row>
    <row r="513">
      <c r="B513" s="9"/>
      <c r="H513" s="16"/>
    </row>
    <row r="514">
      <c r="B514" s="9"/>
      <c r="H514" s="16"/>
    </row>
    <row r="515">
      <c r="B515" s="9"/>
      <c r="H515" s="16"/>
    </row>
    <row r="516">
      <c r="B516" s="9"/>
      <c r="H516" s="16"/>
    </row>
    <row r="517">
      <c r="B517" s="9"/>
      <c r="H517" s="16"/>
    </row>
    <row r="518">
      <c r="B518" s="9"/>
      <c r="H518" s="16"/>
    </row>
    <row r="519">
      <c r="B519" s="9"/>
      <c r="H519" s="16"/>
    </row>
    <row r="520">
      <c r="B520" s="9"/>
      <c r="H520" s="16"/>
    </row>
    <row r="521">
      <c r="B521" s="9"/>
      <c r="H521" s="16"/>
    </row>
    <row r="522">
      <c r="B522" s="9"/>
      <c r="H522" s="16"/>
    </row>
    <row r="523">
      <c r="B523" s="9"/>
      <c r="H523" s="16"/>
    </row>
    <row r="524">
      <c r="B524" s="9"/>
      <c r="H524" s="16"/>
    </row>
    <row r="525">
      <c r="B525" s="9"/>
      <c r="H525" s="16"/>
    </row>
    <row r="526">
      <c r="B526" s="9"/>
      <c r="H526" s="16"/>
    </row>
    <row r="527">
      <c r="B527" s="9"/>
      <c r="H527" s="16"/>
    </row>
    <row r="528">
      <c r="B528" s="9"/>
      <c r="H528" s="16"/>
    </row>
    <row r="529">
      <c r="B529" s="9"/>
      <c r="H529" s="16"/>
    </row>
    <row r="530">
      <c r="B530" s="9"/>
      <c r="H530" s="16"/>
    </row>
    <row r="531">
      <c r="B531" s="9"/>
      <c r="H531" s="16"/>
    </row>
    <row r="532">
      <c r="B532" s="9"/>
      <c r="H532" s="16"/>
    </row>
    <row r="533">
      <c r="B533" s="9"/>
      <c r="H533" s="16"/>
    </row>
    <row r="534">
      <c r="B534" s="9"/>
      <c r="H534" s="16"/>
    </row>
    <row r="535">
      <c r="B535" s="9"/>
      <c r="H535" s="16"/>
    </row>
    <row r="536">
      <c r="B536" s="9"/>
      <c r="H536" s="16"/>
    </row>
    <row r="537">
      <c r="B537" s="9"/>
      <c r="H537" s="16"/>
    </row>
    <row r="538">
      <c r="B538" s="9"/>
      <c r="H538" s="16"/>
    </row>
    <row r="539">
      <c r="B539" s="9"/>
      <c r="H539" s="16"/>
    </row>
    <row r="540">
      <c r="B540" s="9"/>
      <c r="H540" s="16"/>
    </row>
    <row r="541">
      <c r="B541" s="9"/>
      <c r="H541" s="16"/>
    </row>
    <row r="542">
      <c r="B542" s="9"/>
      <c r="H542" s="16"/>
    </row>
    <row r="543">
      <c r="B543" s="9"/>
      <c r="H543" s="16"/>
    </row>
    <row r="544">
      <c r="B544" s="9"/>
      <c r="H544" s="16"/>
    </row>
    <row r="545">
      <c r="B545" s="9"/>
      <c r="H545" s="16"/>
    </row>
    <row r="546">
      <c r="B546" s="9"/>
      <c r="H546" s="16"/>
    </row>
    <row r="547">
      <c r="B547" s="9"/>
      <c r="H547" s="16"/>
    </row>
    <row r="548">
      <c r="B548" s="9"/>
      <c r="H548" s="16"/>
    </row>
    <row r="549">
      <c r="B549" s="9"/>
      <c r="H549" s="16"/>
    </row>
    <row r="550">
      <c r="B550" s="9"/>
      <c r="H550" s="16"/>
    </row>
    <row r="551">
      <c r="B551" s="9"/>
      <c r="H551" s="16"/>
    </row>
    <row r="552">
      <c r="B552" s="9"/>
      <c r="H552" s="16"/>
    </row>
    <row r="553">
      <c r="B553" s="9"/>
      <c r="H553" s="16"/>
    </row>
    <row r="554">
      <c r="B554" s="9"/>
      <c r="H554" s="16"/>
    </row>
    <row r="555">
      <c r="B555" s="9"/>
      <c r="H555" s="16"/>
    </row>
    <row r="556">
      <c r="B556" s="9"/>
      <c r="H556" s="16"/>
    </row>
    <row r="557">
      <c r="B557" s="9"/>
      <c r="H557" s="16"/>
    </row>
    <row r="558">
      <c r="B558" s="9"/>
      <c r="H558" s="16"/>
    </row>
    <row r="559">
      <c r="B559" s="9"/>
      <c r="H559" s="16"/>
    </row>
    <row r="560">
      <c r="B560" s="9"/>
      <c r="H560" s="16"/>
    </row>
    <row r="561">
      <c r="B561" s="9"/>
      <c r="H561" s="16"/>
    </row>
    <row r="562">
      <c r="B562" s="9"/>
      <c r="H562" s="16"/>
    </row>
    <row r="563">
      <c r="B563" s="9"/>
      <c r="H563" s="16"/>
    </row>
    <row r="564">
      <c r="B564" s="9"/>
      <c r="H564" s="16"/>
    </row>
    <row r="565">
      <c r="B565" s="9"/>
      <c r="H565" s="16"/>
    </row>
    <row r="566">
      <c r="B566" s="9"/>
      <c r="H566" s="16"/>
    </row>
    <row r="567">
      <c r="B567" s="9"/>
      <c r="H567" s="16"/>
    </row>
    <row r="568">
      <c r="B568" s="9"/>
      <c r="H568" s="16"/>
    </row>
    <row r="569">
      <c r="B569" s="9"/>
      <c r="H569" s="16"/>
    </row>
    <row r="570">
      <c r="B570" s="9"/>
      <c r="H570" s="16"/>
    </row>
    <row r="571">
      <c r="B571" s="9"/>
      <c r="H571" s="16"/>
    </row>
    <row r="572">
      <c r="B572" s="9"/>
      <c r="H572" s="16"/>
    </row>
    <row r="573">
      <c r="B573" s="9"/>
      <c r="H573" s="16"/>
    </row>
    <row r="574">
      <c r="B574" s="9"/>
      <c r="H574" s="16"/>
    </row>
    <row r="575">
      <c r="B575" s="9"/>
      <c r="H575" s="16"/>
    </row>
    <row r="576">
      <c r="B576" s="9"/>
      <c r="H576" s="16"/>
    </row>
    <row r="577">
      <c r="B577" s="9"/>
      <c r="H577" s="16"/>
    </row>
    <row r="578">
      <c r="B578" s="9"/>
      <c r="H578" s="16"/>
    </row>
    <row r="579">
      <c r="B579" s="9"/>
      <c r="H579" s="16"/>
    </row>
    <row r="580">
      <c r="B580" s="9"/>
      <c r="H580" s="16"/>
    </row>
    <row r="581">
      <c r="B581" s="9"/>
      <c r="H581" s="16"/>
    </row>
    <row r="582">
      <c r="B582" s="9"/>
      <c r="H582" s="16"/>
    </row>
    <row r="583">
      <c r="B583" s="9"/>
      <c r="H583" s="16"/>
    </row>
    <row r="584">
      <c r="B584" s="9"/>
      <c r="H584" s="16"/>
    </row>
    <row r="585">
      <c r="B585" s="9"/>
      <c r="H585" s="16"/>
    </row>
    <row r="586">
      <c r="B586" s="9"/>
      <c r="H586" s="16"/>
    </row>
    <row r="587">
      <c r="B587" s="9"/>
      <c r="H587" s="16"/>
    </row>
    <row r="588">
      <c r="B588" s="9"/>
      <c r="H588" s="16"/>
    </row>
    <row r="589">
      <c r="B589" s="9"/>
      <c r="H589" s="16"/>
    </row>
    <row r="590">
      <c r="B590" s="9"/>
      <c r="H590" s="16"/>
    </row>
    <row r="591">
      <c r="B591" s="9"/>
      <c r="H591" s="16"/>
    </row>
    <row r="592">
      <c r="B592" s="9"/>
      <c r="H592" s="16"/>
    </row>
    <row r="593">
      <c r="B593" s="9"/>
      <c r="H593" s="16"/>
    </row>
    <row r="594">
      <c r="B594" s="9"/>
      <c r="H594" s="16"/>
    </row>
    <row r="595">
      <c r="B595" s="9"/>
      <c r="H595" s="16"/>
    </row>
    <row r="596">
      <c r="B596" s="9"/>
      <c r="H596" s="16"/>
    </row>
    <row r="597">
      <c r="B597" s="9"/>
      <c r="H597" s="16"/>
    </row>
    <row r="598">
      <c r="B598" s="9"/>
      <c r="H598" s="16"/>
    </row>
    <row r="599">
      <c r="B599" s="9"/>
      <c r="H599" s="16"/>
    </row>
    <row r="600">
      <c r="B600" s="9"/>
      <c r="H600" s="16"/>
    </row>
    <row r="601">
      <c r="B601" s="9"/>
      <c r="H601" s="16"/>
    </row>
    <row r="602">
      <c r="B602" s="9"/>
      <c r="H602" s="16"/>
    </row>
    <row r="603">
      <c r="B603" s="9"/>
      <c r="H603" s="16"/>
    </row>
    <row r="604">
      <c r="B604" s="9"/>
      <c r="H604" s="16"/>
    </row>
    <row r="605">
      <c r="B605" s="9"/>
      <c r="H605" s="16"/>
    </row>
    <row r="606">
      <c r="B606" s="9"/>
      <c r="H606" s="16"/>
    </row>
    <row r="607">
      <c r="B607" s="9"/>
      <c r="H607" s="16"/>
    </row>
    <row r="608">
      <c r="B608" s="9"/>
      <c r="H608" s="16"/>
    </row>
    <row r="609">
      <c r="B609" s="9"/>
      <c r="H609" s="16"/>
    </row>
    <row r="610">
      <c r="B610" s="9"/>
      <c r="H610" s="16"/>
    </row>
    <row r="611">
      <c r="B611" s="9"/>
      <c r="H611" s="16"/>
    </row>
    <row r="612">
      <c r="B612" s="9"/>
      <c r="H612" s="16"/>
    </row>
    <row r="613">
      <c r="B613" s="9"/>
      <c r="H613" s="16"/>
    </row>
    <row r="614">
      <c r="B614" s="9"/>
      <c r="H614" s="16"/>
    </row>
    <row r="615">
      <c r="B615" s="9"/>
      <c r="H615" s="16"/>
    </row>
    <row r="616">
      <c r="B616" s="9"/>
      <c r="H616" s="16"/>
    </row>
    <row r="617">
      <c r="B617" s="9"/>
      <c r="H617" s="16"/>
    </row>
    <row r="618">
      <c r="B618" s="9"/>
      <c r="H618" s="16"/>
    </row>
    <row r="619">
      <c r="B619" s="9"/>
      <c r="H619" s="16"/>
    </row>
    <row r="620">
      <c r="B620" s="9"/>
      <c r="H620" s="16"/>
    </row>
    <row r="621">
      <c r="B621" s="9"/>
      <c r="H621" s="16"/>
    </row>
    <row r="622">
      <c r="B622" s="9"/>
      <c r="H622" s="16"/>
    </row>
    <row r="623">
      <c r="B623" s="9"/>
      <c r="H623" s="16"/>
    </row>
    <row r="624">
      <c r="B624" s="9"/>
      <c r="H624" s="16"/>
    </row>
    <row r="625">
      <c r="B625" s="9"/>
      <c r="H625" s="16"/>
    </row>
    <row r="626">
      <c r="B626" s="9"/>
      <c r="H626" s="16"/>
    </row>
    <row r="627">
      <c r="B627" s="9"/>
      <c r="H627" s="16"/>
    </row>
    <row r="628">
      <c r="B628" s="9"/>
      <c r="H628" s="16"/>
    </row>
    <row r="629">
      <c r="B629" s="9"/>
      <c r="H629" s="16"/>
    </row>
    <row r="630">
      <c r="B630" s="9"/>
      <c r="H630" s="16"/>
    </row>
    <row r="631">
      <c r="B631" s="9"/>
      <c r="H631" s="16"/>
    </row>
    <row r="632">
      <c r="B632" s="9"/>
      <c r="H632" s="16"/>
    </row>
    <row r="633">
      <c r="B633" s="9"/>
      <c r="H633" s="16"/>
    </row>
    <row r="634">
      <c r="B634" s="9"/>
      <c r="H634" s="16"/>
    </row>
    <row r="635">
      <c r="B635" s="9"/>
      <c r="H635" s="16"/>
    </row>
    <row r="636">
      <c r="B636" s="9"/>
      <c r="H636" s="16"/>
    </row>
    <row r="637">
      <c r="B637" s="9"/>
      <c r="H637" s="16"/>
    </row>
    <row r="638">
      <c r="B638" s="9"/>
      <c r="H638" s="16"/>
    </row>
    <row r="639">
      <c r="B639" s="9"/>
      <c r="H639" s="16"/>
    </row>
    <row r="640">
      <c r="B640" s="9"/>
      <c r="H640" s="16"/>
    </row>
    <row r="641">
      <c r="B641" s="9"/>
      <c r="H641" s="16"/>
    </row>
    <row r="642">
      <c r="B642" s="9"/>
      <c r="H642" s="16"/>
    </row>
    <row r="643">
      <c r="B643" s="9"/>
      <c r="H643" s="16"/>
    </row>
    <row r="644">
      <c r="B644" s="9"/>
      <c r="H644" s="16"/>
    </row>
    <row r="645">
      <c r="B645" s="9"/>
      <c r="H645" s="16"/>
    </row>
    <row r="646">
      <c r="B646" s="9"/>
      <c r="H646" s="16"/>
    </row>
    <row r="647">
      <c r="B647" s="9"/>
      <c r="H647" s="16"/>
    </row>
    <row r="648">
      <c r="B648" s="9"/>
      <c r="H648" s="16"/>
    </row>
    <row r="649">
      <c r="B649" s="9"/>
      <c r="H649" s="16"/>
    </row>
    <row r="650">
      <c r="B650" s="9"/>
      <c r="H650" s="16"/>
    </row>
    <row r="651">
      <c r="B651" s="9"/>
      <c r="H651" s="16"/>
    </row>
    <row r="652">
      <c r="B652" s="9"/>
      <c r="H652" s="16"/>
    </row>
    <row r="653">
      <c r="B653" s="9"/>
      <c r="H653" s="16"/>
    </row>
    <row r="654">
      <c r="B654" s="9"/>
      <c r="H654" s="16"/>
    </row>
    <row r="655">
      <c r="B655" s="9"/>
      <c r="H655" s="16"/>
    </row>
    <row r="656">
      <c r="B656" s="9"/>
      <c r="H656" s="16"/>
    </row>
    <row r="657">
      <c r="B657" s="9"/>
      <c r="H657" s="16"/>
    </row>
    <row r="658">
      <c r="B658" s="9"/>
      <c r="H658" s="16"/>
    </row>
    <row r="659">
      <c r="B659" s="9"/>
      <c r="H659" s="16"/>
    </row>
    <row r="660">
      <c r="B660" s="9"/>
      <c r="H660" s="16"/>
    </row>
    <row r="661">
      <c r="B661" s="9"/>
      <c r="H661" s="16"/>
    </row>
    <row r="662">
      <c r="B662" s="9"/>
      <c r="H662" s="16"/>
    </row>
    <row r="663">
      <c r="B663" s="9"/>
      <c r="H663" s="16"/>
    </row>
    <row r="664">
      <c r="B664" s="9"/>
      <c r="H664" s="16"/>
    </row>
    <row r="665">
      <c r="B665" s="9"/>
      <c r="H665" s="16"/>
    </row>
    <row r="666">
      <c r="B666" s="9"/>
      <c r="H666" s="16"/>
    </row>
    <row r="667">
      <c r="B667" s="9"/>
      <c r="H667" s="16"/>
    </row>
    <row r="668">
      <c r="B668" s="9"/>
      <c r="H668" s="16"/>
    </row>
    <row r="669">
      <c r="B669" s="9"/>
      <c r="H669" s="16"/>
    </row>
    <row r="670">
      <c r="B670" s="9"/>
      <c r="H670" s="16"/>
    </row>
    <row r="671">
      <c r="B671" s="9"/>
      <c r="H671" s="16"/>
    </row>
    <row r="672">
      <c r="B672" s="9"/>
      <c r="H672" s="16"/>
    </row>
    <row r="673">
      <c r="B673" s="9"/>
      <c r="H673" s="16"/>
    </row>
    <row r="674">
      <c r="B674" s="9"/>
      <c r="H674" s="16"/>
    </row>
    <row r="675">
      <c r="B675" s="9"/>
      <c r="H675" s="16"/>
    </row>
    <row r="676">
      <c r="B676" s="9"/>
      <c r="H676" s="16"/>
    </row>
    <row r="677">
      <c r="B677" s="9"/>
      <c r="H677" s="16"/>
    </row>
    <row r="678">
      <c r="B678" s="9"/>
      <c r="H678" s="16"/>
    </row>
    <row r="679">
      <c r="B679" s="9"/>
      <c r="H679" s="16"/>
    </row>
    <row r="680">
      <c r="B680" s="9"/>
      <c r="H680" s="16"/>
    </row>
    <row r="681">
      <c r="B681" s="9"/>
      <c r="H681" s="16"/>
    </row>
    <row r="682">
      <c r="B682" s="9"/>
      <c r="H682" s="16"/>
    </row>
    <row r="683">
      <c r="B683" s="9"/>
      <c r="H683" s="16"/>
    </row>
    <row r="684">
      <c r="B684" s="9"/>
      <c r="H684" s="16"/>
    </row>
    <row r="685">
      <c r="B685" s="9"/>
      <c r="H685" s="16"/>
    </row>
    <row r="686">
      <c r="B686" s="9"/>
      <c r="H686" s="16"/>
    </row>
    <row r="687">
      <c r="B687" s="9"/>
      <c r="H687" s="16"/>
    </row>
    <row r="688">
      <c r="B688" s="9"/>
      <c r="H688" s="16"/>
    </row>
    <row r="689">
      <c r="B689" s="9"/>
      <c r="H689" s="16"/>
    </row>
    <row r="690">
      <c r="B690" s="9"/>
      <c r="H690" s="16"/>
    </row>
    <row r="691">
      <c r="B691" s="9"/>
      <c r="H691" s="16"/>
    </row>
    <row r="692">
      <c r="B692" s="9"/>
      <c r="H692" s="16"/>
    </row>
    <row r="693">
      <c r="B693" s="9"/>
      <c r="H693" s="16"/>
    </row>
    <row r="694">
      <c r="B694" s="9"/>
      <c r="H694" s="16"/>
    </row>
    <row r="695">
      <c r="B695" s="9"/>
      <c r="H695" s="16"/>
    </row>
    <row r="696">
      <c r="B696" s="9"/>
      <c r="H696" s="16"/>
    </row>
    <row r="697">
      <c r="B697" s="9"/>
      <c r="H697" s="16"/>
    </row>
    <row r="698">
      <c r="B698" s="9"/>
      <c r="H698" s="16"/>
    </row>
    <row r="699">
      <c r="B699" s="9"/>
      <c r="H699" s="16"/>
    </row>
    <row r="700">
      <c r="B700" s="9"/>
      <c r="H700" s="16"/>
    </row>
    <row r="701">
      <c r="B701" s="9"/>
      <c r="H701" s="16"/>
    </row>
    <row r="702">
      <c r="B702" s="9"/>
      <c r="H702" s="16"/>
    </row>
    <row r="703">
      <c r="B703" s="9"/>
      <c r="H703" s="16"/>
    </row>
    <row r="704">
      <c r="B704" s="9"/>
      <c r="H704" s="16"/>
    </row>
    <row r="705">
      <c r="B705" s="9"/>
      <c r="H705" s="16"/>
    </row>
    <row r="706">
      <c r="B706" s="9"/>
      <c r="H706" s="16"/>
    </row>
    <row r="707">
      <c r="B707" s="9"/>
      <c r="H707" s="16"/>
    </row>
    <row r="708">
      <c r="B708" s="9"/>
      <c r="H708" s="16"/>
    </row>
    <row r="709">
      <c r="B709" s="9"/>
      <c r="H709" s="16"/>
    </row>
    <row r="710">
      <c r="B710" s="9"/>
      <c r="H710" s="16"/>
    </row>
    <row r="711">
      <c r="B711" s="9"/>
      <c r="H711" s="16"/>
    </row>
    <row r="712">
      <c r="B712" s="9"/>
      <c r="H712" s="16"/>
    </row>
    <row r="713">
      <c r="B713" s="9"/>
      <c r="H713" s="16"/>
    </row>
    <row r="714">
      <c r="B714" s="9"/>
      <c r="H714" s="16"/>
    </row>
    <row r="715">
      <c r="B715" s="9"/>
      <c r="H715" s="16"/>
    </row>
    <row r="716">
      <c r="B716" s="9"/>
      <c r="H716" s="16"/>
    </row>
    <row r="717">
      <c r="B717" s="9"/>
      <c r="H717" s="16"/>
    </row>
    <row r="718">
      <c r="B718" s="9"/>
      <c r="H718" s="16"/>
    </row>
    <row r="719">
      <c r="B719" s="9"/>
      <c r="H719" s="16"/>
    </row>
    <row r="720">
      <c r="B720" s="9"/>
      <c r="H720" s="16"/>
    </row>
    <row r="721">
      <c r="B721" s="9"/>
      <c r="H721" s="16"/>
    </row>
    <row r="722">
      <c r="B722" s="9"/>
      <c r="H722" s="16"/>
    </row>
    <row r="723">
      <c r="B723" s="9"/>
      <c r="H723" s="16"/>
    </row>
    <row r="724">
      <c r="B724" s="9"/>
      <c r="H724" s="16"/>
    </row>
    <row r="725">
      <c r="B725" s="9"/>
      <c r="H725" s="16"/>
    </row>
    <row r="726">
      <c r="B726" s="9"/>
      <c r="H726" s="16"/>
    </row>
    <row r="727">
      <c r="B727" s="9"/>
      <c r="H727" s="16"/>
    </row>
    <row r="728">
      <c r="B728" s="9"/>
      <c r="H728" s="16"/>
    </row>
    <row r="729">
      <c r="B729" s="9"/>
      <c r="H729" s="16"/>
    </row>
    <row r="730">
      <c r="B730" s="9"/>
      <c r="H730" s="16"/>
    </row>
    <row r="731">
      <c r="B731" s="9"/>
      <c r="H731" s="16"/>
    </row>
    <row r="732">
      <c r="B732" s="9"/>
      <c r="H732" s="16"/>
    </row>
    <row r="733">
      <c r="B733" s="9"/>
      <c r="H733" s="16"/>
    </row>
    <row r="734">
      <c r="B734" s="9"/>
      <c r="H734" s="16"/>
    </row>
    <row r="735">
      <c r="B735" s="9"/>
      <c r="H735" s="16"/>
    </row>
    <row r="736">
      <c r="B736" s="9"/>
      <c r="H736" s="16"/>
    </row>
    <row r="737">
      <c r="B737" s="9"/>
      <c r="H737" s="16"/>
    </row>
    <row r="738">
      <c r="B738" s="9"/>
      <c r="H738" s="16"/>
    </row>
    <row r="739">
      <c r="B739" s="9"/>
      <c r="H739" s="16"/>
    </row>
    <row r="740">
      <c r="B740" s="9"/>
      <c r="H740" s="16"/>
    </row>
    <row r="741">
      <c r="B741" s="9"/>
      <c r="H741" s="16"/>
    </row>
    <row r="742">
      <c r="B742" s="9"/>
      <c r="H742" s="16"/>
    </row>
    <row r="743">
      <c r="B743" s="9"/>
      <c r="H743" s="16"/>
    </row>
    <row r="744">
      <c r="B744" s="9"/>
      <c r="H744" s="16"/>
    </row>
    <row r="745">
      <c r="B745" s="9"/>
      <c r="H745" s="16"/>
    </row>
    <row r="746">
      <c r="B746" s="9"/>
      <c r="H746" s="16"/>
    </row>
    <row r="747">
      <c r="B747" s="9"/>
      <c r="H747" s="16"/>
    </row>
    <row r="748">
      <c r="B748" s="9"/>
      <c r="H748" s="16"/>
    </row>
    <row r="749">
      <c r="B749" s="9"/>
      <c r="H749" s="16"/>
    </row>
    <row r="750">
      <c r="B750" s="9"/>
      <c r="H750" s="16"/>
    </row>
    <row r="751">
      <c r="B751" s="9"/>
      <c r="H751" s="16"/>
    </row>
    <row r="752">
      <c r="B752" s="9"/>
      <c r="H752" s="16"/>
    </row>
    <row r="753">
      <c r="B753" s="9"/>
      <c r="H753" s="16"/>
    </row>
    <row r="754">
      <c r="B754" s="9"/>
      <c r="H754" s="16"/>
    </row>
    <row r="755">
      <c r="B755" s="9"/>
      <c r="H755" s="16"/>
    </row>
    <row r="756">
      <c r="B756" s="9"/>
      <c r="H756" s="16"/>
    </row>
    <row r="757">
      <c r="B757" s="9"/>
      <c r="H757" s="16"/>
    </row>
    <row r="758">
      <c r="B758" s="9"/>
      <c r="H758" s="16"/>
    </row>
    <row r="759">
      <c r="B759" s="9"/>
      <c r="H759" s="16"/>
    </row>
    <row r="760">
      <c r="B760" s="9"/>
      <c r="H760" s="16"/>
    </row>
    <row r="761">
      <c r="B761" s="9"/>
      <c r="H761" s="16"/>
    </row>
    <row r="762">
      <c r="B762" s="9"/>
      <c r="H762" s="16"/>
    </row>
    <row r="763">
      <c r="B763" s="9"/>
      <c r="H763" s="16"/>
    </row>
    <row r="764">
      <c r="B764" s="9"/>
      <c r="H764" s="16"/>
    </row>
    <row r="765">
      <c r="B765" s="9"/>
      <c r="H765" s="16"/>
    </row>
    <row r="766">
      <c r="B766" s="9"/>
      <c r="H766" s="16"/>
    </row>
    <row r="767">
      <c r="B767" s="9"/>
      <c r="H767" s="16"/>
    </row>
    <row r="768">
      <c r="B768" s="9"/>
      <c r="H768" s="16"/>
    </row>
    <row r="769">
      <c r="B769" s="9"/>
      <c r="H769" s="16"/>
    </row>
    <row r="770">
      <c r="B770" s="9"/>
      <c r="H770" s="16"/>
    </row>
    <row r="771">
      <c r="B771" s="9"/>
      <c r="H771" s="16"/>
    </row>
    <row r="772">
      <c r="B772" s="9"/>
      <c r="H772" s="16"/>
    </row>
    <row r="773">
      <c r="B773" s="9"/>
      <c r="H773" s="16"/>
    </row>
    <row r="774">
      <c r="B774" s="9"/>
      <c r="H774" s="16"/>
    </row>
    <row r="775">
      <c r="B775" s="9"/>
      <c r="H775" s="16"/>
    </row>
    <row r="776">
      <c r="B776" s="9"/>
      <c r="H776" s="16"/>
    </row>
    <row r="777">
      <c r="B777" s="9"/>
      <c r="H777" s="16"/>
    </row>
    <row r="778">
      <c r="B778" s="9"/>
      <c r="H778" s="16"/>
    </row>
    <row r="779">
      <c r="B779" s="9"/>
      <c r="H779" s="16"/>
    </row>
    <row r="780">
      <c r="B780" s="9"/>
      <c r="H780" s="16"/>
    </row>
    <row r="781">
      <c r="B781" s="9"/>
      <c r="H781" s="16"/>
    </row>
    <row r="782">
      <c r="B782" s="9"/>
      <c r="H782" s="16"/>
    </row>
    <row r="783">
      <c r="B783" s="9"/>
      <c r="H783" s="16"/>
    </row>
    <row r="784">
      <c r="B784" s="9"/>
      <c r="H784" s="16"/>
    </row>
    <row r="785">
      <c r="B785" s="9"/>
      <c r="H785" s="16"/>
    </row>
    <row r="786">
      <c r="B786" s="9"/>
      <c r="H786" s="16"/>
    </row>
    <row r="787">
      <c r="B787" s="9"/>
      <c r="H787" s="16"/>
    </row>
    <row r="788">
      <c r="B788" s="9"/>
      <c r="H788" s="16"/>
    </row>
    <row r="789">
      <c r="B789" s="9"/>
      <c r="H789" s="16"/>
    </row>
    <row r="790">
      <c r="B790" s="9"/>
      <c r="H790" s="16"/>
    </row>
    <row r="791">
      <c r="B791" s="9"/>
      <c r="H791" s="16"/>
    </row>
    <row r="792">
      <c r="B792" s="9"/>
      <c r="H792" s="16"/>
    </row>
    <row r="793">
      <c r="B793" s="9"/>
      <c r="H793" s="16"/>
    </row>
    <row r="794">
      <c r="B794" s="9"/>
      <c r="H794" s="16"/>
    </row>
    <row r="795">
      <c r="B795" s="9"/>
      <c r="H795" s="16"/>
    </row>
    <row r="796">
      <c r="B796" s="9"/>
      <c r="H796" s="16"/>
    </row>
    <row r="797">
      <c r="B797" s="9"/>
      <c r="H797" s="16"/>
    </row>
    <row r="798">
      <c r="B798" s="9"/>
      <c r="H798" s="16"/>
    </row>
    <row r="799">
      <c r="B799" s="9"/>
      <c r="H799" s="16"/>
    </row>
    <row r="800">
      <c r="B800" s="9"/>
      <c r="H800" s="16"/>
    </row>
    <row r="801">
      <c r="B801" s="9"/>
      <c r="H801" s="16"/>
    </row>
    <row r="802">
      <c r="B802" s="9"/>
      <c r="H802" s="16"/>
    </row>
    <row r="803">
      <c r="B803" s="9"/>
      <c r="H803" s="16"/>
    </row>
    <row r="804">
      <c r="B804" s="9"/>
      <c r="H804" s="16"/>
    </row>
    <row r="805">
      <c r="B805" s="9"/>
      <c r="H805" s="16"/>
    </row>
    <row r="806">
      <c r="B806" s="9"/>
      <c r="H806" s="16"/>
    </row>
    <row r="807">
      <c r="B807" s="9"/>
      <c r="H807" s="16"/>
    </row>
    <row r="808">
      <c r="B808" s="9"/>
      <c r="H808" s="16"/>
    </row>
    <row r="809">
      <c r="B809" s="9"/>
      <c r="H809" s="16"/>
    </row>
    <row r="810">
      <c r="B810" s="9"/>
      <c r="H810" s="16"/>
    </row>
    <row r="811">
      <c r="B811" s="9"/>
      <c r="H811" s="16"/>
    </row>
    <row r="812">
      <c r="B812" s="9"/>
      <c r="H812" s="16"/>
    </row>
    <row r="813">
      <c r="B813" s="9"/>
      <c r="H813" s="16"/>
    </row>
    <row r="814">
      <c r="B814" s="9"/>
      <c r="H814" s="16"/>
    </row>
    <row r="815">
      <c r="B815" s="9"/>
      <c r="H815" s="16"/>
    </row>
    <row r="816">
      <c r="B816" s="9"/>
      <c r="H816" s="16"/>
    </row>
    <row r="817">
      <c r="B817" s="9"/>
      <c r="H817" s="16"/>
    </row>
    <row r="818">
      <c r="B818" s="9"/>
      <c r="H818" s="16"/>
    </row>
    <row r="819">
      <c r="B819" s="9"/>
      <c r="H819" s="16"/>
    </row>
    <row r="820">
      <c r="B820" s="9"/>
      <c r="H820" s="16"/>
    </row>
    <row r="821">
      <c r="B821" s="9"/>
      <c r="H821" s="16"/>
    </row>
    <row r="822">
      <c r="B822" s="9"/>
      <c r="H822" s="16"/>
    </row>
    <row r="823">
      <c r="B823" s="9"/>
      <c r="H823" s="16"/>
    </row>
    <row r="824">
      <c r="B824" s="9"/>
      <c r="H824" s="16"/>
    </row>
    <row r="825">
      <c r="B825" s="9"/>
      <c r="H825" s="16"/>
    </row>
    <row r="826">
      <c r="B826" s="9"/>
      <c r="H826" s="16"/>
    </row>
    <row r="827">
      <c r="B827" s="9"/>
      <c r="H827" s="16"/>
    </row>
    <row r="828">
      <c r="B828" s="9"/>
      <c r="H828" s="16"/>
    </row>
    <row r="829">
      <c r="B829" s="9"/>
      <c r="H829" s="16"/>
    </row>
    <row r="830">
      <c r="B830" s="9"/>
      <c r="H830" s="16"/>
    </row>
    <row r="831">
      <c r="B831" s="9"/>
      <c r="H831" s="16"/>
    </row>
    <row r="832">
      <c r="B832" s="9"/>
      <c r="H832" s="16"/>
    </row>
    <row r="833">
      <c r="B833" s="9"/>
      <c r="H833" s="16"/>
    </row>
    <row r="834">
      <c r="B834" s="9"/>
      <c r="H834" s="16"/>
    </row>
    <row r="835">
      <c r="B835" s="9"/>
      <c r="H835" s="16"/>
    </row>
    <row r="836">
      <c r="B836" s="9"/>
      <c r="H836" s="16"/>
    </row>
    <row r="837">
      <c r="B837" s="9"/>
      <c r="H837" s="16"/>
    </row>
    <row r="838">
      <c r="B838" s="9"/>
      <c r="H838" s="16"/>
    </row>
    <row r="839">
      <c r="B839" s="9"/>
      <c r="H839" s="16"/>
    </row>
    <row r="840">
      <c r="B840" s="9"/>
      <c r="H840" s="16"/>
    </row>
    <row r="841">
      <c r="B841" s="9"/>
      <c r="H841" s="16"/>
    </row>
    <row r="842">
      <c r="B842" s="9"/>
      <c r="H842" s="16"/>
    </row>
    <row r="843">
      <c r="B843" s="9"/>
      <c r="H843" s="16"/>
    </row>
    <row r="844">
      <c r="B844" s="9"/>
      <c r="H844" s="16"/>
    </row>
    <row r="845">
      <c r="B845" s="9"/>
      <c r="H845" s="16"/>
    </row>
    <row r="846">
      <c r="B846" s="9"/>
      <c r="H846" s="16"/>
    </row>
    <row r="847">
      <c r="B847" s="9"/>
      <c r="H847" s="16"/>
    </row>
    <row r="848">
      <c r="B848" s="9"/>
      <c r="H848" s="16"/>
    </row>
    <row r="849">
      <c r="B849" s="9"/>
      <c r="H849" s="16"/>
    </row>
    <row r="850">
      <c r="B850" s="9"/>
      <c r="H850" s="16"/>
    </row>
    <row r="851">
      <c r="B851" s="9"/>
      <c r="H851" s="16"/>
    </row>
    <row r="852">
      <c r="B852" s="9"/>
      <c r="H852" s="16"/>
    </row>
    <row r="853">
      <c r="B853" s="9"/>
      <c r="H853" s="16"/>
    </row>
    <row r="854">
      <c r="B854" s="9"/>
      <c r="H854" s="16"/>
    </row>
    <row r="855">
      <c r="B855" s="9"/>
      <c r="H855" s="16"/>
    </row>
    <row r="856">
      <c r="B856" s="9"/>
      <c r="H856" s="16"/>
    </row>
    <row r="857">
      <c r="B857" s="9"/>
      <c r="H857" s="16"/>
    </row>
    <row r="858">
      <c r="B858" s="9"/>
      <c r="H858" s="16"/>
    </row>
    <row r="859">
      <c r="B859" s="9"/>
      <c r="H859" s="16"/>
    </row>
    <row r="860">
      <c r="B860" s="9"/>
      <c r="H860" s="16"/>
    </row>
    <row r="861">
      <c r="B861" s="9"/>
      <c r="H861" s="16"/>
    </row>
    <row r="862">
      <c r="B862" s="9"/>
      <c r="H862" s="16"/>
    </row>
    <row r="863">
      <c r="B863" s="9"/>
      <c r="H863" s="16"/>
    </row>
    <row r="864">
      <c r="B864" s="9"/>
      <c r="H864" s="16"/>
    </row>
    <row r="865">
      <c r="B865" s="9"/>
      <c r="H865" s="16"/>
    </row>
    <row r="866">
      <c r="B866" s="9"/>
      <c r="H866" s="16"/>
    </row>
    <row r="867">
      <c r="B867" s="9"/>
      <c r="H867" s="16"/>
    </row>
    <row r="868">
      <c r="B868" s="9"/>
      <c r="H868" s="16"/>
    </row>
    <row r="869">
      <c r="B869" s="9"/>
      <c r="H869" s="16"/>
    </row>
    <row r="870">
      <c r="B870" s="9"/>
      <c r="H870" s="16"/>
    </row>
    <row r="871">
      <c r="B871" s="9"/>
      <c r="H871" s="16"/>
    </row>
    <row r="872">
      <c r="B872" s="9"/>
      <c r="H872" s="16"/>
    </row>
    <row r="873">
      <c r="B873" s="9"/>
      <c r="H873" s="16"/>
    </row>
    <row r="874">
      <c r="B874" s="9"/>
      <c r="H874" s="16"/>
    </row>
    <row r="875">
      <c r="B875" s="9"/>
      <c r="H875" s="16"/>
    </row>
    <row r="876">
      <c r="B876" s="9"/>
      <c r="H876" s="16"/>
    </row>
    <row r="877">
      <c r="B877" s="9"/>
      <c r="H877" s="16"/>
    </row>
    <row r="878">
      <c r="B878" s="9"/>
      <c r="H878" s="16"/>
    </row>
    <row r="879">
      <c r="B879" s="9"/>
      <c r="H879" s="16"/>
    </row>
    <row r="880">
      <c r="B880" s="9"/>
      <c r="H880" s="16"/>
    </row>
    <row r="881">
      <c r="B881" s="9"/>
      <c r="H881" s="16"/>
    </row>
    <row r="882">
      <c r="B882" s="9"/>
      <c r="H882" s="16"/>
    </row>
    <row r="883">
      <c r="B883" s="9"/>
      <c r="H883" s="16"/>
    </row>
    <row r="884">
      <c r="B884" s="9"/>
      <c r="H884" s="16"/>
    </row>
    <row r="885">
      <c r="B885" s="9"/>
      <c r="H885" s="16"/>
    </row>
    <row r="886">
      <c r="B886" s="9"/>
      <c r="H886" s="16"/>
    </row>
    <row r="887">
      <c r="B887" s="9"/>
      <c r="H887" s="16"/>
    </row>
    <row r="888">
      <c r="B888" s="9"/>
      <c r="H888" s="16"/>
    </row>
    <row r="889">
      <c r="B889" s="9"/>
      <c r="H889" s="16"/>
    </row>
    <row r="890">
      <c r="B890" s="9"/>
      <c r="H890" s="16"/>
    </row>
    <row r="891">
      <c r="B891" s="9"/>
      <c r="H891" s="16"/>
    </row>
    <row r="892">
      <c r="B892" s="9"/>
      <c r="H892" s="16"/>
    </row>
    <row r="893">
      <c r="B893" s="9"/>
      <c r="H893" s="16"/>
    </row>
    <row r="894">
      <c r="B894" s="9"/>
      <c r="H894" s="16"/>
    </row>
    <row r="895">
      <c r="B895" s="9"/>
      <c r="H895" s="16"/>
    </row>
    <row r="896">
      <c r="B896" s="9"/>
      <c r="H896" s="16"/>
    </row>
    <row r="897">
      <c r="B897" s="9"/>
      <c r="H897" s="16"/>
    </row>
    <row r="898">
      <c r="B898" s="9"/>
      <c r="H898" s="16"/>
    </row>
    <row r="899">
      <c r="B899" s="9"/>
      <c r="H899" s="16"/>
    </row>
    <row r="900">
      <c r="B900" s="9"/>
      <c r="H900" s="16"/>
    </row>
    <row r="901">
      <c r="B901" s="9"/>
      <c r="H901" s="16"/>
    </row>
    <row r="902">
      <c r="B902" s="9"/>
      <c r="H902" s="16"/>
    </row>
    <row r="903">
      <c r="B903" s="9"/>
      <c r="H903" s="16"/>
    </row>
    <row r="904">
      <c r="B904" s="9"/>
      <c r="H904" s="16"/>
    </row>
    <row r="905">
      <c r="B905" s="9"/>
      <c r="H905" s="16"/>
    </row>
    <row r="906">
      <c r="B906" s="9"/>
      <c r="H906" s="16"/>
    </row>
    <row r="907">
      <c r="B907" s="9"/>
      <c r="H907" s="16"/>
    </row>
    <row r="908">
      <c r="B908" s="9"/>
      <c r="H908" s="16"/>
    </row>
    <row r="909">
      <c r="B909" s="9"/>
      <c r="H909" s="16"/>
    </row>
    <row r="910">
      <c r="B910" s="9"/>
      <c r="H910" s="16"/>
    </row>
    <row r="911">
      <c r="B911" s="9"/>
      <c r="H911" s="16"/>
    </row>
    <row r="912">
      <c r="B912" s="9"/>
      <c r="H912" s="16"/>
    </row>
    <row r="913">
      <c r="B913" s="9"/>
      <c r="H913" s="16"/>
    </row>
    <row r="914">
      <c r="B914" s="9"/>
      <c r="H914" s="16"/>
    </row>
    <row r="915">
      <c r="B915" s="9"/>
      <c r="H915" s="16"/>
    </row>
    <row r="916">
      <c r="B916" s="9"/>
      <c r="H916" s="16"/>
    </row>
    <row r="917">
      <c r="B917" s="9"/>
      <c r="H917" s="16"/>
    </row>
    <row r="918">
      <c r="B918" s="9"/>
      <c r="H918" s="16"/>
    </row>
    <row r="919">
      <c r="B919" s="9"/>
      <c r="H919" s="16"/>
    </row>
    <row r="920">
      <c r="B920" s="9"/>
      <c r="H920" s="16"/>
    </row>
    <row r="921">
      <c r="B921" s="9"/>
      <c r="H921" s="16"/>
    </row>
    <row r="922">
      <c r="B922" s="9"/>
      <c r="H922" s="16"/>
    </row>
    <row r="923">
      <c r="B923" s="9"/>
      <c r="H923" s="16"/>
    </row>
    <row r="924">
      <c r="B924" s="9"/>
      <c r="H924" s="16"/>
    </row>
    <row r="925">
      <c r="B925" s="9"/>
      <c r="H925" s="16"/>
    </row>
    <row r="926">
      <c r="B926" s="9"/>
      <c r="H926" s="16"/>
    </row>
    <row r="927">
      <c r="B927" s="9"/>
      <c r="H927" s="16"/>
    </row>
    <row r="928">
      <c r="B928" s="9"/>
      <c r="H928" s="16"/>
    </row>
    <row r="929">
      <c r="B929" s="9"/>
      <c r="H929" s="16"/>
    </row>
    <row r="930">
      <c r="B930" s="9"/>
      <c r="H930" s="16"/>
    </row>
    <row r="931">
      <c r="B931" s="9"/>
      <c r="H931" s="16"/>
    </row>
    <row r="932">
      <c r="B932" s="9"/>
      <c r="H932" s="16"/>
    </row>
    <row r="933">
      <c r="B933" s="9"/>
      <c r="H933" s="16"/>
    </row>
    <row r="934">
      <c r="B934" s="9"/>
      <c r="H934" s="16"/>
    </row>
    <row r="935">
      <c r="B935" s="9"/>
      <c r="H935" s="16"/>
    </row>
    <row r="936">
      <c r="B936" s="9"/>
      <c r="H936" s="16"/>
    </row>
    <row r="937">
      <c r="B937" s="9"/>
      <c r="H937" s="16"/>
    </row>
    <row r="938">
      <c r="B938" s="9"/>
      <c r="H938" s="16"/>
    </row>
    <row r="939">
      <c r="B939" s="9"/>
      <c r="H939" s="16"/>
    </row>
    <row r="940">
      <c r="B940" s="9"/>
      <c r="H940" s="16"/>
    </row>
    <row r="941">
      <c r="B941" s="9"/>
      <c r="H941" s="16"/>
    </row>
    <row r="942">
      <c r="B942" s="9"/>
      <c r="H942" s="16"/>
    </row>
    <row r="943">
      <c r="B943" s="9"/>
      <c r="H943" s="16"/>
    </row>
    <row r="944">
      <c r="B944" s="9"/>
      <c r="H944" s="16"/>
    </row>
    <row r="945">
      <c r="B945" s="9"/>
      <c r="H945" s="16"/>
    </row>
    <row r="946">
      <c r="B946" s="9"/>
      <c r="H946" s="16"/>
    </row>
    <row r="947">
      <c r="B947" s="9"/>
      <c r="H947" s="16"/>
    </row>
    <row r="948">
      <c r="B948" s="9"/>
      <c r="H948" s="16"/>
    </row>
    <row r="949">
      <c r="B949" s="9"/>
      <c r="H949" s="16"/>
    </row>
    <row r="950">
      <c r="B950" s="9"/>
      <c r="H950" s="16"/>
    </row>
    <row r="951">
      <c r="B951" s="9"/>
      <c r="H951" s="16"/>
    </row>
    <row r="952">
      <c r="B952" s="9"/>
      <c r="H952" s="16"/>
    </row>
    <row r="953">
      <c r="B953" s="9"/>
      <c r="H953" s="16"/>
    </row>
    <row r="954">
      <c r="B954" s="9"/>
      <c r="H954" s="16"/>
    </row>
    <row r="955">
      <c r="B955" s="9"/>
      <c r="H955" s="16"/>
    </row>
    <row r="956">
      <c r="B956" s="9"/>
      <c r="H956" s="16"/>
    </row>
    <row r="957">
      <c r="B957" s="9"/>
      <c r="H957" s="16"/>
    </row>
    <row r="958">
      <c r="B958" s="9"/>
      <c r="H958" s="16"/>
    </row>
    <row r="959">
      <c r="B959" s="9"/>
      <c r="H959" s="16"/>
    </row>
    <row r="960">
      <c r="B960" s="9"/>
      <c r="H960" s="16"/>
    </row>
    <row r="961">
      <c r="B961" s="9"/>
      <c r="H961" s="16"/>
    </row>
    <row r="962">
      <c r="B962" s="9"/>
      <c r="H962" s="16"/>
    </row>
    <row r="963">
      <c r="B963" s="9"/>
      <c r="H963" s="16"/>
    </row>
    <row r="964">
      <c r="B964" s="9"/>
      <c r="H964" s="16"/>
    </row>
    <row r="965">
      <c r="B965" s="9"/>
      <c r="H965" s="16"/>
    </row>
    <row r="966">
      <c r="B966" s="9"/>
      <c r="H966" s="16"/>
    </row>
    <row r="967">
      <c r="B967" s="9"/>
      <c r="H967" s="16"/>
    </row>
    <row r="968">
      <c r="B968" s="9"/>
      <c r="H968" s="16"/>
    </row>
    <row r="969">
      <c r="B969" s="9"/>
      <c r="H969" s="16"/>
    </row>
    <row r="970">
      <c r="B970" s="9"/>
      <c r="H970" s="16"/>
    </row>
    <row r="971">
      <c r="B971" s="9"/>
      <c r="H971" s="16"/>
    </row>
    <row r="972">
      <c r="B972" s="9"/>
      <c r="H972" s="16"/>
    </row>
    <row r="973">
      <c r="B973" s="9"/>
      <c r="H973" s="16"/>
    </row>
    <row r="974">
      <c r="B974" s="9"/>
      <c r="H974" s="16"/>
    </row>
    <row r="975">
      <c r="B975" s="9"/>
      <c r="H975" s="16"/>
    </row>
    <row r="976">
      <c r="B976" s="9"/>
      <c r="H976" s="16"/>
    </row>
    <row r="977">
      <c r="B977" s="9"/>
      <c r="H977" s="16"/>
    </row>
    <row r="978">
      <c r="B978" s="9"/>
      <c r="H978" s="16"/>
    </row>
    <row r="979">
      <c r="B979" s="9"/>
      <c r="H979" s="16"/>
    </row>
    <row r="980">
      <c r="B980" s="9"/>
      <c r="H980" s="16"/>
    </row>
    <row r="981">
      <c r="B981" s="9"/>
      <c r="H981" s="16"/>
    </row>
    <row r="982">
      <c r="B982" s="9"/>
      <c r="H982" s="16"/>
    </row>
    <row r="983">
      <c r="B983" s="9"/>
      <c r="H983" s="16"/>
    </row>
    <row r="984">
      <c r="B984" s="9"/>
      <c r="H984" s="16"/>
    </row>
    <row r="985">
      <c r="B985" s="9"/>
      <c r="H985" s="16"/>
    </row>
    <row r="986">
      <c r="B986" s="9"/>
      <c r="H986" s="16"/>
    </row>
    <row r="987">
      <c r="B987" s="9"/>
      <c r="H987" s="16"/>
    </row>
    <row r="988">
      <c r="B988" s="9"/>
      <c r="H988" s="16"/>
    </row>
    <row r="989">
      <c r="B989" s="9"/>
      <c r="H989" s="16"/>
    </row>
    <row r="990">
      <c r="B990" s="9"/>
      <c r="H990" s="16"/>
    </row>
    <row r="991">
      <c r="B991" s="9"/>
      <c r="H991" s="16"/>
    </row>
    <row r="992">
      <c r="B992" s="9"/>
      <c r="H992" s="16"/>
    </row>
    <row r="993">
      <c r="B993" s="9"/>
      <c r="H993" s="16"/>
    </row>
    <row r="994">
      <c r="B994" s="9"/>
      <c r="H994" s="16"/>
    </row>
    <row r="995">
      <c r="B995" s="9"/>
      <c r="H995" s="16"/>
    </row>
    <row r="996">
      <c r="B996" s="9"/>
      <c r="H996" s="16"/>
    </row>
    <row r="997">
      <c r="B997" s="9"/>
      <c r="H997" s="16"/>
    </row>
    <row r="998">
      <c r="B998" s="9"/>
      <c r="H998" s="16"/>
    </row>
    <row r="999">
      <c r="B999" s="9"/>
      <c r="H999" s="16"/>
    </row>
    <row r="1000">
      <c r="B1000" s="9"/>
      <c r="H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5" width="7.63"/>
    <col customWidth="1" min="6" max="18" width="10.13"/>
    <col customWidth="1" min="19" max="25" width="7.63"/>
  </cols>
  <sheetData>
    <row r="1">
      <c r="A1" s="8" t="s">
        <v>57</v>
      </c>
      <c r="B1" s="13" t="s">
        <v>63</v>
      </c>
      <c r="C1" s="13" t="s">
        <v>58</v>
      </c>
      <c r="D1" s="13" t="s">
        <v>16</v>
      </c>
      <c r="E1" s="13" t="s">
        <v>83</v>
      </c>
      <c r="F1" s="13" t="s">
        <v>84</v>
      </c>
      <c r="G1" s="13" t="s">
        <v>85</v>
      </c>
      <c r="H1" s="13" t="s">
        <v>86</v>
      </c>
      <c r="I1" s="13" t="s">
        <v>87</v>
      </c>
      <c r="J1" s="13" t="s">
        <v>88</v>
      </c>
      <c r="K1" s="13" t="s">
        <v>89</v>
      </c>
      <c r="L1" s="13" t="s">
        <v>90</v>
      </c>
      <c r="M1" s="13" t="s">
        <v>91</v>
      </c>
      <c r="N1" s="13" t="s">
        <v>92</v>
      </c>
      <c r="O1" s="13" t="s">
        <v>93</v>
      </c>
      <c r="P1" s="13" t="s">
        <v>94</v>
      </c>
      <c r="Q1" s="13" t="s">
        <v>95</v>
      </c>
      <c r="R1" s="9"/>
      <c r="S1" s="9"/>
      <c r="T1" s="9"/>
      <c r="U1" s="9"/>
      <c r="V1" s="9"/>
      <c r="W1" s="9"/>
      <c r="X1" s="9"/>
      <c r="Y1" s="9"/>
    </row>
    <row r="2">
      <c r="A2" s="8" t="s">
        <v>2</v>
      </c>
      <c r="B2" s="8">
        <v>155.8</v>
      </c>
      <c r="C2" s="13">
        <v>8.0</v>
      </c>
      <c r="D2" s="13">
        <v>99.0</v>
      </c>
      <c r="E2" s="14">
        <v>0.7443609022556391</v>
      </c>
      <c r="F2" s="13">
        <v>18.0</v>
      </c>
      <c r="G2" s="14">
        <v>0.8181818181818182</v>
      </c>
      <c r="H2" s="13">
        <v>10.0</v>
      </c>
      <c r="I2" s="14">
        <v>0.9090909090909091</v>
      </c>
      <c r="J2" s="13">
        <v>21.0</v>
      </c>
      <c r="K2" s="14">
        <v>0.75</v>
      </c>
      <c r="L2" s="13">
        <v>19.0</v>
      </c>
      <c r="M2" s="14">
        <v>0.7037037037037037</v>
      </c>
      <c r="N2" s="13">
        <v>18.0</v>
      </c>
      <c r="O2" s="14">
        <v>0.72</v>
      </c>
      <c r="P2" s="13">
        <v>13.0</v>
      </c>
      <c r="Q2" s="14">
        <v>0.65</v>
      </c>
      <c r="R2" s="14"/>
      <c r="S2" s="9"/>
      <c r="T2" s="9"/>
      <c r="U2" s="9"/>
      <c r="V2" s="9"/>
      <c r="W2" s="9"/>
      <c r="X2" s="9"/>
      <c r="Y2" s="9"/>
    </row>
    <row r="3">
      <c r="A3" s="13" t="s">
        <v>5</v>
      </c>
      <c r="B3" s="13">
        <v>126.0</v>
      </c>
      <c r="C3" s="13">
        <v>8.0</v>
      </c>
      <c r="D3" s="13">
        <v>72.0</v>
      </c>
      <c r="E3" s="14">
        <v>0.6206896551724138</v>
      </c>
      <c r="F3" s="13">
        <v>14.0</v>
      </c>
      <c r="G3" s="14">
        <v>0.6086956521739131</v>
      </c>
      <c r="H3" s="13">
        <v>21.0</v>
      </c>
      <c r="I3" s="14">
        <v>0.875</v>
      </c>
      <c r="J3" s="13">
        <v>5.0</v>
      </c>
      <c r="K3" s="14">
        <v>0.35714285714285715</v>
      </c>
      <c r="L3" s="13">
        <v>11.0</v>
      </c>
      <c r="M3" s="14">
        <v>0.5</v>
      </c>
      <c r="N3" s="13">
        <v>11.0</v>
      </c>
      <c r="O3" s="14">
        <v>0.6470588235294118</v>
      </c>
      <c r="P3" s="13">
        <v>10.0</v>
      </c>
      <c r="Q3" s="14">
        <v>0.625</v>
      </c>
      <c r="R3" s="14"/>
      <c r="S3" s="9"/>
      <c r="T3" s="9"/>
      <c r="U3" s="9"/>
      <c r="V3" s="9"/>
      <c r="W3" s="9"/>
      <c r="X3" s="9"/>
      <c r="Y3" s="9"/>
    </row>
    <row r="4">
      <c r="A4" s="13" t="s">
        <v>4</v>
      </c>
      <c r="B4" s="13">
        <v>105.25</v>
      </c>
      <c r="C4" s="13">
        <v>8.0</v>
      </c>
      <c r="D4" s="13">
        <v>49.0</v>
      </c>
      <c r="E4" s="14">
        <v>0.5903614457831325</v>
      </c>
      <c r="F4" s="13">
        <v>3.0</v>
      </c>
      <c r="G4" s="14">
        <v>0.5</v>
      </c>
      <c r="H4" s="13">
        <v>6.0</v>
      </c>
      <c r="I4" s="14">
        <v>0.46153846153846156</v>
      </c>
      <c r="J4" s="13">
        <v>16.0</v>
      </c>
      <c r="K4" s="14">
        <v>0.8421052631578947</v>
      </c>
      <c r="L4" s="13">
        <v>5.0</v>
      </c>
      <c r="M4" s="14">
        <v>0.38461538461538464</v>
      </c>
      <c r="N4" s="13">
        <v>6.0</v>
      </c>
      <c r="O4" s="14">
        <v>0.5</v>
      </c>
      <c r="P4" s="13">
        <v>13.0</v>
      </c>
      <c r="Q4" s="14">
        <v>0.65</v>
      </c>
      <c r="R4" s="14"/>
      <c r="S4" s="9"/>
      <c r="T4" s="9"/>
      <c r="U4" s="9"/>
      <c r="V4" s="9"/>
      <c r="W4" s="9"/>
      <c r="X4" s="9"/>
      <c r="Y4" s="9"/>
    </row>
    <row r="5">
      <c r="A5" s="13" t="s">
        <v>8</v>
      </c>
      <c r="B5" s="13">
        <v>104.25</v>
      </c>
      <c r="C5" s="13">
        <v>8.0</v>
      </c>
      <c r="D5" s="13">
        <v>45.0</v>
      </c>
      <c r="E5" s="14">
        <v>0.5294117647058824</v>
      </c>
      <c r="F5" s="13">
        <v>10.0</v>
      </c>
      <c r="G5" s="14">
        <v>0.625</v>
      </c>
      <c r="H5" s="13">
        <v>8.0</v>
      </c>
      <c r="I5" s="14">
        <v>0.6666666666666666</v>
      </c>
      <c r="J5" s="13">
        <v>5.0</v>
      </c>
      <c r="K5" s="14">
        <v>0.4166666666666667</v>
      </c>
      <c r="L5" s="13">
        <v>7.0</v>
      </c>
      <c r="M5" s="14">
        <v>0.4666666666666667</v>
      </c>
      <c r="N5" s="13">
        <v>9.0</v>
      </c>
      <c r="O5" s="14">
        <v>0.5</v>
      </c>
      <c r="P5" s="13">
        <v>6.0</v>
      </c>
      <c r="Q5" s="14">
        <v>0.5</v>
      </c>
      <c r="R5" s="14"/>
      <c r="S5" s="9"/>
      <c r="T5" s="9"/>
      <c r="U5" s="9"/>
      <c r="V5" s="9"/>
      <c r="W5" s="9"/>
      <c r="X5" s="9"/>
      <c r="Y5" s="9"/>
    </row>
    <row r="6">
      <c r="A6" s="13" t="s">
        <v>6</v>
      </c>
      <c r="B6" s="13">
        <v>81.25</v>
      </c>
      <c r="C6" s="13">
        <v>8.0</v>
      </c>
      <c r="D6" s="13">
        <v>33.0</v>
      </c>
      <c r="E6" s="14">
        <v>0.4925373134328358</v>
      </c>
      <c r="F6" s="13">
        <v>10.0</v>
      </c>
      <c r="G6" s="14">
        <v>0.625</v>
      </c>
      <c r="H6" s="13">
        <v>7.0</v>
      </c>
      <c r="I6" s="14">
        <v>0.6363636363636364</v>
      </c>
      <c r="J6" s="13">
        <v>5.0</v>
      </c>
      <c r="K6" s="14">
        <v>0.4166666666666667</v>
      </c>
      <c r="L6" s="13">
        <v>3.0</v>
      </c>
      <c r="M6" s="14">
        <v>0.75</v>
      </c>
      <c r="N6" s="13">
        <v>2.0</v>
      </c>
      <c r="O6" s="14">
        <v>0.18181818181818182</v>
      </c>
      <c r="P6" s="13">
        <v>6.0</v>
      </c>
      <c r="Q6" s="14">
        <v>0.46153846153846156</v>
      </c>
      <c r="R6" s="14"/>
      <c r="S6" s="9"/>
      <c r="T6" s="9"/>
      <c r="U6" s="9"/>
      <c r="V6" s="9"/>
      <c r="W6" s="9"/>
      <c r="X6" s="9"/>
      <c r="Y6" s="9"/>
    </row>
    <row r="7">
      <c r="A7" s="13" t="s">
        <v>1</v>
      </c>
      <c r="B7" s="13">
        <v>50.5</v>
      </c>
      <c r="C7" s="13">
        <v>8.0</v>
      </c>
      <c r="D7" s="13">
        <v>22.0</v>
      </c>
      <c r="E7" s="14">
        <v>0.55</v>
      </c>
      <c r="F7" s="13">
        <v>3.0</v>
      </c>
      <c r="G7" s="14">
        <v>0.42857142857142855</v>
      </c>
      <c r="H7" s="13">
        <v>3.0</v>
      </c>
      <c r="I7" s="14">
        <v>0.75</v>
      </c>
      <c r="J7" s="13">
        <v>4.0</v>
      </c>
      <c r="K7" s="14">
        <v>0.4444444444444444</v>
      </c>
      <c r="L7" s="13">
        <v>3.0</v>
      </c>
      <c r="M7" s="14">
        <v>0.6</v>
      </c>
      <c r="N7" s="13">
        <v>3.0</v>
      </c>
      <c r="O7" s="14">
        <v>0.5</v>
      </c>
      <c r="P7" s="13">
        <v>6.0</v>
      </c>
      <c r="Q7" s="14">
        <v>0.6666666666666666</v>
      </c>
      <c r="R7" s="14"/>
      <c r="S7" s="9"/>
      <c r="T7" s="9"/>
      <c r="U7" s="9"/>
      <c r="V7" s="9"/>
      <c r="W7" s="9"/>
      <c r="X7" s="9"/>
      <c r="Y7" s="9"/>
    </row>
    <row r="8">
      <c r="A8" s="13" t="s">
        <v>0</v>
      </c>
      <c r="B8" s="13">
        <v>37.5</v>
      </c>
      <c r="C8" s="13">
        <v>8.0</v>
      </c>
      <c r="D8" s="13">
        <v>12.0</v>
      </c>
      <c r="E8" s="14">
        <v>0.35294117647058826</v>
      </c>
      <c r="F8" s="13">
        <v>1.0</v>
      </c>
      <c r="G8" s="14">
        <v>0.3333333333333333</v>
      </c>
      <c r="H8" s="13">
        <v>3.0</v>
      </c>
      <c r="I8" s="14">
        <v>0.75</v>
      </c>
      <c r="J8" s="13">
        <v>1.0</v>
      </c>
      <c r="K8" s="14">
        <v>0.125</v>
      </c>
      <c r="L8" s="13">
        <v>4.0</v>
      </c>
      <c r="M8" s="14">
        <v>0.4444444444444444</v>
      </c>
      <c r="N8" s="13">
        <v>2.0</v>
      </c>
      <c r="O8" s="14">
        <v>0.4</v>
      </c>
      <c r="P8" s="13">
        <v>1.0</v>
      </c>
      <c r="Q8" s="14">
        <v>0.2</v>
      </c>
      <c r="R8" s="14"/>
      <c r="S8" s="9"/>
      <c r="T8" s="9"/>
      <c r="U8" s="9"/>
      <c r="V8" s="9"/>
      <c r="W8" s="9"/>
      <c r="X8" s="9"/>
      <c r="Y8" s="9"/>
    </row>
    <row r="9">
      <c r="A9" s="13" t="s">
        <v>7</v>
      </c>
      <c r="B9" s="13">
        <v>33.5</v>
      </c>
      <c r="C9" s="13">
        <v>8.0</v>
      </c>
      <c r="D9" s="13">
        <v>10.0</v>
      </c>
      <c r="E9" s="14">
        <v>0.3333333333333333</v>
      </c>
      <c r="F9" s="13">
        <v>1.0</v>
      </c>
      <c r="G9" s="14">
        <v>0.3333333333333333</v>
      </c>
      <c r="H9" s="13">
        <v>1.0</v>
      </c>
      <c r="I9" s="14">
        <v>0.25</v>
      </c>
      <c r="J9" s="13">
        <v>3.0</v>
      </c>
      <c r="K9" s="14">
        <v>0.5</v>
      </c>
      <c r="L9" s="13">
        <v>5.0</v>
      </c>
      <c r="M9" s="14">
        <v>0.7142857142857143</v>
      </c>
      <c r="N9" s="13">
        <v>0.0</v>
      </c>
      <c r="O9" s="14">
        <v>0.0</v>
      </c>
      <c r="P9" s="13">
        <v>0.0</v>
      </c>
      <c r="Q9" s="14">
        <v>0.0</v>
      </c>
      <c r="R9" s="14"/>
      <c r="S9" s="9"/>
      <c r="T9" s="9"/>
      <c r="U9" s="9"/>
      <c r="V9" s="9"/>
      <c r="W9" s="9"/>
      <c r="X9" s="9"/>
      <c r="Y9" s="9"/>
    </row>
    <row r="10">
      <c r="A10" s="13" t="s">
        <v>3</v>
      </c>
      <c r="B10" s="13">
        <v>32.75</v>
      </c>
      <c r="C10" s="13">
        <v>8.0</v>
      </c>
      <c r="D10" s="13">
        <v>7.0</v>
      </c>
      <c r="E10" s="14">
        <v>0.175</v>
      </c>
      <c r="F10" s="13">
        <v>0.0</v>
      </c>
      <c r="G10" s="14">
        <v>0.0</v>
      </c>
      <c r="H10" s="13">
        <v>4.0</v>
      </c>
      <c r="I10" s="14">
        <v>0.4444444444444444</v>
      </c>
      <c r="J10" s="13">
        <v>2.0</v>
      </c>
      <c r="K10" s="14">
        <v>0.25</v>
      </c>
      <c r="L10" s="13">
        <v>0.0</v>
      </c>
      <c r="M10" s="14">
        <v>0.0</v>
      </c>
      <c r="N10" s="13">
        <v>0.0</v>
      </c>
      <c r="O10" s="14">
        <v>0.0</v>
      </c>
      <c r="P10" s="13">
        <v>1.0</v>
      </c>
      <c r="Q10" s="14">
        <v>0.14285714285714285</v>
      </c>
      <c r="R10" s="14"/>
      <c r="S10" s="9"/>
      <c r="T10" s="9"/>
      <c r="U10" s="9"/>
      <c r="V10" s="9"/>
      <c r="W10" s="9"/>
      <c r="X10" s="9"/>
      <c r="Y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sort(Stats!A1:A1000,Stats!K1:K1000,false)</f>
        <v>Player</v>
      </c>
      <c r="B1" s="17" t="str">
        <f t="array" ref="B1:B1000">sort(Stats!C1:C1000,Stats!K1:K1000,false)</f>
        <v>GP</v>
      </c>
      <c r="C1" s="2" t="str">
        <f t="array" ref="C1:E1000">sort(Stats!I1:K1000,Stats!K1:K1000,false)</f>
        <v>X TU</v>
      </c>
      <c r="D1" s="2" t="s">
        <v>65</v>
      </c>
      <c r="E1" s="2" t="s">
        <v>66</v>
      </c>
    </row>
    <row r="2">
      <c r="A2" s="2" t="s">
        <v>55</v>
      </c>
      <c r="B2" s="2">
        <v>8.0</v>
      </c>
      <c r="C2" s="2">
        <v>9.0</v>
      </c>
      <c r="D2" s="2">
        <v>0.0</v>
      </c>
      <c r="E2" s="2">
        <v>4.5</v>
      </c>
    </row>
    <row r="3">
      <c r="A3" s="2" t="s">
        <v>43</v>
      </c>
      <c r="B3" s="2">
        <v>8.0</v>
      </c>
      <c r="C3" s="2">
        <v>9.0</v>
      </c>
      <c r="D3" s="2">
        <v>2.0</v>
      </c>
      <c r="E3" s="2">
        <v>3.5</v>
      </c>
    </row>
    <row r="4">
      <c r="A4" s="2" t="s">
        <v>18</v>
      </c>
      <c r="B4" s="2">
        <v>10.0</v>
      </c>
      <c r="C4" s="2">
        <v>14.0</v>
      </c>
      <c r="D4" s="2">
        <v>6.0</v>
      </c>
      <c r="E4" s="2">
        <v>3.2</v>
      </c>
    </row>
    <row r="5">
      <c r="A5" s="2" t="s">
        <v>30</v>
      </c>
      <c r="B5" s="2">
        <v>10.0</v>
      </c>
      <c r="C5" s="2">
        <v>8.0</v>
      </c>
      <c r="D5" s="2">
        <v>0.0</v>
      </c>
      <c r="E5" s="2">
        <v>3.2</v>
      </c>
    </row>
    <row r="6">
      <c r="A6" s="2" t="s">
        <v>14</v>
      </c>
      <c r="B6" s="2">
        <v>8.0</v>
      </c>
      <c r="C6" s="2">
        <v>6.0</v>
      </c>
      <c r="D6" s="2">
        <v>1.0</v>
      </c>
      <c r="E6" s="2">
        <v>2.5</v>
      </c>
    </row>
    <row r="7">
      <c r="A7" s="2" t="s">
        <v>44</v>
      </c>
      <c r="B7" s="2">
        <v>8.0</v>
      </c>
      <c r="C7" s="2">
        <v>5.0</v>
      </c>
      <c r="D7" s="2">
        <v>1.0</v>
      </c>
      <c r="E7" s="2">
        <v>2.0</v>
      </c>
    </row>
    <row r="8">
      <c r="A8" s="2" t="s">
        <v>32</v>
      </c>
      <c r="B8" s="2">
        <v>10.0</v>
      </c>
      <c r="C8" s="2">
        <v>5.0</v>
      </c>
      <c r="D8" s="2">
        <v>0.0</v>
      </c>
      <c r="E8" s="2">
        <v>2.0</v>
      </c>
    </row>
    <row r="9">
      <c r="A9" s="2" t="s">
        <v>31</v>
      </c>
      <c r="B9" s="2">
        <v>10.0</v>
      </c>
      <c r="C9" s="2">
        <v>5.0</v>
      </c>
      <c r="D9" s="2">
        <v>0.0</v>
      </c>
      <c r="E9" s="2">
        <v>2.0</v>
      </c>
    </row>
    <row r="10">
      <c r="A10" s="2" t="s">
        <v>37</v>
      </c>
      <c r="B10" s="2">
        <v>8.0</v>
      </c>
      <c r="C10" s="2">
        <v>4.0</v>
      </c>
      <c r="D10" s="2">
        <v>0.0</v>
      </c>
      <c r="E10" s="2">
        <v>2.0</v>
      </c>
    </row>
    <row r="11">
      <c r="A11" s="2" t="s">
        <v>33</v>
      </c>
      <c r="B11" s="2">
        <v>10.0</v>
      </c>
      <c r="C11" s="2">
        <v>5.0</v>
      </c>
      <c r="D11" s="2">
        <v>1.0</v>
      </c>
      <c r="E11" s="2">
        <v>1.6</v>
      </c>
    </row>
    <row r="12">
      <c r="A12" s="2" t="s">
        <v>21</v>
      </c>
      <c r="B12" s="2">
        <v>10.0</v>
      </c>
      <c r="C12" s="2">
        <v>5.0</v>
      </c>
      <c r="D12" s="2">
        <v>1.0</v>
      </c>
      <c r="E12" s="2">
        <v>1.6</v>
      </c>
    </row>
    <row r="13">
      <c r="A13" s="2" t="s">
        <v>17</v>
      </c>
      <c r="B13" s="2">
        <v>10.0</v>
      </c>
      <c r="C13" s="2">
        <v>3.0</v>
      </c>
      <c r="D13" s="2">
        <v>0.0</v>
      </c>
      <c r="E13" s="2">
        <v>1.2</v>
      </c>
    </row>
    <row r="14">
      <c r="A14" s="2" t="s">
        <v>27</v>
      </c>
      <c r="B14" s="2">
        <v>8.0</v>
      </c>
      <c r="C14" s="2">
        <v>5.0</v>
      </c>
      <c r="D14" s="2">
        <v>3.0</v>
      </c>
      <c r="E14" s="2">
        <v>1.0</v>
      </c>
    </row>
    <row r="15">
      <c r="A15" s="2" t="s">
        <v>24</v>
      </c>
      <c r="B15" s="2">
        <v>8.0</v>
      </c>
      <c r="C15" s="2">
        <v>2.0</v>
      </c>
      <c r="D15" s="2">
        <v>0.0</v>
      </c>
      <c r="E15" s="2">
        <v>1.0</v>
      </c>
    </row>
    <row r="16">
      <c r="A16" s="2" t="s">
        <v>23</v>
      </c>
      <c r="B16" s="2">
        <v>4.0</v>
      </c>
      <c r="C16" s="2">
        <v>1.0</v>
      </c>
      <c r="D16" s="2">
        <v>0.0</v>
      </c>
      <c r="E16" s="2">
        <v>1.0</v>
      </c>
    </row>
    <row r="17">
      <c r="A17" s="2" t="s">
        <v>9</v>
      </c>
      <c r="B17" s="2">
        <v>8.0</v>
      </c>
      <c r="C17" s="2">
        <v>2.0</v>
      </c>
      <c r="D17" s="2">
        <v>0.0</v>
      </c>
      <c r="E17" s="2">
        <v>1.0</v>
      </c>
    </row>
    <row r="18">
      <c r="A18" s="2" t="s">
        <v>40</v>
      </c>
      <c r="B18" s="2">
        <v>8.0</v>
      </c>
      <c r="C18" s="2">
        <v>2.0</v>
      </c>
      <c r="D18" s="2">
        <v>0.0</v>
      </c>
      <c r="E18" s="2">
        <v>1.0</v>
      </c>
    </row>
    <row r="19">
      <c r="A19" s="2" t="s">
        <v>34</v>
      </c>
      <c r="B19" s="2">
        <v>8.0</v>
      </c>
      <c r="C19" s="2">
        <v>2.0</v>
      </c>
      <c r="D19" s="2">
        <v>0.0</v>
      </c>
      <c r="E19" s="2">
        <v>1.0</v>
      </c>
    </row>
    <row r="20">
      <c r="A20" s="2" t="s">
        <v>46</v>
      </c>
      <c r="B20" s="2">
        <v>8.0</v>
      </c>
      <c r="C20" s="2">
        <v>2.0</v>
      </c>
      <c r="D20" s="2">
        <v>0.0</v>
      </c>
      <c r="E20" s="2">
        <v>1.0</v>
      </c>
    </row>
    <row r="21">
      <c r="A21" s="2" t="s">
        <v>35</v>
      </c>
      <c r="B21" s="2">
        <v>8.0</v>
      </c>
      <c r="C21" s="2">
        <v>1.0</v>
      </c>
      <c r="D21" s="2">
        <v>0.0</v>
      </c>
      <c r="E21" s="2">
        <v>0.5</v>
      </c>
    </row>
    <row r="22">
      <c r="A22" s="2" t="s">
        <v>28</v>
      </c>
      <c r="B22" s="2">
        <v>8.0</v>
      </c>
      <c r="C22" s="2">
        <v>1.0</v>
      </c>
      <c r="D22" s="2">
        <v>0.0</v>
      </c>
      <c r="E22" s="2">
        <v>0.5</v>
      </c>
    </row>
    <row r="23">
      <c r="A23" s="2" t="s">
        <v>53</v>
      </c>
      <c r="B23" s="2">
        <v>8.0</v>
      </c>
      <c r="C23" s="2">
        <v>1.0</v>
      </c>
      <c r="D23" s="2">
        <v>0.0</v>
      </c>
      <c r="E23" s="2">
        <v>0.5</v>
      </c>
    </row>
    <row r="24">
      <c r="A24" s="2" t="s">
        <v>11</v>
      </c>
      <c r="B24" s="2">
        <v>8.0</v>
      </c>
      <c r="C24" s="2">
        <v>1.0</v>
      </c>
      <c r="D24" s="2">
        <v>0.0</v>
      </c>
      <c r="E24" s="2">
        <v>0.5</v>
      </c>
    </row>
    <row r="25">
      <c r="A25" s="2" t="s">
        <v>39</v>
      </c>
      <c r="B25" s="2">
        <v>8.0</v>
      </c>
      <c r="C25" s="2">
        <v>1.0</v>
      </c>
      <c r="D25" s="2">
        <v>0.0</v>
      </c>
      <c r="E25" s="2">
        <v>0.5</v>
      </c>
    </row>
    <row r="26">
      <c r="A26" s="2" t="s">
        <v>15</v>
      </c>
      <c r="B26" s="2">
        <v>8.0</v>
      </c>
      <c r="C26" s="2">
        <v>1.0</v>
      </c>
      <c r="D26" s="2">
        <v>0.0</v>
      </c>
      <c r="E26" s="2">
        <v>0.5</v>
      </c>
    </row>
    <row r="27">
      <c r="A27" s="2" t="s">
        <v>26</v>
      </c>
      <c r="B27" s="2">
        <v>8.0</v>
      </c>
      <c r="C27" s="2">
        <v>0.0</v>
      </c>
      <c r="D27" s="2">
        <v>0.0</v>
      </c>
      <c r="E27" s="2">
        <v>0.0</v>
      </c>
    </row>
    <row r="28">
      <c r="A28" s="2" t="s">
        <v>29</v>
      </c>
      <c r="B28" s="2">
        <v>8.0</v>
      </c>
      <c r="C28" s="2">
        <v>0.0</v>
      </c>
      <c r="D28" s="2">
        <v>0.0</v>
      </c>
      <c r="E28" s="2">
        <v>0.0</v>
      </c>
    </row>
    <row r="29">
      <c r="A29" s="2" t="s">
        <v>22</v>
      </c>
      <c r="B29" s="2">
        <v>8.0</v>
      </c>
      <c r="C29" s="2">
        <v>0.0</v>
      </c>
      <c r="D29" s="2">
        <v>0.0</v>
      </c>
      <c r="E29" s="2">
        <v>0.0</v>
      </c>
    </row>
    <row r="30">
      <c r="A30" s="2" t="s">
        <v>45</v>
      </c>
      <c r="B30" s="2">
        <v>8.0</v>
      </c>
      <c r="C30" s="2">
        <v>0.0</v>
      </c>
      <c r="D30" s="2">
        <v>0.0</v>
      </c>
      <c r="E30" s="2">
        <v>0.0</v>
      </c>
    </row>
    <row r="31">
      <c r="A31" s="2" t="s">
        <v>13</v>
      </c>
      <c r="B31" s="2">
        <v>8.0</v>
      </c>
      <c r="C31" s="2">
        <v>0.0</v>
      </c>
      <c r="D31" s="2">
        <v>0.0</v>
      </c>
      <c r="E31" s="2">
        <v>0.0</v>
      </c>
    </row>
    <row r="32">
      <c r="A32" s="2" t="s">
        <v>42</v>
      </c>
      <c r="B32" s="2">
        <v>8.0</v>
      </c>
      <c r="C32" s="2">
        <v>1.0</v>
      </c>
      <c r="D32" s="2">
        <v>1.0</v>
      </c>
      <c r="E32" s="2">
        <v>0.0</v>
      </c>
    </row>
    <row r="33">
      <c r="A33" s="2" t="s">
        <v>20</v>
      </c>
      <c r="B33" s="2">
        <v>10.0</v>
      </c>
      <c r="C33" s="2">
        <v>0.0</v>
      </c>
      <c r="D33" s="2">
        <v>0.0</v>
      </c>
      <c r="E33" s="2">
        <v>0.0</v>
      </c>
    </row>
    <row r="34">
      <c r="A34" s="2" t="s">
        <v>12</v>
      </c>
      <c r="B34" s="2">
        <v>8.0</v>
      </c>
      <c r="C34" s="2">
        <v>0.0</v>
      </c>
      <c r="D34" s="2">
        <v>0.0</v>
      </c>
      <c r="E34" s="2">
        <v>0.0</v>
      </c>
    </row>
    <row r="35">
      <c r="A35" s="2" t="s">
        <v>41</v>
      </c>
      <c r="B35" s="2">
        <v>8.0</v>
      </c>
      <c r="C35" s="2">
        <v>0.0</v>
      </c>
      <c r="D35" s="2">
        <v>0.0</v>
      </c>
      <c r="E35" s="2">
        <v>0.0</v>
      </c>
    </row>
    <row r="36">
      <c r="A36" s="2" t="s">
        <v>10</v>
      </c>
      <c r="B36" s="2">
        <v>8.0</v>
      </c>
      <c r="C36" s="2">
        <v>0.0</v>
      </c>
      <c r="D36" s="2">
        <v>1.0</v>
      </c>
      <c r="E36" s="2">
        <v>-0.5</v>
      </c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sort(Stats!A1:A1000,Stats!N1:N1000,false)</f>
        <v>Player</v>
      </c>
      <c r="B1" s="17" t="str">
        <f t="array" ref="B1:B1000">sort(Stats!C1:C1000,Stats!N1:N1000,false)</f>
        <v>GP</v>
      </c>
      <c r="C1" s="2" t="str">
        <f t="array" ref="C1:E1000">sort(Stats!L1:N1000,Stats!N1:N1000,false)</f>
        <v>M TU</v>
      </c>
      <c r="D1" s="2" t="s">
        <v>68</v>
      </c>
      <c r="E1" s="2" t="s">
        <v>69</v>
      </c>
    </row>
    <row r="2">
      <c r="A2" s="2" t="s">
        <v>31</v>
      </c>
      <c r="B2" s="2">
        <v>10.0</v>
      </c>
      <c r="C2" s="2">
        <v>16.0</v>
      </c>
      <c r="D2" s="2">
        <v>3.0</v>
      </c>
      <c r="E2" s="2">
        <v>5.2</v>
      </c>
    </row>
    <row r="3">
      <c r="A3" s="2" t="s">
        <v>26</v>
      </c>
      <c r="B3" s="2">
        <v>8.0</v>
      </c>
      <c r="C3" s="2">
        <v>10.0</v>
      </c>
      <c r="D3" s="2">
        <v>1.0</v>
      </c>
      <c r="E3" s="2">
        <v>4.5</v>
      </c>
    </row>
    <row r="4">
      <c r="A4" s="2" t="s">
        <v>24</v>
      </c>
      <c r="B4" s="2">
        <v>8.0</v>
      </c>
      <c r="C4" s="2">
        <v>5.0</v>
      </c>
      <c r="D4" s="2">
        <v>0.0</v>
      </c>
      <c r="E4" s="2">
        <v>2.5</v>
      </c>
    </row>
    <row r="5">
      <c r="A5" s="2" t="s">
        <v>18</v>
      </c>
      <c r="B5" s="2">
        <v>10.0</v>
      </c>
      <c r="C5" s="2">
        <v>7.0</v>
      </c>
      <c r="D5" s="2">
        <v>1.0</v>
      </c>
      <c r="E5" s="2">
        <v>2.4</v>
      </c>
    </row>
    <row r="6">
      <c r="A6" s="2" t="s">
        <v>44</v>
      </c>
      <c r="B6" s="2">
        <v>8.0</v>
      </c>
      <c r="C6" s="2">
        <v>5.0</v>
      </c>
      <c r="D6" s="2">
        <v>1.0</v>
      </c>
      <c r="E6" s="2">
        <v>2.0</v>
      </c>
    </row>
    <row r="7">
      <c r="A7" s="2" t="s">
        <v>33</v>
      </c>
      <c r="B7" s="2">
        <v>10.0</v>
      </c>
      <c r="C7" s="2">
        <v>6.0</v>
      </c>
      <c r="D7" s="2">
        <v>1.0</v>
      </c>
      <c r="E7" s="2">
        <v>2.0</v>
      </c>
    </row>
    <row r="8">
      <c r="A8" s="2" t="s">
        <v>35</v>
      </c>
      <c r="B8" s="2">
        <v>8.0</v>
      </c>
      <c r="C8" s="2">
        <v>5.0</v>
      </c>
      <c r="D8" s="2">
        <v>1.0</v>
      </c>
      <c r="E8" s="2">
        <v>2.0</v>
      </c>
    </row>
    <row r="9">
      <c r="A9" s="2" t="s">
        <v>45</v>
      </c>
      <c r="B9" s="2">
        <v>8.0</v>
      </c>
      <c r="C9" s="2">
        <v>4.0</v>
      </c>
      <c r="D9" s="2">
        <v>0.0</v>
      </c>
      <c r="E9" s="2">
        <v>2.0</v>
      </c>
    </row>
    <row r="10">
      <c r="A10" s="2" t="s">
        <v>39</v>
      </c>
      <c r="B10" s="2">
        <v>8.0</v>
      </c>
      <c r="C10" s="2">
        <v>4.0</v>
      </c>
      <c r="D10" s="2">
        <v>0.0</v>
      </c>
      <c r="E10" s="2">
        <v>2.0</v>
      </c>
    </row>
    <row r="11">
      <c r="A11" s="2" t="s">
        <v>14</v>
      </c>
      <c r="B11" s="2">
        <v>8.0</v>
      </c>
      <c r="C11" s="2">
        <v>4.0</v>
      </c>
      <c r="D11" s="2">
        <v>1.0</v>
      </c>
      <c r="E11" s="2">
        <v>1.5</v>
      </c>
    </row>
    <row r="12">
      <c r="A12" s="2" t="s">
        <v>37</v>
      </c>
      <c r="B12" s="2">
        <v>8.0</v>
      </c>
      <c r="C12" s="2">
        <v>3.0</v>
      </c>
      <c r="D12" s="2">
        <v>0.0</v>
      </c>
      <c r="E12" s="2">
        <v>1.5</v>
      </c>
    </row>
    <row r="13">
      <c r="A13" s="2" t="s">
        <v>22</v>
      </c>
      <c r="B13" s="2">
        <v>8.0</v>
      </c>
      <c r="C13" s="2">
        <v>3.0</v>
      </c>
      <c r="D13" s="2">
        <v>0.0</v>
      </c>
      <c r="E13" s="2">
        <v>1.5</v>
      </c>
    </row>
    <row r="14">
      <c r="A14" s="2" t="s">
        <v>10</v>
      </c>
      <c r="B14" s="2">
        <v>8.0</v>
      </c>
      <c r="C14" s="2">
        <v>3.0</v>
      </c>
      <c r="D14" s="2">
        <v>0.0</v>
      </c>
      <c r="E14" s="2">
        <v>1.5</v>
      </c>
    </row>
    <row r="15">
      <c r="A15" s="2" t="s">
        <v>27</v>
      </c>
      <c r="B15" s="2">
        <v>8.0</v>
      </c>
      <c r="C15" s="2">
        <v>2.0</v>
      </c>
      <c r="D15" s="2">
        <v>0.0</v>
      </c>
      <c r="E15" s="2">
        <v>1.0</v>
      </c>
    </row>
    <row r="16">
      <c r="A16" s="2" t="s">
        <v>23</v>
      </c>
      <c r="B16" s="2">
        <v>4.0</v>
      </c>
      <c r="C16" s="2">
        <v>1.0</v>
      </c>
      <c r="D16" s="2">
        <v>0.0</v>
      </c>
      <c r="E16" s="2">
        <v>1.0</v>
      </c>
    </row>
    <row r="17">
      <c r="A17" s="2" t="s">
        <v>46</v>
      </c>
      <c r="B17" s="2">
        <v>8.0</v>
      </c>
      <c r="C17" s="2">
        <v>2.0</v>
      </c>
      <c r="D17" s="2">
        <v>0.0</v>
      </c>
      <c r="E17" s="2">
        <v>1.0</v>
      </c>
    </row>
    <row r="18">
      <c r="A18" s="2" t="s">
        <v>32</v>
      </c>
      <c r="B18" s="2">
        <v>10.0</v>
      </c>
      <c r="C18" s="2">
        <v>2.0</v>
      </c>
      <c r="D18" s="2">
        <v>0.0</v>
      </c>
      <c r="E18" s="2">
        <v>0.8</v>
      </c>
    </row>
    <row r="19">
      <c r="A19" s="2" t="s">
        <v>17</v>
      </c>
      <c r="B19" s="2">
        <v>10.0</v>
      </c>
      <c r="C19" s="2">
        <v>3.0</v>
      </c>
      <c r="D19" s="2">
        <v>1.0</v>
      </c>
      <c r="E19" s="2">
        <v>0.8</v>
      </c>
    </row>
    <row r="20">
      <c r="A20" s="2" t="s">
        <v>43</v>
      </c>
      <c r="B20" s="2">
        <v>8.0</v>
      </c>
      <c r="C20" s="2">
        <v>1.0</v>
      </c>
      <c r="D20" s="2">
        <v>0.0</v>
      </c>
      <c r="E20" s="2">
        <v>0.5</v>
      </c>
    </row>
    <row r="21">
      <c r="A21" s="2" t="s">
        <v>55</v>
      </c>
      <c r="B21" s="2">
        <v>8.0</v>
      </c>
      <c r="C21" s="2">
        <v>2.0</v>
      </c>
      <c r="D21" s="2">
        <v>1.0</v>
      </c>
      <c r="E21" s="2">
        <v>0.5</v>
      </c>
    </row>
    <row r="22">
      <c r="A22" s="2" t="s">
        <v>28</v>
      </c>
      <c r="B22" s="2">
        <v>8.0</v>
      </c>
      <c r="C22" s="2">
        <v>1.0</v>
      </c>
      <c r="D22" s="2">
        <v>0.0</v>
      </c>
      <c r="E22" s="2">
        <v>0.5</v>
      </c>
    </row>
    <row r="23">
      <c r="A23" s="2" t="s">
        <v>9</v>
      </c>
      <c r="B23" s="2">
        <v>8.0</v>
      </c>
      <c r="C23" s="2">
        <v>1.0</v>
      </c>
      <c r="D23" s="2">
        <v>0.0</v>
      </c>
      <c r="E23" s="2">
        <v>0.5</v>
      </c>
    </row>
    <row r="24">
      <c r="A24" s="2" t="s">
        <v>34</v>
      </c>
      <c r="B24" s="2">
        <v>8.0</v>
      </c>
      <c r="C24" s="2">
        <v>1.0</v>
      </c>
      <c r="D24" s="2">
        <v>0.0</v>
      </c>
      <c r="E24" s="2">
        <v>0.5</v>
      </c>
    </row>
    <row r="25">
      <c r="A25" s="2" t="s">
        <v>30</v>
      </c>
      <c r="B25" s="2">
        <v>10.0</v>
      </c>
      <c r="C25" s="2">
        <v>0.0</v>
      </c>
      <c r="D25" s="2">
        <v>0.0</v>
      </c>
      <c r="E25" s="2">
        <v>0.0</v>
      </c>
    </row>
    <row r="26">
      <c r="A26" s="2" t="s">
        <v>29</v>
      </c>
      <c r="B26" s="2">
        <v>8.0</v>
      </c>
      <c r="C26" s="2">
        <v>0.0</v>
      </c>
      <c r="D26" s="2">
        <v>0.0</v>
      </c>
      <c r="E26" s="2">
        <v>0.0</v>
      </c>
    </row>
    <row r="27">
      <c r="A27" s="2" t="s">
        <v>21</v>
      </c>
      <c r="B27" s="2">
        <v>10.0</v>
      </c>
      <c r="C27" s="2">
        <v>1.0</v>
      </c>
      <c r="D27" s="2">
        <v>1.0</v>
      </c>
      <c r="E27" s="2">
        <v>0.0</v>
      </c>
    </row>
    <row r="28">
      <c r="A28" s="2" t="s">
        <v>53</v>
      </c>
      <c r="B28" s="2">
        <v>8.0</v>
      </c>
      <c r="C28" s="2">
        <v>0.0</v>
      </c>
      <c r="D28" s="2">
        <v>0.0</v>
      </c>
      <c r="E28" s="2">
        <v>0.0</v>
      </c>
    </row>
    <row r="29">
      <c r="A29" s="2" t="s">
        <v>40</v>
      </c>
      <c r="B29" s="2">
        <v>8.0</v>
      </c>
      <c r="C29" s="2">
        <v>0.0</v>
      </c>
      <c r="D29" s="2">
        <v>0.0</v>
      </c>
      <c r="E29" s="2">
        <v>0.0</v>
      </c>
    </row>
    <row r="30">
      <c r="A30" s="2" t="s">
        <v>11</v>
      </c>
      <c r="B30" s="2">
        <v>8.0</v>
      </c>
      <c r="C30" s="2">
        <v>0.0</v>
      </c>
      <c r="D30" s="2">
        <v>0.0</v>
      </c>
      <c r="E30" s="2">
        <v>0.0</v>
      </c>
    </row>
    <row r="31">
      <c r="A31" s="2" t="s">
        <v>13</v>
      </c>
      <c r="B31" s="2">
        <v>8.0</v>
      </c>
      <c r="C31" s="2">
        <v>0.0</v>
      </c>
      <c r="D31" s="2">
        <v>0.0</v>
      </c>
      <c r="E31" s="2">
        <v>0.0</v>
      </c>
    </row>
    <row r="32">
      <c r="A32" s="2" t="s">
        <v>15</v>
      </c>
      <c r="B32" s="2">
        <v>8.0</v>
      </c>
      <c r="C32" s="2">
        <v>0.0</v>
      </c>
      <c r="D32" s="2">
        <v>0.0</v>
      </c>
      <c r="E32" s="2">
        <v>0.0</v>
      </c>
    </row>
    <row r="33">
      <c r="A33" s="2" t="s">
        <v>42</v>
      </c>
      <c r="B33" s="2">
        <v>8.0</v>
      </c>
      <c r="C33" s="2">
        <v>0.0</v>
      </c>
      <c r="D33" s="2">
        <v>0.0</v>
      </c>
      <c r="E33" s="2">
        <v>0.0</v>
      </c>
    </row>
    <row r="34">
      <c r="A34" s="2" t="s">
        <v>20</v>
      </c>
      <c r="B34" s="2">
        <v>10.0</v>
      </c>
      <c r="C34" s="2">
        <v>0.0</v>
      </c>
      <c r="D34" s="2">
        <v>0.0</v>
      </c>
      <c r="E34" s="2">
        <v>0.0</v>
      </c>
    </row>
    <row r="35">
      <c r="A35" s="2" t="s">
        <v>12</v>
      </c>
      <c r="B35" s="2">
        <v>8.0</v>
      </c>
      <c r="C35" s="2">
        <v>0.0</v>
      </c>
      <c r="D35" s="2">
        <v>0.0</v>
      </c>
      <c r="E35" s="2">
        <v>0.0</v>
      </c>
    </row>
    <row r="36">
      <c r="A36" s="2" t="s">
        <v>41</v>
      </c>
      <c r="B36" s="2">
        <v>8.0</v>
      </c>
      <c r="C36" s="2">
        <v>0.0</v>
      </c>
      <c r="D36" s="2">
        <v>0.0</v>
      </c>
      <c r="E36" s="2">
        <v>0.0</v>
      </c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sort(Stats!A1:A1000,Stats!Q1:Q1000,false)</f>
        <v>Player</v>
      </c>
      <c r="B1" s="17" t="str">
        <f t="array" ref="B1:B1000">sort(Stats!C1:C1000,Stats!Q1:Q1000,false)</f>
        <v>GP</v>
      </c>
      <c r="C1" s="2" t="str">
        <f t="array" ref="C1:E1000">sort(Stats!O1:Q1000,Stats!Q1:Q1000,false)</f>
        <v>C TU</v>
      </c>
      <c r="D1" s="2" t="s">
        <v>71</v>
      </c>
      <c r="E1" s="2" t="s">
        <v>72</v>
      </c>
    </row>
    <row r="2">
      <c r="A2" s="2" t="s">
        <v>17</v>
      </c>
      <c r="B2" s="2">
        <v>10.0</v>
      </c>
      <c r="C2" s="2">
        <v>20.0</v>
      </c>
      <c r="D2" s="2">
        <v>4.0</v>
      </c>
      <c r="E2" s="2">
        <v>6.4</v>
      </c>
    </row>
    <row r="3">
      <c r="A3" s="2" t="s">
        <v>14</v>
      </c>
      <c r="B3" s="2">
        <v>8.0</v>
      </c>
      <c r="C3" s="2">
        <v>9.0</v>
      </c>
      <c r="D3" s="2">
        <v>0.0</v>
      </c>
      <c r="E3" s="2">
        <v>4.5</v>
      </c>
    </row>
    <row r="4">
      <c r="A4" s="2" t="s">
        <v>27</v>
      </c>
      <c r="B4" s="2">
        <v>8.0</v>
      </c>
      <c r="C4" s="2">
        <v>10.0</v>
      </c>
      <c r="D4" s="2">
        <v>1.0</v>
      </c>
      <c r="E4" s="2">
        <v>4.5</v>
      </c>
    </row>
    <row r="5">
      <c r="A5" s="2" t="s">
        <v>28</v>
      </c>
      <c r="B5" s="2">
        <v>8.0</v>
      </c>
      <c r="C5" s="2">
        <v>8.0</v>
      </c>
      <c r="D5" s="2">
        <v>1.0</v>
      </c>
      <c r="E5" s="2">
        <v>3.5</v>
      </c>
    </row>
    <row r="6">
      <c r="A6" s="2" t="s">
        <v>9</v>
      </c>
      <c r="B6" s="2">
        <v>8.0</v>
      </c>
      <c r="C6" s="2">
        <v>7.0</v>
      </c>
      <c r="D6" s="2">
        <v>1.0</v>
      </c>
      <c r="E6" s="2">
        <v>3.0</v>
      </c>
    </row>
    <row r="7">
      <c r="A7" s="2" t="s">
        <v>22</v>
      </c>
      <c r="B7" s="2">
        <v>8.0</v>
      </c>
      <c r="C7" s="2">
        <v>6.0</v>
      </c>
      <c r="D7" s="2">
        <v>0.0</v>
      </c>
      <c r="E7" s="2">
        <v>3.0</v>
      </c>
    </row>
    <row r="8">
      <c r="A8" s="2" t="s">
        <v>43</v>
      </c>
      <c r="B8" s="2">
        <v>8.0</v>
      </c>
      <c r="C8" s="2">
        <v>5.0</v>
      </c>
      <c r="D8" s="2">
        <v>0.0</v>
      </c>
      <c r="E8" s="2">
        <v>2.5</v>
      </c>
    </row>
    <row r="9">
      <c r="A9" s="2" t="s">
        <v>37</v>
      </c>
      <c r="B9" s="2">
        <v>8.0</v>
      </c>
      <c r="C9" s="2">
        <v>5.0</v>
      </c>
      <c r="D9" s="2">
        <v>0.0</v>
      </c>
      <c r="E9" s="2">
        <v>2.5</v>
      </c>
    </row>
    <row r="10">
      <c r="A10" s="2" t="s">
        <v>53</v>
      </c>
      <c r="B10" s="2">
        <v>8.0</v>
      </c>
      <c r="C10" s="2">
        <v>5.0</v>
      </c>
      <c r="D10" s="2">
        <v>0.0</v>
      </c>
      <c r="E10" s="2">
        <v>2.5</v>
      </c>
    </row>
    <row r="11">
      <c r="A11" s="2" t="s">
        <v>31</v>
      </c>
      <c r="B11" s="2">
        <v>10.0</v>
      </c>
      <c r="C11" s="2">
        <v>7.0</v>
      </c>
      <c r="D11" s="2">
        <v>1.0</v>
      </c>
      <c r="E11" s="2">
        <v>2.4</v>
      </c>
    </row>
    <row r="12">
      <c r="A12" s="2" t="s">
        <v>55</v>
      </c>
      <c r="B12" s="2">
        <v>8.0</v>
      </c>
      <c r="C12" s="2">
        <v>4.0</v>
      </c>
      <c r="D12" s="2">
        <v>0.0</v>
      </c>
      <c r="E12" s="2">
        <v>2.0</v>
      </c>
    </row>
    <row r="13">
      <c r="A13" s="2" t="s">
        <v>33</v>
      </c>
      <c r="B13" s="2">
        <v>10.0</v>
      </c>
      <c r="C13" s="2">
        <v>5.0</v>
      </c>
      <c r="D13" s="2">
        <v>0.0</v>
      </c>
      <c r="E13" s="2">
        <v>2.0</v>
      </c>
    </row>
    <row r="14">
      <c r="A14" s="2" t="s">
        <v>18</v>
      </c>
      <c r="B14" s="2">
        <v>10.0</v>
      </c>
      <c r="C14" s="2">
        <v>7.0</v>
      </c>
      <c r="D14" s="2">
        <v>3.0</v>
      </c>
      <c r="E14" s="2">
        <v>1.6</v>
      </c>
    </row>
    <row r="15">
      <c r="A15" s="2" t="s">
        <v>44</v>
      </c>
      <c r="B15" s="2">
        <v>8.0</v>
      </c>
      <c r="C15" s="2">
        <v>4.0</v>
      </c>
      <c r="D15" s="2">
        <v>1.0</v>
      </c>
      <c r="E15" s="2">
        <v>1.5</v>
      </c>
    </row>
    <row r="16">
      <c r="A16" s="2" t="s">
        <v>24</v>
      </c>
      <c r="B16" s="2">
        <v>8.0</v>
      </c>
      <c r="C16" s="2">
        <v>2.0</v>
      </c>
      <c r="D16" s="2">
        <v>0.0</v>
      </c>
      <c r="E16" s="2">
        <v>1.0</v>
      </c>
    </row>
    <row r="17">
      <c r="A17" s="2" t="s">
        <v>34</v>
      </c>
      <c r="B17" s="2">
        <v>8.0</v>
      </c>
      <c r="C17" s="2">
        <v>2.0</v>
      </c>
      <c r="D17" s="2">
        <v>0.0</v>
      </c>
      <c r="E17" s="2">
        <v>1.0</v>
      </c>
    </row>
    <row r="18">
      <c r="A18" s="2" t="s">
        <v>46</v>
      </c>
      <c r="B18" s="2">
        <v>8.0</v>
      </c>
      <c r="C18" s="2">
        <v>2.0</v>
      </c>
      <c r="D18" s="2">
        <v>0.0</v>
      </c>
      <c r="E18" s="2">
        <v>1.0</v>
      </c>
    </row>
    <row r="19">
      <c r="A19" s="2" t="s">
        <v>35</v>
      </c>
      <c r="B19" s="2">
        <v>8.0</v>
      </c>
      <c r="C19" s="2">
        <v>1.0</v>
      </c>
      <c r="D19" s="2">
        <v>0.0</v>
      </c>
      <c r="E19" s="2">
        <v>0.5</v>
      </c>
    </row>
    <row r="20">
      <c r="A20" s="2" t="s">
        <v>29</v>
      </c>
      <c r="B20" s="2">
        <v>8.0</v>
      </c>
      <c r="C20" s="2">
        <v>1.0</v>
      </c>
      <c r="D20" s="2">
        <v>0.0</v>
      </c>
      <c r="E20" s="2">
        <v>0.5</v>
      </c>
    </row>
    <row r="21">
      <c r="A21" s="2" t="s">
        <v>45</v>
      </c>
      <c r="B21" s="2">
        <v>8.0</v>
      </c>
      <c r="C21" s="2">
        <v>1.0</v>
      </c>
      <c r="D21" s="2">
        <v>0.0</v>
      </c>
      <c r="E21" s="2">
        <v>0.5</v>
      </c>
    </row>
    <row r="22">
      <c r="A22" s="2" t="s">
        <v>40</v>
      </c>
      <c r="B22" s="2">
        <v>8.0</v>
      </c>
      <c r="C22" s="2">
        <v>1.0</v>
      </c>
      <c r="D22" s="2">
        <v>0.0</v>
      </c>
      <c r="E22" s="2">
        <v>0.5</v>
      </c>
    </row>
    <row r="23">
      <c r="A23" s="2" t="s">
        <v>12</v>
      </c>
      <c r="B23" s="2">
        <v>8.0</v>
      </c>
      <c r="C23" s="2">
        <v>1.0</v>
      </c>
      <c r="D23" s="2">
        <v>0.0</v>
      </c>
      <c r="E23" s="2">
        <v>0.5</v>
      </c>
    </row>
    <row r="24">
      <c r="A24" s="2" t="s">
        <v>32</v>
      </c>
      <c r="B24" s="2">
        <v>10.0</v>
      </c>
      <c r="C24" s="2">
        <v>1.0</v>
      </c>
      <c r="D24" s="2">
        <v>0.0</v>
      </c>
      <c r="E24" s="2">
        <v>0.4</v>
      </c>
    </row>
    <row r="25">
      <c r="A25" s="2" t="s">
        <v>30</v>
      </c>
      <c r="B25" s="2">
        <v>10.0</v>
      </c>
      <c r="C25" s="2">
        <v>1.0</v>
      </c>
      <c r="D25" s="2">
        <v>0.0</v>
      </c>
      <c r="E25" s="2">
        <v>0.4</v>
      </c>
    </row>
    <row r="26">
      <c r="A26" s="2" t="s">
        <v>21</v>
      </c>
      <c r="B26" s="2">
        <v>10.0</v>
      </c>
      <c r="C26" s="2">
        <v>1.0</v>
      </c>
      <c r="D26" s="2">
        <v>0.0</v>
      </c>
      <c r="E26" s="2">
        <v>0.4</v>
      </c>
    </row>
    <row r="27">
      <c r="A27" s="2" t="s">
        <v>26</v>
      </c>
      <c r="B27" s="2">
        <v>8.0</v>
      </c>
      <c r="C27" s="2">
        <v>0.0</v>
      </c>
      <c r="D27" s="2">
        <v>0.0</v>
      </c>
      <c r="E27" s="2">
        <v>0.0</v>
      </c>
    </row>
    <row r="28">
      <c r="A28" s="2" t="s">
        <v>23</v>
      </c>
      <c r="B28" s="2">
        <v>4.0</v>
      </c>
      <c r="C28" s="2">
        <v>0.0</v>
      </c>
      <c r="D28" s="2">
        <v>0.0</v>
      </c>
      <c r="E28" s="2">
        <v>0.0</v>
      </c>
    </row>
    <row r="29">
      <c r="A29" s="2" t="s">
        <v>11</v>
      </c>
      <c r="B29" s="2">
        <v>8.0</v>
      </c>
      <c r="C29" s="2">
        <v>0.0</v>
      </c>
      <c r="D29" s="2">
        <v>0.0</v>
      </c>
      <c r="E29" s="2">
        <v>0.0</v>
      </c>
    </row>
    <row r="30">
      <c r="A30" s="2" t="s">
        <v>39</v>
      </c>
      <c r="B30" s="2">
        <v>8.0</v>
      </c>
      <c r="C30" s="2">
        <v>0.0</v>
      </c>
      <c r="D30" s="2">
        <v>0.0</v>
      </c>
      <c r="E30" s="2">
        <v>0.0</v>
      </c>
    </row>
    <row r="31">
      <c r="A31" s="2" t="s">
        <v>13</v>
      </c>
      <c r="B31" s="2">
        <v>8.0</v>
      </c>
      <c r="C31" s="2">
        <v>0.0</v>
      </c>
      <c r="D31" s="2">
        <v>0.0</v>
      </c>
      <c r="E31" s="2">
        <v>0.0</v>
      </c>
    </row>
    <row r="32">
      <c r="A32" s="2" t="s">
        <v>15</v>
      </c>
      <c r="B32" s="2">
        <v>8.0</v>
      </c>
      <c r="C32" s="2">
        <v>0.0</v>
      </c>
      <c r="D32" s="2">
        <v>0.0</v>
      </c>
      <c r="E32" s="2">
        <v>0.0</v>
      </c>
    </row>
    <row r="33">
      <c r="A33" s="2" t="s">
        <v>42</v>
      </c>
      <c r="B33" s="2">
        <v>8.0</v>
      </c>
      <c r="C33" s="2">
        <v>0.0</v>
      </c>
      <c r="D33" s="2">
        <v>0.0</v>
      </c>
      <c r="E33" s="2">
        <v>0.0</v>
      </c>
    </row>
    <row r="34">
      <c r="A34" s="2" t="s">
        <v>20</v>
      </c>
      <c r="B34" s="2">
        <v>10.0</v>
      </c>
      <c r="C34" s="2">
        <v>0.0</v>
      </c>
      <c r="D34" s="2">
        <v>0.0</v>
      </c>
      <c r="E34" s="2">
        <v>0.0</v>
      </c>
    </row>
    <row r="35">
      <c r="A35" s="2" t="s">
        <v>41</v>
      </c>
      <c r="B35" s="2">
        <v>8.0</v>
      </c>
      <c r="C35" s="2">
        <v>0.0</v>
      </c>
      <c r="D35" s="2">
        <v>0.0</v>
      </c>
      <c r="E35" s="2">
        <v>0.0</v>
      </c>
    </row>
    <row r="36">
      <c r="A36" s="2" t="s">
        <v>10</v>
      </c>
      <c r="B36" s="2">
        <v>8.0</v>
      </c>
      <c r="C36" s="2">
        <v>0.0</v>
      </c>
      <c r="D36" s="2">
        <v>1.0</v>
      </c>
      <c r="E36" s="2">
        <v>-0.5</v>
      </c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sort(Stats!A1:A1000,Stats!T1:T1000,false)</f>
        <v>Player</v>
      </c>
      <c r="B1" s="17" t="str">
        <f t="array" ref="B1:B1000">sort(Stats!C1:C1000,Stats!T1:T1000,false)</f>
        <v>GP</v>
      </c>
      <c r="C1" s="2" t="str">
        <f t="array" ref="C1:E1000">sort(Stats!R1:T1000,Stats!T1:T1000,false)</f>
        <v>E TU</v>
      </c>
      <c r="D1" s="2" t="s">
        <v>74</v>
      </c>
      <c r="E1" s="2" t="s">
        <v>75</v>
      </c>
    </row>
    <row r="2">
      <c r="A2" s="2" t="s">
        <v>32</v>
      </c>
      <c r="B2" s="2">
        <v>10.0</v>
      </c>
      <c r="C2" s="2">
        <v>21.0</v>
      </c>
      <c r="D2" s="2">
        <v>2.0</v>
      </c>
      <c r="E2" s="2">
        <v>7.6</v>
      </c>
    </row>
    <row r="3">
      <c r="A3" s="2" t="s">
        <v>44</v>
      </c>
      <c r="B3" s="2">
        <v>8.0</v>
      </c>
      <c r="C3" s="2">
        <v>11.0</v>
      </c>
      <c r="D3" s="2">
        <v>0.0</v>
      </c>
      <c r="E3" s="2">
        <v>5.5</v>
      </c>
    </row>
    <row r="4">
      <c r="A4" s="2" t="s">
        <v>21</v>
      </c>
      <c r="B4" s="2">
        <v>10.0</v>
      </c>
      <c r="C4" s="2">
        <v>10.0</v>
      </c>
      <c r="D4" s="2">
        <v>0.0</v>
      </c>
      <c r="E4" s="2">
        <v>4.0</v>
      </c>
    </row>
    <row r="5">
      <c r="A5" s="2" t="s">
        <v>11</v>
      </c>
      <c r="B5" s="2">
        <v>8.0</v>
      </c>
      <c r="C5" s="2">
        <v>6.0</v>
      </c>
      <c r="D5" s="2">
        <v>0.0</v>
      </c>
      <c r="E5" s="2">
        <v>3.0</v>
      </c>
    </row>
    <row r="6">
      <c r="A6" s="2" t="s">
        <v>18</v>
      </c>
      <c r="B6" s="2">
        <v>10.0</v>
      </c>
      <c r="C6" s="2">
        <v>11.0</v>
      </c>
      <c r="D6" s="2">
        <v>4.0</v>
      </c>
      <c r="E6" s="2">
        <v>2.8</v>
      </c>
    </row>
    <row r="7">
      <c r="A7" s="2" t="s">
        <v>28</v>
      </c>
      <c r="B7" s="2">
        <v>8.0</v>
      </c>
      <c r="C7" s="2">
        <v>5.0</v>
      </c>
      <c r="D7" s="2">
        <v>0.0</v>
      </c>
      <c r="E7" s="2">
        <v>2.5</v>
      </c>
    </row>
    <row r="8">
      <c r="A8" s="2" t="s">
        <v>14</v>
      </c>
      <c r="B8" s="2">
        <v>8.0</v>
      </c>
      <c r="C8" s="2">
        <v>4.0</v>
      </c>
      <c r="D8" s="2">
        <v>0.0</v>
      </c>
      <c r="E8" s="2">
        <v>2.0</v>
      </c>
    </row>
    <row r="9">
      <c r="A9" s="2" t="s">
        <v>17</v>
      </c>
      <c r="B9" s="2">
        <v>10.0</v>
      </c>
      <c r="C9" s="2">
        <v>6.0</v>
      </c>
      <c r="D9" s="2">
        <v>1.0</v>
      </c>
      <c r="E9" s="2">
        <v>2.0</v>
      </c>
    </row>
    <row r="10">
      <c r="A10" s="2" t="s">
        <v>53</v>
      </c>
      <c r="B10" s="2">
        <v>8.0</v>
      </c>
      <c r="C10" s="2">
        <v>4.0</v>
      </c>
      <c r="D10" s="2">
        <v>0.0</v>
      </c>
      <c r="E10" s="2">
        <v>2.0</v>
      </c>
    </row>
    <row r="11">
      <c r="A11" s="2" t="s">
        <v>43</v>
      </c>
      <c r="B11" s="2">
        <v>8.0</v>
      </c>
      <c r="C11" s="2">
        <v>4.0</v>
      </c>
      <c r="D11" s="2">
        <v>1.0</v>
      </c>
      <c r="E11" s="2">
        <v>1.5</v>
      </c>
    </row>
    <row r="12">
      <c r="A12" s="2" t="s">
        <v>27</v>
      </c>
      <c r="B12" s="2">
        <v>8.0</v>
      </c>
      <c r="C12" s="2">
        <v>3.0</v>
      </c>
      <c r="D12" s="2">
        <v>0.0</v>
      </c>
      <c r="E12" s="2">
        <v>1.5</v>
      </c>
    </row>
    <row r="13">
      <c r="A13" s="2" t="s">
        <v>24</v>
      </c>
      <c r="B13" s="2">
        <v>8.0</v>
      </c>
      <c r="C13" s="2">
        <v>3.0</v>
      </c>
      <c r="D13" s="2">
        <v>0.0</v>
      </c>
      <c r="E13" s="2">
        <v>1.5</v>
      </c>
    </row>
    <row r="14">
      <c r="A14" s="2" t="s">
        <v>29</v>
      </c>
      <c r="B14" s="2">
        <v>8.0</v>
      </c>
      <c r="C14" s="2">
        <v>4.0</v>
      </c>
      <c r="D14" s="2">
        <v>1.0</v>
      </c>
      <c r="E14" s="2">
        <v>1.5</v>
      </c>
    </row>
    <row r="15">
      <c r="A15" s="2" t="s">
        <v>40</v>
      </c>
      <c r="B15" s="2">
        <v>8.0</v>
      </c>
      <c r="C15" s="2">
        <v>3.0</v>
      </c>
      <c r="D15" s="2">
        <v>0.0</v>
      </c>
      <c r="E15" s="2">
        <v>1.5</v>
      </c>
    </row>
    <row r="16">
      <c r="A16" s="2" t="s">
        <v>23</v>
      </c>
      <c r="B16" s="2">
        <v>4.0</v>
      </c>
      <c r="C16" s="2">
        <v>1.0</v>
      </c>
      <c r="D16" s="2">
        <v>0.0</v>
      </c>
      <c r="E16" s="2">
        <v>1.0</v>
      </c>
    </row>
    <row r="17">
      <c r="A17" s="2" t="s">
        <v>35</v>
      </c>
      <c r="B17" s="2">
        <v>8.0</v>
      </c>
      <c r="C17" s="2">
        <v>2.0</v>
      </c>
      <c r="D17" s="2">
        <v>0.0</v>
      </c>
      <c r="E17" s="2">
        <v>1.0</v>
      </c>
    </row>
    <row r="18">
      <c r="A18" s="2" t="s">
        <v>9</v>
      </c>
      <c r="B18" s="2">
        <v>8.0</v>
      </c>
      <c r="C18" s="2">
        <v>2.0</v>
      </c>
      <c r="D18" s="2">
        <v>0.0</v>
      </c>
      <c r="E18" s="2">
        <v>1.0</v>
      </c>
    </row>
    <row r="19">
      <c r="A19" s="2" t="s">
        <v>26</v>
      </c>
      <c r="B19" s="2">
        <v>8.0</v>
      </c>
      <c r="C19" s="2">
        <v>1.0</v>
      </c>
      <c r="D19" s="2">
        <v>0.0</v>
      </c>
      <c r="E19" s="2">
        <v>0.5</v>
      </c>
    </row>
    <row r="20">
      <c r="A20" s="2" t="s">
        <v>55</v>
      </c>
      <c r="B20" s="2">
        <v>8.0</v>
      </c>
      <c r="C20" s="2">
        <v>1.0</v>
      </c>
      <c r="D20" s="2">
        <v>0.0</v>
      </c>
      <c r="E20" s="2">
        <v>0.5</v>
      </c>
    </row>
    <row r="21">
      <c r="A21" s="2" t="s">
        <v>10</v>
      </c>
      <c r="B21" s="2">
        <v>8.0</v>
      </c>
      <c r="C21" s="2">
        <v>1.0</v>
      </c>
      <c r="D21" s="2">
        <v>0.0</v>
      </c>
      <c r="E21" s="2">
        <v>0.5</v>
      </c>
    </row>
    <row r="22">
      <c r="A22" s="2" t="s">
        <v>34</v>
      </c>
      <c r="B22" s="2">
        <v>8.0</v>
      </c>
      <c r="C22" s="2">
        <v>1.0</v>
      </c>
      <c r="D22" s="2">
        <v>0.0</v>
      </c>
      <c r="E22" s="2">
        <v>0.5</v>
      </c>
    </row>
    <row r="23">
      <c r="A23" s="2" t="s">
        <v>15</v>
      </c>
      <c r="B23" s="2">
        <v>8.0</v>
      </c>
      <c r="C23" s="2">
        <v>1.0</v>
      </c>
      <c r="D23" s="2">
        <v>0.0</v>
      </c>
      <c r="E23" s="2">
        <v>0.5</v>
      </c>
    </row>
    <row r="24">
      <c r="A24" s="2" t="s">
        <v>31</v>
      </c>
      <c r="B24" s="2">
        <v>10.0</v>
      </c>
      <c r="C24" s="2">
        <v>0.0</v>
      </c>
      <c r="D24" s="2">
        <v>0.0</v>
      </c>
      <c r="E24" s="2">
        <v>0.0</v>
      </c>
    </row>
    <row r="25">
      <c r="A25" s="2" t="s">
        <v>33</v>
      </c>
      <c r="B25" s="2">
        <v>10.0</v>
      </c>
      <c r="C25" s="2">
        <v>1.0</v>
      </c>
      <c r="D25" s="2">
        <v>1.0</v>
      </c>
      <c r="E25" s="2">
        <v>0.0</v>
      </c>
    </row>
    <row r="26">
      <c r="A26" s="2" t="s">
        <v>30</v>
      </c>
      <c r="B26" s="2">
        <v>10.0</v>
      </c>
      <c r="C26" s="2">
        <v>0.0</v>
      </c>
      <c r="D26" s="2">
        <v>0.0</v>
      </c>
      <c r="E26" s="2">
        <v>0.0</v>
      </c>
    </row>
    <row r="27">
      <c r="A27" s="2" t="s">
        <v>22</v>
      </c>
      <c r="B27" s="2">
        <v>8.0</v>
      </c>
      <c r="C27" s="2">
        <v>0.0</v>
      </c>
      <c r="D27" s="2">
        <v>0.0</v>
      </c>
      <c r="E27" s="2">
        <v>0.0</v>
      </c>
    </row>
    <row r="28">
      <c r="A28" s="2" t="s">
        <v>45</v>
      </c>
      <c r="B28" s="2">
        <v>8.0</v>
      </c>
      <c r="C28" s="2">
        <v>0.0</v>
      </c>
      <c r="D28" s="2">
        <v>0.0</v>
      </c>
      <c r="E28" s="2">
        <v>0.0</v>
      </c>
    </row>
    <row r="29">
      <c r="A29" s="2" t="s">
        <v>46</v>
      </c>
      <c r="B29" s="2">
        <v>8.0</v>
      </c>
      <c r="C29" s="2">
        <v>0.0</v>
      </c>
      <c r="D29" s="2">
        <v>0.0</v>
      </c>
      <c r="E29" s="2">
        <v>0.0</v>
      </c>
    </row>
    <row r="30">
      <c r="A30" s="2" t="s">
        <v>39</v>
      </c>
      <c r="B30" s="2">
        <v>8.0</v>
      </c>
      <c r="C30" s="2">
        <v>0.0</v>
      </c>
      <c r="D30" s="2">
        <v>0.0</v>
      </c>
      <c r="E30" s="2">
        <v>0.0</v>
      </c>
    </row>
    <row r="31">
      <c r="A31" s="2" t="s">
        <v>13</v>
      </c>
      <c r="B31" s="2">
        <v>8.0</v>
      </c>
      <c r="C31" s="2">
        <v>0.0</v>
      </c>
      <c r="D31" s="2">
        <v>0.0</v>
      </c>
      <c r="E31" s="2">
        <v>0.0</v>
      </c>
    </row>
    <row r="32">
      <c r="A32" s="2" t="s">
        <v>20</v>
      </c>
      <c r="B32" s="2">
        <v>10.0</v>
      </c>
      <c r="C32" s="2">
        <v>0.0</v>
      </c>
      <c r="D32" s="2">
        <v>0.0</v>
      </c>
      <c r="E32" s="2">
        <v>0.0</v>
      </c>
    </row>
    <row r="33">
      <c r="A33" s="2" t="s">
        <v>12</v>
      </c>
      <c r="B33" s="2">
        <v>8.0</v>
      </c>
      <c r="C33" s="2">
        <v>0.0</v>
      </c>
      <c r="D33" s="2">
        <v>0.0</v>
      </c>
      <c r="E33" s="2">
        <v>0.0</v>
      </c>
    </row>
    <row r="34">
      <c r="A34" s="2" t="s">
        <v>41</v>
      </c>
      <c r="B34" s="2">
        <v>8.0</v>
      </c>
      <c r="C34" s="2">
        <v>0.0</v>
      </c>
      <c r="D34" s="2">
        <v>0.0</v>
      </c>
      <c r="E34" s="2">
        <v>0.0</v>
      </c>
    </row>
    <row r="35">
      <c r="A35" s="2" t="s">
        <v>37</v>
      </c>
      <c r="B35" s="2">
        <v>8.0</v>
      </c>
      <c r="C35" s="2">
        <v>0.0</v>
      </c>
      <c r="D35" s="2">
        <v>1.0</v>
      </c>
      <c r="E35" s="2">
        <v>-0.5</v>
      </c>
    </row>
    <row r="36">
      <c r="A36" s="2" t="s">
        <v>42</v>
      </c>
      <c r="B36" s="2">
        <v>8.0</v>
      </c>
      <c r="C36" s="2">
        <v>0.0</v>
      </c>
      <c r="D36" s="2">
        <v>1.0</v>
      </c>
      <c r="E36" s="2">
        <v>-0.5</v>
      </c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sort(Stats!A1:A1000,Stats!W1:W1000,false)</f>
        <v>Player</v>
      </c>
      <c r="B1" s="17" t="str">
        <f t="array" ref="B1:B1000">sort(Stats!C1:C1000,Stats!W1:W1000,false)</f>
        <v>GP</v>
      </c>
      <c r="C1" s="2" t="str">
        <f t="array" ref="C1:E1000">sort(Stats!U1:W1000,Stats!W1:W1000,false)</f>
        <v>B TU</v>
      </c>
      <c r="D1" s="2" t="s">
        <v>77</v>
      </c>
      <c r="E1" s="2" t="s">
        <v>78</v>
      </c>
    </row>
    <row r="2">
      <c r="A2" s="2" t="s">
        <v>18</v>
      </c>
      <c r="B2" s="2">
        <v>10.0</v>
      </c>
      <c r="C2" s="2">
        <v>26.0</v>
      </c>
      <c r="D2" s="2">
        <v>6.0</v>
      </c>
      <c r="E2" s="2">
        <v>8.0</v>
      </c>
    </row>
    <row r="3">
      <c r="A3" s="2" t="s">
        <v>43</v>
      </c>
      <c r="B3" s="2">
        <v>8.0</v>
      </c>
      <c r="C3" s="2">
        <v>13.0</v>
      </c>
      <c r="D3" s="2">
        <v>2.0</v>
      </c>
      <c r="E3" s="2">
        <v>5.5</v>
      </c>
    </row>
    <row r="4">
      <c r="A4" s="2" t="s">
        <v>24</v>
      </c>
      <c r="B4" s="2">
        <v>8.0</v>
      </c>
      <c r="C4" s="2">
        <v>9.0</v>
      </c>
      <c r="D4" s="2">
        <v>0.0</v>
      </c>
      <c r="E4" s="2">
        <v>4.5</v>
      </c>
    </row>
    <row r="5">
      <c r="A5" s="2" t="s">
        <v>29</v>
      </c>
      <c r="B5" s="2">
        <v>8.0</v>
      </c>
      <c r="C5" s="2">
        <v>8.0</v>
      </c>
      <c r="D5" s="2">
        <v>1.0</v>
      </c>
      <c r="E5" s="2">
        <v>3.5</v>
      </c>
    </row>
    <row r="6">
      <c r="A6" s="2" t="s">
        <v>30</v>
      </c>
      <c r="B6" s="2">
        <v>10.0</v>
      </c>
      <c r="C6" s="2">
        <v>8.0</v>
      </c>
      <c r="D6" s="2">
        <v>0.0</v>
      </c>
      <c r="E6" s="2">
        <v>3.2</v>
      </c>
    </row>
    <row r="7">
      <c r="A7" s="2" t="s">
        <v>14</v>
      </c>
      <c r="B7" s="2">
        <v>8.0</v>
      </c>
      <c r="C7" s="2">
        <v>6.0</v>
      </c>
      <c r="D7" s="2">
        <v>0.0</v>
      </c>
      <c r="E7" s="2">
        <v>3.0</v>
      </c>
    </row>
    <row r="8">
      <c r="A8" s="2" t="s">
        <v>55</v>
      </c>
      <c r="B8" s="2">
        <v>8.0</v>
      </c>
      <c r="C8" s="2">
        <v>9.0</v>
      </c>
      <c r="D8" s="2">
        <v>4.0</v>
      </c>
      <c r="E8" s="2">
        <v>2.5</v>
      </c>
    </row>
    <row r="9">
      <c r="A9" s="2" t="s">
        <v>33</v>
      </c>
      <c r="B9" s="2">
        <v>10.0</v>
      </c>
      <c r="C9" s="2">
        <v>6.0</v>
      </c>
      <c r="D9" s="2">
        <v>1.0</v>
      </c>
      <c r="E9" s="2">
        <v>2.0</v>
      </c>
    </row>
    <row r="10">
      <c r="A10" s="2" t="s">
        <v>45</v>
      </c>
      <c r="B10" s="2">
        <v>8.0</v>
      </c>
      <c r="C10" s="2">
        <v>3.0</v>
      </c>
      <c r="D10" s="2">
        <v>0.0</v>
      </c>
      <c r="E10" s="2">
        <v>1.5</v>
      </c>
    </row>
    <row r="11">
      <c r="A11" s="2" t="s">
        <v>13</v>
      </c>
      <c r="B11" s="2">
        <v>8.0</v>
      </c>
      <c r="C11" s="2">
        <v>3.0</v>
      </c>
      <c r="D11" s="2">
        <v>0.0</v>
      </c>
      <c r="E11" s="2">
        <v>1.5</v>
      </c>
    </row>
    <row r="12">
      <c r="A12" s="2" t="s">
        <v>42</v>
      </c>
      <c r="B12" s="2">
        <v>8.0</v>
      </c>
      <c r="C12" s="2">
        <v>3.0</v>
      </c>
      <c r="D12" s="2">
        <v>0.0</v>
      </c>
      <c r="E12" s="2">
        <v>1.5</v>
      </c>
    </row>
    <row r="13">
      <c r="A13" s="2" t="s">
        <v>32</v>
      </c>
      <c r="B13" s="2">
        <v>10.0</v>
      </c>
      <c r="C13" s="2">
        <v>3.0</v>
      </c>
      <c r="D13" s="2">
        <v>0.0</v>
      </c>
      <c r="E13" s="2">
        <v>1.2</v>
      </c>
    </row>
    <row r="14">
      <c r="A14" s="2" t="s">
        <v>27</v>
      </c>
      <c r="B14" s="2">
        <v>8.0</v>
      </c>
      <c r="C14" s="2">
        <v>2.0</v>
      </c>
      <c r="D14" s="2">
        <v>0.0</v>
      </c>
      <c r="E14" s="2">
        <v>1.0</v>
      </c>
    </row>
    <row r="15">
      <c r="A15" s="2" t="s">
        <v>26</v>
      </c>
      <c r="B15" s="2">
        <v>8.0</v>
      </c>
      <c r="C15" s="2">
        <v>2.0</v>
      </c>
      <c r="D15" s="2">
        <v>0.0</v>
      </c>
      <c r="E15" s="2">
        <v>1.0</v>
      </c>
    </row>
    <row r="16">
      <c r="A16" s="2" t="s">
        <v>44</v>
      </c>
      <c r="B16" s="2">
        <v>8.0</v>
      </c>
      <c r="C16" s="2">
        <v>1.0</v>
      </c>
      <c r="D16" s="2">
        <v>0.0</v>
      </c>
      <c r="E16" s="2">
        <v>0.5</v>
      </c>
    </row>
    <row r="17">
      <c r="A17" s="2" t="s">
        <v>37</v>
      </c>
      <c r="B17" s="2">
        <v>8.0</v>
      </c>
      <c r="C17" s="2">
        <v>1.0</v>
      </c>
      <c r="D17" s="2">
        <v>0.0</v>
      </c>
      <c r="E17" s="2">
        <v>0.5</v>
      </c>
    </row>
    <row r="18">
      <c r="A18" s="2" t="s">
        <v>35</v>
      </c>
      <c r="B18" s="2">
        <v>8.0</v>
      </c>
      <c r="C18" s="2">
        <v>1.0</v>
      </c>
      <c r="D18" s="2">
        <v>0.0</v>
      </c>
      <c r="E18" s="2">
        <v>0.5</v>
      </c>
    </row>
    <row r="19">
      <c r="A19" s="2" t="s">
        <v>9</v>
      </c>
      <c r="B19" s="2">
        <v>8.0</v>
      </c>
      <c r="C19" s="2">
        <v>1.0</v>
      </c>
      <c r="D19" s="2">
        <v>0.0</v>
      </c>
      <c r="E19" s="2">
        <v>0.5</v>
      </c>
    </row>
    <row r="20">
      <c r="A20" s="2" t="s">
        <v>53</v>
      </c>
      <c r="B20" s="2">
        <v>8.0</v>
      </c>
      <c r="C20" s="2">
        <v>1.0</v>
      </c>
      <c r="D20" s="2">
        <v>0.0</v>
      </c>
      <c r="E20" s="2">
        <v>0.5</v>
      </c>
    </row>
    <row r="21">
      <c r="A21" s="2" t="s">
        <v>10</v>
      </c>
      <c r="B21" s="2">
        <v>8.0</v>
      </c>
      <c r="C21" s="2">
        <v>1.0</v>
      </c>
      <c r="D21" s="2">
        <v>0.0</v>
      </c>
      <c r="E21" s="2">
        <v>0.5</v>
      </c>
    </row>
    <row r="22">
      <c r="A22" s="2" t="s">
        <v>46</v>
      </c>
      <c r="B22" s="2">
        <v>8.0</v>
      </c>
      <c r="C22" s="2">
        <v>1.0</v>
      </c>
      <c r="D22" s="2">
        <v>0.0</v>
      </c>
      <c r="E22" s="2">
        <v>0.5</v>
      </c>
    </row>
    <row r="23">
      <c r="A23" s="2" t="s">
        <v>31</v>
      </c>
      <c r="B23" s="2">
        <v>10.0</v>
      </c>
      <c r="C23" s="2">
        <v>0.0</v>
      </c>
      <c r="D23" s="2">
        <v>0.0</v>
      </c>
      <c r="E23" s="2">
        <v>0.0</v>
      </c>
    </row>
    <row r="24">
      <c r="A24" s="2" t="s">
        <v>17</v>
      </c>
      <c r="B24" s="2">
        <v>10.0</v>
      </c>
      <c r="C24" s="2">
        <v>0.0</v>
      </c>
      <c r="D24" s="2">
        <v>0.0</v>
      </c>
      <c r="E24" s="2">
        <v>0.0</v>
      </c>
    </row>
    <row r="25">
      <c r="A25" s="2" t="s">
        <v>23</v>
      </c>
      <c r="B25" s="2">
        <v>4.0</v>
      </c>
      <c r="C25" s="2">
        <v>0.0</v>
      </c>
      <c r="D25" s="2">
        <v>0.0</v>
      </c>
      <c r="E25" s="2">
        <v>0.0</v>
      </c>
    </row>
    <row r="26">
      <c r="A26" s="2" t="s">
        <v>28</v>
      </c>
      <c r="B26" s="2">
        <v>8.0</v>
      </c>
      <c r="C26" s="2">
        <v>0.0</v>
      </c>
      <c r="D26" s="2">
        <v>0.0</v>
      </c>
      <c r="E26" s="2">
        <v>0.0</v>
      </c>
    </row>
    <row r="27">
      <c r="A27" s="2" t="s">
        <v>22</v>
      </c>
      <c r="B27" s="2">
        <v>8.0</v>
      </c>
      <c r="C27" s="2">
        <v>0.0</v>
      </c>
      <c r="D27" s="2">
        <v>0.0</v>
      </c>
      <c r="E27" s="2">
        <v>0.0</v>
      </c>
    </row>
    <row r="28">
      <c r="A28" s="2" t="s">
        <v>40</v>
      </c>
      <c r="B28" s="2">
        <v>8.0</v>
      </c>
      <c r="C28" s="2">
        <v>0.0</v>
      </c>
      <c r="D28" s="2">
        <v>0.0</v>
      </c>
      <c r="E28" s="2">
        <v>0.0</v>
      </c>
    </row>
    <row r="29">
      <c r="A29" s="2" t="s">
        <v>34</v>
      </c>
      <c r="B29" s="2">
        <v>8.0</v>
      </c>
      <c r="C29" s="2">
        <v>0.0</v>
      </c>
      <c r="D29" s="2">
        <v>0.0</v>
      </c>
      <c r="E29" s="2">
        <v>0.0</v>
      </c>
    </row>
    <row r="30">
      <c r="A30" s="2" t="s">
        <v>11</v>
      </c>
      <c r="B30" s="2">
        <v>8.0</v>
      </c>
      <c r="C30" s="2">
        <v>0.0</v>
      </c>
      <c r="D30" s="2">
        <v>0.0</v>
      </c>
      <c r="E30" s="2">
        <v>0.0</v>
      </c>
    </row>
    <row r="31">
      <c r="A31" s="2" t="s">
        <v>39</v>
      </c>
      <c r="B31" s="2">
        <v>8.0</v>
      </c>
      <c r="C31" s="2">
        <v>0.0</v>
      </c>
      <c r="D31" s="2">
        <v>0.0</v>
      </c>
      <c r="E31" s="2">
        <v>0.0</v>
      </c>
    </row>
    <row r="32">
      <c r="A32" s="2" t="s">
        <v>15</v>
      </c>
      <c r="B32" s="2">
        <v>8.0</v>
      </c>
      <c r="C32" s="2">
        <v>0.0</v>
      </c>
      <c r="D32" s="2">
        <v>0.0</v>
      </c>
      <c r="E32" s="2">
        <v>0.0</v>
      </c>
    </row>
    <row r="33">
      <c r="A33" s="2" t="s">
        <v>20</v>
      </c>
      <c r="B33" s="2">
        <v>10.0</v>
      </c>
      <c r="C33" s="2">
        <v>0.0</v>
      </c>
      <c r="D33" s="2">
        <v>0.0</v>
      </c>
      <c r="E33" s="2">
        <v>0.0</v>
      </c>
    </row>
    <row r="34">
      <c r="A34" s="2" t="s">
        <v>12</v>
      </c>
      <c r="B34" s="2">
        <v>8.0</v>
      </c>
      <c r="C34" s="2">
        <v>0.0</v>
      </c>
      <c r="D34" s="2">
        <v>0.0</v>
      </c>
      <c r="E34" s="2">
        <v>0.0</v>
      </c>
    </row>
    <row r="35">
      <c r="A35" s="2" t="s">
        <v>41</v>
      </c>
      <c r="B35" s="2">
        <v>8.0</v>
      </c>
      <c r="C35" s="2">
        <v>0.0</v>
      </c>
      <c r="D35" s="2">
        <v>0.0</v>
      </c>
      <c r="E35" s="2">
        <v>0.0</v>
      </c>
    </row>
    <row r="36">
      <c r="A36" s="2" t="s">
        <v>21</v>
      </c>
      <c r="B36" s="2">
        <v>10.0</v>
      </c>
      <c r="C36" s="2">
        <v>0.0</v>
      </c>
      <c r="D36" s="2">
        <v>1.0</v>
      </c>
      <c r="E36" s="2">
        <v>-0.4</v>
      </c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tr">
        <f t="array" ref="A1:A1000">sort(Stats!A1:A1000,Stats!Z1:Z1000,false)</f>
        <v>Player</v>
      </c>
      <c r="B1" s="17" t="str">
        <f t="array" ref="B1:B1000">sort(Stats!C1:C1000,Stats!Z1:Z1000,false)</f>
        <v>GP</v>
      </c>
      <c r="C1" s="2" t="str">
        <f t="array" ref="C1:E1000">sort(Stats!X1:Z1000,Stats!Z1:Z1000,false)</f>
        <v>P TU</v>
      </c>
      <c r="D1" s="2" t="s">
        <v>80</v>
      </c>
      <c r="E1" s="2" t="s">
        <v>81</v>
      </c>
    </row>
    <row r="2">
      <c r="A2" s="2" t="s">
        <v>26</v>
      </c>
      <c r="B2" s="2">
        <v>8.0</v>
      </c>
      <c r="C2" s="2">
        <v>12.0</v>
      </c>
      <c r="D2" s="2">
        <v>2.0</v>
      </c>
      <c r="E2" s="2">
        <v>5.0</v>
      </c>
    </row>
    <row r="3">
      <c r="A3" s="2" t="s">
        <v>23</v>
      </c>
      <c r="B3" s="2">
        <v>4.0</v>
      </c>
      <c r="C3" s="2">
        <v>5.0</v>
      </c>
      <c r="D3" s="2">
        <v>0.0</v>
      </c>
      <c r="E3" s="2">
        <v>5.0</v>
      </c>
    </row>
    <row r="4">
      <c r="A4" s="2" t="s">
        <v>44</v>
      </c>
      <c r="B4" s="2">
        <v>8.0</v>
      </c>
      <c r="C4" s="2">
        <v>8.0</v>
      </c>
      <c r="D4" s="2">
        <v>0.0</v>
      </c>
      <c r="E4" s="2">
        <v>4.0</v>
      </c>
    </row>
    <row r="5">
      <c r="A5" s="2" t="s">
        <v>35</v>
      </c>
      <c r="B5" s="2">
        <v>8.0</v>
      </c>
      <c r="C5" s="2">
        <v>6.0</v>
      </c>
      <c r="D5" s="2">
        <v>0.0</v>
      </c>
      <c r="E5" s="2">
        <v>3.0</v>
      </c>
    </row>
    <row r="6">
      <c r="A6" s="2" t="s">
        <v>14</v>
      </c>
      <c r="B6" s="2">
        <v>8.0</v>
      </c>
      <c r="C6" s="2">
        <v>8.0</v>
      </c>
      <c r="D6" s="2">
        <v>3.0</v>
      </c>
      <c r="E6" s="2">
        <v>2.5</v>
      </c>
    </row>
    <row r="7">
      <c r="A7" s="2" t="s">
        <v>27</v>
      </c>
      <c r="B7" s="2">
        <v>8.0</v>
      </c>
      <c r="C7" s="2">
        <v>5.0</v>
      </c>
      <c r="D7" s="2">
        <v>0.0</v>
      </c>
      <c r="E7" s="2">
        <v>2.5</v>
      </c>
    </row>
    <row r="8">
      <c r="A8" s="2" t="s">
        <v>37</v>
      </c>
      <c r="B8" s="2">
        <v>8.0</v>
      </c>
      <c r="C8" s="2">
        <v>5.0</v>
      </c>
      <c r="D8" s="2">
        <v>0.0</v>
      </c>
      <c r="E8" s="2">
        <v>2.5</v>
      </c>
    </row>
    <row r="9">
      <c r="A9" s="2" t="s">
        <v>32</v>
      </c>
      <c r="B9" s="2">
        <v>10.0</v>
      </c>
      <c r="C9" s="2">
        <v>7.0</v>
      </c>
      <c r="D9" s="2">
        <v>1.0</v>
      </c>
      <c r="E9" s="2">
        <v>2.4</v>
      </c>
    </row>
    <row r="10">
      <c r="A10" s="2" t="s">
        <v>18</v>
      </c>
      <c r="B10" s="2">
        <v>10.0</v>
      </c>
      <c r="C10" s="2">
        <v>8.0</v>
      </c>
      <c r="D10" s="2">
        <v>3.0</v>
      </c>
      <c r="E10" s="2">
        <v>2.0</v>
      </c>
    </row>
    <row r="11">
      <c r="A11" s="2" t="s">
        <v>10</v>
      </c>
      <c r="B11" s="2">
        <v>8.0</v>
      </c>
      <c r="C11" s="2">
        <v>5.0</v>
      </c>
      <c r="D11" s="2">
        <v>1.0</v>
      </c>
      <c r="E11" s="2">
        <v>2.0</v>
      </c>
    </row>
    <row r="12">
      <c r="A12" s="2" t="s">
        <v>40</v>
      </c>
      <c r="B12" s="2">
        <v>8.0</v>
      </c>
      <c r="C12" s="2">
        <v>3.0</v>
      </c>
      <c r="D12" s="2">
        <v>0.0</v>
      </c>
      <c r="E12" s="2">
        <v>1.5</v>
      </c>
    </row>
    <row r="13">
      <c r="A13" s="2" t="s">
        <v>31</v>
      </c>
      <c r="B13" s="2">
        <v>10.0</v>
      </c>
      <c r="C13" s="2">
        <v>4.0</v>
      </c>
      <c r="D13" s="2">
        <v>1.0</v>
      </c>
      <c r="E13" s="2">
        <v>1.2</v>
      </c>
    </row>
    <row r="14">
      <c r="A14" s="2" t="s">
        <v>33</v>
      </c>
      <c r="B14" s="2">
        <v>10.0</v>
      </c>
      <c r="C14" s="2">
        <v>4.0</v>
      </c>
      <c r="D14" s="2">
        <v>1.0</v>
      </c>
      <c r="E14" s="2">
        <v>1.2</v>
      </c>
    </row>
    <row r="15">
      <c r="A15" s="2" t="s">
        <v>43</v>
      </c>
      <c r="B15" s="2">
        <v>8.0</v>
      </c>
      <c r="C15" s="2">
        <v>2.0</v>
      </c>
      <c r="D15" s="2">
        <v>0.0</v>
      </c>
      <c r="E15" s="2">
        <v>1.0</v>
      </c>
    </row>
    <row r="16">
      <c r="A16" s="2" t="s">
        <v>29</v>
      </c>
      <c r="B16" s="2">
        <v>8.0</v>
      </c>
      <c r="C16" s="2">
        <v>2.0</v>
      </c>
      <c r="D16" s="2">
        <v>0.0</v>
      </c>
      <c r="E16" s="2">
        <v>1.0</v>
      </c>
    </row>
    <row r="17">
      <c r="A17" s="2" t="s">
        <v>39</v>
      </c>
      <c r="B17" s="2">
        <v>8.0</v>
      </c>
      <c r="C17" s="2">
        <v>3.0</v>
      </c>
      <c r="D17" s="2">
        <v>1.0</v>
      </c>
      <c r="E17" s="2">
        <v>1.0</v>
      </c>
    </row>
    <row r="18">
      <c r="A18" s="2" t="s">
        <v>20</v>
      </c>
      <c r="B18" s="2">
        <v>10.0</v>
      </c>
      <c r="C18" s="2">
        <v>5.0</v>
      </c>
      <c r="D18" s="2">
        <v>3.0</v>
      </c>
      <c r="E18" s="2">
        <v>0.8</v>
      </c>
    </row>
    <row r="19">
      <c r="A19" s="2" t="s">
        <v>24</v>
      </c>
      <c r="B19" s="2">
        <v>8.0</v>
      </c>
      <c r="C19" s="2">
        <v>1.0</v>
      </c>
      <c r="D19" s="2">
        <v>0.0</v>
      </c>
      <c r="E19" s="2">
        <v>0.5</v>
      </c>
    </row>
    <row r="20">
      <c r="A20" s="2" t="s">
        <v>55</v>
      </c>
      <c r="B20" s="2">
        <v>8.0</v>
      </c>
      <c r="C20" s="2">
        <v>1.0</v>
      </c>
      <c r="D20" s="2">
        <v>0.0</v>
      </c>
      <c r="E20" s="2">
        <v>0.5</v>
      </c>
    </row>
    <row r="21">
      <c r="A21" s="2" t="s">
        <v>28</v>
      </c>
      <c r="B21" s="2">
        <v>8.0</v>
      </c>
      <c r="C21" s="2">
        <v>1.0</v>
      </c>
      <c r="D21" s="2">
        <v>0.0</v>
      </c>
      <c r="E21" s="2">
        <v>0.5</v>
      </c>
    </row>
    <row r="22">
      <c r="A22" s="2" t="s">
        <v>22</v>
      </c>
      <c r="B22" s="2">
        <v>8.0</v>
      </c>
      <c r="C22" s="2">
        <v>1.0</v>
      </c>
      <c r="D22" s="2">
        <v>0.0</v>
      </c>
      <c r="E22" s="2">
        <v>0.5</v>
      </c>
    </row>
    <row r="23">
      <c r="A23" s="2" t="s">
        <v>45</v>
      </c>
      <c r="B23" s="2">
        <v>8.0</v>
      </c>
      <c r="C23" s="2">
        <v>2.0</v>
      </c>
      <c r="D23" s="2">
        <v>1.0</v>
      </c>
      <c r="E23" s="2">
        <v>0.5</v>
      </c>
    </row>
    <row r="24">
      <c r="A24" s="2" t="s">
        <v>34</v>
      </c>
      <c r="B24" s="2">
        <v>8.0</v>
      </c>
      <c r="C24" s="2">
        <v>1.0</v>
      </c>
      <c r="D24" s="2">
        <v>0.0</v>
      </c>
      <c r="E24" s="2">
        <v>0.5</v>
      </c>
    </row>
    <row r="25">
      <c r="A25" s="2" t="s">
        <v>15</v>
      </c>
      <c r="B25" s="2">
        <v>8.0</v>
      </c>
      <c r="C25" s="2">
        <v>1.0</v>
      </c>
      <c r="D25" s="2">
        <v>0.0</v>
      </c>
      <c r="E25" s="2">
        <v>0.5</v>
      </c>
    </row>
    <row r="26">
      <c r="A26" s="2" t="s">
        <v>17</v>
      </c>
      <c r="B26" s="2">
        <v>10.0</v>
      </c>
      <c r="C26" s="2">
        <v>1.0</v>
      </c>
      <c r="D26" s="2">
        <v>0.0</v>
      </c>
      <c r="E26" s="2">
        <v>0.4</v>
      </c>
    </row>
    <row r="27">
      <c r="A27" s="2" t="s">
        <v>30</v>
      </c>
      <c r="B27" s="2">
        <v>10.0</v>
      </c>
      <c r="C27" s="2">
        <v>1.0</v>
      </c>
      <c r="D27" s="2">
        <v>0.0</v>
      </c>
      <c r="E27" s="2">
        <v>0.4</v>
      </c>
    </row>
    <row r="28">
      <c r="A28" s="2" t="s">
        <v>21</v>
      </c>
      <c r="B28" s="2">
        <v>10.0</v>
      </c>
      <c r="C28" s="2">
        <v>6.0</v>
      </c>
      <c r="D28" s="2">
        <v>5.0</v>
      </c>
      <c r="E28" s="2">
        <v>0.4</v>
      </c>
    </row>
    <row r="29">
      <c r="A29" s="2" t="s">
        <v>9</v>
      </c>
      <c r="B29" s="2">
        <v>8.0</v>
      </c>
      <c r="C29" s="2">
        <v>0.0</v>
      </c>
      <c r="D29" s="2">
        <v>0.0</v>
      </c>
      <c r="E29" s="2">
        <v>0.0</v>
      </c>
    </row>
    <row r="30">
      <c r="A30" s="2" t="s">
        <v>53</v>
      </c>
      <c r="B30" s="2">
        <v>8.0</v>
      </c>
      <c r="C30" s="2">
        <v>0.0</v>
      </c>
      <c r="D30" s="2">
        <v>0.0</v>
      </c>
      <c r="E30" s="2">
        <v>0.0</v>
      </c>
    </row>
    <row r="31">
      <c r="A31" s="2" t="s">
        <v>46</v>
      </c>
      <c r="B31" s="2">
        <v>8.0</v>
      </c>
      <c r="C31" s="2">
        <v>0.0</v>
      </c>
      <c r="D31" s="2">
        <v>0.0</v>
      </c>
      <c r="E31" s="2">
        <v>0.0</v>
      </c>
    </row>
    <row r="32">
      <c r="A32" s="2" t="s">
        <v>11</v>
      </c>
      <c r="B32" s="2">
        <v>8.0</v>
      </c>
      <c r="C32" s="2">
        <v>0.0</v>
      </c>
      <c r="D32" s="2">
        <v>0.0</v>
      </c>
      <c r="E32" s="2">
        <v>0.0</v>
      </c>
    </row>
    <row r="33">
      <c r="A33" s="2" t="s">
        <v>13</v>
      </c>
      <c r="B33" s="2">
        <v>8.0</v>
      </c>
      <c r="C33" s="2">
        <v>0.0</v>
      </c>
      <c r="D33" s="2">
        <v>0.0</v>
      </c>
      <c r="E33" s="2">
        <v>0.0</v>
      </c>
    </row>
    <row r="34">
      <c r="A34" s="2" t="s">
        <v>42</v>
      </c>
      <c r="B34" s="2">
        <v>8.0</v>
      </c>
      <c r="C34" s="2">
        <v>0.0</v>
      </c>
      <c r="D34" s="2">
        <v>0.0</v>
      </c>
      <c r="E34" s="2">
        <v>0.0</v>
      </c>
    </row>
    <row r="35">
      <c r="A35" s="2" t="s">
        <v>12</v>
      </c>
      <c r="B35" s="2">
        <v>8.0</v>
      </c>
      <c r="C35" s="2">
        <v>0.0</v>
      </c>
      <c r="D35" s="2">
        <v>0.0</v>
      </c>
      <c r="E35" s="2">
        <v>0.0</v>
      </c>
    </row>
    <row r="36">
      <c r="A36" s="2" t="s">
        <v>41</v>
      </c>
      <c r="B36" s="2">
        <v>8.0</v>
      </c>
      <c r="C36" s="2">
        <v>0.0</v>
      </c>
      <c r="D36" s="2">
        <v>0.0</v>
      </c>
      <c r="E36" s="2">
        <v>0.0</v>
      </c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