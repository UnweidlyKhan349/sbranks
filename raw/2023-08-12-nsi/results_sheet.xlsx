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Elimination" sheetId="1" r:id="rId4"/>
    <sheet state="visible" name="Round Robin" sheetId="2" r:id="rId5"/>
    <sheet state="hidden" name="Schedule" sheetId="3" r:id="rId6"/>
    <sheet state="hidden" name="Testing Data" sheetId="4" r:id="rId7"/>
    <sheet state="hidden" name="Hidden Sheet" sheetId="5" r:id="rId8"/>
  </sheets>
  <definedNames/>
  <calcPr/>
</workbook>
</file>

<file path=xl/sharedStrings.xml><?xml version="1.0" encoding="utf-8"?>
<sst xmlns="http://schemas.openxmlformats.org/spreadsheetml/2006/main" count="227" uniqueCount="117">
  <si>
    <t>HST</t>
  </si>
  <si>
    <t>Group A</t>
  </si>
  <si>
    <t>PDT</t>
  </si>
  <si>
    <t>MDT</t>
  </si>
  <si>
    <t>Example Group</t>
  </si>
  <si>
    <t>CDT</t>
  </si>
  <si>
    <t>Group B</t>
  </si>
  <si>
    <t>EDT</t>
  </si>
  <si>
    <t>Opening Ceremony</t>
  </si>
  <si>
    <t>Team 1</t>
  </si>
  <si>
    <t>Team 2</t>
  </si>
  <si>
    <t>Team 3</t>
  </si>
  <si>
    <t>Team 4</t>
  </si>
  <si>
    <t>Round Robin 1</t>
  </si>
  <si>
    <t>PPG</t>
  </si>
  <si>
    <t>Points</t>
  </si>
  <si>
    <t>Functioning Group</t>
  </si>
  <si>
    <t>Team 5</t>
  </si>
  <si>
    <t>Round Robin 2</t>
  </si>
  <si>
    <t>Team 6</t>
  </si>
  <si>
    <t>Team 7</t>
  </si>
  <si>
    <t>Team 8</t>
  </si>
  <si>
    <t>Round Robin 3</t>
  </si>
  <si>
    <t>Test data 3-way tie 1st</t>
  </si>
  <si>
    <t>Round of 16</t>
  </si>
  <si>
    <t>Quarterfinals</t>
  </si>
  <si>
    <t>Semifinals</t>
  </si>
  <si>
    <t>Finals</t>
  </si>
  <si>
    <t>Awards Ceremony</t>
  </si>
  <si>
    <t>Cayuga 1</t>
  </si>
  <si>
    <t>Group C</t>
  </si>
  <si>
    <t>Group D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</si>
  <si>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</si>
  <si>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</si>
  <si>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</si>
  <si>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</si>
  <si>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</si>
  <si>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</si>
  <si>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</si>
  <si>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</si>
  <si>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Test data no ties</t>
  </si>
  <si>
    <t>Test data 3-way tie 2nd</t>
  </si>
  <si>
    <t>Order of Matchups:</t>
  </si>
  <si>
    <t>Group E</t>
  </si>
  <si>
    <t>Group F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</si>
  <si>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</si>
  <si>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</si>
  <si>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</si>
  <si>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</si>
  <si>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</si>
  <si>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</si>
  <si>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</si>
  <si>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</si>
  <si>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Test data 3-way tie 1st transposed</t>
  </si>
  <si>
    <t>Test data 3-way tie 2nd transposed</t>
  </si>
  <si>
    <t>Room 1</t>
  </si>
  <si>
    <t>Room 2</t>
  </si>
  <si>
    <t>RR1</t>
  </si>
  <si>
    <t>Team 1 vs Team 2</t>
  </si>
  <si>
    <t>Team 3 vs Team 4</t>
  </si>
  <si>
    <t>Cayuga 2</t>
  </si>
  <si>
    <t>RR2</t>
  </si>
  <si>
    <t>Team 1 vs Team 3</t>
  </si>
  <si>
    <t>Team 2 vs Team 4</t>
  </si>
  <si>
    <t>RR3</t>
  </si>
  <si>
    <t>Team 1 vs Team 4</t>
  </si>
  <si>
    <t>Team 2 vs Team 3</t>
  </si>
  <si>
    <t>Cayuga</t>
  </si>
  <si>
    <t>Seneca</t>
  </si>
  <si>
    <t>Mohawk 1</t>
  </si>
  <si>
    <t>Interlakeside</t>
  </si>
  <si>
    <t>Mohawk 2</t>
  </si>
  <si>
    <t>Amador Valley B</t>
  </si>
  <si>
    <t>Oneida 1</t>
  </si>
  <si>
    <t>Mission San Jose</t>
  </si>
  <si>
    <t>Buchholz B</t>
  </si>
  <si>
    <t>Oneida 2</t>
  </si>
  <si>
    <t>Sharon HS</t>
  </si>
  <si>
    <t>Montgomery Blair HS</t>
  </si>
  <si>
    <t>Science Academy B</t>
  </si>
  <si>
    <t>Onondaga 1</t>
  </si>
  <si>
    <t>Science Academy A</t>
  </si>
  <si>
    <t>Onondaga</t>
  </si>
  <si>
    <t>Oneida</t>
  </si>
  <si>
    <t>Onondaga 2</t>
  </si>
  <si>
    <t>University HS</t>
  </si>
  <si>
    <t>Buchholz A</t>
  </si>
  <si>
    <t>Davidson Academy</t>
  </si>
  <si>
    <t>Foothill A</t>
  </si>
  <si>
    <t>James S. Rickards HS</t>
  </si>
  <si>
    <t>1v2</t>
  </si>
  <si>
    <t>Poolesville HS</t>
  </si>
  <si>
    <t>Amador Valley A</t>
  </si>
  <si>
    <t>Venice HS</t>
  </si>
  <si>
    <t>Mohawk</t>
  </si>
  <si>
    <t>Tuscarora</t>
  </si>
  <si>
    <t>CBA</t>
  </si>
  <si>
    <t>North Hollywood</t>
  </si>
  <si>
    <t>Enloe HS</t>
  </si>
  <si>
    <t>Clements HS</t>
  </si>
  <si>
    <t>Iolani</t>
  </si>
  <si>
    <t>Foothill B</t>
  </si>
  <si>
    <t>Poolesville B</t>
  </si>
  <si>
    <t>Arcadia HS</t>
  </si>
  <si>
    <t>1v3</t>
  </si>
  <si>
    <t>1v4</t>
  </si>
  <si>
    <t>2v3</t>
  </si>
  <si>
    <t>2v4</t>
  </si>
  <si>
    <t>3v4</t>
  </si>
  <si>
    <t>1st Place:</t>
  </si>
  <si>
    <t>2nd Place:</t>
  </si>
  <si>
    <t>3rd Place:</t>
  </si>
  <si>
    <t>3rd place list</t>
  </si>
  <si>
    <t>PPG 1</t>
  </si>
  <si>
    <t>PPG 2</t>
  </si>
  <si>
    <t>PPG 3</t>
  </si>
  <si>
    <t>PPG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</si>
</sst>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name val="Arial"/>
    </font>
    <font>
      <sz val="18.0"/>
    </font>
    <font/>
    <font>
      <sz val="33.0"/>
      <name val="Arial"/>
    </font>
    <font>
      <color rgb="FFFFFFFF"/>
      <name val="Arial"/>
    </font>
    <font>
      <sz val="16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32032"/>
        <bgColor rgb="FFC3203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textRotation="90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wrapText="1"/>
    </xf>
    <xf borderId="1" fillId="3" fontId="5" numFmtId="0" xfId="0" applyAlignment="1" applyBorder="1" applyFill="1" applyFont="1">
      <alignment readingOrder="0" shrinkToFit="0" vertical="bottom" wrapText="1"/>
    </xf>
    <xf borderId="2" fillId="4" fontId="1" numFmtId="0" xfId="0" applyAlignment="1" applyBorder="1" applyFill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shrinkToFit="0" textRotation="90" vertical="bottom" wrapText="1"/>
    </xf>
    <xf borderId="4" fillId="4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1"/>
    </xf>
    <xf borderId="4" fillId="4" fontId="1" numFmtId="0" xfId="0" applyAlignment="1" applyBorder="1" applyFill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textRotation="90" vertical="bottom" wrapText="1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3" fontId="5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5" fontId="1" numFmtId="0" xfId="0" applyAlignment="1" applyFill="1" applyFont="1">
      <alignment horizontal="right" shrinkToFit="0" vertical="bottom" wrapText="1"/>
    </xf>
    <xf borderId="0" fillId="5" fontId="1" numFmtId="0" xfId="0" applyAlignment="1" applyFill="1" applyFont="1">
      <alignment shrinkToFit="0" vertical="bottom" wrapText="1"/>
    </xf>
    <xf borderId="0" fillId="6" fontId="1" numFmtId="0" xfId="0" applyAlignment="1" applyFill="1" applyFont="1">
      <alignment shrinkToFit="0" vertical="bottom" wrapText="1"/>
    </xf>
    <xf borderId="0" fillId="5" fontId="1" numFmtId="0" xfId="0" applyAlignment="1" applyFill="1" applyFont="1">
      <alignment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0"/>
    </xf>
    <xf borderId="0" fillId="7" fontId="1" numFmtId="0" xfId="0" applyAlignment="1" applyFill="1" applyFont="1">
      <alignment horizontal="center" shrinkToFit="0" vertical="bottom" wrapText="1"/>
    </xf>
    <xf borderId="0" fillId="7" fontId="1" numFmtId="0" xfId="0" applyAlignment="1" applyFill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0" fillId="7" fontId="1" numFmtId="0" xfId="0" applyAlignment="1" applyFill="1" applyFont="1">
      <alignment shrinkToFit="0" vertical="bottom" wrapText="0"/>
    </xf>
    <xf borderId="0" fillId="5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1.13"/>
    <col customWidth="1" min="2" max="2" width="3.75"/>
    <col customWidth="1" min="3" max="3" width="21.13"/>
    <col customWidth="1" min="4" max="4" width="3.75"/>
    <col customWidth="1" min="5" max="5" width="21.13"/>
    <col customWidth="1" min="6" max="6" width="3.75"/>
    <col customWidth="1" min="7" max="7" width="21.13"/>
    <col customWidth="1" min="8" max="8" width="3.75"/>
    <col customWidth="1" min="9" max="9" width="21.13"/>
  </cols>
  <sheetData>
    <row r="1">
      <c r="A1" s="10" t="str">
        <f>'Hidden Sheet'!B15</f>
        <v>Interlakeside</v>
      </c>
      <c r="B1" s="11">
        <v>68.0</v>
      </c>
      <c r="C1" s="12"/>
      <c r="D1" s="13"/>
      <c r="E1" s="12"/>
      <c r="F1" s="12"/>
      <c r="G1" s="12"/>
      <c r="H1" s="12"/>
      <c r="I1" s="12"/>
    </row>
    <row r="2">
      <c r="A2" s="14" t="s">
        <v>29</v>
      </c>
      <c r="B2" s="16"/>
      <c r="C2" s="18" t="str">
        <f>IFS(B1&gt;B3,A1,B3&gt;B1,A3,B3=B1,)</f>
        <v>Interlakeside</v>
      </c>
      <c r="D2" s="19">
        <v>70.0</v>
      </c>
      <c r="E2" s="12"/>
      <c r="F2" s="12"/>
      <c r="G2" s="12"/>
      <c r="H2" s="12"/>
      <c r="I2" s="12"/>
    </row>
    <row r="3">
      <c r="A3" s="10" t="str">
        <f>'Hidden Sheet'!H59</f>
        <v>Poolesville B</v>
      </c>
      <c r="B3" s="19">
        <v>30.0</v>
      </c>
      <c r="C3" s="22"/>
      <c r="D3" s="16"/>
      <c r="E3" s="12"/>
      <c r="F3" s="13"/>
      <c r="G3" s="12"/>
      <c r="H3" s="12"/>
      <c r="I3" s="12"/>
    </row>
    <row r="4">
      <c r="A4" s="22"/>
      <c r="B4" s="23"/>
      <c r="C4" s="14" t="s">
        <v>29</v>
      </c>
      <c r="D4" s="16"/>
      <c r="E4" s="18" t="str">
        <f>IFS(D2&gt;D6,C2,D2&lt;D6,C6,D2=D6,)</f>
        <v>Interlakeside</v>
      </c>
      <c r="F4" s="19">
        <v>100.0</v>
      </c>
      <c r="G4" s="12"/>
      <c r="H4" s="12"/>
      <c r="I4" s="12"/>
    </row>
    <row r="5">
      <c r="A5" s="10" t="str">
        <f>'Hidden Sheet'!D49</f>
        <v>Enloe HS</v>
      </c>
      <c r="B5" s="19">
        <v>18.0</v>
      </c>
      <c r="C5" s="22"/>
      <c r="D5" s="16"/>
      <c r="E5" s="22"/>
      <c r="F5" s="16"/>
      <c r="G5" s="12"/>
      <c r="H5" s="12"/>
      <c r="I5" s="12"/>
    </row>
    <row r="6">
      <c r="A6" s="14" t="s">
        <v>60</v>
      </c>
      <c r="B6" s="16"/>
      <c r="C6" s="18" t="str">
        <f>IFS(B5&gt;B7,A5,B7&gt;B5,A7,B7=B5,)</f>
        <v>Buchholz A</v>
      </c>
      <c r="D6" s="19">
        <v>30.0</v>
      </c>
      <c r="E6" s="22"/>
      <c r="F6" s="16"/>
      <c r="G6" s="12"/>
      <c r="H6" s="12"/>
      <c r="I6" s="12"/>
    </row>
    <row r="7">
      <c r="A7" s="10" t="str">
        <f>'Hidden Sheet'!P32</f>
        <v>Buchholz A</v>
      </c>
      <c r="B7" s="19">
        <v>116.0</v>
      </c>
      <c r="C7" s="22"/>
      <c r="D7" s="23"/>
      <c r="E7" s="22"/>
      <c r="F7" s="16"/>
      <c r="G7" s="12"/>
      <c r="H7" s="13"/>
      <c r="I7" s="12"/>
    </row>
    <row r="8">
      <c r="A8" s="22"/>
      <c r="B8" s="23"/>
      <c r="C8" s="22"/>
      <c r="D8" s="23"/>
      <c r="E8" s="14" t="s">
        <v>29</v>
      </c>
      <c r="F8" s="16"/>
      <c r="G8" s="18" t="str">
        <f>IFS(F4&gt;F12,E4,F4&lt;F12,E12,F4=F12,)</f>
        <v>Interlakeside</v>
      </c>
      <c r="H8" s="19">
        <v>12.0</v>
      </c>
      <c r="I8" s="12"/>
    </row>
    <row r="9">
      <c r="A9" s="10" t="str">
        <f>'Hidden Sheet'!N32</f>
        <v>Poolesville HS</v>
      </c>
      <c r="B9" s="19">
        <v>82.0</v>
      </c>
      <c r="C9" s="22"/>
      <c r="D9" s="23"/>
      <c r="E9" s="22"/>
      <c r="F9" s="16"/>
      <c r="G9" s="22"/>
      <c r="H9" s="16"/>
      <c r="I9" s="12"/>
    </row>
    <row r="10">
      <c r="A10" s="14" t="s">
        <v>69</v>
      </c>
      <c r="B10" s="16"/>
      <c r="C10" s="18" t="str">
        <f>IFS(B9&gt;B11,A9,B11&gt;B9,A11,B11=B9,)</f>
        <v>Poolesville HS</v>
      </c>
      <c r="D10" s="19">
        <v>88.0</v>
      </c>
      <c r="E10" s="22"/>
      <c r="F10" s="16"/>
      <c r="G10" s="22"/>
      <c r="H10" s="16"/>
      <c r="I10" s="12"/>
    </row>
    <row r="11">
      <c r="A11" s="10" t="str">
        <f>'Hidden Sheet'!B59</f>
        <v>Foothill A</v>
      </c>
      <c r="B11" s="19">
        <v>28.0</v>
      </c>
      <c r="C11" s="22"/>
      <c r="D11" s="16"/>
      <c r="E11" s="22"/>
      <c r="F11" s="16"/>
      <c r="G11" s="22"/>
      <c r="H11" s="16"/>
      <c r="I11" s="12"/>
    </row>
    <row r="12">
      <c r="A12" s="22"/>
      <c r="B12" s="23"/>
      <c r="C12" s="14" t="s">
        <v>60</v>
      </c>
      <c r="D12" s="16"/>
      <c r="E12" s="18" t="str">
        <f>IFS(D10&gt;D14,C10,D10&lt;D14,C14,D10=D14,)</f>
        <v>Poolesville HS</v>
      </c>
      <c r="F12" s="19">
        <v>8.0</v>
      </c>
      <c r="G12" s="22"/>
      <c r="H12" s="16"/>
      <c r="I12" s="12"/>
    </row>
    <row r="13">
      <c r="A13" s="10" t="str">
        <f>'Hidden Sheet'!B49</f>
        <v>Iolani</v>
      </c>
      <c r="B13" s="19">
        <v>32.0</v>
      </c>
      <c r="C13" s="22"/>
      <c r="D13" s="16"/>
      <c r="E13" s="22"/>
      <c r="F13" s="23"/>
      <c r="G13" s="22"/>
      <c r="H13" s="16"/>
      <c r="I13" s="12"/>
    </row>
    <row r="14">
      <c r="A14" s="14" t="s">
        <v>71</v>
      </c>
      <c r="B14" s="16"/>
      <c r="C14" s="18" t="str">
        <f>IFS(B13&gt;B15,A13,B15&gt;B13,A15,B15=B13,)</f>
        <v>Mission San Jose</v>
      </c>
      <c r="D14" s="19">
        <v>58.0</v>
      </c>
      <c r="E14" s="22"/>
      <c r="F14" s="23"/>
      <c r="G14" s="22"/>
      <c r="H14" s="16"/>
      <c r="I14" s="12"/>
    </row>
    <row r="15">
      <c r="A15" s="10" t="str">
        <f>'Hidden Sheet'!D15</f>
        <v>Mission San Jose</v>
      </c>
      <c r="B15" s="19">
        <v>124.0</v>
      </c>
      <c r="C15" s="22"/>
      <c r="D15" s="23"/>
      <c r="E15" s="22"/>
      <c r="F15" s="23"/>
      <c r="G15" s="22"/>
      <c r="H15" s="16"/>
      <c r="I15" s="12"/>
    </row>
    <row r="16">
      <c r="A16" s="22"/>
      <c r="B16" s="23"/>
      <c r="C16" s="22"/>
      <c r="D16" s="23"/>
      <c r="E16" s="22"/>
      <c r="F16" s="23"/>
      <c r="G16" s="14" t="s">
        <v>29</v>
      </c>
      <c r="H16" s="16"/>
      <c r="I16" s="34" t="str">
        <f>IFS(H8&gt;H24,G8,H8&lt;H24,G24,H8=H24,)</f>
        <v>Clements HS</v>
      </c>
    </row>
    <row r="17">
      <c r="A17" s="10" t="str">
        <f>'Hidden Sheet'!N15</f>
        <v>Montgomery Blair HS</v>
      </c>
      <c r="B17" s="19">
        <v>92.0</v>
      </c>
      <c r="C17" s="22"/>
      <c r="D17" s="23"/>
      <c r="E17" s="22"/>
      <c r="F17" s="23"/>
      <c r="G17" s="22"/>
      <c r="H17" s="16"/>
      <c r="I17" s="12"/>
    </row>
    <row r="18">
      <c r="A18" s="14" t="s">
        <v>73</v>
      </c>
      <c r="B18" s="16"/>
      <c r="C18" s="18" t="str">
        <f>IFS(B17&gt;B19,A17,B19&gt;B17,A19,B19=B17,)</f>
        <v>Montgomery Blair HS</v>
      </c>
      <c r="D18" s="19">
        <v>44.0</v>
      </c>
      <c r="E18" s="22"/>
      <c r="F18" s="23"/>
      <c r="G18" s="22"/>
      <c r="H18" s="16"/>
      <c r="I18" s="12"/>
    </row>
    <row r="19">
      <c r="A19" s="10" t="str">
        <f>'Hidden Sheet'!F59</f>
        <v>Foothill B</v>
      </c>
      <c r="B19" s="19">
        <v>12.0</v>
      </c>
      <c r="C19" s="22"/>
      <c r="D19" s="16"/>
      <c r="E19" s="22"/>
      <c r="F19" s="23"/>
      <c r="G19" s="22"/>
      <c r="H19" s="16"/>
      <c r="I19" s="12"/>
    </row>
    <row r="20">
      <c r="A20" s="22"/>
      <c r="B20" s="23"/>
      <c r="C20" s="14" t="s">
        <v>69</v>
      </c>
      <c r="D20" s="16"/>
      <c r="E20" s="18" t="str">
        <f>IFS(D18&gt;D22,C18,D18&lt;D22,C22,D18=D22,)</f>
        <v>Montgomery Blair HS</v>
      </c>
      <c r="F20" s="19">
        <v>38.0</v>
      </c>
      <c r="G20" s="22"/>
      <c r="H20" s="16"/>
      <c r="I20" s="12"/>
    </row>
    <row r="21">
      <c r="A21" s="10" t="str">
        <f>'Hidden Sheet'!P49</f>
        <v>North Hollywood</v>
      </c>
      <c r="B21" s="19">
        <v>96.0</v>
      </c>
      <c r="C21" s="22"/>
      <c r="D21" s="16"/>
      <c r="E21" s="22"/>
      <c r="F21" s="16"/>
      <c r="G21" s="22"/>
      <c r="H21" s="16"/>
      <c r="I21" s="12"/>
    </row>
    <row r="22">
      <c r="A22" s="14" t="s">
        <v>76</v>
      </c>
      <c r="B22" s="16"/>
      <c r="C22" s="18" t="str">
        <f>IFS(B21&gt;B23,A21,B23&gt;B21,A23,B23=B21,)</f>
        <v>North Hollywood</v>
      </c>
      <c r="D22" s="19">
        <v>30.0</v>
      </c>
      <c r="E22" s="22"/>
      <c r="F22" s="16"/>
      <c r="G22" s="22"/>
      <c r="H22" s="16"/>
      <c r="I22" s="12"/>
    </row>
    <row r="23">
      <c r="A23" s="10" t="str">
        <f>'Hidden Sheet'!D32</f>
        <v>University HS</v>
      </c>
      <c r="B23" s="19">
        <v>74.0</v>
      </c>
      <c r="C23" s="22"/>
      <c r="D23" s="23"/>
      <c r="E23" s="22"/>
      <c r="F23" s="16"/>
      <c r="G23" s="22"/>
      <c r="H23" s="16"/>
      <c r="I23" s="12"/>
    </row>
    <row r="24">
      <c r="A24" s="22"/>
      <c r="B24" s="23"/>
      <c r="C24" s="22"/>
      <c r="D24" s="23"/>
      <c r="E24" s="14" t="s">
        <v>60</v>
      </c>
      <c r="F24" s="16"/>
      <c r="G24" s="18" t="str">
        <f>IFS(F20&gt;F28,E20,F20&lt;F28,E28,F20=F28,)</f>
        <v>Clements HS</v>
      </c>
      <c r="H24" s="19">
        <v>42.0</v>
      </c>
      <c r="I24" s="12"/>
    </row>
    <row r="25">
      <c r="A25" s="10" t="str">
        <f>'Hidden Sheet'!B32</f>
        <v>Davidson Academy</v>
      </c>
      <c r="B25" s="19">
        <v>100.0</v>
      </c>
      <c r="C25" s="22"/>
      <c r="D25" s="23"/>
      <c r="E25" s="22"/>
      <c r="F25" s="16"/>
      <c r="G25" s="12"/>
      <c r="H25" s="12"/>
      <c r="I25" s="12"/>
    </row>
    <row r="26">
      <c r="A26" s="14" t="s">
        <v>80</v>
      </c>
      <c r="B26" s="16"/>
      <c r="C26" s="18" t="str">
        <f>IFS(B25&gt;B27,A25,B27&gt;B25,A27,B27=B25,)</f>
        <v>Davidson Academy</v>
      </c>
      <c r="D26" s="19">
        <v>14.0</v>
      </c>
      <c r="E26" s="22"/>
      <c r="F26" s="16"/>
      <c r="G26" s="12"/>
      <c r="H26" s="12"/>
      <c r="I26" s="12"/>
    </row>
    <row r="27">
      <c r="A27" s="10" t="str">
        <f>'Hidden Sheet'!D59</f>
        <v>Amador Valley A</v>
      </c>
      <c r="B27" s="19">
        <v>60.0</v>
      </c>
      <c r="C27" s="22"/>
      <c r="D27" s="16"/>
      <c r="E27" s="22"/>
      <c r="F27" s="16"/>
      <c r="G27" s="12"/>
      <c r="H27" s="12"/>
      <c r="I27" s="12"/>
      <c r="J27" s="12"/>
    </row>
    <row r="28">
      <c r="A28" s="22"/>
      <c r="B28" s="23"/>
      <c r="C28" s="14" t="s">
        <v>71</v>
      </c>
      <c r="D28" s="16"/>
      <c r="E28" s="18" t="str">
        <f>IFS(D26&gt;D30,C26,D26&lt;D30,C30,D26=D30,)</f>
        <v>Clements HS</v>
      </c>
      <c r="F28" s="19">
        <v>48.0</v>
      </c>
      <c r="G28" s="12"/>
      <c r="H28" s="12"/>
      <c r="I28" s="12"/>
    </row>
    <row r="29">
      <c r="A29" s="10" t="str">
        <f>'Hidden Sheet'!N49</f>
        <v>Clements HS</v>
      </c>
      <c r="B29" s="19">
        <v>56.0</v>
      </c>
      <c r="C29" s="22"/>
      <c r="D29" s="16"/>
      <c r="E29" s="12"/>
      <c r="F29" s="12"/>
      <c r="G29" s="12"/>
      <c r="H29" s="12"/>
      <c r="I29" s="12"/>
    </row>
    <row r="30">
      <c r="A30" s="14" t="s">
        <v>84</v>
      </c>
      <c r="B30" s="16"/>
      <c r="C30" s="18" t="str">
        <f>IFS(B29&gt;B31,A29,B31&gt;B29,A31,B31=B29,)</f>
        <v>Clements HS</v>
      </c>
      <c r="D30" s="19">
        <v>76.0</v>
      </c>
      <c r="E30" s="12"/>
      <c r="F30" s="12"/>
      <c r="G30" s="12"/>
      <c r="H30" s="12"/>
      <c r="I30" s="12"/>
    </row>
    <row r="31">
      <c r="A31" s="10" t="str">
        <f>'Hidden Sheet'!P15</f>
        <v>Buchholz B</v>
      </c>
      <c r="B31" s="19">
        <v>36.0</v>
      </c>
      <c r="C31" s="12"/>
      <c r="D31" s="12"/>
      <c r="E31" s="12"/>
      <c r="F31" s="12"/>
      <c r="G31" s="12"/>
      <c r="H31" s="12"/>
      <c r="I3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21.13"/>
    <col customWidth="1" min="3" max="6" width="3.88"/>
    <col customWidth="1" min="7" max="7" width="6.38"/>
    <col customWidth="1" min="8" max="8" width="3.88"/>
    <col customWidth="1" min="10" max="10" width="21.13"/>
    <col customWidth="1" min="11" max="14" width="3.88"/>
    <col customWidth="1" min="15" max="15" width="6.38"/>
    <col customWidth="1" min="16" max="16" width="3.88"/>
    <col customWidth="1" min="18" max="18" width="6.38"/>
    <col customWidth="1" min="19" max="19" width="15.13"/>
    <col customWidth="1" min="20" max="23" width="3.88"/>
    <col customWidth="1" min="24" max="24" width="6.38"/>
    <col customWidth="1" min="25" max="25" width="3.88"/>
    <col customWidth="1" min="26" max="26" width="6.38"/>
  </cols>
  <sheetData>
    <row r="1">
      <c r="A1" s="1"/>
      <c r="B1" s="4" t="s">
        <v>4</v>
      </c>
      <c r="I1" s="7"/>
      <c r="J1" s="7"/>
      <c r="K1" s="7"/>
      <c r="L1" s="8"/>
      <c r="M1" s="8"/>
      <c r="N1" s="8"/>
      <c r="O1" s="8"/>
      <c r="P1" s="8"/>
      <c r="Q1" s="1"/>
      <c r="R1" s="4"/>
      <c r="S1" s="4"/>
      <c r="T1" s="4"/>
      <c r="U1" s="4"/>
      <c r="V1" s="4"/>
      <c r="W1" s="4"/>
      <c r="X1" s="4"/>
      <c r="Y1" s="4"/>
      <c r="Z1" s="7"/>
      <c r="AA1" s="7"/>
      <c r="AB1" s="7"/>
    </row>
    <row r="2">
      <c r="A2" s="1"/>
      <c r="I2" s="7"/>
      <c r="J2" s="7"/>
      <c r="K2" s="7"/>
      <c r="L2" s="8"/>
      <c r="M2" s="8"/>
      <c r="N2" s="8"/>
      <c r="O2" s="8"/>
      <c r="P2" s="8"/>
      <c r="Q2" s="1"/>
      <c r="R2" s="4"/>
      <c r="S2" s="4"/>
      <c r="T2" s="4"/>
      <c r="U2" s="4"/>
      <c r="V2" s="4"/>
      <c r="W2" s="4"/>
      <c r="X2" s="4"/>
      <c r="Y2" s="4"/>
      <c r="Z2" s="7"/>
      <c r="AA2" s="7"/>
      <c r="AB2" s="7"/>
    </row>
    <row r="3">
      <c r="A3" s="1"/>
      <c r="I3" s="7"/>
      <c r="J3" s="7"/>
      <c r="K3" s="7"/>
      <c r="L3" s="8"/>
      <c r="M3" s="8"/>
      <c r="N3" s="8"/>
      <c r="O3" s="8"/>
      <c r="P3" s="8"/>
      <c r="Q3" s="1"/>
      <c r="R3" s="4"/>
      <c r="S3" s="4"/>
      <c r="T3" s="4"/>
      <c r="U3" s="4"/>
      <c r="V3" s="4"/>
      <c r="W3" s="4"/>
      <c r="X3" s="4"/>
      <c r="Y3" s="4"/>
      <c r="Z3" s="7"/>
      <c r="AA3" s="7"/>
      <c r="AB3" s="7"/>
    </row>
    <row r="4">
      <c r="A4" s="1"/>
      <c r="B4" s="7"/>
      <c r="C4" s="15" t="str">
        <f>B7</f>
        <v>Team 1</v>
      </c>
      <c r="D4" s="15" t="str">
        <f>B8</f>
        <v>Team 2</v>
      </c>
      <c r="E4" s="15" t="str">
        <f>B9</f>
        <v>Team 3</v>
      </c>
      <c r="F4" s="15" t="str">
        <f>B10</f>
        <v>Team 4</v>
      </c>
      <c r="G4" s="17" t="s">
        <v>14</v>
      </c>
      <c r="H4" s="15" t="s">
        <v>15</v>
      </c>
      <c r="I4" s="7"/>
      <c r="J4" s="7"/>
      <c r="K4" s="7"/>
      <c r="L4" s="8"/>
      <c r="M4" s="8"/>
      <c r="N4" s="8"/>
      <c r="O4" s="8"/>
      <c r="P4" s="8"/>
      <c r="Q4" s="1"/>
      <c r="R4" s="4"/>
      <c r="S4" s="4"/>
      <c r="T4" s="4"/>
      <c r="U4" s="4"/>
      <c r="V4" s="4"/>
      <c r="W4" s="4"/>
      <c r="X4" s="4"/>
      <c r="Y4" s="4"/>
      <c r="Z4" s="7"/>
      <c r="AA4" s="7"/>
      <c r="AB4" s="7"/>
    </row>
    <row r="5">
      <c r="A5" s="1"/>
      <c r="B5" s="7"/>
      <c r="I5" s="7"/>
      <c r="J5" s="7"/>
      <c r="K5" s="7"/>
      <c r="L5" s="8"/>
      <c r="M5" s="8"/>
      <c r="N5" s="8"/>
      <c r="O5" s="8"/>
      <c r="P5" s="8"/>
      <c r="Q5" s="1"/>
      <c r="R5" s="4"/>
      <c r="S5" s="4"/>
      <c r="T5" s="4"/>
      <c r="U5" s="4"/>
      <c r="V5" s="4"/>
      <c r="W5" s="4"/>
      <c r="X5" s="4"/>
      <c r="Y5" s="4"/>
      <c r="Z5" s="7"/>
      <c r="AA5" s="7"/>
      <c r="AB5" s="7"/>
    </row>
    <row r="6">
      <c r="A6" s="1"/>
      <c r="B6" s="7"/>
      <c r="I6" s="7"/>
      <c r="J6" s="20" t="s">
        <v>42</v>
      </c>
      <c r="L6" s="8"/>
      <c r="M6" s="8"/>
      <c r="N6" s="8"/>
      <c r="O6" s="8"/>
      <c r="P6" s="8"/>
      <c r="Q6" s="1"/>
      <c r="R6" s="4"/>
      <c r="S6" s="4"/>
      <c r="T6" s="4"/>
      <c r="U6" s="4"/>
      <c r="V6" s="4"/>
      <c r="W6" s="4"/>
      <c r="X6" s="4"/>
      <c r="Y6" s="4"/>
      <c r="Z6" s="7"/>
      <c r="AA6" s="7"/>
      <c r="AB6" s="7"/>
    </row>
    <row r="7" ht="15.75" customHeight="1">
      <c r="A7" s="1"/>
      <c r="B7" s="17" t="s">
        <v>9</v>
      </c>
      <c r="C7" s="21"/>
      <c r="D7" s="7"/>
      <c r="E7" s="7"/>
      <c r="F7" s="7"/>
      <c r="G7" s="7" t="str">
        <f t="shared" ref="G7:G10" si="1">IFERROR(ROUND(AVERAGE(C7:F7),2),)</f>
        <v/>
      </c>
      <c r="H7" s="7" t="str">
        <f>'Hidden Sheet'!Y5</f>
        <v/>
      </c>
      <c r="I7" s="7"/>
      <c r="J7" s="24" t="s">
        <v>55</v>
      </c>
      <c r="K7" s="24" t="s">
        <v>56</v>
      </c>
      <c r="P7" s="8"/>
      <c r="Q7" s="1"/>
      <c r="R7" s="4"/>
      <c r="S7" s="4"/>
      <c r="T7" s="4"/>
      <c r="U7" s="4"/>
      <c r="V7" s="4"/>
      <c r="W7" s="4"/>
      <c r="X7" s="4"/>
      <c r="Y7" s="4"/>
      <c r="Z7" s="7"/>
      <c r="AA7" s="7"/>
      <c r="AB7" s="7"/>
    </row>
    <row r="8" ht="15.75" customHeight="1">
      <c r="A8" s="1"/>
      <c r="B8" s="17" t="s">
        <v>10</v>
      </c>
      <c r="C8" s="7"/>
      <c r="D8" s="21"/>
      <c r="E8" s="7"/>
      <c r="F8" s="7"/>
      <c r="G8" s="7" t="str">
        <f t="shared" si="1"/>
        <v/>
      </c>
      <c r="H8" s="7" t="str">
        <f>'Hidden Sheet'!Z5</f>
        <v/>
      </c>
      <c r="I8" s="25" t="s">
        <v>57</v>
      </c>
      <c r="J8" s="24" t="s">
        <v>58</v>
      </c>
      <c r="K8" s="26" t="s">
        <v>59</v>
      </c>
      <c r="P8" s="8"/>
      <c r="Q8" s="1"/>
      <c r="R8" s="4"/>
      <c r="S8" s="4"/>
      <c r="T8" s="4"/>
      <c r="U8" s="4"/>
      <c r="V8" s="4"/>
      <c r="W8" s="4"/>
      <c r="X8" s="4"/>
      <c r="Y8" s="4"/>
      <c r="Z8" s="7"/>
      <c r="AA8" s="7"/>
      <c r="AB8" s="7"/>
    </row>
    <row r="9" ht="15.75" customHeight="1">
      <c r="A9" s="1"/>
      <c r="B9" s="17" t="s">
        <v>11</v>
      </c>
      <c r="C9" s="7"/>
      <c r="D9" s="7"/>
      <c r="E9" s="21"/>
      <c r="F9" s="7"/>
      <c r="G9" s="7" t="str">
        <f t="shared" si="1"/>
        <v/>
      </c>
      <c r="H9" s="7" t="str">
        <f>'Hidden Sheet'!AA5</f>
        <v/>
      </c>
      <c r="I9" s="25" t="s">
        <v>61</v>
      </c>
      <c r="J9" s="24" t="s">
        <v>62</v>
      </c>
      <c r="K9" s="26" t="s">
        <v>63</v>
      </c>
      <c r="P9" s="8"/>
      <c r="Q9" s="1"/>
      <c r="R9" s="4"/>
      <c r="S9" s="4"/>
      <c r="T9" s="4"/>
      <c r="U9" s="4"/>
      <c r="V9" s="4"/>
      <c r="W9" s="4"/>
      <c r="X9" s="4"/>
      <c r="Y9" s="4"/>
      <c r="Z9" s="7"/>
      <c r="AA9" s="7"/>
      <c r="AB9" s="7"/>
    </row>
    <row r="10" ht="15.75" customHeight="1">
      <c r="A10" s="1"/>
      <c r="B10" s="17" t="s">
        <v>12</v>
      </c>
      <c r="C10" s="7"/>
      <c r="D10" s="7"/>
      <c r="E10" s="7"/>
      <c r="F10" s="21"/>
      <c r="G10" s="7" t="str">
        <f t="shared" si="1"/>
        <v/>
      </c>
      <c r="H10" s="7" t="str">
        <f>'Hidden Sheet'!AB5</f>
        <v/>
      </c>
      <c r="I10" s="25" t="s">
        <v>64</v>
      </c>
      <c r="J10" s="27" t="s">
        <v>65</v>
      </c>
      <c r="K10" s="28" t="s">
        <v>66</v>
      </c>
      <c r="P10" s="8"/>
      <c r="Q10" s="1"/>
      <c r="R10" s="4"/>
      <c r="S10" s="4"/>
      <c r="T10" s="4"/>
      <c r="U10" s="4"/>
      <c r="V10" s="4"/>
      <c r="W10" s="4"/>
      <c r="X10" s="4"/>
      <c r="Y10" s="4"/>
      <c r="Z10" s="7"/>
      <c r="AA10" s="7"/>
      <c r="AB10" s="7"/>
    </row>
    <row r="11">
      <c r="A11" s="1"/>
      <c r="B11" s="8"/>
      <c r="C11" s="8"/>
      <c r="D11" s="8"/>
      <c r="E11" s="8"/>
      <c r="F11" s="8"/>
      <c r="G11" s="8"/>
      <c r="H11" s="8"/>
      <c r="I11" s="1"/>
      <c r="J11" s="8"/>
      <c r="K11" s="8"/>
      <c r="L11" s="8"/>
      <c r="M11" s="8"/>
      <c r="N11" s="8"/>
      <c r="O11" s="8"/>
      <c r="P11" s="8"/>
      <c r="Q11" s="1"/>
      <c r="R11" s="4"/>
    </row>
    <row r="12">
      <c r="A12" s="1"/>
      <c r="B12" s="8" t="s">
        <v>67</v>
      </c>
      <c r="I12" s="1"/>
      <c r="J12" s="8" t="s">
        <v>68</v>
      </c>
      <c r="Q12" s="1"/>
      <c r="R12" s="4"/>
    </row>
    <row r="13">
      <c r="A13" s="1"/>
      <c r="I13" s="1"/>
      <c r="Q13" s="1"/>
      <c r="R13" s="4"/>
    </row>
    <row r="14">
      <c r="A14" s="1"/>
      <c r="I14" s="1"/>
      <c r="Q14" s="1"/>
      <c r="R14" s="4"/>
    </row>
    <row r="15" ht="34.5" customHeight="1">
      <c r="A15" s="1"/>
      <c r="B15" s="1"/>
      <c r="C15" s="29" t="str">
        <f>B18</f>
        <v>Interlakeside</v>
      </c>
      <c r="D15" s="29" t="str">
        <f>B19</f>
        <v>Mission San Jose</v>
      </c>
      <c r="E15" s="29" t="str">
        <f>B20</f>
        <v>Sharon HS</v>
      </c>
      <c r="F15" s="29" t="str">
        <f>B21</f>
        <v>Science Academy B</v>
      </c>
      <c r="G15" s="29" t="s">
        <v>14</v>
      </c>
      <c r="H15" s="29" t="s">
        <v>15</v>
      </c>
      <c r="I15" s="1"/>
      <c r="J15" s="1"/>
      <c r="K15" s="29" t="str">
        <f>J18</f>
        <v>Amador Valley B</v>
      </c>
      <c r="L15" s="29" t="str">
        <f>J19</f>
        <v>Buchholz B</v>
      </c>
      <c r="M15" s="29" t="str">
        <f>J20</f>
        <v>Montgomery Blair HS</v>
      </c>
      <c r="N15" s="29" t="str">
        <f>J21</f>
        <v>Science Academy A</v>
      </c>
      <c r="O15" s="29" t="s">
        <v>14</v>
      </c>
      <c r="P15" s="29" t="s">
        <v>15</v>
      </c>
      <c r="Q15" s="1"/>
      <c r="R15" s="12"/>
    </row>
    <row r="16" ht="34.5" customHeight="1">
      <c r="A16" s="1"/>
      <c r="B16" s="1"/>
      <c r="I16" s="1"/>
      <c r="J16" s="1"/>
      <c r="Q16" s="1"/>
      <c r="R16" s="12"/>
    </row>
    <row r="17" ht="34.5" customHeight="1">
      <c r="A17" s="1"/>
      <c r="B17" s="1"/>
      <c r="I17" s="1"/>
      <c r="J17" s="1"/>
      <c r="Q17" s="1"/>
      <c r="R17" s="12"/>
    </row>
    <row r="18">
      <c r="A18" s="1"/>
      <c r="B18" s="30" t="s">
        <v>70</v>
      </c>
      <c r="C18" s="31"/>
      <c r="D18" s="32">
        <v>124.0</v>
      </c>
      <c r="E18" s="32">
        <v>124.0</v>
      </c>
      <c r="F18" s="32">
        <v>120.0</v>
      </c>
      <c r="G18" s="1">
        <f t="shared" ref="G18:G21" si="2">IFERROR(ROUND(AVERAGE(C18:F18),2),)</f>
        <v>122.67</v>
      </c>
      <c r="H18" s="33">
        <f>'Hidden Sheet'!D5</f>
        <v>6</v>
      </c>
      <c r="I18" s="1" t="str">
        <f>CONCATENATE(CONCAT("W: ",COUNTIF('Hidden Sheet'!D2:D4, 2)), (CONCAT(" T: ", COUNTIF('Hidden Sheet'!D2:D4, 1))), CONCAT(" L: ",COUNTIF('Hidden Sheet'!D2:D4, 0)))</f>
        <v>W: 3 T: 0 L: 0</v>
      </c>
      <c r="J18" s="30" t="s">
        <v>72</v>
      </c>
      <c r="K18" s="31"/>
      <c r="L18" s="32">
        <v>24.0</v>
      </c>
      <c r="M18" s="32">
        <v>54.0</v>
      </c>
      <c r="N18" s="32">
        <v>42.0</v>
      </c>
      <c r="O18" s="1">
        <f t="shared" ref="O18:O21" si="3">IFERROR(ROUND(AVERAGE(K18:N18),2),)</f>
        <v>40</v>
      </c>
      <c r="P18" s="33">
        <f>'Hidden Sheet'!P5</f>
        <v>0</v>
      </c>
      <c r="Q18" s="1" t="str">
        <f>CONCATENATE(CONCAT("W: ",COUNTIF('Hidden Sheet'!P2:P4, 2)), (CONCAT(" T: ", COUNTIF('Hidden Sheet'!P2:P4, 1))), CONCAT(" L: ",COUNTIF('Hidden Sheet'!P2:P4, 0)))</f>
        <v>W: 0 T: 0 L: 3</v>
      </c>
      <c r="R18" s="17"/>
    </row>
    <row r="19">
      <c r="A19" s="1"/>
      <c r="B19" s="30" t="s">
        <v>74</v>
      </c>
      <c r="C19" s="32">
        <v>82.0</v>
      </c>
      <c r="D19" s="31"/>
      <c r="E19" s="32">
        <v>62.0</v>
      </c>
      <c r="F19" s="32">
        <v>120.0</v>
      </c>
      <c r="G19" s="1">
        <f t="shared" si="2"/>
        <v>88</v>
      </c>
      <c r="H19" s="33">
        <f>'Hidden Sheet'!E5</f>
        <v>4</v>
      </c>
      <c r="I19" s="1" t="str">
        <f>CONCATENATE(CONCAT("W: ",COUNTIF('Hidden Sheet'!E2:E4, 2)), (CONCAT(" T: ", COUNTIF('Hidden Sheet'!E2:E4, 1))), CONCAT(" L: ",COUNTIF('Hidden Sheet'!E2:E4, 0)))</f>
        <v>W: 2 T: 0 L: 1</v>
      </c>
      <c r="J19" s="30" t="s">
        <v>75</v>
      </c>
      <c r="K19" s="32">
        <v>60.0</v>
      </c>
      <c r="L19" s="31"/>
      <c r="M19" s="32">
        <v>18.0</v>
      </c>
      <c r="N19" s="32">
        <v>60.0</v>
      </c>
      <c r="O19" s="1">
        <f t="shared" si="3"/>
        <v>46</v>
      </c>
      <c r="P19" s="33">
        <f>'Hidden Sheet'!Q5</f>
        <v>4</v>
      </c>
      <c r="Q19" s="1" t="str">
        <f>CONCATENATE(CONCAT("W: ",COUNTIF('Hidden Sheet'!Q2:Q4, 2)), (CONCAT(" T: ", COUNTIF('Hidden Sheet'!Q2:Q4, 1))), CONCAT(" L: ",COUNTIF('Hidden Sheet'!Q2:Q4, 0)))</f>
        <v>W: 2 T: 0 L: 1</v>
      </c>
      <c r="R19" s="17"/>
    </row>
    <row r="20">
      <c r="A20" s="1"/>
      <c r="B20" s="30" t="s">
        <v>77</v>
      </c>
      <c r="C20" s="32">
        <v>14.0</v>
      </c>
      <c r="D20" s="32">
        <v>18.0</v>
      </c>
      <c r="E20" s="31"/>
      <c r="F20" s="32">
        <v>2.0</v>
      </c>
      <c r="G20" s="1">
        <f t="shared" si="2"/>
        <v>11.33</v>
      </c>
      <c r="H20" s="33">
        <f>'Hidden Sheet'!F5</f>
        <v>0</v>
      </c>
      <c r="I20" s="1" t="str">
        <f>CONCATENATE(CONCAT("W: ",COUNTIF('Hidden Sheet'!F2:F4, 2)), (CONCAT(" T: ", COUNTIF('Hidden Sheet'!F2:F4, 1))), CONCAT(" L: ",COUNTIF('Hidden Sheet'!F2:F4, 0)))</f>
        <v>W: 0 T: 0 L: 3</v>
      </c>
      <c r="J20" s="30" t="s">
        <v>78</v>
      </c>
      <c r="K20" s="32">
        <v>114.0</v>
      </c>
      <c r="L20" s="32">
        <v>84.0</v>
      </c>
      <c r="M20" s="31"/>
      <c r="N20" s="32">
        <v>144.0</v>
      </c>
      <c r="O20" s="1">
        <f t="shared" si="3"/>
        <v>114</v>
      </c>
      <c r="P20" s="33">
        <f>'Hidden Sheet'!R5</f>
        <v>6</v>
      </c>
      <c r="Q20" s="1" t="str">
        <f>CONCATENATE(CONCAT("W: ",COUNTIF('Hidden Sheet'!R2:R4, 2)), (CONCAT(" T: ", COUNTIF('Hidden Sheet'!R2:R4, 1))), CONCAT(" L: ",COUNTIF('Hidden Sheet'!R2:R4, 0)))</f>
        <v>W: 3 T: 0 L: 0</v>
      </c>
      <c r="R20" s="17"/>
    </row>
    <row r="21">
      <c r="A21" s="1"/>
      <c r="B21" s="30" t="s">
        <v>79</v>
      </c>
      <c r="C21" s="32">
        <v>22.0</v>
      </c>
      <c r="D21" s="32">
        <v>24.0</v>
      </c>
      <c r="E21" s="32">
        <v>20.0</v>
      </c>
      <c r="F21" s="31"/>
      <c r="G21" s="1">
        <f t="shared" si="2"/>
        <v>22</v>
      </c>
      <c r="H21" s="33">
        <f>'Hidden Sheet'!G5</f>
        <v>2</v>
      </c>
      <c r="I21" s="1" t="str">
        <f>CONCATENATE(CONCAT("W: ",COUNTIF('Hidden Sheet'!G2:G4, 2)), (CONCAT(" T: ", COUNTIF('Hidden Sheet'!G2:G4, 1))), CONCAT(" L: ",COUNTIF('Hidden Sheet'!G2:G4, 0)))</f>
        <v>W: 1 T: 0 L: 2</v>
      </c>
      <c r="J21" s="30" t="s">
        <v>81</v>
      </c>
      <c r="K21" s="32">
        <v>54.0</v>
      </c>
      <c r="L21" s="32">
        <v>56.0</v>
      </c>
      <c r="M21" s="32">
        <v>-12.0</v>
      </c>
      <c r="N21" s="31"/>
      <c r="O21" s="1">
        <f t="shared" si="3"/>
        <v>32.67</v>
      </c>
      <c r="P21" s="33">
        <f>'Hidden Sheet'!S5</f>
        <v>2</v>
      </c>
      <c r="Q21" s="1" t="str">
        <f>CONCATENATE(CONCAT("W: ",COUNTIF('Hidden Sheet'!S2:S4, 2)), (CONCAT(" T: ", COUNTIF('Hidden Sheet'!S2:S4, 1))), CONCAT(" L: ",COUNTIF('Hidden Sheet'!S2:S4, 0)))</f>
        <v>W: 1 T: 0 L: 2</v>
      </c>
      <c r="R21" s="17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8" t="s">
        <v>82</v>
      </c>
      <c r="I23" s="1"/>
      <c r="J23" s="8" t="s">
        <v>83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I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I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34.5" customHeight="1">
      <c r="A26" s="1"/>
      <c r="B26" s="1"/>
      <c r="C26" s="29" t="str">
        <f>B29</f>
        <v>University HS</v>
      </c>
      <c r="D26" s="29" t="str">
        <f>B30</f>
        <v>Davidson Academy</v>
      </c>
      <c r="E26" s="29" t="str">
        <f>B31</f>
        <v>James S. Rickards HS</v>
      </c>
      <c r="F26" s="29" t="str">
        <f>B32</f>
        <v>Amador Valley A</v>
      </c>
      <c r="G26" s="29" t="s">
        <v>14</v>
      </c>
      <c r="H26" s="29" t="s">
        <v>15</v>
      </c>
      <c r="I26" s="1"/>
      <c r="J26" s="1"/>
      <c r="K26" s="29" t="str">
        <f>J29</f>
        <v>Buchholz A</v>
      </c>
      <c r="L26" s="29" t="str">
        <f>J30</f>
        <v>Foothill A</v>
      </c>
      <c r="M26" s="29" t="str">
        <f>J31</f>
        <v>Poolesville HS</v>
      </c>
      <c r="N26" s="29" t="str">
        <f>J32</f>
        <v>Venice HS</v>
      </c>
      <c r="O26" s="29" t="s">
        <v>14</v>
      </c>
      <c r="P26" s="29" t="s">
        <v>15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34.5" customHeight="1">
      <c r="A27" s="1"/>
      <c r="B27" s="1"/>
      <c r="I27" s="1"/>
      <c r="J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34.5" customHeight="1">
      <c r="A28" s="1"/>
      <c r="B28" s="1"/>
      <c r="I28" s="1"/>
      <c r="J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30" t="s">
        <v>85</v>
      </c>
      <c r="C29" s="31"/>
      <c r="D29" s="32">
        <v>106.0</v>
      </c>
      <c r="E29" s="32">
        <v>130.0</v>
      </c>
      <c r="F29" s="32">
        <v>100.0</v>
      </c>
      <c r="G29" s="1">
        <f t="shared" ref="G29:G32" si="4">IFERROR(ROUND(AVERAGE(C29:F29),2),)</f>
        <v>112</v>
      </c>
      <c r="H29" s="33">
        <f>'Hidden Sheet'!D22</f>
        <v>4</v>
      </c>
      <c r="I29" s="1" t="str">
        <f>CONCATENATE(CONCAT("W: ",COUNTIF('Hidden Sheet'!D$19:D$21, 2)), (CONCAT(" T: ", COUNTIF('Hidden Sheet'!D$19:D$21, 1))), CONCAT(" L: ",COUNTIF('Hidden Sheet'!D$19:D$21, 0)))</f>
        <v>W: 2 T: 0 L: 1</v>
      </c>
      <c r="J29" s="30" t="s">
        <v>86</v>
      </c>
      <c r="K29" s="31"/>
      <c r="L29" s="32">
        <v>94.0</v>
      </c>
      <c r="M29" s="32">
        <v>12.0</v>
      </c>
      <c r="N29" s="32">
        <v>76.0</v>
      </c>
      <c r="O29" s="1">
        <f t="shared" ref="O29:O32" si="5">IFERROR(ROUND(AVERAGE(K29:N29),2),)</f>
        <v>60.67</v>
      </c>
      <c r="P29" s="33">
        <f>'Hidden Sheet'!P22</f>
        <v>4</v>
      </c>
      <c r="Q29" s="1" t="str">
        <f>CONCATENATE(CONCAT("W: ",COUNTIF('Hidden Sheet'!P19:P21, 2)), (CONCAT(" T: ", COUNTIF('Hidden Sheet'!P19:P21, 1))), CONCAT(" L: ",COUNTIF('Hidden Sheet'!P19:P21, 0)))</f>
        <v>W: 2 T: 0 L: 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30" t="s">
        <v>87</v>
      </c>
      <c r="C30" s="32">
        <v>114.0</v>
      </c>
      <c r="D30" s="31"/>
      <c r="E30" s="32">
        <v>80.0</v>
      </c>
      <c r="F30" s="32">
        <v>104.0</v>
      </c>
      <c r="G30" s="1">
        <f t="shared" si="4"/>
        <v>99.33</v>
      </c>
      <c r="H30" s="33">
        <f>'Hidden Sheet'!E22</f>
        <v>6</v>
      </c>
      <c r="I30" s="1" t="str">
        <f>CONCATENATE(CONCAT("W: ",COUNTIF('Hidden Sheet'!E$19:E$21, 2)), (CONCAT(" T: ", COUNTIF('Hidden Sheet'!E$19:E$21, 1))), CONCAT(" L: ",COUNTIF('Hidden Sheet'!E$19:E$21, 0)))</f>
        <v>W: 3 T: 0 L: 0</v>
      </c>
      <c r="J30" s="30" t="s">
        <v>88</v>
      </c>
      <c r="K30" s="32">
        <v>74.0</v>
      </c>
      <c r="L30" s="31"/>
      <c r="M30" s="32">
        <v>44.0</v>
      </c>
      <c r="N30" s="32">
        <v>96.0</v>
      </c>
      <c r="O30" s="1">
        <f t="shared" si="5"/>
        <v>71.33</v>
      </c>
      <c r="P30" s="33">
        <f>'Hidden Sheet'!Q22</f>
        <v>2</v>
      </c>
      <c r="Q30" s="1" t="str">
        <f>CONCATENATE(CONCAT("W: ",COUNTIF('Hidden Sheet'!Q19:Q21, 2)), (CONCAT(" T: ", COUNTIF('Hidden Sheet'!Q19:Q21, 1))), CONCAT(" L: ",COUNTIF('Hidden Sheet'!Q19:Q21, 0)))</f>
        <v>W: 1 T: 0 L: 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30" t="s">
        <v>89</v>
      </c>
      <c r="C31" s="32">
        <v>12.0</v>
      </c>
      <c r="D31" s="32">
        <v>28.0</v>
      </c>
      <c r="E31" s="31"/>
      <c r="F31" s="32">
        <v>44.0</v>
      </c>
      <c r="G31" s="1">
        <f t="shared" si="4"/>
        <v>28</v>
      </c>
      <c r="H31" s="33">
        <f>'Hidden Sheet'!F22</f>
        <v>0</v>
      </c>
      <c r="I31" s="1" t="str">
        <f>CONCATENATE(CONCAT("W: ",COUNTIF('Hidden Sheet'!F$19:F$21, 2)), (CONCAT(" T: ", COUNTIF('Hidden Sheet'!F$19:F$21, 1))), CONCAT(" L: ",COUNTIF('Hidden Sheet'!F$19:F$21, 0)))</f>
        <v>W: 0 T: 0 L: 3</v>
      </c>
      <c r="J31" s="30" t="s">
        <v>91</v>
      </c>
      <c r="K31" s="32">
        <v>200.0</v>
      </c>
      <c r="L31" s="32">
        <v>88.0</v>
      </c>
      <c r="M31" s="31"/>
      <c r="N31" s="32">
        <v>92.0</v>
      </c>
      <c r="O31" s="1">
        <f t="shared" si="5"/>
        <v>126.67</v>
      </c>
      <c r="P31" s="33">
        <f>'Hidden Sheet'!R22</f>
        <v>6</v>
      </c>
      <c r="Q31" s="1" t="str">
        <f>CONCATENATE(CONCAT("W: ",COUNTIF('Hidden Sheet'!R19:R21, 2)), (CONCAT(" T: ", COUNTIF('Hidden Sheet'!R19:R21, 1))), CONCAT(" L: ",COUNTIF('Hidden Sheet'!R19:R21, 0)))</f>
        <v>W: 3 T: 0 L: 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32" t="s">
        <v>92</v>
      </c>
      <c r="C32" s="32">
        <v>64.0</v>
      </c>
      <c r="D32" s="32">
        <v>62.0</v>
      </c>
      <c r="E32" s="32">
        <v>86.0</v>
      </c>
      <c r="F32" s="31"/>
      <c r="G32" s="1">
        <f t="shared" si="4"/>
        <v>70.67</v>
      </c>
      <c r="H32" s="33">
        <f>'Hidden Sheet'!G22</f>
        <v>2</v>
      </c>
      <c r="I32" s="1" t="str">
        <f>CONCATENATE(CONCAT("W: ",COUNTIF('Hidden Sheet'!G$19:G$21, 2)), (CONCAT(" T: ", COUNTIF('Hidden Sheet'!G$19:G$21, 1))), CONCAT(" L: ",COUNTIF('Hidden Sheet'!G$19:G$21, 0)))</f>
        <v>W: 1 T: 0 L: 2</v>
      </c>
      <c r="J32" s="30" t="s">
        <v>93</v>
      </c>
      <c r="K32" s="32">
        <v>20.0</v>
      </c>
      <c r="L32" s="32">
        <v>44.0</v>
      </c>
      <c r="M32" s="32">
        <v>34.0</v>
      </c>
      <c r="N32" s="31"/>
      <c r="O32" s="1">
        <f t="shared" si="5"/>
        <v>32.67</v>
      </c>
      <c r="P32" s="33">
        <f>'Hidden Sheet'!S22</f>
        <v>0</v>
      </c>
      <c r="Q32" s="1" t="str">
        <f>CONCATENATE(CONCAT("W: ",COUNTIF('Hidden Sheet'!S19:S21, 2)), (CONCAT(" T: ", COUNTIF('Hidden Sheet'!S19:S21, 1))), CONCAT(" L: ",COUNTIF('Hidden Sheet'!S19:S21, 0)))</f>
        <v>W: 0 T: 0 L: 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8" t="s">
        <v>94</v>
      </c>
      <c r="I34" s="1"/>
      <c r="J34" s="8" t="s">
        <v>95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I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I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34.5" customHeight="1">
      <c r="A37" s="1"/>
      <c r="B37" s="1"/>
      <c r="C37" s="29" t="str">
        <f>B40</f>
        <v>CBA</v>
      </c>
      <c r="D37" s="29" t="str">
        <f>B41</f>
        <v>Enloe HS</v>
      </c>
      <c r="E37" s="29" t="str">
        <f>B42</f>
        <v>Iolani</v>
      </c>
      <c r="F37" s="29" t="str">
        <f>B43</f>
        <v>Poolesville B</v>
      </c>
      <c r="G37" s="29" t="s">
        <v>14</v>
      </c>
      <c r="H37" s="29" t="s">
        <v>15</v>
      </c>
      <c r="I37" s="1"/>
      <c r="J37" s="1"/>
      <c r="K37" s="29" t="str">
        <f>J40</f>
        <v>North Hollywood</v>
      </c>
      <c r="L37" s="29" t="str">
        <f>J41</f>
        <v>Clements HS</v>
      </c>
      <c r="M37" s="29" t="str">
        <f>J42</f>
        <v>Foothill B</v>
      </c>
      <c r="N37" s="29" t="str">
        <f>J43</f>
        <v>Arcadia HS</v>
      </c>
      <c r="O37" s="29" t="s">
        <v>14</v>
      </c>
      <c r="P37" s="29" t="s">
        <v>15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34.5" customHeight="1">
      <c r="A38" s="1"/>
      <c r="B38" s="1"/>
      <c r="I38" s="1"/>
      <c r="J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34.5" customHeight="1">
      <c r="A39" s="1"/>
      <c r="B39" s="1"/>
      <c r="I39" s="1"/>
      <c r="J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30" t="s">
        <v>96</v>
      </c>
      <c r="C40" s="31"/>
      <c r="D40" s="32">
        <v>22.0</v>
      </c>
      <c r="E40" s="32">
        <v>30.0</v>
      </c>
      <c r="F40" s="32">
        <v>16.0</v>
      </c>
      <c r="G40" s="1">
        <f t="shared" ref="G40:G43" si="6">IFERROR(ROUND(AVERAGE(C40:F40),2),)</f>
        <v>22.67</v>
      </c>
      <c r="H40" s="33">
        <f>'Hidden Sheet'!D39</f>
        <v>0</v>
      </c>
      <c r="I40" s="1" t="str">
        <f>CONCATENATE(CONCAT("W: ",COUNTIF('Hidden Sheet'!D36:D38, 2)), (CONCAT(" T: ", COUNTIF('Hidden Sheet'!D36:D38, 1))), CONCAT(" L: ",COUNTIF('Hidden Sheet'!D36:D38, 0)))</f>
        <v>W: 0 T: 0 L: 3</v>
      </c>
      <c r="J40" s="30" t="s">
        <v>97</v>
      </c>
      <c r="K40" s="31"/>
      <c r="L40" s="32">
        <v>90.0</v>
      </c>
      <c r="M40" s="32">
        <v>26.0</v>
      </c>
      <c r="N40" s="32">
        <v>62.0</v>
      </c>
      <c r="O40" s="1">
        <f t="shared" ref="O40:O43" si="7">IFERROR(ROUND(AVERAGE(K40:N40),2),)</f>
        <v>59.33</v>
      </c>
      <c r="P40" s="33">
        <f>'Hidden Sheet'!P39</f>
        <v>4</v>
      </c>
      <c r="Q40" s="1" t="str">
        <f>CONCATENATE(CONCAT("W: ",COUNTIF('Hidden Sheet'!P36:P38, 2)), (CONCAT(" T: ", COUNTIF('Hidden Sheet'!P36:P38, 1))), CONCAT(" L: ",COUNTIF('Hidden Sheet'!P36:P38, 0)))</f>
        <v>W: 2 T: 0 L: 1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30" t="s">
        <v>98</v>
      </c>
      <c r="C41" s="32">
        <v>52.0</v>
      </c>
      <c r="D41" s="31"/>
      <c r="E41" s="32">
        <v>40.0</v>
      </c>
      <c r="F41" s="32">
        <v>28.0</v>
      </c>
      <c r="G41" s="1">
        <f t="shared" si="6"/>
        <v>40</v>
      </c>
      <c r="H41" s="33">
        <f>'Hidden Sheet'!E39</f>
        <v>3</v>
      </c>
      <c r="I41" s="1" t="str">
        <f>CONCATENATE(CONCAT("W: ",COUNTIF('Hidden Sheet'!E36:E38, 2)), (CONCAT(" T: ", COUNTIF('Hidden Sheet'!E36:E38, 1))), CONCAT(" L: ",COUNTIF('Hidden Sheet'!E36:E38, 0)))</f>
        <v>W: 1 T: 1 L: 1</v>
      </c>
      <c r="J41" s="30" t="s">
        <v>99</v>
      </c>
      <c r="K41" s="32">
        <v>70.0</v>
      </c>
      <c r="L41" s="31"/>
      <c r="M41" s="32">
        <v>134.0</v>
      </c>
      <c r="N41" s="32">
        <v>140.0</v>
      </c>
      <c r="O41" s="1">
        <f t="shared" si="7"/>
        <v>114.67</v>
      </c>
      <c r="P41" s="33">
        <f>'Hidden Sheet'!Q39</f>
        <v>4</v>
      </c>
      <c r="Q41" s="1" t="str">
        <f>CONCATENATE(CONCAT("W: ",COUNTIF('Hidden Sheet'!Q36:Q38, 2)), (CONCAT(" T: ", COUNTIF('Hidden Sheet'!Q36:Q38, 1))), CONCAT(" L: ",COUNTIF('Hidden Sheet'!Q36:Q38, 0)))</f>
        <v>W: 2 T: 0 L: 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30" t="s">
        <v>100</v>
      </c>
      <c r="C42" s="32">
        <v>94.0</v>
      </c>
      <c r="D42" s="32">
        <v>44.0</v>
      </c>
      <c r="E42" s="31"/>
      <c r="F42" s="32">
        <v>76.0</v>
      </c>
      <c r="G42" s="1">
        <f t="shared" si="6"/>
        <v>71.33</v>
      </c>
      <c r="H42" s="33">
        <f>'Hidden Sheet'!F39</f>
        <v>6</v>
      </c>
      <c r="I42" s="1" t="str">
        <f>CONCATENATE(CONCAT("W: ",COUNTIF('Hidden Sheet'!F36:F38, 2)), (CONCAT(" T: ", COUNTIF('Hidden Sheet'!F36:F38, 1))), CONCAT(" L: ",COUNTIF('Hidden Sheet'!F36:F38, 0)))</f>
        <v>W: 3 T: 0 L: 0</v>
      </c>
      <c r="J42" s="30" t="s">
        <v>101</v>
      </c>
      <c r="K42" s="32">
        <v>30.0</v>
      </c>
      <c r="L42" s="32">
        <v>16.0</v>
      </c>
      <c r="M42" s="31"/>
      <c r="N42" s="32">
        <v>72.0</v>
      </c>
      <c r="O42" s="1">
        <f t="shared" si="7"/>
        <v>39.33</v>
      </c>
      <c r="P42" s="33">
        <f>'Hidden Sheet'!R39</f>
        <v>4</v>
      </c>
      <c r="Q42" s="1" t="str">
        <f>CONCATENATE(CONCAT("W: ",COUNTIF('Hidden Sheet'!R36:R38, 2)), (CONCAT(" T: ", COUNTIF('Hidden Sheet'!R36:R38, 1))), CONCAT(" L: ",COUNTIF('Hidden Sheet'!R36:R38, 0)))</f>
        <v>W: 2 T: 0 L: 1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32" t="s">
        <v>102</v>
      </c>
      <c r="C43" s="32">
        <v>62.0</v>
      </c>
      <c r="D43" s="32">
        <v>28.0</v>
      </c>
      <c r="E43" s="32">
        <v>12.0</v>
      </c>
      <c r="F43" s="31"/>
      <c r="G43" s="1">
        <f t="shared" si="6"/>
        <v>34</v>
      </c>
      <c r="H43" s="33">
        <f>'Hidden Sheet'!G39</f>
        <v>3</v>
      </c>
      <c r="I43" s="1" t="str">
        <f>CONCATENATE(CONCAT("W: ",COUNTIF('Hidden Sheet'!G36:G38, 2)), (CONCAT(" T: ", COUNTIF('Hidden Sheet'!G36:G38, 1))), CONCAT(" L: ",COUNTIF('Hidden Sheet'!G36:G38, 0)))</f>
        <v>W: 1 T: 1 L: 1</v>
      </c>
      <c r="J43" s="32" t="s">
        <v>103</v>
      </c>
      <c r="K43" s="32">
        <v>30.0</v>
      </c>
      <c r="L43" s="32">
        <v>26.0</v>
      </c>
      <c r="M43" s="32">
        <v>26.0</v>
      </c>
      <c r="N43" s="31"/>
      <c r="O43" s="1">
        <f t="shared" si="7"/>
        <v>27.33</v>
      </c>
      <c r="P43" s="33">
        <f>'Hidden Sheet'!S39</f>
        <v>0</v>
      </c>
      <c r="Q43" s="1" t="str">
        <f>CONCATENATE(CONCAT("W: ",COUNTIF('Hidden Sheet'!S36:S38, 2)), (CONCAT(" T: ", COUNTIF('Hidden Sheet'!S36:S38, 1))), CONCAT(" L: ",COUNTIF('Hidden Sheet'!S36:S38, 0)))</f>
        <v>W: 0 T: 0 L: 3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</sheetData>
  <mergeCells count="54">
    <mergeCell ref="C4:C6"/>
    <mergeCell ref="D15:D17"/>
    <mergeCell ref="E15:E17"/>
    <mergeCell ref="F15:F17"/>
    <mergeCell ref="G15:G17"/>
    <mergeCell ref="H15:H17"/>
    <mergeCell ref="B23:H25"/>
    <mergeCell ref="C15:C17"/>
    <mergeCell ref="D26:D28"/>
    <mergeCell ref="E26:E28"/>
    <mergeCell ref="F26:F28"/>
    <mergeCell ref="G26:G28"/>
    <mergeCell ref="H26:H28"/>
    <mergeCell ref="B34:H36"/>
    <mergeCell ref="B1:H3"/>
    <mergeCell ref="D4:D6"/>
    <mergeCell ref="E4:E6"/>
    <mergeCell ref="F4:F6"/>
    <mergeCell ref="G4:G6"/>
    <mergeCell ref="H4:H6"/>
    <mergeCell ref="B12:H14"/>
    <mergeCell ref="L15:L17"/>
    <mergeCell ref="M15:M17"/>
    <mergeCell ref="N15:N17"/>
    <mergeCell ref="O15:O17"/>
    <mergeCell ref="J6:K6"/>
    <mergeCell ref="K7:O7"/>
    <mergeCell ref="K8:O8"/>
    <mergeCell ref="K9:O9"/>
    <mergeCell ref="K10:O10"/>
    <mergeCell ref="J12:P14"/>
    <mergeCell ref="K15:K17"/>
    <mergeCell ref="P26:P28"/>
    <mergeCell ref="J34:P36"/>
    <mergeCell ref="K37:K39"/>
    <mergeCell ref="L37:L39"/>
    <mergeCell ref="M37:M39"/>
    <mergeCell ref="N37:N39"/>
    <mergeCell ref="O37:O39"/>
    <mergeCell ref="P37:P39"/>
    <mergeCell ref="P15:P17"/>
    <mergeCell ref="J23:P25"/>
    <mergeCell ref="K26:K28"/>
    <mergeCell ref="L26:L28"/>
    <mergeCell ref="M26:M28"/>
    <mergeCell ref="N26:N28"/>
    <mergeCell ref="O26:O28"/>
    <mergeCell ref="C26:C28"/>
    <mergeCell ref="C37:C39"/>
    <mergeCell ref="D37:D39"/>
    <mergeCell ref="E37:E39"/>
    <mergeCell ref="F37:F39"/>
    <mergeCell ref="G37:G39"/>
    <mergeCell ref="H37:H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C1" s="2" t="s">
        <v>0</v>
      </c>
      <c r="D1" s="2" t="s">
        <v>2</v>
      </c>
      <c r="E1" s="2" t="s">
        <v>3</v>
      </c>
      <c r="F1" s="2" t="s">
        <v>5</v>
      </c>
      <c r="G1" s="2" t="s">
        <v>7</v>
      </c>
    </row>
    <row r="2">
      <c r="A2" s="2" t="s">
        <v>8</v>
      </c>
      <c r="C2" s="5">
        <v>0.19444444444444445</v>
      </c>
      <c r="D2" s="5">
        <v>0.3194444444444444</v>
      </c>
      <c r="E2" s="5">
        <v>0.3611111111111111</v>
      </c>
      <c r="F2" s="5">
        <v>0.4027777777777778</v>
      </c>
      <c r="G2" s="5">
        <v>0.4444444444444444</v>
      </c>
    </row>
    <row r="3">
      <c r="A3" s="2" t="s">
        <v>13</v>
      </c>
      <c r="C3" s="5">
        <v>0.20833333333333334</v>
      </c>
      <c r="D3" s="5">
        <v>0.3333333333333333</v>
      </c>
      <c r="E3" s="5">
        <v>0.375</v>
      </c>
      <c r="F3" s="5">
        <v>0.4166666666666667</v>
      </c>
      <c r="G3" s="5">
        <v>0.4583333333333333</v>
      </c>
    </row>
    <row r="4">
      <c r="A4" s="2" t="s">
        <v>18</v>
      </c>
      <c r="C4" s="5">
        <v>0.25</v>
      </c>
      <c r="D4" s="5">
        <v>0.375</v>
      </c>
      <c r="E4" s="5">
        <v>0.4166666666666667</v>
      </c>
      <c r="F4" s="5">
        <v>0.4583333333333333</v>
      </c>
      <c r="G4" s="5">
        <v>0.5</v>
      </c>
    </row>
    <row r="5">
      <c r="A5" s="2" t="s">
        <v>22</v>
      </c>
      <c r="C5" s="5">
        <v>0.2916666666666667</v>
      </c>
      <c r="D5" s="5">
        <v>0.4166666666666667</v>
      </c>
      <c r="E5" s="5">
        <v>0.4583333333333333</v>
      </c>
      <c r="F5" s="5">
        <v>0.5</v>
      </c>
      <c r="G5" s="5">
        <v>0.5416666666666666</v>
      </c>
    </row>
    <row r="6">
      <c r="A6" s="2" t="s">
        <v>24</v>
      </c>
      <c r="C6" s="5">
        <v>0.3333333333333333</v>
      </c>
      <c r="D6" s="5">
        <v>0.4583333333333333</v>
      </c>
      <c r="E6" s="5">
        <v>0.5</v>
      </c>
      <c r="F6" s="5">
        <v>0.5416666666666666</v>
      </c>
      <c r="G6" s="5">
        <v>0.5833333333333334</v>
      </c>
    </row>
    <row r="7">
      <c r="A7" s="2" t="s">
        <v>25</v>
      </c>
      <c r="C7" s="5">
        <v>0.375</v>
      </c>
      <c r="D7" s="5">
        <v>0.5</v>
      </c>
      <c r="E7" s="5">
        <v>0.5416666666666666</v>
      </c>
      <c r="F7" s="5">
        <v>0.5833333333333334</v>
      </c>
      <c r="G7" s="5">
        <v>0.625</v>
      </c>
    </row>
    <row r="8">
      <c r="A8" s="2" t="s">
        <v>26</v>
      </c>
      <c r="C8" s="5">
        <v>0.4166666666666667</v>
      </c>
      <c r="D8" s="5">
        <v>0.5416666666666666</v>
      </c>
      <c r="E8" s="5">
        <v>0.5833333333333334</v>
      </c>
      <c r="F8" s="5">
        <v>0.625</v>
      </c>
      <c r="G8" s="5">
        <v>0.6666666666666666</v>
      </c>
    </row>
    <row r="9">
      <c r="A9" s="2" t="s">
        <v>27</v>
      </c>
      <c r="C9" s="5">
        <v>0.4583333333333333</v>
      </c>
      <c r="D9" s="5">
        <v>0.5833333333333334</v>
      </c>
      <c r="E9" s="5">
        <v>0.625</v>
      </c>
      <c r="F9" s="5">
        <v>0.6666666666666666</v>
      </c>
      <c r="G9" s="5">
        <v>0.7083333333333334</v>
      </c>
    </row>
    <row r="10">
      <c r="A10" s="2" t="s">
        <v>28</v>
      </c>
      <c r="C10" s="5">
        <v>0.5</v>
      </c>
      <c r="D10" s="5">
        <v>0.625</v>
      </c>
      <c r="E10" s="5">
        <v>0.6666666666666666</v>
      </c>
      <c r="F10" s="5">
        <v>0.7083333333333334</v>
      </c>
      <c r="G10" s="5">
        <v>0.75</v>
      </c>
    </row>
  </sheetData>
  <mergeCells count="9">
    <mergeCell ref="A9:B9"/>
    <mergeCell ref="A10:B10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3" max="6" width="3.88"/>
    <col customWidth="1" min="7" max="7" width="6.38"/>
    <col customWidth="1" min="8" max="8" width="3.88"/>
    <col customWidth="1" min="11" max="14" width="3.88"/>
    <col customWidth="1" min="15" max="15" width="6.38"/>
    <col customWidth="1" min="16" max="16" width="3.88"/>
  </cols>
  <sheetData>
    <row r="1">
      <c r="B1" s="3" t="s">
        <v>1</v>
      </c>
      <c r="J1" s="3" t="s">
        <v>6</v>
      </c>
    </row>
    <row r="4">
      <c r="C4" s="6" t="s">
        <v>9</v>
      </c>
      <c r="D4" s="6" t="s">
        <v>10</v>
      </c>
      <c r="E4" s="6" t="s">
        <v>11</v>
      </c>
      <c r="F4" s="6" t="s">
        <v>12</v>
      </c>
      <c r="G4" s="6" t="s">
        <v>14</v>
      </c>
      <c r="H4" s="6" t="s">
        <v>15</v>
      </c>
      <c r="I4" s="3" t="s">
        <v>16</v>
      </c>
      <c r="K4" s="6" t="s">
        <v>17</v>
      </c>
      <c r="L4" s="6" t="s">
        <v>19</v>
      </c>
      <c r="M4" s="6" t="s">
        <v>20</v>
      </c>
      <c r="N4" s="6" t="s">
        <v>21</v>
      </c>
      <c r="O4" s="6" t="s">
        <v>14</v>
      </c>
      <c r="P4" s="6" t="s">
        <v>15</v>
      </c>
      <c r="Q4" s="3" t="s">
        <v>23</v>
      </c>
    </row>
    <row r="7">
      <c r="B7" s="3" t="s">
        <v>9</v>
      </c>
      <c r="C7" s="9"/>
      <c r="D7" s="3">
        <v>96.0</v>
      </c>
      <c r="E7" s="3">
        <v>96.0</v>
      </c>
      <c r="F7" s="3">
        <v>96.0</v>
      </c>
      <c r="G7">
        <v>96.0</v>
      </c>
      <c r="H7">
        <v>0.0</v>
      </c>
      <c r="J7" s="3" t="s">
        <v>17</v>
      </c>
      <c r="K7" s="9"/>
      <c r="L7" s="3">
        <v>104.0</v>
      </c>
      <c r="M7" s="3">
        <v>104.0</v>
      </c>
      <c r="N7" s="3">
        <v>100.0</v>
      </c>
      <c r="O7">
        <v>102.67</v>
      </c>
      <c r="P7">
        <v>4.0</v>
      </c>
    </row>
    <row r="8">
      <c r="B8" s="3" t="s">
        <v>10</v>
      </c>
      <c r="C8" s="3">
        <v>100.0</v>
      </c>
      <c r="D8" s="9"/>
      <c r="E8" s="3">
        <v>104.0</v>
      </c>
      <c r="F8" s="3">
        <v>100.0</v>
      </c>
      <c r="G8">
        <v>101.33</v>
      </c>
      <c r="H8">
        <v>4.0</v>
      </c>
      <c r="J8" s="3" t="s">
        <v>19</v>
      </c>
      <c r="K8" s="3">
        <v>100.0</v>
      </c>
      <c r="L8" s="9"/>
      <c r="M8" s="3">
        <v>100.0</v>
      </c>
      <c r="N8" s="3">
        <v>104.0</v>
      </c>
      <c r="O8">
        <v>101.33</v>
      </c>
      <c r="P8">
        <v>4.0</v>
      </c>
    </row>
    <row r="9">
      <c r="B9" s="3" t="s">
        <v>11</v>
      </c>
      <c r="C9" s="3">
        <v>100.0</v>
      </c>
      <c r="D9" s="3">
        <v>96.0</v>
      </c>
      <c r="E9" s="9"/>
      <c r="F9" s="3">
        <v>104.0</v>
      </c>
      <c r="G9">
        <v>100.0</v>
      </c>
      <c r="H9">
        <v>4.0</v>
      </c>
      <c r="J9" s="3" t="s">
        <v>20</v>
      </c>
      <c r="K9" s="3">
        <v>100.0</v>
      </c>
      <c r="L9" s="3">
        <v>96.0</v>
      </c>
      <c r="M9" s="9"/>
      <c r="N9" s="3">
        <v>96.0</v>
      </c>
      <c r="O9">
        <v>97.33</v>
      </c>
      <c r="P9">
        <v>0.0</v>
      </c>
    </row>
    <row r="10">
      <c r="B10" s="3" t="s">
        <v>12</v>
      </c>
      <c r="C10" s="3">
        <v>104.0</v>
      </c>
      <c r="D10" s="3">
        <v>104.0</v>
      </c>
      <c r="E10" s="3">
        <v>100.0</v>
      </c>
      <c r="F10" s="9"/>
      <c r="G10">
        <v>102.67</v>
      </c>
      <c r="H10">
        <v>4.0</v>
      </c>
      <c r="J10" s="3" t="s">
        <v>21</v>
      </c>
      <c r="K10" s="3">
        <v>104.0</v>
      </c>
      <c r="L10" s="3">
        <v>96.0</v>
      </c>
      <c r="M10" s="3">
        <v>100.0</v>
      </c>
      <c r="N10" s="9"/>
      <c r="O10">
        <v>100.0</v>
      </c>
      <c r="P10">
        <v>4.0</v>
      </c>
    </row>
    <row r="12">
      <c r="B12" s="3" t="s">
        <v>30</v>
      </c>
      <c r="J12" s="3" t="s">
        <v>31</v>
      </c>
    </row>
    <row r="15">
      <c r="C15" s="6" t="s">
        <v>32</v>
      </c>
      <c r="D15" s="6" t="s">
        <v>33</v>
      </c>
      <c r="E15" s="6" t="s">
        <v>34</v>
      </c>
      <c r="F15" s="6" t="s">
        <v>35</v>
      </c>
      <c r="G15" s="6" t="s">
        <v>14</v>
      </c>
      <c r="H15" s="6" t="s">
        <v>15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14</v>
      </c>
      <c r="P15" s="6" t="s">
        <v>15</v>
      </c>
    </row>
    <row r="18">
      <c r="B18" s="3" t="s">
        <v>32</v>
      </c>
      <c r="C18" s="9"/>
      <c r="D18" s="3">
        <v>100.0</v>
      </c>
      <c r="E18" s="3">
        <v>101.0</v>
      </c>
      <c r="F18" s="3">
        <v>101.0</v>
      </c>
      <c r="G18">
        <v>100.67</v>
      </c>
      <c r="H18">
        <v>6.0</v>
      </c>
      <c r="I18" s="3" t="s">
        <v>40</v>
      </c>
      <c r="J18" s="3" t="s">
        <v>36</v>
      </c>
      <c r="K18" s="9"/>
      <c r="L18" s="3">
        <v>104.0</v>
      </c>
      <c r="M18" s="3">
        <v>104.0</v>
      </c>
      <c r="N18" s="3">
        <v>104.0</v>
      </c>
      <c r="O18">
        <v>104.0</v>
      </c>
      <c r="P18">
        <v>6.0</v>
      </c>
      <c r="Q18" s="3" t="s">
        <v>41</v>
      </c>
    </row>
    <row r="19">
      <c r="B19" s="3" t="s">
        <v>33</v>
      </c>
      <c r="C19" s="3">
        <v>80.0</v>
      </c>
      <c r="D19" s="9"/>
      <c r="E19" s="3">
        <v>90.0</v>
      </c>
      <c r="F19" s="3">
        <v>65.0</v>
      </c>
      <c r="G19">
        <v>78.33</v>
      </c>
      <c r="H19">
        <v>4.0</v>
      </c>
      <c r="J19" s="3" t="s">
        <v>37</v>
      </c>
      <c r="K19" s="3">
        <v>92.0</v>
      </c>
      <c r="L19" s="9"/>
      <c r="M19" s="3">
        <v>104.0</v>
      </c>
      <c r="N19" s="3">
        <v>100.0</v>
      </c>
      <c r="O19">
        <v>98.67</v>
      </c>
      <c r="P19">
        <v>2.0</v>
      </c>
    </row>
    <row r="20">
      <c r="B20" s="3" t="s">
        <v>34</v>
      </c>
      <c r="C20" s="3">
        <v>88.0</v>
      </c>
      <c r="D20" s="3">
        <v>88.0</v>
      </c>
      <c r="E20" s="9"/>
      <c r="F20" s="3">
        <v>88.0</v>
      </c>
      <c r="G20">
        <v>88.0</v>
      </c>
      <c r="H20">
        <v>0.0</v>
      </c>
      <c r="J20" s="3" t="s">
        <v>38</v>
      </c>
      <c r="K20" s="3">
        <v>96.0</v>
      </c>
      <c r="L20" s="3">
        <v>100.0</v>
      </c>
      <c r="M20" s="9"/>
      <c r="N20" s="3">
        <v>104.0</v>
      </c>
      <c r="O20">
        <v>100.0</v>
      </c>
      <c r="P20">
        <v>2.0</v>
      </c>
    </row>
    <row r="21">
      <c r="B21" s="3" t="s">
        <v>35</v>
      </c>
      <c r="C21" s="3">
        <v>39.0</v>
      </c>
      <c r="D21" s="3">
        <v>41.0</v>
      </c>
      <c r="E21" s="3">
        <v>105.0</v>
      </c>
      <c r="F21" s="9"/>
      <c r="G21">
        <v>61.67</v>
      </c>
      <c r="H21">
        <v>2.0</v>
      </c>
      <c r="J21" s="3" t="s">
        <v>39</v>
      </c>
      <c r="K21" s="3">
        <v>100.0</v>
      </c>
      <c r="L21" s="3">
        <v>104.0</v>
      </c>
      <c r="M21" s="3">
        <v>100.0</v>
      </c>
      <c r="N21" s="9"/>
      <c r="O21">
        <v>101.33</v>
      </c>
      <c r="P21">
        <v>2.0</v>
      </c>
    </row>
    <row r="23">
      <c r="B23" s="3" t="s">
        <v>43</v>
      </c>
      <c r="J23" s="3" t="s">
        <v>44</v>
      </c>
    </row>
    <row r="26">
      <c r="C26" s="6" t="s">
        <v>45</v>
      </c>
      <c r="D26" s="6" t="s">
        <v>46</v>
      </c>
      <c r="E26" s="6" t="s">
        <v>47</v>
      </c>
      <c r="F26" s="6" t="s">
        <v>48</v>
      </c>
      <c r="G26" s="6" t="s">
        <v>14</v>
      </c>
      <c r="H26" s="6" t="s">
        <v>15</v>
      </c>
      <c r="K26" s="6" t="s">
        <v>49</v>
      </c>
      <c r="L26" s="6" t="s">
        <v>50</v>
      </c>
      <c r="M26" s="6" t="s">
        <v>51</v>
      </c>
      <c r="N26" s="6" t="s">
        <v>52</v>
      </c>
      <c r="O26" s="6" t="s">
        <v>14</v>
      </c>
      <c r="P26" s="6" t="s">
        <v>15</v>
      </c>
    </row>
    <row r="29">
      <c r="B29" s="3" t="s">
        <v>45</v>
      </c>
      <c r="C29" s="9"/>
      <c r="D29" s="3">
        <v>92.0</v>
      </c>
      <c r="E29" s="3">
        <v>92.0</v>
      </c>
      <c r="F29" s="3">
        <v>92.0</v>
      </c>
      <c r="G29">
        <v>92.0</v>
      </c>
      <c r="H29">
        <v>0.0</v>
      </c>
      <c r="I29" s="3" t="s">
        <v>53</v>
      </c>
      <c r="J29" s="3" t="s">
        <v>49</v>
      </c>
      <c r="K29" s="9"/>
      <c r="L29" s="3">
        <v>96.0</v>
      </c>
      <c r="M29" s="3">
        <v>92.0</v>
      </c>
      <c r="N29" s="3">
        <v>84.0</v>
      </c>
      <c r="O29">
        <v>90.67</v>
      </c>
      <c r="P29">
        <v>2.0</v>
      </c>
      <c r="Q29" s="3" t="s">
        <v>54</v>
      </c>
    </row>
    <row r="30">
      <c r="B30" s="3" t="s">
        <v>46</v>
      </c>
      <c r="C30" s="3">
        <v>96.0</v>
      </c>
      <c r="D30" s="9"/>
      <c r="E30" s="3">
        <v>100.0</v>
      </c>
      <c r="F30" s="3">
        <v>96.0</v>
      </c>
      <c r="G30">
        <v>97.33</v>
      </c>
      <c r="H30">
        <v>4.0</v>
      </c>
      <c r="J30" s="3" t="s">
        <v>50</v>
      </c>
      <c r="K30" s="3">
        <v>92.0</v>
      </c>
      <c r="L30" s="9"/>
      <c r="M30" s="3">
        <v>96.0</v>
      </c>
      <c r="N30" s="3">
        <v>88.0</v>
      </c>
      <c r="O30">
        <v>92.0</v>
      </c>
      <c r="P30">
        <v>2.0</v>
      </c>
    </row>
    <row r="31">
      <c r="B31" s="3" t="s">
        <v>47</v>
      </c>
      <c r="C31" s="3">
        <v>96.0</v>
      </c>
      <c r="D31" s="3">
        <v>92.0</v>
      </c>
      <c r="E31" s="9"/>
      <c r="F31" s="3">
        <v>100.0</v>
      </c>
      <c r="G31">
        <v>96.0</v>
      </c>
      <c r="H31">
        <v>4.0</v>
      </c>
      <c r="J31" s="3" t="s">
        <v>51</v>
      </c>
      <c r="K31" s="3">
        <v>96.0</v>
      </c>
      <c r="L31" s="3">
        <v>92.0</v>
      </c>
      <c r="M31" s="9"/>
      <c r="N31" s="3">
        <v>92.0</v>
      </c>
      <c r="O31">
        <v>93.33</v>
      </c>
      <c r="P31">
        <v>2.0</v>
      </c>
    </row>
    <row r="32">
      <c r="B32" s="3" t="s">
        <v>48</v>
      </c>
      <c r="C32" s="3">
        <v>100.0</v>
      </c>
      <c r="D32" s="3">
        <v>100.0</v>
      </c>
      <c r="E32" s="3">
        <v>96.0</v>
      </c>
      <c r="F32" s="9"/>
      <c r="G32">
        <v>98.67</v>
      </c>
      <c r="H32">
        <v>4.0</v>
      </c>
      <c r="J32" s="3" t="s">
        <v>52</v>
      </c>
      <c r="K32" s="3">
        <v>96.0</v>
      </c>
      <c r="L32" s="3">
        <v>96.0</v>
      </c>
      <c r="M32" s="3">
        <v>96.0</v>
      </c>
      <c r="N32" s="9"/>
      <c r="O32">
        <v>96.0</v>
      </c>
      <c r="P32">
        <v>6.0</v>
      </c>
    </row>
  </sheetData>
  <mergeCells count="36">
    <mergeCell ref="L4:L6"/>
    <mergeCell ref="M4:M6"/>
    <mergeCell ref="N4:N6"/>
    <mergeCell ref="O4:O6"/>
    <mergeCell ref="P4:P6"/>
    <mergeCell ref="C4:C6"/>
    <mergeCell ref="D4:D6"/>
    <mergeCell ref="E4:E6"/>
    <mergeCell ref="F4:F6"/>
    <mergeCell ref="G4:G6"/>
    <mergeCell ref="H4:H6"/>
    <mergeCell ref="K4:K6"/>
    <mergeCell ref="L15:L17"/>
    <mergeCell ref="M15:M17"/>
    <mergeCell ref="N15:N17"/>
    <mergeCell ref="O15:O17"/>
    <mergeCell ref="P15:P17"/>
    <mergeCell ref="C15:C17"/>
    <mergeCell ref="D15:D17"/>
    <mergeCell ref="E15:E17"/>
    <mergeCell ref="F15:F17"/>
    <mergeCell ref="G15:G17"/>
    <mergeCell ref="H15:H17"/>
    <mergeCell ref="K15:K17"/>
    <mergeCell ref="L26:L28"/>
    <mergeCell ref="M26:M28"/>
    <mergeCell ref="N26:N28"/>
    <mergeCell ref="O26:O28"/>
    <mergeCell ref="P26:P28"/>
    <mergeCell ref="C26:C28"/>
    <mergeCell ref="D26:D28"/>
    <mergeCell ref="E26:E28"/>
    <mergeCell ref="F26:F28"/>
    <mergeCell ref="G26:G28"/>
    <mergeCell ref="H26:H28"/>
    <mergeCell ref="K26:K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8" max="9" width="15.13"/>
    <col customWidth="1" min="10" max="10" width="2.63"/>
    <col customWidth="1" min="11" max="12" width="15.13"/>
  </cols>
  <sheetData>
    <row r="1">
      <c r="A1" s="35" t="s">
        <v>1</v>
      </c>
      <c r="B1" s="17"/>
      <c r="C1" s="17"/>
      <c r="D1" s="35" t="str">
        <f>'Round Robin'!B18</f>
        <v>Interlakeside</v>
      </c>
      <c r="E1" s="35" t="str">
        <f>'Round Robin'!B19</f>
        <v>Mission San Jose</v>
      </c>
      <c r="F1" s="35" t="str">
        <f>'Round Robin'!B20</f>
        <v>Sharon HS</v>
      </c>
      <c r="G1" s="35" t="str">
        <f>'Round Robin'!B21</f>
        <v>Science Academy B</v>
      </c>
      <c r="H1" s="36">
        <f>LARGE(D5:G5,3)</f>
        <v>2</v>
      </c>
      <c r="I1" s="37" t="str">
        <f>IFS(AND(H1=D5,D1&lt;&gt;B10,D1&lt;&gt;B13),D1,AND(H1=E5,E1&lt;&gt;B10,E1&lt;&gt;B13),E1,AND(H1=F5,F1&lt;&gt;B10,F1&lt;&gt;B13),F1,AND(H1=G5,G1&lt;&gt;B10,G1&lt;&gt;B13),G1)</f>
        <v>Science Academy B</v>
      </c>
      <c r="J1" s="38"/>
      <c r="K1" s="17"/>
      <c r="L1" s="17"/>
      <c r="M1" s="35" t="s">
        <v>6</v>
      </c>
      <c r="N1" s="17"/>
      <c r="O1" s="17"/>
      <c r="P1" s="35" t="str">
        <f>'Round Robin'!J18</f>
        <v>Amador Valley B</v>
      </c>
      <c r="Q1" s="35" t="str">
        <f>'Round Robin'!J19</f>
        <v>Buchholz B</v>
      </c>
      <c r="R1" s="35" t="str">
        <f>'Round Robin'!J20</f>
        <v>Montgomery Blair HS</v>
      </c>
      <c r="S1" s="35" t="str">
        <f>'Round Robin'!J21</f>
        <v>Science Academy A</v>
      </c>
      <c r="T1" s="36">
        <f>LARGE(P5:S5,3)</f>
        <v>2</v>
      </c>
      <c r="U1" s="37" t="str">
        <f>IFS(AND(T1=P5,P1&lt;&gt;N10,P1&lt;&gt;N13),P1,AND(T1=Q5,Q1&lt;&gt;N10,Q1&lt;&gt;N13),Q1,AND(T1=R5,R1&lt;&gt;N10,R1&lt;&gt;N13),R1,AND(T1=S5,S1&lt;&gt;N10,S1&lt;&gt;N13),S1)</f>
        <v>Science Academy A</v>
      </c>
      <c r="V1" s="17"/>
      <c r="W1" s="17"/>
      <c r="X1" s="17"/>
      <c r="Y1" s="17"/>
      <c r="Z1" s="17"/>
      <c r="AA1" s="17"/>
      <c r="AB1" s="17"/>
      <c r="AC1" s="17"/>
      <c r="AD1" s="17"/>
    </row>
    <row r="2">
      <c r="A2" s="17">
        <f>'Round Robin'!D18</f>
        <v>124</v>
      </c>
      <c r="B2" s="17">
        <f>'Round Robin'!C19</f>
        <v>82</v>
      </c>
      <c r="C2" s="35" t="s">
        <v>90</v>
      </c>
      <c r="D2" s="17">
        <f t="shared" ref="D2:D4" si="1">IF(ISBLANK(A2),,IFS(A2&gt;B2,2,A2=B2,1,A2&lt;B2,0))</f>
        <v>2</v>
      </c>
      <c r="E2" s="17">
        <f>IF(ISBLANK(A2),,IFS(A2&gt;B2,0,A2=B2,1,A2&lt;B2,2))</f>
        <v>0</v>
      </c>
      <c r="F2" s="17">
        <f>IF(ISBLANK(A3),,IFS(A3&gt;B3,0,A3=B3,1,A3&lt;B3,2))</f>
        <v>0</v>
      </c>
      <c r="G2" s="17">
        <f>IF(ISBLANK(A4),,IFS(A4&gt;B4,0,A4=B4,1,A4&lt;B4,2))</f>
        <v>0</v>
      </c>
      <c r="H2" s="36">
        <f>LARGE(D5:G5,4)</f>
        <v>0</v>
      </c>
      <c r="I2" s="39" t="str">
        <f>IF(H2=H1,IFS(AND(H2=D5,D1&lt;&gt;B10,D1&lt;&gt;B13,D1&lt;&gt;I1),D1,AND(H2=E5,E1&lt;&gt;B10,E1&lt;&gt;B13,E1&lt;&gt;I1),E1,AND(H2=F5,F1&lt;&gt;B10,F1&lt;&gt;B13,F1&lt;&gt;I1),F1,AND(H2=G5,G1&lt;&gt;B10,G1&lt;&gt;B13,G1&lt;&gt;I1),G1),)</f>
        <v/>
      </c>
      <c r="J2" s="38"/>
      <c r="K2" s="17"/>
      <c r="L2" s="17"/>
      <c r="M2" s="17">
        <f>'Round Robin'!L18</f>
        <v>24</v>
      </c>
      <c r="N2" s="17">
        <f>'Round Robin'!K19</f>
        <v>60</v>
      </c>
      <c r="O2" s="35" t="s">
        <v>90</v>
      </c>
      <c r="P2" s="17">
        <f t="shared" ref="P2:P4" si="2">IF(ISBLANK(M2),,IFS(M2&gt;N2,2,M2=N2,1,M2&lt;N2,0))</f>
        <v>0</v>
      </c>
      <c r="Q2" s="17">
        <f>IF(ISBLANK(M2),,IFS(M2&gt;N2,0,M2=N2,1,M2&lt;N2,2))</f>
        <v>2</v>
      </c>
      <c r="R2" s="17">
        <f>IF(ISBLANK(M3),,IFS(M3&gt;N3,0,M3=N3,1,M3&lt;N3,2))</f>
        <v>2</v>
      </c>
      <c r="S2" s="17">
        <f>IF(ISBLANK(M4),,IFS(M4&gt;N4,0,M4=N4,1,M4&lt;N4,2))</f>
        <v>2</v>
      </c>
      <c r="T2" s="36">
        <f>LARGE(P5:S5,4)</f>
        <v>0</v>
      </c>
      <c r="U2" s="37" t="str">
        <f>IF(T2=T1,IFS(AND(T2=P5,P1&lt;&gt;N10,P1&lt;&gt;N13,P1&lt;&gt;U1),P1,AND(T2=Q5,Q1&lt;&gt;N10,Q1&lt;&gt;N13,Q1&lt;&gt;U1),Q1,AND(T2=R5,R1&lt;&gt;N10,R1&lt;&gt;N13,R1&lt;&gt;U1),R1,AND(T2=S5,S1&lt;&gt;N10,S1&lt;&gt;N13,S1&lt;&gt;U1),S1),)</f>
        <v/>
      </c>
      <c r="V2" s="17"/>
      <c r="W2" s="17"/>
      <c r="X2" s="17"/>
      <c r="Y2" s="17"/>
      <c r="Z2" s="17"/>
      <c r="AA2" s="17"/>
      <c r="AB2" s="17"/>
      <c r="AC2" s="17"/>
      <c r="AD2" s="17"/>
    </row>
    <row r="3">
      <c r="A3" s="17">
        <f>'Round Robin'!E18</f>
        <v>124</v>
      </c>
      <c r="B3" s="17">
        <f>'Round Robin'!C20</f>
        <v>14</v>
      </c>
      <c r="C3" s="35" t="s">
        <v>104</v>
      </c>
      <c r="D3" s="17">
        <f t="shared" si="1"/>
        <v>2</v>
      </c>
      <c r="E3" s="17">
        <f t="shared" ref="E3:E4" si="3">IF(ISBLANK(A5),,IFS(A5&gt;B5,2,A5=B5,1,A5&lt;B5,0))</f>
        <v>2</v>
      </c>
      <c r="F3" s="17">
        <f>IF(ISBLANK(A5),,IFS(A5&gt;B5,0,A5=B5,1,A5&lt;B5,2))</f>
        <v>0</v>
      </c>
      <c r="G3" s="17">
        <f t="shared" ref="G3:G4" si="4">IF(ISBLANK(A6),,IFS(A6&gt;B6,0,A6=B6,1,A6&lt;B6,2))</f>
        <v>0</v>
      </c>
      <c r="H3" s="37" t="b">
        <f>IF(H2=H1,HLOOKUP(I1,D8:G9,2,FALSE))</f>
        <v>0</v>
      </c>
      <c r="I3" s="37" t="str">
        <f t="shared" ref="I3:I4" si="5">I1</f>
        <v>Science Academy B</v>
      </c>
      <c r="J3" s="38"/>
      <c r="K3" s="17"/>
      <c r="L3" s="17"/>
      <c r="M3" s="17">
        <f>'Round Robin'!M18</f>
        <v>54</v>
      </c>
      <c r="N3" s="17">
        <f>'Round Robin'!K20</f>
        <v>114</v>
      </c>
      <c r="O3" s="35" t="s">
        <v>104</v>
      </c>
      <c r="P3" s="17">
        <f t="shared" si="2"/>
        <v>0</v>
      </c>
      <c r="Q3" s="17">
        <f t="shared" ref="Q3:Q4" si="6">IF(ISBLANK(M5),,IFS(M5&gt;N5,2,M5=N5,1,M5&lt;N5,0))</f>
        <v>0</v>
      </c>
      <c r="R3" s="17">
        <f>IF(ISBLANK(M5),,IFS(M5&gt;N5,0,M5=N5,1,M5&lt;N5,2))</f>
        <v>2</v>
      </c>
      <c r="S3" s="17">
        <f t="shared" ref="S3:S4" si="7">IF(ISBLANK(M6),,IFS(M6&gt;N6,0,M6=N6,1,M6&lt;N6,2))</f>
        <v>0</v>
      </c>
      <c r="T3" s="37" t="b">
        <f>IF(T2=T1,HLOOKUP(U1,P8:S9,2,FALSE))</f>
        <v>0</v>
      </c>
      <c r="U3" s="37" t="str">
        <f t="shared" ref="U3:U4" si="8">U1</f>
        <v>Science Academy A</v>
      </c>
      <c r="V3" s="17"/>
      <c r="W3" s="17"/>
      <c r="X3" s="17"/>
      <c r="Y3" s="17"/>
      <c r="Z3" s="17"/>
      <c r="AA3" s="17"/>
      <c r="AB3" s="17"/>
      <c r="AC3" s="17"/>
      <c r="AD3" s="17"/>
    </row>
    <row r="4">
      <c r="A4" s="17">
        <f>'Round Robin'!F18</f>
        <v>120</v>
      </c>
      <c r="B4" s="17">
        <f>'Round Robin'!C21</f>
        <v>22</v>
      </c>
      <c r="C4" s="35" t="s">
        <v>105</v>
      </c>
      <c r="D4" s="17">
        <f t="shared" si="1"/>
        <v>2</v>
      </c>
      <c r="E4" s="17">
        <f t="shared" si="3"/>
        <v>2</v>
      </c>
      <c r="F4" s="17">
        <f>IF(ISBLANK(A7),,IFS(A7&gt;B7,2,A7=B7,1,A7&lt;B7,0))</f>
        <v>0</v>
      </c>
      <c r="G4" s="17">
        <f t="shared" si="4"/>
        <v>2</v>
      </c>
      <c r="H4" s="37" t="b">
        <f>IF(H2=H1,HLOOKUP(I2,D8:G9,2,FALSE))</f>
        <v>0</v>
      </c>
      <c r="I4" s="39" t="str">
        <f t="shared" si="5"/>
        <v/>
      </c>
      <c r="J4" s="38"/>
      <c r="K4" s="17"/>
      <c r="L4" s="17"/>
      <c r="M4" s="17">
        <f>'Round Robin'!N18</f>
        <v>42</v>
      </c>
      <c r="N4" s="17">
        <f>'Round Robin'!K21</f>
        <v>54</v>
      </c>
      <c r="O4" s="35" t="s">
        <v>105</v>
      </c>
      <c r="P4" s="17">
        <f t="shared" si="2"/>
        <v>0</v>
      </c>
      <c r="Q4" s="17">
        <f t="shared" si="6"/>
        <v>2</v>
      </c>
      <c r="R4" s="17">
        <f>IF(ISBLANK(M7),,IFS(M7&gt;N7,2,M7=N7,1,M7&lt;N7,0))</f>
        <v>2</v>
      </c>
      <c r="S4" s="17">
        <f t="shared" si="7"/>
        <v>0</v>
      </c>
      <c r="T4" s="37" t="b">
        <f>IF(T2=T1,HLOOKUP(U2,P8:S9,2,FALSE))</f>
        <v>0</v>
      </c>
      <c r="U4" s="37" t="str">
        <f t="shared" si="8"/>
        <v/>
      </c>
      <c r="V4" s="17"/>
      <c r="W4" s="17"/>
      <c r="X4" s="17"/>
      <c r="Y4" s="17"/>
      <c r="Z4" s="17"/>
      <c r="AA4" s="17"/>
      <c r="AB4" s="17"/>
      <c r="AC4" s="17"/>
      <c r="AD4" s="17"/>
    </row>
    <row r="5">
      <c r="A5" s="17">
        <f>'Round Robin'!E19</f>
        <v>62</v>
      </c>
      <c r="B5" s="17">
        <f>'Round Robin'!D20</f>
        <v>18</v>
      </c>
      <c r="C5" s="35" t="s">
        <v>106</v>
      </c>
      <c r="D5" s="40">
        <f t="shared" ref="D5:G5" si="9">SUM(D2:D4)</f>
        <v>6</v>
      </c>
      <c r="E5" s="40">
        <f t="shared" si="9"/>
        <v>4</v>
      </c>
      <c r="F5" s="40">
        <f t="shared" si="9"/>
        <v>0</v>
      </c>
      <c r="G5" s="40">
        <f t="shared" si="9"/>
        <v>2</v>
      </c>
      <c r="H5" s="37" t="str">
        <f>IFS(H3=FALSE,I1,H3&gt;H4,I3,H3&lt;H4,I4,H3=H4,CONCATENATE("Tie", I3, I4))</f>
        <v>Science Academy B</v>
      </c>
      <c r="I5" s="37" t="b">
        <f>IFS(H3&gt;H4,H3,H4&gt;H3,H4,H3=H4,H4)</f>
        <v>0</v>
      </c>
      <c r="J5" s="38"/>
      <c r="K5" s="17"/>
      <c r="L5" s="17"/>
      <c r="M5" s="17">
        <f>'Round Robin'!M19</f>
        <v>18</v>
      </c>
      <c r="N5" s="17">
        <f>'Round Robin'!L20</f>
        <v>84</v>
      </c>
      <c r="O5" s="35" t="s">
        <v>106</v>
      </c>
      <c r="P5" s="40">
        <f t="shared" ref="P5:S5" si="10">SUM(P2:P4)</f>
        <v>0</v>
      </c>
      <c r="Q5" s="40">
        <f t="shared" si="10"/>
        <v>4</v>
      </c>
      <c r="R5" s="40">
        <f t="shared" si="10"/>
        <v>6</v>
      </c>
      <c r="S5" s="40">
        <f t="shared" si="10"/>
        <v>2</v>
      </c>
      <c r="T5" s="37" t="str">
        <f>IFS(T3=FALSE,U1,T3&gt;T4,U3,T3&lt;T4,U4,T3=T4,CONCATENATE("Tie", U3, U4))</f>
        <v>Science Academy A</v>
      </c>
      <c r="U5" s="37" t="b">
        <f>IFS(T3&gt;T4,T3,T4&gt;T3,T4,T3=T4,T4)</f>
        <v>0</v>
      </c>
      <c r="V5" s="17"/>
      <c r="W5" s="17"/>
      <c r="X5" s="17"/>
      <c r="Y5" s="17"/>
      <c r="Z5" s="17"/>
      <c r="AA5" s="17"/>
      <c r="AB5" s="17"/>
      <c r="AC5" s="17"/>
      <c r="AD5" s="17"/>
    </row>
    <row r="6">
      <c r="A6" s="17">
        <f>'Round Robin'!F19</f>
        <v>120</v>
      </c>
      <c r="B6" s="17">
        <f>'Round Robin'!D21</f>
        <v>24</v>
      </c>
      <c r="C6" s="35" t="s">
        <v>107</v>
      </c>
      <c r="D6" s="17"/>
      <c r="E6" s="17"/>
      <c r="F6" s="17" t="str">
        <f>IF(OR(D5="",E5="",F5="",G5="",G4="",F4="",E4="",D4="",D3="",D2="",E3="",E2="",F3="",F2="",G3="",G2=""),"",IFNA(IFS(AND(D7=E5,E1&lt;&gt;E7),'Round Robin'!D15,AND(D7=F5,F1&lt;&gt;E7),'Round Robin'!E15,AND(D7=G5,G1&lt;&gt;E7),'Round Robin'!F15),""))</f>
        <v/>
      </c>
      <c r="G6" s="17" t="str">
        <f>IF(OR(D5="",E5="",F5="",G5="",G4="",F4="",E4="",D4="",D3="",D2="",E3="",E2="",F3="",F2="",G3="",G2=""),"",IFNA(IFS(AND(D7=F5,F1&lt;&gt;E7,F1&lt;&gt;F7),'Round Robin'!E15,AND(D7=G5,G1&lt;&gt;E7,G1&lt;&gt;F7),'Round Robin'!F15),""))</f>
        <v/>
      </c>
      <c r="H6" s="17"/>
      <c r="I6" s="17"/>
      <c r="J6" s="38"/>
      <c r="K6" s="17"/>
      <c r="L6" s="17"/>
      <c r="M6" s="17">
        <f>'Round Robin'!N19</f>
        <v>60</v>
      </c>
      <c r="N6" s="17">
        <f>'Round Robin'!L21</f>
        <v>56</v>
      </c>
      <c r="O6" s="35" t="s">
        <v>107</v>
      </c>
      <c r="P6" s="17"/>
      <c r="Q6" s="17"/>
      <c r="R6" s="37" t="str">
        <f>IF(OR(P5="",Q5="",R5="",S5="",S4="",R4="",Q4="",P4="",P3="",P2="",Q3="",Q2="",R3="",R2="",S3="",S2=""),"",IFNA(IFS(AND(P7=Q5,Q1&lt;&gt;Q7),Q1,AND(P7=R5,R1&lt;&gt;Q7),R1,AND(P7=S5,S1&lt;&gt;Q7),S1),""))</f>
        <v/>
      </c>
      <c r="S6" s="37" t="str">
        <f>IF(OR(P5="",Q5="",R5="",S5="",S4="",R4="",Q4="",P4="",P3="",P2="",Q3="",Q2="",R3="",R2="",S3="",S2=""),"",IFNA(IFS(AND(P7=R5,R1&lt;&gt;Q7,R1&lt;&gt;R7),R1,AND(P7=S5,S1&lt;&gt;Q7,S1&lt;&gt;R7),S1),""))</f>
        <v/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7">
        <f>'Round Robin'!F20</f>
        <v>2</v>
      </c>
      <c r="B7" s="17">
        <f>'Round Robin'!E21</f>
        <v>20</v>
      </c>
      <c r="C7" s="35" t="s">
        <v>108</v>
      </c>
      <c r="D7" s="40">
        <f>MAX(D5:G5)</f>
        <v>6</v>
      </c>
      <c r="E7" s="17" t="str">
        <f>IF(OR(D5="",E5="",F5="",G5="",G4="",F4="",E4="",D4="",D3="",D2="",E3="",E2="",F3="",F2="",G3="",G2=""),"",IFS(D7=D5,'Round Robin'!C15,D7=E5,'Round Robin'!D15,D7=F5,'Round Robin'!E15,D7=G5,'Round Robin'!F15))</f>
        <v>Interlakeside</v>
      </c>
      <c r="F7" s="17" t="str">
        <f>IF(AND(F6&lt;&gt;E7),F6,"")</f>
        <v/>
      </c>
      <c r="G7" s="17" t="str">
        <f>IF(AND(G6&lt;&gt;E7,G6&lt;&gt;F7),G6,"")</f>
        <v/>
      </c>
      <c r="H7" s="17"/>
      <c r="I7" s="17"/>
      <c r="J7" s="38"/>
      <c r="K7" s="17"/>
      <c r="L7" s="17"/>
      <c r="M7" s="17">
        <f>'Round Robin'!N20</f>
        <v>144</v>
      </c>
      <c r="N7" s="17">
        <f>'Round Robin'!M21</f>
        <v>-12</v>
      </c>
      <c r="O7" s="35" t="s">
        <v>108</v>
      </c>
      <c r="P7" s="40">
        <f>MAX(P5:S5)</f>
        <v>6</v>
      </c>
      <c r="Q7" s="17" t="str">
        <f>IF(OR(P5="",Q5="",R5="",S5="",S4="",R4="",Q4="",P4="",P3="",P2="",Q3="",Q2="",R3="",R2="",S3="",S2=""),"",IFS(P7=P5,'Round Robin'!K15,P7=Q5,'Round Robin'!L15,P7=R5,'Round Robin'!M15,P7=S5,'Round Robin'!N15))</f>
        <v>Montgomery Blair HS</v>
      </c>
      <c r="R7" s="17" t="str">
        <f>IF(R6&lt;&gt;Q7,R6,"")</f>
        <v/>
      </c>
      <c r="S7" s="17" t="str">
        <f>IF(AND(S6&lt;&gt;Q7,S6&lt;&gt;R7),S6,"")</f>
        <v/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7"/>
      <c r="B8" s="17"/>
      <c r="C8" s="17"/>
      <c r="D8" s="17" t="str">
        <f t="shared" ref="D8:G8" si="11">D1</f>
        <v>Interlakeside</v>
      </c>
      <c r="E8" s="17" t="str">
        <f t="shared" si="11"/>
        <v>Mission San Jose</v>
      </c>
      <c r="F8" s="17" t="str">
        <f t="shared" si="11"/>
        <v>Sharon HS</v>
      </c>
      <c r="G8" s="41" t="str">
        <f t="shared" si="11"/>
        <v>Science Academy B</v>
      </c>
      <c r="H8" s="17"/>
      <c r="I8" s="17"/>
      <c r="J8" s="38"/>
      <c r="K8" s="17"/>
      <c r="L8" s="17"/>
      <c r="M8" s="17"/>
      <c r="N8" s="17"/>
      <c r="O8" s="17"/>
      <c r="P8" s="17" t="str">
        <f t="shared" ref="P8:S8" si="12">P1</f>
        <v>Amador Valley B</v>
      </c>
      <c r="Q8" s="17" t="str">
        <f t="shared" si="12"/>
        <v>Buchholz B</v>
      </c>
      <c r="R8" s="17" t="str">
        <f t="shared" si="12"/>
        <v>Montgomery Blair HS</v>
      </c>
      <c r="S8" s="41" t="str">
        <f t="shared" si="12"/>
        <v>Science Academy A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42">
        <f>HLOOKUP(E7,D8:G9,2,FALSE)</f>
        <v>122.67</v>
      </c>
      <c r="B9" s="43" t="str">
        <f>IFERROR(HLOOKUP(F7,D8:G9,2,FALSE),"")</f>
        <v/>
      </c>
      <c r="C9" s="43" t="str">
        <f>IFERROR(HLOOKUP(G7,E8:L9,2,FALSE),"")</f>
        <v/>
      </c>
      <c r="D9" s="44">
        <f>'Round Robin'!G18</f>
        <v>122.67</v>
      </c>
      <c r="E9" s="43">
        <f>'Round Robin'!G19</f>
        <v>88</v>
      </c>
      <c r="F9" s="43">
        <f>'Round Robin'!G20</f>
        <v>11.33</v>
      </c>
      <c r="G9" s="43">
        <f>'Round Robin'!G21</f>
        <v>22</v>
      </c>
      <c r="H9" s="17"/>
      <c r="I9" s="17"/>
      <c r="J9" s="38"/>
      <c r="K9" s="17"/>
      <c r="L9" s="17"/>
      <c r="M9" s="42">
        <f>HLOOKUP(Q7,P8:S9,2,FALSE)</f>
        <v>114</v>
      </c>
      <c r="N9" s="43" t="str">
        <f t="shared" ref="N9:O9" si="13">IFERROR(HLOOKUP(R7,P8:S9,2,FALSE),"")</f>
        <v/>
      </c>
      <c r="O9" s="43" t="str">
        <f t="shared" si="13"/>
        <v/>
      </c>
      <c r="P9" s="44">
        <f>'Round Robin'!O18</f>
        <v>40</v>
      </c>
      <c r="Q9" s="43">
        <f>'Round Robin'!O19</f>
        <v>46</v>
      </c>
      <c r="R9" s="43">
        <f>'Round Robin'!O20</f>
        <v>114</v>
      </c>
      <c r="S9" s="43">
        <f>'Round Robin'!O21</f>
        <v>32.67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42">
        <f>MAX(A9:C9)</f>
        <v>122.67</v>
      </c>
      <c r="B10" s="43" t="str">
        <f>IFNA(HLOOKUP(A10,D9:G10,2,FALSE),"Cayuga #1")</f>
        <v>Interlakeside</v>
      </c>
      <c r="C10" s="43"/>
      <c r="D10" s="43" t="str">
        <f t="shared" ref="D10:G10" si="14">D1</f>
        <v>Interlakeside</v>
      </c>
      <c r="E10" s="43" t="str">
        <f t="shared" si="14"/>
        <v>Mission San Jose</v>
      </c>
      <c r="F10" s="43" t="str">
        <f t="shared" si="14"/>
        <v>Sharon HS</v>
      </c>
      <c r="G10" s="45" t="str">
        <f t="shared" si="14"/>
        <v>Science Academy B</v>
      </c>
      <c r="H10" s="17"/>
      <c r="I10" s="17"/>
      <c r="J10" s="38"/>
      <c r="K10" s="17"/>
      <c r="L10" s="17"/>
      <c r="M10" s="42">
        <f>MAX(M9:O9)</f>
        <v>114</v>
      </c>
      <c r="N10" s="43" t="str">
        <f>IFNA(HLOOKUP(M10,P9:S10,2,FALSE),"Seneca #1")</f>
        <v>Montgomery Blair HS</v>
      </c>
      <c r="O10" s="43"/>
      <c r="P10" s="43" t="str">
        <f t="shared" ref="P10:S10" si="15">P1</f>
        <v>Amador Valley B</v>
      </c>
      <c r="Q10" s="43" t="str">
        <f t="shared" si="15"/>
        <v>Buchholz B</v>
      </c>
      <c r="R10" s="43" t="str">
        <f t="shared" si="15"/>
        <v>Montgomery Blair HS</v>
      </c>
      <c r="S10" s="45" t="str">
        <f t="shared" si="15"/>
        <v>Science Academy A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37"/>
      <c r="B11" s="37"/>
      <c r="C11" s="37"/>
      <c r="D11" s="37"/>
      <c r="E11" s="37"/>
      <c r="F11" s="37" t="str">
        <f>IF(OR(D2="",E2="",F2="",G2="",G3="",F3="",E3="",D3="",D4="",D5="",E4="",E5="",F4="",F5="",G4="",G5=""),"",IFNA(IFS(AND(D12=E5,E1&lt;&gt;E12),E1,AND(D12=F5,F1&lt;&gt;E12),F1,AND(D12=G5,G1&lt;&gt;E12),G1),""))</f>
        <v/>
      </c>
      <c r="G11" s="37" t="str">
        <f>IF(OR(D2="",E2="",F2="",G2="",G3="",F3="",E3="",D3="",D4="",D5="",E4="",E5="",F4="",F5="",G4="",G5=""),"",IFNA(IFS(AND(D12=E5,E1&lt;&gt;E12,E1&lt;&gt;F12),E1,AND(D12=F5,F1&lt;&gt;E12,F1&lt;&gt;F12),F1,AND(D12=G5,G1&lt;&gt;E12,G1&lt;&gt;F12),G1),""))</f>
        <v/>
      </c>
      <c r="H11" s="43" t="str">
        <f>IF(OR(E5="",F5="",G5="",H5="",H4="",G4="",F4="",E4="",E3="",E2="",F3="",F2="",G3="",G2="",H3="",H2=""),"",IFNA(IFS(E7=F5,'Round Robin'!A15,E7=G5,'Round Robin'!B15,E7=H5,'Round Robin'!C15),""))</f>
        <v/>
      </c>
      <c r="I11" s="17"/>
      <c r="J11" s="38"/>
      <c r="K11" s="17"/>
      <c r="L11" s="17"/>
      <c r="M11" s="37"/>
      <c r="N11" s="37"/>
      <c r="O11" s="37"/>
      <c r="P11" s="37"/>
      <c r="Q11" s="37"/>
      <c r="R11" s="37" t="str">
        <f>IF(OR(P2="",Q2="",R2="",S2="",S3="",R3="",Q3="",P3="",P4="",P5="",Q4="",Q5="",R4="",R5="",S4="",S5=""),"",IFNA(IFS(AND(P12=Q5,Q1&lt;&gt;Q12),Q1,AND(P12=R5,R1&lt;&gt;Q12),R1,AND(P12=S5,S1&lt;&gt;Q12),S1),""))</f>
        <v/>
      </c>
      <c r="S11" s="37" t="str">
        <f>IF(OR(P2="",Q2="",R2="",S2="",S3="",R3="",Q3="",P3="",P4="",P5="",Q4="",Q5="",R4="",R5="",S4="",S5=""),"",IFNA(IFS(AND(P12=Q5,Q1&lt;&gt;Q12,Q1&lt;&gt;R12),Q1,AND(P12=R5,R1&lt;&gt;Q12,R1&lt;&gt;R12),R1,AND(P12=S5,S1&lt;&gt;Q12,S1&lt;&gt;R12),S1),""))</f>
        <v/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37"/>
      <c r="B12" s="37"/>
      <c r="C12" s="37"/>
      <c r="D12" s="36">
        <f>LARGE(D5:G5,2)</f>
        <v>4</v>
      </c>
      <c r="E12" s="37" t="str">
        <f>IF(OR(D5="",E5="",F5="",G5="",G4="",F4="",E4="",D4="",D3="",D2="",E3="",E2="",F3="",F2="",G3="",G2=""),"",IFS(AND(D12=D5,D1&lt;&gt;B10),D1,AND(D12=E5,E1&lt;&gt;B10),E1,AND(D12=F5,F1&lt;&gt;B10),F1,AND(D12=G5,G1&lt;&gt;B10),G1))</f>
        <v>Mission San Jose</v>
      </c>
      <c r="F12" s="37" t="str">
        <f>IF(AND(F11&lt;&gt;E12,F11&lt;&gt;B10),F11,"")</f>
        <v/>
      </c>
      <c r="G12" s="37" t="str">
        <f>IF(AND(G11&lt;&gt;E12,G11&lt;&gt;F12,G11&lt;&gt;B10),G11,"")</f>
        <v/>
      </c>
      <c r="H12" s="17"/>
      <c r="I12" s="17"/>
      <c r="J12" s="38"/>
      <c r="K12" s="17"/>
      <c r="L12" s="17"/>
      <c r="M12" s="37"/>
      <c r="N12" s="37"/>
      <c r="O12" s="37"/>
      <c r="P12" s="36">
        <f>LARGE(P5:S5,2)</f>
        <v>4</v>
      </c>
      <c r="Q12" s="37" t="str">
        <f>IF(OR(P5="",Q5="",R5="",S5="",S4="",R4="",Q4="",P4="",P3="",P2="",Q3="",Q2="",R3="",R2="",S3="",S2=""),"",IFS(AND(P12=P5,P1&lt;&gt;N10),P1,AND(P12=Q5,Q1&lt;&gt;N10),Q1,AND(P12=R5,R1&lt;&gt;N10),R1,AND(P12=S5,S1&lt;&gt;N10),S1))</f>
        <v>Buchholz B</v>
      </c>
      <c r="R12" s="37" t="str">
        <f>IF(AND(R11&lt;&gt;Q12,R11&lt;&gt;N10),R11,"")</f>
        <v/>
      </c>
      <c r="S12" s="37" t="str">
        <f>IF(AND(S11&lt;&gt;Q12,S11&lt;&gt;R12,S11&lt;&gt;N10),S11,"")</f>
        <v/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36">
        <f>MAX(E13:G13)</f>
        <v>88</v>
      </c>
      <c r="B13" s="37" t="str">
        <f>IFNA(HLOOKUP(A13,D9:G10,2,FALSE),"Cayuga #2")</f>
        <v>Mission San Jose</v>
      </c>
      <c r="C13" s="37"/>
      <c r="D13" s="37"/>
      <c r="E13" s="37">
        <f>IFNA(HLOOKUP(E12,D8:G9,2,FALSE),)</f>
        <v>88</v>
      </c>
      <c r="F13" s="37" t="str">
        <f>IFNA(HLOOKUP(F12,D8:G9,2,FALSE),)</f>
        <v/>
      </c>
      <c r="G13" s="37" t="str">
        <f>IFNA(HLOOKUP(G12,D8:G9,2,FALSE),)</f>
        <v/>
      </c>
      <c r="H13" s="17"/>
      <c r="I13" s="17"/>
      <c r="J13" s="38"/>
      <c r="K13" s="17"/>
      <c r="L13" s="17"/>
      <c r="M13" s="36">
        <f>MAX(Q13:S13)</f>
        <v>46</v>
      </c>
      <c r="N13" s="37" t="str">
        <f>IFNA(HLOOKUP(M13,P9:S10,2,FALSE),"Seneca #2")</f>
        <v>Buchholz B</v>
      </c>
      <c r="O13" s="37"/>
      <c r="P13" s="37"/>
      <c r="Q13" s="37">
        <f>IFNA(HLOOKUP(Q12,P8:S9,2,FALSE),)</f>
        <v>46</v>
      </c>
      <c r="R13" s="37" t="str">
        <f>IFNA(HLOOKUP(R12,P8:S9,2,FALSE),)</f>
        <v/>
      </c>
      <c r="S13" s="37" t="str">
        <f>IFNA(HLOOKUP(S12,P8:S9,2,FALSE),)</f>
        <v/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37"/>
      <c r="B14" s="37"/>
      <c r="C14" s="37"/>
      <c r="D14" s="37"/>
      <c r="E14" s="37" t="str">
        <f t="shared" ref="E14:G14" si="16">E12</f>
        <v>Mission San Jose</v>
      </c>
      <c r="F14" s="37" t="str">
        <f t="shared" si="16"/>
        <v/>
      </c>
      <c r="G14" s="37" t="str">
        <f t="shared" si="16"/>
        <v/>
      </c>
      <c r="H14" s="17"/>
      <c r="I14" s="17"/>
      <c r="J14" s="38"/>
      <c r="K14" s="17"/>
      <c r="L14" s="17"/>
      <c r="M14" s="37"/>
      <c r="N14" s="37"/>
      <c r="O14" s="37"/>
      <c r="P14" s="37"/>
      <c r="Q14" s="37" t="str">
        <f t="shared" ref="Q14:S14" si="17">Q12</f>
        <v>Buchholz B</v>
      </c>
      <c r="R14" s="37" t="str">
        <f t="shared" si="17"/>
        <v/>
      </c>
      <c r="S14" s="37" t="str">
        <f t="shared" si="17"/>
        <v/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46" t="s">
        <v>109</v>
      </c>
      <c r="B15" s="37" t="str">
        <f>B10</f>
        <v>Interlakeside</v>
      </c>
      <c r="C15" s="46" t="s">
        <v>110</v>
      </c>
      <c r="D15" s="37" t="str">
        <f>B13</f>
        <v>Mission San Jose</v>
      </c>
      <c r="E15" s="46" t="s">
        <v>111</v>
      </c>
      <c r="F15" s="37" t="str">
        <f>IF(D15="Cayuga #2","Cayuga #3",H5)</f>
        <v>Science Academy B</v>
      </c>
      <c r="G15" s="37"/>
      <c r="H15" s="17"/>
      <c r="I15" s="17"/>
      <c r="J15" s="38"/>
      <c r="K15" s="17"/>
      <c r="L15" s="17"/>
      <c r="M15" s="46" t="s">
        <v>109</v>
      </c>
      <c r="N15" s="37" t="str">
        <f>N10</f>
        <v>Montgomery Blair HS</v>
      </c>
      <c r="O15" s="46" t="s">
        <v>110</v>
      </c>
      <c r="P15" s="37" t="str">
        <f>N13</f>
        <v>Buchholz B</v>
      </c>
      <c r="Q15" s="46" t="s">
        <v>111</v>
      </c>
      <c r="R15" s="37" t="str">
        <f>IF(P15="Seneca #2","Seneca #3",T5)</f>
        <v>Science Academy A</v>
      </c>
      <c r="S15" s="3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7"/>
      <c r="B16" s="17"/>
      <c r="C16" s="17"/>
      <c r="D16" s="17"/>
      <c r="E16" s="17"/>
      <c r="F16" s="47">
        <f>HLOOKUP(F15,D8:G9,2,FALSE)</f>
        <v>22</v>
      </c>
      <c r="G16" s="17"/>
      <c r="H16" s="17"/>
      <c r="I16" s="17"/>
      <c r="J16" s="38"/>
      <c r="K16" s="17"/>
      <c r="L16" s="17"/>
      <c r="M16" s="17"/>
      <c r="N16" s="17"/>
      <c r="O16" s="17"/>
      <c r="P16" s="17"/>
      <c r="Q16" s="17"/>
      <c r="R16" s="47">
        <f>HLOOKUP(R15,P8:S9,2,FALSE)</f>
        <v>32.67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35" t="s">
        <v>30</v>
      </c>
      <c r="B18" s="17"/>
      <c r="C18" s="17"/>
      <c r="D18" s="35" t="str">
        <f>'Round Robin'!B29</f>
        <v>University HS</v>
      </c>
      <c r="E18" s="35" t="str">
        <f>'Round Robin'!B30</f>
        <v>Davidson Academy</v>
      </c>
      <c r="F18" s="35" t="str">
        <f>'Round Robin'!B31</f>
        <v>James S. Rickards HS</v>
      </c>
      <c r="G18" s="35" t="str">
        <f>'Round Robin'!B32</f>
        <v>Amador Valley A</v>
      </c>
      <c r="H18" s="36">
        <f>LARGE(D22:G22,3)</f>
        <v>2</v>
      </c>
      <c r="I18" s="37" t="str">
        <f>IFS(AND(H18=D22,D18&lt;&gt;B27,D18&lt;&gt;B30),D18,AND(H18=E22,E18&lt;&gt;B27,E18&lt;&gt;B30),E18,AND(H18=F22,F18&lt;&gt;B27,F18&lt;&gt;B30),F18,AND(H18=G22,G18&lt;&gt;B27,G18&lt;&gt;B30),G18)</f>
        <v>Amador Valley A</v>
      </c>
      <c r="J18" s="38"/>
      <c r="K18" s="17"/>
      <c r="L18" s="17"/>
      <c r="M18" s="35" t="s">
        <v>31</v>
      </c>
      <c r="N18" s="17"/>
      <c r="O18" s="17"/>
      <c r="P18" s="35" t="str">
        <f>'Round Robin'!J29</f>
        <v>Buchholz A</v>
      </c>
      <c r="Q18" s="35" t="str">
        <f>'Round Robin'!J30</f>
        <v>Foothill A</v>
      </c>
      <c r="R18" s="35" t="str">
        <f>'Round Robin'!J31</f>
        <v>Poolesville HS</v>
      </c>
      <c r="S18" s="35" t="str">
        <f>'Round Robin'!J32</f>
        <v>Venice HS</v>
      </c>
      <c r="T18" s="36">
        <f>LARGE(P22:S22,3)</f>
        <v>2</v>
      </c>
      <c r="U18" s="37" t="str">
        <f>IFS(AND(T18=P22,P18&lt;&gt;N27,P18&lt;&gt;N30),P18,AND(T18=Q22,Q18&lt;&gt;N27,Q18&lt;&gt;N30),Q18,AND(T18=R22,R18&lt;&gt;N27,R18&lt;&gt;N30),R18,AND(T18=S22,S18&lt;&gt;N27,S18&lt;&gt;N30),S18)</f>
        <v>Foothill A</v>
      </c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7">
        <f>'Round Robin'!D29</f>
        <v>106</v>
      </c>
      <c r="B19" s="17">
        <f>'Round Robin'!C30</f>
        <v>114</v>
      </c>
      <c r="C19" s="35" t="s">
        <v>90</v>
      </c>
      <c r="D19" s="17">
        <f t="shared" ref="D19:D21" si="18">IF(ISBLANK(A19),,IFS(A19&gt;B19,2,A19=B19,1,A19&lt;B19,0))</f>
        <v>0</v>
      </c>
      <c r="E19" s="17">
        <f>IF(ISBLANK(A19),,IFS(A19&gt;B19,0,A19=B19,1,A19&lt;B19,2))</f>
        <v>2</v>
      </c>
      <c r="F19" s="17">
        <f>IF(ISBLANK(A20),,IFS(A20&gt;B20,0,A20=B20,1,A20&lt;B20,2))</f>
        <v>0</v>
      </c>
      <c r="G19" s="17">
        <f>IF(ISBLANK(A21),,IFS(A21&gt;B21,0,A21=B21,1,A21&lt;B21,2))</f>
        <v>0</v>
      </c>
      <c r="H19" s="36">
        <f>LARGE(D22:G22,4)</f>
        <v>0</v>
      </c>
      <c r="I19" s="39" t="str">
        <f>IF(H19=H18,IFS(AND(H19=D22,D18&lt;&gt;B27,D18&lt;&gt;B30,D18&lt;&gt;I18),D18,AND(H19=E22,E18&lt;&gt;B27,E18&lt;&gt;B30,E18&lt;&gt;I18),E18,AND(H19=F22,F18&lt;&gt;B27,F18&lt;&gt;B30,F18&lt;&gt;I18),F18,AND(H19=G22,G18&lt;&gt;B27,G18&lt;&gt;B30,G18&lt;&gt;I18),G18),)</f>
        <v/>
      </c>
      <c r="J19" s="38"/>
      <c r="K19" s="17"/>
      <c r="L19" s="17"/>
      <c r="M19" s="17">
        <f>'Round Robin'!L29</f>
        <v>94</v>
      </c>
      <c r="N19" s="17">
        <f>'Round Robin'!K30</f>
        <v>74</v>
      </c>
      <c r="O19" s="35" t="s">
        <v>90</v>
      </c>
      <c r="P19" s="17">
        <f t="shared" ref="P19:P21" si="19">IF(ISBLANK(M19),,IFS(M19&gt;N19,2,M19=N19,1,M19&lt;N19,0))</f>
        <v>2</v>
      </c>
      <c r="Q19" s="17">
        <f>IF(ISBLANK(M19),,IFS(M19&gt;N19,0,M19=N19,1,M19&lt;N19,2))</f>
        <v>0</v>
      </c>
      <c r="R19" s="17">
        <f>IF(ISBLANK(M20),,IFS(M20&gt;N20,0,M20=N20,1,M20&lt;N20,2))</f>
        <v>2</v>
      </c>
      <c r="S19" s="17">
        <f>IF(ISBLANK(M21),,IFS(M21&gt;N21,0,M21=N21,1,M21&lt;N21,2))</f>
        <v>0</v>
      </c>
      <c r="T19" s="36">
        <f>LARGE(P22:S22,4)</f>
        <v>0</v>
      </c>
      <c r="U19" s="37" t="str">
        <f>IF(T19=T18,IFS(AND(T19=P22,P18&lt;&gt;N27,P18&lt;&gt;N30,P18&lt;&gt;U18),P18,AND(T19=Q22,Q18&lt;&gt;N27,Q18&lt;&gt;N30,Q18&lt;&gt;U18),Q18,AND(T19=R22,R18&lt;&gt;N27,R18&lt;&gt;N30,R18&lt;&gt;U18),R18,AND(T19=S22,S18&lt;&gt;N27,S18&lt;&gt;N30,S18&lt;&gt;U18),S18),)</f>
        <v/>
      </c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7">
        <f>'Round Robin'!E29</f>
        <v>130</v>
      </c>
      <c r="B20" s="17">
        <f>'Round Robin'!C31</f>
        <v>12</v>
      </c>
      <c r="C20" s="35" t="s">
        <v>104</v>
      </c>
      <c r="D20" s="17">
        <f t="shared" si="18"/>
        <v>2</v>
      </c>
      <c r="E20" s="17">
        <f t="shared" ref="E20:E21" si="20">IF(ISBLANK(A22),,IFS(A22&gt;B22,2,A22=B22,1,A22&lt;B22,0))</f>
        <v>2</v>
      </c>
      <c r="F20" s="17">
        <f>IF(ISBLANK(A22),,IFS(A22&gt;B22,0,A22=B22,1,A22&lt;B22,2))</f>
        <v>0</v>
      </c>
      <c r="G20" s="17">
        <f t="shared" ref="G20:G21" si="21">IF(ISBLANK(A23),,IFS(A23&gt;B23,0,A23=B23,1,A23&lt;B23,2))</f>
        <v>0</v>
      </c>
      <c r="H20" s="37" t="b">
        <f>IF(H19=H18,HLOOKUP(I18,D25:G26,2,FALSE))</f>
        <v>0</v>
      </c>
      <c r="I20" s="37" t="str">
        <f t="shared" ref="I20:I21" si="22">I18</f>
        <v>Amador Valley A</v>
      </c>
      <c r="J20" s="38"/>
      <c r="K20" s="17"/>
      <c r="L20" s="17"/>
      <c r="M20" s="17">
        <f>'Round Robin'!M29</f>
        <v>12</v>
      </c>
      <c r="N20" s="17">
        <f>'Round Robin'!K31</f>
        <v>200</v>
      </c>
      <c r="O20" s="35" t="s">
        <v>104</v>
      </c>
      <c r="P20" s="17">
        <f t="shared" si="19"/>
        <v>0</v>
      </c>
      <c r="Q20" s="17">
        <f t="shared" ref="Q20:Q21" si="23">IF(ISBLANK(M22),,IFS(M22&gt;N22,2,M22=N22,1,M22&lt;N22,0))</f>
        <v>0</v>
      </c>
      <c r="R20" s="17">
        <f>IF(ISBLANK(M22),,IFS(M22&gt;N22,0,M22=N22,1,M22&lt;N22,2))</f>
        <v>2</v>
      </c>
      <c r="S20" s="17">
        <f t="shared" ref="S20:S21" si="24">IF(ISBLANK(M23),,IFS(M23&gt;N23,0,M23=N23,1,M23&lt;N23,2))</f>
        <v>0</v>
      </c>
      <c r="T20" s="37" t="b">
        <f>IF(T19=T18,HLOOKUP(U18,P25:S26,2,FALSE))</f>
        <v>0</v>
      </c>
      <c r="U20" s="37" t="str">
        <f t="shared" ref="U20:U21" si="25">U18</f>
        <v>Foothill A</v>
      </c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7">
        <f>'Round Robin'!F29</f>
        <v>100</v>
      </c>
      <c r="B21" s="17">
        <f>'Round Robin'!C32</f>
        <v>64</v>
      </c>
      <c r="C21" s="35" t="s">
        <v>105</v>
      </c>
      <c r="D21" s="17">
        <f t="shared" si="18"/>
        <v>2</v>
      </c>
      <c r="E21" s="17">
        <f t="shared" si="20"/>
        <v>2</v>
      </c>
      <c r="F21" s="17">
        <f>IF(ISBLANK(A24),,IFS(A24&gt;B24,2,A24=B24,1,A24&lt;B24,0))</f>
        <v>0</v>
      </c>
      <c r="G21" s="17">
        <f t="shared" si="21"/>
        <v>2</v>
      </c>
      <c r="H21" s="37" t="b">
        <f>IF(H19=H18,HLOOKUP(I19,D25:G26,2,FALSE))</f>
        <v>0</v>
      </c>
      <c r="I21" s="39" t="str">
        <f t="shared" si="22"/>
        <v/>
      </c>
      <c r="J21" s="38"/>
      <c r="K21" s="17"/>
      <c r="L21" s="17"/>
      <c r="M21" s="17">
        <f>'Round Robin'!N29</f>
        <v>76</v>
      </c>
      <c r="N21" s="17">
        <f>'Round Robin'!K32</f>
        <v>20</v>
      </c>
      <c r="O21" s="35" t="s">
        <v>105</v>
      </c>
      <c r="P21" s="17">
        <f t="shared" si="19"/>
        <v>2</v>
      </c>
      <c r="Q21" s="17">
        <f t="shared" si="23"/>
        <v>2</v>
      </c>
      <c r="R21" s="17">
        <f>IF(ISBLANK(M24),,IFS(M24&gt;N24,2,M24=N24,1,M24&lt;N24,0))</f>
        <v>2</v>
      </c>
      <c r="S21" s="17">
        <f t="shared" si="24"/>
        <v>0</v>
      </c>
      <c r="T21" s="37" t="b">
        <f>IF(T19=T18,HLOOKUP(U19,P25:S26,2,FALSE))</f>
        <v>0</v>
      </c>
      <c r="U21" s="37" t="str">
        <f t="shared" si="25"/>
        <v/>
      </c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7">
        <f>'Round Robin'!E30</f>
        <v>80</v>
      </c>
      <c r="B22" s="17">
        <f>'Round Robin'!D31</f>
        <v>28</v>
      </c>
      <c r="C22" s="35" t="s">
        <v>106</v>
      </c>
      <c r="D22" s="40">
        <f t="shared" ref="D22:G22" si="26">SUM(D19:D21)</f>
        <v>4</v>
      </c>
      <c r="E22" s="40">
        <f t="shared" si="26"/>
        <v>6</v>
      </c>
      <c r="F22" s="40">
        <f t="shared" si="26"/>
        <v>0</v>
      </c>
      <c r="G22" s="40">
        <f t="shared" si="26"/>
        <v>2</v>
      </c>
      <c r="H22" s="37" t="str">
        <f>IFS(H20=FALSE,I18,H20&gt;H21,I20,H20&lt;H21,I21,H20=H21,CONCATENATE("Tie", I20, I21))</f>
        <v>Amador Valley A</v>
      </c>
      <c r="I22" s="37" t="b">
        <f>IFS(H20&gt;H21,H20,H21&gt;H20,H21,H20=H21,H21)</f>
        <v>0</v>
      </c>
      <c r="J22" s="38"/>
      <c r="K22" s="17"/>
      <c r="L22" s="17"/>
      <c r="M22" s="17">
        <f>'Round Robin'!M30</f>
        <v>44</v>
      </c>
      <c r="N22" s="17">
        <f>'Round Robin'!L31</f>
        <v>88</v>
      </c>
      <c r="O22" s="35" t="s">
        <v>106</v>
      </c>
      <c r="P22" s="40">
        <f t="shared" ref="P22:S22" si="27">SUM(P19:P21)</f>
        <v>4</v>
      </c>
      <c r="Q22" s="40">
        <f t="shared" si="27"/>
        <v>2</v>
      </c>
      <c r="R22" s="40">
        <f t="shared" si="27"/>
        <v>6</v>
      </c>
      <c r="S22" s="40">
        <f t="shared" si="27"/>
        <v>0</v>
      </c>
      <c r="T22" s="37" t="str">
        <f>IFS(T20=FALSE,U18,T20&gt;T21,U20,T20&lt;T21,U21,T20=T21,CONCATENATE("Tie", U20, U21))</f>
        <v>Foothill A</v>
      </c>
      <c r="U22" s="37" t="b">
        <f>IFS(T20&gt;T21,T20,T21&gt;T20,T21,T20=T21,T21)</f>
        <v>0</v>
      </c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7">
        <f>'Round Robin'!F30</f>
        <v>104</v>
      </c>
      <c r="B23" s="17">
        <f>'Round Robin'!D32</f>
        <v>62</v>
      </c>
      <c r="C23" s="35" t="s">
        <v>107</v>
      </c>
      <c r="D23" s="17"/>
      <c r="E23" s="17"/>
      <c r="F23" s="17" t="str">
        <f>IF(OR(D22="",E22="",F22="",G22="",G21="",F21="",E21="",D21="",D20="",D19="",E20="",E19="",F20="",F19="",G20="",G19=""),"",IFNA(IFS(AND(D24=E22,E18&lt;&gt;E24),E18,AND(D24=F22,F18&lt;&gt;E24),F18,AND(D24=G22,G18&lt;&gt;E24),G18),""))</f>
        <v/>
      </c>
      <c r="G23" s="17" t="str">
        <f>IF(OR(D22="",E22="",F22="",G22="",G21="",F21="",E21="",D21="",D20="",D19="",E20="",E19="",F20="",F19="",G20="",G19=""),"",IFNA(IFS(AND(D24=F22,F18&lt;&gt;E24,F18&lt;&gt;F24),F18,AND(D24=G22,G18&lt;&gt;E24,G18&lt;&gt;F24),G18),""))</f>
        <v/>
      </c>
      <c r="H23" s="17"/>
      <c r="I23" s="17"/>
      <c r="J23" s="38"/>
      <c r="K23" s="17"/>
      <c r="L23" s="17"/>
      <c r="M23" s="17">
        <f>'Round Robin'!N30</f>
        <v>96</v>
      </c>
      <c r="N23" s="17">
        <f>'Round Robin'!L32</f>
        <v>44</v>
      </c>
      <c r="O23" s="35" t="s">
        <v>107</v>
      </c>
      <c r="P23" s="17"/>
      <c r="Q23" s="17"/>
      <c r="R23" s="37" t="str">
        <f>IF(OR(P22="",Q22="",R22="",S22="",S21="",R21="",Q21="",P21="",P20="",P19="",Q20="",Q19="",R20="",R19="",S20="",S19=""),"",IFNA(IFS(AND(P24=Q22,Q18&lt;&gt;Q24),Q18,AND(P24=R22,R18&lt;&gt;Q24),R18,AND(P24=S22,S18&lt;&gt;Q24),S18),""))</f>
        <v/>
      </c>
      <c r="S23" s="37" t="str">
        <f>IF(OR(P22="",Q22="",R22="",S22="",S21="",R21="",Q21="",P21="",P20="",P19="",Q20="",Q19="",R20="",R19="",S20="",S19=""),"",IFNA(IFS(AND(P24=R22,R18&lt;&gt;Q24,R18&lt;&gt;R24),R18,AND(P24=S22,S18&lt;&gt;Q24,S18&lt;&gt;R24),S18),""))</f>
        <v/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7">
        <f>'Round Robin'!F31</f>
        <v>44</v>
      </c>
      <c r="B24" s="17">
        <f>'Round Robin'!E32</f>
        <v>86</v>
      </c>
      <c r="C24" s="35" t="s">
        <v>108</v>
      </c>
      <c r="D24" s="40">
        <f>MAX(D22:G22)</f>
        <v>6</v>
      </c>
      <c r="E24" s="17" t="str">
        <f>IF(OR(D22="",E22="",F22="",G22="",G21="",F21="",E21="",D21="",D20="",D19="",E20="",E19="",F20="",F19="",G20="",G19=""),"",IFS(D24=D22,'Round Robin'!C26,D24=E22,'Round Robin'!D26,D24=F22,'Round Robin'!E26,D24=G22,'Round Robin'!F26))</f>
        <v>Davidson Academy</v>
      </c>
      <c r="F24" s="17" t="str">
        <f>IF(F23&lt;&gt;E24,F23,"")</f>
        <v/>
      </c>
      <c r="G24" s="17" t="str">
        <f>IF(AND(G23&lt;&gt;E24,G23&lt;&gt;F24),G23,"")</f>
        <v/>
      </c>
      <c r="H24" s="17"/>
      <c r="I24" s="17"/>
      <c r="J24" s="38"/>
      <c r="K24" s="17"/>
      <c r="L24" s="17"/>
      <c r="M24" s="17">
        <f>'Round Robin'!N31</f>
        <v>92</v>
      </c>
      <c r="N24" s="17">
        <f>'Round Robin'!M32</f>
        <v>34</v>
      </c>
      <c r="O24" s="35" t="s">
        <v>108</v>
      </c>
      <c r="P24" s="40">
        <f>MAX(P22:S22)</f>
        <v>6</v>
      </c>
      <c r="Q24" s="17" t="str">
        <f>IF(OR(P22="",Q22="",R22="",S22="",S21="",R21="",Q21="",P21="",P20="",P19="",Q20="",Q19="",R20="",R19="",S20="",S19=""),"",IFS(P24=P22,'Round Robin'!K26,P24=Q22,'Round Robin'!L26,P24=R22,'Round Robin'!M26,P24=S22,'Round Robin'!N26))</f>
        <v>Poolesville HS</v>
      </c>
      <c r="R24" s="17" t="str">
        <f>IF(R23&lt;&gt;Q24,R23,"")</f>
        <v/>
      </c>
      <c r="S24" s="17" t="str">
        <f>IF(AND(S23&lt;&gt;Q24,S23&lt;&gt;R24),S23,"")</f>
        <v/>
      </c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7"/>
      <c r="B25" s="17"/>
      <c r="C25" s="17"/>
      <c r="D25" s="17" t="str">
        <f t="shared" ref="D25:G25" si="28">D18</f>
        <v>University HS</v>
      </c>
      <c r="E25" s="17" t="str">
        <f t="shared" si="28"/>
        <v>Davidson Academy</v>
      </c>
      <c r="F25" s="17" t="str">
        <f t="shared" si="28"/>
        <v>James S. Rickards HS</v>
      </c>
      <c r="G25" s="17" t="str">
        <f t="shared" si="28"/>
        <v>Amador Valley A</v>
      </c>
      <c r="H25" s="17"/>
      <c r="I25" s="17"/>
      <c r="J25" s="38"/>
      <c r="K25" s="17"/>
      <c r="L25" s="17"/>
      <c r="M25" s="17"/>
      <c r="N25" s="17"/>
      <c r="O25" s="17"/>
      <c r="P25" s="17" t="str">
        <f t="shared" ref="P25:S25" si="29">P18</f>
        <v>Buchholz A</v>
      </c>
      <c r="Q25" s="17" t="str">
        <f t="shared" si="29"/>
        <v>Foothill A</v>
      </c>
      <c r="R25" s="17" t="str">
        <f t="shared" si="29"/>
        <v>Poolesville HS</v>
      </c>
      <c r="S25" s="17" t="str">
        <f t="shared" si="29"/>
        <v>Venice HS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42">
        <f>HLOOKUP(E24,D25:G26,2,FALSE)</f>
        <v>99.33</v>
      </c>
      <c r="B26" s="43" t="str">
        <f>IFERROR(HLOOKUP(F24,D25:G26,2,FALSE),"")</f>
        <v/>
      </c>
      <c r="C26" s="43" t="str">
        <f>IFERROR(HLOOKUP(G24,E25:L26,2,FALSE),"")</f>
        <v/>
      </c>
      <c r="D26" s="44">
        <f>'Round Robin'!G29</f>
        <v>112</v>
      </c>
      <c r="E26" s="43">
        <f>'Round Robin'!G30</f>
        <v>99.33</v>
      </c>
      <c r="F26" s="43">
        <f>'Round Robin'!G31</f>
        <v>28</v>
      </c>
      <c r="G26" s="43">
        <f>'Round Robin'!G32</f>
        <v>70.67</v>
      </c>
      <c r="H26" s="17"/>
      <c r="I26" s="17"/>
      <c r="J26" s="38"/>
      <c r="K26" s="17"/>
      <c r="L26" s="17"/>
      <c r="M26" s="42">
        <f>HLOOKUP(Q24,P25:S26,2,FALSE)</f>
        <v>126.67</v>
      </c>
      <c r="N26" s="43" t="str">
        <f t="shared" ref="N26:O26" si="30">IFERROR(HLOOKUP(R24,P25:S26,2,FALSE),"")</f>
        <v/>
      </c>
      <c r="O26" s="43" t="str">
        <f t="shared" si="30"/>
        <v/>
      </c>
      <c r="P26" s="44">
        <f>'Round Robin'!O29</f>
        <v>60.67</v>
      </c>
      <c r="Q26" s="43">
        <f>'Round Robin'!O30</f>
        <v>71.33</v>
      </c>
      <c r="R26" s="43">
        <f>'Round Robin'!O31</f>
        <v>126.67</v>
      </c>
      <c r="S26" s="43">
        <f>'Round Robin'!O32</f>
        <v>32.67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42">
        <f>MAX(A26:C26)</f>
        <v>99.33</v>
      </c>
      <c r="B27" s="43" t="str">
        <f>IFNA(HLOOKUP(A27,D26:G27,2,FALSE),"Onondaga #1")</f>
        <v>Davidson Academy</v>
      </c>
      <c r="C27" s="43"/>
      <c r="D27" s="43" t="str">
        <f t="shared" ref="D27:G27" si="31">D18</f>
        <v>University HS</v>
      </c>
      <c r="E27" s="43" t="str">
        <f t="shared" si="31"/>
        <v>Davidson Academy</v>
      </c>
      <c r="F27" s="43" t="str">
        <f t="shared" si="31"/>
        <v>James S. Rickards HS</v>
      </c>
      <c r="G27" s="43" t="str">
        <f t="shared" si="31"/>
        <v>Amador Valley A</v>
      </c>
      <c r="H27" s="17"/>
      <c r="I27" s="17"/>
      <c r="J27" s="38"/>
      <c r="K27" s="17"/>
      <c r="L27" s="17"/>
      <c r="M27" s="42">
        <f>MAX(M26:O26)</f>
        <v>126.67</v>
      </c>
      <c r="N27" s="43" t="str">
        <f>IFNA(HLOOKUP(M27,P26:S27,2,FALSE),"Oneida #1")</f>
        <v>Poolesville HS</v>
      </c>
      <c r="O27" s="43"/>
      <c r="P27" s="43" t="str">
        <f t="shared" ref="P27:S27" si="32">P18</f>
        <v>Buchholz A</v>
      </c>
      <c r="Q27" s="43" t="str">
        <f t="shared" si="32"/>
        <v>Foothill A</v>
      </c>
      <c r="R27" s="43" t="str">
        <f t="shared" si="32"/>
        <v>Poolesville HS</v>
      </c>
      <c r="S27" s="43" t="str">
        <f t="shared" si="32"/>
        <v>Venice HS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37"/>
      <c r="B28" s="37"/>
      <c r="C28" s="37"/>
      <c r="D28" s="37"/>
      <c r="E28" s="37"/>
      <c r="F28" s="37" t="str">
        <f>IF(OR(D19="",E19="",F19="",G19="",G20="",F20="",E20="",D20="",D21="",D22="",E21="",E22="",F21="",F22="",G21="",G22=""),"",IFNA(IFS(AND(D29=E22,E18&lt;&gt;E29),E18,AND(D29=F22,F18&lt;&gt;E29),F18,AND(D29=G22,G18&lt;&gt;E29),G18),""))</f>
        <v/>
      </c>
      <c r="G28" s="37" t="str">
        <f>IF(OR(D19="",E19="",F19="",G19="",G20="",F20="",E20="",D20="",D21="",D22="",E21="",E22="",F21="",F22="",G21="",G22=""),"",IFNA(IFS(AND(D29=E22,E18&lt;&gt;E29,E18&lt;&gt;F29),E18,AND(D29=F22,F18&lt;&gt;E29,F18&lt;&gt;F29),F18,AND(D29=G22,G18&lt;&gt;E29,G18&lt;&gt;F29),G18),""))</f>
        <v/>
      </c>
      <c r="H28" s="17"/>
      <c r="I28" s="17"/>
      <c r="J28" s="38"/>
      <c r="K28" s="17"/>
      <c r="L28" s="17"/>
      <c r="M28" s="37"/>
      <c r="N28" s="37"/>
      <c r="O28" s="37"/>
      <c r="P28" s="37"/>
      <c r="Q28" s="37"/>
      <c r="R28" s="37" t="str">
        <f>IF(OR(P19="",Q19="",R19="",S19="",S20="",R20="",Q20="",P20="",P21="",P22="",Q21="",Q22="",R21="",R22="",S21="",S22=""),"",IFNA(IFS(AND(P29=Q22,Q18&lt;&gt;Q29),Q18,AND(P29=R22,R18&lt;&gt;Q29),R18,AND(P29=S22,S18&lt;&gt;Q29),S18),""))</f>
        <v/>
      </c>
      <c r="S28" s="37" t="str">
        <f>IF(OR(P19="",Q19="",R19="",S19="",S20="",R20="",Q20="",P20="",P21="",P22="",Q21="",Q22="",R21="",R22="",S21="",S22=""),"",IFNA(IFS(AND(P29=Q22,Q18&lt;&gt;Q29,Q18&lt;&gt;R29),Q18,AND(P29=R22,R18&lt;&gt;Q29,R18&lt;&gt;R29),R18,AND(P29=S22,S18&lt;&gt;Q29,S18&lt;&gt;R29),S18),""))</f>
        <v/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37"/>
      <c r="B29" s="37"/>
      <c r="C29" s="37"/>
      <c r="D29" s="36">
        <f>LARGE(D22:G22,2)</f>
        <v>4</v>
      </c>
      <c r="E29" s="37" t="str">
        <f>IF(OR(D22="",E22="",F22="",G22="",G21="",F21="",E21="",D21="",D20="",D19="",E20="",E19="",F20="",F19="",G20="",G19=""),"",IFS(AND(D29=D22,D18&lt;&gt;B27),D18,AND(D29=E22,E18&lt;&gt;B27),E18,AND(D29=F22,F18&lt;&gt;B27),F18,AND(D29=G22,G18&lt;&gt;B27),G18))</f>
        <v>University HS</v>
      </c>
      <c r="F29" s="37" t="str">
        <f>IF(AND(F28&lt;&gt;E29,F28&lt;&gt;B27),F28,"")</f>
        <v/>
      </c>
      <c r="G29" s="37" t="str">
        <f>IF(AND(G28&lt;&gt;E29,G28&lt;&gt;F29,G28&lt;&gt;B27),G28,"")</f>
        <v/>
      </c>
      <c r="H29" s="17"/>
      <c r="I29" s="17"/>
      <c r="J29" s="38"/>
      <c r="K29" s="17"/>
      <c r="L29" s="17"/>
      <c r="M29" s="37"/>
      <c r="N29" s="37"/>
      <c r="O29" s="37"/>
      <c r="P29" s="36">
        <f>LARGE(P22:S22,2)</f>
        <v>4</v>
      </c>
      <c r="Q29" s="37" t="str">
        <f>IF(OR(P22="",Q22="",R22="",S22="",S21="",R21="",Q21="",P21="",P20="",P19="",Q20="",Q19="",R20="",R19="",S20="",S19=""),"",IFS(AND(P29=P22,P18&lt;&gt;N27),P18,AND(P29=Q22,Q18&lt;&gt;N27),Q18,AND(P29=R22,R18&lt;&gt;N27),R18,AND(P29=S22,S18&lt;&gt;N27),S18))</f>
        <v>Buchholz A</v>
      </c>
      <c r="R29" s="37" t="str">
        <f>IF(AND(R28&lt;&gt;Q29,R28&lt;&gt;N27),R28,"")</f>
        <v/>
      </c>
      <c r="S29" s="37" t="str">
        <f>IF(AND(S28&lt;&gt;Q29,S28&lt;&gt;R29,S28&lt;&gt;N27),S28,"")</f>
        <v/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36">
        <f>MAX(E30:G30)</f>
        <v>112</v>
      </c>
      <c r="B30" s="37" t="str">
        <f>IFNA(HLOOKUP(A30,D26:G27,2,FALSE),"Onondaga #2")</f>
        <v>University HS</v>
      </c>
      <c r="C30" s="37"/>
      <c r="D30" s="37"/>
      <c r="E30" s="37">
        <f>IFNA(HLOOKUP(E29,D25:G26,2,FALSE),)</f>
        <v>112</v>
      </c>
      <c r="F30" s="37" t="str">
        <f>IFNA(HLOOKUP(F29,D25:G26,2,FALSE),)</f>
        <v/>
      </c>
      <c r="G30" s="37" t="str">
        <f>IFNA(HLOOKUP(G29,D25:G26,2,FALSE),)</f>
        <v/>
      </c>
      <c r="H30" s="17"/>
      <c r="I30" s="17"/>
      <c r="J30" s="38"/>
      <c r="K30" s="17"/>
      <c r="L30" s="17"/>
      <c r="M30" s="36">
        <f>MAX(Q30:S30)</f>
        <v>60.67</v>
      </c>
      <c r="N30" s="37" t="str">
        <f>IFNA(HLOOKUP(M30,P26:S27,2,FALSE),"Oneida #2")</f>
        <v>Buchholz A</v>
      </c>
      <c r="O30" s="37"/>
      <c r="P30" s="37"/>
      <c r="Q30" s="37">
        <f>IFNA(HLOOKUP(Q29,P25:S26,2,FALSE),)</f>
        <v>60.67</v>
      </c>
      <c r="R30" s="37" t="str">
        <f>IFNA(HLOOKUP(R29,P25:S26,2,FALSE),)</f>
        <v/>
      </c>
      <c r="S30" s="37" t="str">
        <f>IFNA(HLOOKUP(S29,P25:S26,2,FALSE),)</f>
        <v/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37"/>
      <c r="B31" s="37"/>
      <c r="C31" s="37"/>
      <c r="D31" s="37"/>
      <c r="E31" s="37" t="str">
        <f t="shared" ref="E31:G31" si="33">E29</f>
        <v>University HS</v>
      </c>
      <c r="F31" s="37" t="str">
        <f t="shared" si="33"/>
        <v/>
      </c>
      <c r="G31" s="37" t="str">
        <f t="shared" si="33"/>
        <v/>
      </c>
      <c r="H31" s="17"/>
      <c r="I31" s="17"/>
      <c r="J31" s="38"/>
      <c r="K31" s="17"/>
      <c r="L31" s="17"/>
      <c r="M31" s="37"/>
      <c r="N31" s="37"/>
      <c r="O31" s="37"/>
      <c r="P31" s="37"/>
      <c r="Q31" s="37" t="str">
        <f t="shared" ref="Q31:S31" si="34">Q29</f>
        <v>Buchholz A</v>
      </c>
      <c r="R31" s="37" t="str">
        <f t="shared" si="34"/>
        <v/>
      </c>
      <c r="S31" s="37" t="str">
        <f t="shared" si="34"/>
        <v/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46" t="s">
        <v>109</v>
      </c>
      <c r="B32" s="37" t="str">
        <f>B27</f>
        <v>Davidson Academy</v>
      </c>
      <c r="C32" s="46" t="s">
        <v>110</v>
      </c>
      <c r="D32" s="37" t="str">
        <f>B30</f>
        <v>University HS</v>
      </c>
      <c r="E32" s="46" t="s">
        <v>111</v>
      </c>
      <c r="F32" s="37" t="str">
        <f>IF(D32="Onondaga #2","Onondaga #3",H22)</f>
        <v>Amador Valley A</v>
      </c>
      <c r="G32" s="37"/>
      <c r="H32" s="17"/>
      <c r="I32" s="17"/>
      <c r="J32" s="38"/>
      <c r="K32" s="17"/>
      <c r="L32" s="17"/>
      <c r="M32" s="46" t="s">
        <v>109</v>
      </c>
      <c r="N32" s="37" t="str">
        <f>N27</f>
        <v>Poolesville HS</v>
      </c>
      <c r="O32" s="46" t="s">
        <v>110</v>
      </c>
      <c r="P32" s="37" t="str">
        <f>N30</f>
        <v>Buchholz A</v>
      </c>
      <c r="Q32" s="46" t="s">
        <v>111</v>
      </c>
      <c r="R32" s="37" t="str">
        <f>IF(P32="Oneida #2","Oneida #3",T22)</f>
        <v>Foothill A</v>
      </c>
      <c r="S32" s="3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7"/>
      <c r="B33" s="17"/>
      <c r="C33" s="17"/>
      <c r="D33" s="17"/>
      <c r="E33" s="17"/>
      <c r="F33" s="47">
        <f>HLOOKUP(F32,D25:G26,2,FALSE)</f>
        <v>70.67</v>
      </c>
      <c r="G33" s="17"/>
      <c r="H33" s="17"/>
      <c r="I33" s="17"/>
      <c r="J33" s="38"/>
      <c r="K33" s="17"/>
      <c r="L33" s="17"/>
      <c r="M33" s="17"/>
      <c r="N33" s="17"/>
      <c r="O33" s="17"/>
      <c r="P33" s="17"/>
      <c r="Q33" s="17"/>
      <c r="R33" s="47">
        <f>HLOOKUP(R32,P25:S26,2,FALSE)</f>
        <v>71.33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35" t="s">
        <v>43</v>
      </c>
      <c r="B35" s="17"/>
      <c r="C35" s="17"/>
      <c r="D35" s="35" t="str">
        <f>'Round Robin'!B40</f>
        <v>CBA</v>
      </c>
      <c r="E35" s="35" t="str">
        <f>'Round Robin'!B41</f>
        <v>Enloe HS</v>
      </c>
      <c r="F35" s="35" t="str">
        <f>'Round Robin'!B42</f>
        <v>Iolani</v>
      </c>
      <c r="G35" s="35" t="str">
        <f>'Round Robin'!B43</f>
        <v>Poolesville B</v>
      </c>
      <c r="H35" s="36">
        <f>LARGE(D39:G39,3)</f>
        <v>3</v>
      </c>
      <c r="I35" s="37" t="str">
        <f>IFS(AND(H35=D39,D35&lt;&gt;B44,D35&lt;&gt;B47),D35,AND(H35=E39,E35&lt;&gt;B44,E35&lt;&gt;B47),E35,AND(H35=F39,F35&lt;&gt;B44,F35&lt;&gt;B47),F35,AND(H35=G39,G35&lt;&gt;B44,G35&lt;&gt;B47),G35)</f>
        <v>Poolesville B</v>
      </c>
      <c r="J35" s="38"/>
      <c r="K35" s="17"/>
      <c r="L35" s="17"/>
      <c r="M35" s="35" t="s">
        <v>44</v>
      </c>
      <c r="N35" s="17"/>
      <c r="O35" s="17"/>
      <c r="P35" s="35" t="str">
        <f>'Round Robin'!J40</f>
        <v>North Hollywood</v>
      </c>
      <c r="Q35" s="35" t="str">
        <f>'Round Robin'!J41</f>
        <v>Clements HS</v>
      </c>
      <c r="R35" s="35" t="str">
        <f>'Round Robin'!J42</f>
        <v>Foothill B</v>
      </c>
      <c r="S35" s="35" t="str">
        <f>'Round Robin'!J43</f>
        <v>Arcadia HS</v>
      </c>
      <c r="T35" s="36">
        <f>LARGE(P39:S39,3)</f>
        <v>4</v>
      </c>
      <c r="U35" s="37" t="str">
        <f>IFS(AND(T35=P39,P35&lt;&gt;N44,P35&lt;&gt;N47),P35,AND(T35=Q39,Q35&lt;&gt;N44,Q35&lt;&gt;N47),Q35,AND(T35=R39,R35&lt;&gt;N44,R35&lt;&gt;N47),R35,AND(T35=S39,S35&lt;&gt;N44,S35&lt;&gt;N47),S35)</f>
        <v>Foothill B</v>
      </c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7">
        <f>'Round Robin'!D40</f>
        <v>22</v>
      </c>
      <c r="B36" s="17">
        <f>'Round Robin'!C41</f>
        <v>52</v>
      </c>
      <c r="C36" s="35" t="s">
        <v>90</v>
      </c>
      <c r="D36" s="17">
        <f t="shared" ref="D36:D38" si="35">IF(ISBLANK(A36),,IFS(A36&gt;B36,2,A36=B36,1,A36&lt;B36,0))</f>
        <v>0</v>
      </c>
      <c r="E36" s="17">
        <f>IF(ISBLANK(A36),,IFS(A36&gt;B36,0,A36=B36,1,A36&lt;B36,2))</f>
        <v>2</v>
      </c>
      <c r="F36" s="17">
        <f>IF(ISBLANK(A37),,IFS(A37&gt;B37,0,A37=B37,1,A37&lt;B37,2))</f>
        <v>2</v>
      </c>
      <c r="G36" s="17">
        <f>IF(ISBLANK(A38),,IFS(A38&gt;B38,0,A38=B38,1,A38&lt;B38,2))</f>
        <v>2</v>
      </c>
      <c r="H36" s="36">
        <f>LARGE(D39:G39,4)</f>
        <v>0</v>
      </c>
      <c r="I36" s="37" t="str">
        <f>IF(H36=H35,IFS(AND(H36=D39,D35&lt;&gt;B44,D35&lt;&gt;B47,D35&lt;&gt;I35),D35,AND(H36=E39,E35&lt;&gt;B44,E35&lt;&gt;B47,E35&lt;&gt;I35),E35,AND(H36=F39,F35&lt;&gt;B44,F35&lt;&gt;B47,F35&lt;&gt;I35),F35,AND(H36=G39,G35&lt;&gt;B44,G35&lt;&gt;B47,G35&lt;&gt;I35),G35),)</f>
        <v/>
      </c>
      <c r="J36" s="38"/>
      <c r="K36" s="17"/>
      <c r="L36" s="17"/>
      <c r="M36" s="17">
        <f>'Round Robin'!L40</f>
        <v>90</v>
      </c>
      <c r="N36" s="17">
        <f>'Round Robin'!K41</f>
        <v>70</v>
      </c>
      <c r="O36" s="35" t="s">
        <v>90</v>
      </c>
      <c r="P36" s="17">
        <f t="shared" ref="P36:P38" si="36">IF(ISBLANK(M36),,IFS(M36&gt;N36,2,M36=N36,1,M36&lt;N36,0))</f>
        <v>2</v>
      </c>
      <c r="Q36" s="17">
        <f>IF(ISBLANK(M36),,IFS(M36&gt;N36,0,M36=N36,1,M36&lt;N36,2))</f>
        <v>0</v>
      </c>
      <c r="R36" s="17">
        <f>IF(ISBLANK(M37),,IFS(M37&gt;N37,0,M37=N37,1,M37&lt;N37,2))</f>
        <v>2</v>
      </c>
      <c r="S36" s="17">
        <f>IF(ISBLANK(M38),,IFS(M38&gt;N38,0,M38=N38,1,M38&lt;N38,2))</f>
        <v>0</v>
      </c>
      <c r="T36" s="36">
        <f>LARGE(P39:S39,4)</f>
        <v>0</v>
      </c>
      <c r="U36" s="37" t="str">
        <f>IF(T36=T35,IFS(AND(T36=P39,P35&lt;&gt;N44,P35&lt;&gt;N47,P35&lt;&gt;U35),P35,AND(T36=Q39,Q35&lt;&gt;N44,Q35&lt;&gt;N47,Q35&lt;&gt;U35),Q35,AND(T36=R39,R35&lt;&gt;N44,R35&lt;&gt;N47,R35&lt;&gt;U35),R35,AND(T36=S39,S35&lt;&gt;N44,S35&lt;&gt;N47,S35&lt;&gt;U35),S35),)</f>
        <v/>
      </c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7">
        <f>'Round Robin'!E40</f>
        <v>30</v>
      </c>
      <c r="B37" s="17">
        <f>'Round Robin'!C42</f>
        <v>94</v>
      </c>
      <c r="C37" s="35" t="s">
        <v>104</v>
      </c>
      <c r="D37" s="17">
        <f t="shared" si="35"/>
        <v>0</v>
      </c>
      <c r="E37" s="17">
        <f t="shared" ref="E37:E38" si="37">IF(ISBLANK(A39),,IFS(A39&gt;B39,2,A39=B39,1,A39&lt;B39,0))</f>
        <v>0</v>
      </c>
      <c r="F37" s="17">
        <f>IF(ISBLANK(A39),,IFS(A39&gt;B39,0,A39=B39,1,A39&lt;B39,2))</f>
        <v>2</v>
      </c>
      <c r="G37" s="17">
        <f t="shared" ref="G37:G38" si="38">IF(ISBLANK(A40),,IFS(A40&gt;B40,0,A40=B40,1,A40&lt;B40,2))</f>
        <v>1</v>
      </c>
      <c r="H37" s="37" t="b">
        <f>IF(H36=H35,HLOOKUP(I35,D42:G43,2,FALSE))</f>
        <v>0</v>
      </c>
      <c r="I37" s="37" t="str">
        <f t="shared" ref="I37:I38" si="39">I35</f>
        <v>Poolesville B</v>
      </c>
      <c r="J37" s="38"/>
      <c r="K37" s="17"/>
      <c r="L37" s="17"/>
      <c r="M37" s="17">
        <f>'Round Robin'!M40</f>
        <v>26</v>
      </c>
      <c r="N37" s="17">
        <f>'Round Robin'!K42</f>
        <v>30</v>
      </c>
      <c r="O37" s="35" t="s">
        <v>104</v>
      </c>
      <c r="P37" s="17">
        <f t="shared" si="36"/>
        <v>0</v>
      </c>
      <c r="Q37" s="17">
        <f t="shared" ref="Q37:Q38" si="40">IF(ISBLANK(M39),,IFS(M39&gt;N39,2,M39=N39,1,M39&lt;N39,0))</f>
        <v>2</v>
      </c>
      <c r="R37" s="17">
        <f>IF(ISBLANK(M39),,IFS(M39&gt;N39,0,M39=N39,1,M39&lt;N39,2))</f>
        <v>0</v>
      </c>
      <c r="S37" s="17">
        <f t="shared" ref="S37:S38" si="41">IF(ISBLANK(M40),,IFS(M40&gt;N40,0,M40=N40,1,M40&lt;N40,2))</f>
        <v>0</v>
      </c>
      <c r="T37" s="37" t="b">
        <f>IF(T36=T35,HLOOKUP(U35,P42:S43,2,FALSE))</f>
        <v>0</v>
      </c>
      <c r="U37" s="37" t="str">
        <f t="shared" ref="U37:U38" si="42">U35</f>
        <v>Foothill B</v>
      </c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7">
        <f>'Round Robin'!F40</f>
        <v>16</v>
      </c>
      <c r="B38" s="17">
        <f>'Round Robin'!C43</f>
        <v>62</v>
      </c>
      <c r="C38" s="35" t="s">
        <v>105</v>
      </c>
      <c r="D38" s="17">
        <f t="shared" si="35"/>
        <v>0</v>
      </c>
      <c r="E38" s="17">
        <f t="shared" si="37"/>
        <v>1</v>
      </c>
      <c r="F38" s="17">
        <f>IF(ISBLANK(A41),,IFS(A41&gt;B41,2,A41=B41,1,A41&lt;B41,0))</f>
        <v>2</v>
      </c>
      <c r="G38" s="17">
        <f t="shared" si="38"/>
        <v>0</v>
      </c>
      <c r="H38" s="37" t="b">
        <f>IF(H36=H35,HLOOKUP(I36,D42:G43,2,FALSE))</f>
        <v>0</v>
      </c>
      <c r="I38" s="37" t="str">
        <f t="shared" si="39"/>
        <v/>
      </c>
      <c r="J38" s="38"/>
      <c r="K38" s="17"/>
      <c r="L38" s="17"/>
      <c r="M38" s="17">
        <f>'Round Robin'!N40</f>
        <v>62</v>
      </c>
      <c r="N38" s="17">
        <f>'Round Robin'!K43</f>
        <v>30</v>
      </c>
      <c r="O38" s="35" t="s">
        <v>105</v>
      </c>
      <c r="P38" s="17">
        <f t="shared" si="36"/>
        <v>2</v>
      </c>
      <c r="Q38" s="17">
        <f t="shared" si="40"/>
        <v>2</v>
      </c>
      <c r="R38" s="17">
        <f>IF(ISBLANK(M41),,IFS(M41&gt;N41,2,M41=N41,1,M41&lt;N41,0))</f>
        <v>2</v>
      </c>
      <c r="S38" s="17">
        <f t="shared" si="41"/>
        <v>0</v>
      </c>
      <c r="T38" s="37" t="b">
        <f>IF(T36=T35,HLOOKUP(U36,P42:S43,2,FALSE))</f>
        <v>0</v>
      </c>
      <c r="U38" s="37" t="str">
        <f t="shared" si="42"/>
        <v/>
      </c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7">
        <f>'Round Robin'!E41</f>
        <v>40</v>
      </c>
      <c r="B39" s="17">
        <f>'Round Robin'!D42</f>
        <v>44</v>
      </c>
      <c r="C39" s="35" t="s">
        <v>106</v>
      </c>
      <c r="D39" s="40">
        <f t="shared" ref="D39:G39" si="43">SUM(D36:D38)</f>
        <v>0</v>
      </c>
      <c r="E39" s="40">
        <f t="shared" si="43"/>
        <v>3</v>
      </c>
      <c r="F39" s="40">
        <f t="shared" si="43"/>
        <v>6</v>
      </c>
      <c r="G39" s="40">
        <f t="shared" si="43"/>
        <v>3</v>
      </c>
      <c r="H39" s="37" t="str">
        <f>IFS(H37=FALSE,I35,H37&gt;H38,I37,H37&lt;H38,I38,H37=H38,CONCATENATE("Tie", I37, I38))</f>
        <v>Poolesville B</v>
      </c>
      <c r="I39" s="37" t="b">
        <f>IFS(H37&gt;H38,H37,H38&gt;H37,H38,H37=H38,H38)</f>
        <v>0</v>
      </c>
      <c r="J39" s="38"/>
      <c r="K39" s="17"/>
      <c r="L39" s="17"/>
      <c r="M39" s="17">
        <f>'Round Robin'!M41</f>
        <v>134</v>
      </c>
      <c r="N39" s="17">
        <f>'Round Robin'!L42</f>
        <v>16</v>
      </c>
      <c r="O39" s="35" t="s">
        <v>106</v>
      </c>
      <c r="P39" s="40">
        <f t="shared" ref="P39:S39" si="44">SUM(P36:P38)</f>
        <v>4</v>
      </c>
      <c r="Q39" s="40">
        <f t="shared" si="44"/>
        <v>4</v>
      </c>
      <c r="R39" s="40">
        <f t="shared" si="44"/>
        <v>4</v>
      </c>
      <c r="S39" s="40">
        <f t="shared" si="44"/>
        <v>0</v>
      </c>
      <c r="T39" s="37" t="str">
        <f>IFS(T37=FALSE,U35,T37&gt;T38,U37,T37&lt;T38,U38,T37=T38,CONCATENATE("Tie", U37, U38))</f>
        <v>Foothill B</v>
      </c>
      <c r="U39" s="37" t="b">
        <f>IFS(T37&gt;T38,T37,T38&gt;T37,T38,T37=T38,T38)</f>
        <v>0</v>
      </c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7">
        <f>'Round Robin'!F41</f>
        <v>28</v>
      </c>
      <c r="B40" s="17">
        <f>'Round Robin'!D43</f>
        <v>28</v>
      </c>
      <c r="C40" s="35" t="s">
        <v>107</v>
      </c>
      <c r="D40" s="17"/>
      <c r="E40" s="17"/>
      <c r="F40" s="17" t="str">
        <f>IF(OR(D39="",E39="",F39="",G39="",G38="",F38="",E38="",D38="",D37="",D36="",E37="",E36="",F37="",F36="",G37="",G36=""),"",IFNA(IFS(AND(D41=E39,E35&lt;&gt;E41),E35,AND(D41=F39,F35&lt;&gt;E41),F35,AND(D41=G39,G35&lt;&gt;E41),G35),""))</f>
        <v/>
      </c>
      <c r="G40" s="17" t="str">
        <f>IF(OR(D39="",E39="",F39="",G39="",G38="",F38="",E38="",D38="",D37="",D36="",E37="",E36="",F37="",F36="",G37="",G36=""),"",IFNA(IFS(AND(D41=F39,F35&lt;&gt;E41,F35&lt;&gt;F41),F35,AND(D41=G39,G35&lt;&gt;E41,G35&lt;&gt;F41),G35),""))</f>
        <v/>
      </c>
      <c r="H40" s="17"/>
      <c r="I40" s="17"/>
      <c r="J40" s="38"/>
      <c r="K40" s="17"/>
      <c r="L40" s="17"/>
      <c r="M40" s="17">
        <f>'Round Robin'!N41</f>
        <v>140</v>
      </c>
      <c r="N40" s="17">
        <f>'Round Robin'!L43</f>
        <v>26</v>
      </c>
      <c r="O40" s="35" t="s">
        <v>107</v>
      </c>
      <c r="P40" s="17"/>
      <c r="Q40" s="17"/>
      <c r="R40" s="37" t="str">
        <f>IF(OR(P39="",Q39="",R39="",S39="",S38="",R38="",Q38="",P38="",P37="",P36="",Q37="",Q36="",R37="",R36="",S37="",S36=""),"",IFNA(IFS(AND(P41=Q39,Q35&lt;&gt;Q41),Q35,AND(P41=R39,R35&lt;&gt;Q41),R35,AND(P41=S39,S35&lt;&gt;Q41),S35),""))</f>
        <v>Clements HS</v>
      </c>
      <c r="S40" s="37" t="str">
        <f>IF(OR(P39="",Q39="",R39="",S39="",S38="",R38="",Q38="",P38="",P37="",P36="",Q37="",Q36="",R37="",R36="",S37="",S36=""),"",IFNA(IFS(AND(P41=R39,R35&lt;&gt;Q41,R35&lt;&gt;R41),R35,AND(P41=S39,S35&lt;&gt;Q41,S35&lt;&gt;R41),S35),""))</f>
        <v>Foothill B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7">
        <f>'Round Robin'!F42</f>
        <v>76</v>
      </c>
      <c r="B41" s="17">
        <f>'Round Robin'!E43</f>
        <v>12</v>
      </c>
      <c r="C41" s="35" t="s">
        <v>108</v>
      </c>
      <c r="D41" s="40">
        <f>MAX(D39:G39)</f>
        <v>6</v>
      </c>
      <c r="E41" s="17" t="str">
        <f>IF(OR(D39="",E39="",F39="",G39="",G38="",F38="",E38="",D38="",D37="",D36="",E37="",E36="",F37="",F36="",G37="",G36=""),"",IFS(D41=D39,'Round Robin'!C37,D41=E39,'Round Robin'!D37,D41=F39,'Round Robin'!E37,D41=G39,'Round Robin'!F37))</f>
        <v>Iolani</v>
      </c>
      <c r="F41" s="17" t="str">
        <f>IF(F40&lt;&gt;E41,F40,"")</f>
        <v/>
      </c>
      <c r="G41" s="17" t="str">
        <f>IF(AND(G40&lt;&gt;E41,G40&lt;&gt;F41),G40,"")</f>
        <v/>
      </c>
      <c r="H41" s="17"/>
      <c r="I41" s="17"/>
      <c r="J41" s="38"/>
      <c r="K41" s="17"/>
      <c r="L41" s="17"/>
      <c r="M41" s="17">
        <f>'Round Robin'!N42</f>
        <v>72</v>
      </c>
      <c r="N41" s="17">
        <f>'Round Robin'!M43</f>
        <v>26</v>
      </c>
      <c r="O41" s="35" t="s">
        <v>108</v>
      </c>
      <c r="P41" s="40">
        <f>MAX(P39:S39)</f>
        <v>4</v>
      </c>
      <c r="Q41" s="17" t="str">
        <f>IF(OR(P39="",Q39="",R39="",S39="",S38="",R38="",Q38="",P38="",P37="",P36="",Q37="",Q36="",R37="",R36="",S37="",S36=""),"",IFS(P41=P39,'Round Robin'!K37,P41=Q39,'Round Robin'!L37,P41=R39,'Round Robin'!M37,P41=S39,'Round Robin'!N37))</f>
        <v>North Hollywood</v>
      </c>
      <c r="R41" s="17" t="str">
        <f>IF(R40&lt;&gt;Q41,R40,"")</f>
        <v>Clements HS</v>
      </c>
      <c r="S41" s="17" t="str">
        <f>IF(AND(S40&lt;&gt;Q41,S40&lt;&gt;R41),S40,"")</f>
        <v>Foothill B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7"/>
      <c r="B42" s="17"/>
      <c r="C42" s="17"/>
      <c r="D42" s="17" t="str">
        <f t="shared" ref="D42:G42" si="45">D35</f>
        <v>CBA</v>
      </c>
      <c r="E42" s="17" t="str">
        <f t="shared" si="45"/>
        <v>Enloe HS</v>
      </c>
      <c r="F42" s="17" t="str">
        <f t="shared" si="45"/>
        <v>Iolani</v>
      </c>
      <c r="G42" s="17" t="str">
        <f t="shared" si="45"/>
        <v>Poolesville B</v>
      </c>
      <c r="H42" s="17"/>
      <c r="I42" s="17"/>
      <c r="J42" s="38"/>
      <c r="K42" s="17"/>
      <c r="L42" s="17"/>
      <c r="M42" s="17"/>
      <c r="N42" s="17"/>
      <c r="O42" s="17"/>
      <c r="P42" s="17" t="str">
        <f t="shared" ref="P42:S42" si="46">P35</f>
        <v>North Hollywood</v>
      </c>
      <c r="Q42" s="17" t="str">
        <f t="shared" si="46"/>
        <v>Clements HS</v>
      </c>
      <c r="R42" s="17" t="str">
        <f t="shared" si="46"/>
        <v>Foothill B</v>
      </c>
      <c r="S42" s="17" t="str">
        <f t="shared" si="46"/>
        <v>Arcadia HS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42">
        <f>HLOOKUP(E41,D42:G43,2,FALSE)</f>
        <v>71.33</v>
      </c>
      <c r="B43" s="43" t="str">
        <f>IFERROR(HLOOKUP(F41,D42:G43,2,FALSE),"")</f>
        <v/>
      </c>
      <c r="C43" s="43" t="str">
        <f>IFERROR(HLOOKUP(G41,E42:L43,2,FALSE),"")</f>
        <v/>
      </c>
      <c r="D43" s="44">
        <f>'Round Robin'!G40</f>
        <v>22.67</v>
      </c>
      <c r="E43" s="43">
        <f>'Round Robin'!G41</f>
        <v>40</v>
      </c>
      <c r="F43" s="43">
        <f>'Round Robin'!G42</f>
        <v>71.33</v>
      </c>
      <c r="G43" s="43">
        <f>'Round Robin'!G43</f>
        <v>34</v>
      </c>
      <c r="H43" s="17"/>
      <c r="I43" s="17"/>
      <c r="J43" s="38"/>
      <c r="K43" s="17"/>
      <c r="L43" s="17"/>
      <c r="M43" s="42">
        <f>HLOOKUP(Q41,P42:S43,2,FALSE)</f>
        <v>59.33</v>
      </c>
      <c r="N43" s="43">
        <f t="shared" ref="N43:O43" si="47">IFERROR(HLOOKUP(R41,P42:S43,2,FALSE),"")</f>
        <v>114.67</v>
      </c>
      <c r="O43" s="43">
        <f t="shared" si="47"/>
        <v>39.33</v>
      </c>
      <c r="P43" s="44">
        <f>'Round Robin'!O40</f>
        <v>59.33</v>
      </c>
      <c r="Q43" s="43">
        <f>'Round Robin'!O41</f>
        <v>114.67</v>
      </c>
      <c r="R43" s="43">
        <f>'Round Robin'!O42</f>
        <v>39.33</v>
      </c>
      <c r="S43" s="43">
        <f>'Round Robin'!O43</f>
        <v>27.33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42">
        <f>MAX(A43:C43)</f>
        <v>71.33</v>
      </c>
      <c r="B44" s="43" t="str">
        <f>IFNA(HLOOKUP(A44,D43:G44,2,FALSE),"Mohawk #1")</f>
        <v>Iolani</v>
      </c>
      <c r="C44" s="43"/>
      <c r="D44" s="43" t="str">
        <f t="shared" ref="D44:G44" si="48">D35</f>
        <v>CBA</v>
      </c>
      <c r="E44" s="43" t="str">
        <f t="shared" si="48"/>
        <v>Enloe HS</v>
      </c>
      <c r="F44" s="43" t="str">
        <f t="shared" si="48"/>
        <v>Iolani</v>
      </c>
      <c r="G44" s="43" t="str">
        <f t="shared" si="48"/>
        <v>Poolesville B</v>
      </c>
      <c r="H44" s="17"/>
      <c r="I44" s="17"/>
      <c r="J44" s="38"/>
      <c r="K44" s="17"/>
      <c r="L44" s="17"/>
      <c r="M44" s="42">
        <f>MAX(M43:O43)</f>
        <v>114.67</v>
      </c>
      <c r="N44" s="43" t="str">
        <f>IFNA(HLOOKUP(M44,P43:S44,2,FALSE),"Tuscarora #1")</f>
        <v>Clements HS</v>
      </c>
      <c r="O44" s="43"/>
      <c r="P44" s="43" t="str">
        <f t="shared" ref="P44:S44" si="49">P35</f>
        <v>North Hollywood</v>
      </c>
      <c r="Q44" s="43" t="str">
        <f t="shared" si="49"/>
        <v>Clements HS</v>
      </c>
      <c r="R44" s="43" t="str">
        <f t="shared" si="49"/>
        <v>Foothill B</v>
      </c>
      <c r="S44" s="43" t="str">
        <f t="shared" si="49"/>
        <v>Arcadia HS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37"/>
      <c r="B45" s="37"/>
      <c r="C45" s="37"/>
      <c r="D45" s="37"/>
      <c r="E45" s="37"/>
      <c r="F45" s="37" t="str">
        <f>IF(OR(D36="",E36="",F36="",G36="",G37="",F37="",E37="",D37="",D38="",D39="",E38="",E39="",F38="",F39="",G38="",G39=""),"",IFNA(IFS(AND(D46=E39,E35&lt;&gt;E46),E35,AND(D46=F39,F35&lt;&gt;E46),F35,AND(D46=G39,G35&lt;&gt;E46),G35),""))</f>
        <v>Poolesville B</v>
      </c>
      <c r="G45" s="37" t="str">
        <f>IF(OR(D36="",E36="",F36="",G36="",G37="",F37="",E37="",D37="",D38="",D39="",E38="",E39="",F38="",F39="",G38="",G39=""),"",IFNA(IFS(AND(D46=E39,E35&lt;&gt;E46,E35&lt;&gt;F46),E35,AND(D46=F39,F35&lt;&gt;E46,F35&lt;&gt;F46),F35,AND(D46=G39,G35&lt;&gt;E46,G35&lt;&gt;F46),G35),""))</f>
        <v/>
      </c>
      <c r="H45" s="17"/>
      <c r="I45" s="17"/>
      <c r="J45" s="38"/>
      <c r="K45" s="17"/>
      <c r="L45" s="17"/>
      <c r="M45" s="37"/>
      <c r="N45" s="37"/>
      <c r="O45" s="37"/>
      <c r="P45" s="37"/>
      <c r="Q45" s="37"/>
      <c r="R45" s="37" t="str">
        <f>IF(OR(P36="",Q36="",R36="",S36="",S37="",R37="",Q37="",P37="",P38="",P39="",Q38="",Q39="",R38="",R39="",S38="",S39=""),"",IFNA(IFS(AND(P46=Q39,Q35&lt;&gt;Q46),Q35,AND(P46=R39,R35&lt;&gt;Q46),R35,AND(P46=S39,S35&lt;&gt;Q46),S35),""))</f>
        <v>Clements HS</v>
      </c>
      <c r="S45" s="37" t="str">
        <f>IF(OR(P36="",Q36="",R36="",S36="",S37="",R37="",Q37="",P37="",P38="",P39="",Q38="",Q39="",R38="",R39="",S38="",S39=""),"",IFNA(IFS(AND(P46=Q39,Q35&lt;&gt;Q46,Q35&lt;&gt;R46),Q35,AND(P46=R39,R35&lt;&gt;Q46,R35&lt;&gt;R46),R35,AND(P46=S39,S35&lt;&gt;Q46,S35&lt;&gt;R46),S35),""))</f>
        <v>Clements HS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37"/>
      <c r="B46" s="37"/>
      <c r="C46" s="37"/>
      <c r="D46" s="36">
        <f>LARGE(D39:G39,2)</f>
        <v>3</v>
      </c>
      <c r="E46" s="37" t="str">
        <f>IF(OR(D39="",E39="",F39="",G39="",G38="",F38="",E38="",D38="",D37="",D36="",E37="",E36="",F37="",F36="",G37="",G36=""),"",IFS(AND(D46=D39,D35&lt;&gt;B44),D35,AND(D46=E39,E35&lt;&gt;B44),E35,AND(D46=F39,F35&lt;&gt;B44),F35,AND(D46=G39,G35&lt;&gt;B44),G35))</f>
        <v>Enloe HS</v>
      </c>
      <c r="F46" s="37" t="str">
        <f>IF(AND(F45&lt;&gt;E46,F45&lt;&gt;B44),F45,"")</f>
        <v>Poolesville B</v>
      </c>
      <c r="G46" s="37" t="str">
        <f>IF(AND(G45&lt;&gt;E46,G45&lt;&gt;F46,G45&lt;&gt;B44),G45,"")</f>
        <v/>
      </c>
      <c r="H46" s="17"/>
      <c r="I46" s="17"/>
      <c r="J46" s="38"/>
      <c r="K46" s="17"/>
      <c r="L46" s="17"/>
      <c r="M46" s="37"/>
      <c r="N46" s="37"/>
      <c r="O46" s="37"/>
      <c r="P46" s="36">
        <f>LARGE(P39:S39,2)</f>
        <v>4</v>
      </c>
      <c r="Q46" s="37" t="str">
        <f>IF(OR(P39="",Q39="",R39="",S39="",S38="",R38="",Q38="",P38="",P37="",P36="",Q37="",Q36="",R37="",R36="",S37="",S36=""),"",IFS(AND(P46=P39,P35&lt;&gt;N44),P35,AND(P46=Q39,Q35&lt;&gt;N44),Q35,AND(P46=R39,R35&lt;&gt;N44),R35,AND(P46=S39,S35&lt;&gt;N44),S35))</f>
        <v>North Hollywood</v>
      </c>
      <c r="R46" s="37" t="str">
        <f>IF(AND(R45&lt;&gt;Q46,R45&lt;&gt;N44),R45,"")</f>
        <v/>
      </c>
      <c r="S46" s="37" t="str">
        <f>IF(AND(S45&lt;&gt;Q46,S45&lt;&gt;R46,S45&lt;&gt;N44),S45,"")</f>
        <v/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36">
        <f>MAX(E47:G47)</f>
        <v>40</v>
      </c>
      <c r="B47" s="37" t="str">
        <f>IFNA(HLOOKUP(A47,D43:G44,2,FALSE),"Mohawk #2")</f>
        <v>Enloe HS</v>
      </c>
      <c r="C47" s="37"/>
      <c r="D47" s="37"/>
      <c r="E47" s="37">
        <f>IFNA(HLOOKUP(E46,D42:G43,2,FALSE),)</f>
        <v>40</v>
      </c>
      <c r="F47" s="37">
        <f>IFNA(HLOOKUP(F46,D42:G43,2,FALSE),)</f>
        <v>34</v>
      </c>
      <c r="G47" s="37" t="str">
        <f>IFNA(HLOOKUP(G46,D42:G43,2,FALSE),)</f>
        <v/>
      </c>
      <c r="H47" s="17"/>
      <c r="I47" s="17"/>
      <c r="J47" s="38"/>
      <c r="K47" s="17"/>
      <c r="L47" s="17"/>
      <c r="M47" s="36">
        <f>MAX(Q47:S47)</f>
        <v>59.33</v>
      </c>
      <c r="N47" s="37" t="str">
        <f>IFNA(HLOOKUP(M47,P43:S44,2,FALSE),"Tuscarora #2")</f>
        <v>North Hollywood</v>
      </c>
      <c r="O47" s="37"/>
      <c r="P47" s="37"/>
      <c r="Q47" s="37">
        <f>IFNA(HLOOKUP(Q46,P42:S43,2,FALSE),)</f>
        <v>59.33</v>
      </c>
      <c r="R47" s="37" t="str">
        <f>IFNA(HLOOKUP(R46,P42:S43,2,FALSE),)</f>
        <v/>
      </c>
      <c r="S47" s="37" t="str">
        <f>IFNA(HLOOKUP(S46,P42:S43,2,FALSE),)</f>
        <v/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37"/>
      <c r="B48" s="37"/>
      <c r="C48" s="37"/>
      <c r="D48" s="37"/>
      <c r="E48" s="37" t="str">
        <f t="shared" ref="E48:G48" si="50">E46</f>
        <v>Enloe HS</v>
      </c>
      <c r="F48" s="37" t="str">
        <f t="shared" si="50"/>
        <v>Poolesville B</v>
      </c>
      <c r="G48" s="37" t="str">
        <f t="shared" si="50"/>
        <v/>
      </c>
      <c r="H48" s="17"/>
      <c r="I48" s="17"/>
      <c r="J48" s="38"/>
      <c r="K48" s="17"/>
      <c r="L48" s="17"/>
      <c r="M48" s="37"/>
      <c r="N48" s="37"/>
      <c r="O48" s="37"/>
      <c r="P48" s="37"/>
      <c r="Q48" s="37" t="str">
        <f t="shared" ref="Q48:S48" si="51">Q46</f>
        <v>North Hollywood</v>
      </c>
      <c r="R48" s="37" t="str">
        <f t="shared" si="51"/>
        <v/>
      </c>
      <c r="S48" s="37" t="str">
        <f t="shared" si="51"/>
        <v/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46" t="s">
        <v>109</v>
      </c>
      <c r="B49" s="37" t="str">
        <f>B44</f>
        <v>Iolani</v>
      </c>
      <c r="C49" s="46" t="s">
        <v>110</v>
      </c>
      <c r="D49" s="37" t="str">
        <f>B47</f>
        <v>Enloe HS</v>
      </c>
      <c r="E49" s="46" t="s">
        <v>111</v>
      </c>
      <c r="F49" s="37" t="str">
        <f>IF(D49="Mohawk #2","Mohawk #3",H39)</f>
        <v>Poolesville B</v>
      </c>
      <c r="G49" s="37"/>
      <c r="H49" s="17"/>
      <c r="I49" s="17"/>
      <c r="J49" s="38"/>
      <c r="K49" s="17"/>
      <c r="L49" s="17"/>
      <c r="M49" s="46" t="s">
        <v>109</v>
      </c>
      <c r="N49" s="37" t="str">
        <f>N44</f>
        <v>Clements HS</v>
      </c>
      <c r="O49" s="46" t="s">
        <v>110</v>
      </c>
      <c r="P49" s="37" t="str">
        <f>N47</f>
        <v>North Hollywood</v>
      </c>
      <c r="Q49" s="46" t="s">
        <v>111</v>
      </c>
      <c r="R49" s="37" t="str">
        <f>IF(P49="Tuscarora #2","Tuscarora #3",T39)</f>
        <v>Foothill B</v>
      </c>
      <c r="S49" s="3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7"/>
      <c r="B50" s="17"/>
      <c r="C50" s="17"/>
      <c r="D50" s="17"/>
      <c r="E50" s="17"/>
      <c r="F50" s="47">
        <f>HLOOKUP(F49,D42:G43,2,FALSE)</f>
        <v>34</v>
      </c>
      <c r="G50" s="17"/>
      <c r="H50" s="17"/>
      <c r="I50" s="17"/>
      <c r="J50" s="38"/>
      <c r="K50" s="17"/>
      <c r="L50" s="17"/>
      <c r="M50" s="17"/>
      <c r="N50" s="17"/>
      <c r="O50" s="17"/>
      <c r="P50" s="17"/>
      <c r="Q50" s="17"/>
      <c r="R50" s="47">
        <f>HLOOKUP(R49,P42:S43,2,FALSE)</f>
        <v>39.33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35" t="s">
        <v>112</v>
      </c>
      <c r="B52" s="17" t="str">
        <f>F15</f>
        <v>Science Academy B</v>
      </c>
      <c r="C52" s="47">
        <f>F16</f>
        <v>22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7"/>
      <c r="B53" s="17" t="str">
        <f>R15</f>
        <v>Science Academy A</v>
      </c>
      <c r="C53" s="47">
        <f>R16</f>
        <v>32.67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7"/>
      <c r="B54" s="17" t="str">
        <f>F32</f>
        <v>Amador Valley A</v>
      </c>
      <c r="C54" s="47">
        <f>F33</f>
        <v>70.67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7"/>
      <c r="B55" s="17" t="str">
        <f>R32</f>
        <v>Foothill A</v>
      </c>
      <c r="C55" s="47">
        <f>R33</f>
        <v>71.33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7"/>
      <c r="B56" s="17" t="str">
        <f>F49</f>
        <v>Poolesville B</v>
      </c>
      <c r="C56" s="47">
        <f>F50</f>
        <v>34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7"/>
      <c r="B57" s="17" t="str">
        <f>R49</f>
        <v>Foothill B</v>
      </c>
      <c r="C57" s="47">
        <f>R50</f>
        <v>39.33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35" t="s">
        <v>113</v>
      </c>
      <c r="B58" s="47">
        <f>LARGE(C52:C57,1)</f>
        <v>71.33</v>
      </c>
      <c r="C58" s="35" t="s">
        <v>114</v>
      </c>
      <c r="D58" s="47">
        <f>LARGE(C52:C57,2)</f>
        <v>70.67</v>
      </c>
      <c r="E58" s="35" t="s">
        <v>115</v>
      </c>
      <c r="F58" s="47">
        <f>LARGE(C52:C57,3)</f>
        <v>39.33</v>
      </c>
      <c r="G58" s="35" t="s">
        <v>116</v>
      </c>
      <c r="H58" s="47">
        <f>LARGE(C52:C57,4)</f>
        <v>34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7"/>
      <c r="B59" s="17" t="str">
        <f>IFERROR(IFS(B58=C52,B52,B58=C53,B53,B58=C54,B54,B58=C55,B55,B58=C56,B56,B58=C57,B57),"PPG #1")</f>
        <v>Foothill A</v>
      </c>
      <c r="C59" s="17"/>
      <c r="D59" s="17" t="str">
        <f>IFERROR(IFS(AND(D58=C52,B52&lt;&gt;B59),B52,AND(D58=C53,B53&lt;&gt;B59),B53,AND(D58=C54,B54&lt;&gt;B59),B54,AND(D58=C55,B55&lt;&gt;B59),B55,AND(D58=C56,B56&lt;&gt;B59),B56,AND(D58=C57,B57&lt;&gt;B59),B57),"PPG #2")</f>
        <v>Amador Valley A</v>
      </c>
      <c r="E59" s="17"/>
      <c r="F59" s="17" t="str">
        <f>IFERROR(IFS(AND(F58=C52,B52&lt;&gt;B59,B52&lt;&gt;D59),B52,AND(F58=C53,B53&lt;&gt;B59,B53&lt;&gt;D59),B53,AND(F58=C54,B54&lt;&gt;B59,B54&lt;&gt;D59),B54,AND(F58=C55,B55&lt;&gt;B59,B55&lt;&gt;D59),B55,AND(F58=C56,B56&lt;&gt;B59,B56&lt;&gt;D59),B56,AND(F58=C57,B57&lt;&gt;B59,B57&lt;&gt;D59),B57),"PPG #3")</f>
        <v>Foothill B</v>
      </c>
      <c r="G59" s="17"/>
      <c r="H59" s="17" t="str">
        <f>IFERROR(IFS(AND(H58=C52,B52&lt;&gt;B59,B52&lt;&gt;D59,B52&lt;&gt;F59),B52,AND(H58=C53,B53&lt;&gt;B59,B53&lt;&gt;D59,B53&lt;&gt;F59),B53,AND(H58=C54,B54&lt;&gt;B59,B54&lt;&gt;D59,B54&lt;&gt;F59),B54,AND(H58=C55,B55&lt;&gt;B59,B55&lt;&gt;D59,B55&lt;&gt;F59),B55,AND(H58=C56,B56&lt;&gt;B59,B56&lt;&gt;D59,B56&lt;&gt;F59),B56,AND(H58=C57,B57&lt;&gt;B59,B57&lt;&gt;D59,B57&lt;&gt;F59),B57),"PPG #4")</f>
        <v>Poolesville B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</row>
  </sheetData>
  <drawing r:id="rId1"/>
</worksheet>
</file>