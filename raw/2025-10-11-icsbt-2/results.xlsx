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List" sheetId="1" r:id="rId5"/>
    <sheet state="visible" name="RR Pairings and Schedule" sheetId="2" r:id="rId6"/>
    <sheet state="visible" name="LiveScoresheet" sheetId="3" r:id="rId7"/>
    <sheet state="visible" name="DE Seeding" sheetId="4" r:id="rId8"/>
    <sheet state="visible" name="DE Bracket" sheetId="5" r:id="rId9"/>
  </sheets>
  <definedNames>
    <definedName name="Group2">LiveScoresheet!$J$6:$O$11</definedName>
  </definedNames>
  <calcPr/>
</workbook>
</file>

<file path=xl/sharedStrings.xml><?xml version="1.0" encoding="utf-8"?>
<sst xmlns="http://schemas.openxmlformats.org/spreadsheetml/2006/main" count="500" uniqueCount="287">
  <si>
    <t>Teams</t>
  </si>
  <si>
    <t>RR Pairings and Schedule</t>
  </si>
  <si>
    <t>Code</t>
  </si>
  <si>
    <t xml:space="preserve">Team </t>
  </si>
  <si>
    <t>RR Group</t>
  </si>
  <si>
    <t>A1</t>
  </si>
  <si>
    <t>BYE</t>
  </si>
  <si>
    <t>Amalgam</t>
  </si>
  <si>
    <t>A2</t>
  </si>
  <si>
    <t>Basis Silicon Valley A</t>
  </si>
  <si>
    <t>A3</t>
  </si>
  <si>
    <t>Montgomery Blair B</t>
  </si>
  <si>
    <t>RR Pairings</t>
  </si>
  <si>
    <t>A4</t>
  </si>
  <si>
    <t>Enloe A</t>
  </si>
  <si>
    <t>A5</t>
  </si>
  <si>
    <t>Ward Melville C</t>
  </si>
  <si>
    <t>A6</t>
  </si>
  <si>
    <t>Collierville C</t>
  </si>
  <si>
    <t>B1</t>
  </si>
  <si>
    <t>Basis Chandler A</t>
  </si>
  <si>
    <t>Brass</t>
  </si>
  <si>
    <t>B2</t>
  </si>
  <si>
    <t>Mission San Jose B</t>
  </si>
  <si>
    <t>B3</t>
  </si>
  <si>
    <t>Schedule (Times in PDT)</t>
  </si>
  <si>
    <t>Enloe B</t>
  </si>
  <si>
    <t>B4</t>
  </si>
  <si>
    <t>WWPS A</t>
  </si>
  <si>
    <t>B5</t>
  </si>
  <si>
    <t>Deep Run A</t>
  </si>
  <si>
    <t>B6</t>
  </si>
  <si>
    <t>Hunter</t>
  </si>
  <si>
    <t>C1</t>
  </si>
  <si>
    <t>Arcadia A</t>
  </si>
  <si>
    <t>Bronze</t>
  </si>
  <si>
    <t>C2</t>
  </si>
  <si>
    <t>Montgomery Blair C</t>
  </si>
  <si>
    <t>C3</t>
  </si>
  <si>
    <t>North Hollywood A</t>
  </si>
  <si>
    <t>C4</t>
  </si>
  <si>
    <t>Johnson B</t>
  </si>
  <si>
    <t>C5</t>
  </si>
  <si>
    <t>James Clemens</t>
  </si>
  <si>
    <t>C6</t>
  </si>
  <si>
    <t>Vista del Lago</t>
  </si>
  <si>
    <t>D1</t>
  </si>
  <si>
    <t>Nichrome</t>
  </si>
  <si>
    <t>D2</t>
  </si>
  <si>
    <t>Iolani</t>
  </si>
  <si>
    <t>D3</t>
  </si>
  <si>
    <t>Basis Silicon Valley B</t>
  </si>
  <si>
    <t>D4</t>
  </si>
  <si>
    <t>Montgomery Blair A</t>
  </si>
  <si>
    <t>D5</t>
  </si>
  <si>
    <t>Enloe C</t>
  </si>
  <si>
    <t>D6</t>
  </si>
  <si>
    <t>Johnson A</t>
  </si>
  <si>
    <t>E1</t>
  </si>
  <si>
    <t>Basis Independent Fremont</t>
  </si>
  <si>
    <t>Pewter</t>
  </si>
  <si>
    <t>E2</t>
  </si>
  <si>
    <t>Arcadia B</t>
  </si>
  <si>
    <t>TIME</t>
  </si>
  <si>
    <t>E3</t>
  </si>
  <si>
    <t>Mission San Jose A</t>
  </si>
  <si>
    <t>E4</t>
  </si>
  <si>
    <t>Collierville A</t>
  </si>
  <si>
    <t>E5</t>
  </si>
  <si>
    <t>WWPS B</t>
  </si>
  <si>
    <t>E6</t>
  </si>
  <si>
    <t>Deep Run B</t>
  </si>
  <si>
    <t>F1</t>
  </si>
  <si>
    <t>Ward Melville A</t>
  </si>
  <si>
    <t>Solder</t>
  </si>
  <si>
    <t>F2</t>
  </si>
  <si>
    <t>ROUND</t>
  </si>
  <si>
    <t>Basis Chandler B</t>
  </si>
  <si>
    <t>F3</t>
  </si>
  <si>
    <t>Collierville B</t>
  </si>
  <si>
    <t>F4</t>
  </si>
  <si>
    <t xml:space="preserve">School of Biology </t>
  </si>
  <si>
    <t>F5</t>
  </si>
  <si>
    <t>North Hollywood B</t>
  </si>
  <si>
    <t>F6</t>
  </si>
  <si>
    <t>Saratoga</t>
  </si>
  <si>
    <t>G1</t>
  </si>
  <si>
    <t>Steel</t>
  </si>
  <si>
    <t>G2</t>
  </si>
  <si>
    <t>Basis Chandler C</t>
  </si>
  <si>
    <t>G3</t>
  </si>
  <si>
    <t>Ward Melville B</t>
  </si>
  <si>
    <t>G4</t>
  </si>
  <si>
    <t>Temple City</t>
  </si>
  <si>
    <t>G5</t>
  </si>
  <si>
    <t>Dulles</t>
  </si>
  <si>
    <t>G6</t>
  </si>
  <si>
    <t>Princeton</t>
  </si>
  <si>
    <t>ROOM</t>
  </si>
  <si>
    <t>RR1</t>
  </si>
  <si>
    <t>RR2</t>
  </si>
  <si>
    <t>RR3</t>
  </si>
  <si>
    <t>RR4</t>
  </si>
  <si>
    <t>RR5</t>
  </si>
  <si>
    <t>7:45 - 8:00 a.m. PDT</t>
  </si>
  <si>
    <t xml:space="preserve"> OPENING CEREMONY</t>
  </si>
  <si>
    <t>Amalgam-1</t>
  </si>
  <si>
    <t>A1 — A2</t>
  </si>
  <si>
    <t>A4— A5</t>
  </si>
  <si>
    <t>A2 — A3</t>
  </si>
  <si>
    <t>A1 — A5</t>
  </si>
  <si>
    <t>A3 — A4</t>
  </si>
  <si>
    <t>Amalgam-2</t>
  </si>
  <si>
    <t>RR Live Scoresheet</t>
  </si>
  <si>
    <t>A3 — A5</t>
  </si>
  <si>
    <t>A1 — A3</t>
  </si>
  <si>
    <t>A5 — A6</t>
  </si>
  <si>
    <t>A2 — A4</t>
  </si>
  <si>
    <t>A1 — A6</t>
  </si>
  <si>
    <t>8:00 - 8:35 a.m. PDT</t>
  </si>
  <si>
    <t xml:space="preserve"> Round Robin 1</t>
  </si>
  <si>
    <t>Amalgam-3</t>
  </si>
  <si>
    <t>A4 — A6</t>
  </si>
  <si>
    <t>A2 — A6</t>
  </si>
  <si>
    <t>A1 — A4</t>
  </si>
  <si>
    <t>A3 — A6</t>
  </si>
  <si>
    <t>A2 — A5</t>
  </si>
  <si>
    <t>8:40 - 9:15 a.m. PDT</t>
  </si>
  <si>
    <t xml:space="preserve"> Round Robin 2</t>
  </si>
  <si>
    <t>9:20 - 9:55 a.m. PDT</t>
  </si>
  <si>
    <t xml:space="preserve"> Round Robin 3</t>
  </si>
  <si>
    <t>Brass-1</t>
  </si>
  <si>
    <t>B1 — B2</t>
  </si>
  <si>
    <t>B4— B5</t>
  </si>
  <si>
    <t>B2 — B3</t>
  </si>
  <si>
    <t>B1 — B5</t>
  </si>
  <si>
    <t>B3 — B4</t>
  </si>
  <si>
    <t>Brass-2</t>
  </si>
  <si>
    <t>B3 — B5</t>
  </si>
  <si>
    <t>B1 — B3</t>
  </si>
  <si>
    <t>B5 — B6</t>
  </si>
  <si>
    <t>B2 — B4</t>
  </si>
  <si>
    <t>B1 — B6</t>
  </si>
  <si>
    <t>10:00 - 10:35 a.m. PDT</t>
  </si>
  <si>
    <t xml:space="preserve"> Round Robin 4</t>
  </si>
  <si>
    <t>Brass-3</t>
  </si>
  <si>
    <t>B4 — B6</t>
  </si>
  <si>
    <t>B2 — B6</t>
  </si>
  <si>
    <t>B1 — B4</t>
  </si>
  <si>
    <t>B3 — B6</t>
  </si>
  <si>
    <t>B2 — B5</t>
  </si>
  <si>
    <t>10:40 - 11:15 a.m. PDT</t>
  </si>
  <si>
    <t xml:space="preserve"> Round Robin 5</t>
  </si>
  <si>
    <t>11:15 - 12:15 p.m. PDT</t>
  </si>
  <si>
    <t xml:space="preserve"> LUNCH BREAK</t>
  </si>
  <si>
    <t>Bronze-1</t>
  </si>
  <si>
    <t>C1 — C2</t>
  </si>
  <si>
    <t>C4— C5</t>
  </si>
  <si>
    <t>C2 — C3</t>
  </si>
  <si>
    <t>C1 — C5</t>
  </si>
  <si>
    <t>C3 — C4</t>
  </si>
  <si>
    <t>Bronze-2</t>
  </si>
  <si>
    <t>C3 — C5</t>
  </si>
  <si>
    <t>C1 — C3</t>
  </si>
  <si>
    <t>C5 — C6</t>
  </si>
  <si>
    <t>C2 — C4</t>
  </si>
  <si>
    <t>C1 — C6</t>
  </si>
  <si>
    <t>12:20 - 12:55 p.m. PDT</t>
  </si>
  <si>
    <t xml:space="preserve"> Double Elimination 1 (top 16)</t>
  </si>
  <si>
    <t>Bronze-3</t>
  </si>
  <si>
    <t>C4 — C6</t>
  </si>
  <si>
    <t>C2 — C6</t>
  </si>
  <si>
    <t>C1 — C4</t>
  </si>
  <si>
    <t>C3 — C6</t>
  </si>
  <si>
    <t>C2 — C5</t>
  </si>
  <si>
    <t>1:00 - 1:35 p.m. PDT</t>
  </si>
  <si>
    <t xml:space="preserve"> Double Elimination 2 (top 12)</t>
  </si>
  <si>
    <t>1:40 - 2:15 p.m. PDT</t>
  </si>
  <si>
    <t xml:space="preserve"> Double Elimination 3 (top 8)</t>
  </si>
  <si>
    <t>Nichrome-1</t>
  </si>
  <si>
    <t>D1 — D2</t>
  </si>
  <si>
    <t>D4— D5</t>
  </si>
  <si>
    <t>D2 — D3</t>
  </si>
  <si>
    <t>D1 — D5</t>
  </si>
  <si>
    <t>D3 — D4</t>
  </si>
  <si>
    <t>Nichrome-2</t>
  </si>
  <si>
    <t>D3 — D5</t>
  </si>
  <si>
    <t>D1 — D3</t>
  </si>
  <si>
    <t>D5 — D6</t>
  </si>
  <si>
    <t>D2 — D4</t>
  </si>
  <si>
    <t>D1 — D6</t>
  </si>
  <si>
    <t>2:20 - 2:55 p.m. PDT</t>
  </si>
  <si>
    <t xml:space="preserve"> Double Elimination 4 (top 6)</t>
  </si>
  <si>
    <t>Nichrome-3</t>
  </si>
  <si>
    <t>D4 — D6</t>
  </si>
  <si>
    <t>D2 — D6</t>
  </si>
  <si>
    <t>D1 — D4</t>
  </si>
  <si>
    <t>D3 — D6</t>
  </si>
  <si>
    <t>D2 — D5</t>
  </si>
  <si>
    <t>3:00 - 3:35 p.m. PDT</t>
  </si>
  <si>
    <t xml:space="preserve"> Double Elimination 5 (top 4)</t>
  </si>
  <si>
    <t>3:40 - 3:55 p.m. PDT</t>
  </si>
  <si>
    <t>-</t>
  </si>
  <si>
    <r>
      <rPr>
        <rFont val="Source Sans Pro"/>
        <color rgb="FF000000"/>
        <sz val="14.0"/>
      </rPr>
      <t xml:space="preserve"> </t>
    </r>
    <r>
      <rPr>
        <rFont val="Source Sans Pro"/>
        <b/>
        <color rgb="FF000000"/>
        <sz val="14.0"/>
      </rPr>
      <t>BREAK</t>
    </r>
  </si>
  <si>
    <t>Pewter-1</t>
  </si>
  <si>
    <t>E1 — E2</t>
  </si>
  <si>
    <t>E4— E5</t>
  </si>
  <si>
    <t>E2 — E3</t>
  </si>
  <si>
    <t>E1 — E5</t>
  </si>
  <si>
    <t>E3 — E4</t>
  </si>
  <si>
    <t>Pewter-2</t>
  </si>
  <si>
    <t>E3 — E5</t>
  </si>
  <si>
    <t>E1 — E3</t>
  </si>
  <si>
    <t>E5 — E6</t>
  </si>
  <si>
    <t>E2 — E4</t>
  </si>
  <si>
    <t>E1 — E6</t>
  </si>
  <si>
    <t>4:00 - 4:35 p.m. PDT</t>
  </si>
  <si>
    <t xml:space="preserve"> Double Elimination 6 (top 3)</t>
  </si>
  <si>
    <t>Pewter-3</t>
  </si>
  <si>
    <t>E4 — E6</t>
  </si>
  <si>
    <t>E2 — E6</t>
  </si>
  <si>
    <t>E1 — E4</t>
  </si>
  <si>
    <t>E3 — E6</t>
  </si>
  <si>
    <t>E2 — E5</t>
  </si>
  <si>
    <t>4:40 - 5:15 p.m. PDT</t>
  </si>
  <si>
    <t xml:space="preserve"> Double Elimination 7 (top 2)</t>
  </si>
  <si>
    <t>DE Seeding</t>
  </si>
  <si>
    <t>5:20 - 5:55 p.m. PDT</t>
  </si>
  <si>
    <t xml:space="preserve"> Double Elimination 8 (if necessary)</t>
  </si>
  <si>
    <t>13:00-13:35</t>
  </si>
  <si>
    <t>Solder-1</t>
  </si>
  <si>
    <t>F1 — F2</t>
  </si>
  <si>
    <t>F4— F5</t>
  </si>
  <si>
    <t>F2 — F3</t>
  </si>
  <si>
    <t>F1 — F5</t>
  </si>
  <si>
    <t>F3 — F4</t>
  </si>
  <si>
    <t>Solder-2</t>
  </si>
  <si>
    <t>F3 — F5</t>
  </si>
  <si>
    <t>F1 — F3</t>
  </si>
  <si>
    <t>F5 — F6</t>
  </si>
  <si>
    <t>F2 — F4</t>
  </si>
  <si>
    <t>F1 — F6</t>
  </si>
  <si>
    <t>School</t>
  </si>
  <si>
    <t>6:20 - 6:35 p.m. PDT</t>
  </si>
  <si>
    <t>DE Score</t>
  </si>
  <si>
    <t>13:40-14:15</t>
  </si>
  <si>
    <t xml:space="preserve"> CLOSING CEREMONY</t>
  </si>
  <si>
    <t>Solder-3</t>
  </si>
  <si>
    <t>F4 — F6</t>
  </si>
  <si>
    <t>14:20-14:55</t>
  </si>
  <si>
    <t>F2 — F6</t>
  </si>
  <si>
    <t>F1 — F4</t>
  </si>
  <si>
    <t>F3 — F6</t>
  </si>
  <si>
    <t>F2 — F5</t>
  </si>
  <si>
    <t>15:00-15:35</t>
  </si>
  <si>
    <t>15:40-16:15</t>
  </si>
  <si>
    <t>16:55-17:30</t>
  </si>
  <si>
    <t>TIMES IN PST</t>
  </si>
  <si>
    <t>Steel-1</t>
  </si>
  <si>
    <t>G1 — G2</t>
  </si>
  <si>
    <t>G4— G5</t>
  </si>
  <si>
    <t>G2 — G3</t>
  </si>
  <si>
    <t>G1 — G5</t>
  </si>
  <si>
    <t>G3 — G4</t>
  </si>
  <si>
    <t>Steel-2</t>
  </si>
  <si>
    <t>G3 — G5</t>
  </si>
  <si>
    <t>G1 — G3</t>
  </si>
  <si>
    <t>G5 — G6</t>
  </si>
  <si>
    <t>G2 — G4</t>
  </si>
  <si>
    <t>G1 — G6</t>
  </si>
  <si>
    <t>Steel-3</t>
  </si>
  <si>
    <t>G4 — G6</t>
  </si>
  <si>
    <t>ROOM 1</t>
  </si>
  <si>
    <t>G2 — G6</t>
  </si>
  <si>
    <t>G1 — G4</t>
  </si>
  <si>
    <t>G3 — G6</t>
  </si>
  <si>
    <t>G2 — G5</t>
  </si>
  <si>
    <t>ROOM 2</t>
  </si>
  <si>
    <t>STAGE 1</t>
  </si>
  <si>
    <t>ROOM 3</t>
  </si>
  <si>
    <t>School of Biology</t>
  </si>
  <si>
    <t>ROOM 4</t>
  </si>
  <si>
    <t>ROOM 5</t>
  </si>
  <si>
    <t>ROOM 6</t>
  </si>
  <si>
    <t>STAGE 2</t>
  </si>
  <si>
    <t>ROOM 7</t>
  </si>
  <si>
    <t>ROOM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</si>
</sst>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64.0"/>
      <color rgb="FFFF0000"/>
      <name val="Source Sans Pro"/>
    </font>
    <font>
      <b/>
      <sz val="36.0"/>
      <color rgb="FFFF0000"/>
      <name val="Source Sans Pro"/>
    </font>
    <font>
      <b/>
      <sz val="15.0"/>
      <color theme="1"/>
      <name val="Source Sans Pro"/>
    </font>
    <font>
      <color theme="1"/>
      <name val="Source Sans Pro"/>
    </font>
    <font>
      <sz val="11.0"/>
      <color theme="1"/>
      <name val="Source Sans Pro"/>
    </font>
    <font>
      <b/>
      <sz val="25.0"/>
      <color rgb="FFFF0000"/>
      <name val="Source Sans Pro"/>
    </font>
    <font/>
    <font>
      <b/>
      <sz val="13.0"/>
      <color rgb="FFFFD142"/>
      <name val="Source Sans Pro"/>
    </font>
    <font>
      <b/>
      <sz val="26.0"/>
      <color rgb="FFFF0000"/>
      <name val="Source Sans Pro"/>
    </font>
    <font>
      <b/>
      <sz val="18.0"/>
      <color theme="1"/>
      <name val="Source Sans Pro"/>
    </font>
    <font>
      <b/>
      <sz val="13.0"/>
      <color rgb="FFFF0000"/>
      <name val="Source Sans Pro"/>
    </font>
    <font>
      <b/>
      <sz val="11.0"/>
      <color theme="1"/>
      <name val="Source Sans Pro"/>
    </font>
    <font>
      <sz val="14.0"/>
      <color theme="1"/>
      <name val="Source Sans Pro"/>
    </font>
    <font>
      <b/>
      <sz val="14.0"/>
      <color theme="1"/>
      <name val="Source Sans Pro"/>
    </font>
    <font>
      <b/>
      <sz val="36.0"/>
      <color rgb="FFFF9900"/>
      <name val="Source Sans Pro"/>
    </font>
    <font>
      <sz val="14.0"/>
      <color rgb="FF000000"/>
      <name val="Source Sans Pro"/>
    </font>
    <font>
      <color rgb="FF7A00CB"/>
      <name val="Source Sans Pro"/>
    </font>
    <font>
      <b/>
      <sz val="14.0"/>
      <color rgb="FF000000"/>
      <name val="Source Sans Pro"/>
    </font>
    <font>
      <sz val="15.0"/>
      <color theme="1"/>
      <name val="Source Sans Pro"/>
    </font>
    <font>
      <sz val="15.0"/>
      <color rgb="FF000000"/>
      <name val="Source Sans Pro"/>
    </font>
    <font>
      <sz val="11.0"/>
      <color rgb="FF000000"/>
      <name val="Source Sans Pro"/>
    </font>
    <font>
      <b/>
      <sz val="15.0"/>
      <color rgb="FFFFD142"/>
      <name val="Source Sans Pro"/>
    </font>
    <font>
      <color rgb="FF000000"/>
      <name val="Source Sans Pro"/>
    </font>
    <font>
      <b/>
      <sz val="12.0"/>
      <color rgb="FF000000"/>
      <name val="Source Sans Pro"/>
    </font>
    <font>
      <color rgb="FFFFFFFF"/>
      <name val="Source Sans Pro"/>
    </font>
    <font>
      <b/>
      <color rgb="FF000000"/>
      <name val="Source Sans Pro"/>
    </font>
    <font>
      <b/>
      <color theme="1"/>
      <name val="Source Sans Pro"/>
    </font>
    <font>
      <b/>
      <sz val="12.0"/>
      <color rgb="FFEFEFEF"/>
      <name val="Source Sans Pro"/>
    </font>
    <font>
      <color rgb="FFFFFFFF"/>
      <name val="Arial"/>
    </font>
    <font>
      <sz val="11.0"/>
      <color theme="1"/>
      <name val="Arial"/>
    </font>
    <font>
      <color theme="1"/>
      <name val="Arial"/>
    </font>
    <font>
      <b/>
      <color rgb="FFFFFFFF"/>
      <name val="Source Sans Pro"/>
    </font>
    <font>
      <b/>
      <color rgb="FFFFD142"/>
      <name val="Source Sans Pro"/>
    </font>
    <font>
      <color rgb="FFFFFFFF"/>
      <name val="Arial"/>
      <scheme val="minor"/>
    </font>
    <font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</fills>
  <borders count="25"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/>
    </xf>
    <xf borderId="4" fillId="4" fontId="6" numFmtId="0" xfId="0" applyAlignment="1" applyBorder="1" applyFill="1" applyFont="1">
      <alignment horizontal="center" readingOrder="0" vertical="bottom"/>
    </xf>
    <xf borderId="1" fillId="5" fontId="5" numFmtId="0" xfId="0" applyAlignment="1" applyBorder="1" applyFill="1" applyFont="1">
      <alignment readingOrder="0" shrinkToFit="0" vertical="bottom" wrapText="0"/>
    </xf>
    <xf borderId="5" fillId="0" fontId="7" numFmtId="0" xfId="0" applyBorder="1" applyFont="1"/>
    <xf borderId="0" fillId="5" fontId="5" numFmtId="0" xfId="0" applyAlignment="1" applyFill="1" applyFont="1">
      <alignment vertical="bottom"/>
    </xf>
    <xf borderId="6" fillId="0" fontId="7" numFmtId="0" xfId="0" applyBorder="1" applyFont="1"/>
    <xf borderId="0" fillId="5" fontId="5" numFmtId="0" xfId="0" applyAlignment="1" applyFill="1" applyFont="1">
      <alignment readingOrder="0"/>
    </xf>
    <xf borderId="0" fillId="0" fontId="8" numFmtId="0" xfId="0" applyAlignment="1" applyFont="1">
      <alignment horizontal="center" readingOrder="0" vertical="bottom"/>
    </xf>
    <xf borderId="4" fillId="4" fontId="9" numFmtId="0" xfId="0" applyAlignment="1" applyBorder="1" applyFill="1" applyFont="1">
      <alignment horizontal="center" readingOrder="0" vertical="bottom"/>
    </xf>
    <xf borderId="7" fillId="0" fontId="7" numFmtId="0" xfId="0" applyBorder="1" applyFont="1"/>
    <xf borderId="8" fillId="0" fontId="7" numFmtId="0" xfId="0" applyBorder="1" applyFont="1"/>
    <xf borderId="0" fillId="0" fontId="5" numFmtId="0" xfId="0" applyAlignment="1" applyFont="1">
      <alignment readingOrder="0" vertical="bottom"/>
    </xf>
    <xf borderId="9" fillId="0" fontId="7" numFmtId="0" xfId="0" applyBorder="1" applyFont="1"/>
    <xf borderId="0" fillId="0" fontId="5" numFmtId="0" xfId="0" applyAlignment="1" applyFont="1">
      <alignment horizontal="center" vertical="bottom"/>
    </xf>
    <xf borderId="0" fillId="5" fontId="5" numFmtId="0" xfId="0" applyAlignment="1" applyFill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4" fillId="0" fontId="10" numFmtId="0" xfId="0" applyAlignment="1" applyBorder="1" applyFont="1">
      <alignment horizontal="center" readingOrder="0" vertical="bottom"/>
    </xf>
    <xf borderId="10" fillId="0" fontId="7" numFmtId="0" xfId="0" applyBorder="1" applyFont="1"/>
    <xf borderId="11" fillId="0" fontId="10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shrinkToFit="0" vertical="bottom" wrapText="0"/>
    </xf>
    <xf borderId="2" fillId="4" fontId="11" numFmtId="0" xfId="0" applyAlignment="1" applyBorder="1" applyFill="1" applyFont="1">
      <alignment horizontal="center" readingOrder="0" vertical="bottom"/>
    </xf>
    <xf borderId="3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4" fillId="0" fontId="12" numFmtId="0" xfId="0" applyAlignment="1" applyBorder="1" applyFont="1">
      <alignment horizontal="center" readingOrder="0" vertical="bottom"/>
    </xf>
    <xf borderId="16" fillId="0" fontId="12" numFmtId="0" xfId="0" applyAlignment="1" applyBorder="1" applyFont="1">
      <alignment horizontal="center" readingOrder="0" vertical="bottom"/>
    </xf>
    <xf borderId="17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18" fillId="0" fontId="7" numFmtId="0" xfId="0" applyBorder="1" applyFont="1"/>
    <xf borderId="0" fillId="0" fontId="14" numFmtId="0" xfId="0" applyAlignment="1" applyFont="1">
      <alignment horizontal="left" readingOrder="0" vertical="bottom"/>
    </xf>
    <xf borderId="19" fillId="0" fontId="7" numFmtId="0" xfId="0" applyBorder="1" applyFont="1"/>
    <xf borderId="18" fillId="0" fontId="5" numFmtId="0" xfId="0" applyAlignment="1" applyBorder="1" applyFont="1">
      <alignment horizontal="center" readingOrder="0" vertical="bottom"/>
    </xf>
    <xf borderId="19" fillId="0" fontId="5" numFmtId="0" xfId="0" applyAlignment="1" applyBorder="1" applyFont="1">
      <alignment horizontal="center" readingOrder="0" vertical="bottom"/>
    </xf>
    <xf borderId="1" fillId="0" fontId="7" numFmtId="0" xfId="0" applyBorder="1" applyFont="1"/>
    <xf borderId="20" fillId="0" fontId="5" numFmtId="0" xfId="0" applyAlignment="1" applyBorder="1" applyFont="1">
      <alignment horizontal="center" readingOrder="0" vertical="bottom"/>
    </xf>
    <xf borderId="0" fillId="6" fontId="15" numFmtId="0" xfId="0" applyAlignment="1" applyFill="1" applyFont="1">
      <alignment horizontal="center" readingOrder="0"/>
    </xf>
    <xf borderId="1" fillId="0" fontId="13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left" readingOrder="0" vertical="bottom"/>
    </xf>
    <xf borderId="21" fillId="0" fontId="5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 readingOrder="0" vertical="bottom"/>
    </xf>
    <xf borderId="0" fillId="0" fontId="17" numFmtId="0" xfId="0" applyAlignment="1" applyFont="1">
      <alignment vertical="bottom"/>
    </xf>
    <xf borderId="22" fillId="0" fontId="5" numFmtId="0" xfId="0" applyAlignment="1" applyBorder="1" applyFont="1">
      <alignment vertical="bottom"/>
    </xf>
    <xf borderId="0" fillId="0" fontId="18" numFmtId="0" xfId="0" applyAlignment="1" applyFont="1">
      <alignment horizontal="left" readingOrder="0" vertical="bottom"/>
    </xf>
    <xf borderId="16" fillId="0" fontId="12" numFmtId="0" xfId="0" applyAlignment="1" applyBorder="1" applyFont="1">
      <alignment horizontal="center" vertical="bottom"/>
    </xf>
    <xf borderId="17" fillId="0" fontId="12" numFmtId="0" xfId="0" applyAlignment="1" applyBorder="1" applyFont="1">
      <alignment horizontal="center" vertical="bottom"/>
    </xf>
    <xf borderId="22" fillId="0" fontId="5" numFmtId="0" xfId="0" applyAlignment="1" applyBorder="1" applyFont="1">
      <alignment vertical="bottom"/>
    </xf>
    <xf borderId="18" fillId="0" fontId="12" numFmtId="0" xfId="0" applyAlignment="1" applyBorder="1" applyFont="1">
      <alignment horizontal="center" readingOrder="0" vertical="bottom"/>
    </xf>
    <xf borderId="0" fillId="6" fontId="4" numFmtId="0" xfId="0" applyAlignment="1" applyFill="1" applyFont="1">
      <alignment vertical="bottom"/>
    </xf>
    <xf borderId="0" fillId="6" fontId="5" numFmtId="0" xfId="0" applyAlignment="1" applyFill="1" applyFont="1">
      <alignment horizontal="center" readingOrder="0" vertical="bottom"/>
    </xf>
    <xf borderId="19" fillId="6" fontId="5" numFmtId="0" xfId="0" applyAlignment="1" applyBorder="1" applyFill="1" applyFont="1">
      <alignment horizontal="center" readingOrder="0" vertical="bottom"/>
    </xf>
    <xf borderId="20" fillId="0" fontId="12" numFmtId="0" xfId="0" applyAlignment="1" applyBorder="1" applyFont="1">
      <alignment horizontal="center" readingOrder="0" vertical="bottom"/>
    </xf>
    <xf borderId="0" fillId="6" fontId="5" numFmtId="0" xfId="0" applyAlignment="1" applyFill="1" applyFont="1">
      <alignment horizontal="center" readingOrder="0"/>
    </xf>
    <xf borderId="0" fillId="0" fontId="8" numFmtId="0" xfId="0" applyAlignment="1" applyFont="1">
      <alignment horizontal="center" vertical="bottom"/>
    </xf>
    <xf borderId="1" fillId="3" fontId="1" numFmtId="0" xfId="0" applyAlignment="1" applyBorder="1" applyFill="1" applyFont="1">
      <alignment horizontal="center" readingOrder="0"/>
    </xf>
    <xf borderId="23" fillId="0" fontId="12" numFmtId="0" xfId="0" applyAlignment="1" applyBorder="1" applyFont="1">
      <alignment horizontal="center" readingOrder="0" vertical="bottom"/>
    </xf>
    <xf borderId="8" fillId="6" fontId="5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2" fillId="0" fontId="19" numFmtId="0" xfId="0" applyAlignment="1" applyBorder="1" applyFont="1">
      <alignment readingOrder="0"/>
    </xf>
    <xf borderId="3" fillId="0" fontId="3" numFmtId="0" xfId="0" applyAlignment="1" applyBorder="1" applyFont="1">
      <alignment horizontal="center" vertical="bottom"/>
    </xf>
    <xf borderId="9" fillId="6" fontId="4" numFmtId="0" xfId="0" applyAlignment="1" applyBorder="1" applyFill="1" applyFont="1">
      <alignment vertical="bottom"/>
    </xf>
    <xf borderId="3" fillId="0" fontId="20" numFmtId="0" xfId="0" applyAlignment="1" applyBorder="1" applyFont="1">
      <alignment horizontal="left" readingOrder="0"/>
    </xf>
    <xf borderId="1" fillId="0" fontId="5" numFmtId="0" xfId="0" applyAlignment="1" applyBorder="1" applyFont="1">
      <alignment shrinkToFit="0" vertical="bottom" wrapText="0"/>
    </xf>
    <xf borderId="3" fillId="0" fontId="19" numFmtId="0" xfId="0" applyAlignment="1" applyBorder="1" applyFont="1">
      <alignment readingOrder="0"/>
    </xf>
    <xf borderId="21" fillId="0" fontId="7" numFmtId="0" xfId="0" applyBorder="1" applyFont="1"/>
    <xf borderId="12" fillId="0" fontId="19" numFmtId="0" xfId="0" applyBorder="1" applyFont="1"/>
    <xf borderId="0" fillId="0" fontId="21" numFmtId="0" xfId="0" applyAlignment="1" applyFont="1">
      <alignment horizontal="left" vertical="bottom"/>
    </xf>
    <xf borderId="3" fillId="0" fontId="4" numFmtId="0" xfId="0" applyBorder="1" applyFont="1"/>
    <xf borderId="12" fillId="0" fontId="4" numFmtId="0" xfId="0" applyBorder="1" applyFont="1"/>
    <xf borderId="0" fillId="0" fontId="22" numFmtId="0" xfId="0" applyAlignment="1" applyFont="1">
      <alignment horizontal="left" readingOrder="0" vertical="bottom"/>
    </xf>
    <xf borderId="0" fillId="0" fontId="4" numFmtId="0" xfId="0" applyFont="1"/>
    <xf borderId="0" fillId="0" fontId="21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4" fontId="23" numFmtId="0" xfId="0" applyAlignment="1" applyFill="1" applyFont="1">
      <alignment horizontal="center" readingOrder="0" vertical="bottom"/>
    </xf>
    <xf borderId="0" fillId="0" fontId="24" numFmtId="0" xfId="0" applyAlignment="1" applyFont="1">
      <alignment horizontal="center" vertical="bottom"/>
    </xf>
    <xf borderId="0" fillId="6" fontId="25" numFmtId="0" xfId="0" applyAlignment="1" applyFill="1" applyFont="1">
      <alignment horizontal="center" readingOrder="0" vertical="bottom"/>
    </xf>
    <xf borderId="0" fillId="0" fontId="26" numFmtId="0" xfId="0" applyAlignment="1" applyFont="1">
      <alignment horizontal="center" readingOrder="0" vertical="bottom"/>
    </xf>
    <xf borderId="0" fillId="6" fontId="25" numFmtId="0" xfId="0" applyAlignment="1" applyFill="1" applyFont="1">
      <alignment horizontal="center" vertical="bottom"/>
    </xf>
    <xf borderId="0" fillId="7" fontId="27" numFmtId="0" xfId="0" applyAlignment="1" applyFill="1" applyFont="1">
      <alignment horizontal="center" readingOrder="0" vertical="bottom"/>
    </xf>
    <xf borderId="0" fillId="0" fontId="28" numFmtId="0" xfId="0" applyAlignment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4" fontId="4" numFmtId="0" xfId="0" applyAlignment="1" applyFill="1" applyFont="1">
      <alignment horizontal="center" readingOrder="0" vertical="bottom"/>
    </xf>
    <xf borderId="0" fillId="6" fontId="29" numFmtId="0" xfId="0" applyAlignment="1" applyFill="1" applyFont="1">
      <alignment horizontal="center" readingOrder="0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6" fontId="29" numFmtId="0" xfId="0" applyAlignment="1" applyFill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7" numFmtId="0" xfId="0" applyAlignment="1" applyFont="1">
      <alignment horizontal="center" readingOrder="0" vertical="bottom"/>
    </xf>
    <xf borderId="0" fillId="7" fontId="31" numFmtId="0" xfId="0" applyAlignment="1" applyFill="1" applyFont="1">
      <alignment vertical="bottom"/>
    </xf>
    <xf borderId="0" fillId="6" fontId="29" numFmtId="0" xfId="0" applyAlignment="1" applyFill="1" applyFont="1">
      <alignment readingOrder="0" vertical="bottom"/>
    </xf>
    <xf borderId="0" fillId="6" fontId="31" numFmtId="0" xfId="0" applyAlignment="1" applyFill="1" applyFont="1">
      <alignment vertical="bottom"/>
    </xf>
    <xf borderId="0" fillId="0" fontId="30" numFmtId="0" xfId="0" applyAlignment="1" applyFont="1">
      <alignment horizontal="right" vertical="bottom"/>
    </xf>
    <xf borderId="0" fillId="0" fontId="29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0" fontId="30" numFmtId="0" xfId="0" applyAlignment="1" applyFont="1">
      <alignment horizontal="right" vertical="bottom"/>
    </xf>
    <xf borderId="0" fillId="7" fontId="27" numFmtId="0" xfId="0" applyAlignment="1" applyFill="1" applyFont="1">
      <alignment horizontal="center" readingOrder="0"/>
    </xf>
    <xf borderId="0" fillId="7" fontId="4" numFmtId="0" xfId="0" applyFill="1" applyFont="1"/>
    <xf borderId="0" fillId="4" fontId="4" numFmtId="0" xfId="0" applyAlignment="1" applyFill="1" applyFont="1">
      <alignment horizontal="center" readingOrder="0"/>
    </xf>
    <xf borderId="0" fillId="6" fontId="32" numFmtId="0" xfId="0" applyAlignment="1" applyFill="1" applyFont="1">
      <alignment horizontal="center" readingOrder="0"/>
    </xf>
    <xf borderId="0" fillId="6" fontId="33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  <xf borderId="0" fillId="0" fontId="25" numFmtId="0" xfId="0" applyAlignment="1" applyFont="1">
      <alignment horizontal="center"/>
    </xf>
    <xf borderId="0" fillId="6" fontId="25" numFmtId="0" xfId="0" applyAlignment="1" applyFill="1" applyFont="1">
      <alignment readingOrder="0"/>
    </xf>
    <xf borderId="0" fillId="0" fontId="27" numFmtId="0" xfId="0" applyAlignment="1" applyFont="1">
      <alignment horizontal="center" readingOrder="0"/>
    </xf>
    <xf borderId="1" fillId="5" fontId="5" numFmtId="0" xfId="0" applyAlignment="1" applyBorder="1" applyFill="1" applyFont="1">
      <alignment shrinkToFit="0" vertical="bottom" wrapText="0"/>
    </xf>
    <xf borderId="0" fillId="6" fontId="25" numFmtId="0" xfId="0" applyFill="1" applyFont="1"/>
    <xf borderId="0" fillId="6" fontId="25" numFmtId="0" xfId="0" applyAlignment="1" applyFill="1" applyFont="1">
      <alignment horizontal="center" readingOrder="0"/>
    </xf>
    <xf borderId="0" fillId="6" fontId="4" numFmtId="0" xfId="0" applyFill="1" applyFont="1"/>
    <xf borderId="4" fillId="4" fontId="11" numFmtId="0" xfId="0" applyAlignment="1" applyBorder="1" applyFill="1" applyFont="1">
      <alignment horizontal="center" readingOrder="0" vertical="bottom"/>
    </xf>
    <xf borderId="0" fillId="6" fontId="25" numFmtId="0" xfId="0" applyAlignment="1" applyFill="1" applyFont="1">
      <alignment horizontal="center"/>
    </xf>
    <xf borderId="0" fillId="6" fontId="32" numFmtId="0" xfId="0" applyAlignment="1" applyFill="1" applyFont="1">
      <alignment horizontal="center" vertical="bottom"/>
    </xf>
    <xf borderId="24" fillId="0" fontId="5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34" numFmtId="0" xfId="0" applyAlignment="1" applyFont="1">
      <alignment horizontal="center"/>
    </xf>
    <xf borderId="0" fillId="0" fontId="27" numFmtId="0" xfId="0" applyAlignment="1" applyFont="1">
      <alignment horizontal="center" vertical="bottom"/>
    </xf>
    <xf borderId="0" fillId="0" fontId="32" numFmtId="0" xfId="0" applyAlignment="1" applyFont="1">
      <alignment horizontal="center" vertical="bottom"/>
    </xf>
    <xf borderId="22" fillId="0" fontId="4" numFmtId="0" xfId="0" applyAlignment="1" applyBorder="1" applyFont="1">
      <alignment vertical="bottom"/>
    </xf>
    <xf borderId="13" fillId="0" fontId="5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vertical="bottom"/>
    </xf>
    <xf borderId="16" fillId="0" fontId="30" numFmtId="0" xfId="0" applyAlignment="1" applyBorder="1" applyFont="1">
      <alignment horizontal="right" vertical="bottom"/>
    </xf>
    <xf borderId="0" fillId="0" fontId="35" numFmtId="0" xfId="0" applyFont="1"/>
    <xf borderId="0" fillId="0" fontId="35" numFmtId="0" xfId="0" applyAlignment="1" applyFont="1">
      <alignment readingOrder="0"/>
    </xf>
    <xf borderId="19" fillId="8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45.13"/>
    <col customWidth="1" min="3" max="3" width="18.13"/>
  </cols>
  <sheetData>
    <row r="1" ht="108.0" customHeight="1">
      <c r="A1" s="1" t="s">
        <v>0</v>
      </c>
    </row>
    <row r="2">
      <c r="A2" s="3" t="s">
        <v>2</v>
      </c>
      <c r="B2" s="4" t="s">
        <v>3</v>
      </c>
      <c r="C2" s="4" t="s">
        <v>4</v>
      </c>
    </row>
    <row r="3">
      <c r="A3" s="7" t="s">
        <v>5</v>
      </c>
      <c r="B3" s="8" t="s">
        <v>6</v>
      </c>
      <c r="C3" s="9" t="s">
        <v>7</v>
      </c>
    </row>
    <row r="4">
      <c r="A4" s="7" t="s">
        <v>8</v>
      </c>
      <c r="B4" s="8" t="s">
        <v>9</v>
      </c>
      <c r="C4" s="9" t="s">
        <v>7</v>
      </c>
    </row>
    <row r="5">
      <c r="A5" s="7" t="s">
        <v>10</v>
      </c>
      <c r="B5" s="8" t="s">
        <v>11</v>
      </c>
      <c r="C5" s="9" t="s">
        <v>7</v>
      </c>
    </row>
    <row r="6">
      <c r="A6" s="7" t="s">
        <v>13</v>
      </c>
      <c r="B6" s="8" t="s">
        <v>14</v>
      </c>
      <c r="C6" s="9" t="s">
        <v>7</v>
      </c>
    </row>
    <row r="7">
      <c r="A7" s="7" t="s">
        <v>15</v>
      </c>
      <c r="B7" s="8" t="s">
        <v>16</v>
      </c>
      <c r="C7" s="9" t="s">
        <v>7</v>
      </c>
    </row>
    <row r="8">
      <c r="A8" s="7" t="s">
        <v>17</v>
      </c>
      <c r="B8" s="8" t="s">
        <v>18</v>
      </c>
      <c r="C8" s="9" t="s">
        <v>7</v>
      </c>
    </row>
    <row r="9">
      <c r="A9" s="11" t="s">
        <v>19</v>
      </c>
      <c r="B9" s="13" t="s">
        <v>20</v>
      </c>
      <c r="C9" s="15" t="s">
        <v>21</v>
      </c>
    </row>
    <row r="10">
      <c r="A10" s="11" t="s">
        <v>22</v>
      </c>
      <c r="B10" s="13" t="s">
        <v>23</v>
      </c>
      <c r="C10" s="15" t="s">
        <v>21</v>
      </c>
    </row>
    <row r="11">
      <c r="A11" s="11" t="s">
        <v>24</v>
      </c>
      <c r="B11" s="13" t="s">
        <v>26</v>
      </c>
      <c r="C11" s="15" t="s">
        <v>21</v>
      </c>
    </row>
    <row r="12">
      <c r="A12" s="11" t="s">
        <v>27</v>
      </c>
      <c r="B12" s="13" t="s">
        <v>28</v>
      </c>
      <c r="C12" s="15" t="s">
        <v>21</v>
      </c>
    </row>
    <row r="13">
      <c r="A13" s="11" t="s">
        <v>29</v>
      </c>
      <c r="B13" s="13" t="s">
        <v>30</v>
      </c>
      <c r="C13" s="15" t="s">
        <v>21</v>
      </c>
    </row>
    <row r="14">
      <c r="A14" s="11" t="s">
        <v>31</v>
      </c>
      <c r="B14" s="13" t="s">
        <v>32</v>
      </c>
      <c r="C14" s="15" t="s">
        <v>21</v>
      </c>
    </row>
    <row r="15">
      <c r="A15" s="7" t="s">
        <v>33</v>
      </c>
      <c r="B15" s="8" t="s">
        <v>34</v>
      </c>
      <c r="C15" s="9" t="s">
        <v>35</v>
      </c>
    </row>
    <row r="16">
      <c r="A16" s="7" t="s">
        <v>36</v>
      </c>
      <c r="B16" s="8" t="s">
        <v>37</v>
      </c>
      <c r="C16" s="9" t="s">
        <v>35</v>
      </c>
    </row>
    <row r="17">
      <c r="A17" s="7" t="s">
        <v>38</v>
      </c>
      <c r="B17" s="8" t="s">
        <v>39</v>
      </c>
      <c r="C17" s="9" t="s">
        <v>35</v>
      </c>
    </row>
    <row r="18">
      <c r="A18" s="7" t="s">
        <v>40</v>
      </c>
      <c r="B18" s="20" t="s">
        <v>41</v>
      </c>
      <c r="C18" s="9" t="s">
        <v>35</v>
      </c>
    </row>
    <row r="19">
      <c r="A19" s="7" t="s">
        <v>42</v>
      </c>
      <c r="B19" s="8" t="s">
        <v>43</v>
      </c>
      <c r="C19" s="9" t="s">
        <v>35</v>
      </c>
    </row>
    <row r="20">
      <c r="A20" s="7" t="s">
        <v>44</v>
      </c>
      <c r="B20" s="8" t="s">
        <v>45</v>
      </c>
      <c r="C20" s="9" t="s">
        <v>35</v>
      </c>
    </row>
    <row r="21">
      <c r="A21" s="11" t="s">
        <v>46</v>
      </c>
      <c r="B21" s="13" t="s">
        <v>6</v>
      </c>
      <c r="C21" s="15" t="s">
        <v>47</v>
      </c>
    </row>
    <row r="22">
      <c r="A22" s="11" t="s">
        <v>48</v>
      </c>
      <c r="B22" s="13" t="s">
        <v>49</v>
      </c>
      <c r="C22" s="15" t="s">
        <v>47</v>
      </c>
    </row>
    <row r="23">
      <c r="A23" s="11" t="s">
        <v>50</v>
      </c>
      <c r="B23" s="13" t="s">
        <v>51</v>
      </c>
      <c r="C23" s="15" t="s">
        <v>47</v>
      </c>
    </row>
    <row r="24">
      <c r="A24" s="11" t="s">
        <v>52</v>
      </c>
      <c r="B24" s="13" t="s">
        <v>53</v>
      </c>
      <c r="C24" s="15" t="s">
        <v>47</v>
      </c>
    </row>
    <row r="25">
      <c r="A25" s="11" t="s">
        <v>54</v>
      </c>
      <c r="B25" s="13" t="s">
        <v>55</v>
      </c>
      <c r="C25" s="15" t="s">
        <v>47</v>
      </c>
    </row>
    <row r="26">
      <c r="A26" s="11" t="s">
        <v>56</v>
      </c>
      <c r="B26" s="23" t="s">
        <v>57</v>
      </c>
      <c r="C26" s="15" t="s">
        <v>47</v>
      </c>
    </row>
    <row r="27">
      <c r="A27" s="7" t="s">
        <v>58</v>
      </c>
      <c r="B27" s="8" t="s">
        <v>59</v>
      </c>
      <c r="C27" s="9" t="s">
        <v>60</v>
      </c>
    </row>
    <row r="28">
      <c r="A28" s="7" t="s">
        <v>61</v>
      </c>
      <c r="B28" s="8" t="s">
        <v>62</v>
      </c>
      <c r="C28" s="9" t="s">
        <v>60</v>
      </c>
    </row>
    <row r="29">
      <c r="A29" s="7" t="s">
        <v>64</v>
      </c>
      <c r="B29" s="8" t="s">
        <v>65</v>
      </c>
      <c r="C29" s="9" t="s">
        <v>60</v>
      </c>
    </row>
    <row r="30">
      <c r="A30" s="7" t="s">
        <v>66</v>
      </c>
      <c r="B30" s="8" t="s">
        <v>67</v>
      </c>
      <c r="C30" s="9" t="s">
        <v>60</v>
      </c>
    </row>
    <row r="31">
      <c r="A31" s="7" t="s">
        <v>68</v>
      </c>
      <c r="B31" s="8" t="s">
        <v>69</v>
      </c>
      <c r="C31" s="9" t="s">
        <v>60</v>
      </c>
    </row>
    <row r="32">
      <c r="A32" s="7" t="s">
        <v>70</v>
      </c>
      <c r="B32" s="8" t="s">
        <v>71</v>
      </c>
      <c r="C32" s="9" t="s">
        <v>60</v>
      </c>
    </row>
    <row r="33">
      <c r="A33" s="11" t="s">
        <v>72</v>
      </c>
      <c r="B33" s="13" t="s">
        <v>73</v>
      </c>
      <c r="C33" s="15" t="s">
        <v>74</v>
      </c>
    </row>
    <row r="34">
      <c r="A34" s="11" t="s">
        <v>75</v>
      </c>
      <c r="B34" s="13" t="s">
        <v>77</v>
      </c>
      <c r="C34" s="15" t="s">
        <v>74</v>
      </c>
    </row>
    <row r="35">
      <c r="A35" s="11" t="s">
        <v>78</v>
      </c>
      <c r="B35" s="13" t="s">
        <v>79</v>
      </c>
      <c r="C35" s="15" t="s">
        <v>74</v>
      </c>
    </row>
    <row r="36">
      <c r="A36" s="11" t="s">
        <v>80</v>
      </c>
      <c r="B36" s="13" t="s">
        <v>81</v>
      </c>
      <c r="C36" s="15" t="s">
        <v>74</v>
      </c>
    </row>
    <row r="37">
      <c r="A37" s="11" t="s">
        <v>82</v>
      </c>
      <c r="B37" s="13" t="s">
        <v>83</v>
      </c>
      <c r="C37" s="15" t="s">
        <v>74</v>
      </c>
    </row>
    <row r="38">
      <c r="A38" s="11" t="s">
        <v>84</v>
      </c>
      <c r="B38" s="13" t="s">
        <v>85</v>
      </c>
      <c r="C38" s="15" t="s">
        <v>74</v>
      </c>
    </row>
    <row r="39">
      <c r="A39" s="28" t="s">
        <v>86</v>
      </c>
      <c r="B39" s="8" t="s">
        <v>6</v>
      </c>
      <c r="C39" s="9" t="s">
        <v>87</v>
      </c>
    </row>
    <row r="40">
      <c r="A40" s="28" t="s">
        <v>88</v>
      </c>
      <c r="B40" s="8" t="s">
        <v>89</v>
      </c>
      <c r="C40" s="9" t="s">
        <v>87</v>
      </c>
    </row>
    <row r="41">
      <c r="A41" s="28" t="s">
        <v>90</v>
      </c>
      <c r="B41" s="8" t="s">
        <v>91</v>
      </c>
      <c r="C41" s="9" t="s">
        <v>87</v>
      </c>
    </row>
    <row r="42">
      <c r="A42" s="28" t="s">
        <v>92</v>
      </c>
      <c r="B42" s="8" t="s">
        <v>93</v>
      </c>
      <c r="C42" s="9" t="s">
        <v>87</v>
      </c>
    </row>
    <row r="43">
      <c r="A43" s="28" t="s">
        <v>94</v>
      </c>
      <c r="B43" s="8" t="s">
        <v>95</v>
      </c>
      <c r="C43" s="9" t="s">
        <v>87</v>
      </c>
    </row>
    <row r="44">
      <c r="A44" s="28" t="s">
        <v>96</v>
      </c>
      <c r="B44" s="20" t="s">
        <v>97</v>
      </c>
      <c r="C44" s="9" t="s">
        <v>87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63"/>
  </cols>
  <sheetData>
    <row r="1" ht="76.5" customHeight="1">
      <c r="A1" s="2" t="s">
        <v>1</v>
      </c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10" t="s">
        <v>12</v>
      </c>
      <c r="B3" s="12"/>
      <c r="C3" s="12"/>
      <c r="D3" s="12"/>
      <c r="E3" s="12"/>
      <c r="F3" s="14"/>
      <c r="G3" s="16"/>
      <c r="H3" s="17" t="s">
        <v>25</v>
      </c>
      <c r="I3" s="12"/>
      <c r="J3" s="12"/>
      <c r="K3" s="12"/>
      <c r="L3" s="12"/>
      <c r="M3" s="12"/>
      <c r="N3" s="12"/>
      <c r="O3" s="14"/>
    </row>
    <row r="4">
      <c r="A4" s="18"/>
      <c r="B4" s="19"/>
      <c r="C4" s="19"/>
      <c r="D4" s="19"/>
      <c r="E4" s="19"/>
      <c r="F4" s="21"/>
      <c r="G4" s="22"/>
      <c r="H4" s="18"/>
      <c r="I4" s="19"/>
      <c r="J4" s="19"/>
      <c r="K4" s="19"/>
      <c r="L4" s="19"/>
      <c r="M4" s="19"/>
      <c r="N4" s="19"/>
      <c r="O4" s="21"/>
    </row>
    <row r="5">
      <c r="A5" s="16"/>
      <c r="B5" s="16"/>
      <c r="C5" s="16"/>
      <c r="D5" s="16"/>
      <c r="E5" s="16"/>
      <c r="F5" s="16"/>
      <c r="G5" s="24"/>
      <c r="H5" s="25" t="s">
        <v>63</v>
      </c>
      <c r="I5" s="26"/>
      <c r="J5" s="27" t="s">
        <v>76</v>
      </c>
      <c r="K5" s="12"/>
      <c r="L5" s="12"/>
      <c r="M5" s="12"/>
      <c r="N5" s="12"/>
      <c r="O5" s="14"/>
    </row>
    <row r="6">
      <c r="A6" s="29" t="s">
        <v>7</v>
      </c>
      <c r="B6" s="30"/>
      <c r="C6" s="30"/>
      <c r="D6" s="30"/>
      <c r="E6" s="30"/>
      <c r="F6" s="31"/>
      <c r="G6" s="24"/>
      <c r="H6" s="32"/>
      <c r="I6" s="33"/>
      <c r="J6" s="34"/>
      <c r="K6" s="35"/>
      <c r="L6" s="35"/>
      <c r="M6" s="35"/>
      <c r="N6" s="35"/>
      <c r="O6" s="36"/>
    </row>
    <row r="7">
      <c r="A7" s="37" t="s">
        <v>98</v>
      </c>
      <c r="B7" s="38" t="s">
        <v>99</v>
      </c>
      <c r="C7" s="38" t="s">
        <v>100</v>
      </c>
      <c r="D7" s="38" t="s">
        <v>101</v>
      </c>
      <c r="E7" s="38" t="s">
        <v>102</v>
      </c>
      <c r="F7" s="39" t="s">
        <v>103</v>
      </c>
      <c r="G7" s="24"/>
      <c r="H7" s="40" t="s">
        <v>104</v>
      </c>
      <c r="I7" s="41"/>
      <c r="J7" s="42" t="s">
        <v>105</v>
      </c>
      <c r="O7" s="43"/>
    </row>
    <row r="8">
      <c r="A8" s="44" t="s">
        <v>106</v>
      </c>
      <c r="B8" s="24" t="s">
        <v>107</v>
      </c>
      <c r="C8" s="24" t="s">
        <v>108</v>
      </c>
      <c r="D8" s="24" t="s">
        <v>109</v>
      </c>
      <c r="E8" s="24" t="s">
        <v>110</v>
      </c>
      <c r="F8" s="45" t="s">
        <v>111</v>
      </c>
      <c r="G8" s="6"/>
      <c r="H8" s="46"/>
      <c r="I8" s="41"/>
      <c r="O8" s="43"/>
    </row>
    <row r="9">
      <c r="A9" s="47" t="s">
        <v>112</v>
      </c>
      <c r="B9" s="24" t="s">
        <v>114</v>
      </c>
      <c r="C9" s="24" t="s">
        <v>115</v>
      </c>
      <c r="D9" s="24" t="s">
        <v>116</v>
      </c>
      <c r="E9" s="24" t="s">
        <v>117</v>
      </c>
      <c r="F9" s="45" t="s">
        <v>118</v>
      </c>
      <c r="G9" s="16"/>
      <c r="H9" s="49" t="s">
        <v>119</v>
      </c>
      <c r="I9" s="41"/>
      <c r="J9" s="50" t="s">
        <v>120</v>
      </c>
      <c r="O9" s="43"/>
    </row>
    <row r="10">
      <c r="A10" s="51" t="s">
        <v>121</v>
      </c>
      <c r="B10" s="52" t="s">
        <v>122</v>
      </c>
      <c r="C10" s="52" t="s">
        <v>123</v>
      </c>
      <c r="D10" s="52" t="s">
        <v>124</v>
      </c>
      <c r="E10" s="52" t="s">
        <v>125</v>
      </c>
      <c r="F10" s="53" t="s">
        <v>126</v>
      </c>
      <c r="G10" s="22"/>
      <c r="H10" s="46"/>
      <c r="I10" s="41"/>
      <c r="O10" s="43"/>
    </row>
    <row r="11">
      <c r="A11" s="6"/>
      <c r="B11" s="6"/>
      <c r="C11" s="6"/>
      <c r="D11" s="6"/>
      <c r="E11" s="54"/>
      <c r="F11" s="6"/>
      <c r="G11" s="24"/>
      <c r="H11" s="49" t="s">
        <v>127</v>
      </c>
      <c r="I11" s="41"/>
      <c r="J11" s="50" t="s">
        <v>128</v>
      </c>
      <c r="O11" s="43"/>
    </row>
    <row r="12">
      <c r="A12" s="29" t="s">
        <v>21</v>
      </c>
      <c r="B12" s="30"/>
      <c r="C12" s="30"/>
      <c r="D12" s="30"/>
      <c r="E12" s="30"/>
      <c r="F12" s="31"/>
      <c r="G12" s="24"/>
      <c r="H12" s="46"/>
      <c r="I12" s="41"/>
      <c r="O12" s="43"/>
    </row>
    <row r="13">
      <c r="A13" s="37" t="s">
        <v>98</v>
      </c>
      <c r="B13" s="38" t="s">
        <v>99</v>
      </c>
      <c r="C13" s="38" t="s">
        <v>100</v>
      </c>
      <c r="D13" s="38" t="s">
        <v>101</v>
      </c>
      <c r="E13" s="38" t="s">
        <v>102</v>
      </c>
      <c r="F13" s="39" t="s">
        <v>103</v>
      </c>
      <c r="G13" s="24"/>
      <c r="H13" s="49" t="s">
        <v>129</v>
      </c>
      <c r="I13" s="41"/>
      <c r="J13" s="50" t="s">
        <v>130</v>
      </c>
      <c r="O13" s="43"/>
    </row>
    <row r="14">
      <c r="A14" s="44" t="s">
        <v>131</v>
      </c>
      <c r="B14" s="24" t="s">
        <v>132</v>
      </c>
      <c r="C14" s="24" t="s">
        <v>133</v>
      </c>
      <c r="D14" s="24" t="s">
        <v>134</v>
      </c>
      <c r="E14" s="24" t="s">
        <v>135</v>
      </c>
      <c r="F14" s="45" t="s">
        <v>136</v>
      </c>
      <c r="G14" s="24"/>
      <c r="H14" s="46"/>
      <c r="I14" s="41"/>
      <c r="O14" s="43"/>
    </row>
    <row r="15">
      <c r="A15" s="47" t="s">
        <v>137</v>
      </c>
      <c r="B15" s="24" t="s">
        <v>138</v>
      </c>
      <c r="C15" s="24" t="s">
        <v>139</v>
      </c>
      <c r="D15" s="24" t="s">
        <v>140</v>
      </c>
      <c r="E15" s="24" t="s">
        <v>141</v>
      </c>
      <c r="F15" s="45" t="s">
        <v>142</v>
      </c>
      <c r="G15" s="24"/>
      <c r="H15" s="49" t="s">
        <v>143</v>
      </c>
      <c r="I15" s="41"/>
      <c r="J15" s="50" t="s">
        <v>144</v>
      </c>
      <c r="O15" s="43"/>
    </row>
    <row r="16">
      <c r="A16" s="51" t="s">
        <v>145</v>
      </c>
      <c r="B16" s="52" t="s">
        <v>146</v>
      </c>
      <c r="C16" s="52" t="s">
        <v>147</v>
      </c>
      <c r="D16" s="52" t="s">
        <v>148</v>
      </c>
      <c r="E16" s="52" t="s">
        <v>149</v>
      </c>
      <c r="F16" s="53" t="s">
        <v>150</v>
      </c>
      <c r="G16" s="6"/>
      <c r="H16" s="46"/>
      <c r="I16" s="41"/>
      <c r="O16" s="43"/>
    </row>
    <row r="17">
      <c r="A17" s="24"/>
      <c r="B17" s="24"/>
      <c r="C17" s="24"/>
      <c r="D17" s="24"/>
      <c r="E17" s="6"/>
      <c r="F17" s="24"/>
      <c r="G17" s="6"/>
      <c r="H17" s="49" t="s">
        <v>151</v>
      </c>
      <c r="I17" s="41"/>
      <c r="J17" s="50" t="s">
        <v>152</v>
      </c>
      <c r="O17" s="43"/>
    </row>
    <row r="18">
      <c r="A18" s="29" t="s">
        <v>35</v>
      </c>
      <c r="B18" s="30"/>
      <c r="C18" s="30"/>
      <c r="D18" s="30"/>
      <c r="E18" s="30"/>
      <c r="F18" s="31"/>
      <c r="G18" s="16"/>
      <c r="H18" s="46"/>
      <c r="I18" s="41"/>
      <c r="O18" s="43"/>
    </row>
    <row r="19">
      <c r="A19" s="37" t="s">
        <v>98</v>
      </c>
      <c r="B19" s="38" t="s">
        <v>99</v>
      </c>
      <c r="C19" s="38" t="s">
        <v>100</v>
      </c>
      <c r="D19" s="38" t="s">
        <v>101</v>
      </c>
      <c r="E19" s="38" t="s">
        <v>102</v>
      </c>
      <c r="F19" s="39" t="s">
        <v>103</v>
      </c>
      <c r="G19" s="22"/>
      <c r="H19" s="49" t="s">
        <v>153</v>
      </c>
      <c r="I19" s="41"/>
      <c r="J19" s="56" t="s">
        <v>154</v>
      </c>
      <c r="O19" s="43"/>
    </row>
    <row r="20">
      <c r="A20" s="44" t="s">
        <v>155</v>
      </c>
      <c r="B20" s="24" t="s">
        <v>156</v>
      </c>
      <c r="C20" s="24" t="s">
        <v>157</v>
      </c>
      <c r="D20" s="24" t="s">
        <v>158</v>
      </c>
      <c r="E20" s="24" t="s">
        <v>159</v>
      </c>
      <c r="F20" s="45" t="s">
        <v>160</v>
      </c>
      <c r="G20" s="24"/>
      <c r="H20" s="46"/>
      <c r="I20" s="41"/>
      <c r="O20" s="43"/>
    </row>
    <row r="21">
      <c r="A21" s="47" t="s">
        <v>161</v>
      </c>
      <c r="B21" s="24" t="s">
        <v>162</v>
      </c>
      <c r="C21" s="24" t="s">
        <v>163</v>
      </c>
      <c r="D21" s="24" t="s">
        <v>164</v>
      </c>
      <c r="E21" s="24" t="s">
        <v>165</v>
      </c>
      <c r="F21" s="45" t="s">
        <v>166</v>
      </c>
      <c r="G21" s="24"/>
      <c r="H21" s="49" t="s">
        <v>167</v>
      </c>
      <c r="I21" s="41"/>
      <c r="J21" s="50" t="s">
        <v>168</v>
      </c>
      <c r="O21" s="43"/>
    </row>
    <row r="22">
      <c r="A22" s="51" t="s">
        <v>169</v>
      </c>
      <c r="B22" s="52" t="s">
        <v>170</v>
      </c>
      <c r="C22" s="52" t="s">
        <v>171</v>
      </c>
      <c r="D22" s="52" t="s">
        <v>172</v>
      </c>
      <c r="E22" s="52" t="s">
        <v>173</v>
      </c>
      <c r="F22" s="53" t="s">
        <v>174</v>
      </c>
      <c r="G22" s="24"/>
      <c r="H22" s="46"/>
      <c r="I22" s="41"/>
      <c r="O22" s="43"/>
    </row>
    <row r="23">
      <c r="A23" s="24"/>
      <c r="B23" s="6"/>
      <c r="C23" s="24"/>
      <c r="D23" s="24"/>
      <c r="E23" s="24"/>
      <c r="F23" s="24"/>
      <c r="G23" s="24"/>
      <c r="H23" s="49" t="s">
        <v>175</v>
      </c>
      <c r="I23" s="41"/>
      <c r="J23" s="50" t="s">
        <v>176</v>
      </c>
      <c r="O23" s="43"/>
    </row>
    <row r="24">
      <c r="A24" s="29" t="s">
        <v>47</v>
      </c>
      <c r="B24" s="30"/>
      <c r="C24" s="30"/>
      <c r="D24" s="30"/>
      <c r="E24" s="30"/>
      <c r="F24" s="31"/>
      <c r="G24" s="24"/>
      <c r="H24" s="46"/>
      <c r="I24" s="41"/>
      <c r="O24" s="43"/>
    </row>
    <row r="25">
      <c r="A25" s="37" t="s">
        <v>98</v>
      </c>
      <c r="B25" s="38" t="s">
        <v>99</v>
      </c>
      <c r="C25" s="38" t="s">
        <v>100</v>
      </c>
      <c r="D25" s="38" t="s">
        <v>101</v>
      </c>
      <c r="E25" s="38" t="s">
        <v>102</v>
      </c>
      <c r="F25" s="39" t="s">
        <v>103</v>
      </c>
      <c r="G25" s="6"/>
      <c r="H25" s="49" t="s">
        <v>177</v>
      </c>
      <c r="I25" s="41"/>
      <c r="J25" s="50" t="s">
        <v>178</v>
      </c>
      <c r="O25" s="43"/>
    </row>
    <row r="26">
      <c r="A26" s="44" t="s">
        <v>179</v>
      </c>
      <c r="B26" s="24" t="s">
        <v>180</v>
      </c>
      <c r="C26" s="24" t="s">
        <v>181</v>
      </c>
      <c r="D26" s="24" t="s">
        <v>182</v>
      </c>
      <c r="E26" s="24" t="s">
        <v>183</v>
      </c>
      <c r="F26" s="45" t="s">
        <v>184</v>
      </c>
      <c r="G26" s="6"/>
      <c r="H26" s="46"/>
      <c r="I26" s="41"/>
      <c r="O26" s="43"/>
    </row>
    <row r="27">
      <c r="A27" s="47" t="s">
        <v>185</v>
      </c>
      <c r="B27" s="24" t="s">
        <v>186</v>
      </c>
      <c r="C27" s="24" t="s">
        <v>187</v>
      </c>
      <c r="D27" s="24" t="s">
        <v>188</v>
      </c>
      <c r="E27" s="24" t="s">
        <v>189</v>
      </c>
      <c r="F27" s="45" t="s">
        <v>190</v>
      </c>
      <c r="G27" s="16"/>
      <c r="H27" s="49" t="s">
        <v>191</v>
      </c>
      <c r="I27" s="41"/>
      <c r="J27" s="50" t="s">
        <v>192</v>
      </c>
      <c r="O27" s="43"/>
    </row>
    <row r="28">
      <c r="A28" s="51" t="s">
        <v>193</v>
      </c>
      <c r="B28" s="52" t="s">
        <v>194</v>
      </c>
      <c r="C28" s="52" t="s">
        <v>195</v>
      </c>
      <c r="D28" s="52" t="s">
        <v>196</v>
      </c>
      <c r="E28" s="52" t="s">
        <v>197</v>
      </c>
      <c r="F28" s="53" t="s">
        <v>198</v>
      </c>
      <c r="G28" s="22"/>
      <c r="H28" s="46"/>
      <c r="I28" s="41"/>
      <c r="O28" s="43"/>
    </row>
    <row r="29">
      <c r="A29" s="6"/>
      <c r="B29" s="6"/>
      <c r="C29" s="6"/>
      <c r="D29" s="6"/>
      <c r="E29" s="6"/>
      <c r="F29" s="6"/>
      <c r="G29" s="24"/>
      <c r="H29" s="49" t="s">
        <v>199</v>
      </c>
      <c r="I29" s="41"/>
      <c r="J29" s="50" t="s">
        <v>200</v>
      </c>
      <c r="O29" s="43"/>
    </row>
    <row r="30">
      <c r="A30" s="29" t="s">
        <v>60</v>
      </c>
      <c r="B30" s="30"/>
      <c r="C30" s="30"/>
      <c r="D30" s="30"/>
      <c r="E30" s="30"/>
      <c r="F30" s="31"/>
      <c r="G30" s="24"/>
      <c r="H30" s="46"/>
      <c r="I30" s="41"/>
      <c r="O30" s="43"/>
    </row>
    <row r="31">
      <c r="A31" s="37" t="s">
        <v>98</v>
      </c>
      <c r="B31" s="38" t="s">
        <v>99</v>
      </c>
      <c r="C31" s="38" t="s">
        <v>100</v>
      </c>
      <c r="D31" s="38" t="s">
        <v>101</v>
      </c>
      <c r="E31" s="38" t="s">
        <v>102</v>
      </c>
      <c r="F31" s="39" t="s">
        <v>103</v>
      </c>
      <c r="G31" s="24"/>
      <c r="H31" s="49" t="s">
        <v>201</v>
      </c>
      <c r="I31" s="41"/>
      <c r="J31" s="50" t="s">
        <v>203</v>
      </c>
      <c r="O31" s="43"/>
    </row>
    <row r="32">
      <c r="A32" s="44" t="s">
        <v>204</v>
      </c>
      <c r="B32" s="24" t="s">
        <v>205</v>
      </c>
      <c r="C32" s="24" t="s">
        <v>206</v>
      </c>
      <c r="D32" s="24" t="s">
        <v>207</v>
      </c>
      <c r="E32" s="24" t="s">
        <v>208</v>
      </c>
      <c r="F32" s="45" t="s">
        <v>209</v>
      </c>
      <c r="G32" s="24"/>
      <c r="H32" s="46"/>
      <c r="I32" s="41"/>
      <c r="O32" s="43"/>
    </row>
    <row r="33">
      <c r="A33" s="47" t="s">
        <v>210</v>
      </c>
      <c r="B33" s="24" t="s">
        <v>211</v>
      </c>
      <c r="C33" s="24" t="s">
        <v>212</v>
      </c>
      <c r="D33" s="24" t="s">
        <v>213</v>
      </c>
      <c r="E33" s="24" t="s">
        <v>214</v>
      </c>
      <c r="F33" s="45" t="s">
        <v>215</v>
      </c>
      <c r="G33" s="24"/>
      <c r="H33" s="49" t="s">
        <v>216</v>
      </c>
      <c r="I33" s="41"/>
      <c r="J33" s="50" t="s">
        <v>217</v>
      </c>
      <c r="O33" s="43"/>
    </row>
    <row r="34">
      <c r="A34" s="51" t="s">
        <v>218</v>
      </c>
      <c r="B34" s="52" t="s">
        <v>219</v>
      </c>
      <c r="C34" s="52" t="s">
        <v>220</v>
      </c>
      <c r="D34" s="52" t="s">
        <v>221</v>
      </c>
      <c r="E34" s="52" t="s">
        <v>222</v>
      </c>
      <c r="F34" s="53" t="s">
        <v>223</v>
      </c>
      <c r="G34" s="6"/>
      <c r="H34" s="46"/>
      <c r="I34" s="41"/>
      <c r="O34" s="43"/>
    </row>
    <row r="35">
      <c r="A35" s="24"/>
      <c r="B35" s="24"/>
      <c r="C35" s="24"/>
      <c r="D35" s="24"/>
      <c r="E35" s="6"/>
      <c r="F35" s="24"/>
      <c r="G35" s="6"/>
      <c r="H35" s="49" t="s">
        <v>224</v>
      </c>
      <c r="I35" s="41"/>
      <c r="J35" s="50" t="s">
        <v>225</v>
      </c>
      <c r="O35" s="43"/>
    </row>
    <row r="36">
      <c r="A36" s="29" t="s">
        <v>74</v>
      </c>
      <c r="B36" s="30"/>
      <c r="C36" s="30"/>
      <c r="D36" s="30"/>
      <c r="E36" s="30"/>
      <c r="F36" s="31"/>
      <c r="G36" s="66"/>
      <c r="H36" s="46"/>
      <c r="I36" s="41"/>
      <c r="O36" s="43"/>
    </row>
    <row r="37">
      <c r="A37" s="37" t="s">
        <v>98</v>
      </c>
      <c r="B37" s="38" t="s">
        <v>99</v>
      </c>
      <c r="C37" s="38" t="s">
        <v>100</v>
      </c>
      <c r="D37" s="38" t="s">
        <v>101</v>
      </c>
      <c r="E37" s="38" t="s">
        <v>102</v>
      </c>
      <c r="F37" s="39" t="s">
        <v>103</v>
      </c>
      <c r="G37" s="22"/>
      <c r="H37" s="49" t="s">
        <v>227</v>
      </c>
      <c r="I37" s="41"/>
      <c r="J37" s="50" t="s">
        <v>228</v>
      </c>
      <c r="O37" s="43"/>
    </row>
    <row r="38">
      <c r="A38" s="44" t="s">
        <v>230</v>
      </c>
      <c r="B38" s="24" t="s">
        <v>231</v>
      </c>
      <c r="C38" s="24" t="s">
        <v>232</v>
      </c>
      <c r="D38" s="24" t="s">
        <v>233</v>
      </c>
      <c r="E38" s="24" t="s">
        <v>234</v>
      </c>
      <c r="F38" s="45" t="s">
        <v>235</v>
      </c>
      <c r="G38" s="22"/>
      <c r="H38" s="46"/>
      <c r="I38" s="41"/>
      <c r="O38" s="43"/>
    </row>
    <row r="39">
      <c r="A39" s="47" t="s">
        <v>236</v>
      </c>
      <c r="B39" s="24" t="s">
        <v>237</v>
      </c>
      <c r="C39" s="24" t="s">
        <v>238</v>
      </c>
      <c r="D39" s="24" t="s">
        <v>239</v>
      </c>
      <c r="E39" s="24" t="s">
        <v>240</v>
      </c>
      <c r="F39" s="45" t="s">
        <v>241</v>
      </c>
      <c r="G39" s="22"/>
      <c r="H39" s="49" t="s">
        <v>243</v>
      </c>
      <c r="I39" s="41"/>
      <c r="J39" s="56" t="s">
        <v>246</v>
      </c>
      <c r="O39" s="43"/>
    </row>
    <row r="40">
      <c r="A40" s="51" t="s">
        <v>247</v>
      </c>
      <c r="B40" s="52" t="s">
        <v>248</v>
      </c>
      <c r="C40" s="52" t="s">
        <v>250</v>
      </c>
      <c r="D40" s="52" t="s">
        <v>251</v>
      </c>
      <c r="E40" s="52" t="s">
        <v>252</v>
      </c>
      <c r="F40" s="53" t="s">
        <v>253</v>
      </c>
      <c r="G40" s="22"/>
      <c r="H40" s="18"/>
      <c r="I40" s="77"/>
      <c r="J40" s="19"/>
      <c r="K40" s="19"/>
      <c r="L40" s="19"/>
      <c r="M40" s="19"/>
      <c r="N40" s="19"/>
      <c r="O40" s="21"/>
    </row>
    <row r="41">
      <c r="A41" s="22"/>
      <c r="B41" s="6"/>
      <c r="C41" s="22"/>
      <c r="D41" s="22"/>
      <c r="E41" s="22"/>
      <c r="F41" s="22"/>
      <c r="G41" s="22"/>
      <c r="H41" s="22"/>
      <c r="I41" s="22"/>
      <c r="J41" s="79"/>
      <c r="K41" s="79"/>
      <c r="L41" s="79"/>
      <c r="M41" s="79"/>
      <c r="N41" s="79"/>
      <c r="O41" s="79"/>
    </row>
    <row r="42">
      <c r="A42" s="29" t="s">
        <v>87</v>
      </c>
      <c r="B42" s="30"/>
      <c r="C42" s="30"/>
      <c r="D42" s="30"/>
      <c r="E42" s="30"/>
      <c r="F42" s="31"/>
      <c r="G42" s="22"/>
      <c r="H42" s="22"/>
      <c r="I42" s="22"/>
      <c r="J42" s="79"/>
      <c r="K42" s="79"/>
      <c r="L42" s="79"/>
      <c r="M42" s="79"/>
      <c r="N42" s="79"/>
      <c r="O42" s="79"/>
    </row>
    <row r="43">
      <c r="A43" s="37" t="s">
        <v>98</v>
      </c>
      <c r="B43" s="38" t="s">
        <v>99</v>
      </c>
      <c r="C43" s="38" t="s">
        <v>100</v>
      </c>
      <c r="D43" s="38" t="s">
        <v>101</v>
      </c>
      <c r="E43" s="38" t="s">
        <v>102</v>
      </c>
      <c r="F43" s="39" t="s">
        <v>103</v>
      </c>
      <c r="G43" s="6"/>
      <c r="H43" s="22"/>
      <c r="I43" s="22"/>
      <c r="J43" s="84"/>
      <c r="K43" s="84"/>
      <c r="L43" s="84"/>
      <c r="M43" s="84"/>
      <c r="N43" s="84"/>
      <c r="O43" s="84"/>
    </row>
    <row r="44">
      <c r="A44" s="44" t="s">
        <v>258</v>
      </c>
      <c r="B44" s="24" t="s">
        <v>259</v>
      </c>
      <c r="C44" s="24" t="s">
        <v>260</v>
      </c>
      <c r="D44" s="24" t="s">
        <v>261</v>
      </c>
      <c r="E44" s="24" t="s">
        <v>262</v>
      </c>
      <c r="F44" s="45" t="s">
        <v>263</v>
      </c>
      <c r="G44" s="6"/>
      <c r="H44" s="6"/>
      <c r="I44" s="6"/>
      <c r="J44" s="87"/>
      <c r="K44" s="87"/>
      <c r="L44" s="87"/>
      <c r="M44" s="87"/>
      <c r="N44" s="87"/>
      <c r="O44" s="89"/>
    </row>
    <row r="45">
      <c r="A45" s="47" t="s">
        <v>264</v>
      </c>
      <c r="B45" s="24" t="s">
        <v>265</v>
      </c>
      <c r="C45" s="24" t="s">
        <v>266</v>
      </c>
      <c r="D45" s="24" t="s">
        <v>267</v>
      </c>
      <c r="E45" s="24" t="s">
        <v>268</v>
      </c>
      <c r="F45" s="45" t="s">
        <v>269</v>
      </c>
      <c r="G45" s="66"/>
      <c r="H45" s="66"/>
      <c r="I45" s="6"/>
      <c r="J45" s="87"/>
      <c r="K45" s="87"/>
      <c r="L45" s="87"/>
      <c r="M45" s="87"/>
      <c r="N45" s="87"/>
      <c r="O45" s="89"/>
    </row>
    <row r="46">
      <c r="A46" s="51" t="s">
        <v>270</v>
      </c>
      <c r="B46" s="52" t="s">
        <v>271</v>
      </c>
      <c r="C46" s="52" t="s">
        <v>273</v>
      </c>
      <c r="D46" s="52" t="s">
        <v>274</v>
      </c>
      <c r="E46" s="52" t="s">
        <v>275</v>
      </c>
      <c r="F46" s="53" t="s">
        <v>276</v>
      </c>
      <c r="G46" s="22"/>
      <c r="H46" s="22"/>
      <c r="I46" s="6"/>
      <c r="J46" s="6"/>
      <c r="K46" s="6"/>
      <c r="L46" s="6"/>
      <c r="M46" s="6"/>
      <c r="N46" s="6"/>
      <c r="O46" s="94"/>
    </row>
    <row r="47">
      <c r="A47" s="22"/>
      <c r="B47" s="6"/>
      <c r="C47" s="22"/>
      <c r="D47" s="22"/>
      <c r="E47" s="22"/>
      <c r="F47" s="22"/>
      <c r="G47" s="22"/>
      <c r="H47" s="22"/>
      <c r="I47" s="6"/>
      <c r="J47" s="6"/>
      <c r="K47" s="6"/>
      <c r="L47" s="6"/>
      <c r="M47" s="6"/>
      <c r="N47" s="6"/>
      <c r="O47" s="94"/>
    </row>
  </sheetData>
  <mergeCells count="46">
    <mergeCell ref="A1:O1"/>
    <mergeCell ref="A3:F4"/>
    <mergeCell ref="H3:O4"/>
    <mergeCell ref="H5:I6"/>
    <mergeCell ref="J5:O6"/>
    <mergeCell ref="A6:F6"/>
    <mergeCell ref="J7:O8"/>
    <mergeCell ref="H7:I8"/>
    <mergeCell ref="H9:I10"/>
    <mergeCell ref="J9:O10"/>
    <mergeCell ref="H11:I12"/>
    <mergeCell ref="J11:O12"/>
    <mergeCell ref="A12:F12"/>
    <mergeCell ref="J13:O14"/>
    <mergeCell ref="H13:I14"/>
    <mergeCell ref="H15:I16"/>
    <mergeCell ref="J15:O16"/>
    <mergeCell ref="H17:I18"/>
    <mergeCell ref="J17:O18"/>
    <mergeCell ref="A18:F18"/>
    <mergeCell ref="J19:O20"/>
    <mergeCell ref="H19:I20"/>
    <mergeCell ref="H21:I22"/>
    <mergeCell ref="J21:O22"/>
    <mergeCell ref="H23:I24"/>
    <mergeCell ref="J23:O24"/>
    <mergeCell ref="A24:F24"/>
    <mergeCell ref="J25:O26"/>
    <mergeCell ref="H25:I26"/>
    <mergeCell ref="H27:I28"/>
    <mergeCell ref="J27:O28"/>
    <mergeCell ref="H29:I30"/>
    <mergeCell ref="J29:O30"/>
    <mergeCell ref="A30:F30"/>
    <mergeCell ref="J31:O32"/>
    <mergeCell ref="H37:I38"/>
    <mergeCell ref="H39:I40"/>
    <mergeCell ref="J39:O40"/>
    <mergeCell ref="A42:F42"/>
    <mergeCell ref="H31:I32"/>
    <mergeCell ref="H33:I34"/>
    <mergeCell ref="J33:O34"/>
    <mergeCell ref="H35:I36"/>
    <mergeCell ref="J35:O36"/>
    <mergeCell ref="A36:F36"/>
    <mergeCell ref="J37:O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76.5" customHeight="1">
      <c r="A1" s="48" t="s">
        <v>113</v>
      </c>
    </row>
    <row r="2">
      <c r="A2" s="4"/>
      <c r="B2" s="30"/>
      <c r="C2" s="30"/>
      <c r="D2" s="4"/>
      <c r="E2" s="30"/>
      <c r="F2" s="30"/>
      <c r="G2" s="4"/>
      <c r="H2" s="30"/>
      <c r="I2" s="30"/>
      <c r="J2" s="4"/>
      <c r="K2" s="30"/>
      <c r="L2" s="30"/>
      <c r="M2" s="4"/>
      <c r="N2" s="30"/>
      <c r="O2" s="30"/>
    </row>
    <row r="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29" t="s">
        <v>7</v>
      </c>
      <c r="B4" s="30"/>
      <c r="C4" s="30"/>
      <c r="D4" s="30"/>
      <c r="E4" s="30"/>
      <c r="F4" s="30"/>
      <c r="G4" s="31"/>
      <c r="H4" s="6"/>
      <c r="I4" s="29" t="s">
        <v>21</v>
      </c>
      <c r="J4" s="30"/>
      <c r="K4" s="30"/>
      <c r="L4" s="30"/>
      <c r="M4" s="30"/>
      <c r="N4" s="30"/>
      <c r="O4" s="31"/>
    </row>
    <row r="5">
      <c r="A5" s="55">
        <f>SUM(B6:G11)</f>
        <v>1234</v>
      </c>
      <c r="B5" s="38" t="str">
        <f t="array" ref="B5">INDEX(A6,0)</f>
        <v>A1</v>
      </c>
      <c r="C5" s="38" t="str">
        <f t="array" ref="C5">INDEX(A7,0)</f>
        <v>A2</v>
      </c>
      <c r="D5" s="57" t="str">
        <f t="array" ref="D5">INDEX(A8,0)</f>
        <v>A3</v>
      </c>
      <c r="E5" s="57" t="str">
        <f t="array" ref="E5">INDEX(A9,0)</f>
        <v>A4</v>
      </c>
      <c r="F5" s="57" t="str">
        <f t="array" ref="F5">INDEX(A10,0)</f>
        <v>A5</v>
      </c>
      <c r="G5" s="58" t="str">
        <f t="array" ref="G5">INDEX(A11,0)</f>
        <v>A6</v>
      </c>
      <c r="H5" s="6"/>
      <c r="I5" s="59">
        <f>SUM(J6:O11)</f>
        <v>2632</v>
      </c>
      <c r="J5" s="38" t="str">
        <f t="array" ref="J5">INDEX(I6,0)</f>
        <v>B1</v>
      </c>
      <c r="K5" s="57" t="str">
        <f t="array" ref="K5">INDEX(I7,0)</f>
        <v>B2</v>
      </c>
      <c r="L5" s="57" t="str">
        <f t="array" ref="L5">INDEX(I8,0)</f>
        <v>B3</v>
      </c>
      <c r="M5" s="57" t="str">
        <f t="array" ref="M5">INDEX(I9,0)</f>
        <v>B4</v>
      </c>
      <c r="N5" s="57" t="str">
        <f t="array" ref="N5">INDEX(I10,0)</f>
        <v>B5</v>
      </c>
      <c r="O5" s="58" t="str">
        <f t="array" ref="O5">INDEX(I11,0)</f>
        <v>B6</v>
      </c>
    </row>
    <row r="6">
      <c r="A6" s="60" t="s">
        <v>5</v>
      </c>
      <c r="B6" s="61"/>
      <c r="C6" s="62" t="s">
        <v>202</v>
      </c>
      <c r="D6" s="62" t="s">
        <v>202</v>
      </c>
      <c r="E6" s="62" t="s">
        <v>202</v>
      </c>
      <c r="F6" s="62" t="s">
        <v>202</v>
      </c>
      <c r="G6" s="63" t="s">
        <v>202</v>
      </c>
      <c r="H6" s="6"/>
      <c r="I6" s="64" t="s">
        <v>19</v>
      </c>
      <c r="J6" s="61"/>
      <c r="K6" s="62">
        <v>32.0</v>
      </c>
      <c r="L6" s="62">
        <v>166.0</v>
      </c>
      <c r="M6" s="62">
        <v>66.0</v>
      </c>
      <c r="N6" s="62">
        <v>154.0</v>
      </c>
      <c r="O6" s="63">
        <v>96.0</v>
      </c>
    </row>
    <row r="7">
      <c r="A7" s="64" t="s">
        <v>8</v>
      </c>
      <c r="B7" s="65"/>
      <c r="C7" s="61"/>
      <c r="D7" s="62">
        <v>82.0</v>
      </c>
      <c r="E7" s="62">
        <v>104.0</v>
      </c>
      <c r="F7" s="62">
        <v>86.0</v>
      </c>
      <c r="G7" s="63">
        <v>138.0</v>
      </c>
      <c r="H7" s="6"/>
      <c r="I7" s="64" t="s">
        <v>22</v>
      </c>
      <c r="J7" s="65">
        <v>114.0</v>
      </c>
      <c r="K7" s="61"/>
      <c r="L7" s="62">
        <v>146.0</v>
      </c>
      <c r="M7" s="62">
        <v>78.0</v>
      </c>
      <c r="N7" s="62">
        <v>130.0</v>
      </c>
      <c r="O7" s="63">
        <v>68.0</v>
      </c>
    </row>
    <row r="8">
      <c r="A8" s="60" t="s">
        <v>10</v>
      </c>
      <c r="B8" s="62"/>
      <c r="C8" s="62">
        <v>84.0</v>
      </c>
      <c r="D8" s="61"/>
      <c r="E8" s="62">
        <v>102.0</v>
      </c>
      <c r="F8" s="62">
        <v>116.0</v>
      </c>
      <c r="G8" s="63">
        <v>100.0</v>
      </c>
      <c r="H8" s="6"/>
      <c r="I8" s="64" t="s">
        <v>24</v>
      </c>
      <c r="J8" s="62">
        <v>18.0</v>
      </c>
      <c r="K8" s="62">
        <v>54.0</v>
      </c>
      <c r="L8" s="61"/>
      <c r="M8" s="62">
        <v>14.0</v>
      </c>
      <c r="N8" s="62">
        <v>88.0</v>
      </c>
      <c r="O8" s="63">
        <v>26.0</v>
      </c>
    </row>
    <row r="9">
      <c r="A9" s="64" t="s">
        <v>13</v>
      </c>
      <c r="B9" s="62"/>
      <c r="C9" s="62">
        <v>26.0</v>
      </c>
      <c r="D9" s="62">
        <v>64.0</v>
      </c>
      <c r="E9" s="61"/>
      <c r="F9" s="62">
        <v>90.0</v>
      </c>
      <c r="G9" s="63">
        <v>82.0</v>
      </c>
      <c r="H9" s="6"/>
      <c r="I9" s="64" t="s">
        <v>27</v>
      </c>
      <c r="J9" s="62">
        <v>104.0</v>
      </c>
      <c r="K9" s="62">
        <v>146.0</v>
      </c>
      <c r="L9" s="62">
        <v>118.0</v>
      </c>
      <c r="M9" s="61"/>
      <c r="N9" s="62">
        <v>126.0</v>
      </c>
      <c r="O9" s="63">
        <v>144.0</v>
      </c>
    </row>
    <row r="10">
      <c r="A10" s="64" t="s">
        <v>15</v>
      </c>
      <c r="B10" s="62"/>
      <c r="C10" s="62">
        <v>12.0</v>
      </c>
      <c r="D10" s="62">
        <v>30.0</v>
      </c>
      <c r="E10" s="62">
        <v>26.0</v>
      </c>
      <c r="F10" s="61"/>
      <c r="G10" s="63">
        <v>24.0</v>
      </c>
      <c r="H10" s="6"/>
      <c r="I10" s="64" t="s">
        <v>29</v>
      </c>
      <c r="J10" s="62">
        <v>50.0</v>
      </c>
      <c r="K10" s="62">
        <v>92.0</v>
      </c>
      <c r="L10" s="62">
        <v>134.0</v>
      </c>
      <c r="M10" s="62">
        <v>76.0</v>
      </c>
      <c r="N10" s="61"/>
      <c r="O10" s="63">
        <v>118.0</v>
      </c>
    </row>
    <row r="11">
      <c r="A11" s="68" t="s">
        <v>17</v>
      </c>
      <c r="B11" s="69"/>
      <c r="C11" s="69">
        <v>0.0</v>
      </c>
      <c r="D11" s="69">
        <v>4.0</v>
      </c>
      <c r="E11" s="69">
        <v>42.0</v>
      </c>
      <c r="F11" s="69">
        <v>22.0</v>
      </c>
      <c r="G11" s="73"/>
      <c r="H11" s="6"/>
      <c r="I11" s="68" t="s">
        <v>31</v>
      </c>
      <c r="J11" s="69">
        <v>6.0</v>
      </c>
      <c r="K11" s="69">
        <v>64.0</v>
      </c>
      <c r="L11" s="69">
        <v>66.0</v>
      </c>
      <c r="M11" s="69">
        <v>88.0</v>
      </c>
      <c r="N11" s="69">
        <v>50.0</v>
      </c>
      <c r="O11" s="73"/>
    </row>
    <row r="12">
      <c r="A12" s="6"/>
      <c r="B12" s="6"/>
      <c r="C12" s="6"/>
      <c r="D12" s="6"/>
      <c r="E12" s="54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>
      <c r="A13" s="29" t="s">
        <v>35</v>
      </c>
      <c r="B13" s="30"/>
      <c r="C13" s="30"/>
      <c r="D13" s="30"/>
      <c r="E13" s="30"/>
      <c r="F13" s="30"/>
      <c r="G13" s="31"/>
      <c r="H13" s="6"/>
      <c r="I13" s="29" t="s">
        <v>47</v>
      </c>
      <c r="J13" s="30"/>
      <c r="K13" s="30"/>
      <c r="L13" s="30"/>
      <c r="M13" s="30"/>
      <c r="N13" s="30"/>
      <c r="O13" s="31"/>
    </row>
    <row r="14">
      <c r="A14" s="59">
        <f>SUM(B15:G20)</f>
        <v>2158</v>
      </c>
      <c r="B14" s="57" t="str">
        <f t="array" ref="B14">INDEX(A15,0)</f>
        <v>C1</v>
      </c>
      <c r="C14" s="57" t="str">
        <f t="array" ref="C14">INDEX(A16,0)</f>
        <v>C2</v>
      </c>
      <c r="D14" s="57" t="str">
        <f t="array" ref="D14">INDEX(A17,0)</f>
        <v>C3</v>
      </c>
      <c r="E14" s="57" t="str">
        <f t="array" ref="E14">INDEX(A18,0)</f>
        <v>C4</v>
      </c>
      <c r="F14" s="57" t="str">
        <f t="array" ref="F14">INDEX(A19,0)</f>
        <v>C5</v>
      </c>
      <c r="G14" s="58" t="str">
        <f t="array" ref="G14">INDEX(A20,0)</f>
        <v>C6</v>
      </c>
      <c r="H14" s="6"/>
      <c r="I14" s="59">
        <f>SUM(J15:O20)</f>
        <v>1676</v>
      </c>
      <c r="J14" s="57" t="str">
        <f t="array" ref="J14">INDEX(I15,0)</f>
        <v>D1</v>
      </c>
      <c r="K14" s="57" t="str">
        <f t="array" ref="K14">INDEX(I16,0)</f>
        <v>D2</v>
      </c>
      <c r="L14" s="57" t="str">
        <f t="array" ref="L14">INDEX(I17,0)</f>
        <v>D3</v>
      </c>
      <c r="M14" s="57" t="str">
        <f t="array" ref="M14">INDEX(I18,0)</f>
        <v>D4</v>
      </c>
      <c r="N14" s="57" t="str">
        <f t="array" ref="N14">INDEX(I19,0)</f>
        <v>D5</v>
      </c>
      <c r="O14" s="58" t="str">
        <f t="array" ref="O14">INDEX(I20,0)</f>
        <v>D6</v>
      </c>
    </row>
    <row r="15">
      <c r="A15" s="64" t="s">
        <v>33</v>
      </c>
      <c r="B15" s="61"/>
      <c r="C15" s="62">
        <v>108.0</v>
      </c>
      <c r="D15" s="62">
        <v>64.0</v>
      </c>
      <c r="E15" s="62">
        <v>106.0</v>
      </c>
      <c r="F15" s="62">
        <v>36.0</v>
      </c>
      <c r="G15" s="63">
        <v>82.0</v>
      </c>
      <c r="H15" s="6"/>
      <c r="I15" s="64" t="s">
        <v>46</v>
      </c>
      <c r="J15" s="61"/>
      <c r="K15" s="62" t="s">
        <v>202</v>
      </c>
      <c r="L15" s="62" t="s">
        <v>202</v>
      </c>
      <c r="M15" s="62" t="s">
        <v>202</v>
      </c>
      <c r="N15" s="62" t="s">
        <v>202</v>
      </c>
      <c r="O15" s="63" t="s">
        <v>202</v>
      </c>
    </row>
    <row r="16">
      <c r="A16" s="64" t="s">
        <v>36</v>
      </c>
      <c r="B16" s="65">
        <v>70.0</v>
      </c>
      <c r="C16" s="61"/>
      <c r="D16" s="62">
        <v>50.0</v>
      </c>
      <c r="E16" s="62">
        <v>62.0</v>
      </c>
      <c r="F16" s="62">
        <v>40.0</v>
      </c>
      <c r="G16" s="63">
        <v>26.0</v>
      </c>
      <c r="H16" s="6"/>
      <c r="I16" s="64" t="s">
        <v>48</v>
      </c>
      <c r="J16" s="115"/>
      <c r="K16" s="61"/>
      <c r="L16" s="62">
        <v>44.0</v>
      </c>
      <c r="M16" s="62">
        <v>54.0</v>
      </c>
      <c r="N16" s="62">
        <v>94.0</v>
      </c>
      <c r="O16" s="63">
        <v>14.0</v>
      </c>
    </row>
    <row r="17">
      <c r="A17" s="64" t="s">
        <v>38</v>
      </c>
      <c r="B17" s="62">
        <v>32.0</v>
      </c>
      <c r="C17" s="62">
        <v>110.0</v>
      </c>
      <c r="D17" s="61"/>
      <c r="E17" s="62">
        <v>98.0</v>
      </c>
      <c r="F17" s="62">
        <v>140.0</v>
      </c>
      <c r="G17" s="63">
        <v>50.0</v>
      </c>
      <c r="H17" s="6"/>
      <c r="I17" s="64" t="s">
        <v>50</v>
      </c>
      <c r="J17" s="62"/>
      <c r="K17" s="62">
        <v>34.0</v>
      </c>
      <c r="L17" s="61"/>
      <c r="M17" s="62">
        <v>4.0</v>
      </c>
      <c r="N17" s="62">
        <v>116.0</v>
      </c>
      <c r="O17" s="63">
        <v>8.0</v>
      </c>
    </row>
    <row r="18">
      <c r="A18" s="64" t="s">
        <v>40</v>
      </c>
      <c r="B18" s="62">
        <v>68.0</v>
      </c>
      <c r="C18" s="62">
        <v>104.0</v>
      </c>
      <c r="D18" s="62">
        <v>72.0</v>
      </c>
      <c r="E18" s="61"/>
      <c r="F18" s="62">
        <v>82.0</v>
      </c>
      <c r="G18" s="63">
        <v>98.0</v>
      </c>
      <c r="H18" s="6"/>
      <c r="I18" s="64" t="s">
        <v>52</v>
      </c>
      <c r="J18" s="62"/>
      <c r="K18" s="62">
        <v>154.0</v>
      </c>
      <c r="L18" s="62">
        <v>172.0</v>
      </c>
      <c r="M18" s="61"/>
      <c r="N18" s="62">
        <v>140.0</v>
      </c>
      <c r="O18" s="63">
        <v>182.0</v>
      </c>
    </row>
    <row r="19">
      <c r="A19" s="64" t="s">
        <v>42</v>
      </c>
      <c r="B19" s="62">
        <v>128.0</v>
      </c>
      <c r="C19" s="62">
        <v>54.0</v>
      </c>
      <c r="D19" s="62">
        <v>80.0</v>
      </c>
      <c r="E19" s="62">
        <v>106.0</v>
      </c>
      <c r="F19" s="61"/>
      <c r="G19" s="63">
        <v>68.0</v>
      </c>
      <c r="H19" s="6"/>
      <c r="I19" s="64" t="s">
        <v>54</v>
      </c>
      <c r="J19" s="62"/>
      <c r="K19" s="62">
        <v>36.0</v>
      </c>
      <c r="L19" s="62">
        <v>56.0</v>
      </c>
      <c r="M19" s="62">
        <v>4.0</v>
      </c>
      <c r="N19" s="61"/>
      <c r="O19" s="63">
        <v>18.0</v>
      </c>
    </row>
    <row r="20">
      <c r="A20" s="68" t="s">
        <v>44</v>
      </c>
      <c r="B20" s="69">
        <v>36.0</v>
      </c>
      <c r="C20" s="69">
        <v>36.0</v>
      </c>
      <c r="D20" s="69">
        <v>26.0</v>
      </c>
      <c r="E20" s="69">
        <v>80.0</v>
      </c>
      <c r="F20" s="69">
        <v>46.0</v>
      </c>
      <c r="G20" s="73"/>
      <c r="H20" s="6"/>
      <c r="I20" s="68" t="s">
        <v>56</v>
      </c>
      <c r="J20" s="69"/>
      <c r="K20" s="69">
        <v>154.0</v>
      </c>
      <c r="L20" s="69">
        <v>184.0</v>
      </c>
      <c r="M20" s="69">
        <v>46.0</v>
      </c>
      <c r="N20" s="69">
        <v>162.0</v>
      </c>
      <c r="O20" s="73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>
      <c r="A22" s="123" t="s">
        <v>60</v>
      </c>
      <c r="B22" s="12"/>
      <c r="C22" s="12"/>
      <c r="D22" s="12"/>
      <c r="E22" s="12"/>
      <c r="F22" s="12"/>
      <c r="G22" s="14"/>
      <c r="H22" s="6"/>
      <c r="I22" s="29" t="s">
        <v>74</v>
      </c>
      <c r="J22" s="30"/>
      <c r="K22" s="30"/>
      <c r="L22" s="30"/>
      <c r="M22" s="30"/>
      <c r="N22" s="30"/>
      <c r="O22" s="31"/>
    </row>
    <row r="23">
      <c r="A23" s="126">
        <f>SUM(B24:G29)</f>
        <v>2138</v>
      </c>
      <c r="B23" s="57" t="str">
        <f t="array" ref="B23">INDEX(A24,0)</f>
        <v>E1</v>
      </c>
      <c r="C23" s="57" t="str">
        <f t="array" ref="C23">INDEX(A25,0)</f>
        <v>E2</v>
      </c>
      <c r="D23" s="57" t="str">
        <f t="array" ref="D23">INDEX(A26,0)</f>
        <v>E3</v>
      </c>
      <c r="E23" s="57" t="str">
        <f t="array" ref="E23">INDEX(A27,0)</f>
        <v>E4</v>
      </c>
      <c r="F23" s="57" t="str">
        <f t="array" ref="F23">INDEX(A28,0)</f>
        <v>E5</v>
      </c>
      <c r="G23" s="58" t="str">
        <f t="array" ref="G23">INDEX(A29,0)</f>
        <v>E6</v>
      </c>
      <c r="H23" s="6"/>
      <c r="I23" s="131">
        <f>SUM(J24:O29)</f>
        <v>2700</v>
      </c>
      <c r="J23" s="57" t="str">
        <f t="array" ref="J23">INDEX(I24,0)</f>
        <v>F1</v>
      </c>
      <c r="K23" s="57" t="str">
        <f t="array" ref="K23">INDEX(I25,0)</f>
        <v>F2</v>
      </c>
      <c r="L23" s="57" t="str">
        <f t="array" ref="L23">INDEX(I26,0)</f>
        <v>F3</v>
      </c>
      <c r="M23" s="57" t="str">
        <f t="array" ref="M23">INDEX(I27,0)</f>
        <v>F4</v>
      </c>
      <c r="N23" s="57" t="str">
        <f t="array" ref="N23">INDEX(I28,0)</f>
        <v>F5</v>
      </c>
      <c r="O23" s="58" t="str">
        <f t="array" ref="O23">INDEX(I29,0)</f>
        <v>F6</v>
      </c>
    </row>
    <row r="24">
      <c r="A24" s="64" t="s">
        <v>58</v>
      </c>
      <c r="B24" s="61"/>
      <c r="C24" s="62">
        <v>42.0</v>
      </c>
      <c r="D24" s="62">
        <v>8.0</v>
      </c>
      <c r="E24" s="62">
        <v>60.0</v>
      </c>
      <c r="F24" s="62">
        <v>20.0</v>
      </c>
      <c r="G24" s="63">
        <v>70.0</v>
      </c>
      <c r="H24" s="6"/>
      <c r="I24" s="64" t="s">
        <v>72</v>
      </c>
      <c r="J24" s="61"/>
      <c r="K24" s="62">
        <v>174.0</v>
      </c>
      <c r="L24" s="62">
        <v>142.0</v>
      </c>
      <c r="M24" s="62">
        <v>106.0</v>
      </c>
      <c r="N24" s="62">
        <v>122.0</v>
      </c>
      <c r="O24" s="63">
        <v>136.0</v>
      </c>
    </row>
    <row r="25">
      <c r="A25" s="64" t="s">
        <v>61</v>
      </c>
      <c r="B25" s="65">
        <v>138.0</v>
      </c>
      <c r="C25" s="61"/>
      <c r="D25" s="62">
        <v>54.0</v>
      </c>
      <c r="E25" s="62">
        <v>72.0</v>
      </c>
      <c r="F25" s="62">
        <v>88.0</v>
      </c>
      <c r="G25" s="63">
        <v>58.0</v>
      </c>
      <c r="H25" s="6"/>
      <c r="I25" s="64" t="s">
        <v>75</v>
      </c>
      <c r="J25" s="65">
        <v>28.0</v>
      </c>
      <c r="K25" s="61"/>
      <c r="L25" s="62">
        <v>102.0</v>
      </c>
      <c r="M25" s="62">
        <v>22.0</v>
      </c>
      <c r="N25" s="62">
        <v>8.0</v>
      </c>
      <c r="O25" s="63">
        <v>12.0</v>
      </c>
    </row>
    <row r="26">
      <c r="A26" s="64" t="s">
        <v>64</v>
      </c>
      <c r="B26" s="62">
        <v>138.0</v>
      </c>
      <c r="C26" s="62">
        <v>154.0</v>
      </c>
      <c r="D26" s="61"/>
      <c r="E26" s="62">
        <v>144.0</v>
      </c>
      <c r="F26" s="62">
        <v>164.0</v>
      </c>
      <c r="G26" s="63">
        <v>190.0</v>
      </c>
      <c r="H26" s="6"/>
      <c r="I26" s="64" t="s">
        <v>78</v>
      </c>
      <c r="J26" s="62">
        <v>22.0</v>
      </c>
      <c r="K26" s="62">
        <v>14.0</v>
      </c>
      <c r="L26" s="61"/>
      <c r="M26" s="62">
        <v>18.0</v>
      </c>
      <c r="N26" s="62">
        <v>0.0</v>
      </c>
      <c r="O26" s="63">
        <v>28.0</v>
      </c>
    </row>
    <row r="27">
      <c r="A27" s="64" t="s">
        <v>66</v>
      </c>
      <c r="B27" s="62">
        <v>56.0</v>
      </c>
      <c r="C27" s="62">
        <v>68.0</v>
      </c>
      <c r="D27" s="62">
        <v>16.0</v>
      </c>
      <c r="E27" s="61"/>
      <c r="F27" s="62">
        <v>130.0</v>
      </c>
      <c r="G27" s="63">
        <v>150.0</v>
      </c>
      <c r="H27" s="6"/>
      <c r="I27" s="64" t="s">
        <v>80</v>
      </c>
      <c r="J27" s="62">
        <v>84.0</v>
      </c>
      <c r="K27" s="62">
        <v>92.0</v>
      </c>
      <c r="L27" s="62">
        <v>178.0</v>
      </c>
      <c r="M27" s="61"/>
      <c r="N27" s="62">
        <v>146.0</v>
      </c>
      <c r="O27" s="63">
        <v>158.0</v>
      </c>
    </row>
    <row r="28">
      <c r="A28" s="64" t="s">
        <v>68</v>
      </c>
      <c r="B28" s="62">
        <v>78.0</v>
      </c>
      <c r="C28" s="62">
        <v>36.0</v>
      </c>
      <c r="D28" s="62">
        <v>34.0</v>
      </c>
      <c r="E28" s="62">
        <v>16.0</v>
      </c>
      <c r="F28" s="61"/>
      <c r="G28" s="63">
        <v>98.0</v>
      </c>
      <c r="H28" s="6"/>
      <c r="I28" s="64" t="s">
        <v>82</v>
      </c>
      <c r="J28" s="62">
        <v>100.0</v>
      </c>
      <c r="K28" s="62">
        <v>142.0</v>
      </c>
      <c r="L28" s="62">
        <v>256.0</v>
      </c>
      <c r="M28" s="62">
        <v>84.0</v>
      </c>
      <c r="N28" s="61"/>
      <c r="O28" s="63">
        <v>116.0</v>
      </c>
    </row>
    <row r="29">
      <c r="A29" s="68" t="s">
        <v>70</v>
      </c>
      <c r="B29" s="69">
        <v>12.0</v>
      </c>
      <c r="C29" s="69">
        <v>32.0</v>
      </c>
      <c r="D29" s="69">
        <v>-4.0</v>
      </c>
      <c r="E29" s="69">
        <v>16.0</v>
      </c>
      <c r="F29" s="69">
        <v>0.0</v>
      </c>
      <c r="G29" s="73"/>
      <c r="H29" s="6"/>
      <c r="I29" s="68" t="s">
        <v>84</v>
      </c>
      <c r="J29" s="69">
        <v>56.0</v>
      </c>
      <c r="K29" s="69">
        <v>84.0</v>
      </c>
      <c r="L29" s="69">
        <v>114.0</v>
      </c>
      <c r="M29" s="69">
        <v>64.0</v>
      </c>
      <c r="N29" s="69">
        <v>92.0</v>
      </c>
      <c r="O29" s="73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A31" s="29" t="s">
        <v>87</v>
      </c>
      <c r="B31" s="30"/>
      <c r="C31" s="30"/>
      <c r="D31" s="30"/>
      <c r="E31" s="30"/>
      <c r="F31" s="30"/>
      <c r="G31" s="31"/>
      <c r="H31" s="6"/>
      <c r="I31" s="94"/>
      <c r="J31" s="94"/>
      <c r="K31" s="94"/>
      <c r="L31" s="94"/>
      <c r="M31" s="94"/>
      <c r="N31" s="94"/>
      <c r="O31" s="94"/>
    </row>
    <row r="32">
      <c r="A32" s="131">
        <f>SUM(B33:G38)</f>
        <v>1412</v>
      </c>
      <c r="B32" s="57" t="str">
        <f t="array" ref="B32">INDEX(A33,0)</f>
        <v>G1</v>
      </c>
      <c r="C32" s="57" t="str">
        <f t="array" ref="C32">INDEX(A34,0)</f>
        <v>G2</v>
      </c>
      <c r="D32" s="57" t="str">
        <f t="array" ref="D32">INDEX(A35,0)</f>
        <v>G3</v>
      </c>
      <c r="E32" s="57" t="str">
        <f t="array" ref="E32">INDEX(A36,0)</f>
        <v>G4</v>
      </c>
      <c r="F32" s="57" t="str">
        <f t="array" ref="F32">INDEX(A37,0)</f>
        <v>G5</v>
      </c>
      <c r="G32" s="58" t="str">
        <f t="array" ref="G32">INDEX(A38,0)</f>
        <v>G6</v>
      </c>
      <c r="H32" s="6"/>
      <c r="I32" s="94"/>
      <c r="J32" s="94"/>
      <c r="K32" s="94"/>
      <c r="L32" s="94"/>
      <c r="M32" s="94"/>
      <c r="N32" s="94"/>
      <c r="O32" s="94"/>
    </row>
    <row r="33">
      <c r="A33" s="64" t="s">
        <v>86</v>
      </c>
      <c r="B33" s="61"/>
      <c r="C33" s="62" t="s">
        <v>202</v>
      </c>
      <c r="D33" s="62" t="s">
        <v>202</v>
      </c>
      <c r="E33" s="62" t="s">
        <v>202</v>
      </c>
      <c r="F33" s="62" t="s">
        <v>202</v>
      </c>
      <c r="G33" s="63" t="s">
        <v>202</v>
      </c>
      <c r="H33" s="6"/>
      <c r="I33" s="94"/>
      <c r="J33" s="94"/>
      <c r="K33" s="94"/>
      <c r="L33" s="94"/>
      <c r="M33" s="94"/>
      <c r="N33" s="94"/>
      <c r="O33" s="94"/>
    </row>
    <row r="34">
      <c r="A34" s="64" t="s">
        <v>88</v>
      </c>
      <c r="B34" s="115"/>
      <c r="C34" s="61"/>
      <c r="D34" s="62">
        <v>64.0</v>
      </c>
      <c r="E34" s="62">
        <v>8.0</v>
      </c>
      <c r="F34" s="62">
        <v>18.0</v>
      </c>
      <c r="G34" s="137">
        <v>20.0</v>
      </c>
      <c r="H34" s="6"/>
      <c r="I34" s="94"/>
      <c r="J34" s="94"/>
      <c r="K34" s="94"/>
      <c r="L34" s="94"/>
      <c r="M34" s="94"/>
      <c r="N34" s="94"/>
      <c r="O34" s="94"/>
    </row>
    <row r="35">
      <c r="A35" s="64" t="s">
        <v>90</v>
      </c>
      <c r="B35" s="62"/>
      <c r="C35" s="62">
        <v>40.0</v>
      </c>
      <c r="D35" s="61"/>
      <c r="E35" s="62">
        <v>40.0</v>
      </c>
      <c r="F35" s="62">
        <v>26.0</v>
      </c>
      <c r="G35" s="63">
        <v>16.0</v>
      </c>
      <c r="H35" s="6"/>
      <c r="I35" s="94"/>
      <c r="J35" s="94"/>
      <c r="K35" s="94"/>
      <c r="L35" s="94"/>
      <c r="M35" s="94"/>
      <c r="N35" s="94"/>
      <c r="O35" s="94"/>
    </row>
    <row r="36">
      <c r="A36" s="64" t="s">
        <v>92</v>
      </c>
      <c r="B36" s="62"/>
      <c r="C36" s="62">
        <v>120.0</v>
      </c>
      <c r="D36" s="62">
        <v>88.0</v>
      </c>
      <c r="E36" s="61"/>
      <c r="F36" s="62">
        <v>14.0</v>
      </c>
      <c r="G36" s="63">
        <v>94.0</v>
      </c>
      <c r="H36" s="6"/>
      <c r="I36" s="94"/>
      <c r="J36" s="94"/>
      <c r="K36" s="94"/>
      <c r="L36" s="94"/>
      <c r="M36" s="94"/>
      <c r="N36" s="94"/>
      <c r="O36" s="94"/>
    </row>
    <row r="37">
      <c r="A37" s="64" t="s">
        <v>94</v>
      </c>
      <c r="B37" s="62"/>
      <c r="C37" s="62">
        <v>128.0</v>
      </c>
      <c r="D37" s="62">
        <v>160.0</v>
      </c>
      <c r="E37" s="62">
        <v>218.0</v>
      </c>
      <c r="F37" s="61"/>
      <c r="G37" s="63">
        <v>186.0</v>
      </c>
      <c r="H37" s="6"/>
      <c r="I37" s="94"/>
      <c r="J37" s="94"/>
      <c r="K37" s="94"/>
      <c r="L37" s="94"/>
      <c r="M37" s="94"/>
      <c r="N37" s="94"/>
      <c r="O37" s="94"/>
    </row>
    <row r="38">
      <c r="A38" s="68" t="s">
        <v>96</v>
      </c>
      <c r="B38" s="69"/>
      <c r="C38" s="69">
        <v>34.0</v>
      </c>
      <c r="D38" s="69">
        <v>42.0</v>
      </c>
      <c r="E38" s="69">
        <v>50.0</v>
      </c>
      <c r="F38" s="69">
        <v>46.0</v>
      </c>
      <c r="G38" s="73"/>
      <c r="H38" s="6"/>
      <c r="I38" s="94"/>
      <c r="J38" s="94"/>
      <c r="K38" s="94"/>
      <c r="L38" s="94"/>
      <c r="M38" s="94"/>
      <c r="N38" s="94"/>
      <c r="O38" s="94"/>
    </row>
  </sheetData>
  <mergeCells count="13">
    <mergeCell ref="A4:G4"/>
    <mergeCell ref="A13:G13"/>
    <mergeCell ref="I13:O13"/>
    <mergeCell ref="A22:G22"/>
    <mergeCell ref="I22:O22"/>
    <mergeCell ref="A31:G31"/>
    <mergeCell ref="A1:O1"/>
    <mergeCell ref="A2:C2"/>
    <mergeCell ref="D2:F2"/>
    <mergeCell ref="G2:I2"/>
    <mergeCell ref="J2:L2"/>
    <mergeCell ref="M2:O2"/>
    <mergeCell ref="I4:O4"/>
  </mergeCells>
  <conditionalFormatting sqref="B7">
    <cfRule type="cellIs" dxfId="0" priority="1" operator="greaterThan">
      <formula>C6</formula>
    </cfRule>
  </conditionalFormatting>
  <conditionalFormatting sqref="B7">
    <cfRule type="cellIs" dxfId="1" priority="2" operator="equal">
      <formula>C6</formula>
    </cfRule>
  </conditionalFormatting>
  <conditionalFormatting sqref="D6">
    <cfRule type="cellIs" dxfId="0" priority="3" operator="greaterThan">
      <formula>B8</formula>
    </cfRule>
  </conditionalFormatting>
  <conditionalFormatting sqref="C6">
    <cfRule type="cellIs" dxfId="0" priority="4" operator="greaterThan">
      <formula>B7</formula>
    </cfRule>
  </conditionalFormatting>
  <conditionalFormatting sqref="C6">
    <cfRule type="cellIs" dxfId="1" priority="5" operator="equal">
      <formula>B7</formula>
    </cfRule>
  </conditionalFormatting>
  <conditionalFormatting sqref="D6">
    <cfRule type="cellIs" dxfId="1" priority="6" operator="equal">
      <formula>B8</formula>
    </cfRule>
  </conditionalFormatting>
  <conditionalFormatting sqref="E6">
    <cfRule type="cellIs" dxfId="1" priority="7" operator="equal">
      <formula>B9</formula>
    </cfRule>
  </conditionalFormatting>
  <conditionalFormatting sqref="F6">
    <cfRule type="cellIs" dxfId="1" priority="8" operator="equal">
      <formula>B10</formula>
    </cfRule>
  </conditionalFormatting>
  <conditionalFormatting sqref="G6:G7">
    <cfRule type="cellIs" dxfId="1" priority="9" operator="equal">
      <formula>B11</formula>
    </cfRule>
  </conditionalFormatting>
  <conditionalFormatting sqref="D7">
    <cfRule type="cellIs" dxfId="1" priority="10" operator="equal">
      <formula>C8</formula>
    </cfRule>
  </conditionalFormatting>
  <conditionalFormatting sqref="E7">
    <cfRule type="cellIs" dxfId="1" priority="11" operator="equal">
      <formula>C9</formula>
    </cfRule>
  </conditionalFormatting>
  <conditionalFormatting sqref="F7">
    <cfRule type="cellIs" dxfId="1" priority="12" operator="equal">
      <formula>C10</formula>
    </cfRule>
  </conditionalFormatting>
  <conditionalFormatting sqref="G7">
    <cfRule type="cellIs" dxfId="1" priority="13" operator="equal">
      <formula>C11</formula>
    </cfRule>
  </conditionalFormatting>
  <conditionalFormatting sqref="B8">
    <cfRule type="cellIs" dxfId="1" priority="14" operator="equal">
      <formula>D6</formula>
    </cfRule>
  </conditionalFormatting>
  <conditionalFormatting sqref="C8">
    <cfRule type="cellIs" dxfId="1" priority="15" operator="equal">
      <formula>D7</formula>
    </cfRule>
  </conditionalFormatting>
  <conditionalFormatting sqref="E8">
    <cfRule type="cellIs" dxfId="1" priority="16" operator="equal">
      <formula>D9</formula>
    </cfRule>
  </conditionalFormatting>
  <conditionalFormatting sqref="F8">
    <cfRule type="cellIs" dxfId="2" priority="17" operator="equal">
      <formula>D10</formula>
    </cfRule>
  </conditionalFormatting>
  <conditionalFormatting sqref="G8">
    <cfRule type="cellIs" dxfId="1" priority="18" operator="equal">
      <formula>D11</formula>
    </cfRule>
  </conditionalFormatting>
  <conditionalFormatting sqref="B9">
    <cfRule type="cellIs" dxfId="1" priority="19" operator="equal">
      <formula>E6</formula>
    </cfRule>
  </conditionalFormatting>
  <conditionalFormatting sqref="C9">
    <cfRule type="cellIs" dxfId="1" priority="20" operator="equal">
      <formula>E7</formula>
    </cfRule>
  </conditionalFormatting>
  <conditionalFormatting sqref="D9">
    <cfRule type="cellIs" dxfId="1" priority="21" operator="equal">
      <formula>E8</formula>
    </cfRule>
  </conditionalFormatting>
  <conditionalFormatting sqref="F9">
    <cfRule type="cellIs" dxfId="1" priority="22" operator="equal">
      <formula>E10</formula>
    </cfRule>
  </conditionalFormatting>
  <conditionalFormatting sqref="G9">
    <cfRule type="cellIs" dxfId="1" priority="23" operator="equal">
      <formula>E11</formula>
    </cfRule>
  </conditionalFormatting>
  <conditionalFormatting sqref="B10">
    <cfRule type="cellIs" dxfId="1" priority="24" operator="equal">
      <formula>F6</formula>
    </cfRule>
  </conditionalFormatting>
  <conditionalFormatting sqref="C10">
    <cfRule type="cellIs" dxfId="1" priority="25" operator="equal">
      <formula>F7</formula>
    </cfRule>
  </conditionalFormatting>
  <conditionalFormatting sqref="D10">
    <cfRule type="cellIs" dxfId="1" priority="26" operator="equal">
      <formula>F8</formula>
    </cfRule>
  </conditionalFormatting>
  <conditionalFormatting sqref="E10">
    <cfRule type="cellIs" dxfId="1" priority="27" operator="equal">
      <formula>F9</formula>
    </cfRule>
  </conditionalFormatting>
  <conditionalFormatting sqref="G10">
    <cfRule type="cellIs" dxfId="1" priority="28" operator="equal">
      <formula>F11</formula>
    </cfRule>
  </conditionalFormatting>
  <conditionalFormatting sqref="B11">
    <cfRule type="cellIs" dxfId="1" priority="29" operator="equal">
      <formula>G6</formula>
    </cfRule>
  </conditionalFormatting>
  <conditionalFormatting sqref="C11">
    <cfRule type="cellIs" dxfId="1" priority="30" operator="equal">
      <formula>G7</formula>
    </cfRule>
  </conditionalFormatting>
  <conditionalFormatting sqref="D11">
    <cfRule type="cellIs" dxfId="1" priority="31" operator="equal">
      <formula>G8</formula>
    </cfRule>
  </conditionalFormatting>
  <conditionalFormatting sqref="E11">
    <cfRule type="cellIs" dxfId="1" priority="32" operator="equal">
      <formula>G9</formula>
    </cfRule>
  </conditionalFormatting>
  <conditionalFormatting sqref="F11">
    <cfRule type="cellIs" dxfId="1" priority="33" operator="equal">
      <formula>G10</formula>
    </cfRule>
  </conditionalFormatting>
  <conditionalFormatting sqref="K6">
    <cfRule type="cellIs" dxfId="1" priority="34" operator="equal">
      <formula>J7</formula>
    </cfRule>
  </conditionalFormatting>
  <conditionalFormatting sqref="L6">
    <cfRule type="cellIs" dxfId="1" priority="35" operator="equal">
      <formula>J8</formula>
    </cfRule>
  </conditionalFormatting>
  <conditionalFormatting sqref="M6">
    <cfRule type="cellIs" dxfId="1" priority="36" operator="equal">
      <formula>J9</formula>
    </cfRule>
  </conditionalFormatting>
  <conditionalFormatting sqref="N6">
    <cfRule type="cellIs" dxfId="1" priority="37" operator="equal">
      <formula>J10</formula>
    </cfRule>
  </conditionalFormatting>
  <conditionalFormatting sqref="O6">
    <cfRule type="cellIs" dxfId="1" priority="38" operator="equal">
      <formula>J11</formula>
    </cfRule>
  </conditionalFormatting>
  <conditionalFormatting sqref="J7">
    <cfRule type="cellIs" dxfId="1" priority="39" operator="equal">
      <formula>K6</formula>
    </cfRule>
  </conditionalFormatting>
  <conditionalFormatting sqref="L7">
    <cfRule type="cellIs" dxfId="1" priority="40" operator="equal">
      <formula>K8</formula>
    </cfRule>
  </conditionalFormatting>
  <conditionalFormatting sqref="M7">
    <cfRule type="cellIs" dxfId="1" priority="41" operator="equal">
      <formula>K9</formula>
    </cfRule>
  </conditionalFormatting>
  <conditionalFormatting sqref="N7">
    <cfRule type="cellIs" dxfId="1" priority="42" operator="equal">
      <formula>K10</formula>
    </cfRule>
  </conditionalFormatting>
  <conditionalFormatting sqref="O7">
    <cfRule type="cellIs" dxfId="1" priority="43" operator="equal">
      <formula>K11</formula>
    </cfRule>
  </conditionalFormatting>
  <conditionalFormatting sqref="J8">
    <cfRule type="cellIs" dxfId="1" priority="44" operator="equal">
      <formula>L6</formula>
    </cfRule>
  </conditionalFormatting>
  <conditionalFormatting sqref="K8">
    <cfRule type="cellIs" dxfId="1" priority="45" operator="equal">
      <formula>L7</formula>
    </cfRule>
  </conditionalFormatting>
  <conditionalFormatting sqref="M8">
    <cfRule type="cellIs" dxfId="1" priority="46" operator="equal">
      <formula>L9</formula>
    </cfRule>
  </conditionalFormatting>
  <conditionalFormatting sqref="N8">
    <cfRule type="cellIs" dxfId="1" priority="47" operator="equal">
      <formula>L10</formula>
    </cfRule>
  </conditionalFormatting>
  <conditionalFormatting sqref="O8">
    <cfRule type="cellIs" dxfId="1" priority="48" operator="equal">
      <formula>L11</formula>
    </cfRule>
  </conditionalFormatting>
  <conditionalFormatting sqref="J9">
    <cfRule type="cellIs" dxfId="1" priority="49" operator="equal">
      <formula>M6</formula>
    </cfRule>
  </conditionalFormatting>
  <conditionalFormatting sqref="K9">
    <cfRule type="cellIs" dxfId="1" priority="50" operator="equal">
      <formula>M7</formula>
    </cfRule>
  </conditionalFormatting>
  <conditionalFormatting sqref="L9">
    <cfRule type="cellIs" dxfId="1" priority="51" operator="equal">
      <formula>M8</formula>
    </cfRule>
  </conditionalFormatting>
  <conditionalFormatting sqref="N9">
    <cfRule type="cellIs" dxfId="1" priority="52" operator="equal">
      <formula>M10</formula>
    </cfRule>
  </conditionalFormatting>
  <conditionalFormatting sqref="O9">
    <cfRule type="cellIs" dxfId="1" priority="53" operator="equal">
      <formula>M11</formula>
    </cfRule>
  </conditionalFormatting>
  <conditionalFormatting sqref="J10">
    <cfRule type="cellIs" dxfId="1" priority="54" operator="equal">
      <formula>N6</formula>
    </cfRule>
  </conditionalFormatting>
  <conditionalFormatting sqref="K10">
    <cfRule type="cellIs" dxfId="1" priority="55" operator="equal">
      <formula>N7</formula>
    </cfRule>
  </conditionalFormatting>
  <conditionalFormatting sqref="L10">
    <cfRule type="cellIs" dxfId="1" priority="56" operator="equal">
      <formula>N8</formula>
    </cfRule>
  </conditionalFormatting>
  <conditionalFormatting sqref="M10">
    <cfRule type="cellIs" dxfId="1" priority="57" operator="equal">
      <formula>N9</formula>
    </cfRule>
  </conditionalFormatting>
  <conditionalFormatting sqref="O10">
    <cfRule type="cellIs" dxfId="1" priority="58" operator="equal">
      <formula>N11</formula>
    </cfRule>
  </conditionalFormatting>
  <conditionalFormatting sqref="J11">
    <cfRule type="cellIs" dxfId="1" priority="59" operator="equal">
      <formula>O6</formula>
    </cfRule>
  </conditionalFormatting>
  <conditionalFormatting sqref="K11">
    <cfRule type="cellIs" dxfId="1" priority="60" operator="equal">
      <formula>O7</formula>
    </cfRule>
  </conditionalFormatting>
  <conditionalFormatting sqref="L11">
    <cfRule type="cellIs" dxfId="1" priority="61" operator="equal">
      <formula>O8</formula>
    </cfRule>
  </conditionalFormatting>
  <conditionalFormatting sqref="M11">
    <cfRule type="cellIs" dxfId="1" priority="62" operator="equal">
      <formula>O9</formula>
    </cfRule>
  </conditionalFormatting>
  <conditionalFormatting sqref="N11">
    <cfRule type="cellIs" dxfId="1" priority="63" operator="equal">
      <formula>O10</formula>
    </cfRule>
  </conditionalFormatting>
  <conditionalFormatting sqref="E6">
    <cfRule type="cellIs" dxfId="0" priority="64" operator="greaterThan">
      <formula>B9</formula>
    </cfRule>
  </conditionalFormatting>
  <conditionalFormatting sqref="F6">
    <cfRule type="cellIs" dxfId="0" priority="65" operator="greaterThan">
      <formula>B10</formula>
    </cfRule>
  </conditionalFormatting>
  <conditionalFormatting sqref="G6:G7">
    <cfRule type="cellIs" dxfId="0" priority="66" operator="greaterThan">
      <formula>B11</formula>
    </cfRule>
  </conditionalFormatting>
  <conditionalFormatting sqref="D7">
    <cfRule type="cellIs" dxfId="0" priority="67" operator="greaterThan">
      <formula>C8</formula>
    </cfRule>
  </conditionalFormatting>
  <conditionalFormatting sqref="E7">
    <cfRule type="cellIs" dxfId="0" priority="68" operator="greaterThan">
      <formula>C9</formula>
    </cfRule>
  </conditionalFormatting>
  <conditionalFormatting sqref="F7">
    <cfRule type="cellIs" dxfId="0" priority="69" operator="greaterThan">
      <formula>C10</formula>
    </cfRule>
  </conditionalFormatting>
  <conditionalFormatting sqref="G7">
    <cfRule type="cellIs" dxfId="0" priority="70" operator="greaterThan">
      <formula>C11</formula>
    </cfRule>
  </conditionalFormatting>
  <conditionalFormatting sqref="B8">
    <cfRule type="cellIs" dxfId="0" priority="71" operator="greaterThan">
      <formula>D6</formula>
    </cfRule>
  </conditionalFormatting>
  <conditionalFormatting sqref="C8">
    <cfRule type="cellIs" dxfId="0" priority="72" operator="greaterThan">
      <formula>D7</formula>
    </cfRule>
  </conditionalFormatting>
  <conditionalFormatting sqref="E8">
    <cfRule type="cellIs" dxfId="0" priority="73" operator="greaterThan">
      <formula>D9</formula>
    </cfRule>
  </conditionalFormatting>
  <conditionalFormatting sqref="F8">
    <cfRule type="cellIs" dxfId="0" priority="74" operator="greaterThan">
      <formula>D10</formula>
    </cfRule>
  </conditionalFormatting>
  <conditionalFormatting sqref="G8">
    <cfRule type="cellIs" dxfId="0" priority="75" operator="greaterThan">
      <formula>D11</formula>
    </cfRule>
  </conditionalFormatting>
  <conditionalFormatting sqref="B9">
    <cfRule type="cellIs" dxfId="0" priority="76" operator="greaterThan">
      <formula>E6</formula>
    </cfRule>
  </conditionalFormatting>
  <conditionalFormatting sqref="C9">
    <cfRule type="cellIs" dxfId="0" priority="77" operator="greaterThan">
      <formula>E7</formula>
    </cfRule>
  </conditionalFormatting>
  <conditionalFormatting sqref="D9">
    <cfRule type="cellIs" dxfId="0" priority="78" operator="greaterThan">
      <formula>E8</formula>
    </cfRule>
  </conditionalFormatting>
  <conditionalFormatting sqref="F9">
    <cfRule type="cellIs" dxfId="0" priority="79" operator="greaterThan">
      <formula>E10</formula>
    </cfRule>
  </conditionalFormatting>
  <conditionalFormatting sqref="G9">
    <cfRule type="cellIs" dxfId="0" priority="80" operator="greaterThan">
      <formula>E11</formula>
    </cfRule>
  </conditionalFormatting>
  <conditionalFormatting sqref="B10">
    <cfRule type="cellIs" dxfId="0" priority="81" operator="greaterThan">
      <formula>F6</formula>
    </cfRule>
  </conditionalFormatting>
  <conditionalFormatting sqref="C10">
    <cfRule type="cellIs" dxfId="0" priority="82" operator="greaterThan">
      <formula>F7</formula>
    </cfRule>
  </conditionalFormatting>
  <conditionalFormatting sqref="D10">
    <cfRule type="cellIs" dxfId="0" priority="83" operator="greaterThan">
      <formula>F8</formula>
    </cfRule>
  </conditionalFormatting>
  <conditionalFormatting sqref="E10">
    <cfRule type="cellIs" dxfId="0" priority="84" operator="greaterThan">
      <formula>F9</formula>
    </cfRule>
  </conditionalFormatting>
  <conditionalFormatting sqref="G10">
    <cfRule type="cellIs" dxfId="0" priority="85" operator="greaterThan">
      <formula>F11</formula>
    </cfRule>
  </conditionalFormatting>
  <conditionalFormatting sqref="B11">
    <cfRule type="cellIs" dxfId="0" priority="86" operator="greaterThan">
      <formula>G6</formula>
    </cfRule>
  </conditionalFormatting>
  <conditionalFormatting sqref="C11">
    <cfRule type="cellIs" dxfId="0" priority="87" operator="greaterThan">
      <formula>G7</formula>
    </cfRule>
  </conditionalFormatting>
  <conditionalFormatting sqref="D11">
    <cfRule type="cellIs" dxfId="0" priority="88" operator="greaterThan">
      <formula>G8</formula>
    </cfRule>
  </conditionalFormatting>
  <conditionalFormatting sqref="E11">
    <cfRule type="cellIs" dxfId="0" priority="89" operator="greaterThan">
      <formula>G9</formula>
    </cfRule>
  </conditionalFormatting>
  <conditionalFormatting sqref="F11">
    <cfRule type="cellIs" dxfId="0" priority="90" operator="greaterThan">
      <formula>G10</formula>
    </cfRule>
  </conditionalFormatting>
  <conditionalFormatting sqref="K6">
    <cfRule type="cellIs" dxfId="0" priority="91" operator="greaterThan">
      <formula>J7</formula>
    </cfRule>
  </conditionalFormatting>
  <conditionalFormatting sqref="L6">
    <cfRule type="cellIs" dxfId="0" priority="92" operator="greaterThan">
      <formula>J8</formula>
    </cfRule>
  </conditionalFormatting>
  <conditionalFormatting sqref="M6">
    <cfRule type="cellIs" dxfId="0" priority="93" operator="greaterThan">
      <formula>J9</formula>
    </cfRule>
  </conditionalFormatting>
  <conditionalFormatting sqref="N6">
    <cfRule type="cellIs" dxfId="0" priority="94" operator="greaterThan">
      <formula>J10</formula>
    </cfRule>
  </conditionalFormatting>
  <conditionalFormatting sqref="O6">
    <cfRule type="cellIs" dxfId="0" priority="95" operator="greaterThan">
      <formula>J11</formula>
    </cfRule>
  </conditionalFormatting>
  <conditionalFormatting sqref="J7">
    <cfRule type="cellIs" dxfId="0" priority="96" operator="greaterThan">
      <formula>K6</formula>
    </cfRule>
  </conditionalFormatting>
  <conditionalFormatting sqref="L7">
    <cfRule type="cellIs" dxfId="0" priority="97" operator="greaterThan">
      <formula>K8</formula>
    </cfRule>
  </conditionalFormatting>
  <conditionalFormatting sqref="M7">
    <cfRule type="cellIs" dxfId="0" priority="98" operator="greaterThan">
      <formula>K9</formula>
    </cfRule>
  </conditionalFormatting>
  <conditionalFormatting sqref="N7">
    <cfRule type="cellIs" dxfId="0" priority="99" operator="greaterThan">
      <formula>K10</formula>
    </cfRule>
  </conditionalFormatting>
  <conditionalFormatting sqref="O7">
    <cfRule type="cellIs" dxfId="0" priority="100" operator="greaterThan">
      <formula>K11</formula>
    </cfRule>
  </conditionalFormatting>
  <conditionalFormatting sqref="J8">
    <cfRule type="cellIs" dxfId="0" priority="101" operator="greaterThan">
      <formula>L6</formula>
    </cfRule>
  </conditionalFormatting>
  <conditionalFormatting sqref="K8">
    <cfRule type="cellIs" dxfId="0" priority="102" operator="greaterThan">
      <formula>L7</formula>
    </cfRule>
  </conditionalFormatting>
  <conditionalFormatting sqref="M8">
    <cfRule type="cellIs" dxfId="0" priority="103" operator="greaterThan">
      <formula>L9</formula>
    </cfRule>
  </conditionalFormatting>
  <conditionalFormatting sqref="N8">
    <cfRule type="cellIs" dxfId="0" priority="104" operator="greaterThan">
      <formula>L10</formula>
    </cfRule>
  </conditionalFormatting>
  <conditionalFormatting sqref="O8">
    <cfRule type="cellIs" dxfId="0" priority="105" operator="greaterThan">
      <formula>L11</formula>
    </cfRule>
  </conditionalFormatting>
  <conditionalFormatting sqref="J9">
    <cfRule type="cellIs" dxfId="0" priority="106" operator="greaterThan">
      <formula>M6</formula>
    </cfRule>
  </conditionalFormatting>
  <conditionalFormatting sqref="K9">
    <cfRule type="cellIs" dxfId="0" priority="107" operator="greaterThan">
      <formula>M7</formula>
    </cfRule>
  </conditionalFormatting>
  <conditionalFormatting sqref="L9">
    <cfRule type="cellIs" dxfId="0" priority="108" operator="greaterThan">
      <formula>M8</formula>
    </cfRule>
  </conditionalFormatting>
  <conditionalFormatting sqref="N9">
    <cfRule type="cellIs" dxfId="0" priority="109" operator="greaterThan">
      <formula>M10</formula>
    </cfRule>
  </conditionalFormatting>
  <conditionalFormatting sqref="O9">
    <cfRule type="cellIs" dxfId="0" priority="110" operator="greaterThan">
      <formula>M11</formula>
    </cfRule>
  </conditionalFormatting>
  <conditionalFormatting sqref="J10">
    <cfRule type="cellIs" dxfId="0" priority="111" operator="greaterThan">
      <formula>N6</formula>
    </cfRule>
  </conditionalFormatting>
  <conditionalFormatting sqref="K10">
    <cfRule type="cellIs" dxfId="0" priority="112" operator="greaterThan">
      <formula>N7</formula>
    </cfRule>
  </conditionalFormatting>
  <conditionalFormatting sqref="L10">
    <cfRule type="cellIs" dxfId="0" priority="113" operator="greaterThan">
      <formula>N8</formula>
    </cfRule>
  </conditionalFormatting>
  <conditionalFormatting sqref="M10">
    <cfRule type="cellIs" dxfId="0" priority="114" operator="greaterThan">
      <formula>N9</formula>
    </cfRule>
  </conditionalFormatting>
  <conditionalFormatting sqref="O10">
    <cfRule type="cellIs" dxfId="0" priority="115" operator="greaterThan">
      <formula>N11</formula>
    </cfRule>
  </conditionalFormatting>
  <conditionalFormatting sqref="J11">
    <cfRule type="cellIs" dxfId="0" priority="116" operator="greaterThan">
      <formula>O6</formula>
    </cfRule>
  </conditionalFormatting>
  <conditionalFormatting sqref="K11">
    <cfRule type="cellIs" dxfId="0" priority="117" operator="greaterThan">
      <formula>O7</formula>
    </cfRule>
  </conditionalFormatting>
  <conditionalFormatting sqref="L11">
    <cfRule type="cellIs" dxfId="0" priority="118" operator="greaterThan">
      <formula>O8</formula>
    </cfRule>
  </conditionalFormatting>
  <conditionalFormatting sqref="M11">
    <cfRule type="cellIs" dxfId="0" priority="119" operator="greaterThan">
      <formula>O9</formula>
    </cfRule>
  </conditionalFormatting>
  <conditionalFormatting sqref="N11">
    <cfRule type="cellIs" dxfId="0" priority="120" operator="greaterThan">
      <formula>O10</formula>
    </cfRule>
  </conditionalFormatting>
  <conditionalFormatting sqref="C15">
    <cfRule type="cellIs" dxfId="1" priority="121" operator="equal">
      <formula>B16</formula>
    </cfRule>
  </conditionalFormatting>
  <conditionalFormatting sqref="D15">
    <cfRule type="cellIs" dxfId="1" priority="122" operator="equal">
      <formula>B17</formula>
    </cfRule>
  </conditionalFormatting>
  <conditionalFormatting sqref="E15">
    <cfRule type="cellIs" dxfId="1" priority="123" operator="equal">
      <formula>B18</formula>
    </cfRule>
  </conditionalFormatting>
  <conditionalFormatting sqref="F15">
    <cfRule type="cellIs" dxfId="1" priority="124" operator="equal">
      <formula>B19</formula>
    </cfRule>
  </conditionalFormatting>
  <conditionalFormatting sqref="G15">
    <cfRule type="cellIs" dxfId="1" priority="125" operator="equal">
      <formula>B20</formula>
    </cfRule>
  </conditionalFormatting>
  <conditionalFormatting sqref="B16">
    <cfRule type="cellIs" dxfId="1" priority="126" operator="equal">
      <formula>C15</formula>
    </cfRule>
  </conditionalFormatting>
  <conditionalFormatting sqref="D16">
    <cfRule type="cellIs" dxfId="1" priority="127" operator="equal">
      <formula>C17</formula>
    </cfRule>
  </conditionalFormatting>
  <conditionalFormatting sqref="E16">
    <cfRule type="cellIs" dxfId="1" priority="128" operator="equal">
      <formula>C18</formula>
    </cfRule>
  </conditionalFormatting>
  <conditionalFormatting sqref="B17">
    <cfRule type="cellIs" dxfId="1" priority="129" operator="equal">
      <formula>D15</formula>
    </cfRule>
  </conditionalFormatting>
  <conditionalFormatting sqref="C17">
    <cfRule type="cellIs" dxfId="1" priority="130" operator="equal">
      <formula>D16</formula>
    </cfRule>
  </conditionalFormatting>
  <conditionalFormatting sqref="C24">
    <cfRule type="cellIs" dxfId="2" priority="131" operator="equal">
      <formula>B25</formula>
    </cfRule>
  </conditionalFormatting>
  <conditionalFormatting sqref="D24">
    <cfRule type="cellIs" dxfId="1" priority="132" operator="equal">
      <formula>B26</formula>
    </cfRule>
  </conditionalFormatting>
  <conditionalFormatting sqref="E24">
    <cfRule type="cellIs" dxfId="1" priority="133" operator="equal">
      <formula>B27</formula>
    </cfRule>
  </conditionalFormatting>
  <conditionalFormatting sqref="F24">
    <cfRule type="cellIs" dxfId="1" priority="134" operator="equal">
      <formula>B28</formula>
    </cfRule>
  </conditionalFormatting>
  <conditionalFormatting sqref="G24:G25">
    <cfRule type="cellIs" dxfId="1" priority="135" operator="equal">
      <formula>B29</formula>
    </cfRule>
  </conditionalFormatting>
  <conditionalFormatting sqref="B25">
    <cfRule type="cellIs" dxfId="1" priority="136" operator="equal">
      <formula>C24</formula>
    </cfRule>
  </conditionalFormatting>
  <conditionalFormatting sqref="D25">
    <cfRule type="cellIs" dxfId="1" priority="137" operator="equal">
      <formula>C26</formula>
    </cfRule>
  </conditionalFormatting>
  <conditionalFormatting sqref="E25">
    <cfRule type="cellIs" dxfId="1" priority="138" operator="equal">
      <formula>C27</formula>
    </cfRule>
  </conditionalFormatting>
  <conditionalFormatting sqref="F25">
    <cfRule type="cellIs" dxfId="1" priority="139" operator="equal">
      <formula>C28</formula>
    </cfRule>
  </conditionalFormatting>
  <conditionalFormatting sqref="G25">
    <cfRule type="cellIs" dxfId="1" priority="140" operator="equal">
      <formula>C29</formula>
    </cfRule>
  </conditionalFormatting>
  <conditionalFormatting sqref="B26">
    <cfRule type="cellIs" dxfId="1" priority="141" operator="equal">
      <formula>D24</formula>
    </cfRule>
  </conditionalFormatting>
  <conditionalFormatting sqref="C26">
    <cfRule type="cellIs" dxfId="1" priority="142" operator="equal">
      <formula>D25</formula>
    </cfRule>
  </conditionalFormatting>
  <conditionalFormatting sqref="E26">
    <cfRule type="cellIs" dxfId="1" priority="143" operator="equal">
      <formula>D27</formula>
    </cfRule>
  </conditionalFormatting>
  <conditionalFormatting sqref="F26">
    <cfRule type="cellIs" dxfId="1" priority="144" operator="equal">
      <formula>D28</formula>
    </cfRule>
  </conditionalFormatting>
  <conditionalFormatting sqref="G26">
    <cfRule type="cellIs" dxfId="1" priority="145" operator="equal">
      <formula>D29</formula>
    </cfRule>
  </conditionalFormatting>
  <conditionalFormatting sqref="B27">
    <cfRule type="cellIs" dxfId="1" priority="146" operator="equal">
      <formula>E24</formula>
    </cfRule>
  </conditionalFormatting>
  <conditionalFormatting sqref="C27">
    <cfRule type="cellIs" dxfId="1" priority="147" operator="equal">
      <formula>E25</formula>
    </cfRule>
  </conditionalFormatting>
  <conditionalFormatting sqref="D27">
    <cfRule type="cellIs" dxfId="1" priority="148" operator="equal">
      <formula>E26</formula>
    </cfRule>
  </conditionalFormatting>
  <conditionalFormatting sqref="F27">
    <cfRule type="cellIs" dxfId="1" priority="149" operator="equal">
      <formula>E28</formula>
    </cfRule>
  </conditionalFormatting>
  <conditionalFormatting sqref="G27">
    <cfRule type="cellIs" dxfId="1" priority="150" operator="equal">
      <formula>E29</formula>
    </cfRule>
  </conditionalFormatting>
  <conditionalFormatting sqref="B28">
    <cfRule type="cellIs" dxfId="1" priority="151" operator="equal">
      <formula>F24</formula>
    </cfRule>
  </conditionalFormatting>
  <conditionalFormatting sqref="C28">
    <cfRule type="cellIs" dxfId="1" priority="152" operator="equal">
      <formula>F25</formula>
    </cfRule>
  </conditionalFormatting>
  <conditionalFormatting sqref="D28">
    <cfRule type="cellIs" dxfId="1" priority="153" operator="equal">
      <formula>F26</formula>
    </cfRule>
  </conditionalFormatting>
  <conditionalFormatting sqref="E28">
    <cfRule type="cellIs" dxfId="1" priority="154" operator="equal">
      <formula>F27</formula>
    </cfRule>
  </conditionalFormatting>
  <conditionalFormatting sqref="G28">
    <cfRule type="cellIs" dxfId="1" priority="155" operator="equal">
      <formula>F29</formula>
    </cfRule>
  </conditionalFormatting>
  <conditionalFormatting sqref="B29">
    <cfRule type="cellIs" dxfId="1" priority="156" operator="equal">
      <formula>G24</formula>
    </cfRule>
  </conditionalFormatting>
  <conditionalFormatting sqref="C29">
    <cfRule type="cellIs" dxfId="1" priority="157" operator="equal">
      <formula>G25</formula>
    </cfRule>
  </conditionalFormatting>
  <conditionalFormatting sqref="D29">
    <cfRule type="cellIs" dxfId="1" priority="158" operator="equal">
      <formula>G26</formula>
    </cfRule>
  </conditionalFormatting>
  <conditionalFormatting sqref="E29">
    <cfRule type="cellIs" dxfId="1" priority="159" operator="equal">
      <formula>G27</formula>
    </cfRule>
  </conditionalFormatting>
  <conditionalFormatting sqref="F29">
    <cfRule type="cellIs" dxfId="1" priority="160" operator="equal">
      <formula>G28</formula>
    </cfRule>
  </conditionalFormatting>
  <conditionalFormatting sqref="F16">
    <cfRule type="cellIs" dxfId="1" priority="161" operator="equal">
      <formula>C19</formula>
    </cfRule>
  </conditionalFormatting>
  <conditionalFormatting sqref="G16">
    <cfRule type="cellIs" dxfId="1" priority="162" operator="equal">
      <formula>C20</formula>
    </cfRule>
  </conditionalFormatting>
  <conditionalFormatting sqref="E17">
    <cfRule type="cellIs" dxfId="1" priority="163" operator="equal">
      <formula>D18</formula>
    </cfRule>
  </conditionalFormatting>
  <conditionalFormatting sqref="F17">
    <cfRule type="cellIs" dxfId="1" priority="164" operator="equal">
      <formula>D19</formula>
    </cfRule>
  </conditionalFormatting>
  <conditionalFormatting sqref="G17">
    <cfRule type="cellIs" dxfId="1" priority="165" operator="equal">
      <formula>D20</formula>
    </cfRule>
  </conditionalFormatting>
  <conditionalFormatting sqref="B18">
    <cfRule type="cellIs" dxfId="1" priority="166" operator="equal">
      <formula>E15</formula>
    </cfRule>
  </conditionalFormatting>
  <conditionalFormatting sqref="C18">
    <cfRule type="cellIs" dxfId="1" priority="167" operator="equal">
      <formula>E16</formula>
    </cfRule>
  </conditionalFormatting>
  <conditionalFormatting sqref="D18">
    <cfRule type="cellIs" dxfId="1" priority="168" operator="equal">
      <formula>E17</formula>
    </cfRule>
  </conditionalFormatting>
  <conditionalFormatting sqref="F18">
    <cfRule type="cellIs" dxfId="1" priority="169" operator="equal">
      <formula>E19</formula>
    </cfRule>
  </conditionalFormatting>
  <conditionalFormatting sqref="G18">
    <cfRule type="cellIs" dxfId="1" priority="170" operator="equal">
      <formula>E20</formula>
    </cfRule>
  </conditionalFormatting>
  <conditionalFormatting sqref="B19">
    <cfRule type="cellIs" dxfId="1" priority="171" operator="equal">
      <formula>F15</formula>
    </cfRule>
  </conditionalFormatting>
  <conditionalFormatting sqref="C19">
    <cfRule type="cellIs" dxfId="1" priority="172" operator="equal">
      <formula>F16</formula>
    </cfRule>
  </conditionalFormatting>
  <conditionalFormatting sqref="D19">
    <cfRule type="cellIs" dxfId="1" priority="173" operator="equal">
      <formula>F17</formula>
    </cfRule>
  </conditionalFormatting>
  <conditionalFormatting sqref="E19">
    <cfRule type="cellIs" dxfId="1" priority="174" operator="equal">
      <formula>F18</formula>
    </cfRule>
  </conditionalFormatting>
  <conditionalFormatting sqref="G19">
    <cfRule type="cellIs" dxfId="1" priority="175" operator="equal">
      <formula>F20</formula>
    </cfRule>
  </conditionalFormatting>
  <conditionalFormatting sqref="B20">
    <cfRule type="cellIs" dxfId="1" priority="176" operator="equal">
      <formula>G15</formula>
    </cfRule>
  </conditionalFormatting>
  <conditionalFormatting sqref="C20">
    <cfRule type="cellIs" dxfId="1" priority="177" operator="equal">
      <formula>G16</formula>
    </cfRule>
  </conditionalFormatting>
  <conditionalFormatting sqref="D20">
    <cfRule type="cellIs" dxfId="1" priority="178" operator="equal">
      <formula>G17</formula>
    </cfRule>
  </conditionalFormatting>
  <conditionalFormatting sqref="E20">
    <cfRule type="cellIs" dxfId="1" priority="179" operator="equal">
      <formula>G18</formula>
    </cfRule>
  </conditionalFormatting>
  <conditionalFormatting sqref="F20">
    <cfRule type="cellIs" dxfId="1" priority="180" operator="equal">
      <formula>G19</formula>
    </cfRule>
  </conditionalFormatting>
  <conditionalFormatting sqref="C6 K15 C33">
    <cfRule type="cellIs" dxfId="1" priority="181" operator="equal">
      <formula>B7</formula>
    </cfRule>
  </conditionalFormatting>
  <conditionalFormatting sqref="D6 L15 D33">
    <cfRule type="cellIs" dxfId="1" priority="182" operator="equal">
      <formula>B8</formula>
    </cfRule>
  </conditionalFormatting>
  <conditionalFormatting sqref="E6 M15 E33">
    <cfRule type="cellIs" dxfId="1" priority="183" operator="equal">
      <formula>B9</formula>
    </cfRule>
  </conditionalFormatting>
  <conditionalFormatting sqref="F6 N15 F33">
    <cfRule type="cellIs" dxfId="1" priority="184" operator="equal">
      <formula>B10</formula>
    </cfRule>
  </conditionalFormatting>
  <conditionalFormatting sqref="G6 O15 G33">
    <cfRule type="cellIs" dxfId="1" priority="185" operator="equal">
      <formula>B11</formula>
    </cfRule>
  </conditionalFormatting>
  <conditionalFormatting sqref="B34">
    <cfRule type="cellIs" dxfId="1" priority="186" operator="equal">
      <formula>C33</formula>
    </cfRule>
  </conditionalFormatting>
  <conditionalFormatting sqref="D34">
    <cfRule type="cellIs" dxfId="1" priority="187" operator="equal">
      <formula>C35</formula>
    </cfRule>
  </conditionalFormatting>
  <conditionalFormatting sqref="E34">
    <cfRule type="cellIs" dxfId="1" priority="188" operator="equal">
      <formula>C36</formula>
    </cfRule>
  </conditionalFormatting>
  <conditionalFormatting sqref="F34">
    <cfRule type="cellIs" dxfId="1" priority="189" operator="equal">
      <formula>C37</formula>
    </cfRule>
  </conditionalFormatting>
  <conditionalFormatting sqref="G34">
    <cfRule type="cellIs" dxfId="1" priority="190" operator="equal">
      <formula>C38</formula>
    </cfRule>
  </conditionalFormatting>
  <conditionalFormatting sqref="B35">
    <cfRule type="cellIs" dxfId="1" priority="191" operator="equal">
      <formula>D33</formula>
    </cfRule>
  </conditionalFormatting>
  <conditionalFormatting sqref="C35">
    <cfRule type="cellIs" dxfId="1" priority="192" operator="equal">
      <formula>D34</formula>
    </cfRule>
  </conditionalFormatting>
  <conditionalFormatting sqref="E35">
    <cfRule type="cellIs" dxfId="1" priority="193" operator="equal">
      <formula>D36</formula>
    </cfRule>
  </conditionalFormatting>
  <conditionalFormatting sqref="F35">
    <cfRule type="cellIs" dxfId="1" priority="194" operator="equal">
      <formula>D37</formula>
    </cfRule>
  </conditionalFormatting>
  <conditionalFormatting sqref="G35">
    <cfRule type="cellIs" dxfId="1" priority="195" operator="equal">
      <formula>D38</formula>
    </cfRule>
  </conditionalFormatting>
  <conditionalFormatting sqref="B36">
    <cfRule type="cellIs" dxfId="1" priority="196" operator="equal">
      <formula>E33</formula>
    </cfRule>
  </conditionalFormatting>
  <conditionalFormatting sqref="C36">
    <cfRule type="cellIs" dxfId="1" priority="197" operator="equal">
      <formula>E34</formula>
    </cfRule>
  </conditionalFormatting>
  <conditionalFormatting sqref="D36">
    <cfRule type="cellIs" dxfId="1" priority="198" operator="equal">
      <formula>E35</formula>
    </cfRule>
  </conditionalFormatting>
  <conditionalFormatting sqref="F36">
    <cfRule type="cellIs" dxfId="1" priority="199" operator="equal">
      <formula>E37</formula>
    </cfRule>
  </conditionalFormatting>
  <conditionalFormatting sqref="G36">
    <cfRule type="cellIs" dxfId="1" priority="200" operator="equal">
      <formula>E38</formula>
    </cfRule>
  </conditionalFormatting>
  <conditionalFormatting sqref="B37">
    <cfRule type="cellIs" dxfId="1" priority="201" operator="equal">
      <formula>F33</formula>
    </cfRule>
  </conditionalFormatting>
  <conditionalFormatting sqref="C37">
    <cfRule type="cellIs" dxfId="1" priority="202" operator="equal">
      <formula>F34</formula>
    </cfRule>
  </conditionalFormatting>
  <conditionalFormatting sqref="D37">
    <cfRule type="cellIs" dxfId="1" priority="203" operator="equal">
      <formula>F35</formula>
    </cfRule>
  </conditionalFormatting>
  <conditionalFormatting sqref="E37">
    <cfRule type="cellIs" dxfId="1" priority="204" operator="equal">
      <formula>F36</formula>
    </cfRule>
  </conditionalFormatting>
  <conditionalFormatting sqref="G37">
    <cfRule type="cellIs" dxfId="1" priority="205" operator="equal">
      <formula>F38</formula>
    </cfRule>
  </conditionalFormatting>
  <conditionalFormatting sqref="B38">
    <cfRule type="cellIs" dxfId="1" priority="206" operator="equal">
      <formula>G33</formula>
    </cfRule>
  </conditionalFormatting>
  <conditionalFormatting sqref="C38">
    <cfRule type="cellIs" dxfId="1" priority="207" operator="equal">
      <formula>G34</formula>
    </cfRule>
  </conditionalFormatting>
  <conditionalFormatting sqref="D38">
    <cfRule type="cellIs" dxfId="1" priority="208" operator="equal">
      <formula>G35</formula>
    </cfRule>
  </conditionalFormatting>
  <conditionalFormatting sqref="E38">
    <cfRule type="cellIs" dxfId="1" priority="209" operator="equal">
      <formula>G36</formula>
    </cfRule>
  </conditionalFormatting>
  <conditionalFormatting sqref="F38">
    <cfRule type="cellIs" dxfId="1" priority="210" operator="equal">
      <formula>G37</formula>
    </cfRule>
  </conditionalFormatting>
  <conditionalFormatting sqref="K15">
    <cfRule type="cellIs" dxfId="1" priority="211" operator="equal">
      <formula>J16</formula>
    </cfRule>
  </conditionalFormatting>
  <conditionalFormatting sqref="L15">
    <cfRule type="cellIs" dxfId="1" priority="212" operator="equal">
      <formula>J17</formula>
    </cfRule>
  </conditionalFormatting>
  <conditionalFormatting sqref="M15">
    <cfRule type="cellIs" dxfId="1" priority="213" operator="equal">
      <formula>J18</formula>
    </cfRule>
  </conditionalFormatting>
  <conditionalFormatting sqref="N15">
    <cfRule type="cellIs" dxfId="1" priority="214" operator="equal">
      <formula>J19</formula>
    </cfRule>
  </conditionalFormatting>
  <conditionalFormatting sqref="O15">
    <cfRule type="cellIs" dxfId="1" priority="215" operator="equal">
      <formula>J20</formula>
    </cfRule>
  </conditionalFormatting>
  <conditionalFormatting sqref="J16">
    <cfRule type="cellIs" dxfId="1" priority="216" operator="equal">
      <formula>K15</formula>
    </cfRule>
  </conditionalFormatting>
  <conditionalFormatting sqref="L16">
    <cfRule type="cellIs" dxfId="1" priority="217" operator="equal">
      <formula>K17</formula>
    </cfRule>
  </conditionalFormatting>
  <conditionalFormatting sqref="M16">
    <cfRule type="cellIs" dxfId="1" priority="218" operator="equal">
      <formula>K18</formula>
    </cfRule>
  </conditionalFormatting>
  <conditionalFormatting sqref="N16">
    <cfRule type="cellIs" dxfId="1" priority="219" operator="equal">
      <formula>K19</formula>
    </cfRule>
  </conditionalFormatting>
  <conditionalFormatting sqref="O16">
    <cfRule type="cellIs" dxfId="1" priority="220" operator="equal">
      <formula>K20</formula>
    </cfRule>
  </conditionalFormatting>
  <conditionalFormatting sqref="J17">
    <cfRule type="cellIs" dxfId="1" priority="221" operator="equal">
      <formula>L15</formula>
    </cfRule>
  </conditionalFormatting>
  <conditionalFormatting sqref="K17">
    <cfRule type="cellIs" dxfId="1" priority="222" operator="equal">
      <formula>L16</formula>
    </cfRule>
  </conditionalFormatting>
  <conditionalFormatting sqref="M17">
    <cfRule type="cellIs" dxfId="1" priority="223" operator="equal">
      <formula>L18</formula>
    </cfRule>
  </conditionalFormatting>
  <conditionalFormatting sqref="N17">
    <cfRule type="cellIs" dxfId="1" priority="224" operator="equal">
      <formula>L19</formula>
    </cfRule>
  </conditionalFormatting>
  <conditionalFormatting sqref="O17">
    <cfRule type="cellIs" dxfId="1" priority="225" operator="equal">
      <formula>L20</formula>
    </cfRule>
  </conditionalFormatting>
  <conditionalFormatting sqref="J18">
    <cfRule type="cellIs" dxfId="1" priority="226" operator="equal">
      <formula>M15</formula>
    </cfRule>
  </conditionalFormatting>
  <conditionalFormatting sqref="K18">
    <cfRule type="cellIs" dxfId="1" priority="227" operator="equal">
      <formula>M16</formula>
    </cfRule>
  </conditionalFormatting>
  <conditionalFormatting sqref="L18">
    <cfRule type="cellIs" dxfId="1" priority="228" operator="equal">
      <formula>M17</formula>
    </cfRule>
  </conditionalFormatting>
  <conditionalFormatting sqref="N18">
    <cfRule type="cellIs" dxfId="1" priority="229" operator="equal">
      <formula>M19</formula>
    </cfRule>
  </conditionalFormatting>
  <conditionalFormatting sqref="O18">
    <cfRule type="cellIs" dxfId="1" priority="230" operator="equal">
      <formula>M20</formula>
    </cfRule>
  </conditionalFormatting>
  <conditionalFormatting sqref="J19">
    <cfRule type="cellIs" dxfId="1" priority="231" operator="equal">
      <formula>N15</formula>
    </cfRule>
  </conditionalFormatting>
  <conditionalFormatting sqref="K19">
    <cfRule type="cellIs" dxfId="1" priority="232" operator="equal">
      <formula>N16</formula>
    </cfRule>
  </conditionalFormatting>
  <conditionalFormatting sqref="L19">
    <cfRule type="cellIs" dxfId="1" priority="233" operator="equal">
      <formula>N17</formula>
    </cfRule>
  </conditionalFormatting>
  <conditionalFormatting sqref="M19">
    <cfRule type="cellIs" dxfId="1" priority="234" operator="equal">
      <formula>N18</formula>
    </cfRule>
  </conditionalFormatting>
  <conditionalFormatting sqref="O19">
    <cfRule type="cellIs" dxfId="1" priority="235" operator="equal">
      <formula>N20</formula>
    </cfRule>
  </conditionalFormatting>
  <conditionalFormatting sqref="J20">
    <cfRule type="cellIs" dxfId="1" priority="236" operator="equal">
      <formula>O15</formula>
    </cfRule>
  </conditionalFormatting>
  <conditionalFormatting sqref="K20">
    <cfRule type="cellIs" dxfId="1" priority="237" operator="equal">
      <formula>O16</formula>
    </cfRule>
  </conditionalFormatting>
  <conditionalFormatting sqref="L20">
    <cfRule type="cellIs" dxfId="1" priority="238" operator="equal">
      <formula>O17</formula>
    </cfRule>
  </conditionalFormatting>
  <conditionalFormatting sqref="M20">
    <cfRule type="cellIs" dxfId="1" priority="239" operator="equal">
      <formula>O18</formula>
    </cfRule>
  </conditionalFormatting>
  <conditionalFormatting sqref="N20">
    <cfRule type="cellIs" dxfId="1" priority="240" operator="equal">
      <formula>O19</formula>
    </cfRule>
  </conditionalFormatting>
  <conditionalFormatting sqref="K24">
    <cfRule type="cellIs" dxfId="1" priority="241" operator="equal">
      <formula>J25</formula>
    </cfRule>
  </conditionalFormatting>
  <conditionalFormatting sqref="L24">
    <cfRule type="cellIs" dxfId="1" priority="242" operator="equal">
      <formula>J26</formula>
    </cfRule>
  </conditionalFormatting>
  <conditionalFormatting sqref="M24">
    <cfRule type="cellIs" dxfId="1" priority="243" operator="equal">
      <formula>J27</formula>
    </cfRule>
  </conditionalFormatting>
  <conditionalFormatting sqref="N24">
    <cfRule type="cellIs" dxfId="1" priority="244" operator="equal">
      <formula>J28</formula>
    </cfRule>
  </conditionalFormatting>
  <conditionalFormatting sqref="O24">
    <cfRule type="cellIs" dxfId="1" priority="245" operator="equal">
      <formula>J29</formula>
    </cfRule>
  </conditionalFormatting>
  <conditionalFormatting sqref="J25">
    <cfRule type="cellIs" dxfId="1" priority="246" operator="equal">
      <formula>K24</formula>
    </cfRule>
  </conditionalFormatting>
  <conditionalFormatting sqref="L25">
    <cfRule type="cellIs" dxfId="1" priority="247" operator="equal">
      <formula>K26</formula>
    </cfRule>
  </conditionalFormatting>
  <conditionalFormatting sqref="M25">
    <cfRule type="cellIs" dxfId="1" priority="248" operator="equal">
      <formula>K27</formula>
    </cfRule>
  </conditionalFormatting>
  <conditionalFormatting sqref="N25">
    <cfRule type="cellIs" dxfId="1" priority="249" operator="equal">
      <formula>K28</formula>
    </cfRule>
  </conditionalFormatting>
  <conditionalFormatting sqref="O25">
    <cfRule type="cellIs" dxfId="1" priority="250" operator="equal">
      <formula>K29</formula>
    </cfRule>
  </conditionalFormatting>
  <conditionalFormatting sqref="J26">
    <cfRule type="cellIs" dxfId="1" priority="251" operator="equal">
      <formula>L24</formula>
    </cfRule>
  </conditionalFormatting>
  <conditionalFormatting sqref="K26">
    <cfRule type="cellIs" dxfId="1" priority="252" operator="equal">
      <formula>L25</formula>
    </cfRule>
  </conditionalFormatting>
  <conditionalFormatting sqref="M26">
    <cfRule type="cellIs" dxfId="1" priority="253" operator="equal">
      <formula>L27</formula>
    </cfRule>
  </conditionalFormatting>
  <conditionalFormatting sqref="N26">
    <cfRule type="cellIs" dxfId="1" priority="254" operator="equal">
      <formula>L28</formula>
    </cfRule>
  </conditionalFormatting>
  <conditionalFormatting sqref="O26">
    <cfRule type="cellIs" dxfId="1" priority="255" operator="equal">
      <formula>L29</formula>
    </cfRule>
  </conditionalFormatting>
  <conditionalFormatting sqref="J27">
    <cfRule type="cellIs" dxfId="1" priority="256" operator="equal">
      <formula>M24</formula>
    </cfRule>
  </conditionalFormatting>
  <conditionalFormatting sqref="K27">
    <cfRule type="cellIs" dxfId="1" priority="257" operator="equal">
      <formula>M25</formula>
    </cfRule>
  </conditionalFormatting>
  <conditionalFormatting sqref="L27">
    <cfRule type="cellIs" dxfId="1" priority="258" operator="equal">
      <formula>M26</formula>
    </cfRule>
  </conditionalFormatting>
  <conditionalFormatting sqref="N27">
    <cfRule type="cellIs" dxfId="1" priority="259" operator="equal">
      <formula>M28</formula>
    </cfRule>
  </conditionalFormatting>
  <conditionalFormatting sqref="O27">
    <cfRule type="cellIs" dxfId="1" priority="260" operator="equal">
      <formula>M29</formula>
    </cfRule>
  </conditionalFormatting>
  <conditionalFormatting sqref="J28">
    <cfRule type="cellIs" dxfId="1" priority="261" operator="equal">
      <formula>N24</formula>
    </cfRule>
  </conditionalFormatting>
  <conditionalFormatting sqref="K28">
    <cfRule type="cellIs" dxfId="1" priority="262" operator="equal">
      <formula>N25</formula>
    </cfRule>
  </conditionalFormatting>
  <conditionalFormatting sqref="L28">
    <cfRule type="cellIs" dxfId="1" priority="263" operator="equal">
      <formula>N26</formula>
    </cfRule>
  </conditionalFormatting>
  <conditionalFormatting sqref="M28">
    <cfRule type="cellIs" dxfId="1" priority="264" operator="equal">
      <formula>N27</formula>
    </cfRule>
  </conditionalFormatting>
  <conditionalFormatting sqref="O28">
    <cfRule type="cellIs" dxfId="1" priority="265" operator="equal">
      <formula>N29</formula>
    </cfRule>
  </conditionalFormatting>
  <conditionalFormatting sqref="J29">
    <cfRule type="cellIs" dxfId="1" priority="266" operator="equal">
      <formula>O24</formula>
    </cfRule>
  </conditionalFormatting>
  <conditionalFormatting sqref="K29">
    <cfRule type="cellIs" dxfId="1" priority="267" operator="equal">
      <formula>O25</formula>
    </cfRule>
  </conditionalFormatting>
  <conditionalFormatting sqref="L29">
    <cfRule type="cellIs" dxfId="1" priority="268" operator="equal">
      <formula>O26</formula>
    </cfRule>
  </conditionalFormatting>
  <conditionalFormatting sqref="M29">
    <cfRule type="cellIs" dxfId="1" priority="269" operator="equal">
      <formula>O27</formula>
    </cfRule>
  </conditionalFormatting>
  <conditionalFormatting sqref="N29">
    <cfRule type="cellIs" dxfId="1" priority="270" operator="equal">
      <formula>O28</formula>
    </cfRule>
  </conditionalFormatting>
  <conditionalFormatting sqref="C6">
    <cfRule type="cellIs" dxfId="3" priority="271" operator="lessThan">
      <formula>B7</formula>
    </cfRule>
  </conditionalFormatting>
  <conditionalFormatting sqref="D6">
    <cfRule type="cellIs" dxfId="3" priority="272" operator="lessThan">
      <formula>B8</formula>
    </cfRule>
  </conditionalFormatting>
  <conditionalFormatting sqref="E6">
    <cfRule type="cellIs" dxfId="3" priority="273" operator="lessThan">
      <formula>B9</formula>
    </cfRule>
  </conditionalFormatting>
  <conditionalFormatting sqref="F6">
    <cfRule type="cellIs" dxfId="3" priority="274" operator="lessThan">
      <formula>B10</formula>
    </cfRule>
  </conditionalFormatting>
  <conditionalFormatting sqref="G6:G7">
    <cfRule type="cellIs" dxfId="3" priority="275" operator="lessThan">
      <formula>B11</formula>
    </cfRule>
  </conditionalFormatting>
  <conditionalFormatting sqref="B7">
    <cfRule type="cellIs" dxfId="3" priority="276" operator="lessThan">
      <formula>C6</formula>
    </cfRule>
  </conditionalFormatting>
  <conditionalFormatting sqref="D7">
    <cfRule type="cellIs" dxfId="3" priority="277" operator="lessThan">
      <formula>C8</formula>
    </cfRule>
  </conditionalFormatting>
  <conditionalFormatting sqref="E7">
    <cfRule type="cellIs" dxfId="3" priority="278" operator="lessThan">
      <formula>C9</formula>
    </cfRule>
  </conditionalFormatting>
  <conditionalFormatting sqref="F7">
    <cfRule type="cellIs" dxfId="3" priority="279" operator="lessThan">
      <formula>C10</formula>
    </cfRule>
  </conditionalFormatting>
  <conditionalFormatting sqref="G7">
    <cfRule type="cellIs" dxfId="3" priority="280" operator="lessThan">
      <formula>C11</formula>
    </cfRule>
  </conditionalFormatting>
  <conditionalFormatting sqref="B8">
    <cfRule type="cellIs" dxfId="3" priority="281" operator="lessThan">
      <formula>D6</formula>
    </cfRule>
  </conditionalFormatting>
  <conditionalFormatting sqref="C8">
    <cfRule type="cellIs" dxfId="3" priority="282" operator="lessThan">
      <formula>D7</formula>
    </cfRule>
  </conditionalFormatting>
  <conditionalFormatting sqref="E8">
    <cfRule type="cellIs" dxfId="3" priority="283" operator="lessThan">
      <formula>D9</formula>
    </cfRule>
  </conditionalFormatting>
  <conditionalFormatting sqref="F8">
    <cfRule type="cellIs" dxfId="3" priority="284" operator="lessThan">
      <formula>D10</formula>
    </cfRule>
  </conditionalFormatting>
  <conditionalFormatting sqref="G8">
    <cfRule type="cellIs" dxfId="3" priority="285" operator="lessThan">
      <formula>D11</formula>
    </cfRule>
  </conditionalFormatting>
  <conditionalFormatting sqref="B9">
    <cfRule type="cellIs" dxfId="3" priority="286" operator="lessThan">
      <formula>E6</formula>
    </cfRule>
  </conditionalFormatting>
  <conditionalFormatting sqref="C9">
    <cfRule type="cellIs" dxfId="3" priority="287" operator="lessThan">
      <formula>E7</formula>
    </cfRule>
  </conditionalFormatting>
  <conditionalFormatting sqref="D9">
    <cfRule type="cellIs" dxfId="3" priority="288" operator="lessThan">
      <formula>E8</formula>
    </cfRule>
  </conditionalFormatting>
  <conditionalFormatting sqref="F9">
    <cfRule type="cellIs" dxfId="3" priority="289" operator="lessThan">
      <formula>E10</formula>
    </cfRule>
  </conditionalFormatting>
  <conditionalFormatting sqref="G9">
    <cfRule type="cellIs" dxfId="3" priority="290" operator="lessThan">
      <formula>E11</formula>
    </cfRule>
  </conditionalFormatting>
  <conditionalFormatting sqref="B10">
    <cfRule type="cellIs" dxfId="3" priority="291" operator="lessThan">
      <formula>F6</formula>
    </cfRule>
  </conditionalFormatting>
  <conditionalFormatting sqref="C10">
    <cfRule type="cellIs" dxfId="3" priority="292" operator="lessThan">
      <formula>F7</formula>
    </cfRule>
  </conditionalFormatting>
  <conditionalFormatting sqref="D10">
    <cfRule type="cellIs" dxfId="3" priority="293" operator="lessThan">
      <formula>F8</formula>
    </cfRule>
  </conditionalFormatting>
  <conditionalFormatting sqref="E10">
    <cfRule type="cellIs" dxfId="3" priority="294" operator="lessThan">
      <formula>F9</formula>
    </cfRule>
  </conditionalFormatting>
  <conditionalFormatting sqref="G10">
    <cfRule type="cellIs" dxfId="3" priority="295" operator="lessThan">
      <formula>F11</formula>
    </cfRule>
  </conditionalFormatting>
  <conditionalFormatting sqref="B11">
    <cfRule type="cellIs" dxfId="3" priority="296" operator="lessThan">
      <formula>G6</formula>
    </cfRule>
  </conditionalFormatting>
  <conditionalFormatting sqref="C11">
    <cfRule type="cellIs" dxfId="3" priority="297" operator="lessThan">
      <formula>G7</formula>
    </cfRule>
  </conditionalFormatting>
  <conditionalFormatting sqref="D11">
    <cfRule type="cellIs" dxfId="3" priority="298" operator="lessThan">
      <formula>G8</formula>
    </cfRule>
  </conditionalFormatting>
  <conditionalFormatting sqref="E11">
    <cfRule type="cellIs" dxfId="3" priority="299" operator="lessThan">
      <formula>G9</formula>
    </cfRule>
  </conditionalFormatting>
  <conditionalFormatting sqref="F11">
    <cfRule type="cellIs" dxfId="3" priority="300" operator="lessThan">
      <formula>G10</formula>
    </cfRule>
  </conditionalFormatting>
  <conditionalFormatting sqref="C15">
    <cfRule type="cellIs" dxfId="3" priority="301" operator="lessThan">
      <formula>B16</formula>
    </cfRule>
  </conditionalFormatting>
  <conditionalFormatting sqref="D15">
    <cfRule type="cellIs" dxfId="3" priority="302" operator="lessThan">
      <formula>B17</formula>
    </cfRule>
  </conditionalFormatting>
  <conditionalFormatting sqref="E15">
    <cfRule type="cellIs" dxfId="3" priority="303" operator="lessThan">
      <formula>B18</formula>
    </cfRule>
  </conditionalFormatting>
  <conditionalFormatting sqref="F15">
    <cfRule type="cellIs" dxfId="3" priority="304" operator="lessThan">
      <formula>B19</formula>
    </cfRule>
  </conditionalFormatting>
  <conditionalFormatting sqref="G15">
    <cfRule type="cellIs" dxfId="3" priority="305" operator="lessThan">
      <formula>B20</formula>
    </cfRule>
  </conditionalFormatting>
  <conditionalFormatting sqref="B16">
    <cfRule type="cellIs" dxfId="3" priority="306" operator="lessThan">
      <formula>C15</formula>
    </cfRule>
  </conditionalFormatting>
  <conditionalFormatting sqref="D16">
    <cfRule type="cellIs" dxfId="3" priority="307" operator="lessThan">
      <formula>C17</formula>
    </cfRule>
  </conditionalFormatting>
  <conditionalFormatting sqref="E16">
    <cfRule type="cellIs" dxfId="3" priority="308" operator="lessThan">
      <formula>C18</formula>
    </cfRule>
  </conditionalFormatting>
  <conditionalFormatting sqref="F16">
    <cfRule type="cellIs" dxfId="3" priority="309" operator="lessThan">
      <formula>C19</formula>
    </cfRule>
  </conditionalFormatting>
  <conditionalFormatting sqref="G16">
    <cfRule type="cellIs" dxfId="3" priority="310" operator="lessThan">
      <formula>C20</formula>
    </cfRule>
  </conditionalFormatting>
  <conditionalFormatting sqref="B17">
    <cfRule type="cellIs" dxfId="3" priority="311" operator="lessThan">
      <formula>D15</formula>
    </cfRule>
  </conditionalFormatting>
  <conditionalFormatting sqref="C17">
    <cfRule type="cellIs" dxfId="3" priority="312" operator="lessThan">
      <formula>D16</formula>
    </cfRule>
  </conditionalFormatting>
  <conditionalFormatting sqref="E17">
    <cfRule type="cellIs" dxfId="3" priority="313" operator="lessThan">
      <formula>D18</formula>
    </cfRule>
  </conditionalFormatting>
  <conditionalFormatting sqref="F17">
    <cfRule type="cellIs" dxfId="3" priority="314" operator="lessThan">
      <formula>D19</formula>
    </cfRule>
  </conditionalFormatting>
  <conditionalFormatting sqref="G17">
    <cfRule type="cellIs" dxfId="3" priority="315" operator="lessThan">
      <formula>D20</formula>
    </cfRule>
  </conditionalFormatting>
  <conditionalFormatting sqref="B18">
    <cfRule type="cellIs" dxfId="3" priority="316" operator="lessThan">
      <formula>E15</formula>
    </cfRule>
  </conditionalFormatting>
  <conditionalFormatting sqref="C18">
    <cfRule type="cellIs" dxfId="3" priority="317" operator="lessThan">
      <formula>E16</formula>
    </cfRule>
  </conditionalFormatting>
  <conditionalFormatting sqref="D18">
    <cfRule type="cellIs" dxfId="3" priority="318" operator="lessThan">
      <formula>E17</formula>
    </cfRule>
  </conditionalFormatting>
  <conditionalFormatting sqref="F18">
    <cfRule type="cellIs" dxfId="3" priority="319" operator="lessThan">
      <formula>E19</formula>
    </cfRule>
  </conditionalFormatting>
  <conditionalFormatting sqref="G18">
    <cfRule type="cellIs" dxfId="3" priority="320" operator="lessThan">
      <formula>E20</formula>
    </cfRule>
  </conditionalFormatting>
  <conditionalFormatting sqref="B19">
    <cfRule type="cellIs" dxfId="3" priority="321" operator="lessThan">
      <formula>F15</formula>
    </cfRule>
  </conditionalFormatting>
  <conditionalFormatting sqref="C19">
    <cfRule type="cellIs" dxfId="3" priority="322" operator="lessThan">
      <formula>F16</formula>
    </cfRule>
  </conditionalFormatting>
  <conditionalFormatting sqref="D19">
    <cfRule type="cellIs" dxfId="3" priority="323" operator="lessThan">
      <formula>F17</formula>
    </cfRule>
  </conditionalFormatting>
  <conditionalFormatting sqref="E19">
    <cfRule type="cellIs" dxfId="3" priority="324" operator="lessThan">
      <formula>F18</formula>
    </cfRule>
  </conditionalFormatting>
  <conditionalFormatting sqref="G19">
    <cfRule type="cellIs" dxfId="3" priority="325" operator="lessThan">
      <formula>F20</formula>
    </cfRule>
  </conditionalFormatting>
  <conditionalFormatting sqref="B20">
    <cfRule type="cellIs" dxfId="3" priority="326" operator="lessThan">
      <formula>G15</formula>
    </cfRule>
  </conditionalFormatting>
  <conditionalFormatting sqref="C20">
    <cfRule type="cellIs" dxfId="3" priority="327" operator="lessThan">
      <formula>G16</formula>
    </cfRule>
  </conditionalFormatting>
  <conditionalFormatting sqref="D20">
    <cfRule type="cellIs" dxfId="3" priority="328" operator="lessThan">
      <formula>G17</formula>
    </cfRule>
  </conditionalFormatting>
  <conditionalFormatting sqref="E20">
    <cfRule type="cellIs" dxfId="3" priority="329" operator="lessThan">
      <formula>G18</formula>
    </cfRule>
  </conditionalFormatting>
  <conditionalFormatting sqref="F20">
    <cfRule type="cellIs" dxfId="3" priority="330" operator="lessThan">
      <formula>G19</formula>
    </cfRule>
  </conditionalFormatting>
  <conditionalFormatting sqref="C24">
    <cfRule type="cellIs" dxfId="3" priority="331" operator="lessThan">
      <formula>B25</formula>
    </cfRule>
  </conditionalFormatting>
  <conditionalFormatting sqref="D24">
    <cfRule type="cellIs" dxfId="3" priority="332" operator="lessThan">
      <formula>B26</formula>
    </cfRule>
  </conditionalFormatting>
  <conditionalFormatting sqref="E24">
    <cfRule type="cellIs" dxfId="3" priority="333" operator="lessThan">
      <formula>B27</formula>
    </cfRule>
  </conditionalFormatting>
  <conditionalFormatting sqref="F24">
    <cfRule type="cellIs" dxfId="3" priority="334" operator="lessThan">
      <formula>B28</formula>
    </cfRule>
  </conditionalFormatting>
  <conditionalFormatting sqref="G24:G25">
    <cfRule type="cellIs" dxfId="3" priority="335" operator="lessThan">
      <formula>B29</formula>
    </cfRule>
  </conditionalFormatting>
  <conditionalFormatting sqref="B25">
    <cfRule type="cellIs" dxfId="3" priority="336" operator="lessThan">
      <formula>C24</formula>
    </cfRule>
  </conditionalFormatting>
  <conditionalFormatting sqref="D25">
    <cfRule type="cellIs" dxfId="3" priority="337" operator="lessThan">
      <formula>C26</formula>
    </cfRule>
  </conditionalFormatting>
  <conditionalFormatting sqref="E25">
    <cfRule type="cellIs" dxfId="3" priority="338" operator="lessThan">
      <formula>C27</formula>
    </cfRule>
  </conditionalFormatting>
  <conditionalFormatting sqref="F25">
    <cfRule type="cellIs" dxfId="3" priority="339" operator="lessThan">
      <formula>C28</formula>
    </cfRule>
  </conditionalFormatting>
  <conditionalFormatting sqref="G25">
    <cfRule type="cellIs" dxfId="3" priority="340" operator="lessThan">
      <formula>C29</formula>
    </cfRule>
  </conditionalFormatting>
  <conditionalFormatting sqref="B26">
    <cfRule type="cellIs" dxfId="3" priority="341" operator="lessThan">
      <formula>D24</formula>
    </cfRule>
  </conditionalFormatting>
  <conditionalFormatting sqref="C26">
    <cfRule type="cellIs" dxfId="3" priority="342" operator="lessThan">
      <formula>D25</formula>
    </cfRule>
  </conditionalFormatting>
  <conditionalFormatting sqref="E26">
    <cfRule type="cellIs" dxfId="3" priority="343" operator="lessThan">
      <formula>D27</formula>
    </cfRule>
  </conditionalFormatting>
  <conditionalFormatting sqref="F26">
    <cfRule type="cellIs" dxfId="3" priority="344" operator="lessThan">
      <formula>D28</formula>
    </cfRule>
  </conditionalFormatting>
  <conditionalFormatting sqref="G26">
    <cfRule type="cellIs" dxfId="3" priority="345" operator="lessThan">
      <formula>D29</formula>
    </cfRule>
  </conditionalFormatting>
  <conditionalFormatting sqref="B27">
    <cfRule type="cellIs" dxfId="3" priority="346" operator="lessThan">
      <formula>E24</formula>
    </cfRule>
  </conditionalFormatting>
  <conditionalFormatting sqref="C27">
    <cfRule type="cellIs" dxfId="3" priority="347" operator="lessThan">
      <formula>E25</formula>
    </cfRule>
  </conditionalFormatting>
  <conditionalFormatting sqref="D27">
    <cfRule type="cellIs" dxfId="3" priority="348" operator="lessThan">
      <formula>E26</formula>
    </cfRule>
  </conditionalFormatting>
  <conditionalFormatting sqref="F27">
    <cfRule type="cellIs" dxfId="3" priority="349" operator="lessThan">
      <formula>E28</formula>
    </cfRule>
  </conditionalFormatting>
  <conditionalFormatting sqref="G27">
    <cfRule type="cellIs" dxfId="3" priority="350" operator="lessThan">
      <formula>E29</formula>
    </cfRule>
  </conditionalFormatting>
  <conditionalFormatting sqref="B28">
    <cfRule type="cellIs" dxfId="3" priority="351" operator="lessThan">
      <formula>F24</formula>
    </cfRule>
  </conditionalFormatting>
  <conditionalFormatting sqref="C28">
    <cfRule type="cellIs" dxfId="3" priority="352" operator="lessThan">
      <formula>F25</formula>
    </cfRule>
  </conditionalFormatting>
  <conditionalFormatting sqref="D28">
    <cfRule type="cellIs" dxfId="3" priority="353" operator="lessThan">
      <formula>F26</formula>
    </cfRule>
  </conditionalFormatting>
  <conditionalFormatting sqref="E28">
    <cfRule type="cellIs" dxfId="3" priority="354" operator="lessThan">
      <formula>F27</formula>
    </cfRule>
  </conditionalFormatting>
  <conditionalFormatting sqref="G28">
    <cfRule type="cellIs" dxfId="3" priority="355" operator="lessThan">
      <formula>F29</formula>
    </cfRule>
  </conditionalFormatting>
  <conditionalFormatting sqref="B29">
    <cfRule type="cellIs" dxfId="3" priority="356" operator="lessThan">
      <formula>G24</formula>
    </cfRule>
  </conditionalFormatting>
  <conditionalFormatting sqref="C29">
    <cfRule type="cellIs" dxfId="3" priority="357" operator="lessThan">
      <formula>G25</formula>
    </cfRule>
  </conditionalFormatting>
  <conditionalFormatting sqref="D29">
    <cfRule type="cellIs" dxfId="3" priority="358" operator="lessThan">
      <formula>G26</formula>
    </cfRule>
  </conditionalFormatting>
  <conditionalFormatting sqref="E29">
    <cfRule type="cellIs" dxfId="3" priority="359" operator="lessThan">
      <formula>G27</formula>
    </cfRule>
  </conditionalFormatting>
  <conditionalFormatting sqref="F29">
    <cfRule type="cellIs" dxfId="3" priority="360" operator="lessThan">
      <formula>G28</formula>
    </cfRule>
  </conditionalFormatting>
  <conditionalFormatting sqref="C6 K15 C33">
    <cfRule type="cellIs" dxfId="3" priority="361" operator="lessThan">
      <formula>B7</formula>
    </cfRule>
  </conditionalFormatting>
  <conditionalFormatting sqref="D6 L15 D33">
    <cfRule type="cellIs" dxfId="3" priority="362" operator="lessThan">
      <formula>B8</formula>
    </cfRule>
  </conditionalFormatting>
  <conditionalFormatting sqref="E6 M15 E33">
    <cfRule type="cellIs" dxfId="3" priority="363" operator="lessThan">
      <formula>B9</formula>
    </cfRule>
  </conditionalFormatting>
  <conditionalFormatting sqref="F6 N15 F33">
    <cfRule type="cellIs" dxfId="3" priority="364" operator="lessThan">
      <formula>B10</formula>
    </cfRule>
  </conditionalFormatting>
  <conditionalFormatting sqref="G6 O15 G33">
    <cfRule type="cellIs" dxfId="3" priority="365" operator="lessThan">
      <formula>B11</formula>
    </cfRule>
  </conditionalFormatting>
  <conditionalFormatting sqref="B34">
    <cfRule type="cellIs" dxfId="3" priority="366" operator="lessThan">
      <formula>C33</formula>
    </cfRule>
  </conditionalFormatting>
  <conditionalFormatting sqref="D34">
    <cfRule type="cellIs" dxfId="3" priority="367" operator="lessThan">
      <formula>C35</formula>
    </cfRule>
  </conditionalFormatting>
  <conditionalFormatting sqref="E34">
    <cfRule type="cellIs" dxfId="3" priority="368" operator="lessThan">
      <formula>C36</formula>
    </cfRule>
  </conditionalFormatting>
  <conditionalFormatting sqref="F34">
    <cfRule type="cellIs" dxfId="3" priority="369" operator="lessThan">
      <formula>C37</formula>
    </cfRule>
  </conditionalFormatting>
  <conditionalFormatting sqref="G34">
    <cfRule type="cellIs" dxfId="3" priority="370" operator="equal">
      <formula>C38</formula>
    </cfRule>
  </conditionalFormatting>
  <conditionalFormatting sqref="B35">
    <cfRule type="cellIs" dxfId="3" priority="371" operator="lessThan">
      <formula>D33</formula>
    </cfRule>
  </conditionalFormatting>
  <conditionalFormatting sqref="C35">
    <cfRule type="cellIs" dxfId="3" priority="372" operator="lessThan">
      <formula>D34</formula>
    </cfRule>
  </conditionalFormatting>
  <conditionalFormatting sqref="E35">
    <cfRule type="cellIs" dxfId="3" priority="373" operator="lessThan">
      <formula>D36</formula>
    </cfRule>
  </conditionalFormatting>
  <conditionalFormatting sqref="F35">
    <cfRule type="cellIs" dxfId="3" priority="374" operator="lessThan">
      <formula>D37</formula>
    </cfRule>
  </conditionalFormatting>
  <conditionalFormatting sqref="G35">
    <cfRule type="cellIs" dxfId="3" priority="375" operator="lessThan">
      <formula>D38</formula>
    </cfRule>
  </conditionalFormatting>
  <conditionalFormatting sqref="B36">
    <cfRule type="cellIs" dxfId="3" priority="376" operator="lessThan">
      <formula>E33</formula>
    </cfRule>
  </conditionalFormatting>
  <conditionalFormatting sqref="C36">
    <cfRule type="cellIs" dxfId="3" priority="377" operator="lessThan">
      <formula>E34</formula>
    </cfRule>
  </conditionalFormatting>
  <conditionalFormatting sqref="D36">
    <cfRule type="cellIs" dxfId="3" priority="378" operator="lessThan">
      <formula>E35</formula>
    </cfRule>
  </conditionalFormatting>
  <conditionalFormatting sqref="F36">
    <cfRule type="cellIs" dxfId="3" priority="379" operator="lessThan">
      <formula>E37</formula>
    </cfRule>
  </conditionalFormatting>
  <conditionalFormatting sqref="G36">
    <cfRule type="cellIs" dxfId="3" priority="380" operator="lessThan">
      <formula>E38</formula>
    </cfRule>
  </conditionalFormatting>
  <conditionalFormatting sqref="B37">
    <cfRule type="cellIs" dxfId="3" priority="381" operator="lessThan">
      <formula>F33</formula>
    </cfRule>
  </conditionalFormatting>
  <conditionalFormatting sqref="C37">
    <cfRule type="cellIs" dxfId="3" priority="382" operator="lessThan">
      <formula>F34</formula>
    </cfRule>
  </conditionalFormatting>
  <conditionalFormatting sqref="D37">
    <cfRule type="cellIs" dxfId="3" priority="383" operator="lessThan">
      <formula>F35</formula>
    </cfRule>
  </conditionalFormatting>
  <conditionalFormatting sqref="E37">
    <cfRule type="cellIs" dxfId="3" priority="384" operator="lessThan">
      <formula>F36</formula>
    </cfRule>
  </conditionalFormatting>
  <conditionalFormatting sqref="G37">
    <cfRule type="cellIs" dxfId="3" priority="385" operator="lessThan">
      <formula>F38</formula>
    </cfRule>
  </conditionalFormatting>
  <conditionalFormatting sqref="B38">
    <cfRule type="cellIs" dxfId="3" priority="386" operator="lessThan">
      <formula>G33</formula>
    </cfRule>
  </conditionalFormatting>
  <conditionalFormatting sqref="C38">
    <cfRule type="cellIs" dxfId="3" priority="387" operator="lessThan">
      <formula>G34</formula>
    </cfRule>
  </conditionalFormatting>
  <conditionalFormatting sqref="D38">
    <cfRule type="cellIs" dxfId="3" priority="388" operator="lessThan">
      <formula>G35</formula>
    </cfRule>
  </conditionalFormatting>
  <conditionalFormatting sqref="E38">
    <cfRule type="cellIs" dxfId="3" priority="389" operator="lessThan">
      <formula>G36</formula>
    </cfRule>
  </conditionalFormatting>
  <conditionalFormatting sqref="F38">
    <cfRule type="cellIs" dxfId="3" priority="390" operator="lessThan">
      <formula>G37</formula>
    </cfRule>
  </conditionalFormatting>
  <conditionalFormatting sqref="K6">
    <cfRule type="cellIs" dxfId="3" priority="391" operator="lessThan">
      <formula>J7</formula>
    </cfRule>
  </conditionalFormatting>
  <conditionalFormatting sqref="L6">
    <cfRule type="cellIs" dxfId="3" priority="392" operator="lessThan">
      <formula>J8</formula>
    </cfRule>
  </conditionalFormatting>
  <conditionalFormatting sqref="M6">
    <cfRule type="cellIs" dxfId="3" priority="393" operator="lessThan">
      <formula>J9</formula>
    </cfRule>
  </conditionalFormatting>
  <conditionalFormatting sqref="N6">
    <cfRule type="cellIs" dxfId="3" priority="394" operator="lessThan">
      <formula>J10</formula>
    </cfRule>
  </conditionalFormatting>
  <conditionalFormatting sqref="O6">
    <cfRule type="cellIs" dxfId="3" priority="395" operator="lessThan">
      <formula>J11</formula>
    </cfRule>
  </conditionalFormatting>
  <conditionalFormatting sqref="J7">
    <cfRule type="cellIs" dxfId="3" priority="396" operator="lessThan">
      <formula>K6</formula>
    </cfRule>
  </conditionalFormatting>
  <conditionalFormatting sqref="L7">
    <cfRule type="cellIs" dxfId="3" priority="397" operator="lessThan">
      <formula>K8</formula>
    </cfRule>
  </conditionalFormatting>
  <conditionalFormatting sqref="M7">
    <cfRule type="cellIs" dxfId="3" priority="398" operator="lessThan">
      <formula>K9</formula>
    </cfRule>
  </conditionalFormatting>
  <conditionalFormatting sqref="N7">
    <cfRule type="cellIs" dxfId="3" priority="399" operator="lessThan">
      <formula>K10</formula>
    </cfRule>
  </conditionalFormatting>
  <conditionalFormatting sqref="O7">
    <cfRule type="cellIs" dxfId="3" priority="400" operator="lessThan">
      <formula>K11</formula>
    </cfRule>
  </conditionalFormatting>
  <conditionalFormatting sqref="J8">
    <cfRule type="cellIs" dxfId="3" priority="401" operator="lessThan">
      <formula>L6</formula>
    </cfRule>
  </conditionalFormatting>
  <conditionalFormatting sqref="K8">
    <cfRule type="cellIs" dxfId="3" priority="402" operator="lessThan">
      <formula>L7</formula>
    </cfRule>
  </conditionalFormatting>
  <conditionalFormatting sqref="M8">
    <cfRule type="cellIs" dxfId="3" priority="403" operator="lessThan">
      <formula>L9</formula>
    </cfRule>
  </conditionalFormatting>
  <conditionalFormatting sqref="N8">
    <cfRule type="cellIs" dxfId="3" priority="404" operator="lessThan">
      <formula>L10</formula>
    </cfRule>
  </conditionalFormatting>
  <conditionalFormatting sqref="O8">
    <cfRule type="cellIs" dxfId="3" priority="405" operator="lessThan">
      <formula>L11</formula>
    </cfRule>
  </conditionalFormatting>
  <conditionalFormatting sqref="J9">
    <cfRule type="cellIs" dxfId="3" priority="406" operator="lessThan">
      <formula>M6</formula>
    </cfRule>
  </conditionalFormatting>
  <conditionalFormatting sqref="K9">
    <cfRule type="cellIs" dxfId="3" priority="407" operator="lessThan">
      <formula>M7</formula>
    </cfRule>
  </conditionalFormatting>
  <conditionalFormatting sqref="L9">
    <cfRule type="cellIs" dxfId="3" priority="408" operator="lessThan">
      <formula>M8</formula>
    </cfRule>
  </conditionalFormatting>
  <conditionalFormatting sqref="N9">
    <cfRule type="cellIs" dxfId="3" priority="409" operator="lessThan">
      <formula>M10</formula>
    </cfRule>
  </conditionalFormatting>
  <conditionalFormatting sqref="O9">
    <cfRule type="cellIs" dxfId="3" priority="410" operator="lessThan">
      <formula>M11</formula>
    </cfRule>
  </conditionalFormatting>
  <conditionalFormatting sqref="J10">
    <cfRule type="cellIs" dxfId="3" priority="411" operator="lessThan">
      <formula>N6</formula>
    </cfRule>
  </conditionalFormatting>
  <conditionalFormatting sqref="K10">
    <cfRule type="cellIs" dxfId="3" priority="412" operator="lessThan">
      <formula>N7</formula>
    </cfRule>
  </conditionalFormatting>
  <conditionalFormatting sqref="L10">
    <cfRule type="cellIs" dxfId="3" priority="413" operator="lessThan">
      <formula>N8</formula>
    </cfRule>
  </conditionalFormatting>
  <conditionalFormatting sqref="M10">
    <cfRule type="cellIs" dxfId="3" priority="414" operator="lessThan">
      <formula>N9</formula>
    </cfRule>
  </conditionalFormatting>
  <conditionalFormatting sqref="O10">
    <cfRule type="cellIs" dxfId="3" priority="415" operator="lessThan">
      <formula>N11</formula>
    </cfRule>
  </conditionalFormatting>
  <conditionalFormatting sqref="J11">
    <cfRule type="cellIs" dxfId="3" priority="416" operator="lessThan">
      <formula>O6</formula>
    </cfRule>
  </conditionalFormatting>
  <conditionalFormatting sqref="K11">
    <cfRule type="cellIs" dxfId="3" priority="417" operator="lessThan">
      <formula>O7</formula>
    </cfRule>
  </conditionalFormatting>
  <conditionalFormatting sqref="L11">
    <cfRule type="cellIs" dxfId="3" priority="418" operator="lessThan">
      <formula>O8</formula>
    </cfRule>
  </conditionalFormatting>
  <conditionalFormatting sqref="M11">
    <cfRule type="cellIs" dxfId="3" priority="419" operator="lessThan">
      <formula>O9</formula>
    </cfRule>
  </conditionalFormatting>
  <conditionalFormatting sqref="N11">
    <cfRule type="cellIs" dxfId="3" priority="420" operator="lessThan">
      <formula>O10</formula>
    </cfRule>
  </conditionalFormatting>
  <conditionalFormatting sqref="K15">
    <cfRule type="cellIs" dxfId="3" priority="421" operator="lessThan">
      <formula>J16</formula>
    </cfRule>
  </conditionalFormatting>
  <conditionalFormatting sqref="L15">
    <cfRule type="cellIs" dxfId="3" priority="422" operator="lessThan">
      <formula>J17</formula>
    </cfRule>
  </conditionalFormatting>
  <conditionalFormatting sqref="M15">
    <cfRule type="cellIs" dxfId="3" priority="423" operator="lessThan">
      <formula>J18</formula>
    </cfRule>
  </conditionalFormatting>
  <conditionalFormatting sqref="N15">
    <cfRule type="cellIs" dxfId="3" priority="424" operator="lessThan">
      <formula>J19</formula>
    </cfRule>
  </conditionalFormatting>
  <conditionalFormatting sqref="O15">
    <cfRule type="cellIs" dxfId="3" priority="425" operator="lessThan">
      <formula>J20</formula>
    </cfRule>
  </conditionalFormatting>
  <conditionalFormatting sqref="J16">
    <cfRule type="cellIs" dxfId="3" priority="426" operator="lessThan">
      <formula>K15</formula>
    </cfRule>
  </conditionalFormatting>
  <conditionalFormatting sqref="L16">
    <cfRule type="cellIs" dxfId="3" priority="427" operator="lessThan">
      <formula>K17</formula>
    </cfRule>
  </conditionalFormatting>
  <conditionalFormatting sqref="M16">
    <cfRule type="cellIs" dxfId="3" priority="428" operator="lessThan">
      <formula>K18</formula>
    </cfRule>
  </conditionalFormatting>
  <conditionalFormatting sqref="N16">
    <cfRule type="cellIs" dxfId="3" priority="429" operator="lessThan">
      <formula>K19</formula>
    </cfRule>
  </conditionalFormatting>
  <conditionalFormatting sqref="O16">
    <cfRule type="cellIs" dxfId="3" priority="430" operator="lessThan">
      <formula>K20</formula>
    </cfRule>
  </conditionalFormatting>
  <conditionalFormatting sqref="J17">
    <cfRule type="cellIs" dxfId="3" priority="431" operator="lessThan">
      <formula>L15</formula>
    </cfRule>
  </conditionalFormatting>
  <conditionalFormatting sqref="K17">
    <cfRule type="cellIs" dxfId="3" priority="432" operator="lessThan">
      <formula>L16</formula>
    </cfRule>
  </conditionalFormatting>
  <conditionalFormatting sqref="M17">
    <cfRule type="cellIs" dxfId="3" priority="433" operator="lessThan">
      <formula>L18</formula>
    </cfRule>
  </conditionalFormatting>
  <conditionalFormatting sqref="N17">
    <cfRule type="cellIs" dxfId="3" priority="434" operator="lessThan">
      <formula>L19</formula>
    </cfRule>
  </conditionalFormatting>
  <conditionalFormatting sqref="O17">
    <cfRule type="cellIs" dxfId="3" priority="435" operator="lessThan">
      <formula>L20</formula>
    </cfRule>
  </conditionalFormatting>
  <conditionalFormatting sqref="J18">
    <cfRule type="cellIs" dxfId="3" priority="436" operator="lessThan">
      <formula>M15</formula>
    </cfRule>
  </conditionalFormatting>
  <conditionalFormatting sqref="K18">
    <cfRule type="cellIs" dxfId="3" priority="437" operator="lessThan">
      <formula>M16</formula>
    </cfRule>
  </conditionalFormatting>
  <conditionalFormatting sqref="L18">
    <cfRule type="cellIs" dxfId="3" priority="438" operator="lessThan">
      <formula>M17</formula>
    </cfRule>
  </conditionalFormatting>
  <conditionalFormatting sqref="N18">
    <cfRule type="cellIs" dxfId="3" priority="439" operator="lessThan">
      <formula>M19</formula>
    </cfRule>
  </conditionalFormatting>
  <conditionalFormatting sqref="O18">
    <cfRule type="cellIs" dxfId="3" priority="440" operator="lessThan">
      <formula>M20</formula>
    </cfRule>
  </conditionalFormatting>
  <conditionalFormatting sqref="J19">
    <cfRule type="cellIs" dxfId="3" priority="441" operator="lessThan">
      <formula>N15</formula>
    </cfRule>
  </conditionalFormatting>
  <conditionalFormatting sqref="K19">
    <cfRule type="cellIs" dxfId="3" priority="442" operator="lessThan">
      <formula>N16</formula>
    </cfRule>
  </conditionalFormatting>
  <conditionalFormatting sqref="L19">
    <cfRule type="cellIs" dxfId="3" priority="443" operator="lessThan">
      <formula>N17</formula>
    </cfRule>
  </conditionalFormatting>
  <conditionalFormatting sqref="M19">
    <cfRule type="cellIs" dxfId="3" priority="444" operator="lessThan">
      <formula>N18</formula>
    </cfRule>
  </conditionalFormatting>
  <conditionalFormatting sqref="O19">
    <cfRule type="cellIs" dxfId="3" priority="445" operator="lessThan">
      <formula>N20</formula>
    </cfRule>
  </conditionalFormatting>
  <conditionalFormatting sqref="J20">
    <cfRule type="cellIs" dxfId="3" priority="446" operator="lessThan">
      <formula>O15</formula>
    </cfRule>
  </conditionalFormatting>
  <conditionalFormatting sqref="K20">
    <cfRule type="cellIs" dxfId="3" priority="447" operator="lessThan">
      <formula>O16</formula>
    </cfRule>
  </conditionalFormatting>
  <conditionalFormatting sqref="L20">
    <cfRule type="cellIs" dxfId="3" priority="448" operator="lessThan">
      <formula>O17</formula>
    </cfRule>
  </conditionalFormatting>
  <conditionalFormatting sqref="M20">
    <cfRule type="cellIs" dxfId="3" priority="449" operator="lessThan">
      <formula>O18</formula>
    </cfRule>
  </conditionalFormatting>
  <conditionalFormatting sqref="N20">
    <cfRule type="cellIs" dxfId="3" priority="450" operator="lessThan">
      <formula>O19</formula>
    </cfRule>
  </conditionalFormatting>
  <conditionalFormatting sqref="K24">
    <cfRule type="cellIs" dxfId="3" priority="451" operator="lessThan">
      <formula>J25</formula>
    </cfRule>
  </conditionalFormatting>
  <conditionalFormatting sqref="L24">
    <cfRule type="cellIs" dxfId="3" priority="452" operator="lessThan">
      <formula>J26</formula>
    </cfRule>
  </conditionalFormatting>
  <conditionalFormatting sqref="M24">
    <cfRule type="cellIs" dxfId="3" priority="453" operator="lessThan">
      <formula>J27</formula>
    </cfRule>
  </conditionalFormatting>
  <conditionalFormatting sqref="N24">
    <cfRule type="cellIs" dxfId="3" priority="454" operator="lessThan">
      <formula>J28</formula>
    </cfRule>
  </conditionalFormatting>
  <conditionalFormatting sqref="O24">
    <cfRule type="cellIs" dxfId="3" priority="455" operator="lessThan">
      <formula>J29</formula>
    </cfRule>
  </conditionalFormatting>
  <conditionalFormatting sqref="J25">
    <cfRule type="cellIs" dxfId="3" priority="456" operator="lessThan">
      <formula>K24</formula>
    </cfRule>
  </conditionalFormatting>
  <conditionalFormatting sqref="L25">
    <cfRule type="cellIs" dxfId="3" priority="457" operator="lessThan">
      <formula>K26</formula>
    </cfRule>
  </conditionalFormatting>
  <conditionalFormatting sqref="M25">
    <cfRule type="cellIs" dxfId="3" priority="458" operator="lessThan">
      <formula>K27</formula>
    </cfRule>
  </conditionalFormatting>
  <conditionalFormatting sqref="N25">
    <cfRule type="cellIs" dxfId="3" priority="459" operator="lessThan">
      <formula>K28</formula>
    </cfRule>
  </conditionalFormatting>
  <conditionalFormatting sqref="O25">
    <cfRule type="cellIs" dxfId="3" priority="460" operator="lessThan">
      <formula>K29</formula>
    </cfRule>
  </conditionalFormatting>
  <conditionalFormatting sqref="J26">
    <cfRule type="cellIs" dxfId="3" priority="461" operator="lessThan">
      <formula>L24</formula>
    </cfRule>
  </conditionalFormatting>
  <conditionalFormatting sqref="K26">
    <cfRule type="cellIs" dxfId="3" priority="462" operator="lessThan">
      <formula>L25</formula>
    </cfRule>
  </conditionalFormatting>
  <conditionalFormatting sqref="M26">
    <cfRule type="cellIs" dxfId="3" priority="463" operator="lessThan">
      <formula>L27</formula>
    </cfRule>
  </conditionalFormatting>
  <conditionalFormatting sqref="N26">
    <cfRule type="cellIs" dxfId="3" priority="464" operator="lessThan">
      <formula>L28</formula>
    </cfRule>
  </conditionalFormatting>
  <conditionalFormatting sqref="O26">
    <cfRule type="cellIs" dxfId="3" priority="465" operator="lessThan">
      <formula>L29</formula>
    </cfRule>
  </conditionalFormatting>
  <conditionalFormatting sqref="J27">
    <cfRule type="cellIs" dxfId="3" priority="466" operator="lessThan">
      <formula>M24</formula>
    </cfRule>
  </conditionalFormatting>
  <conditionalFormatting sqref="K27">
    <cfRule type="cellIs" dxfId="3" priority="467" operator="lessThan">
      <formula>M25</formula>
    </cfRule>
  </conditionalFormatting>
  <conditionalFormatting sqref="L27">
    <cfRule type="cellIs" dxfId="3" priority="468" operator="lessThan">
      <formula>M26</formula>
    </cfRule>
  </conditionalFormatting>
  <conditionalFormatting sqref="N27">
    <cfRule type="cellIs" dxfId="3" priority="469" operator="lessThan">
      <formula>M28</formula>
    </cfRule>
  </conditionalFormatting>
  <conditionalFormatting sqref="O27">
    <cfRule type="cellIs" dxfId="3" priority="470" operator="lessThan">
      <formula>M29</formula>
    </cfRule>
  </conditionalFormatting>
  <conditionalFormatting sqref="J28">
    <cfRule type="cellIs" dxfId="3" priority="471" operator="lessThan">
      <formula>N24</formula>
    </cfRule>
  </conditionalFormatting>
  <conditionalFormatting sqref="K28">
    <cfRule type="cellIs" dxfId="3" priority="472" operator="lessThan">
      <formula>N25</formula>
    </cfRule>
  </conditionalFormatting>
  <conditionalFormatting sqref="L28">
    <cfRule type="cellIs" dxfId="3" priority="473" operator="lessThan">
      <formula>N26</formula>
    </cfRule>
  </conditionalFormatting>
  <conditionalFormatting sqref="M28">
    <cfRule type="cellIs" dxfId="3" priority="474" operator="lessThan">
      <formula>N27</formula>
    </cfRule>
  </conditionalFormatting>
  <conditionalFormatting sqref="O28">
    <cfRule type="cellIs" dxfId="3" priority="475" operator="lessThan">
      <formula>N29</formula>
    </cfRule>
  </conditionalFormatting>
  <conditionalFormatting sqref="J29">
    <cfRule type="cellIs" dxfId="3" priority="476" operator="lessThan">
      <formula>O24</formula>
    </cfRule>
  </conditionalFormatting>
  <conditionalFormatting sqref="K29">
    <cfRule type="cellIs" dxfId="3" priority="477" operator="lessThan">
      <formula>O25</formula>
    </cfRule>
  </conditionalFormatting>
  <conditionalFormatting sqref="L29">
    <cfRule type="cellIs" dxfId="3" priority="478" operator="lessThan">
      <formula>O26</formula>
    </cfRule>
  </conditionalFormatting>
  <conditionalFormatting sqref="M29">
    <cfRule type="cellIs" dxfId="3" priority="479" operator="lessThan">
      <formula>O27</formula>
    </cfRule>
  </conditionalFormatting>
  <conditionalFormatting sqref="N29">
    <cfRule type="cellIs" dxfId="3" priority="480" operator="lessThan">
      <formula>O28</formula>
    </cfRule>
  </conditionalFormatting>
  <conditionalFormatting sqref="C15">
    <cfRule type="cellIs" dxfId="0" priority="481" operator="greaterThan">
      <formula>B16</formula>
    </cfRule>
  </conditionalFormatting>
  <conditionalFormatting sqref="D15">
    <cfRule type="cellIs" dxfId="0" priority="482" operator="greaterThan">
      <formula>B17</formula>
    </cfRule>
  </conditionalFormatting>
  <conditionalFormatting sqref="E15">
    <cfRule type="cellIs" dxfId="0" priority="483" operator="greaterThan">
      <formula>B18</formula>
    </cfRule>
  </conditionalFormatting>
  <conditionalFormatting sqref="F15">
    <cfRule type="cellIs" dxfId="0" priority="484" operator="greaterThan">
      <formula>B19</formula>
    </cfRule>
  </conditionalFormatting>
  <conditionalFormatting sqref="G15">
    <cfRule type="cellIs" dxfId="0" priority="485" operator="greaterThan">
      <formula>B20</formula>
    </cfRule>
  </conditionalFormatting>
  <conditionalFormatting sqref="B16">
    <cfRule type="cellIs" dxfId="0" priority="486" operator="greaterThan">
      <formula>C15</formula>
    </cfRule>
  </conditionalFormatting>
  <conditionalFormatting sqref="D16">
    <cfRule type="cellIs" dxfId="0" priority="487" operator="greaterThan">
      <formula>C17</formula>
    </cfRule>
  </conditionalFormatting>
  <conditionalFormatting sqref="E16">
    <cfRule type="cellIs" dxfId="0" priority="488" operator="greaterThan">
      <formula>C18</formula>
    </cfRule>
  </conditionalFormatting>
  <conditionalFormatting sqref="F16">
    <cfRule type="cellIs" dxfId="0" priority="489" operator="greaterThan">
      <formula>C19</formula>
    </cfRule>
  </conditionalFormatting>
  <conditionalFormatting sqref="G16">
    <cfRule type="cellIs" dxfId="0" priority="490" operator="greaterThan">
      <formula>C20</formula>
    </cfRule>
  </conditionalFormatting>
  <conditionalFormatting sqref="B17">
    <cfRule type="cellIs" dxfId="0" priority="491" operator="greaterThan">
      <formula>D15</formula>
    </cfRule>
  </conditionalFormatting>
  <conditionalFormatting sqref="C17">
    <cfRule type="cellIs" dxfId="0" priority="492" operator="greaterThan">
      <formula>D16</formula>
    </cfRule>
  </conditionalFormatting>
  <conditionalFormatting sqref="E17">
    <cfRule type="cellIs" dxfId="0" priority="493" operator="greaterThan">
      <formula>D18</formula>
    </cfRule>
  </conditionalFormatting>
  <conditionalFormatting sqref="F17">
    <cfRule type="cellIs" dxfId="0" priority="494" operator="greaterThan">
      <formula>D19</formula>
    </cfRule>
  </conditionalFormatting>
  <conditionalFormatting sqref="G17">
    <cfRule type="cellIs" dxfId="0" priority="495" operator="greaterThan">
      <formula>D20</formula>
    </cfRule>
  </conditionalFormatting>
  <conditionalFormatting sqref="B18">
    <cfRule type="cellIs" dxfId="0" priority="496" operator="greaterThan">
      <formula>E15</formula>
    </cfRule>
  </conditionalFormatting>
  <conditionalFormatting sqref="C18">
    <cfRule type="cellIs" dxfId="0" priority="497" operator="greaterThan">
      <formula>E16</formula>
    </cfRule>
  </conditionalFormatting>
  <conditionalFormatting sqref="D18">
    <cfRule type="cellIs" dxfId="0" priority="498" operator="greaterThan">
      <formula>E17</formula>
    </cfRule>
  </conditionalFormatting>
  <conditionalFormatting sqref="F18">
    <cfRule type="cellIs" dxfId="0" priority="499" operator="greaterThan">
      <formula>E19</formula>
    </cfRule>
  </conditionalFormatting>
  <conditionalFormatting sqref="G18">
    <cfRule type="cellIs" dxfId="0" priority="500" operator="greaterThan">
      <formula>E20</formula>
    </cfRule>
  </conditionalFormatting>
  <conditionalFormatting sqref="B19">
    <cfRule type="cellIs" dxfId="0" priority="501" operator="greaterThan">
      <formula>F15</formula>
    </cfRule>
  </conditionalFormatting>
  <conditionalFormatting sqref="C19">
    <cfRule type="cellIs" dxfId="0" priority="502" operator="greaterThan">
      <formula>F16</formula>
    </cfRule>
  </conditionalFormatting>
  <conditionalFormatting sqref="D19">
    <cfRule type="cellIs" dxfId="0" priority="503" operator="greaterThan">
      <formula>F17</formula>
    </cfRule>
  </conditionalFormatting>
  <conditionalFormatting sqref="E19">
    <cfRule type="cellIs" dxfId="0" priority="504" operator="greaterThan">
      <formula>F18</formula>
    </cfRule>
  </conditionalFormatting>
  <conditionalFormatting sqref="G19">
    <cfRule type="cellIs" dxfId="0" priority="505" operator="greaterThan">
      <formula>F20</formula>
    </cfRule>
  </conditionalFormatting>
  <conditionalFormatting sqref="B20">
    <cfRule type="cellIs" dxfId="0" priority="506" operator="greaterThan">
      <formula>G15</formula>
    </cfRule>
  </conditionalFormatting>
  <conditionalFormatting sqref="C20">
    <cfRule type="cellIs" dxfId="0" priority="507" operator="greaterThan">
      <formula>G16</formula>
    </cfRule>
  </conditionalFormatting>
  <conditionalFormatting sqref="D20">
    <cfRule type="cellIs" dxfId="0" priority="508" operator="greaterThan">
      <formula>G17</formula>
    </cfRule>
  </conditionalFormatting>
  <conditionalFormatting sqref="E20">
    <cfRule type="cellIs" dxfId="0" priority="509" operator="greaterThan">
      <formula>G18</formula>
    </cfRule>
  </conditionalFormatting>
  <conditionalFormatting sqref="F20">
    <cfRule type="cellIs" dxfId="0" priority="510" operator="greaterThan">
      <formula>G19</formula>
    </cfRule>
  </conditionalFormatting>
  <conditionalFormatting sqref="K15">
    <cfRule type="cellIs" dxfId="0" priority="511" operator="greaterThan">
      <formula>J16</formula>
    </cfRule>
  </conditionalFormatting>
  <conditionalFormatting sqref="L15">
    <cfRule type="cellIs" dxfId="0" priority="512" operator="greaterThan">
      <formula>J17</formula>
    </cfRule>
  </conditionalFormatting>
  <conditionalFormatting sqref="M15">
    <cfRule type="cellIs" dxfId="0" priority="513" operator="greaterThan">
      <formula>J18</formula>
    </cfRule>
  </conditionalFormatting>
  <conditionalFormatting sqref="N15">
    <cfRule type="cellIs" dxfId="0" priority="514" operator="greaterThan">
      <formula>J19</formula>
    </cfRule>
  </conditionalFormatting>
  <conditionalFormatting sqref="O15">
    <cfRule type="cellIs" dxfId="0" priority="515" operator="greaterThan">
      <formula>J20</formula>
    </cfRule>
  </conditionalFormatting>
  <conditionalFormatting sqref="J16">
    <cfRule type="cellIs" dxfId="0" priority="516" operator="greaterThan">
      <formula>K15</formula>
    </cfRule>
  </conditionalFormatting>
  <conditionalFormatting sqref="L16">
    <cfRule type="cellIs" dxfId="0" priority="517" operator="greaterThan">
      <formula>K17</formula>
    </cfRule>
  </conditionalFormatting>
  <conditionalFormatting sqref="M16">
    <cfRule type="cellIs" dxfId="0" priority="518" operator="greaterThan">
      <formula>K18</formula>
    </cfRule>
  </conditionalFormatting>
  <conditionalFormatting sqref="N16">
    <cfRule type="cellIs" dxfId="0" priority="519" operator="greaterThan">
      <formula>K19</formula>
    </cfRule>
  </conditionalFormatting>
  <conditionalFormatting sqref="O16">
    <cfRule type="cellIs" dxfId="0" priority="520" operator="greaterThan">
      <formula>K20</formula>
    </cfRule>
  </conditionalFormatting>
  <conditionalFormatting sqref="J17">
    <cfRule type="cellIs" dxfId="0" priority="521" operator="greaterThan">
      <formula>L15</formula>
    </cfRule>
  </conditionalFormatting>
  <conditionalFormatting sqref="K17">
    <cfRule type="cellIs" dxfId="0" priority="522" operator="greaterThan">
      <formula>L16</formula>
    </cfRule>
  </conditionalFormatting>
  <conditionalFormatting sqref="M17">
    <cfRule type="cellIs" dxfId="0" priority="523" operator="greaterThan">
      <formula>L18</formula>
    </cfRule>
  </conditionalFormatting>
  <conditionalFormatting sqref="N17">
    <cfRule type="cellIs" dxfId="0" priority="524" operator="greaterThan">
      <formula>L19</formula>
    </cfRule>
  </conditionalFormatting>
  <conditionalFormatting sqref="O17">
    <cfRule type="cellIs" dxfId="0" priority="525" operator="greaterThan">
      <formula>L20</formula>
    </cfRule>
  </conditionalFormatting>
  <conditionalFormatting sqref="J18">
    <cfRule type="cellIs" dxfId="0" priority="526" operator="greaterThan">
      <formula>M15</formula>
    </cfRule>
  </conditionalFormatting>
  <conditionalFormatting sqref="K18">
    <cfRule type="cellIs" dxfId="0" priority="527" operator="greaterThan">
      <formula>M16</formula>
    </cfRule>
  </conditionalFormatting>
  <conditionalFormatting sqref="L18">
    <cfRule type="cellIs" dxfId="0" priority="528" operator="greaterThan">
      <formula>M17</formula>
    </cfRule>
  </conditionalFormatting>
  <conditionalFormatting sqref="N18">
    <cfRule type="cellIs" dxfId="0" priority="529" operator="greaterThan">
      <formula>M19</formula>
    </cfRule>
  </conditionalFormatting>
  <conditionalFormatting sqref="O18">
    <cfRule type="cellIs" dxfId="0" priority="530" operator="greaterThan">
      <formula>M20</formula>
    </cfRule>
  </conditionalFormatting>
  <conditionalFormatting sqref="J19">
    <cfRule type="cellIs" dxfId="0" priority="531" operator="greaterThan">
      <formula>N15</formula>
    </cfRule>
  </conditionalFormatting>
  <conditionalFormatting sqref="K19">
    <cfRule type="cellIs" dxfId="0" priority="532" operator="greaterThan">
      <formula>N16</formula>
    </cfRule>
  </conditionalFormatting>
  <conditionalFormatting sqref="L19">
    <cfRule type="cellIs" dxfId="0" priority="533" operator="greaterThan">
      <formula>N17</formula>
    </cfRule>
  </conditionalFormatting>
  <conditionalFormatting sqref="M19">
    <cfRule type="cellIs" dxfId="0" priority="534" operator="greaterThan">
      <formula>N18</formula>
    </cfRule>
  </conditionalFormatting>
  <conditionalFormatting sqref="O19">
    <cfRule type="cellIs" dxfId="0" priority="535" operator="greaterThan">
      <formula>N20</formula>
    </cfRule>
  </conditionalFormatting>
  <conditionalFormatting sqref="J20">
    <cfRule type="cellIs" dxfId="0" priority="536" operator="greaterThan">
      <formula>O15</formula>
    </cfRule>
  </conditionalFormatting>
  <conditionalFormatting sqref="K20">
    <cfRule type="cellIs" dxfId="0" priority="537" operator="greaterThan">
      <formula>O16</formula>
    </cfRule>
  </conditionalFormatting>
  <conditionalFormatting sqref="L20">
    <cfRule type="cellIs" dxfId="0" priority="538" operator="greaterThan">
      <formula>O17</formula>
    </cfRule>
  </conditionalFormatting>
  <conditionalFormatting sqref="M20">
    <cfRule type="cellIs" dxfId="0" priority="539" operator="greaterThan">
      <formula>O18</formula>
    </cfRule>
  </conditionalFormatting>
  <conditionalFormatting sqref="N20">
    <cfRule type="cellIs" dxfId="0" priority="540" operator="greaterThan">
      <formula>O19</formula>
    </cfRule>
  </conditionalFormatting>
  <conditionalFormatting sqref="C24">
    <cfRule type="cellIs" dxfId="0" priority="541" operator="greaterThan">
      <formula>B25</formula>
    </cfRule>
  </conditionalFormatting>
  <conditionalFormatting sqref="D24">
    <cfRule type="cellIs" dxfId="0" priority="542" operator="greaterThan">
      <formula>B26</formula>
    </cfRule>
  </conditionalFormatting>
  <conditionalFormatting sqref="E24">
    <cfRule type="cellIs" dxfId="0" priority="543" operator="greaterThan">
      <formula>B27</formula>
    </cfRule>
  </conditionalFormatting>
  <conditionalFormatting sqref="F24">
    <cfRule type="cellIs" dxfId="0" priority="544" operator="greaterThan">
      <formula>B28</formula>
    </cfRule>
  </conditionalFormatting>
  <conditionalFormatting sqref="G24:G25">
    <cfRule type="cellIs" dxfId="0" priority="545" operator="greaterThan">
      <formula>B29</formula>
    </cfRule>
  </conditionalFormatting>
  <conditionalFormatting sqref="B25">
    <cfRule type="cellIs" dxfId="0" priority="546" operator="greaterThan">
      <formula>C24</formula>
    </cfRule>
  </conditionalFormatting>
  <conditionalFormatting sqref="D25">
    <cfRule type="cellIs" dxfId="0" priority="547" operator="greaterThan">
      <formula>C26</formula>
    </cfRule>
  </conditionalFormatting>
  <conditionalFormatting sqref="E25">
    <cfRule type="cellIs" dxfId="0" priority="548" operator="greaterThan">
      <formula>C27</formula>
    </cfRule>
  </conditionalFormatting>
  <conditionalFormatting sqref="F25">
    <cfRule type="cellIs" dxfId="0" priority="549" operator="greaterThan">
      <formula>C28</formula>
    </cfRule>
  </conditionalFormatting>
  <conditionalFormatting sqref="G25">
    <cfRule type="cellIs" dxfId="0" priority="550" operator="greaterThan">
      <formula>C29</formula>
    </cfRule>
  </conditionalFormatting>
  <conditionalFormatting sqref="B26">
    <cfRule type="cellIs" dxfId="0" priority="551" operator="greaterThan">
      <formula>D24</formula>
    </cfRule>
  </conditionalFormatting>
  <conditionalFormatting sqref="C26">
    <cfRule type="cellIs" dxfId="0" priority="552" operator="greaterThan">
      <formula>D25</formula>
    </cfRule>
  </conditionalFormatting>
  <conditionalFormatting sqref="E26">
    <cfRule type="cellIs" dxfId="0" priority="553" operator="greaterThan">
      <formula>D27</formula>
    </cfRule>
  </conditionalFormatting>
  <conditionalFormatting sqref="F26">
    <cfRule type="cellIs" dxfId="0" priority="554" operator="greaterThan">
      <formula>D28</formula>
    </cfRule>
  </conditionalFormatting>
  <conditionalFormatting sqref="G26">
    <cfRule type="cellIs" dxfId="0" priority="555" operator="greaterThan">
      <formula>D29</formula>
    </cfRule>
  </conditionalFormatting>
  <conditionalFormatting sqref="B27">
    <cfRule type="cellIs" dxfId="0" priority="556" operator="greaterThan">
      <formula>E24</formula>
    </cfRule>
  </conditionalFormatting>
  <conditionalFormatting sqref="C27">
    <cfRule type="cellIs" dxfId="0" priority="557" operator="greaterThan">
      <formula>E25</formula>
    </cfRule>
  </conditionalFormatting>
  <conditionalFormatting sqref="D27">
    <cfRule type="cellIs" dxfId="0" priority="558" operator="greaterThan">
      <formula>E26</formula>
    </cfRule>
  </conditionalFormatting>
  <conditionalFormatting sqref="F27">
    <cfRule type="cellIs" dxfId="0" priority="559" operator="greaterThan">
      <formula>E28</formula>
    </cfRule>
  </conditionalFormatting>
  <conditionalFormatting sqref="G27">
    <cfRule type="cellIs" dxfId="0" priority="560" operator="greaterThan">
      <formula>E29</formula>
    </cfRule>
  </conditionalFormatting>
  <conditionalFormatting sqref="B28">
    <cfRule type="cellIs" dxfId="0" priority="561" operator="greaterThan">
      <formula>F24</formula>
    </cfRule>
  </conditionalFormatting>
  <conditionalFormatting sqref="C28">
    <cfRule type="cellIs" dxfId="0" priority="562" operator="greaterThan">
      <formula>F25</formula>
    </cfRule>
  </conditionalFormatting>
  <conditionalFormatting sqref="D28">
    <cfRule type="cellIs" dxfId="0" priority="563" operator="greaterThan">
      <formula>F26</formula>
    </cfRule>
  </conditionalFormatting>
  <conditionalFormatting sqref="E28">
    <cfRule type="cellIs" dxfId="0" priority="564" operator="greaterThan">
      <formula>F27</formula>
    </cfRule>
  </conditionalFormatting>
  <conditionalFormatting sqref="G28">
    <cfRule type="cellIs" dxfId="0" priority="565" operator="greaterThan">
      <formula>F29</formula>
    </cfRule>
  </conditionalFormatting>
  <conditionalFormatting sqref="B29">
    <cfRule type="cellIs" dxfId="0" priority="566" operator="greaterThan">
      <formula>G24</formula>
    </cfRule>
  </conditionalFormatting>
  <conditionalFormatting sqref="C29">
    <cfRule type="cellIs" dxfId="0" priority="567" operator="greaterThan">
      <formula>G25</formula>
    </cfRule>
  </conditionalFormatting>
  <conditionalFormatting sqref="D29">
    <cfRule type="cellIs" dxfId="0" priority="568" operator="greaterThan">
      <formula>G26</formula>
    </cfRule>
  </conditionalFormatting>
  <conditionalFormatting sqref="E29">
    <cfRule type="cellIs" dxfId="0" priority="569" operator="greaterThan">
      <formula>G27</formula>
    </cfRule>
  </conditionalFormatting>
  <conditionalFormatting sqref="F29">
    <cfRule type="cellIs" dxfId="0" priority="570" operator="greaterThan">
      <formula>G28</formula>
    </cfRule>
  </conditionalFormatting>
  <conditionalFormatting sqref="K24">
    <cfRule type="cellIs" dxfId="0" priority="571" operator="greaterThan">
      <formula>J25</formula>
    </cfRule>
  </conditionalFormatting>
  <conditionalFormatting sqref="L24">
    <cfRule type="cellIs" dxfId="0" priority="572" operator="greaterThan">
      <formula>J26</formula>
    </cfRule>
  </conditionalFormatting>
  <conditionalFormatting sqref="M24">
    <cfRule type="cellIs" dxfId="0" priority="573" operator="greaterThan">
      <formula>J27</formula>
    </cfRule>
  </conditionalFormatting>
  <conditionalFormatting sqref="N24">
    <cfRule type="cellIs" dxfId="0" priority="574" operator="greaterThan">
      <formula>J28</formula>
    </cfRule>
  </conditionalFormatting>
  <conditionalFormatting sqref="O24">
    <cfRule type="cellIs" dxfId="0" priority="575" operator="greaterThan">
      <formula>J29</formula>
    </cfRule>
  </conditionalFormatting>
  <conditionalFormatting sqref="J25">
    <cfRule type="cellIs" dxfId="0" priority="576" operator="greaterThan">
      <formula>K24</formula>
    </cfRule>
  </conditionalFormatting>
  <conditionalFormatting sqref="L25">
    <cfRule type="cellIs" dxfId="0" priority="577" operator="greaterThan">
      <formula>K26</formula>
    </cfRule>
  </conditionalFormatting>
  <conditionalFormatting sqref="M25">
    <cfRule type="cellIs" dxfId="0" priority="578" operator="greaterThan">
      <formula>K27</formula>
    </cfRule>
  </conditionalFormatting>
  <conditionalFormatting sqref="N25">
    <cfRule type="cellIs" dxfId="0" priority="579" operator="greaterThan">
      <formula>K28</formula>
    </cfRule>
  </conditionalFormatting>
  <conditionalFormatting sqref="O25">
    <cfRule type="cellIs" dxfId="0" priority="580" operator="greaterThan">
      <formula>K29</formula>
    </cfRule>
  </conditionalFormatting>
  <conditionalFormatting sqref="J26">
    <cfRule type="cellIs" dxfId="0" priority="581" operator="greaterThan">
      <formula>L24</formula>
    </cfRule>
  </conditionalFormatting>
  <conditionalFormatting sqref="K26">
    <cfRule type="cellIs" dxfId="0" priority="582" operator="greaterThan">
      <formula>L25</formula>
    </cfRule>
  </conditionalFormatting>
  <conditionalFormatting sqref="M26">
    <cfRule type="cellIs" dxfId="0" priority="583" operator="greaterThan">
      <formula>L27</formula>
    </cfRule>
  </conditionalFormatting>
  <conditionalFormatting sqref="N26">
    <cfRule type="cellIs" dxfId="0" priority="584" operator="greaterThan">
      <formula>L28</formula>
    </cfRule>
  </conditionalFormatting>
  <conditionalFormatting sqref="O26">
    <cfRule type="cellIs" dxfId="0" priority="585" operator="greaterThan">
      <formula>L29</formula>
    </cfRule>
  </conditionalFormatting>
  <conditionalFormatting sqref="J27">
    <cfRule type="cellIs" dxfId="0" priority="586" operator="greaterThan">
      <formula>M24</formula>
    </cfRule>
  </conditionalFormatting>
  <conditionalFormatting sqref="K27">
    <cfRule type="cellIs" dxfId="0" priority="587" operator="greaterThan">
      <formula>M25</formula>
    </cfRule>
  </conditionalFormatting>
  <conditionalFormatting sqref="L27">
    <cfRule type="cellIs" dxfId="0" priority="588" operator="greaterThan">
      <formula>M26</formula>
    </cfRule>
  </conditionalFormatting>
  <conditionalFormatting sqref="N27">
    <cfRule type="cellIs" dxfId="0" priority="589" operator="greaterThan">
      <formula>M28</formula>
    </cfRule>
  </conditionalFormatting>
  <conditionalFormatting sqref="O27">
    <cfRule type="cellIs" dxfId="0" priority="590" operator="greaterThan">
      <formula>M29</formula>
    </cfRule>
  </conditionalFormatting>
  <conditionalFormatting sqref="J29">
    <cfRule type="cellIs" dxfId="0" priority="591" operator="greaterThan">
      <formula>O24</formula>
    </cfRule>
  </conditionalFormatting>
  <conditionalFormatting sqref="J28">
    <cfRule type="cellIs" dxfId="0" priority="592" operator="greaterThan">
      <formula>N24</formula>
    </cfRule>
  </conditionalFormatting>
  <conditionalFormatting sqref="K28">
    <cfRule type="cellIs" dxfId="0" priority="593" operator="greaterThan">
      <formula>N25</formula>
    </cfRule>
  </conditionalFormatting>
  <conditionalFormatting sqref="L28">
    <cfRule type="cellIs" dxfId="0" priority="594" operator="greaterThan">
      <formula>N26</formula>
    </cfRule>
  </conditionalFormatting>
  <conditionalFormatting sqref="M28">
    <cfRule type="cellIs" dxfId="0" priority="595" operator="greaterThan">
      <formula>N27</formula>
    </cfRule>
  </conditionalFormatting>
  <conditionalFormatting sqref="O28">
    <cfRule type="cellIs" dxfId="0" priority="596" operator="greaterThan">
      <formula>N29</formula>
    </cfRule>
  </conditionalFormatting>
  <conditionalFormatting sqref="K29">
    <cfRule type="cellIs" dxfId="0" priority="597" operator="greaterThan">
      <formula>O25</formula>
    </cfRule>
  </conditionalFormatting>
  <conditionalFormatting sqref="L29">
    <cfRule type="cellIs" dxfId="0" priority="598" operator="greaterThan">
      <formula>O26</formula>
    </cfRule>
  </conditionalFormatting>
  <conditionalFormatting sqref="M29">
    <cfRule type="cellIs" dxfId="0" priority="599" operator="greaterThan">
      <formula>O27</formula>
    </cfRule>
  </conditionalFormatting>
  <conditionalFormatting sqref="N29">
    <cfRule type="cellIs" dxfId="0" priority="600" operator="greaterThan">
      <formula>O28</formula>
    </cfRule>
  </conditionalFormatting>
  <conditionalFormatting sqref="C6 K15 C33">
    <cfRule type="cellIs" dxfId="0" priority="601" operator="greaterThan">
      <formula>B7</formula>
    </cfRule>
  </conditionalFormatting>
  <conditionalFormatting sqref="D6 L15 D33">
    <cfRule type="cellIs" dxfId="0" priority="602" operator="greaterThan">
      <formula>B8</formula>
    </cfRule>
  </conditionalFormatting>
  <conditionalFormatting sqref="E6 M15 E33">
    <cfRule type="cellIs" dxfId="0" priority="603" operator="greaterThan">
      <formula>B9</formula>
    </cfRule>
  </conditionalFormatting>
  <conditionalFormatting sqref="F6 N15 F33">
    <cfRule type="cellIs" dxfId="0" priority="604" operator="greaterThan">
      <formula>B10</formula>
    </cfRule>
  </conditionalFormatting>
  <conditionalFormatting sqref="G6 O15 G33">
    <cfRule type="cellIs" dxfId="0" priority="605" operator="greaterThan">
      <formula>B11</formula>
    </cfRule>
  </conditionalFormatting>
  <conditionalFormatting sqref="B34">
    <cfRule type="cellIs" dxfId="0" priority="606" operator="greaterThan">
      <formula>C33</formula>
    </cfRule>
  </conditionalFormatting>
  <conditionalFormatting sqref="D34">
    <cfRule type="cellIs" dxfId="0" priority="607" operator="greaterThan">
      <formula>C35</formula>
    </cfRule>
  </conditionalFormatting>
  <conditionalFormatting sqref="E34">
    <cfRule type="cellIs" dxfId="0" priority="608" operator="greaterThan">
      <formula>C36</formula>
    </cfRule>
  </conditionalFormatting>
  <conditionalFormatting sqref="F34">
    <cfRule type="cellIs" dxfId="0" priority="609" operator="greaterThan">
      <formula>C37</formula>
    </cfRule>
  </conditionalFormatting>
  <conditionalFormatting sqref="G34">
    <cfRule type="cellIs" dxfId="0" priority="610" operator="greaterThan">
      <formula>C38</formula>
    </cfRule>
  </conditionalFormatting>
  <conditionalFormatting sqref="B35">
    <cfRule type="cellIs" dxfId="0" priority="611" operator="greaterThan">
      <formula>D33</formula>
    </cfRule>
  </conditionalFormatting>
  <conditionalFormatting sqref="C35">
    <cfRule type="cellIs" dxfId="0" priority="612" operator="greaterThan">
      <formula>D34</formula>
    </cfRule>
  </conditionalFormatting>
  <conditionalFormatting sqref="E35">
    <cfRule type="cellIs" dxfId="0" priority="613" operator="greaterThan">
      <formula>D36</formula>
    </cfRule>
  </conditionalFormatting>
  <conditionalFormatting sqref="F35">
    <cfRule type="cellIs" dxfId="0" priority="614" operator="greaterThan">
      <formula>D37</formula>
    </cfRule>
  </conditionalFormatting>
  <conditionalFormatting sqref="G35">
    <cfRule type="cellIs" dxfId="0" priority="615" operator="greaterThan">
      <formula>D38</formula>
    </cfRule>
  </conditionalFormatting>
  <conditionalFormatting sqref="B36">
    <cfRule type="cellIs" dxfId="0" priority="616" operator="greaterThan">
      <formula>E33</formula>
    </cfRule>
  </conditionalFormatting>
  <conditionalFormatting sqref="C36">
    <cfRule type="cellIs" dxfId="0" priority="617" operator="greaterThan">
      <formula>E34</formula>
    </cfRule>
  </conditionalFormatting>
  <conditionalFormatting sqref="D36">
    <cfRule type="cellIs" dxfId="0" priority="618" operator="greaterThan">
      <formula>E35</formula>
    </cfRule>
  </conditionalFormatting>
  <conditionalFormatting sqref="F36">
    <cfRule type="cellIs" dxfId="0" priority="619" operator="greaterThan">
      <formula>E37</formula>
    </cfRule>
  </conditionalFormatting>
  <conditionalFormatting sqref="G36">
    <cfRule type="cellIs" dxfId="0" priority="620" operator="greaterThan">
      <formula>E38</formula>
    </cfRule>
  </conditionalFormatting>
  <conditionalFormatting sqref="B37">
    <cfRule type="cellIs" dxfId="0" priority="621" operator="greaterThan">
      <formula>F33</formula>
    </cfRule>
  </conditionalFormatting>
  <conditionalFormatting sqref="C37">
    <cfRule type="cellIs" dxfId="0" priority="622" operator="greaterThan">
      <formula>F34</formula>
    </cfRule>
  </conditionalFormatting>
  <conditionalFormatting sqref="D37">
    <cfRule type="cellIs" dxfId="0" priority="623" operator="greaterThan">
      <formula>F35</formula>
    </cfRule>
  </conditionalFormatting>
  <conditionalFormatting sqref="E37">
    <cfRule type="cellIs" dxfId="0" priority="624" operator="greaterThan">
      <formula>F36</formula>
    </cfRule>
  </conditionalFormatting>
  <conditionalFormatting sqref="G37">
    <cfRule type="cellIs" dxfId="0" priority="625" operator="greaterThan">
      <formula>F38</formula>
    </cfRule>
  </conditionalFormatting>
  <conditionalFormatting sqref="B38">
    <cfRule type="cellIs" dxfId="0" priority="626" operator="greaterThan">
      <formula>G33</formula>
    </cfRule>
  </conditionalFormatting>
  <conditionalFormatting sqref="C38">
    <cfRule type="cellIs" dxfId="0" priority="627" operator="greaterThan">
      <formula>G34</formula>
    </cfRule>
  </conditionalFormatting>
  <conditionalFormatting sqref="D38">
    <cfRule type="cellIs" dxfId="0" priority="628" operator="greaterThan">
      <formula>G35</formula>
    </cfRule>
  </conditionalFormatting>
  <conditionalFormatting sqref="E38">
    <cfRule type="cellIs" dxfId="0" priority="629" operator="greaterThan">
      <formula>G36</formula>
    </cfRule>
  </conditionalFormatting>
  <conditionalFormatting sqref="F38">
    <cfRule type="cellIs" dxfId="0" priority="630" operator="greaterThan">
      <formula>G37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8.63"/>
    <col customWidth="1" min="3" max="3" width="16.88"/>
  </cols>
  <sheetData>
    <row r="1" ht="108.0" customHeight="1">
      <c r="A1" s="67" t="s">
        <v>226</v>
      </c>
    </row>
    <row r="2">
      <c r="A2" s="70" t="s">
        <v>2</v>
      </c>
      <c r="B2" s="72" t="s">
        <v>242</v>
      </c>
      <c r="C2" s="72" t="s">
        <v>244</v>
      </c>
    </row>
    <row r="3">
      <c r="A3" s="75" t="s">
        <v>94</v>
      </c>
      <c r="B3" s="8" t="str">
        <f>VLOOKUP(A3, 'Team List'!$A$1:$C$44, 2, FALSE)</f>
        <v>Dulles</v>
      </c>
      <c r="C3" s="98">
        <v>1404.25</v>
      </c>
    </row>
    <row r="4">
      <c r="A4" s="75" t="s">
        <v>52</v>
      </c>
      <c r="B4" s="8" t="str">
        <f>VLOOKUP(A4, 'Team List'!$A$1:$C$44, 2, FALSE)</f>
        <v>Montgomery Blair A</v>
      </c>
      <c r="C4" s="106">
        <v>1354.2</v>
      </c>
    </row>
    <row r="5">
      <c r="A5" s="75" t="s">
        <v>64</v>
      </c>
      <c r="B5" s="8" t="str">
        <f>VLOOKUP(A5, 'Team List'!$A$1:$C$44, 2, FALSE)</f>
        <v>Mission San Jose A</v>
      </c>
      <c r="C5" s="109">
        <v>1335.11</v>
      </c>
    </row>
    <row r="6">
      <c r="A6" s="75" t="s">
        <v>72</v>
      </c>
      <c r="B6" s="8" t="str">
        <f>VLOOKUP(A6, 'Team List'!$A$1:$C$44, 2, FALSE)</f>
        <v>Ward Melville A</v>
      </c>
      <c r="C6" s="109">
        <v>1236.97</v>
      </c>
    </row>
    <row r="7">
      <c r="A7" s="75" t="s">
        <v>27</v>
      </c>
      <c r="B7" s="8" t="str">
        <f>VLOOKUP(A7, 'Team List'!$A$1:$C$44, 2, FALSE)</f>
        <v>WWPS A</v>
      </c>
      <c r="C7" s="109">
        <v>1194.72</v>
      </c>
    </row>
    <row r="8">
      <c r="A8" s="75" t="s">
        <v>80</v>
      </c>
      <c r="B8" s="8" t="str">
        <f>VLOOKUP(A8, 'Team List'!$A$1:$C$44, 2, FALSE)</f>
        <v>School of Biology </v>
      </c>
      <c r="C8" s="109">
        <v>1142.97</v>
      </c>
    </row>
    <row r="9">
      <c r="A9" s="119" t="s">
        <v>56</v>
      </c>
      <c r="B9" s="13" t="str">
        <f>VLOOKUP(A9, 'Team List'!$A$1:$C$44, 2, FALSE)</f>
        <v>Johnson A</v>
      </c>
      <c r="C9" s="109">
        <v>1101.7</v>
      </c>
    </row>
    <row r="10">
      <c r="A10" s="119" t="s">
        <v>82</v>
      </c>
      <c r="B10" s="13" t="str">
        <f>VLOOKUP(A10, 'Team List'!$A$1:$C$44, 2, FALSE)</f>
        <v>North Hollywood B</v>
      </c>
      <c r="C10" s="109">
        <v>1082.97</v>
      </c>
    </row>
    <row r="11">
      <c r="A11" s="119" t="s">
        <v>10</v>
      </c>
      <c r="B11" s="13" t="str">
        <f>VLOOKUP(A11, 'Team List'!$A$1:$C$44, 2, FALSE)</f>
        <v>Montgomery Blair B</v>
      </c>
      <c r="C11" s="109">
        <v>1035.05</v>
      </c>
    </row>
    <row r="12">
      <c r="A12" s="119" t="s">
        <v>22</v>
      </c>
      <c r="B12" s="13" t="str">
        <f>VLOOKUP(A12, 'Team List'!$A$1:$C$44, 2, FALSE)</f>
        <v>Mission San Jose B</v>
      </c>
      <c r="C12" s="109">
        <v>992.717</v>
      </c>
    </row>
    <row r="13">
      <c r="A13" s="119" t="s">
        <v>8</v>
      </c>
      <c r="B13" s="13" t="str">
        <f>VLOOKUP(A13, 'Team List'!$A$1:$C$44, 2, FALSE)</f>
        <v>Basis Silicon Valley A</v>
      </c>
      <c r="C13" s="109">
        <v>980.047</v>
      </c>
    </row>
    <row r="14">
      <c r="A14" s="119" t="s">
        <v>38</v>
      </c>
      <c r="B14" s="13" t="str">
        <f>VLOOKUP(A14, 'Team List'!$A$1:$C$44, 2, FALSE)</f>
        <v>North Hollywood A</v>
      </c>
      <c r="C14" s="109">
        <v>893.534</v>
      </c>
    </row>
    <row r="15">
      <c r="A15" s="75" t="s">
        <v>19</v>
      </c>
      <c r="B15" s="8" t="str">
        <f>VLOOKUP(A15, 'Team List'!$A$1:$C$44, 2, FALSE)</f>
        <v>Basis Chandler A</v>
      </c>
      <c r="C15" s="109">
        <v>882.717</v>
      </c>
    </row>
    <row r="16">
      <c r="A16" s="75" t="s">
        <v>42</v>
      </c>
      <c r="B16" s="8" t="str">
        <f>VLOOKUP(A16, 'Team List'!$A$1:$C$44, 2, FALSE)</f>
        <v>James Clemens</v>
      </c>
      <c r="C16" s="109">
        <v>881.534</v>
      </c>
    </row>
    <row r="17">
      <c r="A17" s="75" t="s">
        <v>61</v>
      </c>
      <c r="B17" s="8" t="str">
        <f>VLOOKUP(A17, 'Team List'!$A$1:$C$44, 2, FALSE)</f>
        <v>Arcadia B</v>
      </c>
      <c r="C17" s="109">
        <v>855.112</v>
      </c>
    </row>
    <row r="18">
      <c r="A18" s="132" t="s">
        <v>33</v>
      </c>
      <c r="B18" s="133" t="str">
        <f>VLOOKUP(A18, 'Team List'!$A$1:$C$44, 2, FALSE)</f>
        <v>Arcadia A</v>
      </c>
      <c r="C18" s="134">
        <v>841.534</v>
      </c>
    </row>
    <row r="19">
      <c r="A19" s="7"/>
      <c r="B19" s="8"/>
      <c r="C19" s="135"/>
    </row>
    <row r="20">
      <c r="A20" s="11"/>
      <c r="B20" s="13"/>
      <c r="C20" s="135"/>
    </row>
    <row r="21">
      <c r="A21" s="11"/>
      <c r="B21" s="13"/>
      <c r="C21" s="135"/>
    </row>
    <row r="22">
      <c r="A22" s="11"/>
      <c r="B22" s="13"/>
      <c r="C22" s="135"/>
    </row>
    <row r="23">
      <c r="A23" s="11"/>
      <c r="B23" s="13"/>
      <c r="C23" s="135"/>
    </row>
    <row r="24">
      <c r="A24" s="11"/>
      <c r="B24" s="13"/>
      <c r="C24" s="135"/>
    </row>
    <row r="25">
      <c r="A25" s="11"/>
      <c r="B25" s="23"/>
      <c r="C25" s="135"/>
    </row>
    <row r="26">
      <c r="A26" s="7"/>
      <c r="B26" s="8"/>
      <c r="C26" s="135"/>
    </row>
    <row r="27">
      <c r="A27" s="7"/>
      <c r="B27" s="8"/>
      <c r="C27" s="135"/>
    </row>
    <row r="28">
      <c r="A28" s="7"/>
      <c r="B28" s="8"/>
      <c r="C28" s="135"/>
    </row>
    <row r="29">
      <c r="A29" s="7"/>
      <c r="B29" s="8"/>
      <c r="C29" s="135"/>
    </row>
    <row r="30">
      <c r="A30" s="7"/>
      <c r="B30" s="8"/>
      <c r="C30" s="136"/>
    </row>
    <row r="31">
      <c r="A31" s="7"/>
      <c r="B31" s="8"/>
      <c r="C31" s="135"/>
    </row>
    <row r="32">
      <c r="A32" s="11"/>
      <c r="B32" s="13"/>
      <c r="C32" s="135"/>
    </row>
    <row r="33">
      <c r="A33" s="11"/>
      <c r="B33" s="13"/>
      <c r="C33" s="135"/>
    </row>
    <row r="34">
      <c r="A34" s="11"/>
      <c r="B34" s="13"/>
      <c r="C34" s="135"/>
    </row>
    <row r="35">
      <c r="A35" s="11"/>
      <c r="B35" s="13"/>
      <c r="C35" s="135"/>
    </row>
    <row r="36">
      <c r="A36" s="11"/>
      <c r="B36" s="13"/>
      <c r="C36" s="135"/>
    </row>
    <row r="37">
      <c r="A37" s="11"/>
      <c r="B37" s="13"/>
      <c r="C37" s="135"/>
    </row>
    <row r="38">
      <c r="A38" s="28"/>
      <c r="B38" s="8"/>
      <c r="C38" s="135"/>
    </row>
    <row r="39">
      <c r="A39" s="28"/>
      <c r="B39" s="8"/>
      <c r="C39" s="135"/>
    </row>
    <row r="40">
      <c r="A40" s="28"/>
      <c r="B40" s="8"/>
      <c r="C40" s="135"/>
    </row>
    <row r="41">
      <c r="A41" s="28"/>
      <c r="B41" s="8"/>
      <c r="C41" s="135"/>
    </row>
    <row r="42">
      <c r="A42" s="28"/>
      <c r="B42" s="8"/>
      <c r="C42" s="135"/>
    </row>
    <row r="43">
      <c r="A43" s="28"/>
      <c r="B43" s="20"/>
      <c r="C43" s="135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4.5"/>
    <col customWidth="1" min="3" max="3" width="25.13"/>
    <col customWidth="1" min="4" max="4" width="4.5"/>
    <col customWidth="1" min="5" max="5" width="25.13"/>
    <col customWidth="1" min="6" max="6" width="4.5"/>
    <col customWidth="1" min="7" max="7" width="25.13"/>
    <col customWidth="1" min="8" max="8" width="4.5"/>
    <col customWidth="1" min="9" max="9" width="25.13"/>
    <col customWidth="1" min="10" max="10" width="4.5"/>
    <col customWidth="1" min="11" max="11" width="25.13"/>
    <col customWidth="1" min="12" max="12" width="4.5"/>
    <col customWidth="1" min="13" max="13" width="25.13"/>
    <col customWidth="1" min="14" max="16" width="4.5"/>
  </cols>
  <sheetData>
    <row r="1">
      <c r="A1" s="71" t="s">
        <v>229</v>
      </c>
      <c r="B1" s="31"/>
      <c r="C1" s="74" t="s">
        <v>245</v>
      </c>
      <c r="D1" s="31"/>
      <c r="E1" s="76" t="s">
        <v>249</v>
      </c>
      <c r="F1" s="31"/>
      <c r="G1" s="76" t="s">
        <v>254</v>
      </c>
      <c r="H1" s="78"/>
      <c r="I1" s="76" t="s">
        <v>255</v>
      </c>
      <c r="J1" s="78"/>
      <c r="K1" s="76" t="s">
        <v>256</v>
      </c>
      <c r="L1" s="78"/>
      <c r="M1" s="76"/>
      <c r="N1" s="80"/>
      <c r="O1" s="80"/>
      <c r="P1" s="80"/>
      <c r="Q1" s="80"/>
      <c r="R1" s="81"/>
    </row>
    <row r="2">
      <c r="A2" s="82" t="s">
        <v>257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>
      <c r="A3" s="85"/>
      <c r="B3" s="86"/>
      <c r="C3" s="6"/>
      <c r="D3" s="6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>
      <c r="A4" s="88" t="s">
        <v>95</v>
      </c>
      <c r="B4" s="90">
        <v>96.0</v>
      </c>
      <c r="C4" s="6"/>
      <c r="D4" s="6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</row>
    <row r="5">
      <c r="A5" s="91" t="s">
        <v>272</v>
      </c>
      <c r="B5" s="92"/>
      <c r="C5" s="93"/>
      <c r="D5" s="95"/>
      <c r="E5" s="96" t="s">
        <v>95</v>
      </c>
      <c r="F5" s="97">
        <v>22.0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>
      <c r="A6" s="88" t="s">
        <v>83</v>
      </c>
      <c r="B6" s="90">
        <v>58.0</v>
      </c>
      <c r="C6" s="6"/>
      <c r="D6" s="6"/>
      <c r="E6" s="99"/>
      <c r="F6" s="100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>
      <c r="A7" s="87"/>
      <c r="B7" s="101"/>
      <c r="C7" s="102"/>
      <c r="D7" s="6"/>
      <c r="E7" s="102" t="s">
        <v>272</v>
      </c>
      <c r="F7" s="100"/>
      <c r="G7" s="93"/>
      <c r="H7" s="103"/>
      <c r="I7" s="96" t="s">
        <v>73</v>
      </c>
      <c r="J7" s="104">
        <v>34.0</v>
      </c>
      <c r="K7" s="83"/>
      <c r="L7" s="83"/>
      <c r="M7" s="83"/>
      <c r="N7" s="83"/>
      <c r="O7" s="83"/>
      <c r="P7" s="83"/>
      <c r="Q7" s="83"/>
      <c r="R7" s="83"/>
    </row>
    <row r="8">
      <c r="A8" s="88" t="s">
        <v>73</v>
      </c>
      <c r="B8" s="90">
        <v>88.0</v>
      </c>
      <c r="C8" s="6"/>
      <c r="D8" s="6"/>
      <c r="E8" s="99"/>
      <c r="F8" s="100"/>
      <c r="G8" s="99"/>
      <c r="H8" s="99"/>
      <c r="I8" s="99"/>
      <c r="J8" s="105"/>
      <c r="K8" s="83"/>
      <c r="L8" s="83"/>
      <c r="M8" s="83"/>
      <c r="N8" s="83"/>
      <c r="O8" s="83"/>
      <c r="P8" s="83"/>
      <c r="Q8" s="83"/>
      <c r="R8" s="83"/>
    </row>
    <row r="9">
      <c r="A9" s="91" t="s">
        <v>277</v>
      </c>
      <c r="B9" s="92"/>
      <c r="C9" s="93"/>
      <c r="D9" s="95"/>
      <c r="E9" s="96" t="s">
        <v>73</v>
      </c>
      <c r="F9" s="97">
        <v>88.0</v>
      </c>
      <c r="G9" s="99"/>
      <c r="H9" s="99"/>
      <c r="I9" s="99"/>
      <c r="J9" s="105"/>
      <c r="K9" s="83"/>
      <c r="L9" s="83"/>
      <c r="M9" s="83"/>
      <c r="N9" s="83"/>
      <c r="O9" s="83"/>
      <c r="P9" s="83"/>
      <c r="Q9" s="83"/>
      <c r="R9" s="83"/>
    </row>
    <row r="10">
      <c r="A10" s="88" t="s">
        <v>28</v>
      </c>
      <c r="B10" s="90">
        <v>72.0</v>
      </c>
      <c r="C10" s="6"/>
      <c r="D10" s="6"/>
      <c r="E10" s="99"/>
      <c r="F10" s="107"/>
      <c r="G10" s="99"/>
      <c r="H10" s="99"/>
      <c r="I10" s="99"/>
      <c r="J10" s="105"/>
      <c r="K10" s="83"/>
      <c r="L10" s="83"/>
      <c r="M10" s="83"/>
      <c r="N10" s="83"/>
      <c r="O10" s="83"/>
      <c r="P10" s="83"/>
      <c r="Q10" s="83"/>
      <c r="R10" s="83"/>
    </row>
    <row r="11">
      <c r="A11" s="87"/>
      <c r="B11" s="101"/>
      <c r="C11" s="6"/>
      <c r="D11" s="6"/>
      <c r="E11" s="108"/>
      <c r="F11" s="107"/>
      <c r="G11" s="102"/>
      <c r="H11" s="99"/>
      <c r="I11" s="102" t="s">
        <v>278</v>
      </c>
      <c r="J11" s="105"/>
      <c r="K11" s="110"/>
      <c r="L11" s="111"/>
      <c r="M11" s="112" t="s">
        <v>53</v>
      </c>
      <c r="N11" s="113">
        <v>16.0</v>
      </c>
      <c r="O11" s="114"/>
      <c r="P11" s="83"/>
      <c r="Q11" s="83"/>
      <c r="R11" s="83"/>
    </row>
    <row r="12">
      <c r="A12" s="88" t="s">
        <v>65</v>
      </c>
      <c r="B12" s="90">
        <v>74.0</v>
      </c>
      <c r="C12" s="6"/>
      <c r="D12" s="6"/>
      <c r="E12" s="108"/>
      <c r="F12" s="107"/>
      <c r="G12" s="99"/>
      <c r="H12" s="99"/>
      <c r="I12" s="99"/>
      <c r="J12" s="105"/>
      <c r="K12" s="83"/>
      <c r="L12" s="83"/>
      <c r="M12" s="83"/>
      <c r="N12" s="114"/>
      <c r="O12" s="114"/>
      <c r="P12" s="83"/>
      <c r="Q12" s="83"/>
      <c r="R12" s="83"/>
    </row>
    <row r="13">
      <c r="A13" s="91" t="s">
        <v>279</v>
      </c>
      <c r="B13" s="92"/>
      <c r="C13" s="93"/>
      <c r="D13" s="95"/>
      <c r="E13" s="96" t="s">
        <v>280</v>
      </c>
      <c r="F13" s="97">
        <v>52.0</v>
      </c>
      <c r="G13" s="99"/>
      <c r="H13" s="99"/>
      <c r="I13" s="99"/>
      <c r="J13" s="105"/>
      <c r="K13" s="83"/>
      <c r="L13" s="83"/>
      <c r="M13" s="83"/>
      <c r="N13" s="114"/>
      <c r="O13" s="114"/>
      <c r="P13" s="83"/>
      <c r="Q13" s="83"/>
      <c r="R13" s="83"/>
    </row>
    <row r="14">
      <c r="A14" s="88" t="s">
        <v>280</v>
      </c>
      <c r="B14" s="90">
        <v>134.0</v>
      </c>
      <c r="C14" s="6"/>
      <c r="D14" s="6"/>
      <c r="E14" s="99"/>
      <c r="F14" s="100"/>
      <c r="G14" s="99"/>
      <c r="H14" s="99"/>
      <c r="I14" s="99"/>
      <c r="J14" s="105"/>
      <c r="K14" s="83"/>
      <c r="L14" s="83"/>
      <c r="M14" s="83"/>
      <c r="N14" s="114"/>
      <c r="O14" s="114"/>
      <c r="P14" s="83"/>
      <c r="Q14" s="83"/>
      <c r="R14" s="83"/>
    </row>
    <row r="15">
      <c r="A15" s="87"/>
      <c r="B15" s="101"/>
      <c r="C15" s="102"/>
      <c r="D15" s="6"/>
      <c r="E15" s="102" t="s">
        <v>277</v>
      </c>
      <c r="F15" s="100"/>
      <c r="G15" s="93"/>
      <c r="H15" s="103"/>
      <c r="I15" s="96" t="s">
        <v>53</v>
      </c>
      <c r="J15" s="104">
        <v>60.0</v>
      </c>
      <c r="K15" s="83"/>
      <c r="L15" s="83"/>
      <c r="M15" s="83"/>
      <c r="N15" s="114"/>
      <c r="O15" s="114"/>
      <c r="P15" s="83"/>
      <c r="Q15" s="83"/>
      <c r="R15" s="83"/>
    </row>
    <row r="16">
      <c r="A16" s="88" t="s">
        <v>53</v>
      </c>
      <c r="B16" s="90">
        <v>96.0</v>
      </c>
      <c r="C16" s="6"/>
      <c r="D16" s="6"/>
      <c r="E16" s="99"/>
      <c r="F16" s="100"/>
      <c r="G16" s="83"/>
      <c r="H16" s="83"/>
      <c r="I16" s="83"/>
      <c r="J16" s="83"/>
      <c r="K16" s="83"/>
      <c r="L16" s="83"/>
      <c r="M16" s="83"/>
      <c r="N16" s="114"/>
      <c r="O16" s="114"/>
      <c r="P16" s="83"/>
      <c r="Q16" s="83"/>
      <c r="R16" s="83"/>
    </row>
    <row r="17">
      <c r="A17" s="91" t="s">
        <v>281</v>
      </c>
      <c r="B17" s="92"/>
      <c r="C17" s="93"/>
      <c r="D17" s="95"/>
      <c r="E17" s="96" t="s">
        <v>53</v>
      </c>
      <c r="F17" s="97">
        <v>84.0</v>
      </c>
      <c r="G17" s="83"/>
      <c r="H17" s="83"/>
      <c r="I17" s="83"/>
      <c r="J17" s="83"/>
      <c r="K17" s="83"/>
      <c r="L17" s="83"/>
      <c r="M17" s="83"/>
      <c r="N17" s="114"/>
      <c r="O17" s="114"/>
      <c r="P17" s="83"/>
      <c r="Q17" s="83"/>
      <c r="R17" s="83"/>
    </row>
    <row r="18">
      <c r="A18" s="88" t="s">
        <v>57</v>
      </c>
      <c r="B18" s="90">
        <v>62.0</v>
      </c>
      <c r="C18" s="6"/>
      <c r="D18" s="6"/>
      <c r="E18" s="83"/>
      <c r="F18" s="116"/>
      <c r="G18" s="83"/>
      <c r="H18" s="83"/>
      <c r="I18" s="83"/>
      <c r="J18" s="83"/>
      <c r="K18" s="96" t="s">
        <v>73</v>
      </c>
      <c r="L18" s="117">
        <v>96.0</v>
      </c>
      <c r="M18" s="118"/>
      <c r="N18" s="114"/>
      <c r="O18" s="114"/>
      <c r="P18" s="83"/>
      <c r="Q18" s="83"/>
      <c r="R18" s="83"/>
    </row>
    <row r="19">
      <c r="A19" s="6"/>
      <c r="B19" s="101"/>
      <c r="C19" s="6"/>
      <c r="D19" s="6"/>
      <c r="E19" s="83"/>
      <c r="F19" s="116"/>
      <c r="G19" s="83"/>
      <c r="H19" s="83"/>
      <c r="I19" s="83"/>
      <c r="J19" s="83"/>
      <c r="K19" s="83"/>
      <c r="L19" s="120"/>
      <c r="M19" s="83"/>
      <c r="N19" s="114"/>
      <c r="O19" s="114"/>
      <c r="P19" s="83"/>
      <c r="Q19" s="83"/>
      <c r="R19" s="83"/>
    </row>
    <row r="20" ht="15.75" customHeight="1">
      <c r="A20" s="82"/>
      <c r="B20" s="101"/>
      <c r="C20" s="99"/>
      <c r="D20" s="99"/>
      <c r="E20" s="83"/>
      <c r="F20" s="116"/>
      <c r="G20" s="83"/>
      <c r="H20" s="83"/>
      <c r="I20" s="83"/>
      <c r="J20" s="83"/>
      <c r="K20" s="83"/>
      <c r="L20" s="120"/>
      <c r="M20" s="83"/>
      <c r="N20" s="114"/>
      <c r="O20" s="114"/>
      <c r="P20" s="83"/>
      <c r="Q20" s="83"/>
      <c r="R20" s="83"/>
    </row>
    <row r="21" ht="15.75" customHeight="1">
      <c r="A21" s="82"/>
      <c r="B21" s="101"/>
      <c r="C21" s="99"/>
      <c r="D21" s="99"/>
      <c r="E21" s="83"/>
      <c r="F21" s="116"/>
      <c r="G21" s="83"/>
      <c r="H21" s="83"/>
      <c r="I21" s="83"/>
      <c r="J21" s="83"/>
      <c r="K21" s="83"/>
      <c r="L21" s="120"/>
      <c r="M21" s="83"/>
      <c r="N21" s="114"/>
      <c r="O21" s="114"/>
      <c r="P21" s="83"/>
      <c r="Q21" s="83"/>
      <c r="R21" s="83"/>
    </row>
    <row r="22">
      <c r="A22" s="82"/>
      <c r="B22" s="101"/>
      <c r="C22" s="99"/>
      <c r="D22" s="99"/>
      <c r="E22" s="83"/>
      <c r="F22" s="116"/>
      <c r="G22" s="96" t="s">
        <v>95</v>
      </c>
      <c r="H22" s="121">
        <v>58.0</v>
      </c>
      <c r="I22" s="83"/>
      <c r="J22" s="83"/>
      <c r="K22" s="83"/>
      <c r="L22" s="120"/>
      <c r="M22" s="83"/>
      <c r="N22" s="114"/>
      <c r="O22" s="114"/>
      <c r="P22" s="83"/>
      <c r="Q22" s="83"/>
      <c r="R22" s="83"/>
    </row>
    <row r="23">
      <c r="A23" s="82"/>
      <c r="B23" s="101"/>
      <c r="C23" s="99"/>
      <c r="D23" s="99"/>
      <c r="E23" s="83"/>
      <c r="F23" s="116"/>
      <c r="G23" s="83"/>
      <c r="H23" s="122"/>
      <c r="I23" s="83"/>
      <c r="J23" s="83"/>
      <c r="K23" s="83"/>
      <c r="L23" s="120"/>
      <c r="M23" s="83"/>
      <c r="N23" s="114"/>
      <c r="O23" s="114"/>
      <c r="P23" s="83"/>
      <c r="Q23" s="83"/>
      <c r="R23" s="83"/>
    </row>
    <row r="24">
      <c r="A24" s="82"/>
      <c r="B24" s="101"/>
      <c r="C24" s="96" t="s">
        <v>83</v>
      </c>
      <c r="D24" s="97">
        <v>150.0</v>
      </c>
      <c r="E24" s="118"/>
      <c r="F24" s="116"/>
      <c r="G24" s="83"/>
      <c r="H24" s="122"/>
      <c r="I24" s="83"/>
      <c r="J24" s="83"/>
      <c r="K24" s="83"/>
      <c r="L24" s="120"/>
      <c r="M24" s="83"/>
      <c r="N24" s="114"/>
      <c r="O24" s="114"/>
      <c r="P24" s="83"/>
      <c r="Q24" s="83"/>
      <c r="R24" s="83"/>
    </row>
    <row r="25">
      <c r="A25" s="82"/>
      <c r="B25" s="101"/>
      <c r="C25" s="99"/>
      <c r="D25" s="100"/>
      <c r="E25" s="83"/>
      <c r="F25" s="116"/>
      <c r="G25" s="83"/>
      <c r="H25" s="122"/>
      <c r="I25" s="83"/>
      <c r="J25" s="83"/>
      <c r="K25" s="83"/>
      <c r="L25" s="120"/>
      <c r="M25" s="83"/>
      <c r="N25" s="114"/>
      <c r="O25" s="114"/>
      <c r="P25" s="83"/>
      <c r="Q25" s="83"/>
      <c r="R25" s="83"/>
    </row>
    <row r="26">
      <c r="A26" s="86"/>
      <c r="B26" s="101"/>
      <c r="C26" s="102" t="s">
        <v>282</v>
      </c>
      <c r="D26" s="100"/>
      <c r="E26" s="96" t="s">
        <v>83</v>
      </c>
      <c r="F26" s="121">
        <v>106.0</v>
      </c>
      <c r="G26" s="102" t="s">
        <v>279</v>
      </c>
      <c r="H26" s="122"/>
      <c r="I26" s="96" t="s">
        <v>95</v>
      </c>
      <c r="J26" s="117">
        <v>62.0</v>
      </c>
      <c r="K26" s="118"/>
      <c r="L26" s="120"/>
      <c r="M26" s="96" t="s">
        <v>73</v>
      </c>
      <c r="N26" s="113">
        <v>0.0</v>
      </c>
      <c r="O26" s="114"/>
      <c r="P26" s="83"/>
      <c r="Q26" s="83"/>
      <c r="R26" s="83"/>
    </row>
    <row r="27">
      <c r="A27" s="96" t="s">
        <v>39</v>
      </c>
      <c r="B27" s="90">
        <v>74.0</v>
      </c>
      <c r="C27" s="99"/>
      <c r="D27" s="100"/>
      <c r="E27" s="83"/>
      <c r="F27" s="124"/>
      <c r="G27" s="83"/>
      <c r="H27" s="122"/>
      <c r="I27" s="83"/>
      <c r="J27" s="120"/>
      <c r="K27" s="83"/>
      <c r="L27" s="120"/>
      <c r="M27" s="83"/>
      <c r="N27" s="83"/>
      <c r="O27" s="83"/>
      <c r="P27" s="83"/>
      <c r="Q27" s="83"/>
      <c r="R27" s="83"/>
    </row>
    <row r="28">
      <c r="A28" s="102" t="s">
        <v>282</v>
      </c>
      <c r="B28" s="92"/>
      <c r="C28" s="96" t="s">
        <v>20</v>
      </c>
      <c r="D28" s="97">
        <v>28.0</v>
      </c>
      <c r="E28" s="83"/>
      <c r="F28" s="124"/>
      <c r="G28" s="83"/>
      <c r="H28" s="122"/>
      <c r="I28" s="83"/>
      <c r="J28" s="120"/>
      <c r="K28" s="83"/>
      <c r="L28" s="120"/>
      <c r="M28" s="83"/>
      <c r="N28" s="83"/>
      <c r="O28" s="83"/>
      <c r="P28" s="83"/>
      <c r="Q28" s="83"/>
      <c r="R28" s="83"/>
    </row>
    <row r="29">
      <c r="A29" s="96" t="s">
        <v>20</v>
      </c>
      <c r="B29" s="90">
        <v>92.0</v>
      </c>
      <c r="C29" s="6"/>
      <c r="D29" s="101"/>
      <c r="E29" s="83"/>
      <c r="F29" s="124"/>
      <c r="G29" s="83"/>
      <c r="H29" s="122"/>
      <c r="I29" s="83"/>
      <c r="J29" s="120"/>
      <c r="K29" s="83"/>
      <c r="L29" s="120"/>
      <c r="M29" s="83"/>
      <c r="N29" s="83"/>
      <c r="O29" s="83"/>
      <c r="P29" s="83"/>
      <c r="Q29" s="83"/>
      <c r="R29" s="83"/>
    </row>
    <row r="30">
      <c r="A30" s="6"/>
      <c r="B30" s="101"/>
      <c r="C30" s="102"/>
      <c r="D30" s="101"/>
      <c r="E30" s="102" t="s">
        <v>279</v>
      </c>
      <c r="F30" s="124"/>
      <c r="G30" s="96" t="s">
        <v>83</v>
      </c>
      <c r="H30" s="121">
        <v>30.0</v>
      </c>
      <c r="J30" s="120"/>
      <c r="K30" s="83"/>
      <c r="L30" s="120"/>
      <c r="M30" s="83"/>
      <c r="N30" s="83"/>
      <c r="O30" s="83"/>
      <c r="P30" s="83"/>
      <c r="Q30" s="83"/>
      <c r="R30" s="83"/>
    </row>
    <row r="31">
      <c r="A31" s="85"/>
      <c r="B31" s="101"/>
      <c r="C31" s="99"/>
      <c r="D31" s="107"/>
      <c r="E31" s="83"/>
      <c r="F31" s="100"/>
      <c r="G31" s="99"/>
      <c r="H31" s="83"/>
      <c r="I31" s="83"/>
      <c r="J31" s="120"/>
      <c r="K31" s="83"/>
      <c r="L31" s="120"/>
      <c r="M31" s="83"/>
      <c r="N31" s="83"/>
      <c r="O31" s="83"/>
      <c r="P31" s="83"/>
      <c r="Q31" s="83"/>
      <c r="R31" s="83"/>
    </row>
    <row r="32">
      <c r="A32" s="85"/>
      <c r="B32" s="101"/>
      <c r="C32" s="96" t="s">
        <v>28</v>
      </c>
      <c r="D32" s="97">
        <v>42.0</v>
      </c>
      <c r="E32" s="118"/>
      <c r="F32" s="100"/>
      <c r="G32" s="99"/>
      <c r="H32" s="83"/>
      <c r="I32" s="83"/>
      <c r="J32" s="120"/>
      <c r="K32" s="83"/>
      <c r="L32" s="120"/>
      <c r="M32" s="83"/>
      <c r="N32" s="83"/>
      <c r="O32" s="83"/>
      <c r="P32" s="83"/>
      <c r="Q32" s="83"/>
      <c r="R32" s="83"/>
    </row>
    <row r="33">
      <c r="A33" s="85"/>
      <c r="B33" s="101"/>
      <c r="C33" s="99"/>
      <c r="D33" s="100"/>
      <c r="E33" s="83"/>
      <c r="F33" s="125"/>
      <c r="G33" s="99"/>
      <c r="H33" s="83"/>
      <c r="I33" s="83"/>
      <c r="J33" s="120"/>
      <c r="K33" s="83"/>
      <c r="L33" s="120"/>
      <c r="M33" s="83"/>
      <c r="N33" s="83"/>
      <c r="O33" s="83"/>
      <c r="P33" s="83"/>
      <c r="Q33" s="83"/>
      <c r="R33" s="83"/>
    </row>
    <row r="34">
      <c r="A34" s="102"/>
      <c r="B34" s="101"/>
      <c r="C34" s="102" t="s">
        <v>283</v>
      </c>
      <c r="D34" s="100"/>
      <c r="E34" s="96" t="s">
        <v>43</v>
      </c>
      <c r="F34" s="97">
        <v>32.0</v>
      </c>
      <c r="G34" s="99"/>
      <c r="H34" s="83"/>
      <c r="I34" s="118" t="s">
        <v>284</v>
      </c>
      <c r="J34" s="120"/>
      <c r="K34" s="96" t="s">
        <v>95</v>
      </c>
      <c r="L34" s="117">
        <v>12.0</v>
      </c>
      <c r="M34" s="83"/>
      <c r="N34" s="83"/>
      <c r="O34" s="83"/>
      <c r="P34" s="83"/>
      <c r="Q34" s="83"/>
      <c r="R34" s="83"/>
    </row>
    <row r="35">
      <c r="A35" s="96" t="s">
        <v>9</v>
      </c>
      <c r="B35" s="97">
        <v>28.0</v>
      </c>
      <c r="C35" s="99"/>
      <c r="D35" s="100"/>
      <c r="E35" s="83"/>
      <c r="F35" s="107"/>
      <c r="G35" s="99"/>
      <c r="H35" s="83"/>
      <c r="I35" s="83"/>
      <c r="J35" s="120"/>
      <c r="K35" s="83"/>
      <c r="L35" s="83"/>
      <c r="M35" s="83"/>
      <c r="N35" s="83"/>
      <c r="O35" s="83"/>
      <c r="P35" s="83"/>
      <c r="Q35" s="83"/>
      <c r="R35" s="83"/>
    </row>
    <row r="36">
      <c r="A36" s="102" t="s">
        <v>283</v>
      </c>
      <c r="B36" s="100"/>
      <c r="C36" s="96" t="s">
        <v>43</v>
      </c>
      <c r="D36" s="97">
        <v>76.0</v>
      </c>
      <c r="E36" s="83"/>
      <c r="F36" s="116"/>
      <c r="G36" s="83"/>
      <c r="H36" s="83"/>
      <c r="I36" s="83"/>
      <c r="J36" s="120"/>
      <c r="K36" s="83"/>
      <c r="L36" s="83"/>
      <c r="M36" s="83"/>
      <c r="N36" s="83"/>
      <c r="O36" s="83"/>
      <c r="P36" s="83"/>
      <c r="Q36" s="83"/>
      <c r="R36" s="83"/>
    </row>
    <row r="37">
      <c r="A37" s="96" t="s">
        <v>43</v>
      </c>
      <c r="B37" s="97">
        <v>48.0</v>
      </c>
      <c r="C37" s="86"/>
      <c r="D37" s="101"/>
      <c r="E37" s="83"/>
      <c r="F37" s="116"/>
      <c r="G37" s="83"/>
      <c r="H37" s="83"/>
      <c r="I37" s="83"/>
      <c r="J37" s="120"/>
      <c r="K37" s="83"/>
      <c r="L37" s="83"/>
      <c r="M37" s="83"/>
      <c r="N37" s="83"/>
      <c r="O37" s="83"/>
      <c r="P37" s="83"/>
      <c r="Q37" s="83"/>
      <c r="R37" s="83"/>
    </row>
    <row r="38">
      <c r="A38" s="108"/>
      <c r="B38" s="107"/>
      <c r="C38" s="6"/>
      <c r="D38" s="101"/>
      <c r="E38" s="83"/>
      <c r="F38" s="116"/>
      <c r="G38" s="96" t="s">
        <v>280</v>
      </c>
      <c r="H38" s="117">
        <v>96.0</v>
      </c>
      <c r="I38" s="83"/>
      <c r="J38" s="120"/>
      <c r="K38" s="83"/>
      <c r="L38" s="83"/>
      <c r="M38" s="83"/>
      <c r="N38" s="83"/>
      <c r="O38" s="83"/>
      <c r="P38" s="83"/>
      <c r="Q38" s="83"/>
      <c r="R38" s="83"/>
    </row>
    <row r="39">
      <c r="A39" s="127"/>
      <c r="B39" s="128"/>
      <c r="C39" s="102"/>
      <c r="D39" s="101"/>
      <c r="E39" s="83"/>
      <c r="F39" s="107"/>
      <c r="G39" s="83"/>
      <c r="H39" s="122"/>
      <c r="I39" s="83"/>
      <c r="J39" s="120"/>
      <c r="K39" s="83"/>
      <c r="L39" s="83"/>
      <c r="M39" s="83"/>
      <c r="N39" s="83"/>
      <c r="O39" s="83"/>
      <c r="P39" s="83"/>
      <c r="Q39" s="83"/>
      <c r="R39" s="83"/>
    </row>
    <row r="40">
      <c r="A40" s="129"/>
      <c r="B40" s="107"/>
      <c r="C40" s="96" t="s">
        <v>65</v>
      </c>
      <c r="D40" s="97">
        <v>156.0</v>
      </c>
      <c r="E40" s="118"/>
      <c r="F40" s="107"/>
      <c r="G40" s="83"/>
      <c r="H40" s="122"/>
      <c r="I40" s="83"/>
      <c r="J40" s="120"/>
      <c r="K40" s="83"/>
      <c r="L40" s="83"/>
      <c r="M40" s="83"/>
      <c r="N40" s="83"/>
      <c r="O40" s="83"/>
      <c r="P40" s="83"/>
      <c r="Q40" s="83"/>
      <c r="R40" s="83"/>
    </row>
    <row r="41">
      <c r="A41" s="127"/>
      <c r="B41" s="128"/>
      <c r="C41" s="99"/>
      <c r="D41" s="100"/>
      <c r="E41" s="83"/>
      <c r="F41" s="130"/>
      <c r="G41" s="83"/>
      <c r="H41" s="122"/>
      <c r="I41" s="83"/>
      <c r="J41" s="120"/>
      <c r="K41" s="83"/>
      <c r="L41" s="83"/>
      <c r="M41" s="83"/>
      <c r="N41" s="83"/>
      <c r="O41" s="83"/>
      <c r="P41" s="83"/>
      <c r="Q41" s="83"/>
      <c r="R41" s="83"/>
    </row>
    <row r="42">
      <c r="A42" s="108"/>
      <c r="B42" s="107"/>
      <c r="C42" s="102" t="s">
        <v>285</v>
      </c>
      <c r="D42" s="100"/>
      <c r="E42" s="96" t="s">
        <v>65</v>
      </c>
      <c r="F42" s="97">
        <v>58.0</v>
      </c>
      <c r="G42" s="102" t="s">
        <v>281</v>
      </c>
      <c r="H42" s="122"/>
      <c r="I42" s="96" t="s">
        <v>280</v>
      </c>
      <c r="J42" s="117">
        <v>56.0</v>
      </c>
      <c r="K42" s="83"/>
      <c r="L42" s="83"/>
      <c r="M42" s="83"/>
      <c r="N42" s="83"/>
      <c r="O42" s="83"/>
      <c r="P42" s="83"/>
      <c r="Q42" s="83"/>
      <c r="R42" s="83"/>
    </row>
    <row r="43">
      <c r="A43" s="96" t="s">
        <v>23</v>
      </c>
      <c r="B43" s="97">
        <v>120.0</v>
      </c>
      <c r="C43" s="99"/>
      <c r="D43" s="100"/>
      <c r="E43" s="83"/>
      <c r="F43" s="124"/>
      <c r="G43" s="83"/>
      <c r="H43" s="122"/>
      <c r="I43" s="83"/>
      <c r="J43" s="83"/>
      <c r="K43" s="83"/>
      <c r="L43" s="83"/>
      <c r="M43" s="83"/>
      <c r="N43" s="83"/>
      <c r="O43" s="83"/>
      <c r="P43" s="83"/>
      <c r="Q43" s="83"/>
      <c r="R43" s="83"/>
    </row>
    <row r="44">
      <c r="A44" s="102" t="s">
        <v>285</v>
      </c>
      <c r="B44" s="100"/>
      <c r="C44" s="96" t="s">
        <v>23</v>
      </c>
      <c r="D44" s="97">
        <v>16.0</v>
      </c>
      <c r="E44" s="83"/>
      <c r="F44" s="124"/>
      <c r="G44" s="83"/>
      <c r="H44" s="122"/>
      <c r="I44" s="83"/>
      <c r="J44" s="83"/>
      <c r="K44" s="83"/>
      <c r="L44" s="83"/>
      <c r="M44" s="83"/>
      <c r="N44" s="83"/>
      <c r="O44" s="83"/>
      <c r="P44" s="83"/>
      <c r="Q44" s="83"/>
      <c r="R44" s="83"/>
    </row>
    <row r="45">
      <c r="A45" s="96" t="s">
        <v>62</v>
      </c>
      <c r="B45" s="97">
        <v>42.0</v>
      </c>
      <c r="C45" s="83"/>
      <c r="D45" s="116"/>
      <c r="E45" s="83"/>
      <c r="F45" s="124"/>
      <c r="G45" s="83"/>
      <c r="H45" s="122"/>
      <c r="I45" s="83"/>
      <c r="J45" s="83"/>
      <c r="K45" s="83"/>
      <c r="L45" s="83"/>
      <c r="M45" s="83"/>
      <c r="N45" s="83"/>
      <c r="O45" s="83"/>
      <c r="P45" s="83"/>
      <c r="Q45" s="83"/>
      <c r="R45" s="83"/>
    </row>
    <row r="46">
      <c r="A46" s="99"/>
      <c r="B46" s="107"/>
      <c r="C46" s="83"/>
      <c r="D46" s="116"/>
      <c r="E46" s="102" t="s">
        <v>281</v>
      </c>
      <c r="F46" s="124"/>
      <c r="G46" s="96" t="s">
        <v>65</v>
      </c>
      <c r="H46" s="117">
        <v>72.0</v>
      </c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>
      <c r="A47" s="86"/>
      <c r="B47" s="107"/>
      <c r="C47" s="83"/>
      <c r="D47" s="116"/>
      <c r="E47" s="83"/>
      <c r="F47" s="100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>
      <c r="A48" s="129"/>
      <c r="B48" s="107"/>
      <c r="C48" s="96" t="s">
        <v>57</v>
      </c>
      <c r="D48" s="97">
        <v>78.0</v>
      </c>
      <c r="E48" s="118"/>
      <c r="F48" s="100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</row>
    <row r="49">
      <c r="A49" s="86"/>
      <c r="B49" s="107"/>
      <c r="C49" s="99"/>
      <c r="D49" s="100"/>
      <c r="E49" s="83"/>
      <c r="F49" s="125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</row>
    <row r="50">
      <c r="A50" s="83"/>
      <c r="B50" s="116"/>
      <c r="C50" s="102" t="s">
        <v>286</v>
      </c>
      <c r="D50" s="100"/>
      <c r="E50" s="96" t="s">
        <v>57</v>
      </c>
      <c r="F50" s="97">
        <v>50.0</v>
      </c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</row>
    <row r="51">
      <c r="A51" s="96" t="s">
        <v>11</v>
      </c>
      <c r="B51" s="97">
        <v>80.0</v>
      </c>
      <c r="C51" s="99"/>
      <c r="D51" s="100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</row>
    <row r="52">
      <c r="A52" s="102" t="s">
        <v>286</v>
      </c>
      <c r="B52" s="100"/>
      <c r="C52" s="96" t="s">
        <v>11</v>
      </c>
      <c r="D52" s="97">
        <v>60.0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</row>
    <row r="53">
      <c r="A53" s="96" t="s">
        <v>34</v>
      </c>
      <c r="B53" s="97">
        <v>16.0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</row>
  </sheetData>
  <mergeCells count="3">
    <mergeCell ref="A1:B1"/>
    <mergeCell ref="C1:D1"/>
    <mergeCell ref="E1:F1"/>
  </mergeCells>
  <drawing r:id="rId1"/>
</worksheet>
</file>