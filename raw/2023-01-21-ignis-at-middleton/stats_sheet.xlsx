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ll" sheetId="1" r:id="rId5"/>
    <sheet state="hidden" name="Full" sheetId="2" r:id="rId6"/>
    <sheet state="hidden" name="Sorted" sheetId="3" r:id="rId7"/>
    <sheet state="hidden" name="Sorted Team" sheetId="4" r:id="rId8"/>
    <sheet state="visible" name="Stats" sheetId="5" r:id="rId9"/>
    <sheet state="visible" name="Team Stats" sheetId="6" r:id="rId10"/>
    <sheet state="visible" name="X-Risk" sheetId="7" r:id="rId11"/>
    <sheet state="visible" name="Math" sheetId="8" r:id="rId12"/>
    <sheet state="visible" name="Chemistry" sheetId="9" r:id="rId13"/>
    <sheet state="visible" name="EarthSpace" sheetId="10" r:id="rId14"/>
    <sheet state="visible" name="Biology" sheetId="11" r:id="rId15"/>
    <sheet state="visible" name="Physics" sheetId="12" r:id="rId16"/>
  </sheets>
  <definedNames/>
  <calcPr/>
</workbook>
</file>

<file path=xl/sharedStrings.xml><?xml version="1.0" encoding="utf-8"?>
<sst xmlns="http://schemas.openxmlformats.org/spreadsheetml/2006/main" count="3390" uniqueCount="93">
  <si>
    <t>Eisenhower B</t>
  </si>
  <si>
    <t>Middleton A</t>
  </si>
  <si>
    <t>Middleton C</t>
  </si>
  <si>
    <t>Whitney Young</t>
  </si>
  <si>
    <t>Brookfield</t>
  </si>
  <si>
    <t>Eisenhower A</t>
  </si>
  <si>
    <t>West</t>
  </si>
  <si>
    <t>Middleton B</t>
  </si>
  <si>
    <t>Bonus</t>
  </si>
  <si>
    <t>Score</t>
  </si>
  <si>
    <t>Nathan</t>
  </si>
  <si>
    <t>Pratyush</t>
  </si>
  <si>
    <t>Ethan</t>
  </si>
  <si>
    <t>Sai</t>
  </si>
  <si>
    <t>Alex</t>
  </si>
  <si>
    <t>Harry</t>
  </si>
  <si>
    <t>Nihar</t>
  </si>
  <si>
    <t>Ray</t>
  </si>
  <si>
    <t>Owen</t>
  </si>
  <si>
    <t>Frank</t>
  </si>
  <si>
    <t>Abhinav</t>
  </si>
  <si>
    <t>Sai K</t>
  </si>
  <si>
    <t>Arjun</t>
  </si>
  <si>
    <t>Arnav</t>
  </si>
  <si>
    <t>Evan</t>
  </si>
  <si>
    <t>Miller</t>
  </si>
  <si>
    <t>Stephen</t>
  </si>
  <si>
    <t>Sam</t>
  </si>
  <si>
    <t>Kartik</t>
  </si>
  <si>
    <t>Josh</t>
  </si>
  <si>
    <t>Saathvik</t>
  </si>
  <si>
    <t>Avaneesh</t>
  </si>
  <si>
    <t>Om</t>
  </si>
  <si>
    <t>Sujay</t>
  </si>
  <si>
    <t>Dhruva</t>
  </si>
  <si>
    <t>Manzoor</t>
  </si>
  <si>
    <t>Andrew</t>
  </si>
  <si>
    <t>Prani</t>
  </si>
  <si>
    <t>Kevin</t>
  </si>
  <si>
    <t>Tim</t>
  </si>
  <si>
    <t>Samanyu</t>
  </si>
  <si>
    <t>William</t>
  </si>
  <si>
    <t>Li</t>
  </si>
  <si>
    <t>Vaidya</t>
  </si>
  <si>
    <t>Kriti</t>
  </si>
  <si>
    <t>Ian</t>
  </si>
  <si>
    <t>X</t>
  </si>
  <si>
    <t>M</t>
  </si>
  <si>
    <t>C</t>
  </si>
  <si>
    <t>E</t>
  </si>
  <si>
    <t>B</t>
  </si>
  <si>
    <t>P</t>
  </si>
  <si>
    <t>Player</t>
  </si>
  <si>
    <t>Team</t>
  </si>
  <si>
    <t>GP</t>
  </si>
  <si>
    <t>TU</t>
  </si>
  <si>
    <t>Neg</t>
  </si>
  <si>
    <t>TU/Neg</t>
  </si>
  <si>
    <t>Points</t>
  </si>
  <si>
    <t>PPG</t>
  </si>
  <si>
    <t>X TU</t>
  </si>
  <si>
    <t>X Neg</t>
  </si>
  <si>
    <t>X PPG</t>
  </si>
  <si>
    <t>M TU</t>
  </si>
  <si>
    <t>M Neg</t>
  </si>
  <si>
    <t>M PPG</t>
  </si>
  <si>
    <t>C TU</t>
  </si>
  <si>
    <t>C Neg</t>
  </si>
  <si>
    <t>C PPG</t>
  </si>
  <si>
    <t>E TU</t>
  </si>
  <si>
    <t>E Neg</t>
  </si>
  <si>
    <t>E PPG</t>
  </si>
  <si>
    <t>B TU</t>
  </si>
  <si>
    <t>B Neg</t>
  </si>
  <si>
    <t>B PPG</t>
  </si>
  <si>
    <t>P TU</t>
  </si>
  <si>
    <t>P Neg</t>
  </si>
  <si>
    <t>P PPG</t>
  </si>
  <si>
    <t>Infinity</t>
  </si>
  <si>
    <t>Bonus %</t>
  </si>
  <si>
    <t>X Bonus</t>
  </si>
  <si>
    <t>X Bonus %</t>
  </si>
  <si>
    <t>M Bonus</t>
  </si>
  <si>
    <t>M Bonus %</t>
  </si>
  <si>
    <t>C Bonus</t>
  </si>
  <si>
    <t>C Bonus %</t>
  </si>
  <si>
    <t>E Bonus</t>
  </si>
  <si>
    <t>E Bonus %</t>
  </si>
  <si>
    <t>B Bonus</t>
  </si>
  <si>
    <t>B Bonus %</t>
  </si>
  <si>
    <t>P Bonus</t>
  </si>
  <si>
    <t>P Bonus %</t>
  </si>
  <si>
    <t>Overall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</si>
</sst>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1" numFmtId="0" xfId="0" applyAlignment="1" applyFont="1">
      <alignment horizontal="right" vertical="bottom"/>
    </xf>
    <xf borderId="0" fillId="0" fontId="2" numFmtId="1" xfId="0" applyAlignment="1" applyFont="1" applyNumberFormat="1">
      <alignment horizontal="right"/>
    </xf>
    <xf borderId="0" fillId="0" fontId="3" numFmtId="164" xfId="0" applyAlignment="1" applyFont="1" applyNumberFormat="1">
      <alignment horizontal="right"/>
    </xf>
    <xf borderId="0" fillId="0" fontId="2" numFmtId="164" xfId="0" applyAlignment="1" applyFont="1" applyNumberFormat="1">
      <alignment horizontal="right"/>
    </xf>
    <xf borderId="0" fillId="0" fontId="2" numFmtId="2" xfId="0" applyAlignment="1" applyFont="1" applyNumberFormat="1">
      <alignment horizontal="right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horizontal="right"/>
    </xf>
    <xf borderId="0" fillId="0" fontId="2" numFmtId="9" xfId="0" applyAlignment="1" applyFont="1" applyNumberFormat="1">
      <alignment horizontal="right"/>
    </xf>
    <xf borderId="0" fillId="0" fontId="2" numFmtId="0" xfId="0" applyFont="1"/>
    <xf borderId="0" fillId="0" fontId="2" numFmtId="1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1" width="7.63"/>
  </cols>
  <sheetData>
    <row r="1">
      <c r="A1" s="1"/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3</v>
      </c>
      <c r="R1" s="2" t="s">
        <v>3</v>
      </c>
      <c r="S1" s="2" t="s">
        <v>3</v>
      </c>
      <c r="T1" s="2" t="s">
        <v>3</v>
      </c>
      <c r="U1" s="2" t="s">
        <v>3</v>
      </c>
      <c r="V1" s="2" t="s">
        <v>4</v>
      </c>
      <c r="W1" s="2" t="s">
        <v>4</v>
      </c>
      <c r="X1" s="2" t="s">
        <v>4</v>
      </c>
      <c r="Y1" s="2" t="s">
        <v>4</v>
      </c>
      <c r="Z1" s="2" t="s">
        <v>4</v>
      </c>
      <c r="AA1" s="2" t="s">
        <v>5</v>
      </c>
      <c r="AB1" s="2" t="s">
        <v>5</v>
      </c>
      <c r="AC1" s="2" t="s">
        <v>5</v>
      </c>
      <c r="AD1" s="2" t="s">
        <v>5</v>
      </c>
      <c r="AE1" s="2" t="s">
        <v>5</v>
      </c>
      <c r="AF1" s="2" t="s">
        <v>6</v>
      </c>
      <c r="AG1" s="2" t="s">
        <v>6</v>
      </c>
      <c r="AH1" s="2" t="s">
        <v>6</v>
      </c>
      <c r="AI1" s="2" t="s">
        <v>6</v>
      </c>
      <c r="AJ1" s="2" t="s">
        <v>6</v>
      </c>
      <c r="AK1" s="2" t="s">
        <v>7</v>
      </c>
      <c r="AL1" s="2" t="s">
        <v>7</v>
      </c>
      <c r="AM1" s="2" t="s">
        <v>7</v>
      </c>
      <c r="AN1" s="2" t="s">
        <v>7</v>
      </c>
      <c r="AO1" s="2" t="s">
        <v>7</v>
      </c>
    </row>
    <row r="2">
      <c r="A2" s="1"/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L2" s="2" t="s">
        <v>19</v>
      </c>
      <c r="M2" s="2" t="s">
        <v>20</v>
      </c>
      <c r="N2" s="2" t="s">
        <v>21</v>
      </c>
      <c r="O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35</v>
      </c>
      <c r="AD2" s="2" t="s">
        <v>36</v>
      </c>
      <c r="AE2" s="2" t="s">
        <v>37</v>
      </c>
      <c r="AF2" s="2" t="s">
        <v>38</v>
      </c>
      <c r="AG2" s="2" t="s">
        <v>39</v>
      </c>
      <c r="AH2" s="2" t="s">
        <v>40</v>
      </c>
      <c r="AI2" s="2" t="s">
        <v>41</v>
      </c>
      <c r="AK2" s="2" t="s">
        <v>42</v>
      </c>
      <c r="AL2" s="2" t="s">
        <v>43</v>
      </c>
      <c r="AM2" s="2" t="s">
        <v>44</v>
      </c>
      <c r="AN2" s="2" t="s">
        <v>45</v>
      </c>
    </row>
    <row r="3">
      <c r="A3" s="1"/>
      <c r="B3" s="2" t="b">
        <v>1</v>
      </c>
      <c r="C3" s="2" t="b">
        <v>1</v>
      </c>
      <c r="D3" s="2" t="b">
        <v>1</v>
      </c>
      <c r="E3" s="2" t="b">
        <v>1</v>
      </c>
      <c r="F3" s="2" t="b">
        <v>1</v>
      </c>
      <c r="G3" s="2" t="b">
        <v>1</v>
      </c>
      <c r="H3" s="2" t="b">
        <v>1</v>
      </c>
      <c r="I3" s="2" t="b">
        <v>1</v>
      </c>
      <c r="J3" s="2" t="b">
        <v>1</v>
      </c>
      <c r="K3" s="2" t="b">
        <v>0</v>
      </c>
      <c r="L3" s="2" t="b">
        <v>1</v>
      </c>
      <c r="M3" s="2" t="b">
        <v>1</v>
      </c>
      <c r="N3" s="2" t="b">
        <v>1</v>
      </c>
      <c r="O3" s="2" t="b">
        <v>1</v>
      </c>
      <c r="P3" s="2" t="b">
        <v>0</v>
      </c>
      <c r="Q3" s="2" t="b">
        <v>1</v>
      </c>
      <c r="R3" s="2" t="b">
        <v>1</v>
      </c>
      <c r="S3" s="2" t="b">
        <v>1</v>
      </c>
      <c r="T3" s="2" t="b">
        <v>1</v>
      </c>
      <c r="U3" s="2" t="b">
        <v>1</v>
      </c>
      <c r="V3" s="2" t="b">
        <v>1</v>
      </c>
      <c r="W3" s="2" t="b">
        <v>1</v>
      </c>
      <c r="X3" s="2" t="b">
        <v>1</v>
      </c>
      <c r="Y3" s="2" t="b">
        <v>1</v>
      </c>
      <c r="Z3" s="2" t="b">
        <v>1</v>
      </c>
      <c r="AA3" s="2" t="b">
        <v>1</v>
      </c>
      <c r="AB3" s="2" t="b">
        <v>1</v>
      </c>
      <c r="AC3" s="2" t="b">
        <v>1</v>
      </c>
      <c r="AD3" s="2" t="b">
        <v>1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0</v>
      </c>
      <c r="AK3" s="2" t="b">
        <v>1</v>
      </c>
      <c r="AL3" s="2" t="b">
        <v>1</v>
      </c>
      <c r="AM3" s="2" t="b">
        <v>1</v>
      </c>
      <c r="AN3" s="2" t="b">
        <v>1</v>
      </c>
      <c r="AO3" s="2" t="b">
        <v>0</v>
      </c>
    </row>
    <row r="4">
      <c r="A4" s="4" t="s">
        <v>46</v>
      </c>
      <c r="H4" s="2">
        <v>-4.0</v>
      </c>
      <c r="K4" s="2">
        <v>0.0</v>
      </c>
      <c r="L4" s="2">
        <v>4.0</v>
      </c>
      <c r="P4" s="2">
        <v>0.0</v>
      </c>
      <c r="AB4" s="2">
        <v>4.0</v>
      </c>
      <c r="AJ4" s="2">
        <v>0.0</v>
      </c>
      <c r="AM4" s="2">
        <v>4.0</v>
      </c>
      <c r="AO4" s="2">
        <v>0.0</v>
      </c>
    </row>
    <row r="5">
      <c r="A5" s="4" t="s">
        <v>47</v>
      </c>
      <c r="C5" s="2">
        <v>4.0</v>
      </c>
      <c r="K5" s="2">
        <v>0.0</v>
      </c>
      <c r="P5" s="2">
        <v>0.0</v>
      </c>
      <c r="Q5" s="2">
        <v>4.0</v>
      </c>
      <c r="W5" s="2">
        <v>4.0</v>
      </c>
      <c r="AI5" s="2">
        <v>-4.0</v>
      </c>
      <c r="AJ5" s="2">
        <v>0.0</v>
      </c>
      <c r="AO5" s="2">
        <v>0.0</v>
      </c>
    </row>
    <row r="6">
      <c r="A6" s="4" t="s">
        <v>48</v>
      </c>
      <c r="G6" s="2">
        <v>4.0</v>
      </c>
      <c r="K6" s="2">
        <v>0.0</v>
      </c>
      <c r="P6" s="2">
        <v>0.0</v>
      </c>
      <c r="R6" s="2">
        <v>4.0</v>
      </c>
      <c r="W6" s="2">
        <v>4.0</v>
      </c>
      <c r="AJ6" s="2">
        <v>0.0</v>
      </c>
      <c r="AK6" s="2">
        <v>4.0</v>
      </c>
      <c r="AO6" s="2">
        <v>0.0</v>
      </c>
    </row>
    <row r="7">
      <c r="A7" s="4" t="s">
        <v>49</v>
      </c>
      <c r="C7" s="2">
        <v>4.0</v>
      </c>
      <c r="K7" s="2">
        <v>0.0</v>
      </c>
      <c r="L7" s="2">
        <v>4.0</v>
      </c>
      <c r="P7" s="2">
        <v>0.0</v>
      </c>
      <c r="AB7" s="2">
        <v>4.0</v>
      </c>
      <c r="AJ7" s="2">
        <v>0.0</v>
      </c>
      <c r="AN7" s="2">
        <v>4.0</v>
      </c>
      <c r="AO7" s="2">
        <v>0.0</v>
      </c>
    </row>
    <row r="8">
      <c r="A8" s="4" t="s">
        <v>50</v>
      </c>
      <c r="G8" s="2">
        <v>4.0</v>
      </c>
      <c r="K8" s="2">
        <v>0.0</v>
      </c>
      <c r="P8" s="2">
        <v>0.0</v>
      </c>
      <c r="R8" s="2">
        <v>4.0</v>
      </c>
      <c r="W8" s="2">
        <v>4.0</v>
      </c>
      <c r="AJ8" s="2">
        <v>0.0</v>
      </c>
      <c r="AK8" s="2">
        <v>4.0</v>
      </c>
      <c r="AO8" s="2">
        <v>0.0</v>
      </c>
    </row>
    <row r="9">
      <c r="A9" s="4" t="s">
        <v>51</v>
      </c>
      <c r="J9" s="2">
        <v>4.0</v>
      </c>
      <c r="K9" s="2">
        <v>0.0</v>
      </c>
      <c r="P9" s="2">
        <v>0.0</v>
      </c>
      <c r="Q9" s="2">
        <v>4.0</v>
      </c>
      <c r="AD9" s="2">
        <v>4.0</v>
      </c>
      <c r="AJ9" s="2">
        <v>0.0</v>
      </c>
      <c r="AN9" s="2">
        <v>4.0</v>
      </c>
      <c r="AO9" s="2">
        <v>0.0</v>
      </c>
    </row>
    <row r="10">
      <c r="A10" s="4" t="s">
        <v>46</v>
      </c>
      <c r="I10" s="2">
        <v>4.0</v>
      </c>
      <c r="K10" s="2">
        <v>0.0</v>
      </c>
      <c r="P10" s="2">
        <v>0.0</v>
      </c>
      <c r="W10" s="2">
        <v>4.0</v>
      </c>
      <c r="AG10" s="2">
        <v>4.0</v>
      </c>
      <c r="AJ10" s="2">
        <v>0.0</v>
      </c>
      <c r="AO10" s="2">
        <v>0.0</v>
      </c>
    </row>
    <row r="11">
      <c r="A11" s="4" t="s">
        <v>47</v>
      </c>
      <c r="K11" s="2">
        <v>0.0</v>
      </c>
      <c r="P11" s="2">
        <v>0.0</v>
      </c>
      <c r="Q11" s="2">
        <v>4.0</v>
      </c>
      <c r="AC11" s="2">
        <v>4.0</v>
      </c>
      <c r="AI11" s="2">
        <v>4.0</v>
      </c>
      <c r="AJ11" s="2">
        <v>0.0</v>
      </c>
      <c r="AO11" s="2">
        <v>0.0</v>
      </c>
    </row>
    <row r="12">
      <c r="A12" s="4" t="s">
        <v>48</v>
      </c>
      <c r="K12" s="2">
        <v>0.0</v>
      </c>
      <c r="P12" s="2">
        <v>0.0</v>
      </c>
      <c r="R12" s="2">
        <v>4.0</v>
      </c>
      <c r="W12" s="2">
        <v>-4.0</v>
      </c>
      <c r="AC12" s="2">
        <v>4.0</v>
      </c>
      <c r="AJ12" s="2">
        <v>0.0</v>
      </c>
      <c r="AO12" s="2">
        <v>0.0</v>
      </c>
    </row>
    <row r="13">
      <c r="A13" s="4" t="s">
        <v>49</v>
      </c>
      <c r="I13" s="2">
        <v>4.0</v>
      </c>
      <c r="K13" s="2">
        <v>0.0</v>
      </c>
      <c r="P13" s="2">
        <v>0.0</v>
      </c>
      <c r="R13" s="2">
        <v>4.0</v>
      </c>
      <c r="W13" s="2">
        <v>4.0</v>
      </c>
      <c r="AI13" s="2">
        <v>4.0</v>
      </c>
      <c r="AJ13" s="2">
        <v>0.0</v>
      </c>
      <c r="AO13" s="2">
        <v>0.0</v>
      </c>
    </row>
    <row r="14">
      <c r="A14" s="4" t="s">
        <v>50</v>
      </c>
      <c r="J14" s="2">
        <v>-4.0</v>
      </c>
      <c r="K14" s="2">
        <v>0.0</v>
      </c>
      <c r="N14" s="2">
        <v>4.0</v>
      </c>
      <c r="P14" s="2">
        <v>0.0</v>
      </c>
      <c r="W14" s="2">
        <v>4.0</v>
      </c>
      <c r="AJ14" s="2">
        <v>0.0</v>
      </c>
      <c r="AO14" s="2">
        <v>0.0</v>
      </c>
    </row>
    <row r="15">
      <c r="A15" s="4" t="s">
        <v>51</v>
      </c>
      <c r="I15" s="2">
        <v>4.0</v>
      </c>
      <c r="K15" s="2">
        <v>0.0</v>
      </c>
      <c r="P15" s="2">
        <v>0.0</v>
      </c>
      <c r="R15" s="2">
        <v>4.0</v>
      </c>
      <c r="W15" s="2">
        <v>4.0</v>
      </c>
      <c r="AJ15" s="2">
        <v>0.0</v>
      </c>
      <c r="AK15" s="2">
        <v>4.0</v>
      </c>
      <c r="AO15" s="2">
        <v>0.0</v>
      </c>
    </row>
    <row r="16">
      <c r="A16" s="1"/>
      <c r="B16" s="2" t="b">
        <v>1</v>
      </c>
      <c r="C16" s="2" t="b">
        <v>1</v>
      </c>
      <c r="D16" s="2" t="b">
        <v>1</v>
      </c>
      <c r="E16" s="2" t="b">
        <v>1</v>
      </c>
      <c r="F16" s="2" t="b">
        <v>1</v>
      </c>
      <c r="G16" s="2" t="b">
        <v>1</v>
      </c>
      <c r="H16" s="2" t="b">
        <v>1</v>
      </c>
      <c r="I16" s="2" t="b">
        <v>1</v>
      </c>
      <c r="J16" s="2" t="b">
        <v>1</v>
      </c>
      <c r="K16" s="2" t="b">
        <v>1</v>
      </c>
      <c r="L16" s="2" t="b">
        <v>1</v>
      </c>
      <c r="M16" s="2" t="b">
        <v>1</v>
      </c>
      <c r="N16" s="2" t="b">
        <v>1</v>
      </c>
      <c r="O16" s="2" t="b">
        <v>1</v>
      </c>
      <c r="P16" s="2" t="b">
        <v>0</v>
      </c>
      <c r="Q16" s="2" t="b">
        <v>1</v>
      </c>
      <c r="R16" s="2" t="b">
        <v>1</v>
      </c>
      <c r="S16" s="2" t="b">
        <v>1</v>
      </c>
      <c r="T16" s="2" t="b">
        <v>1</v>
      </c>
      <c r="U16" s="2" t="b">
        <v>1</v>
      </c>
      <c r="V16" s="2" t="b">
        <v>1</v>
      </c>
      <c r="W16" s="2" t="b">
        <v>1</v>
      </c>
      <c r="X16" s="2" t="b">
        <v>1</v>
      </c>
      <c r="Y16" s="2" t="b">
        <v>1</v>
      </c>
      <c r="Z16" s="2" t="b">
        <v>1</v>
      </c>
      <c r="AA16" s="2" t="b">
        <v>1</v>
      </c>
      <c r="AB16" s="2" t="b">
        <v>1</v>
      </c>
      <c r="AC16" s="2" t="b">
        <v>1</v>
      </c>
      <c r="AD16" s="2" t="b">
        <v>1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0</v>
      </c>
      <c r="AK16" s="2" t="b">
        <v>1</v>
      </c>
      <c r="AL16" s="2" t="b">
        <v>1</v>
      </c>
      <c r="AM16" s="2" t="b">
        <v>1</v>
      </c>
      <c r="AN16" s="2" t="b">
        <v>1</v>
      </c>
      <c r="AO16" s="2" t="b">
        <v>0</v>
      </c>
    </row>
    <row r="17">
      <c r="A17" s="4" t="s">
        <v>46</v>
      </c>
      <c r="G17" s="2">
        <v>4.0</v>
      </c>
      <c r="P17" s="2">
        <v>0.0</v>
      </c>
      <c r="R17" s="2">
        <v>4.0</v>
      </c>
      <c r="V17" s="2">
        <v>4.0</v>
      </c>
      <c r="AF17" s="2">
        <v>4.0</v>
      </c>
      <c r="AJ17" s="2">
        <v>0.0</v>
      </c>
      <c r="AO17" s="2">
        <v>0.0</v>
      </c>
    </row>
    <row r="18">
      <c r="A18" s="4" t="s">
        <v>47</v>
      </c>
      <c r="G18" s="2">
        <v>4.0</v>
      </c>
      <c r="P18" s="2">
        <v>0.0</v>
      </c>
      <c r="R18" s="2">
        <v>4.0</v>
      </c>
      <c r="W18" s="2">
        <v>4.0</v>
      </c>
      <c r="AI18" s="2">
        <v>4.0</v>
      </c>
      <c r="AJ18" s="2">
        <v>0.0</v>
      </c>
      <c r="AO18" s="2">
        <v>0.0</v>
      </c>
    </row>
    <row r="19">
      <c r="A19" s="4" t="s">
        <v>48</v>
      </c>
      <c r="G19" s="2">
        <v>4.0</v>
      </c>
      <c r="P19" s="2">
        <v>0.0</v>
      </c>
      <c r="AC19" s="2">
        <v>4.0</v>
      </c>
      <c r="AJ19" s="2">
        <v>0.0</v>
      </c>
      <c r="AO19" s="2">
        <v>0.0</v>
      </c>
    </row>
    <row r="20">
      <c r="A20" s="4" t="s">
        <v>49</v>
      </c>
      <c r="G20" s="2">
        <v>4.0</v>
      </c>
      <c r="N20" s="2">
        <v>-4.0</v>
      </c>
      <c r="P20" s="2">
        <v>0.0</v>
      </c>
      <c r="W20" s="2">
        <v>4.0</v>
      </c>
      <c r="AI20" s="2">
        <v>-4.0</v>
      </c>
      <c r="AJ20" s="2">
        <v>0.0</v>
      </c>
      <c r="AO20" s="2">
        <v>0.0</v>
      </c>
    </row>
    <row r="21">
      <c r="A21" s="4" t="s">
        <v>50</v>
      </c>
      <c r="I21" s="2">
        <v>4.0</v>
      </c>
      <c r="P21" s="2">
        <v>0.0</v>
      </c>
      <c r="S21" s="2">
        <v>4.0</v>
      </c>
      <c r="W21" s="2">
        <v>4.0</v>
      </c>
      <c r="AH21" s="2">
        <v>4.0</v>
      </c>
      <c r="AJ21" s="2">
        <v>0.0</v>
      </c>
      <c r="AO21" s="2">
        <v>0.0</v>
      </c>
    </row>
    <row r="22">
      <c r="A22" s="4" t="s">
        <v>51</v>
      </c>
      <c r="C22" s="2">
        <v>4.0</v>
      </c>
      <c r="P22" s="2">
        <v>0.0</v>
      </c>
      <c r="S22" s="2">
        <v>4.0</v>
      </c>
      <c r="AC22" s="2">
        <v>4.0</v>
      </c>
      <c r="AI22" s="2">
        <v>4.0</v>
      </c>
      <c r="AJ22" s="2">
        <v>0.0</v>
      </c>
      <c r="AO22" s="2">
        <v>0.0</v>
      </c>
    </row>
    <row r="23">
      <c r="A23" s="4" t="s">
        <v>46</v>
      </c>
      <c r="J23" s="2">
        <v>4.0</v>
      </c>
      <c r="P23" s="2">
        <v>0.0</v>
      </c>
      <c r="Q23" s="2">
        <v>4.0</v>
      </c>
      <c r="AB23" s="2">
        <v>4.0</v>
      </c>
      <c r="AI23" s="2">
        <v>4.0</v>
      </c>
      <c r="AJ23" s="2">
        <v>0.0</v>
      </c>
      <c r="AO23" s="2">
        <v>0.0</v>
      </c>
    </row>
    <row r="24">
      <c r="A24" s="4" t="s">
        <v>47</v>
      </c>
      <c r="I24" s="2">
        <v>4.0</v>
      </c>
      <c r="P24" s="2">
        <v>0.0</v>
      </c>
      <c r="Q24" s="2">
        <v>4.0</v>
      </c>
      <c r="W24" s="2">
        <v>4.0</v>
      </c>
      <c r="AJ24" s="2">
        <v>0.0</v>
      </c>
      <c r="AK24" s="2">
        <v>4.0</v>
      </c>
      <c r="AO24" s="2">
        <v>0.0</v>
      </c>
    </row>
    <row r="25">
      <c r="A25" s="4" t="s">
        <v>48</v>
      </c>
      <c r="G25" s="2">
        <v>4.0</v>
      </c>
      <c r="P25" s="2">
        <v>0.0</v>
      </c>
      <c r="R25" s="2">
        <v>4.0</v>
      </c>
      <c r="W25" s="2">
        <v>4.0</v>
      </c>
      <c r="AH25" s="2">
        <v>4.0</v>
      </c>
      <c r="AJ25" s="2">
        <v>0.0</v>
      </c>
      <c r="AO25" s="2">
        <v>0.0</v>
      </c>
    </row>
    <row r="26">
      <c r="A26" s="4" t="s">
        <v>49</v>
      </c>
      <c r="H26" s="2">
        <v>4.0</v>
      </c>
      <c r="P26" s="2">
        <v>0.0</v>
      </c>
      <c r="R26" s="2">
        <v>4.0</v>
      </c>
      <c r="W26" s="2">
        <v>4.0</v>
      </c>
      <c r="AJ26" s="2">
        <v>0.0</v>
      </c>
      <c r="AM26" s="2">
        <v>4.0</v>
      </c>
      <c r="AO26" s="2">
        <v>0.0</v>
      </c>
    </row>
    <row r="27">
      <c r="A27" s="4" t="s">
        <v>50</v>
      </c>
      <c r="J27" s="2">
        <v>4.0</v>
      </c>
      <c r="P27" s="2">
        <v>0.0</v>
      </c>
      <c r="T27" s="2">
        <v>4.0</v>
      </c>
      <c r="AC27" s="2">
        <v>4.0</v>
      </c>
      <c r="AH27" s="2">
        <v>4.0</v>
      </c>
      <c r="AJ27" s="2">
        <v>0.0</v>
      </c>
      <c r="AO27" s="2">
        <v>0.0</v>
      </c>
    </row>
    <row r="28">
      <c r="A28" s="4" t="s">
        <v>51</v>
      </c>
      <c r="J28" s="2">
        <v>4.0</v>
      </c>
      <c r="L28" s="2">
        <v>4.0</v>
      </c>
      <c r="P28" s="2">
        <v>0.0</v>
      </c>
      <c r="AD28" s="2">
        <v>4.0</v>
      </c>
      <c r="AJ28" s="2">
        <v>0.0</v>
      </c>
      <c r="AN28" s="2">
        <v>4.0</v>
      </c>
      <c r="AO28" s="2">
        <v>0.0</v>
      </c>
    </row>
    <row r="29">
      <c r="A29" s="4"/>
    </row>
    <row r="30">
      <c r="A30" s="4"/>
    </row>
    <row r="31">
      <c r="A31" s="1"/>
      <c r="B31" s="2" t="s">
        <v>1</v>
      </c>
      <c r="C31" s="2" t="s">
        <v>1</v>
      </c>
      <c r="D31" s="2" t="s">
        <v>1</v>
      </c>
      <c r="E31" s="2" t="s">
        <v>1</v>
      </c>
      <c r="F31" s="2" t="s">
        <v>1</v>
      </c>
      <c r="G31" s="2" t="s">
        <v>3</v>
      </c>
      <c r="H31" s="2" t="s">
        <v>3</v>
      </c>
      <c r="I31" s="2" t="s">
        <v>3</v>
      </c>
      <c r="J31" s="2" t="s">
        <v>3</v>
      </c>
      <c r="K31" s="2" t="s">
        <v>3</v>
      </c>
      <c r="L31" s="2" t="s">
        <v>2</v>
      </c>
      <c r="M31" s="2" t="s">
        <v>2</v>
      </c>
      <c r="N31" s="2" t="s">
        <v>2</v>
      </c>
      <c r="O31" s="2" t="s">
        <v>2</v>
      </c>
      <c r="P31" s="2" t="s">
        <v>2</v>
      </c>
      <c r="Q31" s="2" t="s">
        <v>0</v>
      </c>
      <c r="R31" s="2" t="s">
        <v>0</v>
      </c>
      <c r="S31" s="2" t="s">
        <v>0</v>
      </c>
      <c r="T31" s="2" t="s">
        <v>0</v>
      </c>
      <c r="U31" s="2" t="s">
        <v>0</v>
      </c>
      <c r="V31" s="2" t="s">
        <v>6</v>
      </c>
      <c r="W31" s="2" t="s">
        <v>6</v>
      </c>
      <c r="X31" s="2" t="s">
        <v>6</v>
      </c>
      <c r="Y31" s="2" t="s">
        <v>6</v>
      </c>
      <c r="Z31" s="2" t="s">
        <v>6</v>
      </c>
      <c r="AA31" s="2" t="s">
        <v>5</v>
      </c>
      <c r="AB31" s="2" t="s">
        <v>5</v>
      </c>
      <c r="AC31" s="2" t="s">
        <v>5</v>
      </c>
      <c r="AD31" s="2" t="s">
        <v>5</v>
      </c>
      <c r="AE31" s="2" t="s">
        <v>5</v>
      </c>
      <c r="AF31" s="2" t="s">
        <v>4</v>
      </c>
      <c r="AG31" s="2" t="s">
        <v>4</v>
      </c>
      <c r="AH31" s="2" t="s">
        <v>4</v>
      </c>
      <c r="AI31" s="2" t="s">
        <v>4</v>
      </c>
      <c r="AJ31" s="2" t="s">
        <v>4</v>
      </c>
      <c r="AK31" s="2" t="s">
        <v>7</v>
      </c>
      <c r="AL31" s="2" t="s">
        <v>7</v>
      </c>
      <c r="AM31" s="2" t="s">
        <v>7</v>
      </c>
      <c r="AN31" s="2" t="s">
        <v>7</v>
      </c>
      <c r="AO31" s="2" t="s">
        <v>7</v>
      </c>
    </row>
    <row r="32">
      <c r="A32" s="1"/>
      <c r="B32" s="2" t="s">
        <v>15</v>
      </c>
      <c r="C32" s="2" t="s">
        <v>16</v>
      </c>
      <c r="D32" s="2" t="s">
        <v>17</v>
      </c>
      <c r="E32" s="2" t="s">
        <v>18</v>
      </c>
      <c r="G32" s="2" t="s">
        <v>23</v>
      </c>
      <c r="H32" s="2" t="s">
        <v>24</v>
      </c>
      <c r="I32" s="2" t="s">
        <v>25</v>
      </c>
      <c r="J32" s="2" t="s">
        <v>26</v>
      </c>
      <c r="K32" s="2" t="s">
        <v>27</v>
      </c>
      <c r="L32" s="2" t="s">
        <v>19</v>
      </c>
      <c r="M32" s="2" t="s">
        <v>20</v>
      </c>
      <c r="N32" s="2" t="s">
        <v>21</v>
      </c>
      <c r="O32" s="2" t="s">
        <v>22</v>
      </c>
      <c r="Q32" s="2" t="s">
        <v>10</v>
      </c>
      <c r="R32" s="2" t="s">
        <v>12</v>
      </c>
      <c r="S32" s="2" t="s">
        <v>11</v>
      </c>
      <c r="T32" s="2" t="s">
        <v>13</v>
      </c>
      <c r="U32" s="2" t="s">
        <v>14</v>
      </c>
      <c r="V32" s="2" t="s">
        <v>38</v>
      </c>
      <c r="W32" s="2" t="s">
        <v>39</v>
      </c>
      <c r="X32" s="2" t="s">
        <v>40</v>
      </c>
      <c r="Y32" s="2" t="s">
        <v>41</v>
      </c>
      <c r="AA32" s="2" t="s">
        <v>33</v>
      </c>
      <c r="AB32" s="2" t="s">
        <v>34</v>
      </c>
      <c r="AC32" s="2" t="s">
        <v>35</v>
      </c>
      <c r="AD32" s="2" t="s">
        <v>36</v>
      </c>
      <c r="AE32" s="2" t="s">
        <v>37</v>
      </c>
      <c r="AF32" s="2" t="s">
        <v>28</v>
      </c>
      <c r="AG32" s="2" t="s">
        <v>29</v>
      </c>
      <c r="AH32" s="2" t="s">
        <v>30</v>
      </c>
      <c r="AI32" s="2" t="s">
        <v>31</v>
      </c>
      <c r="AJ32" s="2" t="s">
        <v>32</v>
      </c>
      <c r="AK32" s="2" t="s">
        <v>42</v>
      </c>
      <c r="AL32" s="2" t="s">
        <v>43</v>
      </c>
      <c r="AM32" s="2" t="s">
        <v>44</v>
      </c>
      <c r="AN32" s="2" t="s">
        <v>45</v>
      </c>
    </row>
    <row r="33">
      <c r="A33" s="1"/>
      <c r="B33" s="2" t="b">
        <v>1</v>
      </c>
      <c r="C33" s="2" t="b">
        <v>1</v>
      </c>
      <c r="D33" s="2" t="b">
        <v>1</v>
      </c>
      <c r="E33" s="2" t="b">
        <v>1</v>
      </c>
      <c r="F33" s="2" t="b">
        <v>0</v>
      </c>
      <c r="G33" s="2" t="b">
        <v>1</v>
      </c>
      <c r="H33" s="2" t="b">
        <v>1</v>
      </c>
      <c r="I33" s="2" t="b">
        <v>1</v>
      </c>
      <c r="J33" s="2" t="b">
        <v>1</v>
      </c>
      <c r="K33" s="2" t="b">
        <v>1</v>
      </c>
      <c r="L33" s="2" t="b">
        <v>1</v>
      </c>
      <c r="M33" s="2" t="b">
        <v>1</v>
      </c>
      <c r="N33" s="2" t="b">
        <v>1</v>
      </c>
      <c r="O33" s="2" t="b">
        <v>1</v>
      </c>
      <c r="P33" s="2" t="b">
        <v>0</v>
      </c>
      <c r="Q33" s="2" t="b">
        <v>1</v>
      </c>
      <c r="R33" s="2" t="b">
        <v>1</v>
      </c>
      <c r="S33" s="2" t="b">
        <v>1</v>
      </c>
      <c r="T33" s="2" t="b">
        <v>1</v>
      </c>
      <c r="U33" s="2" t="b">
        <v>1</v>
      </c>
      <c r="V33" s="2" t="b">
        <v>1</v>
      </c>
      <c r="W33" s="2" t="b">
        <v>1</v>
      </c>
      <c r="X33" s="2" t="b">
        <v>1</v>
      </c>
      <c r="Y33" s="2" t="b">
        <v>1</v>
      </c>
      <c r="Z33" s="2" t="b">
        <v>0</v>
      </c>
      <c r="AA33" s="2" t="b">
        <v>1</v>
      </c>
      <c r="AB33" s="2" t="b">
        <v>1</v>
      </c>
      <c r="AC33" s="2" t="b">
        <v>1</v>
      </c>
      <c r="AD33" s="2" t="b">
        <v>1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1</v>
      </c>
      <c r="AL33" s="2" t="b">
        <v>1</v>
      </c>
      <c r="AM33" s="2" t="b">
        <v>1</v>
      </c>
      <c r="AN33" s="2" t="b">
        <v>1</v>
      </c>
      <c r="AO33" s="2" t="b">
        <v>0</v>
      </c>
    </row>
    <row r="34">
      <c r="A34" s="4" t="s">
        <v>46</v>
      </c>
      <c r="F34" s="2">
        <v>0.0</v>
      </c>
      <c r="J34" s="2">
        <v>4.0</v>
      </c>
      <c r="N34" s="2">
        <v>4.0</v>
      </c>
      <c r="P34" s="2">
        <v>0.0</v>
      </c>
      <c r="Z34" s="2">
        <v>0.0</v>
      </c>
      <c r="AE34" s="2">
        <v>4.0</v>
      </c>
      <c r="AH34" s="2">
        <v>4.0</v>
      </c>
      <c r="AO34" s="2">
        <v>0.0</v>
      </c>
    </row>
    <row r="35">
      <c r="A35" s="1" t="s">
        <v>47</v>
      </c>
      <c r="B35" s="2">
        <v>4.0</v>
      </c>
      <c r="F35" s="2">
        <v>0.0</v>
      </c>
      <c r="P35" s="2">
        <v>0.0</v>
      </c>
      <c r="S35" s="2">
        <v>4.0</v>
      </c>
      <c r="Z35" s="2">
        <v>0.0</v>
      </c>
      <c r="AD35" s="2">
        <v>4.0</v>
      </c>
      <c r="AG35" s="2">
        <v>4.0</v>
      </c>
      <c r="AO35" s="2">
        <v>0.0</v>
      </c>
    </row>
    <row r="36">
      <c r="A36" s="1" t="s">
        <v>48</v>
      </c>
      <c r="B36" s="2">
        <v>-4.0</v>
      </c>
      <c r="F36" s="2">
        <v>0.0</v>
      </c>
      <c r="G36" s="2">
        <v>4.0</v>
      </c>
      <c r="P36" s="2">
        <v>0.0</v>
      </c>
      <c r="Z36" s="2">
        <v>0.0</v>
      </c>
      <c r="AC36" s="2">
        <v>4.0</v>
      </c>
      <c r="AG36" s="2">
        <v>4.0</v>
      </c>
      <c r="AO36" s="2">
        <v>0.0</v>
      </c>
    </row>
    <row r="37">
      <c r="A37" s="1" t="s">
        <v>49</v>
      </c>
      <c r="B37" s="2">
        <v>4.0</v>
      </c>
      <c r="F37" s="2">
        <v>0.0</v>
      </c>
      <c r="O37" s="2">
        <v>-4.0</v>
      </c>
      <c r="P37" s="2">
        <v>0.0</v>
      </c>
      <c r="S37" s="2">
        <v>4.0</v>
      </c>
      <c r="Z37" s="2">
        <v>0.0</v>
      </c>
      <c r="AB37" s="2">
        <v>4.0</v>
      </c>
      <c r="AH37" s="2">
        <v>4.0</v>
      </c>
      <c r="AO37" s="2">
        <v>0.0</v>
      </c>
    </row>
    <row r="38">
      <c r="A38" s="4" t="s">
        <v>50</v>
      </c>
      <c r="E38" s="2">
        <v>4.0</v>
      </c>
      <c r="F38" s="2">
        <v>0.0</v>
      </c>
      <c r="P38" s="2">
        <v>0.0</v>
      </c>
      <c r="S38" s="2">
        <v>4.0</v>
      </c>
      <c r="Z38" s="2">
        <v>0.0</v>
      </c>
      <c r="AE38" s="2">
        <v>4.0</v>
      </c>
      <c r="AG38" s="2">
        <v>4.0</v>
      </c>
      <c r="AO38" s="2">
        <v>0.0</v>
      </c>
    </row>
    <row r="39">
      <c r="A39" s="4" t="s">
        <v>51</v>
      </c>
      <c r="D39" s="2">
        <v>4.0</v>
      </c>
      <c r="F39" s="2">
        <v>0.0</v>
      </c>
      <c r="P39" s="2">
        <v>0.0</v>
      </c>
      <c r="S39" s="2">
        <v>4.0</v>
      </c>
      <c r="Z39" s="2">
        <v>0.0</v>
      </c>
      <c r="AC39" s="2">
        <v>4.0</v>
      </c>
      <c r="AG39" s="2">
        <v>4.0</v>
      </c>
      <c r="AO39" s="2">
        <v>0.0</v>
      </c>
    </row>
    <row r="40">
      <c r="A40" s="1" t="s">
        <v>46</v>
      </c>
      <c r="B40" s="2">
        <v>4.0</v>
      </c>
      <c r="F40" s="2">
        <v>0.0</v>
      </c>
      <c r="P40" s="2">
        <v>0.0</v>
      </c>
      <c r="Z40" s="2">
        <v>0.0</v>
      </c>
      <c r="AC40" s="2">
        <v>4.0</v>
      </c>
      <c r="AG40" s="2">
        <v>4.0</v>
      </c>
      <c r="AO40" s="2">
        <v>0.0</v>
      </c>
    </row>
    <row r="41">
      <c r="A41" s="4" t="s">
        <v>47</v>
      </c>
      <c r="F41" s="2">
        <v>0.0</v>
      </c>
      <c r="G41" s="2">
        <v>4.0</v>
      </c>
      <c r="P41" s="2">
        <v>0.0</v>
      </c>
      <c r="V41" s="2">
        <v>4.0</v>
      </c>
      <c r="Z41" s="2">
        <v>0.0</v>
      </c>
      <c r="AF41" s="2">
        <v>4.0</v>
      </c>
      <c r="AO41" s="2">
        <v>0.0</v>
      </c>
    </row>
    <row r="42">
      <c r="A42" s="1" t="s">
        <v>48</v>
      </c>
      <c r="B42" s="2">
        <v>4.0</v>
      </c>
      <c r="F42" s="2">
        <v>0.0</v>
      </c>
      <c r="P42" s="2">
        <v>0.0</v>
      </c>
      <c r="Z42" s="2">
        <v>0.0</v>
      </c>
      <c r="AC42" s="2">
        <v>4.0</v>
      </c>
      <c r="AH42" s="2">
        <v>0.0</v>
      </c>
      <c r="AN42" s="2">
        <v>0.0</v>
      </c>
      <c r="AO42" s="2">
        <v>0.0</v>
      </c>
    </row>
    <row r="43">
      <c r="A43" s="4" t="s">
        <v>49</v>
      </c>
      <c r="D43" s="2">
        <v>4.0</v>
      </c>
      <c r="F43" s="2">
        <v>0.0</v>
      </c>
      <c r="O43" s="2">
        <v>4.0</v>
      </c>
      <c r="P43" s="2">
        <v>0.0</v>
      </c>
      <c r="Z43" s="2">
        <v>0.0</v>
      </c>
      <c r="AB43" s="2">
        <v>4.0</v>
      </c>
      <c r="AG43" s="2">
        <v>4.0</v>
      </c>
      <c r="AO43" s="2">
        <v>0.0</v>
      </c>
    </row>
    <row r="44">
      <c r="A44" s="4" t="s">
        <v>50</v>
      </c>
      <c r="F44" s="2">
        <v>0.0</v>
      </c>
      <c r="P44" s="2">
        <v>0.0</v>
      </c>
      <c r="Z44" s="2">
        <v>0.0</v>
      </c>
      <c r="AG44" s="2">
        <v>4.0</v>
      </c>
      <c r="AO44" s="2">
        <v>0.0</v>
      </c>
    </row>
    <row r="45">
      <c r="A45" s="4" t="s">
        <v>51</v>
      </c>
      <c r="F45" s="2">
        <v>0.0</v>
      </c>
      <c r="G45" s="2">
        <v>4.0</v>
      </c>
      <c r="P45" s="2">
        <v>0.0</v>
      </c>
      <c r="W45" s="2">
        <v>4.0</v>
      </c>
      <c r="Z45" s="2">
        <v>0.0</v>
      </c>
      <c r="AF45" s="2">
        <v>4.0</v>
      </c>
      <c r="AO45" s="2">
        <v>0.0</v>
      </c>
    </row>
    <row r="46">
      <c r="A46" s="1"/>
      <c r="B46" s="2" t="b">
        <v>1</v>
      </c>
      <c r="C46" s="2" t="b">
        <v>1</v>
      </c>
      <c r="D46" s="2" t="b">
        <v>1</v>
      </c>
      <c r="E46" s="2" t="b">
        <v>1</v>
      </c>
      <c r="F46" s="2" t="b">
        <v>0</v>
      </c>
      <c r="G46" s="2" t="b">
        <v>1</v>
      </c>
      <c r="H46" s="2" t="b">
        <v>1</v>
      </c>
      <c r="I46" s="2" t="b">
        <v>1</v>
      </c>
      <c r="J46" s="2" t="b">
        <v>1</v>
      </c>
      <c r="K46" s="2" t="b">
        <v>1</v>
      </c>
      <c r="L46" s="2" t="b">
        <v>1</v>
      </c>
      <c r="M46" s="2" t="b">
        <v>1</v>
      </c>
      <c r="N46" s="2" t="b">
        <v>1</v>
      </c>
      <c r="O46" s="2" t="b">
        <v>1</v>
      </c>
      <c r="P46" s="2" t="b">
        <v>0</v>
      </c>
      <c r="Q46" s="2" t="b">
        <v>1</v>
      </c>
      <c r="R46" s="2" t="b">
        <v>1</v>
      </c>
      <c r="S46" s="2" t="b">
        <v>1</v>
      </c>
      <c r="T46" s="2" t="b">
        <v>1</v>
      </c>
      <c r="U46" s="2" t="b">
        <v>1</v>
      </c>
      <c r="V46" s="2" t="b">
        <v>1</v>
      </c>
      <c r="W46" s="2" t="b">
        <v>1</v>
      </c>
      <c r="X46" s="2" t="b">
        <v>1</v>
      </c>
      <c r="Y46" s="2" t="b">
        <v>1</v>
      </c>
      <c r="Z46" s="2" t="b">
        <v>0</v>
      </c>
      <c r="AA46" s="2" t="b">
        <v>1</v>
      </c>
      <c r="AB46" s="2" t="b">
        <v>1</v>
      </c>
      <c r="AC46" s="2" t="b">
        <v>1</v>
      </c>
      <c r="AD46" s="2" t="b">
        <v>1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1</v>
      </c>
      <c r="AJ46" s="2" t="b">
        <v>1</v>
      </c>
      <c r="AK46" s="2" t="b">
        <v>1</v>
      </c>
      <c r="AL46" s="2" t="b">
        <v>1</v>
      </c>
      <c r="AM46" s="2" t="b">
        <v>1</v>
      </c>
      <c r="AN46" s="2" t="b">
        <v>1</v>
      </c>
      <c r="AO46" s="2" t="b">
        <v>0</v>
      </c>
    </row>
    <row r="47">
      <c r="A47" s="4" t="s">
        <v>46</v>
      </c>
      <c r="D47" s="2">
        <v>-4.0</v>
      </c>
      <c r="F47" s="2">
        <v>0.0</v>
      </c>
      <c r="P47" s="2">
        <v>0.0</v>
      </c>
      <c r="Y47" s="2">
        <v>0.0</v>
      </c>
      <c r="Z47" s="2">
        <v>0.0</v>
      </c>
      <c r="AD47" s="2">
        <v>0.0</v>
      </c>
      <c r="AG47" s="2">
        <v>-4.0</v>
      </c>
      <c r="AM47" s="2">
        <v>0.0</v>
      </c>
      <c r="AO47" s="2">
        <v>0.0</v>
      </c>
    </row>
    <row r="48">
      <c r="A48" s="4" t="s">
        <v>47</v>
      </c>
      <c r="F48" s="2">
        <v>0.0</v>
      </c>
      <c r="G48" s="2">
        <v>4.0</v>
      </c>
      <c r="O48" s="2">
        <v>4.0</v>
      </c>
      <c r="P48" s="2">
        <v>0.0</v>
      </c>
      <c r="Y48" s="2">
        <v>4.0</v>
      </c>
      <c r="Z48" s="2">
        <v>0.0</v>
      </c>
      <c r="AD48" s="2">
        <v>-4.0</v>
      </c>
      <c r="AF48" s="2">
        <v>-4.0</v>
      </c>
      <c r="AK48" s="2">
        <v>4.0</v>
      </c>
      <c r="AO48" s="2">
        <v>0.0</v>
      </c>
    </row>
    <row r="49">
      <c r="A49" s="1" t="s">
        <v>48</v>
      </c>
      <c r="B49" s="2">
        <v>4.0</v>
      </c>
      <c r="F49" s="2">
        <v>0.0</v>
      </c>
      <c r="P49" s="2">
        <v>0.0</v>
      </c>
      <c r="Z49" s="2">
        <v>0.0</v>
      </c>
      <c r="AC49" s="2">
        <v>4.0</v>
      </c>
      <c r="AG49" s="2">
        <v>4.0</v>
      </c>
      <c r="AO49" s="2">
        <v>0.0</v>
      </c>
    </row>
    <row r="50">
      <c r="A50" s="1" t="s">
        <v>49</v>
      </c>
      <c r="B50" s="2">
        <v>4.0</v>
      </c>
      <c r="F50" s="2">
        <v>0.0</v>
      </c>
      <c r="P50" s="2">
        <v>0.0</v>
      </c>
      <c r="Z50" s="2">
        <v>0.0</v>
      </c>
      <c r="AG50" s="2">
        <v>4.0</v>
      </c>
      <c r="AO50" s="2">
        <v>0.0</v>
      </c>
    </row>
    <row r="51">
      <c r="A51" s="4" t="s">
        <v>50</v>
      </c>
      <c r="E51" s="2">
        <v>4.0</v>
      </c>
      <c r="F51" s="2">
        <v>0.0</v>
      </c>
      <c r="P51" s="2">
        <v>0.0</v>
      </c>
      <c r="Z51" s="2">
        <v>0.0</v>
      </c>
      <c r="AG51" s="2">
        <v>4.0</v>
      </c>
      <c r="AO51" s="2">
        <v>0.0</v>
      </c>
    </row>
    <row r="52">
      <c r="A52" s="4" t="s">
        <v>51</v>
      </c>
      <c r="E52" s="2">
        <v>4.0</v>
      </c>
      <c r="F52" s="2">
        <v>0.0</v>
      </c>
      <c r="P52" s="2">
        <v>0.0</v>
      </c>
      <c r="T52" s="2">
        <v>4.0</v>
      </c>
      <c r="Z52" s="2">
        <v>0.0</v>
      </c>
      <c r="AD52" s="2">
        <v>4.0</v>
      </c>
      <c r="AK52" s="2">
        <v>4.0</v>
      </c>
      <c r="AO52" s="2">
        <v>0.0</v>
      </c>
    </row>
    <row r="53">
      <c r="A53" s="4" t="s">
        <v>46</v>
      </c>
      <c r="E53" s="2">
        <v>4.0</v>
      </c>
      <c r="F53" s="2">
        <v>0.0</v>
      </c>
      <c r="O53" s="2">
        <v>4.0</v>
      </c>
      <c r="P53" s="2">
        <v>0.0</v>
      </c>
      <c r="Z53" s="2">
        <v>0.0</v>
      </c>
      <c r="AG53" s="2">
        <v>0.0</v>
      </c>
      <c r="AK53" s="2">
        <v>0.0</v>
      </c>
      <c r="AO53" s="2">
        <v>0.0</v>
      </c>
    </row>
    <row r="54">
      <c r="A54" s="1" t="s">
        <v>47</v>
      </c>
      <c r="B54" s="2">
        <v>-4.0</v>
      </c>
      <c r="F54" s="2">
        <v>0.0</v>
      </c>
      <c r="G54" s="2">
        <v>4.0</v>
      </c>
      <c r="P54" s="2">
        <v>0.0</v>
      </c>
      <c r="S54" s="2">
        <v>4.0</v>
      </c>
      <c r="Z54" s="2">
        <v>0.0</v>
      </c>
      <c r="AC54" s="2">
        <v>4.0</v>
      </c>
      <c r="AF54" s="2">
        <v>4.0</v>
      </c>
      <c r="AO54" s="2">
        <v>0.0</v>
      </c>
    </row>
    <row r="55">
      <c r="A55" s="1" t="s">
        <v>48</v>
      </c>
      <c r="B55" s="2">
        <v>4.0</v>
      </c>
      <c r="F55" s="2">
        <v>0.0</v>
      </c>
      <c r="P55" s="2">
        <v>0.0</v>
      </c>
      <c r="Z55" s="2">
        <v>0.0</v>
      </c>
      <c r="AG55" s="2">
        <v>4.0</v>
      </c>
      <c r="AO55" s="2">
        <v>0.0</v>
      </c>
    </row>
    <row r="56">
      <c r="A56" s="4" t="s">
        <v>49</v>
      </c>
      <c r="D56" s="2">
        <v>4.0</v>
      </c>
      <c r="F56" s="2">
        <v>0.0</v>
      </c>
      <c r="P56" s="2">
        <v>0.0</v>
      </c>
      <c r="Y56" s="2">
        <v>4.0</v>
      </c>
      <c r="Z56" s="2">
        <v>0.0</v>
      </c>
      <c r="AB56" s="2">
        <v>-4.0</v>
      </c>
      <c r="AF56" s="2">
        <v>4.0</v>
      </c>
      <c r="AO56" s="2">
        <v>0.0</v>
      </c>
    </row>
    <row r="57">
      <c r="A57" s="4" t="s">
        <v>50</v>
      </c>
      <c r="E57" s="2">
        <v>-4.0</v>
      </c>
      <c r="F57" s="2">
        <v>0.0</v>
      </c>
      <c r="G57" s="2">
        <v>4.0</v>
      </c>
      <c r="N57" s="2">
        <v>4.0</v>
      </c>
      <c r="P57" s="2">
        <v>0.0</v>
      </c>
      <c r="Z57" s="2">
        <v>0.0</v>
      </c>
      <c r="AA57" s="2">
        <v>4.0</v>
      </c>
      <c r="AG57" s="2">
        <v>0.0</v>
      </c>
      <c r="AK57" s="2">
        <v>4.0</v>
      </c>
      <c r="AO57" s="2">
        <v>0.0</v>
      </c>
    </row>
    <row r="58">
      <c r="A58" s="4" t="s">
        <v>51</v>
      </c>
      <c r="F58" s="2">
        <v>0.0</v>
      </c>
      <c r="P58" s="2">
        <v>0.0</v>
      </c>
      <c r="Z58" s="2">
        <v>0.0</v>
      </c>
      <c r="AF58" s="2">
        <v>0.0</v>
      </c>
      <c r="AK58" s="2">
        <v>0.0</v>
      </c>
      <c r="AO58" s="2">
        <v>0.0</v>
      </c>
    </row>
    <row r="59">
      <c r="A59" s="4"/>
    </row>
    <row r="60">
      <c r="A60" s="4"/>
    </row>
    <row r="61">
      <c r="A61" s="1"/>
      <c r="B61" s="2" t="s">
        <v>3</v>
      </c>
      <c r="C61" s="2" t="s">
        <v>3</v>
      </c>
      <c r="D61" s="2" t="s">
        <v>3</v>
      </c>
      <c r="E61" s="2" t="s">
        <v>3</v>
      </c>
      <c r="F61" s="2" t="s">
        <v>3</v>
      </c>
      <c r="G61" s="2" t="s">
        <v>0</v>
      </c>
      <c r="H61" s="2" t="s">
        <v>0</v>
      </c>
      <c r="I61" s="2" t="s">
        <v>0</v>
      </c>
      <c r="J61" s="2" t="s">
        <v>0</v>
      </c>
      <c r="K61" s="2" t="s">
        <v>0</v>
      </c>
      <c r="L61" s="2" t="s">
        <v>2</v>
      </c>
      <c r="M61" s="2" t="s">
        <v>2</v>
      </c>
      <c r="N61" s="2" t="s">
        <v>2</v>
      </c>
      <c r="O61" s="2" t="s">
        <v>2</v>
      </c>
      <c r="P61" s="2" t="s">
        <v>2</v>
      </c>
      <c r="Q61" s="2" t="s">
        <v>1</v>
      </c>
      <c r="R61" s="2" t="s">
        <v>1</v>
      </c>
      <c r="S61" s="2" t="s">
        <v>1</v>
      </c>
      <c r="T61" s="2" t="s">
        <v>1</v>
      </c>
      <c r="U61" s="2" t="s">
        <v>1</v>
      </c>
      <c r="V61" s="2" t="s">
        <v>4</v>
      </c>
      <c r="W61" s="2" t="s">
        <v>4</v>
      </c>
      <c r="X61" s="2" t="s">
        <v>4</v>
      </c>
      <c r="Y61" s="2" t="s">
        <v>4</v>
      </c>
      <c r="Z61" s="2" t="s">
        <v>4</v>
      </c>
      <c r="AA61" s="2" t="s">
        <v>6</v>
      </c>
      <c r="AB61" s="2" t="s">
        <v>6</v>
      </c>
      <c r="AC61" s="2" t="s">
        <v>6</v>
      </c>
      <c r="AD61" s="2" t="s">
        <v>6</v>
      </c>
      <c r="AE61" s="2" t="s">
        <v>6</v>
      </c>
      <c r="AF61" s="5" t="s">
        <v>5</v>
      </c>
      <c r="AG61" s="5" t="s">
        <v>5</v>
      </c>
      <c r="AH61" s="5" t="s">
        <v>5</v>
      </c>
      <c r="AI61" s="5" t="s">
        <v>5</v>
      </c>
      <c r="AJ61" s="5" t="s">
        <v>5</v>
      </c>
      <c r="AK61" s="5" t="s">
        <v>7</v>
      </c>
      <c r="AL61" s="5" t="s">
        <v>7</v>
      </c>
      <c r="AM61" s="5" t="s">
        <v>7</v>
      </c>
      <c r="AN61" s="5" t="s">
        <v>7</v>
      </c>
      <c r="AO61" s="5" t="s">
        <v>7</v>
      </c>
    </row>
    <row r="62">
      <c r="A62" s="1"/>
      <c r="B62" s="2" t="s">
        <v>23</v>
      </c>
      <c r="C62" s="2" t="s">
        <v>24</v>
      </c>
      <c r="D62" s="2" t="s">
        <v>25</v>
      </c>
      <c r="E62" s="2" t="s">
        <v>26</v>
      </c>
      <c r="F62" s="2" t="s">
        <v>27</v>
      </c>
      <c r="G62" s="2" t="s">
        <v>10</v>
      </c>
      <c r="H62" s="2" t="s">
        <v>11</v>
      </c>
      <c r="I62" s="2" t="s">
        <v>12</v>
      </c>
      <c r="J62" s="2" t="s">
        <v>13</v>
      </c>
      <c r="K62" s="2" t="s">
        <v>14</v>
      </c>
      <c r="L62" s="2" t="s">
        <v>19</v>
      </c>
      <c r="M62" s="2" t="s">
        <v>20</v>
      </c>
      <c r="N62" s="2" t="s">
        <v>13</v>
      </c>
      <c r="O62" s="2" t="s">
        <v>22</v>
      </c>
      <c r="Q62" s="2" t="s">
        <v>18</v>
      </c>
      <c r="R62" s="2" t="s">
        <v>15</v>
      </c>
      <c r="S62" s="2" t="s">
        <v>16</v>
      </c>
      <c r="T62" s="2" t="s">
        <v>17</v>
      </c>
      <c r="V62" s="2" t="s">
        <v>28</v>
      </c>
      <c r="W62" s="2" t="s">
        <v>29</v>
      </c>
      <c r="X62" s="2" t="s">
        <v>30</v>
      </c>
      <c r="Y62" s="2" t="s">
        <v>31</v>
      </c>
      <c r="Z62" s="2" t="s">
        <v>32</v>
      </c>
      <c r="AA62" s="2" t="s">
        <v>38</v>
      </c>
      <c r="AB62" s="2" t="s">
        <v>39</v>
      </c>
      <c r="AC62" s="2" t="s">
        <v>40</v>
      </c>
      <c r="AD62" s="2" t="s">
        <v>41</v>
      </c>
      <c r="AF62" s="5" t="s">
        <v>33</v>
      </c>
      <c r="AG62" s="5" t="s">
        <v>36</v>
      </c>
      <c r="AH62" s="5" t="s">
        <v>35</v>
      </c>
      <c r="AI62" s="5" t="s">
        <v>34</v>
      </c>
      <c r="AJ62" s="5" t="s">
        <v>37</v>
      </c>
      <c r="AK62" s="5" t="s">
        <v>42</v>
      </c>
      <c r="AL62" s="5" t="s">
        <v>43</v>
      </c>
      <c r="AM62" s="5" t="s">
        <v>44</v>
      </c>
      <c r="AN62" s="5" t="s">
        <v>45</v>
      </c>
      <c r="AO62" s="1"/>
    </row>
    <row r="63">
      <c r="A63" s="1"/>
      <c r="B63" s="2" t="b">
        <v>1</v>
      </c>
      <c r="C63" s="2" t="b">
        <v>1</v>
      </c>
      <c r="D63" s="2" t="b">
        <v>1</v>
      </c>
      <c r="E63" s="2" t="b">
        <v>1</v>
      </c>
      <c r="F63" s="2" t="b">
        <v>1</v>
      </c>
      <c r="G63" s="2" t="b">
        <v>1</v>
      </c>
      <c r="H63" s="2" t="b">
        <v>1</v>
      </c>
      <c r="I63" s="2" t="b">
        <v>1</v>
      </c>
      <c r="J63" s="2" t="b">
        <v>1</v>
      </c>
      <c r="K63" s="2" t="b">
        <v>1</v>
      </c>
      <c r="L63" s="2" t="b">
        <v>1</v>
      </c>
      <c r="M63" s="2" t="b">
        <v>1</v>
      </c>
      <c r="N63" s="2" t="b">
        <v>1</v>
      </c>
      <c r="O63" s="2" t="b">
        <v>1</v>
      </c>
      <c r="P63" s="2" t="b">
        <v>0</v>
      </c>
      <c r="Q63" s="2" t="b">
        <v>1</v>
      </c>
      <c r="R63" s="2" t="b">
        <v>1</v>
      </c>
      <c r="S63" s="2" t="b">
        <v>1</v>
      </c>
      <c r="T63" s="2" t="b">
        <v>1</v>
      </c>
      <c r="U63" s="2" t="b">
        <v>0</v>
      </c>
      <c r="V63" s="2" t="b">
        <v>1</v>
      </c>
      <c r="W63" s="2" t="b">
        <v>1</v>
      </c>
      <c r="X63" s="2" t="b">
        <v>1</v>
      </c>
      <c r="Y63" s="2" t="b">
        <v>1</v>
      </c>
      <c r="Z63" s="2" t="b">
        <v>1</v>
      </c>
      <c r="AA63" s="2" t="b">
        <v>1</v>
      </c>
      <c r="AB63" s="2" t="b">
        <v>1</v>
      </c>
      <c r="AC63" s="2" t="b">
        <v>1</v>
      </c>
      <c r="AD63" s="2" t="b">
        <v>1</v>
      </c>
      <c r="AE63" s="2" t="b">
        <v>0</v>
      </c>
      <c r="AF63" s="2" t="b">
        <v>1</v>
      </c>
      <c r="AG63" s="2" t="b">
        <v>1</v>
      </c>
      <c r="AH63" s="2" t="b">
        <v>1</v>
      </c>
      <c r="AI63" s="2" t="b">
        <v>1</v>
      </c>
      <c r="AJ63" s="2" t="b">
        <v>1</v>
      </c>
      <c r="AK63" s="2" t="b">
        <v>1</v>
      </c>
      <c r="AL63" s="2" t="b">
        <v>1</v>
      </c>
      <c r="AM63" s="2" t="b">
        <v>1</v>
      </c>
      <c r="AN63" s="2" t="b">
        <v>1</v>
      </c>
      <c r="AO63" s="2" t="b">
        <v>0</v>
      </c>
    </row>
    <row r="64">
      <c r="A64" s="4" t="s">
        <v>46</v>
      </c>
      <c r="M64" s="2">
        <v>-4.0</v>
      </c>
      <c r="P64" s="2">
        <v>0.0</v>
      </c>
      <c r="R64" s="2">
        <v>4.0</v>
      </c>
      <c r="U64" s="2">
        <v>0.0</v>
      </c>
      <c r="V64" s="2">
        <v>4.0</v>
      </c>
      <c r="AE64" s="2">
        <v>0.0</v>
      </c>
      <c r="AH64" s="2">
        <v>4.0</v>
      </c>
      <c r="AO64" s="2">
        <v>0.0</v>
      </c>
    </row>
    <row r="65">
      <c r="A65" s="1" t="s">
        <v>47</v>
      </c>
      <c r="B65" s="2">
        <v>4.0</v>
      </c>
      <c r="O65" s="2">
        <v>-4.0</v>
      </c>
      <c r="P65" s="2">
        <v>0.0</v>
      </c>
      <c r="Q65" s="2">
        <v>-4.0</v>
      </c>
      <c r="U65" s="2">
        <v>0.0</v>
      </c>
      <c r="V65" s="2">
        <v>4.0</v>
      </c>
      <c r="AE65" s="2">
        <v>0.0</v>
      </c>
      <c r="AG65" s="2">
        <v>4.0</v>
      </c>
      <c r="AO65" s="2">
        <v>0.0</v>
      </c>
    </row>
    <row r="66">
      <c r="A66" s="4" t="s">
        <v>48</v>
      </c>
      <c r="E66" s="2">
        <v>4.0</v>
      </c>
      <c r="P66" s="2">
        <v>0.0</v>
      </c>
      <c r="R66" s="2">
        <v>4.0</v>
      </c>
      <c r="U66" s="2">
        <v>0.0</v>
      </c>
      <c r="W66" s="2">
        <v>4.0</v>
      </c>
      <c r="AE66" s="2">
        <v>0.0</v>
      </c>
      <c r="AH66" s="2">
        <v>0.0</v>
      </c>
      <c r="AK66" s="2">
        <v>4.0</v>
      </c>
      <c r="AO66" s="2">
        <v>0.0</v>
      </c>
    </row>
    <row r="67">
      <c r="A67" s="4" t="s">
        <v>49</v>
      </c>
      <c r="C67" s="2">
        <v>4.0</v>
      </c>
      <c r="O67" s="2">
        <v>4.0</v>
      </c>
      <c r="P67" s="2">
        <v>0.0</v>
      </c>
      <c r="T67" s="2">
        <v>-4.0</v>
      </c>
      <c r="U67" s="2">
        <v>0.0</v>
      </c>
      <c r="AD67" s="2">
        <v>4.0</v>
      </c>
      <c r="AE67" s="2">
        <v>0.0</v>
      </c>
      <c r="AI67" s="2">
        <v>4.0</v>
      </c>
      <c r="AO67" s="2">
        <v>0.0</v>
      </c>
    </row>
    <row r="68">
      <c r="A68" s="4" t="s">
        <v>50</v>
      </c>
      <c r="E68" s="2">
        <v>-4.0</v>
      </c>
      <c r="P68" s="2">
        <v>0.0</v>
      </c>
      <c r="Q68" s="2">
        <v>4.0</v>
      </c>
      <c r="U68" s="2">
        <v>0.0</v>
      </c>
      <c r="W68" s="2">
        <v>4.0</v>
      </c>
      <c r="AE68" s="2">
        <v>0.0</v>
      </c>
      <c r="AF68" s="2">
        <v>0.0</v>
      </c>
      <c r="AL68" s="2">
        <v>0.0</v>
      </c>
      <c r="AO68" s="2">
        <v>0.0</v>
      </c>
    </row>
    <row r="69">
      <c r="A69" s="4" t="s">
        <v>51</v>
      </c>
      <c r="N69" s="2">
        <v>4.0</v>
      </c>
      <c r="P69" s="2">
        <v>0.0</v>
      </c>
      <c r="S69" s="2">
        <v>-4.0</v>
      </c>
      <c r="U69" s="2">
        <v>0.0</v>
      </c>
      <c r="V69" s="2">
        <v>4.0</v>
      </c>
      <c r="AE69" s="2">
        <v>0.0</v>
      </c>
      <c r="AH69" s="2">
        <v>4.0</v>
      </c>
      <c r="AO69" s="2">
        <v>0.0</v>
      </c>
    </row>
    <row r="70">
      <c r="A70" s="4" t="s">
        <v>46</v>
      </c>
      <c r="C70" s="2">
        <v>4.0</v>
      </c>
      <c r="O70" s="2">
        <v>4.0</v>
      </c>
      <c r="P70" s="2">
        <v>0.0</v>
      </c>
      <c r="U70" s="2">
        <v>0.0</v>
      </c>
      <c r="W70" s="2">
        <v>4.0</v>
      </c>
      <c r="AE70" s="2">
        <v>0.0</v>
      </c>
      <c r="AH70" s="2">
        <v>4.0</v>
      </c>
      <c r="AO70" s="2">
        <v>0.0</v>
      </c>
    </row>
    <row r="71">
      <c r="A71" s="1" t="s">
        <v>47</v>
      </c>
      <c r="B71" s="2">
        <v>4.0</v>
      </c>
      <c r="O71" s="2">
        <v>4.0</v>
      </c>
      <c r="P71" s="2">
        <v>0.0</v>
      </c>
      <c r="U71" s="2">
        <v>0.0</v>
      </c>
      <c r="W71" s="2">
        <v>4.0</v>
      </c>
      <c r="AE71" s="2">
        <v>0.0</v>
      </c>
      <c r="AG71" s="2">
        <v>4.0</v>
      </c>
      <c r="AO71" s="2">
        <v>0.0</v>
      </c>
    </row>
    <row r="72">
      <c r="A72" s="4" t="s">
        <v>48</v>
      </c>
      <c r="P72" s="2">
        <v>0.0</v>
      </c>
      <c r="R72" s="2">
        <v>4.0</v>
      </c>
      <c r="U72" s="2">
        <v>0.0</v>
      </c>
      <c r="X72" s="2">
        <v>4.0</v>
      </c>
      <c r="AC72" s="2">
        <v>0.0</v>
      </c>
      <c r="AE72" s="2">
        <v>0.0</v>
      </c>
      <c r="AH72" s="2">
        <v>4.0</v>
      </c>
      <c r="AO72" s="2">
        <v>0.0</v>
      </c>
    </row>
    <row r="73">
      <c r="A73" s="4" t="s">
        <v>49</v>
      </c>
      <c r="D73" s="2">
        <v>4.0</v>
      </c>
      <c r="P73" s="2">
        <v>0.0</v>
      </c>
      <c r="S73" s="2">
        <v>4.0</v>
      </c>
      <c r="U73" s="2">
        <v>0.0</v>
      </c>
      <c r="W73" s="2">
        <v>4.0</v>
      </c>
      <c r="AE73" s="2">
        <v>0.0</v>
      </c>
      <c r="AG73" s="2">
        <v>4.0</v>
      </c>
      <c r="AO73" s="2">
        <v>0.0</v>
      </c>
    </row>
    <row r="74">
      <c r="A74" s="4" t="s">
        <v>50</v>
      </c>
      <c r="H74" s="2">
        <v>4.0</v>
      </c>
      <c r="O74" s="2">
        <v>4.0</v>
      </c>
      <c r="P74" s="2">
        <v>0.0</v>
      </c>
      <c r="U74" s="2">
        <v>0.0</v>
      </c>
      <c r="AE74" s="2">
        <v>0.0</v>
      </c>
      <c r="AF74" s="2">
        <v>4.0</v>
      </c>
      <c r="AO74" s="2">
        <v>0.0</v>
      </c>
    </row>
    <row r="75">
      <c r="A75" s="4" t="s">
        <v>51</v>
      </c>
      <c r="H75" s="2">
        <v>4.0</v>
      </c>
      <c r="N75" s="2">
        <v>-4.0</v>
      </c>
      <c r="P75" s="2">
        <v>0.0</v>
      </c>
      <c r="T75" s="2">
        <v>0.0</v>
      </c>
      <c r="U75" s="2">
        <v>0.0</v>
      </c>
      <c r="W75" s="2">
        <v>4.0</v>
      </c>
      <c r="AE75" s="2">
        <v>0.0</v>
      </c>
      <c r="AH75" s="2">
        <v>4.0</v>
      </c>
      <c r="AK75" s="2">
        <v>0.0</v>
      </c>
      <c r="AO75" s="2">
        <v>0.0</v>
      </c>
    </row>
    <row r="76">
      <c r="A76" s="1"/>
      <c r="B76" s="2" t="b">
        <v>1</v>
      </c>
      <c r="C76" s="2" t="b">
        <v>1</v>
      </c>
      <c r="D76" s="2" t="b">
        <v>1</v>
      </c>
      <c r="E76" s="2" t="b">
        <v>1</v>
      </c>
      <c r="F76" s="2" t="b">
        <v>1</v>
      </c>
      <c r="G76" s="2" t="b">
        <v>1</v>
      </c>
      <c r="H76" s="2" t="b">
        <v>1</v>
      </c>
      <c r="I76" s="2" t="b">
        <v>1</v>
      </c>
      <c r="J76" s="2" t="b">
        <v>1</v>
      </c>
      <c r="K76" s="2" t="b">
        <v>1</v>
      </c>
      <c r="L76" s="2" t="b">
        <v>1</v>
      </c>
      <c r="M76" s="2" t="b">
        <v>1</v>
      </c>
      <c r="N76" s="2" t="b">
        <v>1</v>
      </c>
      <c r="O76" s="2" t="b">
        <v>1</v>
      </c>
      <c r="P76" s="2" t="b">
        <v>0</v>
      </c>
      <c r="Q76" s="2" t="b">
        <v>1</v>
      </c>
      <c r="R76" s="2" t="b">
        <v>1</v>
      </c>
      <c r="S76" s="2" t="b">
        <v>1</v>
      </c>
      <c r="T76" s="2" t="b">
        <v>1</v>
      </c>
      <c r="U76" s="2" t="b">
        <v>0</v>
      </c>
      <c r="V76" s="2" t="b">
        <v>1</v>
      </c>
      <c r="W76" s="2" t="b">
        <v>1</v>
      </c>
      <c r="X76" s="2" t="b">
        <v>1</v>
      </c>
      <c r="Y76" s="2" t="b">
        <v>1</v>
      </c>
      <c r="Z76" s="2" t="b">
        <v>1</v>
      </c>
      <c r="AA76" s="2" t="b">
        <v>1</v>
      </c>
      <c r="AB76" s="2" t="b">
        <v>1</v>
      </c>
      <c r="AC76" s="2" t="b">
        <v>1</v>
      </c>
      <c r="AD76" s="2" t="b">
        <v>1</v>
      </c>
      <c r="AE76" s="2" t="b">
        <v>0</v>
      </c>
      <c r="AF76" s="2" t="b">
        <v>1</v>
      </c>
      <c r="AG76" s="2" t="b">
        <v>1</v>
      </c>
      <c r="AH76" s="2" t="b">
        <v>1</v>
      </c>
      <c r="AI76" s="2" t="b">
        <v>1</v>
      </c>
      <c r="AJ76" s="2" t="b">
        <v>1</v>
      </c>
      <c r="AK76" s="2" t="b">
        <v>1</v>
      </c>
      <c r="AL76" s="2" t="b">
        <v>1</v>
      </c>
      <c r="AM76" s="2" t="b">
        <v>1</v>
      </c>
      <c r="AN76" s="2" t="b">
        <v>1</v>
      </c>
      <c r="AO76" s="2" t="b">
        <v>0</v>
      </c>
    </row>
    <row r="77">
      <c r="A77" s="4" t="s">
        <v>46</v>
      </c>
      <c r="H77" s="2">
        <v>4.0</v>
      </c>
      <c r="O77" s="2">
        <v>-4.0</v>
      </c>
      <c r="P77" s="2">
        <v>0.0</v>
      </c>
      <c r="R77" s="2">
        <v>4.0</v>
      </c>
      <c r="U77" s="2">
        <v>0.0</v>
      </c>
      <c r="W77" s="2">
        <v>4.0</v>
      </c>
      <c r="AE77" s="2">
        <v>0.0</v>
      </c>
      <c r="AI77" s="2">
        <v>-4.0</v>
      </c>
      <c r="AN77" s="2">
        <v>4.0</v>
      </c>
      <c r="AO77" s="2">
        <v>0.0</v>
      </c>
    </row>
    <row r="78">
      <c r="A78" s="1" t="s">
        <v>47</v>
      </c>
      <c r="B78" s="2">
        <v>4.0</v>
      </c>
      <c r="O78" s="2">
        <v>4.0</v>
      </c>
      <c r="P78" s="2">
        <v>0.0</v>
      </c>
      <c r="U78" s="2">
        <v>0.0</v>
      </c>
      <c r="V78" s="2">
        <v>-4.0</v>
      </c>
      <c r="AB78" s="2">
        <v>4.0</v>
      </c>
      <c r="AE78" s="2">
        <v>0.0</v>
      </c>
      <c r="AG78" s="2">
        <v>4.0</v>
      </c>
      <c r="AK78" s="2">
        <v>0.0</v>
      </c>
      <c r="AO78" s="2">
        <v>0.0</v>
      </c>
    </row>
    <row r="79">
      <c r="A79" s="4" t="s">
        <v>48</v>
      </c>
      <c r="H79" s="2">
        <v>4.0</v>
      </c>
      <c r="N79" s="2">
        <v>-4.0</v>
      </c>
      <c r="P79" s="2">
        <v>0.0</v>
      </c>
      <c r="R79" s="2">
        <v>4.0</v>
      </c>
      <c r="U79" s="2">
        <v>0.0</v>
      </c>
      <c r="V79" s="2">
        <v>4.0</v>
      </c>
      <c r="AE79" s="2">
        <v>0.0</v>
      </c>
      <c r="AH79" s="2">
        <v>0.0</v>
      </c>
      <c r="AL79" s="2">
        <v>0.0</v>
      </c>
      <c r="AO79" s="2">
        <v>0.0</v>
      </c>
    </row>
    <row r="80">
      <c r="A80" s="4" t="s">
        <v>49</v>
      </c>
      <c r="E80" s="2">
        <v>4.0</v>
      </c>
      <c r="P80" s="2">
        <v>0.0</v>
      </c>
      <c r="U80" s="2">
        <v>0.0</v>
      </c>
      <c r="W80" s="2">
        <v>4.0</v>
      </c>
      <c r="AE80" s="2">
        <v>0.0</v>
      </c>
      <c r="AH80" s="2">
        <v>4.0</v>
      </c>
      <c r="AO80" s="2">
        <v>0.0</v>
      </c>
    </row>
    <row r="81">
      <c r="A81" s="4" t="s">
        <v>50</v>
      </c>
      <c r="K81" s="2">
        <v>4.0</v>
      </c>
      <c r="P81" s="2">
        <v>0.0</v>
      </c>
      <c r="Q81" s="2">
        <v>4.0</v>
      </c>
      <c r="U81" s="2">
        <v>0.0</v>
      </c>
      <c r="W81" s="2">
        <v>4.0</v>
      </c>
      <c r="AE81" s="2">
        <v>0.0</v>
      </c>
      <c r="AJ81" s="2">
        <v>4.0</v>
      </c>
      <c r="AO81" s="2">
        <v>0.0</v>
      </c>
    </row>
    <row r="82">
      <c r="A82" s="4" t="s">
        <v>51</v>
      </c>
      <c r="D82" s="2">
        <v>4.0</v>
      </c>
      <c r="P82" s="2">
        <v>0.0</v>
      </c>
      <c r="R82" s="2">
        <v>4.0</v>
      </c>
      <c r="U82" s="2">
        <v>0.0</v>
      </c>
      <c r="W82" s="2">
        <v>4.0</v>
      </c>
      <c r="AE82" s="2">
        <v>0.0</v>
      </c>
      <c r="AH82" s="2">
        <v>0.0</v>
      </c>
      <c r="AK82" s="2">
        <v>0.0</v>
      </c>
      <c r="AO82" s="2">
        <v>0.0</v>
      </c>
    </row>
    <row r="83">
      <c r="A83" s="4" t="s">
        <v>46</v>
      </c>
      <c r="D83" s="2">
        <v>4.0</v>
      </c>
      <c r="P83" s="2">
        <v>0.0</v>
      </c>
      <c r="R83" s="2">
        <v>4.0</v>
      </c>
      <c r="U83" s="2">
        <v>0.0</v>
      </c>
      <c r="X83" s="2">
        <v>-4.0</v>
      </c>
      <c r="AB83" s="2">
        <v>4.0</v>
      </c>
      <c r="AE83" s="2">
        <v>0.0</v>
      </c>
      <c r="AH83" s="2">
        <v>4.0</v>
      </c>
      <c r="AO83" s="2">
        <v>0.0</v>
      </c>
    </row>
    <row r="84">
      <c r="A84" s="1" t="s">
        <v>47</v>
      </c>
      <c r="B84" s="2">
        <v>4.0</v>
      </c>
      <c r="P84" s="2">
        <v>0.0</v>
      </c>
      <c r="R84" s="2">
        <v>4.0</v>
      </c>
      <c r="U84" s="2">
        <v>0.0</v>
      </c>
      <c r="V84" s="2">
        <v>4.0</v>
      </c>
      <c r="AE84" s="2">
        <v>0.0</v>
      </c>
      <c r="AH84" s="2">
        <v>4.0</v>
      </c>
      <c r="AO84" s="2">
        <v>0.0</v>
      </c>
    </row>
    <row r="85">
      <c r="A85" s="4" t="s">
        <v>48</v>
      </c>
      <c r="O85" s="2">
        <v>-4.0</v>
      </c>
      <c r="P85" s="2">
        <v>0.0</v>
      </c>
      <c r="R85" s="2">
        <v>0.0</v>
      </c>
      <c r="U85" s="2">
        <v>0.0</v>
      </c>
      <c r="AD85" s="2">
        <v>4.0</v>
      </c>
      <c r="AE85" s="2">
        <v>0.0</v>
      </c>
      <c r="AH85" s="2">
        <v>0.0</v>
      </c>
      <c r="AL85" s="2">
        <v>0.0</v>
      </c>
      <c r="AO85" s="2">
        <v>0.0</v>
      </c>
    </row>
    <row r="86">
      <c r="A86" s="4" t="s">
        <v>49</v>
      </c>
      <c r="K86" s="2">
        <v>4.0</v>
      </c>
      <c r="O86" s="2">
        <v>-4.0</v>
      </c>
      <c r="P86" s="2">
        <v>0.0</v>
      </c>
      <c r="T86" s="2">
        <v>4.0</v>
      </c>
      <c r="U86" s="2">
        <v>0.0</v>
      </c>
      <c r="V86" s="2">
        <v>4.0</v>
      </c>
      <c r="AE86" s="2">
        <v>0.0</v>
      </c>
      <c r="AI86" s="2">
        <v>4.0</v>
      </c>
      <c r="AO86" s="2">
        <v>0.0</v>
      </c>
    </row>
    <row r="87">
      <c r="A87" s="4" t="s">
        <v>50</v>
      </c>
      <c r="J87" s="2">
        <v>4.0</v>
      </c>
      <c r="P87" s="2">
        <v>0.0</v>
      </c>
      <c r="Q87" s="2">
        <v>4.0</v>
      </c>
      <c r="U87" s="2">
        <v>0.0</v>
      </c>
      <c r="AE87" s="2">
        <v>0.0</v>
      </c>
      <c r="AH87" s="2">
        <v>0.0</v>
      </c>
      <c r="AL87" s="2">
        <v>4.0</v>
      </c>
      <c r="AO87" s="2">
        <v>0.0</v>
      </c>
    </row>
    <row r="88">
      <c r="A88" s="4" t="s">
        <v>51</v>
      </c>
      <c r="P88" s="2">
        <v>0.0</v>
      </c>
      <c r="R88" s="2">
        <v>4.0</v>
      </c>
      <c r="U88" s="2">
        <v>0.0</v>
      </c>
      <c r="W88" s="2">
        <v>4.0</v>
      </c>
      <c r="AE88" s="2">
        <v>0.0</v>
      </c>
      <c r="AH88" s="2">
        <v>4.0</v>
      </c>
      <c r="AO88" s="2">
        <v>0.0</v>
      </c>
    </row>
    <row r="89">
      <c r="A89" s="4"/>
    </row>
    <row r="90">
      <c r="A90" s="4"/>
    </row>
    <row r="91">
      <c r="A91" s="1"/>
      <c r="B91" s="2" t="s">
        <v>1</v>
      </c>
      <c r="C91" s="2" t="s">
        <v>1</v>
      </c>
      <c r="D91" s="2" t="s">
        <v>1</v>
      </c>
      <c r="E91" s="2" t="s">
        <v>1</v>
      </c>
      <c r="F91" s="2" t="s">
        <v>1</v>
      </c>
      <c r="G91" s="2" t="s">
        <v>5</v>
      </c>
      <c r="H91" s="2" t="s">
        <v>5</v>
      </c>
      <c r="I91" s="2" t="s">
        <v>5</v>
      </c>
      <c r="J91" s="2" t="s">
        <v>5</v>
      </c>
      <c r="K91" s="2" t="s">
        <v>5</v>
      </c>
      <c r="L91" s="2" t="s">
        <v>3</v>
      </c>
      <c r="M91" s="2" t="s">
        <v>3</v>
      </c>
      <c r="N91" s="2" t="s">
        <v>3</v>
      </c>
      <c r="O91" s="2" t="s">
        <v>3</v>
      </c>
      <c r="P91" s="2" t="s">
        <v>3</v>
      </c>
      <c r="Q91" s="2" t="s">
        <v>4</v>
      </c>
      <c r="R91" s="2" t="s">
        <v>4</v>
      </c>
      <c r="S91" s="2" t="s">
        <v>4</v>
      </c>
      <c r="T91" s="2" t="s">
        <v>4</v>
      </c>
      <c r="U91" s="2" t="s">
        <v>4</v>
      </c>
      <c r="V91" s="2" t="s">
        <v>7</v>
      </c>
      <c r="W91" s="2" t="s">
        <v>7</v>
      </c>
      <c r="X91" s="2" t="s">
        <v>7</v>
      </c>
      <c r="Y91" s="2" t="s">
        <v>7</v>
      </c>
      <c r="Z91" s="2" t="s">
        <v>7</v>
      </c>
      <c r="AA91" s="2" t="s">
        <v>2</v>
      </c>
      <c r="AB91" s="2" t="s">
        <v>2</v>
      </c>
      <c r="AC91" s="2" t="s">
        <v>2</v>
      </c>
      <c r="AD91" s="2" t="s">
        <v>2</v>
      </c>
      <c r="AE91" s="2" t="s">
        <v>2</v>
      </c>
      <c r="AF91" s="2" t="s">
        <v>6</v>
      </c>
      <c r="AG91" s="2" t="s">
        <v>6</v>
      </c>
      <c r="AH91" s="2" t="s">
        <v>6</v>
      </c>
      <c r="AI91" s="2" t="s">
        <v>6</v>
      </c>
      <c r="AJ91" s="2" t="s">
        <v>6</v>
      </c>
      <c r="AK91" s="2" t="s">
        <v>0</v>
      </c>
      <c r="AL91" s="2" t="s">
        <v>0</v>
      </c>
      <c r="AM91" s="2" t="s">
        <v>0</v>
      </c>
      <c r="AN91" s="2" t="s">
        <v>0</v>
      </c>
      <c r="AO91" s="2" t="s">
        <v>0</v>
      </c>
    </row>
    <row r="92">
      <c r="A92" s="1"/>
      <c r="B92" s="2" t="s">
        <v>15</v>
      </c>
      <c r="C92" s="2" t="s">
        <v>16</v>
      </c>
      <c r="D92" s="2" t="s">
        <v>17</v>
      </c>
      <c r="E92" s="2" t="s">
        <v>18</v>
      </c>
      <c r="G92" s="2" t="s">
        <v>33</v>
      </c>
      <c r="H92" s="2" t="s">
        <v>36</v>
      </c>
      <c r="I92" s="2" t="s">
        <v>35</v>
      </c>
      <c r="J92" s="2" t="s">
        <v>34</v>
      </c>
      <c r="K92" s="2" t="s">
        <v>37</v>
      </c>
      <c r="L92" s="2" t="s">
        <v>23</v>
      </c>
      <c r="M92" s="2" t="s">
        <v>24</v>
      </c>
      <c r="N92" s="2" t="s">
        <v>25</v>
      </c>
      <c r="O92" s="2" t="s">
        <v>26</v>
      </c>
      <c r="P92" s="2" t="s">
        <v>27</v>
      </c>
      <c r="Q92" s="2" t="s">
        <v>28</v>
      </c>
      <c r="R92" s="2" t="s">
        <v>29</v>
      </c>
      <c r="S92" s="2" t="s">
        <v>30</v>
      </c>
      <c r="T92" s="2" t="s">
        <v>31</v>
      </c>
      <c r="U92" s="2" t="s">
        <v>32</v>
      </c>
      <c r="V92" s="2" t="s">
        <v>42</v>
      </c>
      <c r="W92" s="2" t="s">
        <v>43</v>
      </c>
      <c r="X92" s="2" t="s">
        <v>44</v>
      </c>
      <c r="Y92" s="2" t="s">
        <v>45</v>
      </c>
      <c r="AA92" s="2" t="s">
        <v>19</v>
      </c>
      <c r="AB92" s="2" t="s">
        <v>20</v>
      </c>
      <c r="AC92" s="2" t="s">
        <v>21</v>
      </c>
      <c r="AD92" s="2" t="s">
        <v>22</v>
      </c>
      <c r="AF92" s="2" t="s">
        <v>38</v>
      </c>
      <c r="AG92" s="2" t="s">
        <v>39</v>
      </c>
      <c r="AH92" s="2" t="s">
        <v>40</v>
      </c>
      <c r="AI92" s="2" t="s">
        <v>41</v>
      </c>
      <c r="AK92" s="2" t="s">
        <v>10</v>
      </c>
      <c r="AL92" s="2" t="s">
        <v>11</v>
      </c>
      <c r="AM92" s="2" t="s">
        <v>12</v>
      </c>
      <c r="AN92" s="2" t="s">
        <v>13</v>
      </c>
      <c r="AO92" s="2" t="s">
        <v>14</v>
      </c>
    </row>
    <row r="93">
      <c r="A93" s="1"/>
      <c r="B93" s="2" t="b">
        <v>1</v>
      </c>
      <c r="C93" s="2" t="b">
        <v>1</v>
      </c>
      <c r="D93" s="2" t="b">
        <v>1</v>
      </c>
      <c r="E93" s="2" t="b">
        <v>1</v>
      </c>
      <c r="F93" s="2" t="b">
        <v>0</v>
      </c>
      <c r="G93" s="2" t="b">
        <v>1</v>
      </c>
      <c r="H93" s="2" t="b">
        <v>1</v>
      </c>
      <c r="I93" s="2" t="b">
        <v>1</v>
      </c>
      <c r="J93" s="2" t="b">
        <v>1</v>
      </c>
      <c r="K93" s="2" t="b">
        <v>1</v>
      </c>
      <c r="L93" s="2" t="b">
        <v>1</v>
      </c>
      <c r="M93" s="2" t="b">
        <v>1</v>
      </c>
      <c r="N93" s="2" t="b">
        <v>1</v>
      </c>
      <c r="O93" s="2" t="b">
        <v>1</v>
      </c>
      <c r="P93" s="2" t="b">
        <v>1</v>
      </c>
      <c r="Q93" s="2" t="b">
        <v>1</v>
      </c>
      <c r="R93" s="2" t="b">
        <v>1</v>
      </c>
      <c r="S93" s="2" t="b">
        <v>1</v>
      </c>
      <c r="T93" s="2" t="b">
        <v>1</v>
      </c>
      <c r="U93" s="2" t="b">
        <v>1</v>
      </c>
      <c r="V93" s="2" t="b">
        <v>1</v>
      </c>
      <c r="W93" s="2" t="b">
        <v>1</v>
      </c>
      <c r="X93" s="2" t="b">
        <v>1</v>
      </c>
      <c r="Y93" s="2" t="b">
        <v>1</v>
      </c>
      <c r="Z93" s="2" t="b">
        <v>0</v>
      </c>
      <c r="AA93" s="2" t="b">
        <v>1</v>
      </c>
      <c r="AB93" s="2" t="b">
        <v>1</v>
      </c>
      <c r="AC93" s="2" t="b">
        <v>1</v>
      </c>
      <c r="AD93" s="2" t="b">
        <v>1</v>
      </c>
      <c r="AE93" s="2" t="b">
        <v>0</v>
      </c>
      <c r="AF93" s="2" t="b">
        <v>1</v>
      </c>
      <c r="AG93" s="2" t="b">
        <v>1</v>
      </c>
      <c r="AH93" s="2" t="b">
        <v>1</v>
      </c>
      <c r="AI93" s="2" t="b">
        <v>1</v>
      </c>
      <c r="AJ93" s="2" t="b">
        <v>0</v>
      </c>
      <c r="AK93" s="2" t="b">
        <v>1</v>
      </c>
      <c r="AL93" s="2" t="b">
        <v>1</v>
      </c>
      <c r="AM93" s="2" t="b">
        <v>1</v>
      </c>
      <c r="AN93" s="2" t="b">
        <v>1</v>
      </c>
      <c r="AO93" s="2" t="b">
        <v>1</v>
      </c>
    </row>
    <row r="94">
      <c r="A94" s="4" t="s">
        <v>46</v>
      </c>
      <c r="F94" s="2">
        <v>0.0</v>
      </c>
      <c r="M94" s="2">
        <v>4.0</v>
      </c>
      <c r="V94" s="2">
        <v>4.0</v>
      </c>
      <c r="Z94" s="2">
        <v>0.0</v>
      </c>
      <c r="AE94" s="2">
        <v>0.0</v>
      </c>
      <c r="AJ94" s="2">
        <v>0.0</v>
      </c>
    </row>
    <row r="95">
      <c r="A95" s="1" t="s">
        <v>47</v>
      </c>
      <c r="B95" s="2">
        <v>4.0</v>
      </c>
      <c r="F95" s="2">
        <v>0.0</v>
      </c>
      <c r="R95" s="2">
        <v>4.0</v>
      </c>
      <c r="Z95" s="2">
        <v>0.0</v>
      </c>
      <c r="AE95" s="2">
        <v>0.0</v>
      </c>
      <c r="AG95" s="2">
        <v>4.0</v>
      </c>
      <c r="AJ95" s="2">
        <v>0.0</v>
      </c>
    </row>
    <row r="96">
      <c r="A96" s="4" t="s">
        <v>48</v>
      </c>
      <c r="D96" s="2">
        <v>-4.0</v>
      </c>
      <c r="F96" s="2">
        <v>0.0</v>
      </c>
      <c r="G96" s="2">
        <v>4.0</v>
      </c>
      <c r="M96" s="2">
        <v>-4.0</v>
      </c>
      <c r="R96" s="2">
        <v>4.0</v>
      </c>
      <c r="Z96" s="2">
        <v>0.0</v>
      </c>
      <c r="AE96" s="2">
        <v>0.0</v>
      </c>
      <c r="AI96" s="2">
        <v>4.0</v>
      </c>
      <c r="AJ96" s="2">
        <v>0.0</v>
      </c>
    </row>
    <row r="97">
      <c r="A97" s="1" t="s">
        <v>49</v>
      </c>
      <c r="B97" s="2">
        <v>-4.0</v>
      </c>
      <c r="F97" s="2">
        <v>0.0</v>
      </c>
      <c r="R97" s="2">
        <v>4.0</v>
      </c>
      <c r="Z97" s="2">
        <v>0.0</v>
      </c>
      <c r="AC97" s="2">
        <v>4.0</v>
      </c>
      <c r="AE97" s="2">
        <v>0.0</v>
      </c>
      <c r="AI97" s="2">
        <v>4.0</v>
      </c>
      <c r="AJ97" s="2">
        <v>0.0</v>
      </c>
    </row>
    <row r="98">
      <c r="A98" s="4" t="s">
        <v>50</v>
      </c>
      <c r="E98" s="2">
        <v>4.0</v>
      </c>
      <c r="F98" s="2">
        <v>0.0</v>
      </c>
      <c r="S98" s="2">
        <v>4.0</v>
      </c>
      <c r="Z98" s="2">
        <v>0.0</v>
      </c>
      <c r="AE98" s="2">
        <v>0.0</v>
      </c>
      <c r="AJ98" s="2">
        <v>0.0</v>
      </c>
    </row>
    <row r="99">
      <c r="A99" s="4" t="s">
        <v>51</v>
      </c>
      <c r="F99" s="2">
        <v>0.0</v>
      </c>
      <c r="Q99" s="2">
        <v>4.0</v>
      </c>
      <c r="Z99" s="2">
        <v>0.0</v>
      </c>
      <c r="AE99" s="2">
        <v>0.0</v>
      </c>
      <c r="AJ99" s="2">
        <v>0.0</v>
      </c>
    </row>
    <row r="100">
      <c r="A100" s="1" t="s">
        <v>46</v>
      </c>
      <c r="B100" s="2">
        <v>-4.0</v>
      </c>
      <c r="F100" s="2">
        <v>0.0</v>
      </c>
      <c r="R100" s="2">
        <v>4.0</v>
      </c>
      <c r="W100" s="2">
        <v>4.0</v>
      </c>
      <c r="Z100" s="2">
        <v>0.0</v>
      </c>
      <c r="AC100" s="2">
        <v>-4.0</v>
      </c>
      <c r="AE100" s="2">
        <v>0.0</v>
      </c>
      <c r="AI100" s="2">
        <v>4.0</v>
      </c>
      <c r="AJ100" s="2">
        <v>0.0</v>
      </c>
    </row>
    <row r="101">
      <c r="A101" s="4" t="s">
        <v>47</v>
      </c>
      <c r="C101" s="2">
        <v>4.0</v>
      </c>
      <c r="F101" s="2">
        <v>0.0</v>
      </c>
      <c r="R101" s="2">
        <v>4.0</v>
      </c>
      <c r="Z101" s="2">
        <v>0.0</v>
      </c>
      <c r="AD101" s="2">
        <v>4.0</v>
      </c>
      <c r="AE101" s="2">
        <v>0.0</v>
      </c>
      <c r="AJ101" s="2">
        <v>0.0</v>
      </c>
      <c r="AM101" s="2">
        <v>4.0</v>
      </c>
    </row>
    <row r="102">
      <c r="A102" s="1" t="s">
        <v>48</v>
      </c>
      <c r="B102" s="2">
        <v>4.0</v>
      </c>
      <c r="F102" s="2">
        <v>0.0</v>
      </c>
      <c r="R102" s="2">
        <v>4.0</v>
      </c>
      <c r="Z102" s="2">
        <v>0.0</v>
      </c>
      <c r="AE102" s="2">
        <v>0.0</v>
      </c>
      <c r="AJ102" s="2">
        <v>0.0</v>
      </c>
    </row>
    <row r="103">
      <c r="A103" s="4" t="s">
        <v>49</v>
      </c>
      <c r="F103" s="2">
        <v>0.0</v>
      </c>
      <c r="H103" s="2">
        <v>4.0</v>
      </c>
      <c r="R103" s="2">
        <v>4.0</v>
      </c>
      <c r="V103" s="2">
        <v>4.0</v>
      </c>
      <c r="Z103" s="2">
        <v>0.0</v>
      </c>
      <c r="AE103" s="2">
        <v>0.0</v>
      </c>
      <c r="AI103" s="2">
        <v>4.0</v>
      </c>
      <c r="AJ103" s="2">
        <v>0.0</v>
      </c>
    </row>
    <row r="104">
      <c r="A104" s="4" t="s">
        <v>50</v>
      </c>
      <c r="E104" s="2">
        <v>4.0</v>
      </c>
      <c r="F104" s="2">
        <v>0.0</v>
      </c>
      <c r="Z104" s="2">
        <v>0.0</v>
      </c>
      <c r="AE104" s="2">
        <v>0.0</v>
      </c>
      <c r="AJ104" s="2">
        <v>0.0</v>
      </c>
    </row>
    <row r="105">
      <c r="A105" s="4" t="s">
        <v>51</v>
      </c>
      <c r="C105" s="2">
        <v>4.0</v>
      </c>
      <c r="F105" s="2">
        <v>0.0</v>
      </c>
      <c r="R105" s="2">
        <v>4.0</v>
      </c>
      <c r="V105" s="2">
        <v>4.0</v>
      </c>
      <c r="Z105" s="2">
        <v>0.0</v>
      </c>
      <c r="AE105" s="2">
        <v>0.0</v>
      </c>
      <c r="AJ105" s="2">
        <v>0.0</v>
      </c>
    </row>
    <row r="106">
      <c r="A106" s="1"/>
      <c r="B106" s="2" t="b">
        <v>1</v>
      </c>
      <c r="C106" s="2" t="b">
        <v>1</v>
      </c>
      <c r="D106" s="2" t="b">
        <v>1</v>
      </c>
      <c r="E106" s="2" t="b">
        <v>1</v>
      </c>
      <c r="F106" s="2" t="b">
        <v>0</v>
      </c>
      <c r="G106" s="2" t="b">
        <v>1</v>
      </c>
      <c r="H106" s="2" t="b">
        <v>1</v>
      </c>
      <c r="I106" s="2" t="b">
        <v>1</v>
      </c>
      <c r="J106" s="2" t="b">
        <v>1</v>
      </c>
      <c r="K106" s="2" t="b">
        <v>1</v>
      </c>
      <c r="L106" s="2" t="b">
        <v>1</v>
      </c>
      <c r="M106" s="2" t="b">
        <v>1</v>
      </c>
      <c r="N106" s="2" t="b">
        <v>1</v>
      </c>
      <c r="O106" s="2" t="b">
        <v>1</v>
      </c>
      <c r="P106" s="2" t="b">
        <v>1</v>
      </c>
      <c r="Q106" s="2" t="b">
        <v>1</v>
      </c>
      <c r="R106" s="2" t="b">
        <v>1</v>
      </c>
      <c r="S106" s="2" t="b">
        <v>1</v>
      </c>
      <c r="T106" s="2" t="b">
        <v>1</v>
      </c>
      <c r="U106" s="2" t="b">
        <v>1</v>
      </c>
      <c r="V106" s="2" t="b">
        <v>1</v>
      </c>
      <c r="W106" s="2" t="b">
        <v>1</v>
      </c>
      <c r="X106" s="2" t="b">
        <v>1</v>
      </c>
      <c r="Y106" s="2" t="b">
        <v>1</v>
      </c>
      <c r="Z106" s="2" t="b">
        <v>0</v>
      </c>
      <c r="AA106" s="2" t="b">
        <v>1</v>
      </c>
      <c r="AB106" s="2" t="b">
        <v>1</v>
      </c>
      <c r="AC106" s="2" t="b">
        <v>1</v>
      </c>
      <c r="AD106" s="2" t="b">
        <v>1</v>
      </c>
      <c r="AE106" s="2" t="b">
        <v>0</v>
      </c>
      <c r="AF106" s="2" t="b">
        <v>1</v>
      </c>
      <c r="AG106" s="2" t="b">
        <v>1</v>
      </c>
      <c r="AH106" s="2" t="b">
        <v>1</v>
      </c>
      <c r="AI106" s="2" t="b">
        <v>1</v>
      </c>
      <c r="AJ106" s="2" t="b">
        <v>0</v>
      </c>
      <c r="AK106" s="2" t="b">
        <v>1</v>
      </c>
      <c r="AL106" s="2" t="b">
        <v>1</v>
      </c>
      <c r="AM106" s="2" t="b">
        <v>1</v>
      </c>
      <c r="AN106" s="2" t="b">
        <v>1</v>
      </c>
      <c r="AO106" s="2" t="b">
        <v>1</v>
      </c>
    </row>
    <row r="107">
      <c r="A107" s="1" t="s">
        <v>46</v>
      </c>
      <c r="B107" s="2">
        <v>4.0</v>
      </c>
      <c r="F107" s="2">
        <v>0.0</v>
      </c>
      <c r="Q107" s="2">
        <v>4.0</v>
      </c>
      <c r="Z107" s="2">
        <v>0.0</v>
      </c>
      <c r="AE107" s="2">
        <v>0.0</v>
      </c>
      <c r="AG107" s="2">
        <v>4.0</v>
      </c>
      <c r="AJ107" s="2">
        <v>0.0</v>
      </c>
    </row>
    <row r="108">
      <c r="A108" s="1" t="s">
        <v>47</v>
      </c>
      <c r="B108" s="2">
        <v>4.0</v>
      </c>
      <c r="F108" s="2">
        <v>0.0</v>
      </c>
      <c r="Q108" s="2">
        <v>4.0</v>
      </c>
      <c r="V108" s="2">
        <v>4.0</v>
      </c>
      <c r="Z108" s="2">
        <v>0.0</v>
      </c>
      <c r="AE108" s="2">
        <v>0.0</v>
      </c>
      <c r="AJ108" s="2">
        <v>0.0</v>
      </c>
      <c r="AL108" s="2">
        <v>4.0</v>
      </c>
    </row>
    <row r="109">
      <c r="A109" s="4" t="s">
        <v>48</v>
      </c>
      <c r="F109" s="2">
        <v>0.0</v>
      </c>
      <c r="I109" s="2">
        <v>4.0</v>
      </c>
      <c r="R109" s="2">
        <v>4.0</v>
      </c>
      <c r="Z109" s="2">
        <v>0.0</v>
      </c>
      <c r="AE109" s="2">
        <v>0.0</v>
      </c>
      <c r="AJ109" s="2">
        <v>0.0</v>
      </c>
    </row>
    <row r="110">
      <c r="A110" s="1" t="s">
        <v>49</v>
      </c>
      <c r="B110" s="2">
        <v>4.0</v>
      </c>
      <c r="F110" s="2">
        <v>0.0</v>
      </c>
      <c r="Z110" s="2">
        <v>0.0</v>
      </c>
      <c r="AE110" s="2">
        <v>0.0</v>
      </c>
      <c r="AJ110" s="2">
        <v>0.0</v>
      </c>
    </row>
    <row r="111">
      <c r="A111" s="4" t="s">
        <v>50</v>
      </c>
      <c r="F111" s="2">
        <v>0.0</v>
      </c>
      <c r="I111" s="2">
        <v>4.0</v>
      </c>
      <c r="R111" s="2">
        <v>4.0</v>
      </c>
      <c r="V111" s="2">
        <v>4.0</v>
      </c>
      <c r="Z111" s="2">
        <v>0.0</v>
      </c>
      <c r="AE111" s="2">
        <v>0.0</v>
      </c>
      <c r="AJ111" s="2">
        <v>0.0</v>
      </c>
      <c r="AL111" s="2">
        <v>4.0</v>
      </c>
    </row>
    <row r="112">
      <c r="A112" s="4" t="s">
        <v>51</v>
      </c>
      <c r="F112" s="2">
        <v>0.0</v>
      </c>
      <c r="I112" s="2">
        <v>4.0</v>
      </c>
      <c r="S112" s="2">
        <v>-4.0</v>
      </c>
      <c r="Z112" s="2">
        <v>0.0</v>
      </c>
      <c r="AA112" s="2">
        <v>4.0</v>
      </c>
      <c r="AE112" s="2">
        <v>0.0</v>
      </c>
      <c r="AJ112" s="2">
        <v>0.0</v>
      </c>
      <c r="AL112" s="2">
        <v>4.0</v>
      </c>
    </row>
    <row r="113">
      <c r="A113" s="4" t="s">
        <v>46</v>
      </c>
      <c r="D113" s="2">
        <v>4.0</v>
      </c>
      <c r="F113" s="2">
        <v>0.0</v>
      </c>
      <c r="M113" s="2">
        <v>4.0</v>
      </c>
      <c r="R113" s="2">
        <v>-4.0</v>
      </c>
      <c r="Z113" s="2">
        <v>0.0</v>
      </c>
      <c r="AA113" s="2">
        <v>4.0</v>
      </c>
      <c r="AE113" s="2">
        <v>0.0</v>
      </c>
      <c r="AJ113" s="2">
        <v>0.0</v>
      </c>
    </row>
    <row r="114">
      <c r="A114" s="1" t="s">
        <v>47</v>
      </c>
      <c r="B114" s="2">
        <v>4.0</v>
      </c>
      <c r="F114" s="2">
        <v>0.0</v>
      </c>
      <c r="L114" s="2">
        <v>4.0</v>
      </c>
      <c r="Z114" s="2">
        <v>0.0</v>
      </c>
      <c r="AE114" s="2">
        <v>0.0</v>
      </c>
      <c r="AJ114" s="2">
        <v>0.0</v>
      </c>
    </row>
    <row r="115">
      <c r="A115" s="4" t="s">
        <v>48</v>
      </c>
      <c r="F115" s="2">
        <v>0.0</v>
      </c>
      <c r="Z115" s="2">
        <v>0.0</v>
      </c>
      <c r="AE115" s="2">
        <v>0.0</v>
      </c>
      <c r="AF115" s="2">
        <v>4.0</v>
      </c>
      <c r="AJ115" s="2">
        <v>0.0</v>
      </c>
    </row>
    <row r="116">
      <c r="A116" s="4" t="s">
        <v>49</v>
      </c>
      <c r="D116" s="2">
        <v>4.0</v>
      </c>
      <c r="F116" s="2">
        <v>0.0</v>
      </c>
      <c r="R116" s="2">
        <v>4.0</v>
      </c>
      <c r="Y116" s="2">
        <v>4.0</v>
      </c>
      <c r="Z116" s="2">
        <v>0.0</v>
      </c>
      <c r="AD116" s="2">
        <v>-4.0</v>
      </c>
      <c r="AE116" s="2">
        <v>0.0</v>
      </c>
      <c r="AI116" s="2">
        <v>4.0</v>
      </c>
      <c r="AJ116" s="2">
        <v>0.0</v>
      </c>
    </row>
    <row r="117">
      <c r="A117" s="4" t="s">
        <v>50</v>
      </c>
      <c r="E117" s="2">
        <v>4.0</v>
      </c>
      <c r="F117" s="2">
        <v>0.0</v>
      </c>
      <c r="S117" s="2">
        <v>4.0</v>
      </c>
      <c r="Z117" s="2">
        <v>0.0</v>
      </c>
      <c r="AE117" s="2">
        <v>0.0</v>
      </c>
      <c r="AH117" s="2">
        <v>4.0</v>
      </c>
      <c r="AJ117" s="2">
        <v>0.0</v>
      </c>
    </row>
    <row r="118">
      <c r="A118" s="4" t="s">
        <v>51</v>
      </c>
      <c r="F118" s="2">
        <v>0.0</v>
      </c>
      <c r="R118" s="2">
        <v>4.0</v>
      </c>
      <c r="V118" s="2">
        <v>-4.0</v>
      </c>
      <c r="Z118" s="2">
        <v>0.0</v>
      </c>
      <c r="AE118" s="2">
        <v>0.0</v>
      </c>
      <c r="AJ118" s="2">
        <v>0.0</v>
      </c>
      <c r="AL118" s="2">
        <v>4.0</v>
      </c>
    </row>
    <row r="119">
      <c r="A119" s="4"/>
    </row>
    <row r="120">
      <c r="A120" s="4"/>
    </row>
    <row r="121">
      <c r="A121" s="1"/>
      <c r="B121" s="2" t="s">
        <v>5</v>
      </c>
      <c r="C121" s="2" t="s">
        <v>5</v>
      </c>
      <c r="D121" s="2" t="s">
        <v>5</v>
      </c>
      <c r="E121" s="2" t="s">
        <v>5</v>
      </c>
      <c r="F121" s="2" t="s">
        <v>5</v>
      </c>
      <c r="G121" s="2" t="s">
        <v>3</v>
      </c>
      <c r="H121" s="2" t="s">
        <v>3</v>
      </c>
      <c r="I121" s="2" t="s">
        <v>3</v>
      </c>
      <c r="J121" s="2" t="s">
        <v>3</v>
      </c>
      <c r="K121" s="2" t="s">
        <v>3</v>
      </c>
      <c r="L121" s="2" t="s">
        <v>1</v>
      </c>
      <c r="M121" s="2" t="s">
        <v>1</v>
      </c>
      <c r="N121" s="2" t="s">
        <v>1</v>
      </c>
      <c r="O121" s="2" t="s">
        <v>1</v>
      </c>
      <c r="P121" s="2" t="s">
        <v>1</v>
      </c>
      <c r="Q121" s="2" t="s">
        <v>4</v>
      </c>
      <c r="R121" s="2" t="s">
        <v>4</v>
      </c>
      <c r="S121" s="2" t="s">
        <v>4</v>
      </c>
      <c r="T121" s="2" t="s">
        <v>4</v>
      </c>
      <c r="U121" s="2" t="s">
        <v>4</v>
      </c>
      <c r="V121" s="2" t="s">
        <v>7</v>
      </c>
      <c r="W121" s="2" t="s">
        <v>7</v>
      </c>
      <c r="X121" s="2" t="s">
        <v>7</v>
      </c>
      <c r="Y121" s="2" t="s">
        <v>7</v>
      </c>
      <c r="Z121" s="2" t="s">
        <v>7</v>
      </c>
      <c r="AA121" s="2" t="s">
        <v>0</v>
      </c>
      <c r="AB121" s="2" t="s">
        <v>0</v>
      </c>
      <c r="AC121" s="2" t="s">
        <v>0</v>
      </c>
      <c r="AD121" s="2" t="s">
        <v>0</v>
      </c>
      <c r="AE121" s="2" t="s">
        <v>0</v>
      </c>
      <c r="AF121" s="2" t="s">
        <v>6</v>
      </c>
      <c r="AG121" s="2" t="s">
        <v>6</v>
      </c>
      <c r="AH121" s="2" t="s">
        <v>6</v>
      </c>
      <c r="AI121" s="2" t="s">
        <v>6</v>
      </c>
      <c r="AJ121" s="2" t="s">
        <v>6</v>
      </c>
      <c r="AK121" s="2" t="s">
        <v>2</v>
      </c>
      <c r="AL121" s="2" t="s">
        <v>2</v>
      </c>
      <c r="AM121" s="2" t="s">
        <v>2</v>
      </c>
      <c r="AN121" s="2" t="s">
        <v>2</v>
      </c>
      <c r="AO121" s="2" t="s">
        <v>2</v>
      </c>
    </row>
    <row r="122">
      <c r="A122" s="1"/>
      <c r="B122" s="2" t="s">
        <v>33</v>
      </c>
      <c r="C122" s="2" t="s">
        <v>36</v>
      </c>
      <c r="D122" s="2" t="s">
        <v>35</v>
      </c>
      <c r="E122" s="2" t="s">
        <v>34</v>
      </c>
      <c r="F122" s="2" t="s">
        <v>37</v>
      </c>
      <c r="G122" s="2" t="s">
        <v>23</v>
      </c>
      <c r="H122" s="2" t="s">
        <v>24</v>
      </c>
      <c r="I122" s="2" t="s">
        <v>25</v>
      </c>
      <c r="J122" s="2" t="s">
        <v>26</v>
      </c>
      <c r="K122" s="2" t="s">
        <v>27</v>
      </c>
      <c r="L122" s="2" t="s">
        <v>15</v>
      </c>
      <c r="M122" s="2" t="s">
        <v>16</v>
      </c>
      <c r="N122" s="2" t="s">
        <v>17</v>
      </c>
      <c r="O122" s="2" t="s">
        <v>18</v>
      </c>
      <c r="Q122" s="2" t="s">
        <v>28</v>
      </c>
      <c r="R122" s="2" t="s">
        <v>29</v>
      </c>
      <c r="S122" s="2" t="s">
        <v>30</v>
      </c>
      <c r="T122" s="2" t="s">
        <v>31</v>
      </c>
      <c r="U122" s="2" t="s">
        <v>32</v>
      </c>
      <c r="V122" s="2" t="s">
        <v>42</v>
      </c>
      <c r="W122" s="2" t="s">
        <v>43</v>
      </c>
      <c r="X122" s="2" t="s">
        <v>44</v>
      </c>
      <c r="Y122" s="2" t="s">
        <v>45</v>
      </c>
      <c r="AA122" s="2" t="s">
        <v>10</v>
      </c>
      <c r="AB122" s="2" t="s">
        <v>11</v>
      </c>
      <c r="AC122" s="2" t="s">
        <v>12</v>
      </c>
      <c r="AD122" s="2" t="s">
        <v>13</v>
      </c>
      <c r="AE122" s="2" t="s">
        <v>14</v>
      </c>
      <c r="AF122" s="2" t="s">
        <v>38</v>
      </c>
      <c r="AG122" s="2" t="s">
        <v>39</v>
      </c>
      <c r="AH122" s="2" t="s">
        <v>40</v>
      </c>
      <c r="AI122" s="2" t="s">
        <v>41</v>
      </c>
      <c r="AK122" s="2" t="s">
        <v>19</v>
      </c>
      <c r="AL122" s="2" t="s">
        <v>20</v>
      </c>
      <c r="AM122" s="2" t="s">
        <v>21</v>
      </c>
      <c r="AN122" s="2" t="s">
        <v>22</v>
      </c>
    </row>
    <row r="123">
      <c r="A123" s="1"/>
      <c r="B123" s="2" t="b">
        <v>1</v>
      </c>
      <c r="C123" s="2" t="b">
        <v>1</v>
      </c>
      <c r="D123" s="2" t="b">
        <v>1</v>
      </c>
      <c r="E123" s="2" t="b">
        <v>1</v>
      </c>
      <c r="F123" s="2" t="b">
        <v>1</v>
      </c>
      <c r="G123" s="2" t="b">
        <v>1</v>
      </c>
      <c r="H123" s="2" t="b">
        <v>1</v>
      </c>
      <c r="I123" s="2" t="b">
        <v>1</v>
      </c>
      <c r="J123" s="2" t="b">
        <v>1</v>
      </c>
      <c r="K123" s="2" t="b">
        <v>1</v>
      </c>
      <c r="L123" s="2" t="b">
        <v>1</v>
      </c>
      <c r="M123" s="2" t="b">
        <v>1</v>
      </c>
      <c r="N123" s="2" t="b">
        <v>1</v>
      </c>
      <c r="O123" s="2" t="b">
        <v>1</v>
      </c>
      <c r="P123" s="2" t="b">
        <v>0</v>
      </c>
      <c r="Q123" s="2" t="b">
        <v>1</v>
      </c>
      <c r="R123" s="2" t="b">
        <v>1</v>
      </c>
      <c r="S123" s="2" t="b">
        <v>1</v>
      </c>
      <c r="T123" s="2" t="b">
        <v>1</v>
      </c>
      <c r="U123" s="2" t="b">
        <v>1</v>
      </c>
      <c r="V123" s="2" t="b">
        <v>1</v>
      </c>
      <c r="W123" s="2" t="b">
        <v>1</v>
      </c>
      <c r="X123" s="2" t="b">
        <v>1</v>
      </c>
      <c r="Y123" s="2" t="b">
        <v>1</v>
      </c>
      <c r="Z123" s="2" t="b">
        <v>0</v>
      </c>
      <c r="AA123" s="2" t="b">
        <v>1</v>
      </c>
      <c r="AB123" s="2" t="b">
        <v>1</v>
      </c>
      <c r="AC123" s="2" t="b">
        <v>1</v>
      </c>
      <c r="AD123" s="2" t="b">
        <v>1</v>
      </c>
      <c r="AE123" s="2" t="b">
        <v>1</v>
      </c>
      <c r="AF123" s="2" t="b">
        <v>1</v>
      </c>
      <c r="AG123" s="2" t="b">
        <v>1</v>
      </c>
      <c r="AH123" s="2" t="b">
        <v>1</v>
      </c>
      <c r="AI123" s="2" t="b">
        <v>1</v>
      </c>
      <c r="AJ123" s="2" t="b">
        <v>0</v>
      </c>
      <c r="AK123" s="2" t="b">
        <v>1</v>
      </c>
      <c r="AL123" s="2" t="b">
        <v>1</v>
      </c>
      <c r="AM123" s="2" t="b">
        <v>1</v>
      </c>
      <c r="AN123" s="2" t="b">
        <v>1</v>
      </c>
      <c r="AO123" s="2" t="b">
        <v>0</v>
      </c>
    </row>
    <row r="124">
      <c r="A124" s="4" t="s">
        <v>46</v>
      </c>
      <c r="O124" s="2">
        <v>-4.0</v>
      </c>
      <c r="P124" s="2">
        <v>0.0</v>
      </c>
      <c r="Z124" s="2">
        <v>0.0</v>
      </c>
      <c r="AH124" s="2">
        <v>0.0</v>
      </c>
      <c r="AJ124" s="2">
        <v>0.0</v>
      </c>
      <c r="AL124" s="2">
        <v>0.0</v>
      </c>
      <c r="AO124" s="2">
        <v>0.0</v>
      </c>
    </row>
    <row r="125">
      <c r="A125" s="4" t="s">
        <v>47</v>
      </c>
      <c r="P125" s="2">
        <v>0.0</v>
      </c>
      <c r="Z125" s="2">
        <v>0.0</v>
      </c>
      <c r="AG125" s="2">
        <v>0.0</v>
      </c>
      <c r="AJ125" s="2">
        <v>0.0</v>
      </c>
      <c r="AM125" s="2">
        <v>0.0</v>
      </c>
      <c r="AO125" s="2">
        <v>0.0</v>
      </c>
    </row>
    <row r="126">
      <c r="A126" s="4" t="s">
        <v>48</v>
      </c>
      <c r="L126" s="2">
        <v>4.0</v>
      </c>
      <c r="P126" s="2">
        <v>0.0</v>
      </c>
      <c r="Z126" s="2">
        <v>0.0</v>
      </c>
      <c r="AH126" s="2">
        <v>0.0</v>
      </c>
      <c r="AJ126" s="2">
        <v>0.0</v>
      </c>
      <c r="AN126" s="2">
        <v>0.0</v>
      </c>
      <c r="AO126" s="2">
        <v>0.0</v>
      </c>
    </row>
    <row r="127">
      <c r="A127" s="4" t="s">
        <v>49</v>
      </c>
      <c r="G127" s="2">
        <v>4.0</v>
      </c>
      <c r="P127" s="2">
        <v>0.0</v>
      </c>
      <c r="Z127" s="2">
        <v>0.0</v>
      </c>
      <c r="AI127" s="2">
        <v>0.0</v>
      </c>
      <c r="AJ127" s="2">
        <v>0.0</v>
      </c>
      <c r="AM127" s="2">
        <v>0.0</v>
      </c>
      <c r="AO127" s="2">
        <v>0.0</v>
      </c>
    </row>
    <row r="128">
      <c r="A128" s="4" t="s">
        <v>50</v>
      </c>
      <c r="O128" s="2">
        <v>-4.0</v>
      </c>
      <c r="P128" s="2">
        <v>0.0</v>
      </c>
      <c r="Z128" s="2">
        <v>0.0</v>
      </c>
      <c r="AH128" s="2">
        <v>0.0</v>
      </c>
      <c r="AJ128" s="2">
        <v>0.0</v>
      </c>
      <c r="AN128" s="2">
        <v>0.0</v>
      </c>
      <c r="AO128" s="2">
        <v>0.0</v>
      </c>
    </row>
    <row r="129">
      <c r="A129" s="4" t="s">
        <v>51</v>
      </c>
      <c r="D129" s="2">
        <v>-4.0</v>
      </c>
      <c r="N129" s="2">
        <v>4.0</v>
      </c>
      <c r="P129" s="2">
        <v>0.0</v>
      </c>
      <c r="R129" s="2">
        <v>-4.0</v>
      </c>
      <c r="Z129" s="2">
        <v>0.0</v>
      </c>
      <c r="AG129" s="2">
        <v>-4.0</v>
      </c>
      <c r="AJ129" s="2">
        <v>0.0</v>
      </c>
      <c r="AM129" s="2">
        <v>-4.0</v>
      </c>
      <c r="AO129" s="2">
        <v>0.0</v>
      </c>
    </row>
    <row r="130">
      <c r="A130" s="4" t="s">
        <v>46</v>
      </c>
      <c r="G130" s="2">
        <v>4.0</v>
      </c>
      <c r="N130" s="2">
        <v>4.0</v>
      </c>
      <c r="P130" s="2">
        <v>0.0</v>
      </c>
      <c r="Y130" s="2">
        <v>4.0</v>
      </c>
      <c r="Z130" s="2">
        <v>0.0</v>
      </c>
      <c r="AJ130" s="2">
        <v>0.0</v>
      </c>
      <c r="AM130" s="2">
        <v>0.0</v>
      </c>
      <c r="AO130" s="2">
        <v>0.0</v>
      </c>
    </row>
    <row r="131">
      <c r="A131" s="4" t="s">
        <v>47</v>
      </c>
      <c r="C131" s="2">
        <v>4.0</v>
      </c>
      <c r="L131" s="2">
        <v>4.0</v>
      </c>
      <c r="P131" s="2">
        <v>0.0</v>
      </c>
      <c r="Y131" s="2">
        <v>4.0</v>
      </c>
      <c r="Z131" s="2">
        <v>0.0</v>
      </c>
      <c r="AI131" s="2">
        <v>4.0</v>
      </c>
      <c r="AJ131" s="2">
        <v>0.0</v>
      </c>
      <c r="AM131" s="2">
        <v>-4.0</v>
      </c>
      <c r="AO131" s="2">
        <v>0.0</v>
      </c>
    </row>
    <row r="132">
      <c r="A132" s="4" t="s">
        <v>48</v>
      </c>
      <c r="D132" s="2">
        <v>-4.0</v>
      </c>
      <c r="G132" s="2">
        <v>4.0</v>
      </c>
      <c r="P132" s="2">
        <v>0.0</v>
      </c>
      <c r="R132" s="2">
        <v>4.0</v>
      </c>
      <c r="Z132" s="2">
        <v>0.0</v>
      </c>
      <c r="AC132" s="2">
        <v>4.0</v>
      </c>
      <c r="AI132" s="2">
        <v>-4.0</v>
      </c>
      <c r="AJ132" s="2">
        <v>0.0</v>
      </c>
      <c r="AM132" s="2">
        <v>0.0</v>
      </c>
      <c r="AO132" s="2">
        <v>0.0</v>
      </c>
    </row>
    <row r="133">
      <c r="A133" s="4" t="s">
        <v>49</v>
      </c>
      <c r="I133" s="2">
        <v>4.0</v>
      </c>
      <c r="N133" s="2">
        <v>4.0</v>
      </c>
      <c r="P133" s="2">
        <v>0.0</v>
      </c>
      <c r="Z133" s="2">
        <v>0.0</v>
      </c>
      <c r="AJ133" s="2">
        <v>0.0</v>
      </c>
      <c r="AO133" s="2">
        <v>0.0</v>
      </c>
    </row>
    <row r="134">
      <c r="A134" s="1" t="s">
        <v>50</v>
      </c>
      <c r="B134" s="2">
        <v>4.0</v>
      </c>
      <c r="P134" s="2">
        <v>0.0</v>
      </c>
      <c r="Z134" s="2">
        <v>0.0</v>
      </c>
      <c r="AH134" s="2">
        <v>0.0</v>
      </c>
      <c r="AJ134" s="2">
        <v>0.0</v>
      </c>
      <c r="AN134" s="2">
        <v>0.0</v>
      </c>
      <c r="AO134" s="2">
        <v>0.0</v>
      </c>
    </row>
    <row r="135">
      <c r="A135" s="4" t="s">
        <v>51</v>
      </c>
      <c r="P135" s="2">
        <v>0.0</v>
      </c>
      <c r="Z135" s="2">
        <v>0.0</v>
      </c>
      <c r="AJ135" s="2">
        <v>0.0</v>
      </c>
      <c r="AO135" s="2">
        <v>0.0</v>
      </c>
    </row>
    <row r="136">
      <c r="A136" s="1"/>
      <c r="B136" s="2" t="b">
        <v>1</v>
      </c>
      <c r="C136" s="2" t="b">
        <v>1</v>
      </c>
      <c r="D136" s="2" t="b">
        <v>1</v>
      </c>
      <c r="E136" s="2" t="b">
        <v>1</v>
      </c>
      <c r="F136" s="2" t="b">
        <v>1</v>
      </c>
      <c r="G136" s="2" t="b">
        <v>1</v>
      </c>
      <c r="H136" s="2" t="b">
        <v>1</v>
      </c>
      <c r="I136" s="2" t="b">
        <v>1</v>
      </c>
      <c r="J136" s="2" t="b">
        <v>1</v>
      </c>
      <c r="K136" s="2" t="b">
        <v>1</v>
      </c>
      <c r="L136" s="2" t="b">
        <v>1</v>
      </c>
      <c r="M136" s="2" t="b">
        <v>1</v>
      </c>
      <c r="N136" s="2" t="b">
        <v>1</v>
      </c>
      <c r="O136" s="2" t="b">
        <v>1</v>
      </c>
      <c r="P136" s="2" t="b">
        <v>0</v>
      </c>
      <c r="Q136" s="2" t="b">
        <v>1</v>
      </c>
      <c r="R136" s="2" t="b">
        <v>1</v>
      </c>
      <c r="S136" s="2" t="b">
        <v>1</v>
      </c>
      <c r="T136" s="2" t="b">
        <v>1</v>
      </c>
      <c r="U136" s="2" t="b">
        <v>1</v>
      </c>
      <c r="V136" s="2" t="b">
        <v>1</v>
      </c>
      <c r="W136" s="2" t="b">
        <v>1</v>
      </c>
      <c r="X136" s="2" t="b">
        <v>1</v>
      </c>
      <c r="Y136" s="2" t="b">
        <v>1</v>
      </c>
      <c r="Z136" s="2" t="b">
        <v>0</v>
      </c>
      <c r="AA136" s="2" t="b">
        <v>1</v>
      </c>
      <c r="AB136" s="2" t="b">
        <v>1</v>
      </c>
      <c r="AC136" s="2" t="b">
        <v>1</v>
      </c>
      <c r="AD136" s="2" t="b">
        <v>1</v>
      </c>
      <c r="AE136" s="2" t="b">
        <v>1</v>
      </c>
      <c r="AF136" s="2" t="b">
        <v>1</v>
      </c>
      <c r="AG136" s="2" t="b">
        <v>1</v>
      </c>
      <c r="AH136" s="2" t="b">
        <v>1</v>
      </c>
      <c r="AI136" s="2" t="b">
        <v>1</v>
      </c>
      <c r="AJ136" s="2" t="b">
        <v>0</v>
      </c>
      <c r="AK136" s="2" t="b">
        <v>1</v>
      </c>
      <c r="AL136" s="2" t="b">
        <v>1</v>
      </c>
      <c r="AM136" s="2" t="b">
        <v>1</v>
      </c>
      <c r="AN136" s="2" t="b">
        <v>1</v>
      </c>
      <c r="AO136" s="2" t="b">
        <v>0</v>
      </c>
    </row>
    <row r="137">
      <c r="A137" s="4" t="s">
        <v>46</v>
      </c>
      <c r="P137" s="2">
        <v>0.0</v>
      </c>
      <c r="R137" s="2">
        <v>4.0</v>
      </c>
      <c r="Z137" s="2">
        <v>0.0</v>
      </c>
      <c r="AJ137" s="2">
        <v>0.0</v>
      </c>
      <c r="AM137" s="2">
        <v>0.0</v>
      </c>
      <c r="AO137" s="2">
        <v>0.0</v>
      </c>
    </row>
    <row r="138">
      <c r="A138" s="4" t="s">
        <v>47</v>
      </c>
      <c r="G138" s="2">
        <v>4.0</v>
      </c>
      <c r="P138" s="2">
        <v>0.0</v>
      </c>
      <c r="Q138" s="2">
        <v>4.0</v>
      </c>
      <c r="Z138" s="2">
        <v>0.0</v>
      </c>
      <c r="AG138" s="2">
        <v>0.0</v>
      </c>
      <c r="AJ138" s="2">
        <v>0.0</v>
      </c>
      <c r="AN138" s="2">
        <v>4.0</v>
      </c>
      <c r="AO138" s="2">
        <v>0.0</v>
      </c>
    </row>
    <row r="139">
      <c r="A139" s="4" t="s">
        <v>48</v>
      </c>
      <c r="D139" s="2">
        <v>4.0</v>
      </c>
      <c r="P139" s="2">
        <v>0.0</v>
      </c>
      <c r="Z139" s="2">
        <v>0.0</v>
      </c>
      <c r="AI139" s="2">
        <v>0.0</v>
      </c>
      <c r="AJ139" s="2">
        <v>0.0</v>
      </c>
      <c r="AN139" s="2">
        <v>0.0</v>
      </c>
      <c r="AO139" s="2">
        <v>0.0</v>
      </c>
    </row>
    <row r="140">
      <c r="A140" s="4" t="s">
        <v>49</v>
      </c>
      <c r="G140" s="2">
        <v>4.0</v>
      </c>
      <c r="L140" s="2">
        <v>4.0</v>
      </c>
      <c r="P140" s="2">
        <v>0.0</v>
      </c>
      <c r="W140" s="2">
        <v>4.0</v>
      </c>
      <c r="Z140" s="2">
        <v>0.0</v>
      </c>
      <c r="AI140" s="2">
        <v>0.0</v>
      </c>
      <c r="AJ140" s="2">
        <v>0.0</v>
      </c>
      <c r="AN140" s="2">
        <v>0.0</v>
      </c>
      <c r="AO140" s="2">
        <v>0.0</v>
      </c>
    </row>
    <row r="141">
      <c r="A141" s="1" t="s">
        <v>50</v>
      </c>
      <c r="B141" s="2">
        <v>4.0</v>
      </c>
      <c r="P141" s="2">
        <v>0.0</v>
      </c>
      <c r="S141" s="2">
        <v>4.0</v>
      </c>
      <c r="V141" s="2">
        <v>4.0</v>
      </c>
      <c r="Z141" s="2">
        <v>0.0</v>
      </c>
      <c r="AH141" s="2">
        <v>0.0</v>
      </c>
      <c r="AJ141" s="2">
        <v>0.0</v>
      </c>
      <c r="AN141" s="2">
        <v>0.0</v>
      </c>
      <c r="AO141" s="2">
        <v>0.0</v>
      </c>
    </row>
    <row r="142">
      <c r="A142" s="4" t="s">
        <v>51</v>
      </c>
      <c r="G142" s="2">
        <v>4.0</v>
      </c>
      <c r="P142" s="2">
        <v>0.0</v>
      </c>
      <c r="Q142" s="2">
        <v>4.0</v>
      </c>
      <c r="Z142" s="2">
        <v>0.0</v>
      </c>
      <c r="AG142" s="2">
        <v>0.0</v>
      </c>
      <c r="AJ142" s="2">
        <v>0.0</v>
      </c>
      <c r="AN142" s="2">
        <v>0.0</v>
      </c>
      <c r="AO142" s="2">
        <v>0.0</v>
      </c>
    </row>
    <row r="143">
      <c r="A143" s="1" t="s">
        <v>46</v>
      </c>
      <c r="B143" s="2">
        <v>-4.0</v>
      </c>
      <c r="L143" s="2">
        <v>4.0</v>
      </c>
      <c r="P143" s="2">
        <v>0.0</v>
      </c>
      <c r="R143" s="2">
        <v>-4.0</v>
      </c>
      <c r="Z143" s="2">
        <v>0.0</v>
      </c>
      <c r="AE143" s="2">
        <v>4.0</v>
      </c>
      <c r="AI143" s="2">
        <v>-4.0</v>
      </c>
      <c r="AJ143" s="2">
        <v>0.0</v>
      </c>
      <c r="AM143" s="2">
        <v>-4.0</v>
      </c>
      <c r="AO143" s="2">
        <v>0.0</v>
      </c>
    </row>
    <row r="144">
      <c r="A144" s="4" t="s">
        <v>47</v>
      </c>
      <c r="H144" s="2">
        <v>4.0</v>
      </c>
      <c r="L144" s="2">
        <v>4.0</v>
      </c>
      <c r="P144" s="2">
        <v>0.0</v>
      </c>
      <c r="V144" s="2">
        <v>4.0</v>
      </c>
      <c r="Z144" s="2">
        <v>0.0</v>
      </c>
      <c r="AI144" s="2">
        <v>0.0</v>
      </c>
      <c r="AJ144" s="2">
        <v>0.0</v>
      </c>
      <c r="AL144" s="2">
        <v>0.0</v>
      </c>
      <c r="AO144" s="2">
        <v>0.0</v>
      </c>
    </row>
    <row r="145">
      <c r="A145" s="4" t="s">
        <v>48</v>
      </c>
      <c r="L145" s="2">
        <v>4.0</v>
      </c>
      <c r="P145" s="2">
        <v>0.0</v>
      </c>
      <c r="Z145" s="2">
        <v>0.0</v>
      </c>
      <c r="AF145" s="2">
        <v>0.0</v>
      </c>
      <c r="AJ145" s="2">
        <v>0.0</v>
      </c>
      <c r="AM145" s="2">
        <v>0.0</v>
      </c>
      <c r="AO145" s="2">
        <v>0.0</v>
      </c>
    </row>
    <row r="146">
      <c r="A146" s="4" t="s">
        <v>49</v>
      </c>
      <c r="H146" s="2">
        <v>-4.0</v>
      </c>
      <c r="N146" s="2">
        <v>4.0</v>
      </c>
      <c r="P146" s="2">
        <v>0.0</v>
      </c>
      <c r="Z146" s="2">
        <v>0.0</v>
      </c>
      <c r="AH146" s="2">
        <v>0.0</v>
      </c>
      <c r="AJ146" s="2">
        <v>0.0</v>
      </c>
      <c r="AM146" s="2">
        <v>0.0</v>
      </c>
      <c r="AO146" s="2">
        <v>0.0</v>
      </c>
    </row>
    <row r="147">
      <c r="A147" s="4" t="s">
        <v>50</v>
      </c>
      <c r="P147" s="2">
        <v>0.0</v>
      </c>
      <c r="Z147" s="2">
        <v>0.0</v>
      </c>
      <c r="AH147" s="2">
        <v>0.0</v>
      </c>
      <c r="AJ147" s="2">
        <v>0.0</v>
      </c>
      <c r="AM147" s="2">
        <v>0.0</v>
      </c>
      <c r="AO147" s="2">
        <v>0.0</v>
      </c>
    </row>
    <row r="148">
      <c r="A148" s="4" t="s">
        <v>51</v>
      </c>
      <c r="G148" s="2">
        <v>4.0</v>
      </c>
      <c r="P148" s="2">
        <v>0.0</v>
      </c>
      <c r="Q148" s="2">
        <v>4.0</v>
      </c>
      <c r="V148" s="2">
        <v>4.0</v>
      </c>
      <c r="Z148" s="2">
        <v>0.0</v>
      </c>
      <c r="AJ148" s="2">
        <v>0.0</v>
      </c>
      <c r="AN148" s="2">
        <v>4.0</v>
      </c>
      <c r="AO148" s="2">
        <v>0.0</v>
      </c>
    </row>
    <row r="149">
      <c r="A149" s="4"/>
    </row>
    <row r="150">
      <c r="A150" s="4"/>
    </row>
    <row r="151">
      <c r="A151" s="1"/>
      <c r="B151" s="2" t="s">
        <v>1</v>
      </c>
      <c r="C151" s="2" t="s">
        <v>1</v>
      </c>
      <c r="D151" s="2" t="s">
        <v>1</v>
      </c>
      <c r="E151" s="2" t="s">
        <v>1</v>
      </c>
      <c r="F151" s="2" t="s">
        <v>1</v>
      </c>
      <c r="G151" s="2" t="s">
        <v>5</v>
      </c>
      <c r="H151" s="2" t="s">
        <v>5</v>
      </c>
      <c r="I151" s="2" t="s">
        <v>5</v>
      </c>
      <c r="J151" s="2" t="s">
        <v>5</v>
      </c>
      <c r="K151" s="2" t="s">
        <v>5</v>
      </c>
      <c r="L151" s="2" t="s">
        <v>3</v>
      </c>
      <c r="M151" s="2" t="s">
        <v>3</v>
      </c>
      <c r="N151" s="2" t="s">
        <v>3</v>
      </c>
      <c r="O151" s="2" t="s">
        <v>3</v>
      </c>
      <c r="P151" s="2" t="s">
        <v>3</v>
      </c>
      <c r="Q151" s="2" t="s">
        <v>4</v>
      </c>
      <c r="R151" s="2" t="s">
        <v>4</v>
      </c>
      <c r="S151" s="2" t="s">
        <v>4</v>
      </c>
      <c r="T151" s="2" t="s">
        <v>4</v>
      </c>
      <c r="U151" s="2" t="s">
        <v>4</v>
      </c>
      <c r="V151" s="2" t="s">
        <v>7</v>
      </c>
      <c r="W151" s="2" t="s">
        <v>7</v>
      </c>
      <c r="X151" s="2" t="s">
        <v>7</v>
      </c>
      <c r="Y151" s="2" t="s">
        <v>7</v>
      </c>
      <c r="Z151" s="2" t="s">
        <v>7</v>
      </c>
      <c r="AA151" s="2" t="s">
        <v>0</v>
      </c>
      <c r="AB151" s="2" t="s">
        <v>0</v>
      </c>
      <c r="AC151" s="2" t="s">
        <v>0</v>
      </c>
      <c r="AD151" s="2" t="s">
        <v>0</v>
      </c>
      <c r="AE151" s="2" t="s">
        <v>0</v>
      </c>
      <c r="AF151" s="2" t="s">
        <v>6</v>
      </c>
      <c r="AG151" s="2" t="s">
        <v>6</v>
      </c>
      <c r="AH151" s="2" t="s">
        <v>6</v>
      </c>
      <c r="AI151" s="2" t="s">
        <v>6</v>
      </c>
      <c r="AJ151" s="2" t="s">
        <v>6</v>
      </c>
      <c r="AK151" s="2" t="s">
        <v>2</v>
      </c>
      <c r="AL151" s="2" t="s">
        <v>2</v>
      </c>
      <c r="AM151" s="2" t="s">
        <v>2</v>
      </c>
      <c r="AN151" s="2" t="s">
        <v>2</v>
      </c>
      <c r="AO151" s="2" t="s">
        <v>2</v>
      </c>
    </row>
    <row r="152">
      <c r="A152" s="1"/>
      <c r="B152" s="2" t="s">
        <v>15</v>
      </c>
      <c r="C152" s="2" t="s">
        <v>16</v>
      </c>
      <c r="D152" s="2" t="s">
        <v>17</v>
      </c>
      <c r="E152" s="2" t="s">
        <v>18</v>
      </c>
      <c r="G152" s="2" t="s">
        <v>33</v>
      </c>
      <c r="H152" s="2" t="s">
        <v>36</v>
      </c>
      <c r="I152" s="2" t="s">
        <v>35</v>
      </c>
      <c r="J152" s="2" t="s">
        <v>34</v>
      </c>
      <c r="K152" s="2" t="s">
        <v>37</v>
      </c>
      <c r="L152" s="2" t="s">
        <v>23</v>
      </c>
      <c r="M152" s="2" t="s">
        <v>24</v>
      </c>
      <c r="N152" s="2" t="s">
        <v>25</v>
      </c>
      <c r="O152" s="2" t="s">
        <v>26</v>
      </c>
      <c r="P152" s="2" t="s">
        <v>27</v>
      </c>
      <c r="Q152" s="2" t="s">
        <v>28</v>
      </c>
      <c r="R152" s="2" t="s">
        <v>29</v>
      </c>
      <c r="S152" s="2" t="s">
        <v>30</v>
      </c>
      <c r="T152" s="2" t="s">
        <v>31</v>
      </c>
      <c r="U152" s="2" t="s">
        <v>32</v>
      </c>
      <c r="V152" s="2" t="s">
        <v>42</v>
      </c>
      <c r="W152" s="2" t="s">
        <v>43</v>
      </c>
      <c r="X152" s="2" t="s">
        <v>44</v>
      </c>
      <c r="Y152" s="2" t="s">
        <v>45</v>
      </c>
      <c r="AA152" s="2" t="s">
        <v>10</v>
      </c>
      <c r="AB152" s="2" t="s">
        <v>11</v>
      </c>
      <c r="AC152" s="2" t="s">
        <v>12</v>
      </c>
      <c r="AD152" s="2" t="s">
        <v>13</v>
      </c>
      <c r="AE152" s="2" t="s">
        <v>14</v>
      </c>
      <c r="AF152" s="2" t="s">
        <v>38</v>
      </c>
      <c r="AG152" s="2" t="s">
        <v>39</v>
      </c>
      <c r="AH152" s="2" t="s">
        <v>40</v>
      </c>
      <c r="AI152" s="2" t="s">
        <v>41</v>
      </c>
      <c r="AK152" s="2" t="s">
        <v>19</v>
      </c>
      <c r="AL152" s="2" t="s">
        <v>20</v>
      </c>
      <c r="AM152" s="2" t="s">
        <v>21</v>
      </c>
      <c r="AN152" s="2" t="s">
        <v>22</v>
      </c>
    </row>
    <row r="153">
      <c r="A153" s="1"/>
      <c r="B153" s="2" t="b">
        <v>1</v>
      </c>
      <c r="C153" s="2" t="b">
        <v>1</v>
      </c>
      <c r="D153" s="2" t="b">
        <v>1</v>
      </c>
      <c r="E153" s="2" t="b">
        <v>1</v>
      </c>
      <c r="F153" s="2" t="b">
        <v>0</v>
      </c>
      <c r="G153" s="2" t="b">
        <v>1</v>
      </c>
      <c r="H153" s="2" t="b">
        <v>1</v>
      </c>
      <c r="I153" s="2" t="b">
        <v>1</v>
      </c>
      <c r="J153" s="2" t="b">
        <v>1</v>
      </c>
      <c r="K153" s="2" t="b">
        <v>1</v>
      </c>
      <c r="L153" s="2" t="b">
        <v>1</v>
      </c>
      <c r="M153" s="2" t="b">
        <v>1</v>
      </c>
      <c r="N153" s="2" t="b">
        <v>1</v>
      </c>
      <c r="O153" s="2" t="b">
        <v>1</v>
      </c>
      <c r="P153" s="2" t="b">
        <v>1</v>
      </c>
      <c r="Q153" s="2" t="b">
        <v>1</v>
      </c>
      <c r="R153" s="2" t="b">
        <v>1</v>
      </c>
      <c r="S153" s="2" t="b">
        <v>1</v>
      </c>
      <c r="T153" s="2" t="b">
        <v>1</v>
      </c>
      <c r="U153" s="2" t="b">
        <v>1</v>
      </c>
      <c r="V153" s="2" t="b">
        <v>1</v>
      </c>
      <c r="W153" s="2" t="b">
        <v>1</v>
      </c>
      <c r="X153" s="2" t="b">
        <v>1</v>
      </c>
      <c r="Y153" s="2" t="b">
        <v>1</v>
      </c>
      <c r="Z153" s="2" t="b">
        <v>0</v>
      </c>
      <c r="AA153" s="2" t="b">
        <v>1</v>
      </c>
      <c r="AB153" s="2" t="b">
        <v>1</v>
      </c>
      <c r="AC153" s="2" t="b">
        <v>1</v>
      </c>
      <c r="AD153" s="2" t="b">
        <v>1</v>
      </c>
      <c r="AE153" s="2" t="b">
        <v>1</v>
      </c>
      <c r="AF153" s="2" t="b">
        <v>1</v>
      </c>
      <c r="AG153" s="2" t="b">
        <v>1</v>
      </c>
      <c r="AH153" s="2" t="b">
        <v>1</v>
      </c>
      <c r="AI153" s="2" t="b">
        <v>1</v>
      </c>
      <c r="AJ153" s="2" t="b">
        <v>0</v>
      </c>
      <c r="AK153" s="2" t="b">
        <v>1</v>
      </c>
      <c r="AL153" s="2" t="b">
        <v>1</v>
      </c>
      <c r="AM153" s="2" t="b">
        <v>1</v>
      </c>
      <c r="AN153" s="2" t="b">
        <v>1</v>
      </c>
      <c r="AO153" s="2" t="b">
        <v>0</v>
      </c>
    </row>
    <row r="154">
      <c r="A154" s="1" t="s">
        <v>46</v>
      </c>
      <c r="B154" s="2">
        <v>-4.0</v>
      </c>
      <c r="F154" s="2">
        <v>0.0</v>
      </c>
      <c r="R154" s="2">
        <v>-4.0</v>
      </c>
      <c r="Z154" s="2">
        <v>0.0</v>
      </c>
      <c r="AB154" s="2">
        <v>4.0</v>
      </c>
      <c r="AJ154" s="2">
        <v>0.0</v>
      </c>
      <c r="AM154" s="2">
        <v>4.0</v>
      </c>
      <c r="AO154" s="2">
        <v>0.0</v>
      </c>
    </row>
    <row r="155">
      <c r="A155" s="4" t="s">
        <v>47</v>
      </c>
      <c r="C155" s="2">
        <v>4.0</v>
      </c>
      <c r="F155" s="2">
        <v>0.0</v>
      </c>
      <c r="L155" s="2">
        <v>4.0</v>
      </c>
      <c r="V155" s="2">
        <v>4.0</v>
      </c>
      <c r="Z155" s="2">
        <v>0.0</v>
      </c>
      <c r="AG155" s="2">
        <v>4.0</v>
      </c>
      <c r="AJ155" s="2">
        <v>0.0</v>
      </c>
      <c r="AO155" s="2">
        <v>0.0</v>
      </c>
    </row>
    <row r="156">
      <c r="A156" s="4" t="s">
        <v>48</v>
      </c>
      <c r="F156" s="2">
        <v>0.0</v>
      </c>
      <c r="I156" s="2">
        <v>4.0</v>
      </c>
      <c r="R156" s="2">
        <v>4.0</v>
      </c>
      <c r="Z156" s="2">
        <v>0.0</v>
      </c>
      <c r="AJ156" s="2">
        <v>0.0</v>
      </c>
      <c r="AO156" s="2">
        <v>0.0</v>
      </c>
    </row>
    <row r="157">
      <c r="A157" s="1" t="s">
        <v>49</v>
      </c>
      <c r="B157" s="2">
        <v>4.0</v>
      </c>
      <c r="F157" s="2">
        <v>0.0</v>
      </c>
      <c r="X157" s="2">
        <v>4.0</v>
      </c>
      <c r="Z157" s="2">
        <v>0.0</v>
      </c>
      <c r="AF157" s="2">
        <v>4.0</v>
      </c>
      <c r="AJ157" s="2">
        <v>0.0</v>
      </c>
      <c r="AO157" s="2">
        <v>0.0</v>
      </c>
    </row>
    <row r="158">
      <c r="A158" s="4" t="s">
        <v>50</v>
      </c>
      <c r="F158" s="2">
        <v>0.0</v>
      </c>
      <c r="Z158" s="2">
        <v>0.0</v>
      </c>
      <c r="AJ158" s="2">
        <v>0.0</v>
      </c>
      <c r="AO158" s="2">
        <v>0.0</v>
      </c>
    </row>
    <row r="159">
      <c r="A159" s="4" t="s">
        <v>51</v>
      </c>
      <c r="F159" s="2">
        <v>0.0</v>
      </c>
      <c r="I159" s="2">
        <v>4.0</v>
      </c>
      <c r="Q159" s="2">
        <v>4.0</v>
      </c>
      <c r="Z159" s="2">
        <v>0.0</v>
      </c>
      <c r="AJ159" s="2">
        <v>0.0</v>
      </c>
      <c r="AO159" s="2">
        <v>0.0</v>
      </c>
    </row>
    <row r="160">
      <c r="A160" s="4" t="s">
        <v>46</v>
      </c>
      <c r="E160" s="2">
        <v>4.0</v>
      </c>
      <c r="F160" s="2">
        <v>0.0</v>
      </c>
      <c r="S160" s="2">
        <v>4.0</v>
      </c>
      <c r="Z160" s="2">
        <v>0.0</v>
      </c>
      <c r="AB160" s="2">
        <v>4.0</v>
      </c>
      <c r="AJ160" s="2">
        <v>0.0</v>
      </c>
      <c r="AK160" s="2">
        <v>4.0</v>
      </c>
      <c r="AO160" s="2">
        <v>0.0</v>
      </c>
    </row>
    <row r="161">
      <c r="A161" s="4" t="s">
        <v>47</v>
      </c>
      <c r="F161" s="2">
        <v>0.0</v>
      </c>
      <c r="L161" s="2">
        <v>4.0</v>
      </c>
      <c r="Z161" s="2">
        <v>0.0</v>
      </c>
      <c r="AG161" s="2">
        <v>4.0</v>
      </c>
      <c r="AJ161" s="2">
        <v>0.0</v>
      </c>
      <c r="AO161" s="2">
        <v>0.0</v>
      </c>
    </row>
    <row r="162">
      <c r="A162" s="4" t="s">
        <v>48</v>
      </c>
      <c r="F162" s="2">
        <v>0.0</v>
      </c>
      <c r="R162" s="2">
        <v>4.0</v>
      </c>
      <c r="Z162" s="2">
        <v>0.0</v>
      </c>
      <c r="AJ162" s="2">
        <v>0.0</v>
      </c>
      <c r="AO162" s="2">
        <v>0.0</v>
      </c>
    </row>
    <row r="163">
      <c r="A163" s="4" t="s">
        <v>49</v>
      </c>
      <c r="F163" s="2">
        <v>0.0</v>
      </c>
      <c r="J163" s="2">
        <v>4.0</v>
      </c>
      <c r="N163" s="2">
        <v>4.0</v>
      </c>
      <c r="Z163" s="2">
        <v>0.0</v>
      </c>
      <c r="AD163" s="2">
        <v>4.0</v>
      </c>
      <c r="AJ163" s="2">
        <v>0.0</v>
      </c>
      <c r="AO163" s="2">
        <v>0.0</v>
      </c>
    </row>
    <row r="164">
      <c r="A164" s="4" t="s">
        <v>50</v>
      </c>
      <c r="F164" s="2">
        <v>0.0</v>
      </c>
      <c r="Z164" s="2">
        <v>0.0</v>
      </c>
      <c r="AJ164" s="2">
        <v>0.0</v>
      </c>
      <c r="AO164" s="2">
        <v>0.0</v>
      </c>
    </row>
    <row r="165">
      <c r="A165" s="4" t="s">
        <v>51</v>
      </c>
      <c r="F165" s="2">
        <v>0.0</v>
      </c>
      <c r="I165" s="2">
        <v>4.0</v>
      </c>
      <c r="L165" s="2">
        <v>4.0</v>
      </c>
      <c r="Z165" s="2">
        <v>0.0</v>
      </c>
      <c r="AB165" s="2">
        <v>4.0</v>
      </c>
      <c r="AJ165" s="2">
        <v>0.0</v>
      </c>
      <c r="AO165" s="2">
        <v>0.0</v>
      </c>
    </row>
    <row r="166">
      <c r="A166" s="1"/>
      <c r="B166" s="2" t="b">
        <v>1</v>
      </c>
      <c r="C166" s="2" t="b">
        <v>1</v>
      </c>
      <c r="D166" s="2" t="b">
        <v>1</v>
      </c>
      <c r="E166" s="2" t="b">
        <v>1</v>
      </c>
      <c r="F166" s="2" t="b">
        <v>0</v>
      </c>
      <c r="G166" s="2" t="b">
        <v>1</v>
      </c>
      <c r="H166" s="2" t="b">
        <v>1</v>
      </c>
      <c r="I166" s="2" t="b">
        <v>1</v>
      </c>
      <c r="J166" s="2" t="b">
        <v>1</v>
      </c>
      <c r="K166" s="2" t="b">
        <v>1</v>
      </c>
      <c r="L166" s="2" t="b">
        <v>1</v>
      </c>
      <c r="M166" s="2" t="b">
        <v>1</v>
      </c>
      <c r="N166" s="2" t="b">
        <v>1</v>
      </c>
      <c r="O166" s="2" t="b">
        <v>1</v>
      </c>
      <c r="P166" s="2" t="b">
        <v>1</v>
      </c>
      <c r="Q166" s="2" t="b">
        <v>1</v>
      </c>
      <c r="R166" s="2" t="b">
        <v>1</v>
      </c>
      <c r="S166" s="2" t="b">
        <v>1</v>
      </c>
      <c r="T166" s="2" t="b">
        <v>1</v>
      </c>
      <c r="U166" s="2" t="b">
        <v>1</v>
      </c>
      <c r="V166" s="2" t="b">
        <v>1</v>
      </c>
      <c r="W166" s="2" t="b">
        <v>1</v>
      </c>
      <c r="X166" s="2" t="b">
        <v>1</v>
      </c>
      <c r="Y166" s="2" t="b">
        <v>1</v>
      </c>
      <c r="Z166" s="2" t="b">
        <v>0</v>
      </c>
      <c r="AA166" s="2" t="b">
        <v>1</v>
      </c>
      <c r="AB166" s="2" t="b">
        <v>1</v>
      </c>
      <c r="AC166" s="2" t="b">
        <v>1</v>
      </c>
      <c r="AD166" s="2" t="b">
        <v>1</v>
      </c>
      <c r="AE166" s="2" t="b">
        <v>1</v>
      </c>
      <c r="AF166" s="2" t="b">
        <v>1</v>
      </c>
      <c r="AG166" s="2" t="b">
        <v>1</v>
      </c>
      <c r="AH166" s="2" t="b">
        <v>1</v>
      </c>
      <c r="AI166" s="2" t="b">
        <v>1</v>
      </c>
      <c r="AJ166" s="2" t="b">
        <v>0</v>
      </c>
      <c r="AK166" s="2" t="b">
        <v>1</v>
      </c>
      <c r="AL166" s="2" t="b">
        <v>1</v>
      </c>
      <c r="AM166" s="2" t="b">
        <v>1</v>
      </c>
      <c r="AN166" s="2" t="b">
        <v>1</v>
      </c>
      <c r="AO166" s="2" t="b">
        <v>0</v>
      </c>
    </row>
    <row r="167">
      <c r="A167" s="4" t="s">
        <v>46</v>
      </c>
      <c r="F167" s="2">
        <v>0.0</v>
      </c>
      <c r="R167" s="2">
        <v>-4.0</v>
      </c>
      <c r="Z167" s="2">
        <v>0.0</v>
      </c>
      <c r="AJ167" s="2">
        <v>0.0</v>
      </c>
      <c r="AO167" s="2">
        <v>0.0</v>
      </c>
    </row>
    <row r="168">
      <c r="A168" s="1" t="s">
        <v>47</v>
      </c>
      <c r="B168" s="2">
        <v>4.0</v>
      </c>
      <c r="F168" s="2">
        <v>0.0</v>
      </c>
      <c r="Q168" s="2">
        <v>4.0</v>
      </c>
      <c r="Z168" s="2">
        <v>0.0</v>
      </c>
      <c r="AG168" s="2">
        <v>4.0</v>
      </c>
      <c r="AJ168" s="2">
        <v>0.0</v>
      </c>
      <c r="AO168" s="2">
        <v>0.0</v>
      </c>
    </row>
    <row r="169">
      <c r="A169" s="1" t="s">
        <v>48</v>
      </c>
      <c r="B169" s="2">
        <v>4.0</v>
      </c>
      <c r="F169" s="2">
        <v>0.0</v>
      </c>
      <c r="I169" s="2">
        <v>-4.0</v>
      </c>
      <c r="M169" s="2">
        <v>4.0</v>
      </c>
      <c r="V169" s="2">
        <v>4.0</v>
      </c>
      <c r="Z169" s="2">
        <v>0.0</v>
      </c>
      <c r="AJ169" s="2">
        <v>0.0</v>
      </c>
      <c r="AO169" s="2">
        <v>0.0</v>
      </c>
    </row>
    <row r="170">
      <c r="A170" s="4" t="s">
        <v>49</v>
      </c>
      <c r="F170" s="2">
        <v>0.0</v>
      </c>
      <c r="K170" s="2">
        <v>4.0</v>
      </c>
      <c r="R170" s="2">
        <v>4.0</v>
      </c>
      <c r="X170" s="2">
        <v>4.0</v>
      </c>
      <c r="Z170" s="2">
        <v>0.0</v>
      </c>
      <c r="AJ170" s="2">
        <v>0.0</v>
      </c>
      <c r="AN170" s="2">
        <v>4.0</v>
      </c>
      <c r="AO170" s="2">
        <v>0.0</v>
      </c>
    </row>
    <row r="171">
      <c r="A171" s="4" t="s">
        <v>50</v>
      </c>
      <c r="F171" s="2">
        <v>0.0</v>
      </c>
      <c r="R171" s="2">
        <v>4.0</v>
      </c>
      <c r="Z171" s="2">
        <v>0.0</v>
      </c>
      <c r="AJ171" s="2">
        <v>0.0</v>
      </c>
      <c r="AN171" s="2">
        <v>4.0</v>
      </c>
      <c r="AO171" s="2">
        <v>0.0</v>
      </c>
    </row>
    <row r="172">
      <c r="A172" s="4" t="s">
        <v>51</v>
      </c>
      <c r="F172" s="2">
        <v>0.0</v>
      </c>
      <c r="R172" s="2">
        <v>4.0</v>
      </c>
      <c r="Z172" s="2">
        <v>0.0</v>
      </c>
      <c r="AJ172" s="2">
        <v>0.0</v>
      </c>
      <c r="AO172" s="2">
        <v>0.0</v>
      </c>
    </row>
    <row r="173">
      <c r="A173" s="4" t="s">
        <v>46</v>
      </c>
      <c r="E173" s="2">
        <v>4.0</v>
      </c>
      <c r="F173" s="2">
        <v>0.0</v>
      </c>
      <c r="S173" s="2">
        <v>4.0</v>
      </c>
      <c r="Z173" s="2">
        <v>0.0</v>
      </c>
      <c r="AJ173" s="2">
        <v>0.0</v>
      </c>
      <c r="AO173" s="2">
        <v>0.0</v>
      </c>
    </row>
    <row r="174">
      <c r="A174" s="4" t="s">
        <v>47</v>
      </c>
      <c r="F174" s="2">
        <v>0.0</v>
      </c>
      <c r="R174" s="2">
        <v>4.0</v>
      </c>
      <c r="V174" s="2">
        <v>4.0</v>
      </c>
      <c r="Z174" s="2">
        <v>0.0</v>
      </c>
      <c r="AJ174" s="2">
        <v>0.0</v>
      </c>
      <c r="AN174" s="2">
        <v>4.0</v>
      </c>
      <c r="AO174" s="2">
        <v>0.0</v>
      </c>
    </row>
    <row r="175">
      <c r="A175" s="1" t="s">
        <v>48</v>
      </c>
      <c r="B175" s="2">
        <v>4.0</v>
      </c>
      <c r="F175" s="2">
        <v>0.0</v>
      </c>
      <c r="R175" s="2">
        <v>4.0</v>
      </c>
      <c r="Z175" s="2">
        <v>0.0</v>
      </c>
      <c r="AD175" s="2">
        <v>4.0</v>
      </c>
      <c r="AI175" s="2">
        <v>4.0</v>
      </c>
      <c r="AJ175" s="2">
        <v>0.0</v>
      </c>
      <c r="AO175" s="2">
        <v>0.0</v>
      </c>
    </row>
    <row r="176">
      <c r="A176" s="4" t="s">
        <v>49</v>
      </c>
      <c r="D176" s="2">
        <v>4.0</v>
      </c>
      <c r="F176" s="2">
        <v>0.0</v>
      </c>
      <c r="N176" s="2">
        <v>4.0</v>
      </c>
      <c r="V176" s="2">
        <v>4.0</v>
      </c>
      <c r="Z176" s="2">
        <v>0.0</v>
      </c>
      <c r="AJ176" s="2">
        <v>0.0</v>
      </c>
      <c r="AK176" s="2">
        <v>4.0</v>
      </c>
      <c r="AO176" s="2">
        <v>0.0</v>
      </c>
    </row>
    <row r="177">
      <c r="A177" s="4" t="s">
        <v>50</v>
      </c>
      <c r="E177" s="2">
        <v>-4.0</v>
      </c>
      <c r="F177" s="2">
        <v>0.0</v>
      </c>
      <c r="Z177" s="2">
        <v>0.0</v>
      </c>
      <c r="AD177" s="2">
        <v>4.0</v>
      </c>
      <c r="AH177" s="2">
        <v>4.0</v>
      </c>
      <c r="AJ177" s="2">
        <v>0.0</v>
      </c>
      <c r="AO177" s="2">
        <v>0.0</v>
      </c>
    </row>
    <row r="178">
      <c r="A178" s="4" t="s">
        <v>51</v>
      </c>
      <c r="D178" s="2">
        <v>-4.0</v>
      </c>
      <c r="F178" s="2">
        <v>0.0</v>
      </c>
      <c r="N178" s="2">
        <v>4.0</v>
      </c>
      <c r="Y178" s="2">
        <v>4.0</v>
      </c>
      <c r="Z178" s="2">
        <v>0.0</v>
      </c>
      <c r="AH178" s="2">
        <v>4.0</v>
      </c>
      <c r="AJ178" s="2">
        <v>0.0</v>
      </c>
      <c r="AO178" s="2">
        <v>0.0</v>
      </c>
    </row>
    <row r="179">
      <c r="A179" s="4"/>
    </row>
    <row r="180">
      <c r="A180" s="4"/>
    </row>
    <row r="181">
      <c r="A181" s="1"/>
      <c r="B181" s="2" t="s">
        <v>5</v>
      </c>
      <c r="C181" s="2" t="s">
        <v>5</v>
      </c>
      <c r="D181" s="2" t="s">
        <v>5</v>
      </c>
      <c r="E181" s="2" t="s">
        <v>5</v>
      </c>
      <c r="F181" s="2" t="s">
        <v>5</v>
      </c>
      <c r="G181" s="2" t="s">
        <v>7</v>
      </c>
      <c r="H181" s="2" t="s">
        <v>7</v>
      </c>
      <c r="I181" s="2" t="s">
        <v>7</v>
      </c>
      <c r="J181" s="2" t="s">
        <v>7</v>
      </c>
      <c r="K181" s="2" t="s">
        <v>7</v>
      </c>
      <c r="L181" s="2" t="s">
        <v>3</v>
      </c>
      <c r="M181" s="2" t="s">
        <v>3</v>
      </c>
      <c r="N181" s="2" t="s">
        <v>3</v>
      </c>
      <c r="O181" s="2" t="s">
        <v>3</v>
      </c>
      <c r="P181" s="2" t="s">
        <v>3</v>
      </c>
      <c r="Q181" s="2" t="s">
        <v>2</v>
      </c>
      <c r="R181" s="2" t="s">
        <v>2</v>
      </c>
      <c r="S181" s="2" t="s">
        <v>2</v>
      </c>
      <c r="T181" s="2" t="s">
        <v>2</v>
      </c>
      <c r="U181" s="2" t="s">
        <v>2</v>
      </c>
      <c r="V181" s="6" t="s">
        <v>1</v>
      </c>
      <c r="W181" s="6" t="s">
        <v>1</v>
      </c>
      <c r="X181" s="6" t="s">
        <v>1</v>
      </c>
      <c r="Y181" s="6" t="s">
        <v>1</v>
      </c>
      <c r="Z181" s="6" t="s">
        <v>1</v>
      </c>
      <c r="AA181" s="6" t="s">
        <v>4</v>
      </c>
      <c r="AB181" s="6" t="s">
        <v>4</v>
      </c>
      <c r="AC181" s="6" t="s">
        <v>4</v>
      </c>
      <c r="AD181" s="6" t="s">
        <v>4</v>
      </c>
      <c r="AE181" s="6" t="s">
        <v>4</v>
      </c>
      <c r="AF181" s="6" t="s">
        <v>0</v>
      </c>
      <c r="AG181" s="6" t="s">
        <v>0</v>
      </c>
      <c r="AH181" s="6" t="s">
        <v>0</v>
      </c>
      <c r="AI181" s="6" t="s">
        <v>0</v>
      </c>
      <c r="AJ181" s="6" t="s">
        <v>0</v>
      </c>
      <c r="AK181" s="6" t="s">
        <v>6</v>
      </c>
      <c r="AL181" s="6" t="s">
        <v>6</v>
      </c>
      <c r="AM181" s="6" t="s">
        <v>6</v>
      </c>
      <c r="AN181" s="6" t="s">
        <v>6</v>
      </c>
      <c r="AO181" s="6" t="s">
        <v>6</v>
      </c>
    </row>
    <row r="182">
      <c r="A182" s="1"/>
      <c r="B182" s="2" t="s">
        <v>33</v>
      </c>
      <c r="C182" s="2" t="s">
        <v>36</v>
      </c>
      <c r="D182" s="2" t="s">
        <v>35</v>
      </c>
      <c r="E182" s="2" t="s">
        <v>34</v>
      </c>
      <c r="F182" s="2" t="s">
        <v>37</v>
      </c>
      <c r="G182" s="2" t="s">
        <v>42</v>
      </c>
      <c r="H182" s="2" t="s">
        <v>43</v>
      </c>
      <c r="I182" s="2" t="s">
        <v>44</v>
      </c>
      <c r="J182" s="2" t="s">
        <v>45</v>
      </c>
      <c r="L182" s="2" t="s">
        <v>23</v>
      </c>
      <c r="M182" s="2" t="s">
        <v>24</v>
      </c>
      <c r="N182" s="2" t="s">
        <v>25</v>
      </c>
      <c r="O182" s="2" t="s">
        <v>26</v>
      </c>
      <c r="P182" s="2" t="s">
        <v>27</v>
      </c>
      <c r="Q182" s="2" t="s">
        <v>19</v>
      </c>
      <c r="R182" s="2" t="s">
        <v>20</v>
      </c>
      <c r="S182" s="2" t="s">
        <v>21</v>
      </c>
      <c r="T182" s="2" t="s">
        <v>22</v>
      </c>
      <c r="V182" s="6" t="s">
        <v>15</v>
      </c>
      <c r="W182" s="6" t="s">
        <v>16</v>
      </c>
      <c r="X182" s="6" t="s">
        <v>17</v>
      </c>
      <c r="Y182" s="6" t="s">
        <v>18</v>
      </c>
      <c r="AA182" s="6" t="s">
        <v>28</v>
      </c>
      <c r="AB182" s="6" t="s">
        <v>29</v>
      </c>
      <c r="AC182" s="6" t="s">
        <v>30</v>
      </c>
      <c r="AD182" s="6" t="s">
        <v>31</v>
      </c>
      <c r="AE182" s="6" t="s">
        <v>32</v>
      </c>
      <c r="AF182" s="6" t="s">
        <v>10</v>
      </c>
      <c r="AG182" s="6" t="s">
        <v>11</v>
      </c>
      <c r="AH182" s="6" t="s">
        <v>12</v>
      </c>
      <c r="AI182" s="6" t="s">
        <v>13</v>
      </c>
      <c r="AJ182" s="6" t="s">
        <v>14</v>
      </c>
      <c r="AK182" s="6" t="s">
        <v>38</v>
      </c>
      <c r="AL182" s="6" t="s">
        <v>39</v>
      </c>
      <c r="AM182" s="6" t="s">
        <v>40</v>
      </c>
      <c r="AN182" s="6" t="s">
        <v>41</v>
      </c>
    </row>
    <row r="183">
      <c r="A183" s="1"/>
      <c r="B183" s="2" t="b">
        <v>1</v>
      </c>
      <c r="C183" s="2" t="b">
        <v>1</v>
      </c>
      <c r="D183" s="2" t="b">
        <v>1</v>
      </c>
      <c r="E183" s="2" t="b">
        <v>1</v>
      </c>
      <c r="F183" s="2" t="b">
        <v>1</v>
      </c>
      <c r="G183" s="2" t="b">
        <v>1</v>
      </c>
      <c r="H183" s="2" t="b">
        <v>1</v>
      </c>
      <c r="I183" s="2" t="b">
        <v>1</v>
      </c>
      <c r="J183" s="2" t="b">
        <v>1</v>
      </c>
      <c r="K183" s="2" t="b">
        <v>0</v>
      </c>
      <c r="L183" s="2" t="b">
        <v>1</v>
      </c>
      <c r="M183" s="2" t="b">
        <v>1</v>
      </c>
      <c r="N183" s="2" t="b">
        <v>1</v>
      </c>
      <c r="O183" s="2" t="b">
        <v>1</v>
      </c>
      <c r="P183" s="2" t="b">
        <v>1</v>
      </c>
      <c r="Q183" s="2" t="b">
        <v>1</v>
      </c>
      <c r="R183" s="2" t="b">
        <v>1</v>
      </c>
      <c r="S183" s="2" t="b">
        <v>1</v>
      </c>
      <c r="T183" s="2" t="b">
        <v>1</v>
      </c>
      <c r="U183" s="2" t="b">
        <v>0</v>
      </c>
      <c r="V183" s="6" t="b">
        <v>0</v>
      </c>
      <c r="W183" s="6" t="b">
        <v>0</v>
      </c>
      <c r="X183" s="6" t="b">
        <v>0</v>
      </c>
      <c r="Y183" s="6" t="b">
        <v>0</v>
      </c>
      <c r="Z183" s="6" t="b">
        <v>0</v>
      </c>
      <c r="AA183" s="6" t="b">
        <v>0</v>
      </c>
      <c r="AB183" s="6" t="b">
        <v>0</v>
      </c>
      <c r="AC183" s="6" t="b">
        <v>0</v>
      </c>
      <c r="AD183" s="6" t="b">
        <v>0</v>
      </c>
      <c r="AE183" s="6" t="b">
        <v>0</v>
      </c>
      <c r="AF183" s="6" t="b">
        <v>0</v>
      </c>
      <c r="AG183" s="6" t="b">
        <v>0</v>
      </c>
      <c r="AH183" s="6" t="b">
        <v>0</v>
      </c>
      <c r="AI183" s="6" t="b">
        <v>0</v>
      </c>
      <c r="AJ183" s="6" t="b">
        <v>0</v>
      </c>
      <c r="AK183" s="6" t="b">
        <v>0</v>
      </c>
      <c r="AL183" s="6" t="b">
        <v>0</v>
      </c>
      <c r="AM183" s="6" t="b">
        <v>0</v>
      </c>
      <c r="AN183" s="6" t="b">
        <v>0</v>
      </c>
      <c r="AO183" s="6" t="b">
        <v>0</v>
      </c>
    </row>
    <row r="184">
      <c r="A184" s="4" t="s">
        <v>46</v>
      </c>
      <c r="K184" s="2">
        <v>0.0</v>
      </c>
      <c r="M184" s="2">
        <v>4.0</v>
      </c>
      <c r="U184" s="2">
        <v>0.0</v>
      </c>
    </row>
    <row r="185">
      <c r="A185" s="4" t="s">
        <v>47</v>
      </c>
      <c r="G185" s="2">
        <v>4.0</v>
      </c>
      <c r="K185" s="2">
        <v>0.0</v>
      </c>
      <c r="T185" s="2">
        <v>4.0</v>
      </c>
      <c r="U185" s="2">
        <v>0.0</v>
      </c>
    </row>
    <row r="186">
      <c r="A186" s="4" t="s">
        <v>48</v>
      </c>
      <c r="D186" s="2">
        <v>4.0</v>
      </c>
      <c r="K186" s="2">
        <v>0.0</v>
      </c>
      <c r="U186" s="2">
        <v>0.0</v>
      </c>
    </row>
    <row r="187">
      <c r="A187" s="1" t="s">
        <v>49</v>
      </c>
      <c r="B187" s="2">
        <v>4.0</v>
      </c>
      <c r="K187" s="2">
        <v>0.0</v>
      </c>
      <c r="U187" s="2">
        <v>0.0</v>
      </c>
    </row>
    <row r="188">
      <c r="A188" s="1" t="s">
        <v>50</v>
      </c>
      <c r="B188" s="2">
        <v>4.0</v>
      </c>
      <c r="K188" s="2">
        <v>0.0</v>
      </c>
      <c r="T188" s="2">
        <v>4.0</v>
      </c>
      <c r="U188" s="2">
        <v>0.0</v>
      </c>
    </row>
    <row r="189">
      <c r="A189" s="4" t="s">
        <v>51</v>
      </c>
      <c r="K189" s="2">
        <v>0.0</v>
      </c>
      <c r="U189" s="2">
        <v>0.0</v>
      </c>
    </row>
    <row r="190">
      <c r="A190" s="4" t="s">
        <v>46</v>
      </c>
      <c r="K190" s="2">
        <v>0.0</v>
      </c>
      <c r="U190" s="2">
        <v>0.0</v>
      </c>
    </row>
    <row r="191">
      <c r="A191" s="4" t="s">
        <v>47</v>
      </c>
      <c r="C191" s="2">
        <v>4.0</v>
      </c>
      <c r="K191" s="2">
        <v>0.0</v>
      </c>
      <c r="L191" s="2">
        <v>4.0</v>
      </c>
      <c r="U191" s="2">
        <v>0.0</v>
      </c>
    </row>
    <row r="192">
      <c r="A192" s="1" t="s">
        <v>48</v>
      </c>
      <c r="B192" s="2">
        <v>4.0</v>
      </c>
      <c r="K192" s="2">
        <v>0.0</v>
      </c>
      <c r="M192" s="2">
        <v>4.0</v>
      </c>
      <c r="U192" s="2">
        <v>0.0</v>
      </c>
    </row>
    <row r="193">
      <c r="A193" s="4" t="s">
        <v>49</v>
      </c>
      <c r="I193" s="2">
        <v>4.0</v>
      </c>
      <c r="K193" s="2">
        <v>0.0</v>
      </c>
      <c r="O193" s="2">
        <v>4.0</v>
      </c>
      <c r="U193" s="2">
        <v>0.0</v>
      </c>
    </row>
    <row r="194">
      <c r="A194" s="4" t="s">
        <v>50</v>
      </c>
      <c r="K194" s="2">
        <v>0.0</v>
      </c>
      <c r="U194" s="2">
        <v>0.0</v>
      </c>
    </row>
    <row r="195">
      <c r="A195" s="4" t="s">
        <v>51</v>
      </c>
      <c r="G195" s="2">
        <v>4.0</v>
      </c>
      <c r="K195" s="2">
        <v>0.0</v>
      </c>
      <c r="N195" s="2">
        <v>4.0</v>
      </c>
      <c r="S195" s="2">
        <v>-4.0</v>
      </c>
      <c r="U195" s="2">
        <v>0.0</v>
      </c>
    </row>
    <row r="196">
      <c r="A196" s="1"/>
      <c r="B196" s="2" t="b">
        <v>1</v>
      </c>
      <c r="C196" s="2" t="b">
        <v>1</v>
      </c>
      <c r="D196" s="2" t="b">
        <v>1</v>
      </c>
      <c r="E196" s="2" t="b">
        <v>1</v>
      </c>
      <c r="F196" s="2" t="b">
        <v>1</v>
      </c>
      <c r="G196" s="2" t="b">
        <v>1</v>
      </c>
      <c r="H196" s="2" t="b">
        <v>1</v>
      </c>
      <c r="I196" s="2" t="b">
        <v>1</v>
      </c>
      <c r="J196" s="2" t="b">
        <v>1</v>
      </c>
      <c r="K196" s="2" t="b">
        <v>0</v>
      </c>
      <c r="L196" s="2" t="b">
        <v>1</v>
      </c>
      <c r="M196" s="2" t="b">
        <v>1</v>
      </c>
      <c r="N196" s="2" t="b">
        <v>1</v>
      </c>
      <c r="O196" s="2" t="b">
        <v>1</v>
      </c>
      <c r="P196" s="2" t="b">
        <v>1</v>
      </c>
      <c r="Q196" s="2" t="b">
        <v>1</v>
      </c>
      <c r="R196" s="2" t="b">
        <v>1</v>
      </c>
      <c r="S196" s="2" t="b">
        <v>1</v>
      </c>
      <c r="T196" s="2" t="b">
        <v>1</v>
      </c>
      <c r="U196" s="2" t="b">
        <v>0</v>
      </c>
      <c r="V196" s="6" t="b">
        <v>0</v>
      </c>
      <c r="W196" s="6" t="b">
        <v>0</v>
      </c>
      <c r="X196" s="6" t="b">
        <v>0</v>
      </c>
      <c r="Y196" s="6" t="b">
        <v>0</v>
      </c>
      <c r="Z196" s="6" t="b">
        <v>0</v>
      </c>
      <c r="AA196" s="6" t="b">
        <v>0</v>
      </c>
      <c r="AB196" s="6" t="b">
        <v>0</v>
      </c>
      <c r="AC196" s="6" t="b">
        <v>0</v>
      </c>
      <c r="AD196" s="6" t="b">
        <v>0</v>
      </c>
      <c r="AE196" s="6" t="b">
        <v>0</v>
      </c>
      <c r="AF196" s="6" t="b">
        <v>0</v>
      </c>
      <c r="AG196" s="6" t="b">
        <v>0</v>
      </c>
      <c r="AH196" s="6" t="b">
        <v>0</v>
      </c>
      <c r="AI196" s="6" t="b">
        <v>0</v>
      </c>
      <c r="AJ196" s="6" t="b">
        <v>0</v>
      </c>
      <c r="AK196" s="6" t="b">
        <v>0</v>
      </c>
      <c r="AL196" s="6" t="b">
        <v>0</v>
      </c>
      <c r="AM196" s="6" t="b">
        <v>0</v>
      </c>
      <c r="AN196" s="6" t="b">
        <v>0</v>
      </c>
      <c r="AO196" s="6" t="b">
        <v>0</v>
      </c>
    </row>
    <row r="197">
      <c r="A197" s="4" t="s">
        <v>46</v>
      </c>
      <c r="K197" s="2">
        <v>0.0</v>
      </c>
      <c r="U197" s="2">
        <v>0.0</v>
      </c>
    </row>
    <row r="198">
      <c r="A198" s="4" t="s">
        <v>47</v>
      </c>
      <c r="D198" s="2">
        <v>-4.0</v>
      </c>
      <c r="G198" s="2">
        <v>4.0</v>
      </c>
      <c r="K198" s="2">
        <v>0.0</v>
      </c>
      <c r="O198" s="2">
        <v>-4.0</v>
      </c>
      <c r="S198" s="2">
        <v>4.0</v>
      </c>
      <c r="U198" s="2">
        <v>0.0</v>
      </c>
    </row>
    <row r="199">
      <c r="A199" s="4" t="s">
        <v>48</v>
      </c>
      <c r="D199" s="2">
        <v>-4.0</v>
      </c>
      <c r="K199" s="2">
        <v>0.0</v>
      </c>
      <c r="U199" s="2">
        <v>0.0</v>
      </c>
    </row>
    <row r="200">
      <c r="A200" s="4" t="s">
        <v>49</v>
      </c>
      <c r="K200" s="2">
        <v>0.0</v>
      </c>
      <c r="U200" s="2">
        <v>0.0</v>
      </c>
    </row>
    <row r="201">
      <c r="A201" s="1" t="s">
        <v>50</v>
      </c>
      <c r="B201" s="2">
        <v>4.0</v>
      </c>
      <c r="K201" s="2">
        <v>0.0</v>
      </c>
      <c r="T201" s="2">
        <v>4.0</v>
      </c>
      <c r="U201" s="2">
        <v>0.0</v>
      </c>
    </row>
    <row r="202">
      <c r="A202" s="4" t="s">
        <v>51</v>
      </c>
      <c r="K202" s="2">
        <v>0.0</v>
      </c>
      <c r="U202" s="2">
        <v>0.0</v>
      </c>
    </row>
    <row r="203">
      <c r="A203" s="4" t="s">
        <v>46</v>
      </c>
      <c r="K203" s="2">
        <v>0.0</v>
      </c>
      <c r="U203" s="2">
        <v>0.0</v>
      </c>
    </row>
    <row r="204">
      <c r="A204" s="4" t="s">
        <v>47</v>
      </c>
      <c r="K204" s="2">
        <v>0.0</v>
      </c>
      <c r="U204" s="2">
        <v>0.0</v>
      </c>
    </row>
    <row r="205">
      <c r="A205" s="4" t="s">
        <v>48</v>
      </c>
      <c r="K205" s="2">
        <v>0.0</v>
      </c>
      <c r="U205" s="2">
        <v>0.0</v>
      </c>
    </row>
    <row r="206">
      <c r="A206" s="4" t="s">
        <v>49</v>
      </c>
      <c r="K206" s="2">
        <v>0.0</v>
      </c>
      <c r="U206" s="2">
        <v>0.0</v>
      </c>
    </row>
    <row r="207">
      <c r="A207" s="4" t="s">
        <v>50</v>
      </c>
      <c r="G207" s="2">
        <v>4.0</v>
      </c>
      <c r="K207" s="2">
        <v>0.0</v>
      </c>
      <c r="U207" s="2">
        <v>0.0</v>
      </c>
    </row>
    <row r="208">
      <c r="A208" s="4" t="s">
        <v>51</v>
      </c>
      <c r="C208" s="2">
        <v>4.0</v>
      </c>
      <c r="K208" s="2">
        <v>0.0</v>
      </c>
      <c r="U208" s="2">
        <v>0.0</v>
      </c>
    </row>
    <row r="209">
      <c r="A209" s="4"/>
    </row>
    <row r="210">
      <c r="A210" s="4"/>
    </row>
    <row r="211">
      <c r="A211" s="1"/>
      <c r="B211" s="2" t="s">
        <v>7</v>
      </c>
      <c r="C211" s="2" t="s">
        <v>7</v>
      </c>
      <c r="D211" s="2" t="s">
        <v>7</v>
      </c>
      <c r="E211" s="2" t="s">
        <v>7</v>
      </c>
      <c r="F211" s="2" t="s">
        <v>7</v>
      </c>
      <c r="G211" s="2" t="s">
        <v>2</v>
      </c>
      <c r="H211" s="2" t="s">
        <v>2</v>
      </c>
      <c r="I211" s="2" t="s">
        <v>2</v>
      </c>
      <c r="J211" s="2" t="s">
        <v>2</v>
      </c>
      <c r="K211" s="2" t="s">
        <v>2</v>
      </c>
      <c r="L211" s="2" t="s">
        <v>3</v>
      </c>
      <c r="M211" s="2" t="s">
        <v>3</v>
      </c>
      <c r="N211" s="2" t="s">
        <v>3</v>
      </c>
      <c r="O211" s="2" t="s">
        <v>3</v>
      </c>
      <c r="P211" s="2" t="s">
        <v>3</v>
      </c>
      <c r="Q211" s="2" t="s">
        <v>5</v>
      </c>
      <c r="R211" s="2" t="s">
        <v>5</v>
      </c>
      <c r="S211" s="2" t="s">
        <v>5</v>
      </c>
      <c r="T211" s="2" t="s">
        <v>5</v>
      </c>
      <c r="U211" s="2" t="s">
        <v>5</v>
      </c>
      <c r="V211" s="2" t="s">
        <v>4</v>
      </c>
      <c r="W211" s="2" t="s">
        <v>4</v>
      </c>
      <c r="X211" s="2" t="s">
        <v>4</v>
      </c>
      <c r="Y211" s="2" t="s">
        <v>4</v>
      </c>
      <c r="Z211" s="2" t="s">
        <v>4</v>
      </c>
      <c r="AA211" s="2" t="s">
        <v>1</v>
      </c>
      <c r="AB211" s="2" t="s">
        <v>1</v>
      </c>
      <c r="AC211" s="2" t="s">
        <v>1</v>
      </c>
      <c r="AD211" s="2" t="s">
        <v>1</v>
      </c>
      <c r="AE211" s="2" t="s">
        <v>1</v>
      </c>
      <c r="AF211" s="6" t="s">
        <v>0</v>
      </c>
      <c r="AG211" s="6" t="s">
        <v>0</v>
      </c>
      <c r="AH211" s="6" t="s">
        <v>0</v>
      </c>
      <c r="AI211" s="6" t="s">
        <v>0</v>
      </c>
      <c r="AJ211" s="6" t="s">
        <v>0</v>
      </c>
      <c r="AK211" s="6" t="s">
        <v>6</v>
      </c>
      <c r="AL211" s="6" t="s">
        <v>6</v>
      </c>
      <c r="AM211" s="6" t="s">
        <v>6</v>
      </c>
      <c r="AN211" s="6" t="s">
        <v>6</v>
      </c>
      <c r="AO211" s="6" t="s">
        <v>6</v>
      </c>
    </row>
    <row r="212">
      <c r="A212" s="1"/>
      <c r="B212" s="2" t="s">
        <v>42</v>
      </c>
      <c r="C212" s="2" t="s">
        <v>43</v>
      </c>
      <c r="D212" s="2" t="s">
        <v>44</v>
      </c>
      <c r="E212" s="2" t="s">
        <v>45</v>
      </c>
      <c r="G212" s="2" t="s">
        <v>19</v>
      </c>
      <c r="H212" s="2" t="s">
        <v>20</v>
      </c>
      <c r="I212" s="2" t="s">
        <v>21</v>
      </c>
      <c r="J212" s="2" t="s">
        <v>22</v>
      </c>
      <c r="L212" s="2" t="s">
        <v>23</v>
      </c>
      <c r="M212" s="2" t="s">
        <v>24</v>
      </c>
      <c r="N212" s="2" t="s">
        <v>25</v>
      </c>
      <c r="O212" s="2" t="s">
        <v>26</v>
      </c>
      <c r="P212" s="2" t="s">
        <v>27</v>
      </c>
      <c r="Q212" s="2" t="s">
        <v>33</v>
      </c>
      <c r="R212" s="2" t="s">
        <v>34</v>
      </c>
      <c r="S212" s="2" t="s">
        <v>35</v>
      </c>
      <c r="T212" s="2" t="s">
        <v>36</v>
      </c>
      <c r="U212" s="2" t="s">
        <v>37</v>
      </c>
      <c r="V212" s="2" t="s">
        <v>28</v>
      </c>
      <c r="W212" s="2" t="s">
        <v>29</v>
      </c>
      <c r="X212" s="2" t="s">
        <v>30</v>
      </c>
      <c r="Y212" s="2" t="s">
        <v>31</v>
      </c>
      <c r="Z212" s="2" t="s">
        <v>32</v>
      </c>
      <c r="AA212" s="2" t="s">
        <v>15</v>
      </c>
      <c r="AB212" s="2" t="s">
        <v>16</v>
      </c>
      <c r="AC212" s="2" t="s">
        <v>17</v>
      </c>
      <c r="AD212" s="2" t="s">
        <v>18</v>
      </c>
      <c r="AF212" s="6" t="s">
        <v>10</v>
      </c>
      <c r="AG212" s="6" t="s">
        <v>11</v>
      </c>
      <c r="AH212" s="6" t="s">
        <v>12</v>
      </c>
      <c r="AI212" s="6" t="s">
        <v>13</v>
      </c>
      <c r="AJ212" s="6" t="s">
        <v>14</v>
      </c>
      <c r="AK212" s="6" t="s">
        <v>38</v>
      </c>
      <c r="AL212" s="6" t="s">
        <v>39</v>
      </c>
      <c r="AM212" s="6" t="s">
        <v>40</v>
      </c>
      <c r="AN212" s="6" t="s">
        <v>41</v>
      </c>
    </row>
    <row r="213">
      <c r="A213" s="1"/>
      <c r="B213" s="2" t="b">
        <v>1</v>
      </c>
      <c r="C213" s="2" t="b">
        <v>1</v>
      </c>
      <c r="D213" s="2" t="b">
        <v>1</v>
      </c>
      <c r="E213" s="2" t="b">
        <v>1</v>
      </c>
      <c r="F213" s="2" t="b">
        <v>0</v>
      </c>
      <c r="G213" s="2" t="b">
        <v>1</v>
      </c>
      <c r="H213" s="2" t="b">
        <v>1</v>
      </c>
      <c r="I213" s="2" t="b">
        <v>1</v>
      </c>
      <c r="J213" s="2" t="b">
        <v>0</v>
      </c>
      <c r="K213" s="2" t="b">
        <v>0</v>
      </c>
      <c r="L213" s="2" t="b">
        <v>1</v>
      </c>
      <c r="M213" s="2" t="b">
        <v>1</v>
      </c>
      <c r="N213" s="2" t="b">
        <v>1</v>
      </c>
      <c r="O213" s="2" t="b">
        <v>1</v>
      </c>
      <c r="P213" s="2" t="b">
        <v>1</v>
      </c>
      <c r="Q213" s="2" t="b">
        <v>1</v>
      </c>
      <c r="R213" s="2" t="b">
        <v>1</v>
      </c>
      <c r="S213" s="2" t="b">
        <v>1</v>
      </c>
      <c r="T213" s="2" t="b">
        <v>1</v>
      </c>
      <c r="U213" s="2" t="b">
        <v>1</v>
      </c>
      <c r="V213" s="2" t="b">
        <v>1</v>
      </c>
      <c r="W213" s="2" t="b">
        <v>1</v>
      </c>
      <c r="X213" s="2" t="b">
        <v>1</v>
      </c>
      <c r="Y213" s="2" t="b">
        <v>1</v>
      </c>
      <c r="Z213" s="2" t="b">
        <v>1</v>
      </c>
      <c r="AA213" s="2" t="b">
        <v>1</v>
      </c>
      <c r="AB213" s="2" t="b">
        <v>1</v>
      </c>
      <c r="AC213" s="2" t="b">
        <v>1</v>
      </c>
      <c r="AD213" s="2" t="b">
        <v>1</v>
      </c>
      <c r="AE213" s="2" t="b">
        <v>0</v>
      </c>
      <c r="AF213" s="6" t="b">
        <v>0</v>
      </c>
      <c r="AG213" s="6" t="b">
        <v>0</v>
      </c>
      <c r="AH213" s="6" t="b">
        <v>0</v>
      </c>
      <c r="AI213" s="6" t="b">
        <v>0</v>
      </c>
      <c r="AJ213" s="6" t="b">
        <v>0</v>
      </c>
      <c r="AK213" s="6" t="b">
        <v>0</v>
      </c>
      <c r="AL213" s="6" t="b">
        <v>0</v>
      </c>
      <c r="AM213" s="6" t="b">
        <v>0</v>
      </c>
      <c r="AN213" s="6" t="b">
        <v>0</v>
      </c>
      <c r="AO213" s="6" t="b">
        <v>0</v>
      </c>
    </row>
    <row r="214">
      <c r="A214" s="4" t="s">
        <v>46</v>
      </c>
      <c r="F214" s="2">
        <v>0.0</v>
      </c>
      <c r="J214" s="2">
        <v>0.0</v>
      </c>
      <c r="K214" s="2">
        <v>0.0</v>
      </c>
      <c r="AE214" s="2">
        <v>0.0</v>
      </c>
    </row>
    <row r="215">
      <c r="A215" s="1" t="s">
        <v>47</v>
      </c>
      <c r="B215" s="2">
        <v>4.0</v>
      </c>
      <c r="F215" s="2">
        <v>0.0</v>
      </c>
      <c r="J215" s="2">
        <v>0.0</v>
      </c>
      <c r="K215" s="2">
        <v>0.0</v>
      </c>
      <c r="L215" s="2">
        <v>4.0</v>
      </c>
      <c r="W215" s="2">
        <v>4.0</v>
      </c>
      <c r="AE215" s="2">
        <v>0.0</v>
      </c>
    </row>
    <row r="216">
      <c r="A216" s="1" t="s">
        <v>48</v>
      </c>
      <c r="B216" s="2">
        <v>4.0</v>
      </c>
      <c r="F216" s="2">
        <v>0.0</v>
      </c>
      <c r="J216" s="2">
        <v>0.0</v>
      </c>
      <c r="K216" s="2">
        <v>0.0</v>
      </c>
      <c r="AA216" s="2">
        <v>4.0</v>
      </c>
      <c r="AE216" s="2">
        <v>0.0</v>
      </c>
    </row>
    <row r="217">
      <c r="A217" s="4" t="s">
        <v>49</v>
      </c>
      <c r="F217" s="2">
        <v>0.0</v>
      </c>
      <c r="J217" s="2">
        <v>0.0</v>
      </c>
      <c r="K217" s="2">
        <v>0.0</v>
      </c>
      <c r="N217" s="2">
        <v>4.0</v>
      </c>
      <c r="AA217" s="2">
        <v>4.0</v>
      </c>
      <c r="AE217" s="2">
        <v>0.0</v>
      </c>
    </row>
    <row r="218">
      <c r="A218" s="4" t="s">
        <v>50</v>
      </c>
      <c r="F218" s="2">
        <v>0.0</v>
      </c>
      <c r="I218" s="2">
        <v>4.0</v>
      </c>
      <c r="J218" s="2">
        <v>0.0</v>
      </c>
      <c r="K218" s="2">
        <v>0.0</v>
      </c>
      <c r="AD218" s="2">
        <v>4.0</v>
      </c>
      <c r="AE218" s="2">
        <v>0.0</v>
      </c>
    </row>
    <row r="219">
      <c r="A219" s="4" t="s">
        <v>51</v>
      </c>
      <c r="F219" s="2">
        <v>0.0</v>
      </c>
      <c r="I219" s="2">
        <v>4.0</v>
      </c>
      <c r="J219" s="2">
        <v>0.0</v>
      </c>
      <c r="K219" s="2">
        <v>0.0</v>
      </c>
      <c r="S219" s="2">
        <v>4.0</v>
      </c>
      <c r="W219" s="2">
        <v>4.0</v>
      </c>
      <c r="AE219" s="2">
        <v>0.0</v>
      </c>
    </row>
    <row r="220">
      <c r="A220" s="4" t="s">
        <v>46</v>
      </c>
      <c r="E220" s="2">
        <v>4.0</v>
      </c>
      <c r="F220" s="2">
        <v>0.0</v>
      </c>
      <c r="J220" s="2">
        <v>0.0</v>
      </c>
      <c r="K220" s="2">
        <v>0.0</v>
      </c>
      <c r="U220" s="2">
        <v>4.0</v>
      </c>
      <c r="W220" s="2">
        <v>4.0</v>
      </c>
      <c r="AE220" s="2">
        <v>0.0</v>
      </c>
    </row>
    <row r="221">
      <c r="A221" s="4" t="s">
        <v>47</v>
      </c>
      <c r="F221" s="2">
        <v>0.0</v>
      </c>
      <c r="I221" s="2">
        <v>4.0</v>
      </c>
      <c r="J221" s="2">
        <v>0.0</v>
      </c>
      <c r="K221" s="2">
        <v>0.0</v>
      </c>
      <c r="AB221" s="2">
        <v>4.0</v>
      </c>
      <c r="AE221" s="2">
        <v>0.0</v>
      </c>
    </row>
    <row r="222">
      <c r="A222" s="4" t="s">
        <v>48</v>
      </c>
      <c r="F222" s="2">
        <v>0.0</v>
      </c>
      <c r="I222" s="2">
        <v>4.0</v>
      </c>
      <c r="J222" s="2">
        <v>0.0</v>
      </c>
      <c r="K222" s="2">
        <v>0.0</v>
      </c>
      <c r="S222" s="2">
        <v>-4.0</v>
      </c>
      <c r="W222" s="2">
        <v>4.0</v>
      </c>
      <c r="AE222" s="2">
        <v>0.0</v>
      </c>
    </row>
    <row r="223">
      <c r="A223" s="4" t="s">
        <v>49</v>
      </c>
      <c r="E223" s="2">
        <v>4.0</v>
      </c>
      <c r="F223" s="2">
        <v>0.0</v>
      </c>
      <c r="J223" s="2">
        <v>0.0</v>
      </c>
      <c r="K223" s="2">
        <v>0.0</v>
      </c>
      <c r="R223" s="2">
        <v>4.0</v>
      </c>
      <c r="W223" s="2">
        <v>-4.0</v>
      </c>
      <c r="AE223" s="2">
        <v>0.0</v>
      </c>
    </row>
    <row r="224">
      <c r="A224" s="4" t="s">
        <v>50</v>
      </c>
      <c r="F224" s="2">
        <v>0.0</v>
      </c>
      <c r="I224" s="2">
        <v>4.0</v>
      </c>
      <c r="J224" s="2">
        <v>0.0</v>
      </c>
      <c r="K224" s="2">
        <v>0.0</v>
      </c>
      <c r="X224" s="2">
        <v>4.0</v>
      </c>
      <c r="AE224" s="2">
        <v>0.0</v>
      </c>
    </row>
    <row r="225">
      <c r="A225" s="4" t="s">
        <v>51</v>
      </c>
      <c r="F225" s="2">
        <v>0.0</v>
      </c>
      <c r="J225" s="2">
        <v>0.0</v>
      </c>
      <c r="K225" s="2">
        <v>0.0</v>
      </c>
      <c r="L225" s="2">
        <v>4.0</v>
      </c>
      <c r="V225" s="2">
        <v>-4.0</v>
      </c>
      <c r="AE225" s="2">
        <v>0.0</v>
      </c>
    </row>
    <row r="226">
      <c r="A226" s="1"/>
      <c r="B226" s="2" t="b">
        <v>1</v>
      </c>
      <c r="C226" s="2" t="b">
        <v>1</v>
      </c>
      <c r="D226" s="2" t="b">
        <v>1</v>
      </c>
      <c r="E226" s="2" t="b">
        <v>1</v>
      </c>
      <c r="F226" s="2" t="b">
        <v>0</v>
      </c>
      <c r="G226" s="2" t="b">
        <v>1</v>
      </c>
      <c r="H226" s="2" t="b">
        <v>1</v>
      </c>
      <c r="I226" s="2" t="b">
        <v>1</v>
      </c>
      <c r="J226" s="2" t="b">
        <v>0</v>
      </c>
      <c r="K226" s="2" t="b">
        <v>0</v>
      </c>
      <c r="L226" s="2" t="b">
        <v>1</v>
      </c>
      <c r="M226" s="2" t="b">
        <v>1</v>
      </c>
      <c r="N226" s="2" t="b">
        <v>1</v>
      </c>
      <c r="O226" s="2" t="b">
        <v>1</v>
      </c>
      <c r="P226" s="2" t="b">
        <v>1</v>
      </c>
      <c r="Q226" s="2" t="b">
        <v>1</v>
      </c>
      <c r="R226" s="2" t="b">
        <v>1</v>
      </c>
      <c r="S226" s="2" t="b">
        <v>1</v>
      </c>
      <c r="T226" s="2" t="b">
        <v>1</v>
      </c>
      <c r="U226" s="2" t="b">
        <v>1</v>
      </c>
      <c r="V226" s="2" t="b">
        <v>1</v>
      </c>
      <c r="W226" s="2" t="b">
        <v>1</v>
      </c>
      <c r="X226" s="2" t="b">
        <v>1</v>
      </c>
      <c r="Y226" s="2" t="b">
        <v>1</v>
      </c>
      <c r="Z226" s="2" t="b">
        <v>1</v>
      </c>
      <c r="AA226" s="2" t="b">
        <v>1</v>
      </c>
      <c r="AB226" s="2" t="b">
        <v>1</v>
      </c>
      <c r="AC226" s="2" t="b">
        <v>1</v>
      </c>
      <c r="AD226" s="2" t="b">
        <v>1</v>
      </c>
      <c r="AE226" s="2" t="b">
        <v>0</v>
      </c>
      <c r="AF226" s="6" t="b">
        <v>0</v>
      </c>
      <c r="AG226" s="6" t="b">
        <v>0</v>
      </c>
      <c r="AH226" s="6" t="b">
        <v>0</v>
      </c>
      <c r="AI226" s="6" t="b">
        <v>0</v>
      </c>
      <c r="AJ226" s="6" t="b">
        <v>0</v>
      </c>
      <c r="AK226" s="6" t="b">
        <v>0</v>
      </c>
      <c r="AL226" s="6" t="b">
        <v>0</v>
      </c>
      <c r="AM226" s="6" t="b">
        <v>0</v>
      </c>
      <c r="AN226" s="6" t="b">
        <v>0</v>
      </c>
      <c r="AO226" s="6" t="b">
        <v>0</v>
      </c>
    </row>
    <row r="227">
      <c r="A227" s="4" t="s">
        <v>46</v>
      </c>
      <c r="F227" s="2">
        <v>0.0</v>
      </c>
      <c r="G227" s="2">
        <v>4.0</v>
      </c>
      <c r="J227" s="2">
        <v>0.0</v>
      </c>
      <c r="K227" s="2">
        <v>0.0</v>
      </c>
      <c r="N227" s="2">
        <v>4.0</v>
      </c>
      <c r="AA227" s="2">
        <v>4.0</v>
      </c>
      <c r="AE227" s="2">
        <v>0.0</v>
      </c>
    </row>
    <row r="228">
      <c r="A228" s="4" t="s">
        <v>47</v>
      </c>
      <c r="F228" s="2">
        <v>0.0</v>
      </c>
      <c r="J228" s="2">
        <v>0.0</v>
      </c>
      <c r="K228" s="2">
        <v>0.0</v>
      </c>
      <c r="W228" s="2">
        <v>4.0</v>
      </c>
      <c r="AE228" s="2">
        <v>0.0</v>
      </c>
    </row>
    <row r="229">
      <c r="A229" s="4" t="s">
        <v>48</v>
      </c>
      <c r="F229" s="2">
        <v>0.0</v>
      </c>
      <c r="J229" s="2">
        <v>0.0</v>
      </c>
      <c r="K229" s="2">
        <v>0.0</v>
      </c>
      <c r="O229" s="2">
        <v>4.0</v>
      </c>
      <c r="S229" s="2">
        <v>-4.0</v>
      </c>
      <c r="W229" s="2">
        <v>4.0</v>
      </c>
      <c r="AE229" s="2">
        <v>0.0</v>
      </c>
    </row>
    <row r="230">
      <c r="A230" s="4" t="s">
        <v>49</v>
      </c>
      <c r="F230" s="2">
        <v>0.0</v>
      </c>
      <c r="J230" s="2">
        <v>0.0</v>
      </c>
      <c r="K230" s="2">
        <v>0.0</v>
      </c>
      <c r="M230" s="2">
        <v>4.0</v>
      </c>
      <c r="AA230" s="2">
        <v>4.0</v>
      </c>
      <c r="AE230" s="2">
        <v>0.0</v>
      </c>
    </row>
    <row r="231">
      <c r="A231" s="4" t="s">
        <v>50</v>
      </c>
      <c r="C231" s="2">
        <v>4.0</v>
      </c>
      <c r="F231" s="2">
        <v>0.0</v>
      </c>
      <c r="J231" s="2">
        <v>0.0</v>
      </c>
      <c r="K231" s="2">
        <v>0.0</v>
      </c>
      <c r="W231" s="2">
        <v>4.0</v>
      </c>
      <c r="AE231" s="2">
        <v>0.0</v>
      </c>
    </row>
    <row r="232">
      <c r="A232" s="4" t="s">
        <v>51</v>
      </c>
      <c r="E232" s="2">
        <v>4.0</v>
      </c>
      <c r="F232" s="2">
        <v>0.0</v>
      </c>
      <c r="J232" s="2">
        <v>0.0</v>
      </c>
      <c r="K232" s="2">
        <v>0.0</v>
      </c>
      <c r="W232" s="2">
        <v>4.0</v>
      </c>
      <c r="AE232" s="2">
        <v>0.0</v>
      </c>
    </row>
    <row r="233">
      <c r="A233" s="4" t="s">
        <v>46</v>
      </c>
      <c r="F233" s="2">
        <v>0.0</v>
      </c>
      <c r="J233" s="2">
        <v>0.0</v>
      </c>
      <c r="K233" s="2">
        <v>0.0</v>
      </c>
      <c r="W233" s="2">
        <v>4.0</v>
      </c>
      <c r="AE233" s="2">
        <v>0.0</v>
      </c>
    </row>
    <row r="234">
      <c r="A234" s="1" t="s">
        <v>47</v>
      </c>
      <c r="B234" s="2">
        <v>4.0</v>
      </c>
      <c r="F234" s="2">
        <v>0.0</v>
      </c>
      <c r="J234" s="2">
        <v>0.0</v>
      </c>
      <c r="K234" s="2">
        <v>0.0</v>
      </c>
      <c r="L234" s="2">
        <v>4.0</v>
      </c>
      <c r="V234" s="2">
        <v>4.0</v>
      </c>
      <c r="AE234" s="2">
        <v>0.0</v>
      </c>
    </row>
    <row r="235">
      <c r="A235" s="4" t="s">
        <v>48</v>
      </c>
      <c r="F235" s="2">
        <v>0.0</v>
      </c>
      <c r="G235" s="2">
        <v>4.0</v>
      </c>
      <c r="J235" s="2">
        <v>0.0</v>
      </c>
      <c r="K235" s="2">
        <v>0.0</v>
      </c>
      <c r="M235" s="2">
        <v>4.0</v>
      </c>
      <c r="S235" s="2">
        <v>-4.0</v>
      </c>
      <c r="W235" s="2">
        <v>4.0</v>
      </c>
      <c r="AE235" s="2">
        <v>0.0</v>
      </c>
    </row>
    <row r="236">
      <c r="A236" s="4" t="s">
        <v>49</v>
      </c>
      <c r="D236" s="2">
        <v>4.0</v>
      </c>
      <c r="F236" s="2">
        <v>0.0</v>
      </c>
      <c r="G236" s="2">
        <v>-4.0</v>
      </c>
      <c r="J236" s="2">
        <v>0.0</v>
      </c>
      <c r="K236" s="2">
        <v>0.0</v>
      </c>
      <c r="N236" s="2">
        <v>-4.0</v>
      </c>
      <c r="AC236" s="2">
        <v>4.0</v>
      </c>
      <c r="AE236" s="2">
        <v>0.0</v>
      </c>
    </row>
    <row r="237">
      <c r="A237" s="4" t="s">
        <v>50</v>
      </c>
      <c r="F237" s="2">
        <v>0.0</v>
      </c>
      <c r="J237" s="2">
        <v>0.0</v>
      </c>
      <c r="K237" s="2">
        <v>0.0</v>
      </c>
      <c r="AD237" s="2">
        <v>-4.0</v>
      </c>
      <c r="AE237" s="2">
        <v>0.0</v>
      </c>
    </row>
    <row r="238">
      <c r="A238" s="4" t="s">
        <v>51</v>
      </c>
      <c r="F238" s="2">
        <v>0.0</v>
      </c>
      <c r="J238" s="2">
        <v>0.0</v>
      </c>
      <c r="K238" s="2">
        <v>0.0</v>
      </c>
      <c r="N238" s="2">
        <v>4.0</v>
      </c>
      <c r="W238" s="2">
        <v>4.0</v>
      </c>
      <c r="AE238" s="2">
        <v>0.0</v>
      </c>
    </row>
    <row r="239">
      <c r="A239" s="4"/>
    </row>
    <row r="240">
      <c r="A240" s="4"/>
    </row>
    <row r="241">
      <c r="A241" s="4"/>
      <c r="B241" s="3" t="s">
        <v>3</v>
      </c>
      <c r="C241" s="3" t="s">
        <v>3</v>
      </c>
      <c r="D241" s="3" t="s">
        <v>3</v>
      </c>
      <c r="E241" s="3" t="s">
        <v>3</v>
      </c>
      <c r="F241" s="3" t="s">
        <v>3</v>
      </c>
      <c r="G241" s="3" t="s">
        <v>1</v>
      </c>
      <c r="H241" s="3" t="s">
        <v>1</v>
      </c>
      <c r="I241" s="3" t="s">
        <v>1</v>
      </c>
      <c r="J241" s="3" t="s">
        <v>1</v>
      </c>
      <c r="K241" s="3" t="s">
        <v>1</v>
      </c>
      <c r="L241" s="6" t="s">
        <v>7</v>
      </c>
      <c r="M241" s="6" t="s">
        <v>7</v>
      </c>
      <c r="N241" s="6" t="s">
        <v>7</v>
      </c>
      <c r="O241" s="6" t="s">
        <v>7</v>
      </c>
      <c r="P241" s="6" t="s">
        <v>7</v>
      </c>
      <c r="Q241" s="6" t="s">
        <v>2</v>
      </c>
      <c r="R241" s="6" t="s">
        <v>2</v>
      </c>
      <c r="S241" s="6" t="s">
        <v>2</v>
      </c>
      <c r="T241" s="6" t="s">
        <v>2</v>
      </c>
      <c r="U241" s="6" t="s">
        <v>2</v>
      </c>
      <c r="V241" s="6" t="s">
        <v>5</v>
      </c>
      <c r="W241" s="6" t="s">
        <v>5</v>
      </c>
      <c r="X241" s="6" t="s">
        <v>5</v>
      </c>
      <c r="Y241" s="6" t="s">
        <v>5</v>
      </c>
      <c r="Z241" s="6" t="s">
        <v>5</v>
      </c>
      <c r="AA241" s="6" t="s">
        <v>4</v>
      </c>
      <c r="AB241" s="6" t="s">
        <v>4</v>
      </c>
      <c r="AC241" s="6" t="s">
        <v>4</v>
      </c>
      <c r="AD241" s="6" t="s">
        <v>4</v>
      </c>
      <c r="AE241" s="6" t="s">
        <v>4</v>
      </c>
      <c r="AF241" s="6" t="s">
        <v>0</v>
      </c>
      <c r="AG241" s="6" t="s">
        <v>0</v>
      </c>
      <c r="AH241" s="6" t="s">
        <v>0</v>
      </c>
      <c r="AI241" s="6" t="s">
        <v>0</v>
      </c>
      <c r="AJ241" s="6" t="s">
        <v>0</v>
      </c>
      <c r="AK241" s="6" t="s">
        <v>6</v>
      </c>
      <c r="AL241" s="6" t="s">
        <v>6</v>
      </c>
      <c r="AM241" s="6" t="s">
        <v>6</v>
      </c>
      <c r="AN241" s="6" t="s">
        <v>6</v>
      </c>
      <c r="AO241" s="6" t="s">
        <v>6</v>
      </c>
    </row>
    <row r="242">
      <c r="A242" s="4"/>
      <c r="B242" s="3" t="s">
        <v>23</v>
      </c>
      <c r="C242" s="3" t="s">
        <v>24</v>
      </c>
      <c r="D242" s="3" t="s">
        <v>25</v>
      </c>
      <c r="E242" s="3" t="s">
        <v>26</v>
      </c>
      <c r="F242" s="3" t="s">
        <v>27</v>
      </c>
      <c r="G242" s="3" t="s">
        <v>15</v>
      </c>
      <c r="H242" s="3" t="s">
        <v>16</v>
      </c>
      <c r="I242" s="3" t="s">
        <v>17</v>
      </c>
      <c r="J242" s="3" t="s">
        <v>18</v>
      </c>
      <c r="L242" s="6" t="s">
        <v>42</v>
      </c>
      <c r="M242" s="6" t="s">
        <v>43</v>
      </c>
      <c r="N242" s="6" t="s">
        <v>44</v>
      </c>
      <c r="O242" s="6" t="s">
        <v>45</v>
      </c>
      <c r="Q242" s="6" t="s">
        <v>19</v>
      </c>
      <c r="R242" s="6" t="s">
        <v>20</v>
      </c>
      <c r="S242" s="6" t="s">
        <v>21</v>
      </c>
      <c r="T242" s="6" t="s">
        <v>22</v>
      </c>
      <c r="V242" s="6" t="s">
        <v>33</v>
      </c>
      <c r="W242" s="6" t="s">
        <v>34</v>
      </c>
      <c r="X242" s="6" t="s">
        <v>35</v>
      </c>
      <c r="Y242" s="6" t="s">
        <v>36</v>
      </c>
      <c r="Z242" s="6" t="s">
        <v>37</v>
      </c>
      <c r="AA242" s="6" t="s">
        <v>28</v>
      </c>
      <c r="AB242" s="6" t="s">
        <v>29</v>
      </c>
      <c r="AC242" s="6" t="s">
        <v>30</v>
      </c>
      <c r="AD242" s="6" t="s">
        <v>31</v>
      </c>
      <c r="AE242" s="6" t="s">
        <v>32</v>
      </c>
      <c r="AF242" s="6" t="s">
        <v>10</v>
      </c>
      <c r="AG242" s="6" t="s">
        <v>11</v>
      </c>
      <c r="AH242" s="6" t="s">
        <v>12</v>
      </c>
      <c r="AI242" s="6" t="s">
        <v>13</v>
      </c>
      <c r="AJ242" s="6" t="s">
        <v>14</v>
      </c>
      <c r="AK242" s="6" t="s">
        <v>38</v>
      </c>
      <c r="AL242" s="6" t="s">
        <v>39</v>
      </c>
      <c r="AM242" s="6" t="s">
        <v>40</v>
      </c>
      <c r="AN242" s="6" t="s">
        <v>41</v>
      </c>
    </row>
    <row r="243">
      <c r="A243" s="4"/>
      <c r="B243" s="3" t="b">
        <v>1</v>
      </c>
      <c r="C243" s="3" t="b">
        <v>1</v>
      </c>
      <c r="D243" s="3" t="b">
        <v>1</v>
      </c>
      <c r="E243" s="3" t="b">
        <v>1</v>
      </c>
      <c r="F243" s="3" t="b">
        <v>1</v>
      </c>
      <c r="G243" s="3" t="b">
        <v>1</v>
      </c>
      <c r="H243" s="3" t="b">
        <v>1</v>
      </c>
      <c r="I243" s="3" t="b">
        <v>1</v>
      </c>
      <c r="J243" s="3" t="b">
        <v>1</v>
      </c>
      <c r="K243" s="3" t="b">
        <v>0</v>
      </c>
      <c r="L243" s="6" t="b">
        <v>0</v>
      </c>
      <c r="M243" s="6" t="b">
        <v>0</v>
      </c>
      <c r="N243" s="6" t="b">
        <v>0</v>
      </c>
      <c r="O243" s="6" t="b">
        <v>0</v>
      </c>
      <c r="P243" s="6" t="b">
        <v>0</v>
      </c>
      <c r="Q243" s="6" t="b">
        <v>0</v>
      </c>
      <c r="R243" s="6" t="b">
        <v>0</v>
      </c>
      <c r="S243" s="6" t="b">
        <v>0</v>
      </c>
      <c r="T243" s="6" t="b">
        <v>0</v>
      </c>
      <c r="U243" s="6" t="b">
        <v>0</v>
      </c>
      <c r="V243" s="6" t="b">
        <v>0</v>
      </c>
      <c r="W243" s="6" t="b">
        <v>0</v>
      </c>
      <c r="X243" s="6" t="b">
        <v>0</v>
      </c>
      <c r="Y243" s="6" t="b">
        <v>0</v>
      </c>
      <c r="Z243" s="6" t="b">
        <v>0</v>
      </c>
      <c r="AA243" s="6" t="b">
        <v>0</v>
      </c>
      <c r="AB243" s="6" t="b">
        <v>0</v>
      </c>
      <c r="AC243" s="6" t="b">
        <v>0</v>
      </c>
      <c r="AD243" s="6" t="b">
        <v>0</v>
      </c>
      <c r="AE243" s="6" t="b">
        <v>0</v>
      </c>
      <c r="AF243" s="6" t="b">
        <v>0</v>
      </c>
      <c r="AG243" s="6" t="b">
        <v>0</v>
      </c>
      <c r="AH243" s="6" t="b">
        <v>0</v>
      </c>
      <c r="AI243" s="6" t="b">
        <v>0</v>
      </c>
      <c r="AJ243" s="6" t="b">
        <v>0</v>
      </c>
      <c r="AK243" s="6" t="b">
        <v>0</v>
      </c>
      <c r="AL243" s="6" t="b">
        <v>0</v>
      </c>
      <c r="AM243" s="6" t="b">
        <v>0</v>
      </c>
      <c r="AN243" s="6" t="b">
        <v>0</v>
      </c>
      <c r="AO243" s="6" t="b">
        <v>0</v>
      </c>
    </row>
    <row r="244">
      <c r="A244" s="4" t="s">
        <v>46</v>
      </c>
      <c r="K244" s="3">
        <v>0.0</v>
      </c>
    </row>
    <row r="245">
      <c r="A245" s="4" t="s">
        <v>47</v>
      </c>
      <c r="B245" s="3">
        <v>4.0</v>
      </c>
      <c r="K245" s="3">
        <v>0.0</v>
      </c>
    </row>
    <row r="246">
      <c r="A246" s="4" t="s">
        <v>48</v>
      </c>
      <c r="G246" s="3">
        <v>4.0</v>
      </c>
      <c r="K246" s="3">
        <v>0.0</v>
      </c>
    </row>
    <row r="247">
      <c r="A247" s="4" t="s">
        <v>49</v>
      </c>
      <c r="G247" s="3">
        <v>4.0</v>
      </c>
      <c r="K247" s="3">
        <v>0.0</v>
      </c>
    </row>
    <row r="248">
      <c r="A248" s="4" t="s">
        <v>50</v>
      </c>
      <c r="J248" s="3">
        <v>4.0</v>
      </c>
      <c r="K248" s="3">
        <v>0.0</v>
      </c>
    </row>
    <row r="249">
      <c r="A249" s="4" t="s">
        <v>51</v>
      </c>
      <c r="K249" s="3">
        <v>0.0</v>
      </c>
    </row>
    <row r="250">
      <c r="A250" s="4" t="s">
        <v>46</v>
      </c>
      <c r="K250" s="3">
        <v>0.0</v>
      </c>
    </row>
    <row r="251">
      <c r="A251" s="4" t="s">
        <v>47</v>
      </c>
      <c r="K251" s="3">
        <v>0.0</v>
      </c>
    </row>
    <row r="252">
      <c r="A252" s="4" t="s">
        <v>48</v>
      </c>
      <c r="K252" s="3">
        <v>0.0</v>
      </c>
    </row>
    <row r="253">
      <c r="A253" s="4" t="s">
        <v>49</v>
      </c>
      <c r="D253" s="3">
        <v>4.0</v>
      </c>
      <c r="K253" s="3">
        <v>0.0</v>
      </c>
    </row>
    <row r="254">
      <c r="A254" s="4" t="s">
        <v>50</v>
      </c>
      <c r="E254" s="3">
        <v>4.0</v>
      </c>
      <c r="K254" s="3">
        <v>0.0</v>
      </c>
    </row>
    <row r="255">
      <c r="A255" s="4" t="s">
        <v>51</v>
      </c>
      <c r="K255" s="3">
        <v>0.0</v>
      </c>
    </row>
    <row r="256">
      <c r="A256" s="4"/>
      <c r="B256" s="3" t="b">
        <v>1</v>
      </c>
      <c r="C256" s="3" t="b">
        <v>1</v>
      </c>
      <c r="D256" s="3" t="b">
        <v>1</v>
      </c>
      <c r="E256" s="3" t="b">
        <v>1</v>
      </c>
      <c r="F256" s="3" t="b">
        <v>1</v>
      </c>
      <c r="G256" s="3" t="b">
        <v>1</v>
      </c>
      <c r="H256" s="3" t="b">
        <v>1</v>
      </c>
      <c r="I256" s="3" t="b">
        <v>1</v>
      </c>
      <c r="J256" s="3" t="b">
        <v>1</v>
      </c>
      <c r="K256" s="3" t="b">
        <v>0</v>
      </c>
      <c r="L256" s="6" t="b">
        <v>0</v>
      </c>
      <c r="M256" s="6" t="b">
        <v>0</v>
      </c>
      <c r="N256" s="6" t="b">
        <v>0</v>
      </c>
      <c r="O256" s="6" t="b">
        <v>0</v>
      </c>
      <c r="P256" s="6" t="b">
        <v>0</v>
      </c>
      <c r="Q256" s="6" t="b">
        <v>0</v>
      </c>
      <c r="R256" s="6" t="b">
        <v>0</v>
      </c>
      <c r="S256" s="6" t="b">
        <v>0</v>
      </c>
      <c r="T256" s="6" t="b">
        <v>0</v>
      </c>
      <c r="U256" s="6" t="b">
        <v>0</v>
      </c>
      <c r="V256" s="6" t="b">
        <v>0</v>
      </c>
      <c r="W256" s="6" t="b">
        <v>0</v>
      </c>
      <c r="X256" s="6" t="b">
        <v>0</v>
      </c>
      <c r="Y256" s="6" t="b">
        <v>0</v>
      </c>
      <c r="Z256" s="6" t="b">
        <v>0</v>
      </c>
      <c r="AA256" s="6" t="b">
        <v>0</v>
      </c>
      <c r="AB256" s="6" t="b">
        <v>0</v>
      </c>
      <c r="AC256" s="6" t="b">
        <v>0</v>
      </c>
      <c r="AD256" s="6" t="b">
        <v>0</v>
      </c>
      <c r="AE256" s="6" t="b">
        <v>0</v>
      </c>
      <c r="AF256" s="6" t="b">
        <v>0</v>
      </c>
      <c r="AG256" s="6" t="b">
        <v>0</v>
      </c>
      <c r="AH256" s="6" t="b">
        <v>0</v>
      </c>
      <c r="AI256" s="6" t="b">
        <v>0</v>
      </c>
      <c r="AJ256" s="6" t="b">
        <v>0</v>
      </c>
      <c r="AK256" s="6" t="b">
        <v>0</v>
      </c>
      <c r="AL256" s="6" t="b">
        <v>0</v>
      </c>
      <c r="AM256" s="6" t="b">
        <v>0</v>
      </c>
      <c r="AN256" s="6" t="b">
        <v>0</v>
      </c>
      <c r="AO256" s="6" t="b">
        <v>0</v>
      </c>
    </row>
    <row r="257">
      <c r="A257" s="4" t="s">
        <v>46</v>
      </c>
      <c r="D257" s="3">
        <v>4.0</v>
      </c>
      <c r="K257" s="3">
        <v>0.0</v>
      </c>
    </row>
    <row r="258">
      <c r="A258" s="4" t="s">
        <v>47</v>
      </c>
      <c r="B258" s="3">
        <v>4.0</v>
      </c>
      <c r="K258" s="3">
        <v>0.0</v>
      </c>
    </row>
    <row r="259">
      <c r="A259" s="4" t="s">
        <v>48</v>
      </c>
      <c r="I259" s="3">
        <v>4.0</v>
      </c>
      <c r="K259" s="3">
        <v>0.0</v>
      </c>
    </row>
    <row r="260">
      <c r="A260" s="4" t="s">
        <v>49</v>
      </c>
      <c r="G260" s="3">
        <v>4.0</v>
      </c>
      <c r="K260" s="3">
        <v>0.0</v>
      </c>
    </row>
    <row r="261">
      <c r="A261" s="4" t="s">
        <v>50</v>
      </c>
      <c r="J261" s="3">
        <v>4.0</v>
      </c>
      <c r="K261" s="3">
        <v>0.0</v>
      </c>
    </row>
    <row r="262">
      <c r="A262" s="4" t="s">
        <v>51</v>
      </c>
      <c r="K262" s="3">
        <v>0.0</v>
      </c>
    </row>
    <row r="263">
      <c r="A263" s="4" t="s">
        <v>46</v>
      </c>
      <c r="K263" s="3">
        <v>0.0</v>
      </c>
    </row>
    <row r="264">
      <c r="A264" s="4" t="s">
        <v>47</v>
      </c>
      <c r="B264" s="3">
        <v>4.0</v>
      </c>
      <c r="K264" s="3">
        <v>0.0</v>
      </c>
    </row>
    <row r="265">
      <c r="A265" s="4" t="s">
        <v>48</v>
      </c>
      <c r="G265" s="3">
        <v>4.0</v>
      </c>
      <c r="K265" s="3">
        <v>0.0</v>
      </c>
    </row>
    <row r="266">
      <c r="A266" s="4" t="s">
        <v>49</v>
      </c>
      <c r="H266" s="3">
        <v>4.0</v>
      </c>
      <c r="K266" s="3">
        <v>0.0</v>
      </c>
    </row>
    <row r="267">
      <c r="A267" s="4" t="s">
        <v>50</v>
      </c>
      <c r="J267" s="3">
        <v>-4.0</v>
      </c>
      <c r="K267" s="3">
        <v>0.0</v>
      </c>
    </row>
    <row r="268">
      <c r="A268" s="4" t="s">
        <v>51</v>
      </c>
      <c r="I268" s="3">
        <v>4.0</v>
      </c>
      <c r="K268" s="3">
        <v>0.0</v>
      </c>
    </row>
    <row r="269">
      <c r="A269" s="4"/>
    </row>
    <row r="270">
      <c r="A270" s="4"/>
    </row>
    <row r="271">
      <c r="A271" s="4"/>
      <c r="B271" s="3" t="s">
        <v>4</v>
      </c>
      <c r="C271" s="3" t="s">
        <v>4</v>
      </c>
      <c r="D271" s="3" t="s">
        <v>4</v>
      </c>
      <c r="E271" s="3" t="s">
        <v>4</v>
      </c>
      <c r="F271" s="3" t="s">
        <v>4</v>
      </c>
      <c r="G271" s="3" t="s">
        <v>1</v>
      </c>
      <c r="H271" s="3" t="s">
        <v>1</v>
      </c>
      <c r="I271" s="3" t="s">
        <v>1</v>
      </c>
      <c r="J271" s="3" t="s">
        <v>1</v>
      </c>
      <c r="K271" s="3" t="s">
        <v>1</v>
      </c>
      <c r="L271" s="6" t="s">
        <v>7</v>
      </c>
      <c r="M271" s="6" t="s">
        <v>7</v>
      </c>
      <c r="N271" s="6" t="s">
        <v>7</v>
      </c>
      <c r="O271" s="6" t="s">
        <v>7</v>
      </c>
      <c r="P271" s="6" t="s">
        <v>7</v>
      </c>
      <c r="Q271" s="6" t="s">
        <v>2</v>
      </c>
      <c r="R271" s="6" t="s">
        <v>2</v>
      </c>
      <c r="S271" s="6" t="s">
        <v>2</v>
      </c>
      <c r="T271" s="6" t="s">
        <v>2</v>
      </c>
      <c r="U271" s="6" t="s">
        <v>2</v>
      </c>
      <c r="V271" s="6" t="s">
        <v>5</v>
      </c>
      <c r="W271" s="6" t="s">
        <v>5</v>
      </c>
      <c r="X271" s="6" t="s">
        <v>5</v>
      </c>
      <c r="Y271" s="6" t="s">
        <v>5</v>
      </c>
      <c r="Z271" s="6" t="s">
        <v>5</v>
      </c>
      <c r="AA271" s="3" t="s">
        <v>3</v>
      </c>
      <c r="AB271" s="3" t="s">
        <v>3</v>
      </c>
      <c r="AC271" s="3" t="s">
        <v>3</v>
      </c>
      <c r="AD271" s="3" t="s">
        <v>3</v>
      </c>
      <c r="AE271" s="3" t="s">
        <v>3</v>
      </c>
      <c r="AF271" s="6" t="s">
        <v>0</v>
      </c>
      <c r="AG271" s="6" t="s">
        <v>0</v>
      </c>
      <c r="AH271" s="6" t="s">
        <v>0</v>
      </c>
      <c r="AI271" s="6" t="s">
        <v>0</v>
      </c>
      <c r="AJ271" s="6" t="s">
        <v>0</v>
      </c>
      <c r="AK271" s="6" t="s">
        <v>6</v>
      </c>
      <c r="AL271" s="6" t="s">
        <v>6</v>
      </c>
      <c r="AM271" s="6" t="s">
        <v>6</v>
      </c>
      <c r="AN271" s="6" t="s">
        <v>6</v>
      </c>
      <c r="AO271" s="6" t="s">
        <v>6</v>
      </c>
    </row>
    <row r="272">
      <c r="A272" s="4"/>
      <c r="B272" s="3" t="s">
        <v>28</v>
      </c>
      <c r="C272" s="3" t="s">
        <v>29</v>
      </c>
      <c r="D272" s="3" t="s">
        <v>30</v>
      </c>
      <c r="E272" s="3" t="s">
        <v>31</v>
      </c>
      <c r="F272" s="3" t="s">
        <v>32</v>
      </c>
      <c r="G272" s="3" t="s">
        <v>15</v>
      </c>
      <c r="H272" s="3" t="s">
        <v>16</v>
      </c>
      <c r="I272" s="3" t="s">
        <v>17</v>
      </c>
      <c r="J272" s="3" t="s">
        <v>18</v>
      </c>
      <c r="L272" s="6" t="s">
        <v>42</v>
      </c>
      <c r="M272" s="6" t="s">
        <v>43</v>
      </c>
      <c r="N272" s="6" t="s">
        <v>44</v>
      </c>
      <c r="O272" s="6" t="s">
        <v>45</v>
      </c>
      <c r="Q272" s="6" t="s">
        <v>19</v>
      </c>
      <c r="R272" s="6" t="s">
        <v>20</v>
      </c>
      <c r="S272" s="6" t="s">
        <v>21</v>
      </c>
      <c r="T272" s="6" t="s">
        <v>22</v>
      </c>
      <c r="V272" s="6" t="s">
        <v>33</v>
      </c>
      <c r="W272" s="6" t="s">
        <v>34</v>
      </c>
      <c r="X272" s="6" t="s">
        <v>35</v>
      </c>
      <c r="Y272" s="6" t="s">
        <v>36</v>
      </c>
      <c r="Z272" s="6" t="s">
        <v>37</v>
      </c>
      <c r="AA272" s="3" t="s">
        <v>23</v>
      </c>
      <c r="AB272" s="3" t="s">
        <v>24</v>
      </c>
      <c r="AC272" s="3" t="s">
        <v>25</v>
      </c>
      <c r="AD272" s="3" t="s">
        <v>26</v>
      </c>
      <c r="AE272" s="3" t="s">
        <v>27</v>
      </c>
      <c r="AF272" s="6" t="s">
        <v>10</v>
      </c>
      <c r="AG272" s="6" t="s">
        <v>11</v>
      </c>
      <c r="AH272" s="6" t="s">
        <v>12</v>
      </c>
      <c r="AI272" s="6" t="s">
        <v>13</v>
      </c>
      <c r="AJ272" s="6" t="s">
        <v>14</v>
      </c>
      <c r="AK272" s="6" t="s">
        <v>38</v>
      </c>
      <c r="AL272" s="6" t="s">
        <v>39</v>
      </c>
      <c r="AM272" s="6" t="s">
        <v>40</v>
      </c>
      <c r="AN272" s="6" t="s">
        <v>41</v>
      </c>
    </row>
    <row r="273">
      <c r="A273" s="4"/>
      <c r="B273" s="3" t="b">
        <v>1</v>
      </c>
      <c r="C273" s="3" t="b">
        <v>1</v>
      </c>
      <c r="D273" s="3" t="b">
        <v>1</v>
      </c>
      <c r="E273" s="3" t="b">
        <v>1</v>
      </c>
      <c r="F273" s="3" t="b">
        <v>1</v>
      </c>
      <c r="G273" s="3" t="b">
        <v>1</v>
      </c>
      <c r="H273" s="3" t="b">
        <v>1</v>
      </c>
      <c r="I273" s="3" t="b">
        <v>1</v>
      </c>
      <c r="J273" s="3" t="b">
        <v>1</v>
      </c>
      <c r="K273" s="3" t="b">
        <v>0</v>
      </c>
      <c r="L273" s="6" t="b">
        <v>0</v>
      </c>
      <c r="M273" s="6" t="b">
        <v>0</v>
      </c>
      <c r="N273" s="6" t="b">
        <v>0</v>
      </c>
      <c r="O273" s="6" t="b">
        <v>0</v>
      </c>
      <c r="P273" s="6" t="b">
        <v>0</v>
      </c>
      <c r="Q273" s="6" t="b">
        <v>0</v>
      </c>
      <c r="R273" s="6" t="b">
        <v>0</v>
      </c>
      <c r="S273" s="6" t="b">
        <v>0</v>
      </c>
      <c r="T273" s="6" t="b">
        <v>0</v>
      </c>
      <c r="U273" s="6" t="b">
        <v>0</v>
      </c>
      <c r="V273" s="6" t="b">
        <v>0</v>
      </c>
      <c r="W273" s="6" t="b">
        <v>0</v>
      </c>
      <c r="X273" s="6" t="b">
        <v>0</v>
      </c>
      <c r="Y273" s="6" t="b">
        <v>0</v>
      </c>
      <c r="Z273" s="6" t="b">
        <v>0</v>
      </c>
      <c r="AA273" s="6" t="b">
        <v>0</v>
      </c>
      <c r="AB273" s="6" t="b">
        <v>0</v>
      </c>
      <c r="AC273" s="6" t="b">
        <v>0</v>
      </c>
      <c r="AD273" s="6" t="b">
        <v>0</v>
      </c>
      <c r="AE273" s="6" t="b">
        <v>0</v>
      </c>
      <c r="AF273" s="6" t="b">
        <v>0</v>
      </c>
      <c r="AG273" s="6" t="b">
        <v>0</v>
      </c>
      <c r="AH273" s="6" t="b">
        <v>0</v>
      </c>
      <c r="AI273" s="6" t="b">
        <v>0</v>
      </c>
      <c r="AJ273" s="6" t="b">
        <v>0</v>
      </c>
      <c r="AK273" s="6" t="b">
        <v>0</v>
      </c>
      <c r="AL273" s="6" t="b">
        <v>0</v>
      </c>
      <c r="AM273" s="6" t="b">
        <v>0</v>
      </c>
      <c r="AN273" s="6" t="b">
        <v>0</v>
      </c>
      <c r="AO273" s="6" t="b">
        <v>0</v>
      </c>
    </row>
    <row r="274">
      <c r="A274" s="4" t="s">
        <v>46</v>
      </c>
      <c r="J274" s="3">
        <v>4.0</v>
      </c>
      <c r="K274" s="3">
        <v>0.0</v>
      </c>
    </row>
    <row r="275">
      <c r="A275" s="4" t="s">
        <v>47</v>
      </c>
      <c r="G275" s="3">
        <v>4.0</v>
      </c>
      <c r="K275" s="3">
        <v>0.0</v>
      </c>
    </row>
    <row r="276">
      <c r="A276" s="4" t="s">
        <v>48</v>
      </c>
      <c r="C276" s="3">
        <v>4.0</v>
      </c>
      <c r="K276" s="3">
        <v>0.0</v>
      </c>
    </row>
    <row r="277">
      <c r="A277" s="4" t="s">
        <v>49</v>
      </c>
      <c r="G277" s="3">
        <v>4.0</v>
      </c>
      <c r="K277" s="3">
        <v>0.0</v>
      </c>
    </row>
    <row r="278">
      <c r="A278" s="4" t="s">
        <v>50</v>
      </c>
      <c r="C278" s="3">
        <v>-4.0</v>
      </c>
      <c r="J278" s="3">
        <v>4.0</v>
      </c>
      <c r="K278" s="3">
        <v>0.0</v>
      </c>
    </row>
    <row r="279">
      <c r="A279" s="4" t="s">
        <v>51</v>
      </c>
      <c r="B279" s="3">
        <v>4.0</v>
      </c>
      <c r="K279" s="3">
        <v>0.0</v>
      </c>
    </row>
    <row r="280">
      <c r="A280" s="4" t="s">
        <v>46</v>
      </c>
      <c r="D280" s="3">
        <v>4.0</v>
      </c>
      <c r="K280" s="3">
        <v>0.0</v>
      </c>
    </row>
    <row r="281">
      <c r="A281" s="4" t="s">
        <v>47</v>
      </c>
      <c r="G281" s="3">
        <v>4.0</v>
      </c>
      <c r="K281" s="3">
        <v>0.0</v>
      </c>
    </row>
    <row r="282">
      <c r="A282" s="4" t="s">
        <v>48</v>
      </c>
      <c r="K282" s="3">
        <v>0.0</v>
      </c>
    </row>
    <row r="283">
      <c r="A283" s="4" t="s">
        <v>49</v>
      </c>
      <c r="C283" s="3">
        <v>4.0</v>
      </c>
      <c r="K283" s="3">
        <v>0.0</v>
      </c>
    </row>
    <row r="284">
      <c r="A284" s="4" t="s">
        <v>50</v>
      </c>
      <c r="J284" s="3">
        <v>4.0</v>
      </c>
      <c r="K284" s="3">
        <v>0.0</v>
      </c>
    </row>
    <row r="285">
      <c r="A285" s="4" t="s">
        <v>51</v>
      </c>
      <c r="B285" s="3">
        <v>4.0</v>
      </c>
      <c r="K285" s="3">
        <v>0.0</v>
      </c>
    </row>
    <row r="286">
      <c r="A286" s="4"/>
      <c r="B286" s="3" t="b">
        <v>1</v>
      </c>
      <c r="C286" s="3" t="b">
        <v>1</v>
      </c>
      <c r="D286" s="3" t="b">
        <v>1</v>
      </c>
      <c r="E286" s="3" t="b">
        <v>1</v>
      </c>
      <c r="F286" s="3" t="b">
        <v>1</v>
      </c>
      <c r="G286" s="3" t="b">
        <v>1</v>
      </c>
      <c r="H286" s="3" t="b">
        <v>1</v>
      </c>
      <c r="I286" s="3" t="b">
        <v>1</v>
      </c>
      <c r="J286" s="3" t="b">
        <v>1</v>
      </c>
      <c r="K286" s="3" t="b">
        <v>0</v>
      </c>
      <c r="L286" s="6" t="b">
        <v>0</v>
      </c>
      <c r="M286" s="6" t="b">
        <v>0</v>
      </c>
      <c r="N286" s="6" t="b">
        <v>0</v>
      </c>
      <c r="O286" s="6" t="b">
        <v>0</v>
      </c>
      <c r="P286" s="6" t="b">
        <v>0</v>
      </c>
      <c r="Q286" s="6" t="b">
        <v>0</v>
      </c>
      <c r="R286" s="6" t="b">
        <v>0</v>
      </c>
      <c r="S286" s="6" t="b">
        <v>0</v>
      </c>
      <c r="T286" s="6" t="b">
        <v>0</v>
      </c>
      <c r="U286" s="6" t="b">
        <v>0</v>
      </c>
      <c r="V286" s="6" t="b">
        <v>0</v>
      </c>
      <c r="W286" s="6" t="b">
        <v>0</v>
      </c>
      <c r="X286" s="6" t="b">
        <v>0</v>
      </c>
      <c r="Y286" s="6" t="b">
        <v>0</v>
      </c>
      <c r="Z286" s="6" t="b">
        <v>0</v>
      </c>
      <c r="AA286" s="6" t="b">
        <v>0</v>
      </c>
      <c r="AB286" s="6" t="b">
        <v>0</v>
      </c>
      <c r="AC286" s="6" t="b">
        <v>0</v>
      </c>
      <c r="AD286" s="6" t="b">
        <v>0</v>
      </c>
      <c r="AE286" s="6" t="b">
        <v>0</v>
      </c>
      <c r="AF286" s="6" t="b">
        <v>0</v>
      </c>
      <c r="AG286" s="6" t="b">
        <v>0</v>
      </c>
      <c r="AH286" s="6" t="b">
        <v>0</v>
      </c>
      <c r="AI286" s="6" t="b">
        <v>0</v>
      </c>
      <c r="AJ286" s="6" t="b">
        <v>0</v>
      </c>
      <c r="AK286" s="6" t="b">
        <v>0</v>
      </c>
      <c r="AL286" s="6" t="b">
        <v>0</v>
      </c>
      <c r="AM286" s="6" t="b">
        <v>0</v>
      </c>
      <c r="AN286" s="6" t="b">
        <v>0</v>
      </c>
      <c r="AO286" s="6" t="b">
        <v>0</v>
      </c>
    </row>
    <row r="287">
      <c r="A287" s="4" t="s">
        <v>46</v>
      </c>
      <c r="J287" s="3">
        <v>-4.0</v>
      </c>
      <c r="K287" s="3">
        <v>0.0</v>
      </c>
    </row>
    <row r="288">
      <c r="A288" s="4" t="s">
        <v>47</v>
      </c>
      <c r="B288" s="3">
        <v>4.0</v>
      </c>
      <c r="K288" s="3">
        <v>0.0</v>
      </c>
    </row>
    <row r="289">
      <c r="A289" s="4" t="s">
        <v>48</v>
      </c>
      <c r="C289" s="3">
        <v>4.0</v>
      </c>
      <c r="K289" s="3">
        <v>0.0</v>
      </c>
    </row>
    <row r="290">
      <c r="A290" s="4" t="s">
        <v>49</v>
      </c>
      <c r="G290" s="3">
        <v>4.0</v>
      </c>
      <c r="K290" s="3">
        <v>0.0</v>
      </c>
    </row>
    <row r="291">
      <c r="A291" s="4" t="s">
        <v>50</v>
      </c>
      <c r="J291" s="3">
        <v>4.0</v>
      </c>
      <c r="K291" s="3">
        <v>0.0</v>
      </c>
    </row>
    <row r="292">
      <c r="A292" s="4" t="s">
        <v>51</v>
      </c>
      <c r="H292" s="3">
        <v>4.0</v>
      </c>
      <c r="K292" s="3">
        <v>0.0</v>
      </c>
    </row>
    <row r="293">
      <c r="A293" s="4" t="s">
        <v>46</v>
      </c>
      <c r="C293" s="3">
        <v>4.0</v>
      </c>
      <c r="K293" s="3">
        <v>0.0</v>
      </c>
    </row>
    <row r="294">
      <c r="A294" s="4" t="s">
        <v>47</v>
      </c>
      <c r="B294" s="3">
        <v>4.0</v>
      </c>
      <c r="K294" s="3">
        <v>0.0</v>
      </c>
    </row>
    <row r="295">
      <c r="A295" s="4" t="s">
        <v>48</v>
      </c>
      <c r="G295" s="3">
        <v>4.0</v>
      </c>
      <c r="K295" s="3">
        <v>0.0</v>
      </c>
    </row>
    <row r="296">
      <c r="A296" s="4" t="s">
        <v>49</v>
      </c>
      <c r="I296" s="3">
        <v>-4.0</v>
      </c>
      <c r="K296" s="3">
        <v>0.0</v>
      </c>
    </row>
    <row r="297">
      <c r="A297" s="4" t="s">
        <v>50</v>
      </c>
      <c r="J297" s="3">
        <v>4.0</v>
      </c>
      <c r="K297" s="3">
        <v>0.0</v>
      </c>
    </row>
    <row r="298">
      <c r="A298" s="4" t="s">
        <v>51</v>
      </c>
      <c r="C298" s="3">
        <v>4.0</v>
      </c>
      <c r="I298" s="3">
        <v>-4.0</v>
      </c>
      <c r="K298" s="3">
        <v>0.0</v>
      </c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 t="s">
        <v>46</v>
      </c>
    </row>
    <row r="305">
      <c r="A305" s="4" t="s">
        <v>47</v>
      </c>
    </row>
    <row r="306">
      <c r="A306" s="4" t="s">
        <v>48</v>
      </c>
    </row>
    <row r="307">
      <c r="A307" s="4" t="s">
        <v>49</v>
      </c>
    </row>
    <row r="308">
      <c r="A308" s="4" t="s">
        <v>50</v>
      </c>
    </row>
    <row r="309">
      <c r="A309" s="4" t="s">
        <v>51</v>
      </c>
    </row>
    <row r="310">
      <c r="A310" s="4" t="s">
        <v>46</v>
      </c>
    </row>
    <row r="311">
      <c r="A311" s="4" t="s">
        <v>47</v>
      </c>
    </row>
    <row r="312">
      <c r="A312" s="4" t="s">
        <v>48</v>
      </c>
    </row>
    <row r="313">
      <c r="A313" s="4" t="s">
        <v>49</v>
      </c>
    </row>
    <row r="314">
      <c r="A314" s="4" t="s">
        <v>50</v>
      </c>
    </row>
    <row r="315">
      <c r="A315" s="4" t="s">
        <v>51</v>
      </c>
    </row>
    <row r="316">
      <c r="A316" s="4"/>
    </row>
    <row r="317">
      <c r="A317" s="4" t="s">
        <v>46</v>
      </c>
    </row>
    <row r="318">
      <c r="A318" s="4" t="s">
        <v>47</v>
      </c>
    </row>
    <row r="319">
      <c r="A319" s="4" t="s">
        <v>48</v>
      </c>
    </row>
    <row r="320">
      <c r="A320" s="4" t="s">
        <v>49</v>
      </c>
    </row>
    <row r="321">
      <c r="A321" s="4" t="s">
        <v>50</v>
      </c>
    </row>
    <row r="322">
      <c r="A322" s="4" t="s">
        <v>51</v>
      </c>
    </row>
    <row r="323">
      <c r="A323" s="4" t="s">
        <v>46</v>
      </c>
    </row>
    <row r="324">
      <c r="A324" s="4" t="s">
        <v>47</v>
      </c>
    </row>
    <row r="325">
      <c r="A325" s="4" t="s">
        <v>48</v>
      </c>
    </row>
    <row r="326">
      <c r="A326" s="4" t="s">
        <v>49</v>
      </c>
    </row>
    <row r="327">
      <c r="A327" s="4" t="s">
        <v>50</v>
      </c>
    </row>
    <row r="328">
      <c r="A328" s="4" t="s">
        <v>51</v>
      </c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  <row r="1001">
      <c r="A100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6" width="7.63"/>
  </cols>
  <sheetData>
    <row r="1">
      <c r="A1" s="2" t="s">
        <v>0</v>
      </c>
      <c r="B1" s="2" t="s">
        <v>0</v>
      </c>
      <c r="C1" s="2" t="s">
        <v>1</v>
      </c>
      <c r="D1" s="2" t="s">
        <v>1</v>
      </c>
      <c r="E1" s="2" t="s">
        <v>2</v>
      </c>
      <c r="F1" s="2" t="s">
        <v>2</v>
      </c>
      <c r="G1" s="2" t="s">
        <v>3</v>
      </c>
      <c r="H1" s="2" t="s">
        <v>3</v>
      </c>
      <c r="I1" s="2" t="s">
        <v>4</v>
      </c>
      <c r="J1" s="2" t="s">
        <v>4</v>
      </c>
      <c r="K1" s="2" t="s">
        <v>5</v>
      </c>
      <c r="L1" s="2" t="s">
        <v>5</v>
      </c>
      <c r="M1" s="2" t="s">
        <v>6</v>
      </c>
      <c r="N1" s="2" t="s">
        <v>6</v>
      </c>
      <c r="O1" s="2" t="s">
        <v>7</v>
      </c>
      <c r="P1" s="2" t="s">
        <v>7</v>
      </c>
    </row>
    <row r="2">
      <c r="A2" s="2" t="s">
        <v>8</v>
      </c>
      <c r="B2" s="2" t="s">
        <v>9</v>
      </c>
      <c r="C2" s="2" t="s">
        <v>8</v>
      </c>
      <c r="D2" s="2" t="s">
        <v>9</v>
      </c>
      <c r="E2" s="2" t="s">
        <v>8</v>
      </c>
      <c r="F2" s="2" t="s">
        <v>9</v>
      </c>
      <c r="G2" s="2" t="s">
        <v>8</v>
      </c>
      <c r="H2" s="2" t="s">
        <v>9</v>
      </c>
      <c r="I2" s="2" t="s">
        <v>8</v>
      </c>
      <c r="J2" s="2" t="s">
        <v>9</v>
      </c>
      <c r="K2" s="2" t="s">
        <v>8</v>
      </c>
      <c r="L2" s="2" t="s">
        <v>9</v>
      </c>
      <c r="M2" s="2" t="s">
        <v>8</v>
      </c>
      <c r="N2" s="2" t="s">
        <v>9</v>
      </c>
      <c r="O2" s="2" t="s">
        <v>8</v>
      </c>
      <c r="P2" s="2" t="s">
        <v>9</v>
      </c>
    </row>
    <row r="4">
      <c r="B4" s="2">
        <v>4.0</v>
      </c>
      <c r="D4" s="2">
        <v>0.0</v>
      </c>
      <c r="F4" s="2">
        <v>4.0</v>
      </c>
      <c r="H4" s="2">
        <v>0.0</v>
      </c>
      <c r="J4" s="2">
        <v>0.0</v>
      </c>
      <c r="K4" s="2">
        <v>10.0</v>
      </c>
      <c r="L4" s="2">
        <v>14.0</v>
      </c>
      <c r="N4" s="2">
        <v>0.0</v>
      </c>
      <c r="O4" s="2">
        <v>10.0</v>
      </c>
      <c r="P4" s="2">
        <v>14.0</v>
      </c>
    </row>
    <row r="5">
      <c r="A5" s="2">
        <v>0.0</v>
      </c>
      <c r="B5" s="2">
        <v>8.0</v>
      </c>
      <c r="D5" s="2">
        <v>0.0</v>
      </c>
      <c r="F5" s="2">
        <v>4.0</v>
      </c>
      <c r="G5" s="2">
        <v>10.0</v>
      </c>
      <c r="H5" s="2">
        <v>14.0</v>
      </c>
      <c r="I5" s="2">
        <v>10.0</v>
      </c>
      <c r="J5" s="2">
        <v>14.0</v>
      </c>
      <c r="L5" s="2">
        <v>14.0</v>
      </c>
      <c r="N5" s="2">
        <v>0.0</v>
      </c>
      <c r="P5" s="2">
        <v>18.0</v>
      </c>
    </row>
    <row r="6">
      <c r="B6" s="2">
        <v>8.0</v>
      </c>
      <c r="C6" s="2">
        <v>0.0</v>
      </c>
      <c r="D6" s="2">
        <v>4.0</v>
      </c>
      <c r="F6" s="2">
        <v>4.0</v>
      </c>
      <c r="G6" s="2">
        <v>0.0</v>
      </c>
      <c r="H6" s="2">
        <v>18.0</v>
      </c>
      <c r="I6" s="2">
        <v>10.0</v>
      </c>
      <c r="J6" s="2">
        <v>28.0</v>
      </c>
      <c r="L6" s="2">
        <v>14.0</v>
      </c>
      <c r="N6" s="2">
        <v>0.0</v>
      </c>
      <c r="O6" s="2">
        <v>0.0</v>
      </c>
      <c r="P6" s="2">
        <v>22.0</v>
      </c>
    </row>
    <row r="7">
      <c r="A7" s="2">
        <v>0.0</v>
      </c>
      <c r="B7" s="2">
        <v>12.0</v>
      </c>
      <c r="D7" s="2">
        <v>4.0</v>
      </c>
      <c r="E7" s="2">
        <v>10.0</v>
      </c>
      <c r="F7" s="2">
        <v>18.0</v>
      </c>
      <c r="H7" s="2">
        <v>18.0</v>
      </c>
      <c r="J7" s="2">
        <v>28.0</v>
      </c>
      <c r="K7" s="2">
        <v>0.0</v>
      </c>
      <c r="L7" s="2">
        <v>18.0</v>
      </c>
      <c r="N7" s="2">
        <v>0.0</v>
      </c>
      <c r="O7" s="2">
        <v>10.0</v>
      </c>
      <c r="P7" s="2">
        <v>36.0</v>
      </c>
    </row>
    <row r="8">
      <c r="B8" s="2">
        <v>12.0</v>
      </c>
      <c r="C8" s="2">
        <v>10.0</v>
      </c>
      <c r="D8" s="2">
        <v>18.0</v>
      </c>
      <c r="F8" s="2">
        <v>18.0</v>
      </c>
      <c r="G8" s="2">
        <v>10.0</v>
      </c>
      <c r="H8" s="2">
        <v>32.0</v>
      </c>
      <c r="I8" s="2">
        <v>10.0</v>
      </c>
      <c r="J8" s="2">
        <v>42.0</v>
      </c>
      <c r="L8" s="2">
        <v>18.0</v>
      </c>
      <c r="N8" s="2">
        <v>0.0</v>
      </c>
      <c r="O8" s="2">
        <v>10.0</v>
      </c>
      <c r="P8" s="2">
        <v>50.0</v>
      </c>
    </row>
    <row r="9">
      <c r="B9" s="2">
        <v>12.0</v>
      </c>
      <c r="C9" s="2">
        <v>10.0</v>
      </c>
      <c r="D9" s="2">
        <v>32.0</v>
      </c>
      <c r="F9" s="2">
        <v>18.0</v>
      </c>
      <c r="G9" s="2">
        <v>10.0</v>
      </c>
      <c r="H9" s="2">
        <v>46.0</v>
      </c>
      <c r="J9" s="2">
        <v>42.0</v>
      </c>
      <c r="K9" s="2">
        <v>0.0</v>
      </c>
      <c r="L9" s="2">
        <v>22.0</v>
      </c>
      <c r="N9" s="2">
        <v>0.0</v>
      </c>
      <c r="O9" s="2">
        <v>0.0</v>
      </c>
      <c r="P9" s="2">
        <v>54.0</v>
      </c>
    </row>
    <row r="10">
      <c r="B10" s="2">
        <v>12.0</v>
      </c>
      <c r="C10" s="2">
        <v>10.0</v>
      </c>
      <c r="D10" s="2">
        <v>46.0</v>
      </c>
      <c r="F10" s="2">
        <v>18.0</v>
      </c>
      <c r="H10" s="2">
        <v>46.0</v>
      </c>
      <c r="I10" s="2">
        <v>10.0</v>
      </c>
      <c r="J10" s="2">
        <v>56.0</v>
      </c>
      <c r="L10" s="2">
        <v>22.0</v>
      </c>
      <c r="M10" s="2">
        <v>10.0</v>
      </c>
      <c r="N10" s="2">
        <v>14.0</v>
      </c>
      <c r="P10" s="2">
        <v>54.0</v>
      </c>
    </row>
    <row r="11">
      <c r="B11" s="2">
        <v>12.0</v>
      </c>
      <c r="D11" s="2">
        <v>46.0</v>
      </c>
      <c r="F11" s="2">
        <v>18.0</v>
      </c>
      <c r="G11" s="2">
        <v>10.0</v>
      </c>
      <c r="H11" s="2">
        <v>60.0</v>
      </c>
      <c r="J11" s="2">
        <v>56.0</v>
      </c>
      <c r="K11" s="2">
        <v>10.0</v>
      </c>
      <c r="L11" s="2">
        <v>36.0</v>
      </c>
      <c r="M11" s="2">
        <v>10.0</v>
      </c>
      <c r="N11" s="2">
        <v>28.0</v>
      </c>
      <c r="P11" s="2">
        <v>54.0</v>
      </c>
    </row>
    <row r="12">
      <c r="B12" s="2">
        <v>12.0</v>
      </c>
      <c r="D12" s="2">
        <v>46.0</v>
      </c>
      <c r="F12" s="2">
        <v>18.0</v>
      </c>
      <c r="G12" s="2">
        <v>10.0</v>
      </c>
      <c r="H12" s="2">
        <v>74.0</v>
      </c>
      <c r="J12" s="2">
        <v>56.0</v>
      </c>
      <c r="K12" s="2">
        <v>10.0</v>
      </c>
      <c r="L12" s="2">
        <v>54.0</v>
      </c>
      <c r="N12" s="2">
        <v>28.0</v>
      </c>
      <c r="P12" s="2">
        <v>54.0</v>
      </c>
    </row>
    <row r="13">
      <c r="B13" s="2">
        <v>12.0</v>
      </c>
      <c r="C13" s="2">
        <v>10.0</v>
      </c>
      <c r="D13" s="2">
        <v>60.0</v>
      </c>
      <c r="F13" s="2">
        <v>18.0</v>
      </c>
      <c r="G13" s="2">
        <v>10.0</v>
      </c>
      <c r="H13" s="2">
        <v>88.0</v>
      </c>
      <c r="I13" s="2">
        <v>10.0</v>
      </c>
      <c r="J13" s="2">
        <v>70.0</v>
      </c>
      <c r="L13" s="2">
        <v>54.0</v>
      </c>
      <c r="M13" s="2">
        <v>10.0</v>
      </c>
      <c r="N13" s="2">
        <v>42.0</v>
      </c>
      <c r="P13" s="2">
        <v>54.0</v>
      </c>
    </row>
    <row r="14">
      <c r="B14" s="2">
        <v>16.0</v>
      </c>
      <c r="D14" s="2">
        <v>60.0</v>
      </c>
      <c r="E14" s="2">
        <v>0.0</v>
      </c>
      <c r="F14" s="2">
        <v>22.0</v>
      </c>
      <c r="H14" s="2">
        <v>88.0</v>
      </c>
      <c r="I14" s="2">
        <v>10.0</v>
      </c>
      <c r="J14" s="2">
        <v>84.0</v>
      </c>
      <c r="L14" s="2">
        <v>54.0</v>
      </c>
      <c r="N14" s="2">
        <v>42.0</v>
      </c>
      <c r="P14" s="2">
        <v>54.0</v>
      </c>
    </row>
    <row r="15">
      <c r="B15" s="2">
        <v>16.0</v>
      </c>
      <c r="C15" s="2">
        <v>10.0</v>
      </c>
      <c r="D15" s="2">
        <v>74.0</v>
      </c>
      <c r="F15" s="2">
        <v>22.0</v>
      </c>
      <c r="G15" s="2">
        <v>0.0</v>
      </c>
      <c r="H15" s="2">
        <v>92.0</v>
      </c>
      <c r="I15" s="2">
        <v>10.0</v>
      </c>
      <c r="J15" s="2">
        <v>98.0</v>
      </c>
      <c r="L15" s="2">
        <v>54.0</v>
      </c>
      <c r="N15" s="2">
        <v>42.0</v>
      </c>
      <c r="O15" s="2">
        <v>0.0</v>
      </c>
      <c r="P15" s="2">
        <v>58.0</v>
      </c>
    </row>
    <row r="17">
      <c r="B17" s="2">
        <v>16.0</v>
      </c>
      <c r="C17" s="2">
        <v>10.0</v>
      </c>
      <c r="D17" s="2">
        <v>88.0</v>
      </c>
      <c r="F17" s="2">
        <v>22.0</v>
      </c>
      <c r="G17" s="2">
        <v>10.0</v>
      </c>
      <c r="H17" s="2">
        <v>106.0</v>
      </c>
      <c r="I17" s="2">
        <v>10.0</v>
      </c>
      <c r="J17" s="2">
        <v>112.0</v>
      </c>
      <c r="L17" s="2">
        <v>54.0</v>
      </c>
      <c r="M17" s="2">
        <v>0.0</v>
      </c>
      <c r="N17" s="2">
        <v>46.0</v>
      </c>
      <c r="P17" s="2">
        <v>58.0</v>
      </c>
    </row>
    <row r="18">
      <c r="B18" s="2">
        <v>16.0</v>
      </c>
      <c r="C18" s="2">
        <v>10.0</v>
      </c>
      <c r="D18" s="2">
        <v>102.0</v>
      </c>
      <c r="F18" s="2">
        <v>22.0</v>
      </c>
      <c r="G18" s="2">
        <v>10.0</v>
      </c>
      <c r="H18" s="2">
        <v>120.0</v>
      </c>
      <c r="I18" s="2">
        <v>10.0</v>
      </c>
      <c r="J18" s="2">
        <v>126.0</v>
      </c>
      <c r="L18" s="2">
        <v>54.0</v>
      </c>
      <c r="M18" s="2">
        <v>10.0</v>
      </c>
      <c r="N18" s="2">
        <v>60.0</v>
      </c>
      <c r="P18" s="2">
        <v>58.0</v>
      </c>
    </row>
    <row r="19">
      <c r="B19" s="2">
        <v>16.0</v>
      </c>
      <c r="C19" s="2">
        <v>10.0</v>
      </c>
      <c r="D19" s="2">
        <v>116.0</v>
      </c>
      <c r="F19" s="2">
        <v>22.0</v>
      </c>
      <c r="H19" s="2">
        <v>120.0</v>
      </c>
      <c r="J19" s="2">
        <v>126.0</v>
      </c>
      <c r="K19" s="2">
        <v>0.0</v>
      </c>
      <c r="L19" s="2">
        <v>58.0</v>
      </c>
      <c r="N19" s="2">
        <v>60.0</v>
      </c>
      <c r="P19" s="2">
        <v>58.0</v>
      </c>
    </row>
    <row r="20">
      <c r="B20" s="2">
        <v>16.0</v>
      </c>
      <c r="C20" s="2">
        <v>10.0</v>
      </c>
      <c r="D20" s="2">
        <v>130.0</v>
      </c>
      <c r="F20" s="2">
        <v>22.0</v>
      </c>
      <c r="H20" s="2">
        <v>124.0</v>
      </c>
      <c r="I20" s="2">
        <v>10.0</v>
      </c>
      <c r="J20" s="2">
        <v>140.0</v>
      </c>
      <c r="L20" s="2">
        <v>58.0</v>
      </c>
      <c r="N20" s="2">
        <v>60.0</v>
      </c>
      <c r="P20" s="2">
        <v>62.0</v>
      </c>
    </row>
    <row r="21">
      <c r="B21" s="2">
        <v>16.0</v>
      </c>
      <c r="C21" s="2">
        <v>10.0</v>
      </c>
      <c r="D21" s="2">
        <v>144.0</v>
      </c>
      <c r="F21" s="2">
        <v>22.0</v>
      </c>
      <c r="G21" s="2">
        <v>10.0</v>
      </c>
      <c r="H21" s="2">
        <v>138.0</v>
      </c>
      <c r="I21" s="2">
        <v>10.0</v>
      </c>
      <c r="J21" s="2">
        <v>154.0</v>
      </c>
      <c r="L21" s="2">
        <v>58.0</v>
      </c>
      <c r="M21" s="2">
        <v>10.0</v>
      </c>
      <c r="N21" s="2">
        <v>74.0</v>
      </c>
      <c r="P21" s="2">
        <v>62.0</v>
      </c>
    </row>
    <row r="22">
      <c r="A22" s="2">
        <v>0.0</v>
      </c>
      <c r="B22" s="2">
        <v>20.0</v>
      </c>
      <c r="D22" s="2">
        <v>144.0</v>
      </c>
      <c r="F22" s="2">
        <v>22.0</v>
      </c>
      <c r="G22" s="2">
        <v>0.0</v>
      </c>
      <c r="H22" s="2">
        <v>142.0</v>
      </c>
      <c r="J22" s="2">
        <v>154.0</v>
      </c>
      <c r="K22" s="2">
        <v>0.0</v>
      </c>
      <c r="L22" s="2">
        <v>62.0</v>
      </c>
      <c r="M22" s="2">
        <v>0.0</v>
      </c>
      <c r="N22" s="2">
        <v>78.0</v>
      </c>
      <c r="P22" s="2">
        <v>62.0</v>
      </c>
    </row>
    <row r="23">
      <c r="B23" s="2">
        <v>20.0</v>
      </c>
      <c r="C23" s="2">
        <v>10.0</v>
      </c>
      <c r="D23" s="2">
        <v>158.0</v>
      </c>
      <c r="F23" s="2">
        <v>22.0</v>
      </c>
      <c r="G23" s="2">
        <v>0.0</v>
      </c>
      <c r="H23" s="2">
        <v>146.0</v>
      </c>
      <c r="J23" s="2">
        <v>154.0</v>
      </c>
      <c r="K23" s="2">
        <v>10.0</v>
      </c>
      <c r="L23" s="2">
        <v>76.0</v>
      </c>
      <c r="M23" s="2">
        <v>0.0</v>
      </c>
      <c r="N23" s="2">
        <v>82.0</v>
      </c>
      <c r="P23" s="2">
        <v>62.0</v>
      </c>
    </row>
    <row r="24">
      <c r="B24" s="2">
        <v>20.0</v>
      </c>
      <c r="C24" s="2">
        <v>10.0</v>
      </c>
      <c r="D24" s="2">
        <v>172.0</v>
      </c>
      <c r="F24" s="2">
        <v>22.0</v>
      </c>
      <c r="G24" s="2">
        <v>10.0</v>
      </c>
      <c r="H24" s="2">
        <v>160.0</v>
      </c>
      <c r="I24" s="2">
        <v>10.0</v>
      </c>
      <c r="J24" s="2">
        <v>168.0</v>
      </c>
      <c r="L24" s="2">
        <v>76.0</v>
      </c>
      <c r="N24" s="2">
        <v>82.0</v>
      </c>
      <c r="O24" s="2">
        <v>10.0</v>
      </c>
      <c r="P24" s="2">
        <v>76.0</v>
      </c>
    </row>
    <row r="25">
      <c r="B25" s="2">
        <v>20.0</v>
      </c>
      <c r="C25" s="2">
        <v>10.0</v>
      </c>
      <c r="D25" s="2">
        <v>186.0</v>
      </c>
      <c r="F25" s="2">
        <v>22.0</v>
      </c>
      <c r="G25" s="2">
        <v>10.0</v>
      </c>
      <c r="H25" s="2">
        <v>174.0</v>
      </c>
      <c r="I25" s="2">
        <v>10.0</v>
      </c>
      <c r="J25" s="2">
        <v>182.0</v>
      </c>
      <c r="L25" s="2">
        <v>76.0</v>
      </c>
      <c r="M25" s="2">
        <v>10.0</v>
      </c>
      <c r="N25" s="2">
        <v>96.0</v>
      </c>
      <c r="P25" s="2">
        <v>76.0</v>
      </c>
    </row>
    <row r="26">
      <c r="B26" s="2">
        <v>20.0</v>
      </c>
      <c r="C26" s="2">
        <v>10.0</v>
      </c>
      <c r="D26" s="2">
        <v>200.0</v>
      </c>
      <c r="F26" s="2">
        <v>22.0</v>
      </c>
      <c r="G26" s="2">
        <v>0.0</v>
      </c>
      <c r="H26" s="2">
        <v>178.0</v>
      </c>
      <c r="I26" s="2">
        <v>10.0</v>
      </c>
      <c r="J26" s="2">
        <v>196.0</v>
      </c>
      <c r="L26" s="2">
        <v>76.0</v>
      </c>
      <c r="N26" s="2">
        <v>96.0</v>
      </c>
      <c r="O26" s="2">
        <v>10.0</v>
      </c>
      <c r="P26" s="2">
        <v>90.0</v>
      </c>
    </row>
    <row r="27">
      <c r="B27" s="2">
        <v>20.0</v>
      </c>
      <c r="C27" s="2">
        <v>10.0</v>
      </c>
      <c r="D27" s="2">
        <v>214.0</v>
      </c>
      <c r="F27" s="2">
        <v>22.0</v>
      </c>
      <c r="G27" s="2">
        <v>0.0</v>
      </c>
      <c r="H27" s="2">
        <v>182.0</v>
      </c>
      <c r="J27" s="2">
        <v>196.0</v>
      </c>
      <c r="K27" s="2">
        <v>10.0</v>
      </c>
      <c r="L27" s="2">
        <v>90.0</v>
      </c>
      <c r="M27" s="2">
        <v>0.0</v>
      </c>
      <c r="N27" s="2">
        <v>100.0</v>
      </c>
      <c r="P27" s="2">
        <v>90.0</v>
      </c>
    </row>
    <row r="28">
      <c r="B28" s="2">
        <v>20.0</v>
      </c>
      <c r="C28" s="2">
        <v>0.0</v>
      </c>
      <c r="D28" s="2">
        <v>218.0</v>
      </c>
      <c r="E28" s="2">
        <v>0.0</v>
      </c>
      <c r="F28" s="2">
        <v>26.0</v>
      </c>
      <c r="H28" s="2">
        <v>182.0</v>
      </c>
      <c r="J28" s="2">
        <v>196.0</v>
      </c>
      <c r="K28" s="2">
        <v>0.0</v>
      </c>
      <c r="L28" s="2">
        <v>94.0</v>
      </c>
      <c r="N28" s="2">
        <v>100.0</v>
      </c>
      <c r="O28" s="2">
        <v>0.0</v>
      </c>
      <c r="P28" s="2">
        <v>94.0</v>
      </c>
    </row>
    <row r="31">
      <c r="A31" s="2" t="s">
        <v>1</v>
      </c>
      <c r="B31" s="2" t="s">
        <v>1</v>
      </c>
      <c r="C31" s="2" t="s">
        <v>3</v>
      </c>
      <c r="D31" s="2" t="s">
        <v>3</v>
      </c>
      <c r="E31" s="2" t="s">
        <v>2</v>
      </c>
      <c r="F31" s="2" t="s">
        <v>2</v>
      </c>
      <c r="G31" s="2" t="s">
        <v>0</v>
      </c>
      <c r="H31" s="2" t="s">
        <v>0</v>
      </c>
      <c r="I31" s="2" t="s">
        <v>6</v>
      </c>
      <c r="J31" s="2" t="s">
        <v>6</v>
      </c>
      <c r="K31" s="2" t="s">
        <v>5</v>
      </c>
      <c r="L31" s="2" t="s">
        <v>5</v>
      </c>
      <c r="M31" s="2" t="s">
        <v>4</v>
      </c>
      <c r="N31" s="2" t="s">
        <v>4</v>
      </c>
      <c r="O31" s="2" t="s">
        <v>7</v>
      </c>
      <c r="P31" s="2" t="s">
        <v>7</v>
      </c>
    </row>
    <row r="32">
      <c r="A32" s="2" t="s">
        <v>8</v>
      </c>
      <c r="B32" s="2" t="s">
        <v>9</v>
      </c>
      <c r="C32" s="2" t="s">
        <v>8</v>
      </c>
      <c r="D32" s="2" t="s">
        <v>9</v>
      </c>
      <c r="E32" s="2" t="s">
        <v>8</v>
      </c>
      <c r="F32" s="2" t="s">
        <v>9</v>
      </c>
      <c r="G32" s="2" t="s">
        <v>8</v>
      </c>
      <c r="H32" s="2" t="s">
        <v>9</v>
      </c>
      <c r="I32" s="2" t="s">
        <v>8</v>
      </c>
      <c r="J32" s="2" t="s">
        <v>9</v>
      </c>
      <c r="K32" s="2" t="s">
        <v>8</v>
      </c>
      <c r="L32" s="2" t="s">
        <v>9</v>
      </c>
      <c r="M32" s="2" t="s">
        <v>8</v>
      </c>
      <c r="N32" s="2" t="s">
        <v>9</v>
      </c>
      <c r="O32" s="2" t="s">
        <v>8</v>
      </c>
      <c r="P32" s="2" t="s">
        <v>9</v>
      </c>
    </row>
    <row r="34">
      <c r="B34" s="2">
        <v>0.0</v>
      </c>
      <c r="C34" s="2">
        <v>10.0</v>
      </c>
      <c r="D34" s="2">
        <v>14.0</v>
      </c>
      <c r="E34" s="2">
        <v>10.0</v>
      </c>
      <c r="F34" s="2">
        <v>14.0</v>
      </c>
      <c r="H34" s="2">
        <v>0.0</v>
      </c>
      <c r="J34" s="2">
        <v>0.0</v>
      </c>
      <c r="K34" s="2">
        <v>10.0</v>
      </c>
      <c r="L34" s="2">
        <v>14.0</v>
      </c>
      <c r="M34" s="2">
        <v>10.0</v>
      </c>
      <c r="N34" s="2">
        <v>14.0</v>
      </c>
      <c r="P34" s="2">
        <v>0.0</v>
      </c>
    </row>
    <row r="35">
      <c r="A35" s="2">
        <v>10.0</v>
      </c>
      <c r="B35" s="2">
        <v>14.0</v>
      </c>
      <c r="D35" s="2">
        <v>14.0</v>
      </c>
      <c r="F35" s="2">
        <v>14.0</v>
      </c>
      <c r="G35" s="2">
        <v>0.0</v>
      </c>
      <c r="H35" s="2">
        <v>4.0</v>
      </c>
      <c r="J35" s="2">
        <v>0.0</v>
      </c>
      <c r="K35" s="2">
        <v>0.0</v>
      </c>
      <c r="L35" s="2">
        <v>18.0</v>
      </c>
      <c r="M35" s="2">
        <v>10.0</v>
      </c>
      <c r="N35" s="2">
        <v>28.0</v>
      </c>
      <c r="P35" s="2">
        <v>0.0</v>
      </c>
    </row>
    <row r="36">
      <c r="B36" s="2">
        <v>14.0</v>
      </c>
      <c r="C36" s="2">
        <v>10.0</v>
      </c>
      <c r="D36" s="2">
        <v>32.0</v>
      </c>
      <c r="F36" s="2">
        <v>14.0</v>
      </c>
      <c r="H36" s="2">
        <v>4.0</v>
      </c>
      <c r="J36" s="2">
        <v>0.0</v>
      </c>
      <c r="K36" s="2">
        <v>10.0</v>
      </c>
      <c r="L36" s="2">
        <v>32.0</v>
      </c>
      <c r="M36" s="2">
        <v>10.0</v>
      </c>
      <c r="N36" s="2">
        <v>42.0</v>
      </c>
      <c r="P36" s="2">
        <v>0.0</v>
      </c>
    </row>
    <row r="37">
      <c r="A37" s="2">
        <v>10.0</v>
      </c>
      <c r="B37" s="2">
        <v>28.0</v>
      </c>
      <c r="D37" s="2">
        <v>32.0</v>
      </c>
      <c r="F37" s="2">
        <v>14.0</v>
      </c>
      <c r="G37" s="2">
        <v>10.0</v>
      </c>
      <c r="H37" s="2">
        <v>22.0</v>
      </c>
      <c r="J37" s="2">
        <v>0.0</v>
      </c>
      <c r="K37" s="2">
        <v>0.0</v>
      </c>
      <c r="L37" s="2">
        <v>36.0</v>
      </c>
      <c r="M37" s="2">
        <v>10.0</v>
      </c>
      <c r="N37" s="2">
        <v>56.0</v>
      </c>
      <c r="P37" s="2">
        <v>0.0</v>
      </c>
    </row>
    <row r="38">
      <c r="A38" s="2">
        <v>0.0</v>
      </c>
      <c r="B38" s="2">
        <v>32.0</v>
      </c>
      <c r="D38" s="2">
        <v>32.0</v>
      </c>
      <c r="F38" s="2">
        <v>14.0</v>
      </c>
      <c r="G38" s="2">
        <v>0.0</v>
      </c>
      <c r="H38" s="2">
        <v>26.0</v>
      </c>
      <c r="J38" s="2">
        <v>0.0</v>
      </c>
      <c r="K38" s="2">
        <v>10.0</v>
      </c>
      <c r="L38" s="2">
        <v>50.0</v>
      </c>
      <c r="M38" s="2">
        <v>0.0</v>
      </c>
      <c r="N38" s="2">
        <v>60.0</v>
      </c>
      <c r="P38" s="2">
        <v>0.0</v>
      </c>
    </row>
    <row r="39">
      <c r="A39" s="2">
        <v>0.0</v>
      </c>
      <c r="B39" s="2">
        <v>36.0</v>
      </c>
      <c r="D39" s="2">
        <v>32.0</v>
      </c>
      <c r="F39" s="2">
        <v>14.0</v>
      </c>
      <c r="G39" s="2">
        <v>0.0</v>
      </c>
      <c r="H39" s="2">
        <v>30.0</v>
      </c>
      <c r="J39" s="2">
        <v>0.0</v>
      </c>
      <c r="K39" s="2">
        <v>0.0</v>
      </c>
      <c r="L39" s="2">
        <v>54.0</v>
      </c>
      <c r="M39" s="2">
        <v>10.0</v>
      </c>
      <c r="N39" s="2">
        <v>74.0</v>
      </c>
      <c r="P39" s="2">
        <v>0.0</v>
      </c>
    </row>
    <row r="40">
      <c r="A40" s="2">
        <v>10.0</v>
      </c>
      <c r="B40" s="2">
        <v>50.0</v>
      </c>
      <c r="D40" s="2">
        <v>32.0</v>
      </c>
      <c r="F40" s="2">
        <v>14.0</v>
      </c>
      <c r="H40" s="2">
        <v>30.0</v>
      </c>
      <c r="J40" s="2">
        <v>0.0</v>
      </c>
      <c r="K40" s="2">
        <v>10.0</v>
      </c>
      <c r="L40" s="2">
        <v>68.0</v>
      </c>
      <c r="M40" s="2">
        <v>10.0</v>
      </c>
      <c r="N40" s="2">
        <v>88.0</v>
      </c>
      <c r="P40" s="2">
        <v>0.0</v>
      </c>
    </row>
    <row r="41">
      <c r="B41" s="2">
        <v>50.0</v>
      </c>
      <c r="C41" s="2">
        <v>10.0</v>
      </c>
      <c r="D41" s="2">
        <v>46.0</v>
      </c>
      <c r="F41" s="2">
        <v>14.0</v>
      </c>
      <c r="H41" s="2">
        <v>30.0</v>
      </c>
      <c r="I41" s="2">
        <v>0.0</v>
      </c>
      <c r="J41" s="2">
        <v>4.0</v>
      </c>
      <c r="L41" s="2">
        <v>68.0</v>
      </c>
      <c r="M41" s="2">
        <v>0.0</v>
      </c>
      <c r="N41" s="2">
        <v>92.0</v>
      </c>
      <c r="P41" s="2">
        <v>0.0</v>
      </c>
    </row>
    <row r="42">
      <c r="A42" s="2">
        <v>10.0</v>
      </c>
      <c r="B42" s="2">
        <v>64.0</v>
      </c>
      <c r="D42" s="2">
        <v>46.0</v>
      </c>
      <c r="F42" s="2">
        <v>14.0</v>
      </c>
      <c r="H42" s="2">
        <v>30.0</v>
      </c>
      <c r="J42" s="2">
        <v>4.0</v>
      </c>
      <c r="K42" s="2">
        <v>0.0</v>
      </c>
      <c r="L42" s="2">
        <v>72.0</v>
      </c>
      <c r="N42" s="2">
        <v>92.0</v>
      </c>
      <c r="P42" s="2">
        <v>0.0</v>
      </c>
    </row>
    <row r="43">
      <c r="A43" s="2">
        <v>10.0</v>
      </c>
      <c r="B43" s="2">
        <v>78.0</v>
      </c>
      <c r="D43" s="2">
        <v>46.0</v>
      </c>
      <c r="E43" s="2">
        <v>0.0</v>
      </c>
      <c r="F43" s="2">
        <v>18.0</v>
      </c>
      <c r="H43" s="2">
        <v>30.0</v>
      </c>
      <c r="J43" s="2">
        <v>4.0</v>
      </c>
      <c r="K43" s="2">
        <v>10.0</v>
      </c>
      <c r="L43" s="2">
        <v>86.0</v>
      </c>
      <c r="M43" s="2">
        <v>10.0</v>
      </c>
      <c r="N43" s="2">
        <v>106.0</v>
      </c>
      <c r="P43" s="2">
        <v>0.0</v>
      </c>
    </row>
    <row r="44">
      <c r="B44" s="2">
        <v>78.0</v>
      </c>
      <c r="D44" s="2">
        <v>46.0</v>
      </c>
      <c r="F44" s="2">
        <v>18.0</v>
      </c>
      <c r="H44" s="2">
        <v>30.0</v>
      </c>
      <c r="J44" s="2">
        <v>4.0</v>
      </c>
      <c r="L44" s="2">
        <v>86.0</v>
      </c>
      <c r="M44" s="2">
        <v>10.0</v>
      </c>
      <c r="N44" s="2">
        <v>120.0</v>
      </c>
      <c r="P44" s="2">
        <v>0.0</v>
      </c>
    </row>
    <row r="45">
      <c r="B45" s="2">
        <v>78.0</v>
      </c>
      <c r="C45" s="2">
        <v>0.0</v>
      </c>
      <c r="D45" s="2">
        <v>50.0</v>
      </c>
      <c r="F45" s="2">
        <v>18.0</v>
      </c>
      <c r="H45" s="2">
        <v>30.0</v>
      </c>
      <c r="I45" s="2">
        <v>10.0</v>
      </c>
      <c r="J45" s="2">
        <v>18.0</v>
      </c>
      <c r="L45" s="2">
        <v>86.0</v>
      </c>
      <c r="M45" s="2">
        <v>10.0</v>
      </c>
      <c r="N45" s="2">
        <v>134.0</v>
      </c>
      <c r="P45" s="2">
        <v>0.0</v>
      </c>
    </row>
    <row r="47">
      <c r="B47" s="2">
        <v>78.0</v>
      </c>
      <c r="D47" s="2">
        <v>54.0</v>
      </c>
      <c r="F47" s="2">
        <v>18.0</v>
      </c>
      <c r="H47" s="2">
        <v>30.0</v>
      </c>
      <c r="J47" s="2">
        <v>18.0</v>
      </c>
      <c r="L47" s="2">
        <v>86.0</v>
      </c>
      <c r="N47" s="2">
        <v>134.0</v>
      </c>
      <c r="P47" s="2">
        <v>4.0</v>
      </c>
    </row>
    <row r="48">
      <c r="B48" s="2">
        <v>78.0</v>
      </c>
      <c r="C48" s="2">
        <v>10.0</v>
      </c>
      <c r="D48" s="2">
        <v>68.0</v>
      </c>
      <c r="E48" s="2">
        <v>10.0</v>
      </c>
      <c r="F48" s="2">
        <v>32.0</v>
      </c>
      <c r="H48" s="2">
        <v>30.0</v>
      </c>
      <c r="I48" s="2">
        <v>10.0</v>
      </c>
      <c r="J48" s="2">
        <v>36.0</v>
      </c>
      <c r="L48" s="2">
        <v>86.0</v>
      </c>
      <c r="N48" s="2">
        <v>134.0</v>
      </c>
      <c r="O48" s="2">
        <v>10.0</v>
      </c>
      <c r="P48" s="2">
        <v>22.0</v>
      </c>
    </row>
    <row r="49">
      <c r="A49" s="2">
        <v>10.0</v>
      </c>
      <c r="B49" s="2">
        <v>92.0</v>
      </c>
      <c r="D49" s="2">
        <v>68.0</v>
      </c>
      <c r="F49" s="2">
        <v>32.0</v>
      </c>
      <c r="H49" s="2">
        <v>30.0</v>
      </c>
      <c r="J49" s="2">
        <v>36.0</v>
      </c>
      <c r="K49" s="2">
        <v>10.0</v>
      </c>
      <c r="L49" s="2">
        <v>100.0</v>
      </c>
      <c r="M49" s="2">
        <v>10.0</v>
      </c>
      <c r="N49" s="2">
        <v>148.0</v>
      </c>
      <c r="P49" s="2">
        <v>22.0</v>
      </c>
    </row>
    <row r="50">
      <c r="A50" s="2">
        <v>10.0</v>
      </c>
      <c r="B50" s="2">
        <v>106.0</v>
      </c>
      <c r="D50" s="2">
        <v>68.0</v>
      </c>
      <c r="F50" s="2">
        <v>32.0</v>
      </c>
      <c r="H50" s="2">
        <v>30.0</v>
      </c>
      <c r="J50" s="2">
        <v>36.0</v>
      </c>
      <c r="L50" s="2">
        <v>100.0</v>
      </c>
      <c r="M50" s="2">
        <v>0.0</v>
      </c>
      <c r="N50" s="2">
        <v>152.0</v>
      </c>
      <c r="P50" s="2">
        <v>22.0</v>
      </c>
    </row>
    <row r="51">
      <c r="A51" s="2">
        <v>10.0</v>
      </c>
      <c r="B51" s="2">
        <v>120.0</v>
      </c>
      <c r="D51" s="2">
        <v>68.0</v>
      </c>
      <c r="F51" s="2">
        <v>32.0</v>
      </c>
      <c r="H51" s="2">
        <v>30.0</v>
      </c>
      <c r="J51" s="2">
        <v>36.0</v>
      </c>
      <c r="L51" s="2">
        <v>100.0</v>
      </c>
      <c r="M51" s="2">
        <v>10.0</v>
      </c>
      <c r="N51" s="2">
        <v>166.0</v>
      </c>
      <c r="P51" s="2">
        <v>22.0</v>
      </c>
    </row>
    <row r="52">
      <c r="A52" s="2">
        <v>0.0</v>
      </c>
      <c r="B52" s="2">
        <v>124.0</v>
      </c>
      <c r="D52" s="2">
        <v>68.0</v>
      </c>
      <c r="F52" s="2">
        <v>32.0</v>
      </c>
      <c r="G52" s="2">
        <v>0.0</v>
      </c>
      <c r="H52" s="2">
        <v>34.0</v>
      </c>
      <c r="J52" s="2">
        <v>36.0</v>
      </c>
      <c r="K52" s="2">
        <v>0.0</v>
      </c>
      <c r="L52" s="2">
        <v>104.0</v>
      </c>
      <c r="N52" s="2">
        <v>166.0</v>
      </c>
      <c r="O52" s="2">
        <v>0.0</v>
      </c>
      <c r="P52" s="2">
        <v>26.0</v>
      </c>
    </row>
    <row r="53">
      <c r="A53" s="2">
        <v>10.0</v>
      </c>
      <c r="B53" s="2">
        <v>138.0</v>
      </c>
      <c r="D53" s="2">
        <v>68.0</v>
      </c>
      <c r="E53" s="2">
        <v>10.0</v>
      </c>
      <c r="F53" s="2">
        <v>46.0</v>
      </c>
      <c r="H53" s="2">
        <v>34.0</v>
      </c>
      <c r="J53" s="2">
        <v>36.0</v>
      </c>
      <c r="L53" s="2">
        <v>104.0</v>
      </c>
      <c r="N53" s="2">
        <v>166.0</v>
      </c>
      <c r="P53" s="2">
        <v>26.0</v>
      </c>
    </row>
    <row r="54">
      <c r="B54" s="2">
        <v>138.0</v>
      </c>
      <c r="C54" s="2">
        <v>0.0</v>
      </c>
      <c r="D54" s="2">
        <v>76.0</v>
      </c>
      <c r="F54" s="2">
        <v>46.0</v>
      </c>
      <c r="G54" s="2">
        <v>0.0</v>
      </c>
      <c r="H54" s="2">
        <v>38.0</v>
      </c>
      <c r="J54" s="2">
        <v>36.0</v>
      </c>
      <c r="K54" s="2">
        <v>0.0</v>
      </c>
      <c r="L54" s="2">
        <v>108.0</v>
      </c>
      <c r="M54" s="2">
        <v>10.0</v>
      </c>
      <c r="N54" s="2">
        <v>180.0</v>
      </c>
      <c r="P54" s="2">
        <v>26.0</v>
      </c>
    </row>
    <row r="55">
      <c r="A55" s="2">
        <v>10.0</v>
      </c>
      <c r="B55" s="2">
        <v>152.0</v>
      </c>
      <c r="D55" s="2">
        <v>76.0</v>
      </c>
      <c r="F55" s="2">
        <v>46.0</v>
      </c>
      <c r="H55" s="2">
        <v>38.0</v>
      </c>
      <c r="J55" s="2">
        <v>36.0</v>
      </c>
      <c r="L55" s="2">
        <v>108.0</v>
      </c>
      <c r="M55" s="2">
        <v>10.0</v>
      </c>
      <c r="N55" s="2">
        <v>194.0</v>
      </c>
      <c r="P55" s="2">
        <v>26.0</v>
      </c>
    </row>
    <row r="56">
      <c r="A56" s="2">
        <v>10.0</v>
      </c>
      <c r="B56" s="2">
        <v>166.0</v>
      </c>
      <c r="D56" s="2">
        <v>76.0</v>
      </c>
      <c r="F56" s="2">
        <v>46.0</v>
      </c>
      <c r="H56" s="2">
        <v>38.0</v>
      </c>
      <c r="I56" s="2">
        <v>10.0</v>
      </c>
      <c r="J56" s="2">
        <v>54.0</v>
      </c>
      <c r="L56" s="2">
        <v>108.0</v>
      </c>
      <c r="M56" s="2">
        <v>10.0</v>
      </c>
      <c r="N56" s="2">
        <v>208.0</v>
      </c>
      <c r="P56" s="2">
        <v>26.0</v>
      </c>
    </row>
    <row r="57">
      <c r="B57" s="2">
        <v>166.0</v>
      </c>
      <c r="C57" s="2">
        <v>0.0</v>
      </c>
      <c r="D57" s="2">
        <v>84.0</v>
      </c>
      <c r="E57" s="2">
        <v>0.0</v>
      </c>
      <c r="F57" s="2">
        <v>50.0</v>
      </c>
      <c r="H57" s="2">
        <v>38.0</v>
      </c>
      <c r="J57" s="2">
        <v>54.0</v>
      </c>
      <c r="K57" s="2">
        <v>10.0</v>
      </c>
      <c r="L57" s="2">
        <v>122.0</v>
      </c>
      <c r="N57" s="2">
        <v>208.0</v>
      </c>
      <c r="O57" s="2">
        <v>0.0</v>
      </c>
      <c r="P57" s="2">
        <v>30.0</v>
      </c>
    </row>
    <row r="58">
      <c r="B58" s="2">
        <v>166.0</v>
      </c>
      <c r="D58" s="2">
        <v>84.0</v>
      </c>
      <c r="F58" s="2">
        <v>50.0</v>
      </c>
      <c r="H58" s="2">
        <v>38.0</v>
      </c>
      <c r="J58" s="2">
        <v>54.0</v>
      </c>
      <c r="L58" s="2">
        <v>122.0</v>
      </c>
      <c r="N58" s="2">
        <v>208.0</v>
      </c>
      <c r="P58" s="2">
        <v>30.0</v>
      </c>
    </row>
    <row r="61">
      <c r="A61" s="2" t="s">
        <v>3</v>
      </c>
      <c r="B61" s="2" t="s">
        <v>3</v>
      </c>
      <c r="C61" s="2" t="s">
        <v>0</v>
      </c>
      <c r="D61" s="2" t="s">
        <v>0</v>
      </c>
      <c r="E61" s="2" t="s">
        <v>2</v>
      </c>
      <c r="F61" s="2" t="s">
        <v>2</v>
      </c>
      <c r="G61" s="2" t="s">
        <v>1</v>
      </c>
      <c r="H61" s="2" t="s">
        <v>1</v>
      </c>
      <c r="I61" s="2" t="s">
        <v>4</v>
      </c>
      <c r="J61" s="2" t="s">
        <v>4</v>
      </c>
      <c r="K61" s="2" t="s">
        <v>6</v>
      </c>
      <c r="L61" s="2" t="s">
        <v>6</v>
      </c>
      <c r="M61" s="5" t="s">
        <v>5</v>
      </c>
      <c r="N61" s="5" t="s">
        <v>5</v>
      </c>
      <c r="O61" s="5" t="s">
        <v>7</v>
      </c>
      <c r="P61" s="5" t="s">
        <v>7</v>
      </c>
    </row>
    <row r="62">
      <c r="A62" s="2" t="s">
        <v>8</v>
      </c>
      <c r="B62" s="2" t="s">
        <v>9</v>
      </c>
      <c r="C62" s="2" t="s">
        <v>8</v>
      </c>
      <c r="D62" s="2" t="s">
        <v>9</v>
      </c>
      <c r="E62" s="2" t="s">
        <v>8</v>
      </c>
      <c r="F62" s="2" t="s">
        <v>9</v>
      </c>
      <c r="G62" s="2" t="s">
        <v>8</v>
      </c>
      <c r="H62" s="2" t="s">
        <v>9</v>
      </c>
      <c r="I62" s="2" t="s">
        <v>8</v>
      </c>
      <c r="J62" s="2" t="s">
        <v>9</v>
      </c>
      <c r="K62" s="2" t="s">
        <v>8</v>
      </c>
      <c r="L62" s="5" t="s">
        <v>9</v>
      </c>
      <c r="M62" s="5" t="s">
        <v>8</v>
      </c>
      <c r="N62" s="5" t="s">
        <v>9</v>
      </c>
      <c r="O62" s="5" t="s">
        <v>8</v>
      </c>
      <c r="P62" s="5" t="s">
        <v>9</v>
      </c>
    </row>
    <row r="64">
      <c r="B64" s="2">
        <v>0.0</v>
      </c>
      <c r="D64" s="2">
        <v>0.0</v>
      </c>
      <c r="F64" s="2">
        <v>0.0</v>
      </c>
      <c r="G64" s="2">
        <v>10.0</v>
      </c>
      <c r="H64" s="2">
        <v>18.0</v>
      </c>
      <c r="I64" s="2">
        <v>10.0</v>
      </c>
      <c r="J64" s="2">
        <v>14.0</v>
      </c>
      <c r="L64" s="2">
        <v>0.0</v>
      </c>
      <c r="M64" s="2">
        <v>0.0</v>
      </c>
      <c r="N64" s="2">
        <v>4.0</v>
      </c>
      <c r="P64" s="2">
        <v>0.0</v>
      </c>
    </row>
    <row r="65">
      <c r="A65" s="2">
        <v>0.0</v>
      </c>
      <c r="B65" s="2">
        <v>4.0</v>
      </c>
      <c r="D65" s="2">
        <v>0.0</v>
      </c>
      <c r="F65" s="2">
        <v>4.0</v>
      </c>
      <c r="H65" s="2">
        <v>22.0</v>
      </c>
      <c r="I65" s="2">
        <v>10.0</v>
      </c>
      <c r="J65" s="2">
        <v>28.0</v>
      </c>
      <c r="L65" s="2">
        <v>0.0</v>
      </c>
      <c r="M65" s="2">
        <v>0.0</v>
      </c>
      <c r="N65" s="2">
        <v>8.0</v>
      </c>
      <c r="P65" s="2">
        <v>0.0</v>
      </c>
    </row>
    <row r="66">
      <c r="A66" s="2">
        <v>0.0</v>
      </c>
      <c r="B66" s="2">
        <v>8.0</v>
      </c>
      <c r="D66" s="2">
        <v>0.0</v>
      </c>
      <c r="F66" s="2">
        <v>4.0</v>
      </c>
      <c r="G66" s="2">
        <v>10.0</v>
      </c>
      <c r="H66" s="2">
        <v>36.0</v>
      </c>
      <c r="I66" s="2">
        <v>0.0</v>
      </c>
      <c r="J66" s="2">
        <v>32.0</v>
      </c>
      <c r="L66" s="2">
        <v>0.0</v>
      </c>
      <c r="N66" s="2">
        <v>8.0</v>
      </c>
      <c r="O66" s="2">
        <v>10.0</v>
      </c>
      <c r="P66" s="2">
        <v>14.0</v>
      </c>
    </row>
    <row r="67">
      <c r="A67" s="2">
        <v>0.0</v>
      </c>
      <c r="B67" s="2">
        <v>12.0</v>
      </c>
      <c r="D67" s="2">
        <v>0.0</v>
      </c>
      <c r="E67" s="2">
        <v>0.0</v>
      </c>
      <c r="F67" s="2">
        <v>12.0</v>
      </c>
      <c r="H67" s="2">
        <v>36.0</v>
      </c>
      <c r="J67" s="2">
        <v>32.0</v>
      </c>
      <c r="K67" s="2">
        <v>0.0</v>
      </c>
      <c r="L67" s="2">
        <v>4.0</v>
      </c>
      <c r="M67" s="2">
        <v>0.0</v>
      </c>
      <c r="N67" s="2">
        <v>12.0</v>
      </c>
      <c r="P67" s="2">
        <v>14.0</v>
      </c>
    </row>
    <row r="68">
      <c r="B68" s="2">
        <v>12.0</v>
      </c>
      <c r="D68" s="2">
        <v>4.0</v>
      </c>
      <c r="F68" s="2">
        <v>12.0</v>
      </c>
      <c r="G68" s="2">
        <v>10.0</v>
      </c>
      <c r="H68" s="2">
        <v>50.0</v>
      </c>
      <c r="I68" s="2">
        <v>10.0</v>
      </c>
      <c r="J68" s="2">
        <v>46.0</v>
      </c>
      <c r="L68" s="2">
        <v>4.0</v>
      </c>
      <c r="N68" s="2">
        <v>12.0</v>
      </c>
      <c r="P68" s="2">
        <v>14.0</v>
      </c>
    </row>
    <row r="69">
      <c r="B69" s="2">
        <v>12.0</v>
      </c>
      <c r="D69" s="2">
        <v>4.0</v>
      </c>
      <c r="E69" s="2">
        <v>10.0</v>
      </c>
      <c r="F69" s="2">
        <v>30.0</v>
      </c>
      <c r="H69" s="2">
        <v>50.0</v>
      </c>
      <c r="I69" s="2">
        <v>10.0</v>
      </c>
      <c r="J69" s="2">
        <v>60.0</v>
      </c>
      <c r="L69" s="2">
        <v>4.0</v>
      </c>
      <c r="M69" s="2">
        <v>10.0</v>
      </c>
      <c r="N69" s="2">
        <v>26.0</v>
      </c>
      <c r="P69" s="2">
        <v>14.0</v>
      </c>
    </row>
    <row r="70">
      <c r="A70" s="2">
        <v>10.0</v>
      </c>
      <c r="B70" s="2">
        <v>26.0</v>
      </c>
      <c r="D70" s="2">
        <v>4.0</v>
      </c>
      <c r="E70" s="2">
        <v>10.0</v>
      </c>
      <c r="F70" s="2">
        <v>44.0</v>
      </c>
      <c r="H70" s="2">
        <v>50.0</v>
      </c>
      <c r="I70" s="2">
        <v>10.0</v>
      </c>
      <c r="J70" s="2">
        <v>74.0</v>
      </c>
      <c r="L70" s="2">
        <v>4.0</v>
      </c>
      <c r="M70" s="2">
        <v>0.0</v>
      </c>
      <c r="N70" s="2">
        <v>30.0</v>
      </c>
      <c r="P70" s="2">
        <v>14.0</v>
      </c>
    </row>
    <row r="71">
      <c r="A71" s="2">
        <v>0.0</v>
      </c>
      <c r="B71" s="2">
        <v>30.0</v>
      </c>
      <c r="D71" s="2">
        <v>4.0</v>
      </c>
      <c r="E71" s="2">
        <v>0.0</v>
      </c>
      <c r="F71" s="2">
        <v>48.0</v>
      </c>
      <c r="H71" s="2">
        <v>50.0</v>
      </c>
      <c r="I71" s="2">
        <v>0.0</v>
      </c>
      <c r="J71" s="2">
        <v>78.0</v>
      </c>
      <c r="L71" s="2">
        <v>4.0</v>
      </c>
      <c r="M71" s="2">
        <v>0.0</v>
      </c>
      <c r="N71" s="2">
        <v>34.0</v>
      </c>
      <c r="P71" s="2">
        <v>14.0</v>
      </c>
    </row>
    <row r="72">
      <c r="B72" s="2">
        <v>30.0</v>
      </c>
      <c r="D72" s="2">
        <v>4.0</v>
      </c>
      <c r="F72" s="2">
        <v>48.0</v>
      </c>
      <c r="G72" s="2">
        <v>0.0</v>
      </c>
      <c r="H72" s="2">
        <v>54.0</v>
      </c>
      <c r="I72" s="2">
        <v>10.0</v>
      </c>
      <c r="J72" s="2">
        <v>92.0</v>
      </c>
      <c r="L72" s="2">
        <v>4.0</v>
      </c>
      <c r="M72" s="2">
        <v>0.0</v>
      </c>
      <c r="N72" s="2">
        <v>38.0</v>
      </c>
      <c r="P72" s="2">
        <v>14.0</v>
      </c>
    </row>
    <row r="73">
      <c r="A73" s="2">
        <v>10.0</v>
      </c>
      <c r="B73" s="2">
        <v>44.0</v>
      </c>
      <c r="D73" s="2">
        <v>4.0</v>
      </c>
      <c r="F73" s="2">
        <v>48.0</v>
      </c>
      <c r="G73" s="2">
        <v>10.0</v>
      </c>
      <c r="H73" s="2">
        <v>68.0</v>
      </c>
      <c r="I73" s="2">
        <v>10.0</v>
      </c>
      <c r="J73" s="2">
        <v>106.0</v>
      </c>
      <c r="L73" s="2">
        <v>4.0</v>
      </c>
      <c r="M73" s="2">
        <v>10.0</v>
      </c>
      <c r="N73" s="2">
        <v>52.0</v>
      </c>
      <c r="P73" s="2">
        <v>14.0</v>
      </c>
    </row>
    <row r="74">
      <c r="B74" s="2">
        <v>44.0</v>
      </c>
      <c r="C74" s="2">
        <v>0.0</v>
      </c>
      <c r="D74" s="2">
        <v>8.0</v>
      </c>
      <c r="E74" s="2">
        <v>0.0</v>
      </c>
      <c r="F74" s="2">
        <v>52.0</v>
      </c>
      <c r="H74" s="2">
        <v>68.0</v>
      </c>
      <c r="J74" s="2">
        <v>106.0</v>
      </c>
      <c r="L74" s="2">
        <v>4.0</v>
      </c>
      <c r="M74" s="2">
        <v>10.0</v>
      </c>
      <c r="N74" s="2">
        <v>66.0</v>
      </c>
      <c r="P74" s="2">
        <v>14.0</v>
      </c>
    </row>
    <row r="75">
      <c r="B75" s="2">
        <v>44.0</v>
      </c>
      <c r="C75" s="2">
        <v>0.0</v>
      </c>
      <c r="D75" s="2">
        <v>12.0</v>
      </c>
      <c r="F75" s="2">
        <v>52.0</v>
      </c>
      <c r="H75" s="2">
        <v>72.0</v>
      </c>
      <c r="I75" s="2">
        <v>10.0</v>
      </c>
      <c r="J75" s="2">
        <v>120.0</v>
      </c>
      <c r="L75" s="2">
        <v>4.0</v>
      </c>
      <c r="M75" s="2">
        <v>0.0</v>
      </c>
      <c r="N75" s="2">
        <v>70.0</v>
      </c>
      <c r="P75" s="2">
        <v>14.0</v>
      </c>
    </row>
    <row r="77">
      <c r="B77" s="2">
        <v>44.0</v>
      </c>
      <c r="C77" s="2">
        <v>10.0</v>
      </c>
      <c r="D77" s="2">
        <v>26.0</v>
      </c>
      <c r="F77" s="2">
        <v>52.0</v>
      </c>
      <c r="G77" s="2">
        <v>10.0</v>
      </c>
      <c r="H77" s="2">
        <v>90.0</v>
      </c>
      <c r="I77" s="2">
        <v>10.0</v>
      </c>
      <c r="J77" s="2">
        <v>134.0</v>
      </c>
      <c r="L77" s="2">
        <v>4.0</v>
      </c>
      <c r="N77" s="2">
        <v>70.0</v>
      </c>
      <c r="O77" s="2">
        <v>0.0</v>
      </c>
      <c r="P77" s="2">
        <v>22.0</v>
      </c>
    </row>
    <row r="78">
      <c r="A78" s="2">
        <v>0.0</v>
      </c>
      <c r="B78" s="2">
        <v>48.0</v>
      </c>
      <c r="D78" s="2">
        <v>26.0</v>
      </c>
      <c r="E78" s="2">
        <v>0.0</v>
      </c>
      <c r="F78" s="2">
        <v>56.0</v>
      </c>
      <c r="H78" s="2">
        <v>90.0</v>
      </c>
      <c r="J78" s="2">
        <v>134.0</v>
      </c>
      <c r="K78" s="2">
        <v>10.0</v>
      </c>
      <c r="L78" s="2">
        <v>22.0</v>
      </c>
      <c r="M78" s="2">
        <v>0.0</v>
      </c>
      <c r="N78" s="2">
        <v>74.0</v>
      </c>
      <c r="P78" s="2">
        <v>22.0</v>
      </c>
    </row>
    <row r="79">
      <c r="B79" s="2">
        <v>48.0</v>
      </c>
      <c r="C79" s="2">
        <v>0.0</v>
      </c>
      <c r="D79" s="2">
        <v>30.0</v>
      </c>
      <c r="F79" s="2">
        <v>56.0</v>
      </c>
      <c r="G79" s="2">
        <v>10.0</v>
      </c>
      <c r="H79" s="2">
        <v>108.0</v>
      </c>
      <c r="I79" s="2">
        <v>10.0</v>
      </c>
      <c r="J79" s="2">
        <v>148.0</v>
      </c>
      <c r="L79" s="2">
        <v>22.0</v>
      </c>
      <c r="N79" s="2">
        <v>74.0</v>
      </c>
      <c r="P79" s="2">
        <v>22.0</v>
      </c>
    </row>
    <row r="80">
      <c r="A80" s="2">
        <v>0.0</v>
      </c>
      <c r="B80" s="2">
        <v>52.0</v>
      </c>
      <c r="D80" s="2">
        <v>30.0</v>
      </c>
      <c r="F80" s="2">
        <v>56.0</v>
      </c>
      <c r="H80" s="2">
        <v>108.0</v>
      </c>
      <c r="I80" s="2">
        <v>0.0</v>
      </c>
      <c r="J80" s="2">
        <v>152.0</v>
      </c>
      <c r="L80" s="2">
        <v>22.0</v>
      </c>
      <c r="M80" s="2">
        <v>0.0</v>
      </c>
      <c r="N80" s="2">
        <v>78.0</v>
      </c>
      <c r="P80" s="2">
        <v>22.0</v>
      </c>
    </row>
    <row r="81">
      <c r="B81" s="2">
        <v>52.0</v>
      </c>
      <c r="C81" s="2">
        <v>0.0</v>
      </c>
      <c r="D81" s="2">
        <v>34.0</v>
      </c>
      <c r="F81" s="2">
        <v>56.0</v>
      </c>
      <c r="G81" s="2">
        <v>10.0</v>
      </c>
      <c r="H81" s="2">
        <v>122.0</v>
      </c>
      <c r="I81" s="2">
        <v>0.0</v>
      </c>
      <c r="J81" s="2">
        <v>156.0</v>
      </c>
      <c r="L81" s="2">
        <v>22.0</v>
      </c>
      <c r="M81" s="2">
        <v>10.0</v>
      </c>
      <c r="N81" s="2">
        <v>92.0</v>
      </c>
      <c r="P81" s="2">
        <v>22.0</v>
      </c>
    </row>
    <row r="82">
      <c r="A82" s="2">
        <v>0.0</v>
      </c>
      <c r="B82" s="2">
        <v>56.0</v>
      </c>
      <c r="D82" s="2">
        <v>34.0</v>
      </c>
      <c r="F82" s="2">
        <v>56.0</v>
      </c>
      <c r="G82" s="2">
        <v>0.0</v>
      </c>
      <c r="H82" s="2">
        <v>126.0</v>
      </c>
      <c r="I82" s="2">
        <v>0.0</v>
      </c>
      <c r="J82" s="2">
        <v>160.0</v>
      </c>
      <c r="L82" s="2">
        <v>22.0</v>
      </c>
      <c r="N82" s="2">
        <v>92.0</v>
      </c>
      <c r="P82" s="2">
        <v>22.0</v>
      </c>
    </row>
    <row r="83">
      <c r="A83" s="2">
        <v>10.0</v>
      </c>
      <c r="B83" s="2">
        <v>70.0</v>
      </c>
      <c r="D83" s="2">
        <v>34.0</v>
      </c>
      <c r="F83" s="2">
        <v>56.0</v>
      </c>
      <c r="G83" s="2">
        <v>10.0</v>
      </c>
      <c r="H83" s="2">
        <v>140.0</v>
      </c>
      <c r="J83" s="2">
        <v>160.0</v>
      </c>
      <c r="K83" s="2">
        <v>0.0</v>
      </c>
      <c r="L83" s="2">
        <v>30.0</v>
      </c>
      <c r="M83" s="2">
        <v>0.0</v>
      </c>
      <c r="N83" s="2">
        <v>96.0</v>
      </c>
      <c r="P83" s="2">
        <v>22.0</v>
      </c>
    </row>
    <row r="84">
      <c r="A84" s="2">
        <v>10.0</v>
      </c>
      <c r="B84" s="2">
        <v>84.0</v>
      </c>
      <c r="D84" s="2">
        <v>34.0</v>
      </c>
      <c r="F84" s="2">
        <v>56.0</v>
      </c>
      <c r="G84" s="2">
        <v>10.0</v>
      </c>
      <c r="H84" s="2">
        <v>154.0</v>
      </c>
      <c r="I84" s="2">
        <v>0.0</v>
      </c>
      <c r="J84" s="2">
        <v>164.0</v>
      </c>
      <c r="L84" s="2">
        <v>30.0</v>
      </c>
      <c r="M84" s="2">
        <v>0.0</v>
      </c>
      <c r="N84" s="2">
        <v>100.0</v>
      </c>
      <c r="P84" s="2">
        <v>22.0</v>
      </c>
    </row>
    <row r="85">
      <c r="B85" s="2">
        <v>84.0</v>
      </c>
      <c r="D85" s="2">
        <v>34.0</v>
      </c>
      <c r="F85" s="2">
        <v>56.0</v>
      </c>
      <c r="H85" s="2">
        <v>158.0</v>
      </c>
      <c r="J85" s="2">
        <v>164.0</v>
      </c>
      <c r="K85" s="2">
        <v>0.0</v>
      </c>
      <c r="L85" s="2">
        <v>34.0</v>
      </c>
      <c r="N85" s="2">
        <v>100.0</v>
      </c>
      <c r="P85" s="2">
        <v>22.0</v>
      </c>
    </row>
    <row r="86">
      <c r="B86" s="2">
        <v>84.0</v>
      </c>
      <c r="C86" s="2">
        <v>0.0</v>
      </c>
      <c r="D86" s="2">
        <v>38.0</v>
      </c>
      <c r="F86" s="2">
        <v>56.0</v>
      </c>
      <c r="G86" s="2">
        <v>10.0</v>
      </c>
      <c r="H86" s="2">
        <v>176.0</v>
      </c>
      <c r="I86" s="2">
        <v>10.0</v>
      </c>
      <c r="J86" s="2">
        <v>178.0</v>
      </c>
      <c r="L86" s="2">
        <v>34.0</v>
      </c>
      <c r="M86" s="2">
        <v>10.0</v>
      </c>
      <c r="N86" s="2">
        <v>114.0</v>
      </c>
      <c r="P86" s="2">
        <v>22.0</v>
      </c>
    </row>
    <row r="87">
      <c r="B87" s="2">
        <v>84.0</v>
      </c>
      <c r="C87" s="2">
        <v>10.0</v>
      </c>
      <c r="D87" s="2">
        <v>52.0</v>
      </c>
      <c r="F87" s="2">
        <v>56.0</v>
      </c>
      <c r="G87" s="2">
        <v>10.0</v>
      </c>
      <c r="H87" s="2">
        <v>190.0</v>
      </c>
      <c r="J87" s="2">
        <v>178.0</v>
      </c>
      <c r="L87" s="2">
        <v>34.0</v>
      </c>
      <c r="N87" s="2">
        <v>114.0</v>
      </c>
      <c r="O87" s="2">
        <v>10.0</v>
      </c>
      <c r="P87" s="2">
        <v>36.0</v>
      </c>
    </row>
    <row r="88">
      <c r="B88" s="2">
        <v>84.0</v>
      </c>
      <c r="D88" s="2">
        <v>52.0</v>
      </c>
      <c r="F88" s="2">
        <v>56.0</v>
      </c>
      <c r="G88" s="2">
        <v>10.0</v>
      </c>
      <c r="H88" s="2">
        <v>204.0</v>
      </c>
      <c r="I88" s="2">
        <v>10.0</v>
      </c>
      <c r="J88" s="2">
        <v>192.0</v>
      </c>
      <c r="L88" s="2">
        <v>34.0</v>
      </c>
      <c r="M88" s="2">
        <v>10.0</v>
      </c>
      <c r="N88" s="2">
        <v>128.0</v>
      </c>
      <c r="P88" s="2">
        <v>36.0</v>
      </c>
    </row>
    <row r="91">
      <c r="A91" s="2" t="s">
        <v>1</v>
      </c>
      <c r="B91" s="2" t="s">
        <v>1</v>
      </c>
      <c r="C91" s="2" t="s">
        <v>5</v>
      </c>
      <c r="D91" s="2" t="s">
        <v>5</v>
      </c>
      <c r="E91" s="2" t="s">
        <v>3</v>
      </c>
      <c r="F91" s="2" t="s">
        <v>3</v>
      </c>
      <c r="G91" s="2" t="s">
        <v>4</v>
      </c>
      <c r="H91" s="2" t="s">
        <v>4</v>
      </c>
      <c r="I91" s="2" t="s">
        <v>7</v>
      </c>
      <c r="J91" s="2" t="s">
        <v>7</v>
      </c>
      <c r="K91" s="2" t="s">
        <v>2</v>
      </c>
      <c r="L91" s="2" t="s">
        <v>2</v>
      </c>
      <c r="M91" s="2" t="s">
        <v>6</v>
      </c>
      <c r="N91" s="2" t="s">
        <v>6</v>
      </c>
      <c r="O91" s="2" t="s">
        <v>0</v>
      </c>
      <c r="P91" s="2" t="s">
        <v>0</v>
      </c>
    </row>
    <row r="92">
      <c r="A92" s="2" t="s">
        <v>8</v>
      </c>
      <c r="B92" s="2" t="s">
        <v>9</v>
      </c>
      <c r="C92" s="2" t="s">
        <v>8</v>
      </c>
      <c r="D92" s="2" t="s">
        <v>9</v>
      </c>
      <c r="E92" s="2" t="s">
        <v>8</v>
      </c>
      <c r="F92" s="2" t="s">
        <v>9</v>
      </c>
      <c r="G92" s="2" t="s">
        <v>8</v>
      </c>
      <c r="H92" s="2" t="s">
        <v>9</v>
      </c>
      <c r="I92" s="2" t="s">
        <v>8</v>
      </c>
      <c r="J92" s="2" t="s">
        <v>9</v>
      </c>
      <c r="K92" s="2" t="s">
        <v>8</v>
      </c>
      <c r="L92" s="2" t="s">
        <v>9</v>
      </c>
      <c r="M92" s="2" t="s">
        <v>8</v>
      </c>
      <c r="N92" s="2" t="s">
        <v>9</v>
      </c>
      <c r="O92" s="2" t="s">
        <v>8</v>
      </c>
      <c r="P92" s="2" t="s">
        <v>9</v>
      </c>
    </row>
    <row r="94">
      <c r="B94" s="2">
        <v>0.0</v>
      </c>
      <c r="D94" s="2">
        <v>0.0</v>
      </c>
      <c r="E94" s="2">
        <v>10.0</v>
      </c>
      <c r="F94" s="2">
        <v>14.0</v>
      </c>
      <c r="H94" s="2">
        <v>0.0</v>
      </c>
      <c r="I94" s="2">
        <v>0.0</v>
      </c>
      <c r="J94" s="2">
        <v>4.0</v>
      </c>
      <c r="L94" s="2">
        <v>0.0</v>
      </c>
      <c r="N94" s="2">
        <v>0.0</v>
      </c>
      <c r="P94" s="2">
        <v>0.0</v>
      </c>
    </row>
    <row r="95">
      <c r="A95" s="2">
        <v>0.0</v>
      </c>
      <c r="B95" s="2">
        <v>4.0</v>
      </c>
      <c r="D95" s="2">
        <v>0.0</v>
      </c>
      <c r="F95" s="2">
        <v>14.0</v>
      </c>
      <c r="G95" s="2">
        <v>10.0</v>
      </c>
      <c r="H95" s="2">
        <v>14.0</v>
      </c>
      <c r="J95" s="2">
        <v>4.0</v>
      </c>
      <c r="L95" s="2">
        <v>0.0</v>
      </c>
      <c r="M95" s="2">
        <v>0.0</v>
      </c>
      <c r="N95" s="2">
        <v>4.0</v>
      </c>
      <c r="P95" s="2">
        <v>0.0</v>
      </c>
    </row>
    <row r="96">
      <c r="B96" s="2">
        <v>4.0</v>
      </c>
      <c r="C96" s="2">
        <v>0.0</v>
      </c>
      <c r="D96" s="2">
        <v>8.0</v>
      </c>
      <c r="F96" s="2">
        <v>14.0</v>
      </c>
      <c r="G96" s="2">
        <v>10.0</v>
      </c>
      <c r="H96" s="2">
        <v>32.0</v>
      </c>
      <c r="J96" s="2">
        <v>4.0</v>
      </c>
      <c r="L96" s="2">
        <v>0.0</v>
      </c>
      <c r="M96" s="2">
        <v>10.0</v>
      </c>
      <c r="N96" s="2">
        <v>18.0</v>
      </c>
      <c r="P96" s="2">
        <v>0.0</v>
      </c>
    </row>
    <row r="97">
      <c r="B97" s="2">
        <v>4.0</v>
      </c>
      <c r="D97" s="2">
        <v>12.0</v>
      </c>
      <c r="F97" s="2">
        <v>14.0</v>
      </c>
      <c r="G97" s="2">
        <v>10.0</v>
      </c>
      <c r="H97" s="2">
        <v>46.0</v>
      </c>
      <c r="J97" s="2">
        <v>4.0</v>
      </c>
      <c r="K97" s="2">
        <v>10.0</v>
      </c>
      <c r="L97" s="2">
        <v>14.0</v>
      </c>
      <c r="M97" s="2">
        <v>10.0</v>
      </c>
      <c r="N97" s="2">
        <v>32.0</v>
      </c>
      <c r="P97" s="2">
        <v>0.0</v>
      </c>
    </row>
    <row r="98">
      <c r="A98" s="2">
        <v>10.0</v>
      </c>
      <c r="B98" s="2">
        <v>18.0</v>
      </c>
      <c r="D98" s="2">
        <v>12.0</v>
      </c>
      <c r="F98" s="2">
        <v>14.0</v>
      </c>
      <c r="G98" s="2">
        <v>10.0</v>
      </c>
      <c r="H98" s="2">
        <v>60.0</v>
      </c>
      <c r="J98" s="2">
        <v>4.0</v>
      </c>
      <c r="L98" s="2">
        <v>14.0</v>
      </c>
      <c r="N98" s="2">
        <v>32.0</v>
      </c>
      <c r="P98" s="2">
        <v>0.0</v>
      </c>
    </row>
    <row r="99">
      <c r="B99" s="2">
        <v>18.0</v>
      </c>
      <c r="D99" s="2">
        <v>12.0</v>
      </c>
      <c r="F99" s="2">
        <v>14.0</v>
      </c>
      <c r="G99" s="2">
        <v>10.0</v>
      </c>
      <c r="H99" s="2">
        <v>74.0</v>
      </c>
      <c r="J99" s="2">
        <v>4.0</v>
      </c>
      <c r="L99" s="2">
        <v>14.0</v>
      </c>
      <c r="N99" s="2">
        <v>32.0</v>
      </c>
      <c r="P99" s="2">
        <v>0.0</v>
      </c>
    </row>
    <row r="100">
      <c r="B100" s="2">
        <v>18.0</v>
      </c>
      <c r="D100" s="2">
        <v>16.0</v>
      </c>
      <c r="F100" s="2">
        <v>14.0</v>
      </c>
      <c r="G100" s="2">
        <v>10.0</v>
      </c>
      <c r="H100" s="2">
        <v>88.0</v>
      </c>
      <c r="I100" s="2">
        <v>10.0</v>
      </c>
      <c r="J100" s="2">
        <v>22.0</v>
      </c>
      <c r="L100" s="2">
        <v>14.0</v>
      </c>
      <c r="M100" s="2">
        <v>10.0</v>
      </c>
      <c r="N100" s="2">
        <v>46.0</v>
      </c>
      <c r="P100" s="2">
        <v>0.0</v>
      </c>
    </row>
    <row r="101">
      <c r="A101" s="2">
        <v>0.0</v>
      </c>
      <c r="B101" s="2">
        <v>22.0</v>
      </c>
      <c r="D101" s="2">
        <v>16.0</v>
      </c>
      <c r="F101" s="2">
        <v>14.0</v>
      </c>
      <c r="G101" s="2">
        <v>10.0</v>
      </c>
      <c r="H101" s="2">
        <v>102.0</v>
      </c>
      <c r="J101" s="2">
        <v>22.0</v>
      </c>
      <c r="K101" s="2">
        <v>0.0</v>
      </c>
      <c r="L101" s="2">
        <v>18.0</v>
      </c>
      <c r="N101" s="2">
        <v>46.0</v>
      </c>
      <c r="O101" s="2">
        <v>0.0</v>
      </c>
      <c r="P101" s="2">
        <v>4.0</v>
      </c>
    </row>
    <row r="102">
      <c r="A102" s="2">
        <v>10.0</v>
      </c>
      <c r="B102" s="2">
        <v>36.0</v>
      </c>
      <c r="D102" s="2">
        <v>16.0</v>
      </c>
      <c r="F102" s="2">
        <v>14.0</v>
      </c>
      <c r="G102" s="2">
        <v>10.0</v>
      </c>
      <c r="H102" s="2">
        <v>116.0</v>
      </c>
      <c r="J102" s="2">
        <v>22.0</v>
      </c>
      <c r="L102" s="2">
        <v>18.0</v>
      </c>
      <c r="N102" s="2">
        <v>46.0</v>
      </c>
      <c r="P102" s="2">
        <v>4.0</v>
      </c>
    </row>
    <row r="103">
      <c r="B103" s="2">
        <v>36.0</v>
      </c>
      <c r="C103" s="2">
        <v>10.0</v>
      </c>
      <c r="D103" s="2">
        <v>30.0</v>
      </c>
      <c r="F103" s="2">
        <v>14.0</v>
      </c>
      <c r="G103" s="2">
        <v>10.0</v>
      </c>
      <c r="H103" s="2">
        <v>130.0</v>
      </c>
      <c r="I103" s="2">
        <v>10.0</v>
      </c>
      <c r="J103" s="2">
        <v>36.0</v>
      </c>
      <c r="L103" s="2">
        <v>18.0</v>
      </c>
      <c r="M103" s="2">
        <v>10.0</v>
      </c>
      <c r="N103" s="2">
        <v>60.0</v>
      </c>
      <c r="P103" s="2">
        <v>4.0</v>
      </c>
    </row>
    <row r="104">
      <c r="A104" s="2">
        <v>10.0</v>
      </c>
      <c r="B104" s="2">
        <v>50.0</v>
      </c>
      <c r="D104" s="2">
        <v>30.0</v>
      </c>
      <c r="F104" s="2">
        <v>14.0</v>
      </c>
      <c r="H104" s="2">
        <v>130.0</v>
      </c>
      <c r="J104" s="2">
        <v>36.0</v>
      </c>
      <c r="L104" s="2">
        <v>18.0</v>
      </c>
      <c r="N104" s="2">
        <v>60.0</v>
      </c>
      <c r="P104" s="2">
        <v>4.0</v>
      </c>
    </row>
    <row r="105">
      <c r="A105" s="2">
        <v>10.0</v>
      </c>
      <c r="B105" s="2">
        <v>64.0</v>
      </c>
      <c r="D105" s="2">
        <v>30.0</v>
      </c>
      <c r="F105" s="2">
        <v>14.0</v>
      </c>
      <c r="G105" s="2">
        <v>10.0</v>
      </c>
      <c r="H105" s="2">
        <v>144.0</v>
      </c>
      <c r="I105" s="2">
        <v>0.0</v>
      </c>
      <c r="J105" s="2">
        <v>40.0</v>
      </c>
      <c r="L105" s="2">
        <v>18.0</v>
      </c>
      <c r="N105" s="2">
        <v>60.0</v>
      </c>
      <c r="P105" s="2">
        <v>4.0</v>
      </c>
    </row>
    <row r="107">
      <c r="A107" s="2">
        <v>0.0</v>
      </c>
      <c r="B107" s="2">
        <v>68.0</v>
      </c>
      <c r="D107" s="2">
        <v>30.0</v>
      </c>
      <c r="F107" s="2">
        <v>14.0</v>
      </c>
      <c r="G107" s="2">
        <v>10.0</v>
      </c>
      <c r="H107" s="2">
        <v>158.0</v>
      </c>
      <c r="J107" s="2">
        <v>40.0</v>
      </c>
      <c r="L107" s="2">
        <v>18.0</v>
      </c>
      <c r="M107" s="2">
        <v>0.0</v>
      </c>
      <c r="N107" s="2">
        <v>64.0</v>
      </c>
      <c r="P107" s="2">
        <v>4.0</v>
      </c>
    </row>
    <row r="108">
      <c r="A108" s="2">
        <v>10.0</v>
      </c>
      <c r="B108" s="2">
        <v>82.0</v>
      </c>
      <c r="D108" s="2">
        <v>30.0</v>
      </c>
      <c r="F108" s="2">
        <v>14.0</v>
      </c>
      <c r="G108" s="2">
        <v>0.0</v>
      </c>
      <c r="H108" s="2">
        <v>162.0</v>
      </c>
      <c r="I108" s="2">
        <v>10.0</v>
      </c>
      <c r="J108" s="2">
        <v>54.0</v>
      </c>
      <c r="L108" s="2">
        <v>18.0</v>
      </c>
      <c r="N108" s="2">
        <v>64.0</v>
      </c>
      <c r="O108" s="2">
        <v>0.0</v>
      </c>
      <c r="P108" s="2">
        <v>8.0</v>
      </c>
    </row>
    <row r="109">
      <c r="B109" s="2">
        <v>82.0</v>
      </c>
      <c r="C109" s="2">
        <v>0.0</v>
      </c>
      <c r="D109" s="2">
        <v>34.0</v>
      </c>
      <c r="F109" s="2">
        <v>14.0</v>
      </c>
      <c r="G109" s="2">
        <v>10.0</v>
      </c>
      <c r="H109" s="2">
        <v>176.0</v>
      </c>
      <c r="J109" s="2">
        <v>54.0</v>
      </c>
      <c r="L109" s="2">
        <v>18.0</v>
      </c>
      <c r="N109" s="2">
        <v>64.0</v>
      </c>
      <c r="P109" s="2">
        <v>8.0</v>
      </c>
    </row>
    <row r="110">
      <c r="A110" s="2">
        <v>10.0</v>
      </c>
      <c r="B110" s="2">
        <v>96.0</v>
      </c>
      <c r="D110" s="2">
        <v>34.0</v>
      </c>
      <c r="F110" s="2">
        <v>14.0</v>
      </c>
      <c r="H110" s="2">
        <v>176.0</v>
      </c>
      <c r="J110" s="2">
        <v>54.0</v>
      </c>
      <c r="L110" s="2">
        <v>18.0</v>
      </c>
      <c r="N110" s="2">
        <v>64.0</v>
      </c>
      <c r="P110" s="2">
        <v>8.0</v>
      </c>
    </row>
    <row r="111">
      <c r="B111" s="2">
        <v>96.0</v>
      </c>
      <c r="C111" s="2">
        <v>0.0</v>
      </c>
      <c r="D111" s="2">
        <v>38.0</v>
      </c>
      <c r="F111" s="2">
        <v>14.0</v>
      </c>
      <c r="G111" s="2">
        <v>0.0</v>
      </c>
      <c r="H111" s="2">
        <v>180.0</v>
      </c>
      <c r="I111" s="2">
        <v>0.0</v>
      </c>
      <c r="J111" s="2">
        <v>58.0</v>
      </c>
      <c r="L111" s="2">
        <v>18.0</v>
      </c>
      <c r="N111" s="2">
        <v>64.0</v>
      </c>
      <c r="O111" s="2">
        <v>0.0</v>
      </c>
      <c r="P111" s="2">
        <v>12.0</v>
      </c>
    </row>
    <row r="112">
      <c r="B112" s="2">
        <v>96.0</v>
      </c>
      <c r="C112" s="2">
        <v>0.0</v>
      </c>
      <c r="D112" s="2">
        <v>42.0</v>
      </c>
      <c r="F112" s="2">
        <v>18.0</v>
      </c>
      <c r="H112" s="2">
        <v>180.0</v>
      </c>
      <c r="J112" s="2">
        <v>58.0</v>
      </c>
      <c r="K112" s="2">
        <v>0.0</v>
      </c>
      <c r="L112" s="2">
        <v>22.0</v>
      </c>
      <c r="N112" s="2">
        <v>64.0</v>
      </c>
      <c r="O112" s="2">
        <v>0.0</v>
      </c>
      <c r="P112" s="2">
        <v>16.0</v>
      </c>
    </row>
    <row r="113">
      <c r="A113" s="2">
        <v>0.0</v>
      </c>
      <c r="B113" s="2">
        <v>100.0</v>
      </c>
      <c r="D113" s="2">
        <v>42.0</v>
      </c>
      <c r="E113" s="2">
        <v>0.0</v>
      </c>
      <c r="F113" s="2">
        <v>26.0</v>
      </c>
      <c r="H113" s="2">
        <v>180.0</v>
      </c>
      <c r="J113" s="2">
        <v>58.0</v>
      </c>
      <c r="K113" s="2">
        <v>0.0</v>
      </c>
      <c r="L113" s="2">
        <v>26.0</v>
      </c>
      <c r="N113" s="2">
        <v>64.0</v>
      </c>
      <c r="P113" s="2">
        <v>16.0</v>
      </c>
    </row>
    <row r="114">
      <c r="A114" s="2">
        <v>0.0</v>
      </c>
      <c r="B114" s="2">
        <v>104.0</v>
      </c>
      <c r="D114" s="2">
        <v>42.0</v>
      </c>
      <c r="E114" s="2">
        <v>10.0</v>
      </c>
      <c r="F114" s="2">
        <v>40.0</v>
      </c>
      <c r="H114" s="2">
        <v>180.0</v>
      </c>
      <c r="J114" s="2">
        <v>58.0</v>
      </c>
      <c r="L114" s="2">
        <v>26.0</v>
      </c>
      <c r="N114" s="2">
        <v>64.0</v>
      </c>
      <c r="P114" s="2">
        <v>16.0</v>
      </c>
    </row>
    <row r="115">
      <c r="B115" s="2">
        <v>104.0</v>
      </c>
      <c r="D115" s="2">
        <v>42.0</v>
      </c>
      <c r="F115" s="2">
        <v>40.0</v>
      </c>
      <c r="H115" s="2">
        <v>180.0</v>
      </c>
      <c r="J115" s="2">
        <v>58.0</v>
      </c>
      <c r="L115" s="2">
        <v>26.0</v>
      </c>
      <c r="M115" s="2">
        <v>0.0</v>
      </c>
      <c r="N115" s="2">
        <v>68.0</v>
      </c>
      <c r="P115" s="2">
        <v>16.0</v>
      </c>
    </row>
    <row r="116">
      <c r="A116" s="2">
        <v>10.0</v>
      </c>
      <c r="B116" s="2">
        <v>118.0</v>
      </c>
      <c r="D116" s="2">
        <v>42.0</v>
      </c>
      <c r="F116" s="2">
        <v>40.0</v>
      </c>
      <c r="G116" s="2">
        <v>0.0</v>
      </c>
      <c r="H116" s="2">
        <v>184.0</v>
      </c>
      <c r="I116" s="2">
        <v>0.0</v>
      </c>
      <c r="J116" s="2">
        <v>66.0</v>
      </c>
      <c r="L116" s="2">
        <v>26.0</v>
      </c>
      <c r="M116" s="2">
        <v>10.0</v>
      </c>
      <c r="N116" s="2">
        <v>82.0</v>
      </c>
      <c r="P116" s="2">
        <v>16.0</v>
      </c>
    </row>
    <row r="117">
      <c r="A117" s="2">
        <v>10.0</v>
      </c>
      <c r="B117" s="2">
        <v>132.0</v>
      </c>
      <c r="D117" s="2">
        <v>42.0</v>
      </c>
      <c r="F117" s="2">
        <v>40.0</v>
      </c>
      <c r="G117" s="2">
        <v>0.0</v>
      </c>
      <c r="H117" s="2">
        <v>188.0</v>
      </c>
      <c r="J117" s="2">
        <v>66.0</v>
      </c>
      <c r="L117" s="2">
        <v>26.0</v>
      </c>
      <c r="M117" s="2">
        <v>0.0</v>
      </c>
      <c r="N117" s="2">
        <v>86.0</v>
      </c>
      <c r="P117" s="2">
        <v>16.0</v>
      </c>
    </row>
    <row r="118">
      <c r="B118" s="2">
        <v>132.0</v>
      </c>
      <c r="D118" s="2">
        <v>42.0</v>
      </c>
      <c r="F118" s="2">
        <v>40.0</v>
      </c>
      <c r="G118" s="2">
        <v>10.0</v>
      </c>
      <c r="H118" s="2">
        <v>202.0</v>
      </c>
      <c r="J118" s="2">
        <v>66.0</v>
      </c>
      <c r="L118" s="2">
        <v>30.0</v>
      </c>
      <c r="N118" s="2">
        <v>86.0</v>
      </c>
      <c r="O118" s="2">
        <v>0.0</v>
      </c>
      <c r="P118" s="2">
        <v>20.0</v>
      </c>
    </row>
    <row r="121">
      <c r="A121" s="2" t="s">
        <v>5</v>
      </c>
      <c r="B121" s="2" t="s">
        <v>5</v>
      </c>
      <c r="C121" s="2" t="s">
        <v>3</v>
      </c>
      <c r="D121" s="2" t="s">
        <v>3</v>
      </c>
      <c r="E121" s="2" t="s">
        <v>1</v>
      </c>
      <c r="F121" s="2" t="s">
        <v>1</v>
      </c>
      <c r="G121" s="2" t="s">
        <v>4</v>
      </c>
      <c r="H121" s="2" t="s">
        <v>4</v>
      </c>
      <c r="I121" s="2" t="s">
        <v>7</v>
      </c>
      <c r="J121" s="2" t="s">
        <v>7</v>
      </c>
      <c r="K121" s="2" t="s">
        <v>0</v>
      </c>
      <c r="L121" s="2" t="s">
        <v>0</v>
      </c>
      <c r="M121" s="2" t="s">
        <v>6</v>
      </c>
      <c r="N121" s="2" t="s">
        <v>6</v>
      </c>
      <c r="O121" s="2" t="s">
        <v>2</v>
      </c>
      <c r="P121" s="2" t="s">
        <v>2</v>
      </c>
    </row>
    <row r="122">
      <c r="A122" s="2" t="s">
        <v>8</v>
      </c>
      <c r="B122" s="2" t="s">
        <v>9</v>
      </c>
      <c r="C122" s="2" t="s">
        <v>8</v>
      </c>
      <c r="D122" s="2" t="s">
        <v>9</v>
      </c>
      <c r="E122" s="2" t="s">
        <v>8</v>
      </c>
      <c r="F122" s="2" t="s">
        <v>9</v>
      </c>
      <c r="G122" s="2" t="s">
        <v>8</v>
      </c>
      <c r="H122" s="2" t="s">
        <v>9</v>
      </c>
      <c r="I122" s="2" t="s">
        <v>8</v>
      </c>
      <c r="J122" s="2" t="s">
        <v>9</v>
      </c>
      <c r="K122" s="2" t="s">
        <v>8</v>
      </c>
      <c r="L122" s="2" t="s">
        <v>9</v>
      </c>
      <c r="M122" s="2" t="s">
        <v>8</v>
      </c>
      <c r="N122" s="2" t="s">
        <v>9</v>
      </c>
      <c r="O122" s="2" t="s">
        <v>8</v>
      </c>
      <c r="P122" s="2" t="s">
        <v>9</v>
      </c>
    </row>
    <row r="124">
      <c r="B124" s="2">
        <v>0.0</v>
      </c>
      <c r="D124" s="2">
        <v>0.0</v>
      </c>
      <c r="F124" s="2">
        <v>0.0</v>
      </c>
      <c r="H124" s="2">
        <v>4.0</v>
      </c>
      <c r="J124" s="2">
        <v>0.0</v>
      </c>
      <c r="L124" s="2">
        <v>0.0</v>
      </c>
      <c r="N124" s="2">
        <v>0.0</v>
      </c>
      <c r="P124" s="2">
        <v>0.0</v>
      </c>
    </row>
    <row r="125">
      <c r="B125" s="2">
        <v>0.0</v>
      </c>
      <c r="D125" s="2">
        <v>0.0</v>
      </c>
      <c r="F125" s="2">
        <v>0.0</v>
      </c>
      <c r="H125" s="2">
        <v>4.0</v>
      </c>
      <c r="J125" s="2">
        <v>0.0</v>
      </c>
      <c r="L125" s="2">
        <v>0.0</v>
      </c>
      <c r="N125" s="2">
        <v>0.0</v>
      </c>
      <c r="P125" s="2">
        <v>0.0</v>
      </c>
    </row>
    <row r="126">
      <c r="B126" s="2">
        <v>0.0</v>
      </c>
      <c r="D126" s="2">
        <v>0.0</v>
      </c>
      <c r="E126" s="2">
        <v>0.0</v>
      </c>
      <c r="F126" s="2">
        <v>4.0</v>
      </c>
      <c r="H126" s="2">
        <v>4.0</v>
      </c>
      <c r="J126" s="2">
        <v>0.0</v>
      </c>
      <c r="L126" s="2">
        <v>0.0</v>
      </c>
      <c r="N126" s="2">
        <v>0.0</v>
      </c>
      <c r="P126" s="2">
        <v>0.0</v>
      </c>
    </row>
    <row r="127">
      <c r="B127" s="2">
        <v>0.0</v>
      </c>
      <c r="C127" s="2">
        <v>0.0</v>
      </c>
      <c r="D127" s="2">
        <v>4.0</v>
      </c>
      <c r="F127" s="2">
        <v>4.0</v>
      </c>
      <c r="H127" s="2">
        <v>4.0</v>
      </c>
      <c r="J127" s="2">
        <v>0.0</v>
      </c>
      <c r="L127" s="2">
        <v>0.0</v>
      </c>
      <c r="N127" s="2">
        <v>0.0</v>
      </c>
      <c r="P127" s="2">
        <v>0.0</v>
      </c>
    </row>
    <row r="128">
      <c r="B128" s="2">
        <v>0.0</v>
      </c>
      <c r="D128" s="2">
        <v>4.0</v>
      </c>
      <c r="F128" s="2">
        <v>4.0</v>
      </c>
      <c r="H128" s="2">
        <v>8.0</v>
      </c>
      <c r="J128" s="2">
        <v>0.0</v>
      </c>
      <c r="L128" s="2">
        <v>0.0</v>
      </c>
      <c r="N128" s="2">
        <v>0.0</v>
      </c>
      <c r="P128" s="2">
        <v>0.0</v>
      </c>
    </row>
    <row r="129">
      <c r="B129" s="2">
        <v>0.0</v>
      </c>
      <c r="D129" s="2">
        <v>8.0</v>
      </c>
      <c r="E129" s="2">
        <v>10.0</v>
      </c>
      <c r="F129" s="2">
        <v>22.0</v>
      </c>
      <c r="H129" s="2">
        <v>8.0</v>
      </c>
      <c r="J129" s="2">
        <v>0.0</v>
      </c>
      <c r="L129" s="2">
        <v>0.0</v>
      </c>
      <c r="N129" s="2">
        <v>4.0</v>
      </c>
      <c r="P129" s="2">
        <v>4.0</v>
      </c>
    </row>
    <row r="130">
      <c r="B130" s="2">
        <v>0.0</v>
      </c>
      <c r="C130" s="2">
        <v>0.0</v>
      </c>
      <c r="D130" s="2">
        <v>12.0</v>
      </c>
      <c r="E130" s="2">
        <v>0.0</v>
      </c>
      <c r="F130" s="2">
        <v>26.0</v>
      </c>
      <c r="H130" s="2">
        <v>8.0</v>
      </c>
      <c r="I130" s="2">
        <v>0.0</v>
      </c>
      <c r="J130" s="2">
        <v>4.0</v>
      </c>
      <c r="L130" s="2">
        <v>0.0</v>
      </c>
      <c r="N130" s="2">
        <v>4.0</v>
      </c>
      <c r="P130" s="2">
        <v>4.0</v>
      </c>
    </row>
    <row r="131">
      <c r="A131" s="2">
        <v>0.0</v>
      </c>
      <c r="B131" s="2">
        <v>4.0</v>
      </c>
      <c r="D131" s="2">
        <v>12.0</v>
      </c>
      <c r="E131" s="2">
        <v>10.0</v>
      </c>
      <c r="F131" s="2">
        <v>40.0</v>
      </c>
      <c r="H131" s="2">
        <v>8.0</v>
      </c>
      <c r="I131" s="2">
        <v>10.0</v>
      </c>
      <c r="J131" s="2">
        <v>18.0</v>
      </c>
      <c r="L131" s="2">
        <v>0.0</v>
      </c>
      <c r="M131" s="2">
        <v>10.0</v>
      </c>
      <c r="N131" s="2">
        <v>22.0</v>
      </c>
      <c r="P131" s="2">
        <v>4.0</v>
      </c>
    </row>
    <row r="132">
      <c r="B132" s="2">
        <v>4.0</v>
      </c>
      <c r="C132" s="2">
        <v>0.0</v>
      </c>
      <c r="D132" s="2">
        <v>20.0</v>
      </c>
      <c r="F132" s="2">
        <v>40.0</v>
      </c>
      <c r="G132" s="2">
        <v>10.0</v>
      </c>
      <c r="H132" s="2">
        <v>22.0</v>
      </c>
      <c r="J132" s="2">
        <v>18.0</v>
      </c>
      <c r="K132" s="2">
        <v>10.0</v>
      </c>
      <c r="L132" s="2">
        <v>14.0</v>
      </c>
      <c r="N132" s="2">
        <v>22.0</v>
      </c>
      <c r="P132" s="2">
        <v>8.0</v>
      </c>
    </row>
    <row r="133">
      <c r="B133" s="2">
        <v>4.0</v>
      </c>
      <c r="C133" s="2">
        <v>0.0</v>
      </c>
      <c r="D133" s="2">
        <v>24.0</v>
      </c>
      <c r="E133" s="2">
        <v>0.0</v>
      </c>
      <c r="F133" s="2">
        <v>44.0</v>
      </c>
      <c r="H133" s="2">
        <v>22.0</v>
      </c>
      <c r="J133" s="2">
        <v>18.0</v>
      </c>
      <c r="L133" s="2">
        <v>14.0</v>
      </c>
      <c r="N133" s="2">
        <v>22.0</v>
      </c>
      <c r="P133" s="2">
        <v>8.0</v>
      </c>
    </row>
    <row r="134">
      <c r="A134" s="2">
        <v>0.0</v>
      </c>
      <c r="B134" s="2">
        <v>8.0</v>
      </c>
      <c r="D134" s="2">
        <v>24.0</v>
      </c>
      <c r="F134" s="2">
        <v>44.0</v>
      </c>
      <c r="H134" s="2">
        <v>22.0</v>
      </c>
      <c r="J134" s="2">
        <v>18.0</v>
      </c>
      <c r="L134" s="2">
        <v>14.0</v>
      </c>
      <c r="N134" s="2">
        <v>22.0</v>
      </c>
      <c r="P134" s="2">
        <v>8.0</v>
      </c>
    </row>
    <row r="135">
      <c r="B135" s="2">
        <v>8.0</v>
      </c>
      <c r="D135" s="2">
        <v>24.0</v>
      </c>
      <c r="F135" s="2">
        <v>44.0</v>
      </c>
      <c r="H135" s="2">
        <v>22.0</v>
      </c>
      <c r="J135" s="2">
        <v>18.0</v>
      </c>
      <c r="L135" s="2">
        <v>14.0</v>
      </c>
      <c r="N135" s="2">
        <v>22.0</v>
      </c>
      <c r="P135" s="2">
        <v>8.0</v>
      </c>
    </row>
    <row r="137">
      <c r="B137" s="2">
        <v>8.0</v>
      </c>
      <c r="D137" s="2">
        <v>24.0</v>
      </c>
      <c r="F137" s="2">
        <v>44.0</v>
      </c>
      <c r="G137" s="2">
        <v>0.0</v>
      </c>
      <c r="H137" s="2">
        <v>26.0</v>
      </c>
      <c r="J137" s="2">
        <v>18.0</v>
      </c>
      <c r="L137" s="2">
        <v>14.0</v>
      </c>
      <c r="N137" s="2">
        <v>22.0</v>
      </c>
      <c r="P137" s="2">
        <v>8.0</v>
      </c>
    </row>
    <row r="138">
      <c r="B138" s="2">
        <v>8.0</v>
      </c>
      <c r="C138" s="2">
        <v>10.0</v>
      </c>
      <c r="D138" s="2">
        <v>38.0</v>
      </c>
      <c r="F138" s="2">
        <v>44.0</v>
      </c>
      <c r="G138" s="2">
        <v>10.0</v>
      </c>
      <c r="H138" s="2">
        <v>40.0</v>
      </c>
      <c r="J138" s="2">
        <v>18.0</v>
      </c>
      <c r="L138" s="2">
        <v>14.0</v>
      </c>
      <c r="N138" s="2">
        <v>22.0</v>
      </c>
      <c r="O138" s="2">
        <v>0.0</v>
      </c>
      <c r="P138" s="2">
        <v>12.0</v>
      </c>
    </row>
    <row r="139">
      <c r="A139" s="2">
        <v>0.0</v>
      </c>
      <c r="B139" s="2">
        <v>12.0</v>
      </c>
      <c r="D139" s="2">
        <v>38.0</v>
      </c>
      <c r="F139" s="2">
        <v>44.0</v>
      </c>
      <c r="H139" s="2">
        <v>40.0</v>
      </c>
      <c r="J139" s="2">
        <v>18.0</v>
      </c>
      <c r="L139" s="2">
        <v>14.0</v>
      </c>
      <c r="N139" s="2">
        <v>22.0</v>
      </c>
      <c r="P139" s="2">
        <v>12.0</v>
      </c>
    </row>
    <row r="140">
      <c r="B140" s="2">
        <v>12.0</v>
      </c>
      <c r="C140" s="2">
        <v>0.0</v>
      </c>
      <c r="D140" s="2">
        <v>42.0</v>
      </c>
      <c r="E140" s="2">
        <v>10.0</v>
      </c>
      <c r="F140" s="2">
        <v>58.0</v>
      </c>
      <c r="H140" s="2">
        <v>40.0</v>
      </c>
      <c r="I140" s="2">
        <v>0.0</v>
      </c>
      <c r="J140" s="2">
        <v>22.0</v>
      </c>
      <c r="L140" s="2">
        <v>14.0</v>
      </c>
      <c r="N140" s="2">
        <v>22.0</v>
      </c>
      <c r="P140" s="2">
        <v>12.0</v>
      </c>
    </row>
    <row r="141">
      <c r="A141" s="2">
        <v>0.0</v>
      </c>
      <c r="B141" s="2">
        <v>16.0</v>
      </c>
      <c r="D141" s="2">
        <v>42.0</v>
      </c>
      <c r="F141" s="2">
        <v>58.0</v>
      </c>
      <c r="G141" s="2">
        <v>10.0</v>
      </c>
      <c r="H141" s="2">
        <v>54.0</v>
      </c>
      <c r="I141" s="2">
        <v>0.0</v>
      </c>
      <c r="J141" s="2">
        <v>26.0</v>
      </c>
      <c r="L141" s="2">
        <v>14.0</v>
      </c>
      <c r="N141" s="2">
        <v>22.0</v>
      </c>
      <c r="P141" s="2">
        <v>12.0</v>
      </c>
    </row>
    <row r="142">
      <c r="B142" s="2">
        <v>16.0</v>
      </c>
      <c r="C142" s="2">
        <v>10.0</v>
      </c>
      <c r="D142" s="2">
        <v>56.0</v>
      </c>
      <c r="F142" s="2">
        <v>58.0</v>
      </c>
      <c r="G142" s="2">
        <v>10.0</v>
      </c>
      <c r="H142" s="2">
        <v>68.0</v>
      </c>
      <c r="J142" s="2">
        <v>26.0</v>
      </c>
      <c r="L142" s="2">
        <v>14.0</v>
      </c>
      <c r="N142" s="2">
        <v>22.0</v>
      </c>
      <c r="P142" s="2">
        <v>12.0</v>
      </c>
    </row>
    <row r="143">
      <c r="B143" s="2">
        <v>16.0</v>
      </c>
      <c r="D143" s="2">
        <v>60.0</v>
      </c>
      <c r="E143" s="2">
        <v>10.0</v>
      </c>
      <c r="F143" s="2">
        <v>76.0</v>
      </c>
      <c r="H143" s="2">
        <v>68.0</v>
      </c>
      <c r="J143" s="2">
        <v>26.0</v>
      </c>
      <c r="K143" s="2">
        <v>10.0</v>
      </c>
      <c r="L143" s="2">
        <v>28.0</v>
      </c>
      <c r="N143" s="2">
        <v>26.0</v>
      </c>
      <c r="P143" s="2">
        <v>16.0</v>
      </c>
    </row>
    <row r="144">
      <c r="B144" s="2">
        <v>16.0</v>
      </c>
      <c r="C144" s="2">
        <v>10.0</v>
      </c>
      <c r="D144" s="2">
        <v>74.0</v>
      </c>
      <c r="E144" s="2">
        <v>10.0</v>
      </c>
      <c r="F144" s="2">
        <v>90.0</v>
      </c>
      <c r="H144" s="2">
        <v>68.0</v>
      </c>
      <c r="I144" s="2">
        <v>10.0</v>
      </c>
      <c r="J144" s="2">
        <v>40.0</v>
      </c>
      <c r="L144" s="2">
        <v>28.0</v>
      </c>
      <c r="N144" s="2">
        <v>26.0</v>
      </c>
      <c r="P144" s="2">
        <v>16.0</v>
      </c>
    </row>
    <row r="145">
      <c r="B145" s="2">
        <v>16.0</v>
      </c>
      <c r="D145" s="2">
        <v>74.0</v>
      </c>
      <c r="E145" s="2">
        <v>10.0</v>
      </c>
      <c r="F145" s="2">
        <v>104.0</v>
      </c>
      <c r="H145" s="2">
        <v>68.0</v>
      </c>
      <c r="J145" s="2">
        <v>40.0</v>
      </c>
      <c r="L145" s="2">
        <v>28.0</v>
      </c>
      <c r="N145" s="2">
        <v>26.0</v>
      </c>
      <c r="P145" s="2">
        <v>16.0</v>
      </c>
    </row>
    <row r="146">
      <c r="B146" s="2">
        <v>20.0</v>
      </c>
      <c r="D146" s="2">
        <v>74.0</v>
      </c>
      <c r="E146" s="2">
        <v>10.0</v>
      </c>
      <c r="F146" s="2">
        <v>118.0</v>
      </c>
      <c r="H146" s="2">
        <v>68.0</v>
      </c>
      <c r="J146" s="2">
        <v>40.0</v>
      </c>
      <c r="L146" s="2">
        <v>28.0</v>
      </c>
      <c r="N146" s="2">
        <v>26.0</v>
      </c>
      <c r="P146" s="2">
        <v>16.0</v>
      </c>
    </row>
    <row r="147">
      <c r="B147" s="2">
        <v>20.0</v>
      </c>
      <c r="D147" s="2">
        <v>74.0</v>
      </c>
      <c r="F147" s="2">
        <v>118.0</v>
      </c>
      <c r="H147" s="2">
        <v>68.0</v>
      </c>
      <c r="J147" s="2">
        <v>40.0</v>
      </c>
      <c r="L147" s="2">
        <v>28.0</v>
      </c>
      <c r="N147" s="2">
        <v>26.0</v>
      </c>
      <c r="P147" s="2">
        <v>16.0</v>
      </c>
    </row>
    <row r="148">
      <c r="B148" s="2">
        <v>20.0</v>
      </c>
      <c r="C148" s="2">
        <v>0.0</v>
      </c>
      <c r="D148" s="2">
        <v>78.0</v>
      </c>
      <c r="F148" s="2">
        <v>118.0</v>
      </c>
      <c r="G148" s="2">
        <v>0.0</v>
      </c>
      <c r="H148" s="2">
        <v>72.0</v>
      </c>
      <c r="I148" s="2">
        <v>0.0</v>
      </c>
      <c r="J148" s="2">
        <v>44.0</v>
      </c>
      <c r="L148" s="2">
        <v>28.0</v>
      </c>
      <c r="N148" s="2">
        <v>26.0</v>
      </c>
      <c r="O148" s="2">
        <v>10.0</v>
      </c>
      <c r="P148" s="2">
        <v>30.0</v>
      </c>
    </row>
    <row r="151">
      <c r="A151" s="2" t="s">
        <v>1</v>
      </c>
      <c r="B151" s="2" t="s">
        <v>1</v>
      </c>
      <c r="C151" s="2" t="s">
        <v>5</v>
      </c>
      <c r="D151" s="2" t="s">
        <v>5</v>
      </c>
      <c r="E151" s="2" t="s">
        <v>3</v>
      </c>
      <c r="F151" s="2" t="s">
        <v>3</v>
      </c>
      <c r="G151" s="2" t="s">
        <v>4</v>
      </c>
      <c r="H151" s="2" t="s">
        <v>4</v>
      </c>
      <c r="I151" s="2" t="s">
        <v>7</v>
      </c>
      <c r="J151" s="2" t="s">
        <v>7</v>
      </c>
      <c r="K151" s="2" t="s">
        <v>0</v>
      </c>
      <c r="L151" s="2" t="s">
        <v>0</v>
      </c>
      <c r="M151" s="2" t="s">
        <v>6</v>
      </c>
      <c r="N151" s="2" t="s">
        <v>6</v>
      </c>
      <c r="O151" s="2" t="s">
        <v>2</v>
      </c>
      <c r="P151" s="2" t="s">
        <v>2</v>
      </c>
    </row>
    <row r="152">
      <c r="A152" s="2" t="s">
        <v>8</v>
      </c>
      <c r="B152" s="2" t="s">
        <v>9</v>
      </c>
      <c r="C152" s="2" t="s">
        <v>8</v>
      </c>
      <c r="D152" s="2" t="s">
        <v>9</v>
      </c>
      <c r="E152" s="2" t="s">
        <v>8</v>
      </c>
      <c r="F152" s="2" t="s">
        <v>9</v>
      </c>
      <c r="G152" s="2" t="s">
        <v>8</v>
      </c>
      <c r="H152" s="2" t="s">
        <v>9</v>
      </c>
      <c r="I152" s="2" t="s">
        <v>8</v>
      </c>
      <c r="J152" s="2" t="s">
        <v>9</v>
      </c>
      <c r="K152" s="2" t="s">
        <v>8</v>
      </c>
      <c r="L152" s="2" t="s">
        <v>9</v>
      </c>
      <c r="M152" s="2" t="s">
        <v>8</v>
      </c>
      <c r="N152" s="2" t="s">
        <v>9</v>
      </c>
      <c r="O152" s="2" t="s">
        <v>8</v>
      </c>
      <c r="P152" s="2" t="s">
        <v>9</v>
      </c>
    </row>
    <row r="154">
      <c r="B154" s="2">
        <v>0.0</v>
      </c>
      <c r="D154" s="2">
        <v>4.0</v>
      </c>
      <c r="F154" s="2">
        <v>4.0</v>
      </c>
      <c r="H154" s="2">
        <v>0.0</v>
      </c>
      <c r="J154" s="2">
        <v>0.0</v>
      </c>
      <c r="K154" s="2">
        <v>10.0</v>
      </c>
      <c r="L154" s="2">
        <v>14.0</v>
      </c>
      <c r="N154" s="2">
        <v>0.0</v>
      </c>
      <c r="O154" s="2">
        <v>10.0</v>
      </c>
      <c r="P154" s="2">
        <v>14.0</v>
      </c>
    </row>
    <row r="155">
      <c r="A155" s="2">
        <v>10.0</v>
      </c>
      <c r="B155" s="2">
        <v>14.0</v>
      </c>
      <c r="D155" s="2">
        <v>4.0</v>
      </c>
      <c r="E155" s="2">
        <v>10.0</v>
      </c>
      <c r="F155" s="2">
        <v>18.0</v>
      </c>
      <c r="H155" s="2">
        <v>0.0</v>
      </c>
      <c r="I155" s="2">
        <v>0.0</v>
      </c>
      <c r="J155" s="2">
        <v>4.0</v>
      </c>
      <c r="L155" s="2">
        <v>14.0</v>
      </c>
      <c r="M155" s="2">
        <v>0.0</v>
      </c>
      <c r="N155" s="2">
        <v>4.0</v>
      </c>
      <c r="P155" s="2">
        <v>14.0</v>
      </c>
    </row>
    <row r="156">
      <c r="B156" s="2">
        <v>14.0</v>
      </c>
      <c r="C156" s="2">
        <v>10.0</v>
      </c>
      <c r="D156" s="2">
        <v>18.0</v>
      </c>
      <c r="F156" s="2">
        <v>18.0</v>
      </c>
      <c r="G156" s="2">
        <v>0.0</v>
      </c>
      <c r="H156" s="2">
        <v>4.0</v>
      </c>
      <c r="J156" s="2">
        <v>4.0</v>
      </c>
      <c r="L156" s="2">
        <v>14.0</v>
      </c>
      <c r="N156" s="2">
        <v>4.0</v>
      </c>
      <c r="P156" s="2">
        <v>14.0</v>
      </c>
    </row>
    <row r="157">
      <c r="A157" s="2">
        <v>10.0</v>
      </c>
      <c r="B157" s="2">
        <v>28.0</v>
      </c>
      <c r="D157" s="2">
        <v>18.0</v>
      </c>
      <c r="F157" s="2">
        <v>18.0</v>
      </c>
      <c r="H157" s="2">
        <v>4.0</v>
      </c>
      <c r="I157" s="2">
        <v>0.0</v>
      </c>
      <c r="J157" s="2">
        <v>8.0</v>
      </c>
      <c r="L157" s="2">
        <v>14.0</v>
      </c>
      <c r="M157" s="2">
        <v>0.0</v>
      </c>
      <c r="N157" s="2">
        <v>8.0</v>
      </c>
      <c r="P157" s="2">
        <v>14.0</v>
      </c>
    </row>
    <row r="158">
      <c r="B158" s="2">
        <v>28.0</v>
      </c>
      <c r="D158" s="2">
        <v>18.0</v>
      </c>
      <c r="F158" s="2">
        <v>18.0</v>
      </c>
      <c r="H158" s="2">
        <v>4.0</v>
      </c>
      <c r="J158" s="2">
        <v>8.0</v>
      </c>
      <c r="L158" s="2">
        <v>14.0</v>
      </c>
      <c r="N158" s="2">
        <v>8.0</v>
      </c>
      <c r="P158" s="2">
        <v>14.0</v>
      </c>
    </row>
    <row r="159">
      <c r="B159" s="2">
        <v>28.0</v>
      </c>
      <c r="C159" s="2">
        <v>0.0</v>
      </c>
      <c r="D159" s="2">
        <v>22.0</v>
      </c>
      <c r="F159" s="2">
        <v>18.0</v>
      </c>
      <c r="G159" s="2">
        <v>0.0</v>
      </c>
      <c r="H159" s="2">
        <v>8.0</v>
      </c>
      <c r="J159" s="2">
        <v>8.0</v>
      </c>
      <c r="L159" s="2">
        <v>14.0</v>
      </c>
      <c r="N159" s="2">
        <v>8.0</v>
      </c>
      <c r="P159" s="2">
        <v>14.0</v>
      </c>
    </row>
    <row r="160">
      <c r="A160" s="2">
        <v>10.0</v>
      </c>
      <c r="B160" s="2">
        <v>42.0</v>
      </c>
      <c r="D160" s="2">
        <v>22.0</v>
      </c>
      <c r="F160" s="2">
        <v>18.0</v>
      </c>
      <c r="G160" s="2">
        <v>10.0</v>
      </c>
      <c r="H160" s="2">
        <v>22.0</v>
      </c>
      <c r="J160" s="2">
        <v>8.0</v>
      </c>
      <c r="K160" s="2">
        <v>10.0</v>
      </c>
      <c r="L160" s="2">
        <v>28.0</v>
      </c>
      <c r="N160" s="2">
        <v>8.0</v>
      </c>
      <c r="O160" s="2">
        <v>10.0</v>
      </c>
      <c r="P160" s="2">
        <v>28.0</v>
      </c>
    </row>
    <row r="161">
      <c r="B161" s="2">
        <v>42.0</v>
      </c>
      <c r="D161" s="2">
        <v>22.0</v>
      </c>
      <c r="E161" s="2">
        <v>0.0</v>
      </c>
      <c r="F161" s="2">
        <v>22.0</v>
      </c>
      <c r="H161" s="2">
        <v>22.0</v>
      </c>
      <c r="J161" s="2">
        <v>8.0</v>
      </c>
      <c r="L161" s="2">
        <v>28.0</v>
      </c>
      <c r="M161" s="2">
        <v>0.0</v>
      </c>
      <c r="N161" s="2">
        <v>12.0</v>
      </c>
      <c r="P161" s="2">
        <v>28.0</v>
      </c>
    </row>
    <row r="162">
      <c r="B162" s="2">
        <v>42.0</v>
      </c>
      <c r="D162" s="2">
        <v>22.0</v>
      </c>
      <c r="F162" s="2">
        <v>22.0</v>
      </c>
      <c r="G162" s="2">
        <v>0.0</v>
      </c>
      <c r="H162" s="2">
        <v>26.0</v>
      </c>
      <c r="J162" s="2">
        <v>8.0</v>
      </c>
      <c r="L162" s="2">
        <v>28.0</v>
      </c>
      <c r="N162" s="2">
        <v>12.0</v>
      </c>
      <c r="P162" s="2">
        <v>28.0</v>
      </c>
    </row>
    <row r="163">
      <c r="B163" s="2">
        <v>42.0</v>
      </c>
      <c r="C163" s="2">
        <v>10.0</v>
      </c>
      <c r="D163" s="2">
        <v>36.0</v>
      </c>
      <c r="E163" s="2">
        <v>10.0</v>
      </c>
      <c r="F163" s="2">
        <v>36.0</v>
      </c>
      <c r="H163" s="2">
        <v>26.0</v>
      </c>
      <c r="J163" s="2">
        <v>8.0</v>
      </c>
      <c r="K163" s="2">
        <v>0.0</v>
      </c>
      <c r="L163" s="2">
        <v>32.0</v>
      </c>
      <c r="N163" s="2">
        <v>12.0</v>
      </c>
      <c r="P163" s="2">
        <v>28.0</v>
      </c>
    </row>
    <row r="164">
      <c r="B164" s="2">
        <v>42.0</v>
      </c>
      <c r="D164" s="2">
        <v>36.0</v>
      </c>
      <c r="F164" s="2">
        <v>36.0</v>
      </c>
      <c r="H164" s="2">
        <v>26.0</v>
      </c>
      <c r="J164" s="2">
        <v>8.0</v>
      </c>
      <c r="L164" s="2">
        <v>32.0</v>
      </c>
      <c r="N164" s="2">
        <v>12.0</v>
      </c>
      <c r="P164" s="2">
        <v>28.0</v>
      </c>
    </row>
    <row r="165">
      <c r="B165" s="2">
        <v>42.0</v>
      </c>
      <c r="C165" s="2">
        <v>0.0</v>
      </c>
      <c r="D165" s="2">
        <v>40.0</v>
      </c>
      <c r="E165" s="2">
        <v>0.0</v>
      </c>
      <c r="F165" s="2">
        <v>40.0</v>
      </c>
      <c r="H165" s="2">
        <v>26.0</v>
      </c>
      <c r="J165" s="2">
        <v>8.0</v>
      </c>
      <c r="K165" s="2">
        <v>0.0</v>
      </c>
      <c r="L165" s="2">
        <v>36.0</v>
      </c>
      <c r="N165" s="2">
        <v>12.0</v>
      </c>
      <c r="P165" s="2">
        <v>28.0</v>
      </c>
    </row>
    <row r="167">
      <c r="B167" s="2">
        <v>42.0</v>
      </c>
      <c r="D167" s="2">
        <v>40.0</v>
      </c>
      <c r="F167" s="2">
        <v>44.0</v>
      </c>
      <c r="H167" s="2">
        <v>26.0</v>
      </c>
      <c r="J167" s="2">
        <v>8.0</v>
      </c>
      <c r="L167" s="2">
        <v>36.0</v>
      </c>
      <c r="N167" s="2">
        <v>12.0</v>
      </c>
      <c r="P167" s="2">
        <v>28.0</v>
      </c>
    </row>
    <row r="168">
      <c r="A168" s="2">
        <v>10.0</v>
      </c>
      <c r="B168" s="2">
        <v>56.0</v>
      </c>
      <c r="D168" s="2">
        <v>40.0</v>
      </c>
      <c r="F168" s="2">
        <v>44.0</v>
      </c>
      <c r="G168" s="2">
        <v>10.0</v>
      </c>
      <c r="H168" s="2">
        <v>40.0</v>
      </c>
      <c r="J168" s="2">
        <v>8.0</v>
      </c>
      <c r="L168" s="2">
        <v>36.0</v>
      </c>
      <c r="M168" s="2">
        <v>10.0</v>
      </c>
      <c r="N168" s="2">
        <v>26.0</v>
      </c>
      <c r="P168" s="2">
        <v>28.0</v>
      </c>
    </row>
    <row r="169">
      <c r="A169" s="2">
        <v>10.0</v>
      </c>
      <c r="B169" s="2">
        <v>74.0</v>
      </c>
      <c r="D169" s="2">
        <v>40.0</v>
      </c>
      <c r="E169" s="2">
        <v>0.0</v>
      </c>
      <c r="F169" s="2">
        <v>48.0</v>
      </c>
      <c r="H169" s="2">
        <v>40.0</v>
      </c>
      <c r="I169" s="2">
        <v>10.0</v>
      </c>
      <c r="J169" s="2">
        <v>22.0</v>
      </c>
      <c r="L169" s="2">
        <v>36.0</v>
      </c>
      <c r="N169" s="2">
        <v>26.0</v>
      </c>
      <c r="P169" s="2">
        <v>28.0</v>
      </c>
    </row>
    <row r="170">
      <c r="B170" s="2">
        <v>74.0</v>
      </c>
      <c r="C170" s="2">
        <v>10.0</v>
      </c>
      <c r="D170" s="2">
        <v>54.0</v>
      </c>
      <c r="F170" s="2">
        <v>48.0</v>
      </c>
      <c r="G170" s="2">
        <v>10.0</v>
      </c>
      <c r="H170" s="2">
        <v>54.0</v>
      </c>
      <c r="I170" s="2">
        <v>10.0</v>
      </c>
      <c r="J170" s="2">
        <v>36.0</v>
      </c>
      <c r="L170" s="2">
        <v>36.0</v>
      </c>
      <c r="N170" s="2">
        <v>26.0</v>
      </c>
      <c r="O170" s="2">
        <v>10.0</v>
      </c>
      <c r="P170" s="2">
        <v>42.0</v>
      </c>
    </row>
    <row r="171">
      <c r="B171" s="2">
        <v>74.0</v>
      </c>
      <c r="D171" s="2">
        <v>54.0</v>
      </c>
      <c r="F171" s="2">
        <v>48.0</v>
      </c>
      <c r="G171" s="2">
        <v>0.0</v>
      </c>
      <c r="H171" s="2">
        <v>58.0</v>
      </c>
      <c r="J171" s="2">
        <v>36.0</v>
      </c>
      <c r="L171" s="2">
        <v>36.0</v>
      </c>
      <c r="N171" s="2">
        <v>26.0</v>
      </c>
      <c r="O171" s="2">
        <v>0.0</v>
      </c>
      <c r="P171" s="2">
        <v>46.0</v>
      </c>
    </row>
    <row r="172">
      <c r="B172" s="2">
        <v>74.0</v>
      </c>
      <c r="D172" s="2">
        <v>54.0</v>
      </c>
      <c r="F172" s="2">
        <v>48.0</v>
      </c>
      <c r="G172" s="2">
        <v>10.0</v>
      </c>
      <c r="H172" s="2">
        <v>72.0</v>
      </c>
      <c r="J172" s="2">
        <v>36.0</v>
      </c>
      <c r="L172" s="2">
        <v>36.0</v>
      </c>
      <c r="N172" s="2">
        <v>26.0</v>
      </c>
      <c r="P172" s="2">
        <v>46.0</v>
      </c>
    </row>
    <row r="173">
      <c r="A173" s="2">
        <v>10.0</v>
      </c>
      <c r="B173" s="2">
        <v>88.0</v>
      </c>
      <c r="D173" s="2">
        <v>54.0</v>
      </c>
      <c r="F173" s="2">
        <v>48.0</v>
      </c>
      <c r="G173" s="2">
        <v>10.0</v>
      </c>
      <c r="H173" s="2">
        <v>86.0</v>
      </c>
      <c r="J173" s="2">
        <v>36.0</v>
      </c>
      <c r="L173" s="2">
        <v>36.0</v>
      </c>
      <c r="N173" s="2">
        <v>26.0</v>
      </c>
      <c r="P173" s="2">
        <v>46.0</v>
      </c>
    </row>
    <row r="174">
      <c r="B174" s="2">
        <v>88.0</v>
      </c>
      <c r="D174" s="2">
        <v>54.0</v>
      </c>
      <c r="F174" s="2">
        <v>48.0</v>
      </c>
      <c r="G174" s="2">
        <v>10.0</v>
      </c>
      <c r="H174" s="2">
        <v>100.0</v>
      </c>
      <c r="I174" s="2">
        <v>0.0</v>
      </c>
      <c r="J174" s="2">
        <v>40.0</v>
      </c>
      <c r="L174" s="2">
        <v>36.0</v>
      </c>
      <c r="N174" s="2">
        <v>26.0</v>
      </c>
      <c r="O174" s="2">
        <v>0.0</v>
      </c>
      <c r="P174" s="2">
        <v>50.0</v>
      </c>
    </row>
    <row r="175">
      <c r="A175" s="2">
        <v>10.0</v>
      </c>
      <c r="B175" s="2">
        <v>102.0</v>
      </c>
      <c r="D175" s="2">
        <v>54.0</v>
      </c>
      <c r="F175" s="2">
        <v>48.0</v>
      </c>
      <c r="G175" s="2">
        <v>0.0</v>
      </c>
      <c r="H175" s="2">
        <v>104.0</v>
      </c>
      <c r="J175" s="2">
        <v>40.0</v>
      </c>
      <c r="K175" s="2">
        <v>0.0</v>
      </c>
      <c r="L175" s="2">
        <v>40.0</v>
      </c>
      <c r="M175" s="2">
        <v>0.0</v>
      </c>
      <c r="N175" s="2">
        <v>30.0</v>
      </c>
      <c r="P175" s="2">
        <v>50.0</v>
      </c>
    </row>
    <row r="176">
      <c r="A176" s="2">
        <v>10.0</v>
      </c>
      <c r="B176" s="2">
        <v>116.0</v>
      </c>
      <c r="D176" s="2">
        <v>54.0</v>
      </c>
      <c r="E176" s="2">
        <v>0.0</v>
      </c>
      <c r="F176" s="2">
        <v>52.0</v>
      </c>
      <c r="H176" s="2">
        <v>104.0</v>
      </c>
      <c r="I176" s="2">
        <v>10.0</v>
      </c>
      <c r="J176" s="2">
        <v>54.0</v>
      </c>
      <c r="L176" s="2">
        <v>40.0</v>
      </c>
      <c r="N176" s="2">
        <v>30.0</v>
      </c>
      <c r="O176" s="2">
        <v>0.0</v>
      </c>
      <c r="P176" s="2">
        <v>54.0</v>
      </c>
    </row>
    <row r="177">
      <c r="B177" s="2">
        <v>116.0</v>
      </c>
      <c r="D177" s="2">
        <v>58.0</v>
      </c>
      <c r="F177" s="2">
        <v>52.0</v>
      </c>
      <c r="H177" s="2">
        <v>104.0</v>
      </c>
      <c r="J177" s="2">
        <v>54.0</v>
      </c>
      <c r="K177" s="2">
        <v>10.0</v>
      </c>
      <c r="L177" s="2">
        <v>54.0</v>
      </c>
      <c r="M177" s="2">
        <v>0.0</v>
      </c>
      <c r="N177" s="2">
        <v>34.0</v>
      </c>
      <c r="P177" s="2">
        <v>54.0</v>
      </c>
    </row>
    <row r="178">
      <c r="B178" s="2">
        <v>116.0</v>
      </c>
      <c r="D178" s="2">
        <v>62.0</v>
      </c>
      <c r="E178" s="2">
        <v>10.0</v>
      </c>
      <c r="F178" s="2">
        <v>66.0</v>
      </c>
      <c r="H178" s="2">
        <v>104.0</v>
      </c>
      <c r="I178" s="2">
        <v>0.0</v>
      </c>
      <c r="J178" s="2">
        <v>58.0</v>
      </c>
      <c r="L178" s="2">
        <v>54.0</v>
      </c>
      <c r="M178" s="2">
        <v>0.0</v>
      </c>
      <c r="N178" s="2">
        <v>38.0</v>
      </c>
      <c r="P178" s="2">
        <v>54.0</v>
      </c>
    </row>
    <row r="181">
      <c r="A181" s="2" t="s">
        <v>5</v>
      </c>
      <c r="B181" s="2" t="s">
        <v>5</v>
      </c>
      <c r="C181" s="2" t="s">
        <v>7</v>
      </c>
      <c r="D181" s="2" t="s">
        <v>7</v>
      </c>
      <c r="E181" s="2" t="s">
        <v>3</v>
      </c>
      <c r="F181" s="2" t="s">
        <v>3</v>
      </c>
      <c r="G181" s="2" t="s">
        <v>2</v>
      </c>
      <c r="H181" s="2" t="s">
        <v>2</v>
      </c>
      <c r="I181" s="6" t="s">
        <v>1</v>
      </c>
      <c r="J181" s="6" t="s">
        <v>1</v>
      </c>
      <c r="K181" s="6" t="s">
        <v>4</v>
      </c>
      <c r="L181" s="6" t="s">
        <v>4</v>
      </c>
      <c r="M181" s="6" t="s">
        <v>0</v>
      </c>
      <c r="N181" s="6" t="s">
        <v>0</v>
      </c>
      <c r="O181" s="6" t="s">
        <v>6</v>
      </c>
      <c r="P181" s="6" t="s">
        <v>6</v>
      </c>
    </row>
    <row r="182">
      <c r="A182" s="2" t="s">
        <v>8</v>
      </c>
      <c r="B182" s="2" t="s">
        <v>9</v>
      </c>
      <c r="C182" s="2" t="s">
        <v>8</v>
      </c>
      <c r="D182" s="2" t="s">
        <v>9</v>
      </c>
      <c r="E182" s="2" t="s">
        <v>8</v>
      </c>
      <c r="F182" s="2" t="s">
        <v>9</v>
      </c>
      <c r="G182" s="2" t="s">
        <v>8</v>
      </c>
      <c r="H182" s="2" t="s">
        <v>9</v>
      </c>
      <c r="I182" s="6" t="s">
        <v>8</v>
      </c>
      <c r="J182" s="6" t="s">
        <v>9</v>
      </c>
      <c r="K182" s="6" t="s">
        <v>8</v>
      </c>
      <c r="L182" s="6" t="s">
        <v>9</v>
      </c>
      <c r="M182" s="6" t="s">
        <v>8</v>
      </c>
      <c r="N182" s="6" t="s">
        <v>9</v>
      </c>
      <c r="O182" s="6" t="s">
        <v>8</v>
      </c>
      <c r="P182" s="6" t="s">
        <v>9</v>
      </c>
    </row>
    <row r="184">
      <c r="B184" s="2">
        <v>0.0</v>
      </c>
      <c r="D184" s="2">
        <v>0.0</v>
      </c>
      <c r="E184" s="2">
        <v>0.0</v>
      </c>
      <c r="F184" s="2">
        <v>4.0</v>
      </c>
      <c r="H184" s="2">
        <v>0.0</v>
      </c>
    </row>
    <row r="185">
      <c r="B185" s="2">
        <v>0.0</v>
      </c>
      <c r="C185" s="2">
        <v>0.0</v>
      </c>
      <c r="D185" s="2">
        <v>4.0</v>
      </c>
      <c r="F185" s="2">
        <v>4.0</v>
      </c>
      <c r="G185" s="2">
        <v>0.0</v>
      </c>
      <c r="H185" s="2">
        <v>4.0</v>
      </c>
    </row>
    <row r="186">
      <c r="A186" s="2">
        <v>10.0</v>
      </c>
      <c r="B186" s="2">
        <v>14.0</v>
      </c>
      <c r="D186" s="2">
        <v>4.0</v>
      </c>
      <c r="F186" s="2">
        <v>4.0</v>
      </c>
      <c r="H186" s="2">
        <v>4.0</v>
      </c>
    </row>
    <row r="187">
      <c r="A187" s="2">
        <v>0.0</v>
      </c>
      <c r="B187" s="2">
        <v>18.0</v>
      </c>
      <c r="D187" s="2">
        <v>4.0</v>
      </c>
      <c r="F187" s="2">
        <v>4.0</v>
      </c>
      <c r="H187" s="2">
        <v>4.0</v>
      </c>
    </row>
    <row r="188">
      <c r="A188" s="2">
        <v>0.0</v>
      </c>
      <c r="B188" s="2">
        <v>22.0</v>
      </c>
      <c r="D188" s="2">
        <v>4.0</v>
      </c>
      <c r="F188" s="2">
        <v>4.0</v>
      </c>
      <c r="G188" s="2">
        <v>0.0</v>
      </c>
      <c r="H188" s="2">
        <v>8.0</v>
      </c>
    </row>
    <row r="189">
      <c r="B189" s="2">
        <v>22.0</v>
      </c>
      <c r="D189" s="2">
        <v>4.0</v>
      </c>
      <c r="F189" s="2">
        <v>4.0</v>
      </c>
      <c r="H189" s="2">
        <v>8.0</v>
      </c>
    </row>
    <row r="190">
      <c r="B190" s="2">
        <v>22.0</v>
      </c>
      <c r="D190" s="2">
        <v>4.0</v>
      </c>
      <c r="F190" s="2">
        <v>4.0</v>
      </c>
      <c r="H190" s="2">
        <v>8.0</v>
      </c>
    </row>
    <row r="191">
      <c r="A191" s="2">
        <v>10.0</v>
      </c>
      <c r="B191" s="2">
        <v>36.0</v>
      </c>
      <c r="D191" s="2">
        <v>4.0</v>
      </c>
      <c r="E191" s="2">
        <v>10.0</v>
      </c>
      <c r="F191" s="2">
        <v>18.0</v>
      </c>
      <c r="H191" s="2">
        <v>8.0</v>
      </c>
    </row>
    <row r="192">
      <c r="A192" s="2">
        <v>0.0</v>
      </c>
      <c r="B192" s="2">
        <v>40.0</v>
      </c>
      <c r="D192" s="2">
        <v>4.0</v>
      </c>
      <c r="E192" s="2">
        <v>0.0</v>
      </c>
      <c r="F192" s="2">
        <v>22.0</v>
      </c>
      <c r="H192" s="2">
        <v>8.0</v>
      </c>
    </row>
    <row r="193">
      <c r="B193" s="2">
        <v>40.0</v>
      </c>
      <c r="C193" s="2">
        <v>0.0</v>
      </c>
      <c r="D193" s="2">
        <v>8.0</v>
      </c>
      <c r="E193" s="2">
        <v>0.0</v>
      </c>
      <c r="F193" s="2">
        <v>26.0</v>
      </c>
      <c r="H193" s="2">
        <v>8.0</v>
      </c>
    </row>
    <row r="194">
      <c r="B194" s="2">
        <v>40.0</v>
      </c>
      <c r="D194" s="2">
        <v>8.0</v>
      </c>
      <c r="F194" s="2">
        <v>26.0</v>
      </c>
      <c r="H194" s="2">
        <v>8.0</v>
      </c>
    </row>
    <row r="195">
      <c r="B195" s="2">
        <v>40.0</v>
      </c>
      <c r="C195" s="2">
        <v>0.0</v>
      </c>
      <c r="D195" s="2">
        <v>12.0</v>
      </c>
      <c r="E195" s="2">
        <v>10.0</v>
      </c>
      <c r="F195" s="2">
        <v>44.0</v>
      </c>
      <c r="H195" s="2">
        <v>8.0</v>
      </c>
    </row>
    <row r="197">
      <c r="B197" s="2">
        <v>40.0</v>
      </c>
      <c r="D197" s="2">
        <v>12.0</v>
      </c>
      <c r="F197" s="2">
        <v>44.0</v>
      </c>
      <c r="H197" s="2">
        <v>8.0</v>
      </c>
    </row>
    <row r="198">
      <c r="B198" s="2">
        <v>40.0</v>
      </c>
      <c r="C198" s="2">
        <v>0.0</v>
      </c>
      <c r="D198" s="2">
        <v>20.0</v>
      </c>
      <c r="F198" s="2">
        <v>44.0</v>
      </c>
      <c r="G198" s="2">
        <v>0.0</v>
      </c>
      <c r="H198" s="2">
        <v>16.0</v>
      </c>
    </row>
    <row r="199">
      <c r="B199" s="2">
        <v>40.0</v>
      </c>
      <c r="D199" s="2">
        <v>24.0</v>
      </c>
      <c r="F199" s="2">
        <v>44.0</v>
      </c>
      <c r="H199" s="2">
        <v>16.0</v>
      </c>
    </row>
    <row r="200">
      <c r="B200" s="2">
        <v>40.0</v>
      </c>
      <c r="D200" s="2">
        <v>24.0</v>
      </c>
      <c r="F200" s="2">
        <v>44.0</v>
      </c>
      <c r="H200" s="2">
        <v>16.0</v>
      </c>
    </row>
    <row r="201">
      <c r="A201" s="2">
        <v>0.0</v>
      </c>
      <c r="B201" s="2">
        <v>44.0</v>
      </c>
      <c r="D201" s="2">
        <v>24.0</v>
      </c>
      <c r="F201" s="2">
        <v>44.0</v>
      </c>
      <c r="G201" s="2">
        <v>0.0</v>
      </c>
      <c r="H201" s="2">
        <v>20.0</v>
      </c>
    </row>
    <row r="202">
      <c r="B202" s="2">
        <v>44.0</v>
      </c>
      <c r="D202" s="2">
        <v>24.0</v>
      </c>
      <c r="F202" s="2">
        <v>44.0</v>
      </c>
      <c r="H202" s="2">
        <v>20.0</v>
      </c>
    </row>
    <row r="203">
      <c r="B203" s="2">
        <v>44.0</v>
      </c>
      <c r="D203" s="2">
        <v>24.0</v>
      </c>
      <c r="F203" s="2">
        <v>44.0</v>
      </c>
      <c r="H203" s="2">
        <v>20.0</v>
      </c>
    </row>
    <row r="204">
      <c r="B204" s="2">
        <v>44.0</v>
      </c>
      <c r="D204" s="2">
        <v>24.0</v>
      </c>
      <c r="F204" s="2">
        <v>44.0</v>
      </c>
      <c r="H204" s="2">
        <v>20.0</v>
      </c>
    </row>
    <row r="205">
      <c r="B205" s="2">
        <v>44.0</v>
      </c>
      <c r="D205" s="2">
        <v>24.0</v>
      </c>
      <c r="F205" s="2">
        <v>44.0</v>
      </c>
      <c r="H205" s="2">
        <v>20.0</v>
      </c>
    </row>
    <row r="206">
      <c r="B206" s="2">
        <v>44.0</v>
      </c>
      <c r="D206" s="2">
        <v>24.0</v>
      </c>
      <c r="F206" s="2">
        <v>44.0</v>
      </c>
      <c r="H206" s="2">
        <v>20.0</v>
      </c>
    </row>
    <row r="207">
      <c r="B207" s="2">
        <v>44.0</v>
      </c>
      <c r="C207" s="2">
        <v>0.0</v>
      </c>
      <c r="D207" s="2">
        <v>28.0</v>
      </c>
      <c r="F207" s="2">
        <v>44.0</v>
      </c>
      <c r="H207" s="2">
        <v>20.0</v>
      </c>
    </row>
    <row r="208">
      <c r="A208" s="2">
        <v>0.0</v>
      </c>
      <c r="B208" s="2">
        <v>48.0</v>
      </c>
      <c r="D208" s="2">
        <v>28.0</v>
      </c>
      <c r="F208" s="2">
        <v>44.0</v>
      </c>
      <c r="H208" s="2">
        <v>20.0</v>
      </c>
    </row>
    <row r="211">
      <c r="A211" s="2" t="s">
        <v>7</v>
      </c>
      <c r="B211" s="2" t="s">
        <v>7</v>
      </c>
      <c r="C211" s="2" t="s">
        <v>2</v>
      </c>
      <c r="D211" s="2" t="s">
        <v>2</v>
      </c>
      <c r="E211" s="2" t="s">
        <v>3</v>
      </c>
      <c r="F211" s="2" t="s">
        <v>3</v>
      </c>
      <c r="G211" s="2" t="s">
        <v>5</v>
      </c>
      <c r="H211" s="2" t="s">
        <v>5</v>
      </c>
      <c r="I211" s="2" t="s">
        <v>4</v>
      </c>
      <c r="J211" s="2" t="s">
        <v>4</v>
      </c>
      <c r="K211" s="2" t="s">
        <v>1</v>
      </c>
      <c r="L211" s="2" t="s">
        <v>1</v>
      </c>
      <c r="M211" s="6" t="s">
        <v>0</v>
      </c>
      <c r="N211" s="6" t="s">
        <v>0</v>
      </c>
      <c r="O211" s="6" t="s">
        <v>6</v>
      </c>
      <c r="P211" s="6" t="s">
        <v>6</v>
      </c>
    </row>
    <row r="212">
      <c r="A212" s="2" t="s">
        <v>8</v>
      </c>
      <c r="B212" s="2" t="s">
        <v>9</v>
      </c>
      <c r="C212" s="2" t="s">
        <v>8</v>
      </c>
      <c r="D212" s="2" t="s">
        <v>9</v>
      </c>
      <c r="E212" s="2" t="s">
        <v>8</v>
      </c>
      <c r="F212" s="2" t="s">
        <v>9</v>
      </c>
      <c r="G212" s="2" t="s">
        <v>8</v>
      </c>
      <c r="H212" s="2" t="s">
        <v>9</v>
      </c>
      <c r="I212" s="2" t="s">
        <v>8</v>
      </c>
      <c r="J212" s="2" t="s">
        <v>9</v>
      </c>
      <c r="K212" s="2" t="s">
        <v>8</v>
      </c>
      <c r="L212" s="2" t="s">
        <v>9</v>
      </c>
      <c r="M212" s="6" t="s">
        <v>8</v>
      </c>
      <c r="N212" s="6" t="s">
        <v>9</v>
      </c>
      <c r="O212" s="6" t="s">
        <v>8</v>
      </c>
      <c r="P212" s="6" t="s">
        <v>9</v>
      </c>
    </row>
    <row r="214">
      <c r="B214" s="2">
        <v>0.0</v>
      </c>
      <c r="D214" s="2">
        <v>0.0</v>
      </c>
      <c r="F214" s="2">
        <v>0.0</v>
      </c>
      <c r="H214" s="2">
        <v>0.0</v>
      </c>
      <c r="J214" s="2">
        <v>0.0</v>
      </c>
      <c r="L214" s="2">
        <v>0.0</v>
      </c>
    </row>
    <row r="215">
      <c r="A215" s="2">
        <v>0.0</v>
      </c>
      <c r="B215" s="2">
        <v>4.0</v>
      </c>
      <c r="D215" s="2">
        <v>0.0</v>
      </c>
      <c r="E215" s="2">
        <v>0.0</v>
      </c>
      <c r="F215" s="2">
        <v>4.0</v>
      </c>
      <c r="H215" s="2">
        <v>0.0</v>
      </c>
      <c r="I215" s="2">
        <v>0.0</v>
      </c>
      <c r="J215" s="2">
        <v>4.0</v>
      </c>
      <c r="L215" s="2">
        <v>0.0</v>
      </c>
    </row>
    <row r="216">
      <c r="A216" s="2">
        <v>0.0</v>
      </c>
      <c r="B216" s="2">
        <v>8.0</v>
      </c>
      <c r="D216" s="2">
        <v>0.0</v>
      </c>
      <c r="F216" s="2">
        <v>4.0</v>
      </c>
      <c r="H216" s="2">
        <v>0.0</v>
      </c>
      <c r="J216" s="2">
        <v>4.0</v>
      </c>
      <c r="K216" s="2">
        <v>10.0</v>
      </c>
      <c r="L216" s="2">
        <v>14.0</v>
      </c>
    </row>
    <row r="217">
      <c r="B217" s="2">
        <v>8.0</v>
      </c>
      <c r="D217" s="2">
        <v>0.0</v>
      </c>
      <c r="E217" s="2">
        <v>0.0</v>
      </c>
      <c r="F217" s="2">
        <v>8.0</v>
      </c>
      <c r="H217" s="2">
        <v>0.0</v>
      </c>
      <c r="J217" s="2">
        <v>4.0</v>
      </c>
      <c r="K217" s="2">
        <v>0.0</v>
      </c>
      <c r="L217" s="2">
        <v>18.0</v>
      </c>
    </row>
    <row r="218">
      <c r="B218" s="2">
        <v>8.0</v>
      </c>
      <c r="C218" s="2">
        <v>0.0</v>
      </c>
      <c r="D218" s="2">
        <v>4.0</v>
      </c>
      <c r="F218" s="2">
        <v>8.0</v>
      </c>
      <c r="H218" s="2">
        <v>0.0</v>
      </c>
      <c r="J218" s="2">
        <v>4.0</v>
      </c>
      <c r="K218" s="2">
        <v>10.0</v>
      </c>
      <c r="L218" s="2">
        <v>32.0</v>
      </c>
    </row>
    <row r="219">
      <c r="B219" s="2">
        <v>8.0</v>
      </c>
      <c r="C219" s="2">
        <v>0.0</v>
      </c>
      <c r="D219" s="2">
        <v>8.0</v>
      </c>
      <c r="F219" s="2">
        <v>8.0</v>
      </c>
      <c r="G219" s="2">
        <v>10.0</v>
      </c>
      <c r="H219" s="2">
        <v>14.0</v>
      </c>
      <c r="I219" s="2">
        <v>10.0</v>
      </c>
      <c r="J219" s="2">
        <v>18.0</v>
      </c>
      <c r="L219" s="2">
        <v>32.0</v>
      </c>
    </row>
    <row r="220">
      <c r="A220" s="2">
        <v>0.0</v>
      </c>
      <c r="B220" s="2">
        <v>12.0</v>
      </c>
      <c r="D220" s="2">
        <v>8.0</v>
      </c>
      <c r="F220" s="2">
        <v>8.0</v>
      </c>
      <c r="G220" s="2">
        <v>10.0</v>
      </c>
      <c r="H220" s="2">
        <v>28.0</v>
      </c>
      <c r="I220" s="2">
        <v>10.0</v>
      </c>
      <c r="J220" s="2">
        <v>32.0</v>
      </c>
      <c r="L220" s="2">
        <v>32.0</v>
      </c>
    </row>
    <row r="221">
      <c r="B221" s="2">
        <v>12.0</v>
      </c>
      <c r="C221" s="2">
        <v>0.0</v>
      </c>
      <c r="D221" s="2">
        <v>12.0</v>
      </c>
      <c r="F221" s="2">
        <v>8.0</v>
      </c>
      <c r="H221" s="2">
        <v>28.0</v>
      </c>
      <c r="J221" s="2">
        <v>32.0</v>
      </c>
      <c r="K221" s="2">
        <v>0.0</v>
      </c>
      <c r="L221" s="2">
        <v>36.0</v>
      </c>
    </row>
    <row r="222">
      <c r="B222" s="2">
        <v>12.0</v>
      </c>
      <c r="C222" s="2">
        <v>0.0</v>
      </c>
      <c r="D222" s="2">
        <v>16.0</v>
      </c>
      <c r="F222" s="2">
        <v>12.0</v>
      </c>
      <c r="H222" s="2">
        <v>28.0</v>
      </c>
      <c r="I222" s="2">
        <v>10.0</v>
      </c>
      <c r="J222" s="2">
        <v>46.0</v>
      </c>
      <c r="L222" s="2">
        <v>36.0</v>
      </c>
    </row>
    <row r="223">
      <c r="A223" s="2">
        <v>0.0</v>
      </c>
      <c r="B223" s="2">
        <v>16.0</v>
      </c>
      <c r="D223" s="2">
        <v>16.0</v>
      </c>
      <c r="F223" s="2">
        <v>12.0</v>
      </c>
      <c r="G223" s="2">
        <v>0.0</v>
      </c>
      <c r="H223" s="2">
        <v>32.0</v>
      </c>
      <c r="J223" s="2">
        <v>46.0</v>
      </c>
      <c r="L223" s="2">
        <v>40.0</v>
      </c>
    </row>
    <row r="224">
      <c r="B224" s="2">
        <v>16.0</v>
      </c>
      <c r="C224" s="2">
        <v>0.0</v>
      </c>
      <c r="D224" s="2">
        <v>20.0</v>
      </c>
      <c r="F224" s="2">
        <v>12.0</v>
      </c>
      <c r="H224" s="2">
        <v>32.0</v>
      </c>
      <c r="I224" s="2">
        <v>0.0</v>
      </c>
      <c r="J224" s="2">
        <v>50.0</v>
      </c>
      <c r="L224" s="2">
        <v>40.0</v>
      </c>
    </row>
    <row r="225">
      <c r="B225" s="2">
        <v>16.0</v>
      </c>
      <c r="D225" s="2">
        <v>20.0</v>
      </c>
      <c r="E225" s="2">
        <v>0.0</v>
      </c>
      <c r="F225" s="2">
        <v>16.0</v>
      </c>
      <c r="H225" s="2">
        <v>32.0</v>
      </c>
      <c r="J225" s="2">
        <v>50.0</v>
      </c>
      <c r="L225" s="2">
        <v>44.0</v>
      </c>
    </row>
    <row r="227">
      <c r="B227" s="2">
        <v>16.0</v>
      </c>
      <c r="C227" s="2">
        <v>10.0</v>
      </c>
      <c r="D227" s="2">
        <v>34.0</v>
      </c>
      <c r="E227" s="2">
        <v>0.0</v>
      </c>
      <c r="F227" s="2">
        <v>20.0</v>
      </c>
      <c r="H227" s="2">
        <v>32.0</v>
      </c>
      <c r="J227" s="2">
        <v>50.0</v>
      </c>
      <c r="K227" s="2">
        <v>0.0</v>
      </c>
      <c r="L227" s="2">
        <v>48.0</v>
      </c>
    </row>
    <row r="228">
      <c r="B228" s="2">
        <v>16.0</v>
      </c>
      <c r="D228" s="2">
        <v>34.0</v>
      </c>
      <c r="F228" s="2">
        <v>20.0</v>
      </c>
      <c r="H228" s="2">
        <v>32.0</v>
      </c>
      <c r="I228" s="2">
        <v>0.0</v>
      </c>
      <c r="J228" s="2">
        <v>54.0</v>
      </c>
      <c r="L228" s="2">
        <v>48.0</v>
      </c>
    </row>
    <row r="229">
      <c r="B229" s="2">
        <v>16.0</v>
      </c>
      <c r="D229" s="2">
        <v>34.0</v>
      </c>
      <c r="E229" s="2">
        <v>10.0</v>
      </c>
      <c r="F229" s="2">
        <v>38.0</v>
      </c>
      <c r="H229" s="2">
        <v>32.0</v>
      </c>
      <c r="I229" s="2">
        <v>10.0</v>
      </c>
      <c r="J229" s="2">
        <v>68.0</v>
      </c>
      <c r="L229" s="2">
        <v>48.0</v>
      </c>
    </row>
    <row r="230">
      <c r="B230" s="2">
        <v>16.0</v>
      </c>
      <c r="D230" s="2">
        <v>34.0</v>
      </c>
      <c r="E230" s="2">
        <v>10.0</v>
      </c>
      <c r="F230" s="2">
        <v>52.0</v>
      </c>
      <c r="H230" s="2">
        <v>32.0</v>
      </c>
      <c r="J230" s="2">
        <v>68.0</v>
      </c>
      <c r="K230" s="2">
        <v>0.0</v>
      </c>
      <c r="L230" s="2">
        <v>52.0</v>
      </c>
    </row>
    <row r="231">
      <c r="A231" s="2">
        <v>0.0</v>
      </c>
      <c r="B231" s="2">
        <v>20.0</v>
      </c>
      <c r="D231" s="2">
        <v>34.0</v>
      </c>
      <c r="F231" s="2">
        <v>52.0</v>
      </c>
      <c r="H231" s="2">
        <v>32.0</v>
      </c>
      <c r="I231" s="2">
        <v>10.0</v>
      </c>
      <c r="J231" s="2">
        <v>82.0</v>
      </c>
      <c r="L231" s="2">
        <v>52.0</v>
      </c>
    </row>
    <row r="232">
      <c r="A232" s="2">
        <v>0.0</v>
      </c>
      <c r="B232" s="2">
        <v>24.0</v>
      </c>
      <c r="D232" s="2">
        <v>34.0</v>
      </c>
      <c r="F232" s="2">
        <v>52.0</v>
      </c>
      <c r="H232" s="2">
        <v>32.0</v>
      </c>
      <c r="I232" s="2">
        <v>0.0</v>
      </c>
      <c r="J232" s="2">
        <v>86.0</v>
      </c>
      <c r="L232" s="2">
        <v>52.0</v>
      </c>
    </row>
    <row r="233">
      <c r="B233" s="2">
        <v>24.0</v>
      </c>
      <c r="D233" s="2">
        <v>34.0</v>
      </c>
      <c r="F233" s="2">
        <v>52.0</v>
      </c>
      <c r="H233" s="2">
        <v>32.0</v>
      </c>
      <c r="I233" s="2">
        <v>10.0</v>
      </c>
      <c r="J233" s="2">
        <v>100.0</v>
      </c>
      <c r="L233" s="2">
        <v>52.0</v>
      </c>
    </row>
    <row r="234">
      <c r="A234" s="2">
        <v>0.0</v>
      </c>
      <c r="B234" s="2">
        <v>28.0</v>
      </c>
      <c r="D234" s="2">
        <v>34.0</v>
      </c>
      <c r="E234" s="2">
        <v>10.0</v>
      </c>
      <c r="F234" s="2">
        <v>66.0</v>
      </c>
      <c r="H234" s="2">
        <v>32.0</v>
      </c>
      <c r="I234" s="2">
        <v>0.0</v>
      </c>
      <c r="J234" s="2">
        <v>104.0</v>
      </c>
      <c r="L234" s="2">
        <v>52.0</v>
      </c>
    </row>
    <row r="235">
      <c r="B235" s="2">
        <v>28.0</v>
      </c>
      <c r="C235" s="2">
        <v>0.0</v>
      </c>
      <c r="D235" s="2">
        <v>38.0</v>
      </c>
      <c r="E235" s="2">
        <v>0.0</v>
      </c>
      <c r="F235" s="2">
        <v>74.0</v>
      </c>
      <c r="H235" s="2">
        <v>32.0</v>
      </c>
      <c r="I235" s="2">
        <v>10.0</v>
      </c>
      <c r="J235" s="2">
        <v>118.0</v>
      </c>
      <c r="L235" s="2">
        <v>52.0</v>
      </c>
    </row>
    <row r="236">
      <c r="A236" s="2">
        <v>0.0</v>
      </c>
      <c r="B236" s="2">
        <v>36.0</v>
      </c>
      <c r="D236" s="2">
        <v>38.0</v>
      </c>
      <c r="F236" s="2">
        <v>74.0</v>
      </c>
      <c r="H236" s="2">
        <v>36.0</v>
      </c>
      <c r="J236" s="2">
        <v>118.0</v>
      </c>
      <c r="K236" s="2">
        <v>10.0</v>
      </c>
      <c r="L236" s="2">
        <v>66.0</v>
      </c>
    </row>
    <row r="237">
      <c r="B237" s="2">
        <v>36.0</v>
      </c>
      <c r="D237" s="2">
        <v>38.0</v>
      </c>
      <c r="F237" s="2">
        <v>74.0</v>
      </c>
      <c r="H237" s="2">
        <v>36.0</v>
      </c>
      <c r="J237" s="2">
        <v>122.0</v>
      </c>
      <c r="L237" s="2">
        <v>66.0</v>
      </c>
    </row>
    <row r="238">
      <c r="B238" s="2">
        <v>36.0</v>
      </c>
      <c r="D238" s="2">
        <v>38.0</v>
      </c>
      <c r="E238" s="2">
        <v>10.0</v>
      </c>
      <c r="F238" s="2">
        <v>88.0</v>
      </c>
      <c r="H238" s="2">
        <v>36.0</v>
      </c>
      <c r="I238" s="2">
        <v>10.0</v>
      </c>
      <c r="J238" s="2">
        <v>136.0</v>
      </c>
      <c r="L238" s="2">
        <v>66.0</v>
      </c>
    </row>
    <row r="241">
      <c r="A241" s="3" t="s">
        <v>3</v>
      </c>
      <c r="B241" s="3" t="s">
        <v>3</v>
      </c>
      <c r="C241" s="3" t="s">
        <v>1</v>
      </c>
      <c r="D241" s="3" t="s">
        <v>1</v>
      </c>
      <c r="E241" s="6" t="s">
        <v>7</v>
      </c>
      <c r="F241" s="6" t="s">
        <v>7</v>
      </c>
      <c r="G241" s="6" t="s">
        <v>2</v>
      </c>
      <c r="H241" s="6" t="s">
        <v>2</v>
      </c>
      <c r="I241" s="6" t="s">
        <v>5</v>
      </c>
      <c r="J241" s="6" t="s">
        <v>5</v>
      </c>
      <c r="K241" s="6" t="s">
        <v>4</v>
      </c>
      <c r="L241" s="6" t="s">
        <v>4</v>
      </c>
      <c r="M241" s="6" t="s">
        <v>0</v>
      </c>
      <c r="N241" s="6" t="s">
        <v>0</v>
      </c>
      <c r="O241" s="6" t="s">
        <v>6</v>
      </c>
      <c r="P241" s="6" t="s">
        <v>6</v>
      </c>
    </row>
    <row r="242">
      <c r="A242" s="3" t="s">
        <v>8</v>
      </c>
      <c r="B242" s="3" t="s">
        <v>9</v>
      </c>
      <c r="C242" s="3" t="s">
        <v>8</v>
      </c>
      <c r="D242" s="3" t="s">
        <v>9</v>
      </c>
      <c r="E242" s="6" t="s">
        <v>8</v>
      </c>
      <c r="F242" s="6" t="s">
        <v>9</v>
      </c>
      <c r="G242" s="6" t="s">
        <v>8</v>
      </c>
      <c r="H242" s="6" t="s">
        <v>9</v>
      </c>
      <c r="I242" s="6" t="s">
        <v>8</v>
      </c>
      <c r="J242" s="6" t="s">
        <v>9</v>
      </c>
      <c r="K242" s="6" t="s">
        <v>8</v>
      </c>
      <c r="L242" s="6" t="s">
        <v>9</v>
      </c>
      <c r="M242" s="6" t="s">
        <v>8</v>
      </c>
      <c r="N242" s="6" t="s">
        <v>9</v>
      </c>
      <c r="O242" s="6" t="s">
        <v>8</v>
      </c>
      <c r="P242" s="6" t="s">
        <v>9</v>
      </c>
    </row>
    <row r="244">
      <c r="B244" s="3">
        <v>0.0</v>
      </c>
      <c r="D244" s="3">
        <v>0.0</v>
      </c>
    </row>
    <row r="245">
      <c r="A245" s="3">
        <v>0.0</v>
      </c>
      <c r="B245" s="3">
        <v>4.0</v>
      </c>
      <c r="D245" s="3">
        <v>0.0</v>
      </c>
    </row>
    <row r="246">
      <c r="B246" s="3">
        <v>4.0</v>
      </c>
      <c r="C246" s="3">
        <v>10.0</v>
      </c>
      <c r="D246" s="3">
        <v>14.0</v>
      </c>
    </row>
    <row r="247">
      <c r="B247" s="3">
        <v>4.0</v>
      </c>
      <c r="C247" s="3">
        <v>10.0</v>
      </c>
      <c r="D247" s="3">
        <v>28.0</v>
      </c>
    </row>
    <row r="248">
      <c r="B248" s="3">
        <v>4.0</v>
      </c>
      <c r="C248" s="3">
        <v>10.0</v>
      </c>
      <c r="D248" s="3">
        <v>42.0</v>
      </c>
    </row>
    <row r="249">
      <c r="B249" s="3">
        <v>4.0</v>
      </c>
      <c r="D249" s="3">
        <v>42.0</v>
      </c>
    </row>
    <row r="250">
      <c r="B250" s="3">
        <v>4.0</v>
      </c>
      <c r="D250" s="3">
        <v>42.0</v>
      </c>
    </row>
    <row r="251">
      <c r="B251" s="3">
        <v>4.0</v>
      </c>
      <c r="D251" s="3">
        <v>42.0</v>
      </c>
    </row>
    <row r="252">
      <c r="B252" s="3">
        <v>4.0</v>
      </c>
      <c r="D252" s="3">
        <v>42.0</v>
      </c>
    </row>
    <row r="253">
      <c r="A253" s="3">
        <v>0.0</v>
      </c>
      <c r="B253" s="3">
        <v>8.0</v>
      </c>
      <c r="D253" s="3">
        <v>42.0</v>
      </c>
    </row>
    <row r="254">
      <c r="A254" s="3">
        <v>0.0</v>
      </c>
      <c r="B254" s="3">
        <v>12.0</v>
      </c>
      <c r="D254" s="3">
        <v>42.0</v>
      </c>
    </row>
    <row r="255">
      <c r="B255" s="3">
        <v>12.0</v>
      </c>
      <c r="D255" s="3">
        <v>42.0</v>
      </c>
    </row>
    <row r="257">
      <c r="A257" s="3">
        <v>0.0</v>
      </c>
      <c r="B257" s="3">
        <v>16.0</v>
      </c>
      <c r="D257" s="3">
        <v>42.0</v>
      </c>
    </row>
    <row r="258">
      <c r="A258" s="3">
        <v>0.0</v>
      </c>
      <c r="B258" s="3">
        <v>20.0</v>
      </c>
      <c r="D258" s="3">
        <v>42.0</v>
      </c>
    </row>
    <row r="259">
      <c r="B259" s="3">
        <v>20.0</v>
      </c>
      <c r="C259" s="3">
        <v>0.0</v>
      </c>
      <c r="D259" s="3">
        <v>46.0</v>
      </c>
    </row>
    <row r="260">
      <c r="B260" s="3">
        <v>20.0</v>
      </c>
      <c r="C260" s="3">
        <v>0.0</v>
      </c>
      <c r="D260" s="3">
        <v>50.0</v>
      </c>
    </row>
    <row r="261">
      <c r="B261" s="3">
        <v>20.0</v>
      </c>
      <c r="C261" s="3">
        <v>10.0</v>
      </c>
      <c r="D261" s="3">
        <v>64.0</v>
      </c>
    </row>
    <row r="262">
      <c r="B262" s="3">
        <v>20.0</v>
      </c>
      <c r="D262" s="3">
        <v>64.0</v>
      </c>
    </row>
    <row r="263">
      <c r="B263" s="3">
        <v>20.0</v>
      </c>
      <c r="D263" s="3">
        <v>64.0</v>
      </c>
    </row>
    <row r="264">
      <c r="A264" s="3">
        <v>0.0</v>
      </c>
      <c r="B264" s="3">
        <v>24.0</v>
      </c>
      <c r="D264" s="3">
        <v>64.0</v>
      </c>
    </row>
    <row r="265">
      <c r="B265" s="3">
        <v>24.0</v>
      </c>
      <c r="C265" s="3">
        <v>10.0</v>
      </c>
      <c r="D265" s="3">
        <v>78.0</v>
      </c>
    </row>
    <row r="266">
      <c r="B266" s="3">
        <v>24.0</v>
      </c>
      <c r="C266" s="3">
        <v>10.0</v>
      </c>
      <c r="D266" s="3">
        <v>92.0</v>
      </c>
    </row>
    <row r="267">
      <c r="B267" s="3">
        <v>28.0</v>
      </c>
      <c r="D267" s="3">
        <v>92.0</v>
      </c>
    </row>
    <row r="268">
      <c r="B268" s="3">
        <v>28.0</v>
      </c>
      <c r="C268" s="3">
        <v>0.0</v>
      </c>
      <c r="D268" s="3">
        <v>96.0</v>
      </c>
    </row>
    <row r="271">
      <c r="A271" s="3" t="s">
        <v>4</v>
      </c>
      <c r="B271" s="3" t="s">
        <v>4</v>
      </c>
      <c r="C271" s="3" t="s">
        <v>1</v>
      </c>
      <c r="D271" s="3" t="s">
        <v>1</v>
      </c>
      <c r="E271" s="6" t="s">
        <v>7</v>
      </c>
      <c r="F271" s="6" t="s">
        <v>7</v>
      </c>
      <c r="G271" s="6" t="s">
        <v>2</v>
      </c>
      <c r="H271" s="6" t="s">
        <v>2</v>
      </c>
      <c r="I271" s="6" t="s">
        <v>5</v>
      </c>
      <c r="J271" s="6" t="s">
        <v>5</v>
      </c>
      <c r="K271" s="3" t="s">
        <v>3</v>
      </c>
      <c r="L271" s="3" t="s">
        <v>3</v>
      </c>
      <c r="M271" s="6" t="s">
        <v>0</v>
      </c>
      <c r="N271" s="6" t="s">
        <v>0</v>
      </c>
      <c r="O271" s="6" t="s">
        <v>6</v>
      </c>
      <c r="P271" s="6" t="s">
        <v>6</v>
      </c>
    </row>
    <row r="272">
      <c r="A272" s="3" t="s">
        <v>8</v>
      </c>
      <c r="B272" s="3" t="s">
        <v>9</v>
      </c>
      <c r="C272" s="3" t="s">
        <v>8</v>
      </c>
      <c r="D272" s="3" t="s">
        <v>9</v>
      </c>
      <c r="E272" s="6" t="s">
        <v>8</v>
      </c>
      <c r="F272" s="6" t="s">
        <v>9</v>
      </c>
      <c r="G272" s="6" t="s">
        <v>8</v>
      </c>
      <c r="H272" s="6" t="s">
        <v>9</v>
      </c>
      <c r="I272" s="6" t="s">
        <v>8</v>
      </c>
      <c r="J272" s="6" t="s">
        <v>9</v>
      </c>
      <c r="K272" s="3" t="s">
        <v>8</v>
      </c>
      <c r="L272" s="3" t="s">
        <v>9</v>
      </c>
      <c r="M272" s="6" t="s">
        <v>8</v>
      </c>
      <c r="N272" s="6" t="s">
        <v>9</v>
      </c>
      <c r="O272" s="6" t="s">
        <v>8</v>
      </c>
      <c r="P272" s="6" t="s">
        <v>9</v>
      </c>
    </row>
    <row r="274">
      <c r="B274" s="3">
        <v>0.0</v>
      </c>
      <c r="C274" s="3">
        <v>10.0</v>
      </c>
      <c r="D274" s="3">
        <v>14.0</v>
      </c>
    </row>
    <row r="275">
      <c r="B275" s="3">
        <v>0.0</v>
      </c>
      <c r="C275" s="3">
        <v>10.0</v>
      </c>
      <c r="D275" s="3">
        <v>28.0</v>
      </c>
    </row>
    <row r="276">
      <c r="A276" s="3">
        <v>10.0</v>
      </c>
      <c r="B276" s="3">
        <v>14.0</v>
      </c>
      <c r="D276" s="3">
        <v>28.0</v>
      </c>
    </row>
    <row r="277">
      <c r="B277" s="3">
        <v>14.0</v>
      </c>
      <c r="C277" s="3">
        <v>10.0</v>
      </c>
      <c r="D277" s="3">
        <v>42.0</v>
      </c>
    </row>
    <row r="278">
      <c r="B278" s="3">
        <v>14.0</v>
      </c>
      <c r="C278" s="3">
        <v>0.0</v>
      </c>
      <c r="D278" s="3">
        <v>50.0</v>
      </c>
    </row>
    <row r="279">
      <c r="A279" s="3">
        <v>10.0</v>
      </c>
      <c r="B279" s="3">
        <v>28.0</v>
      </c>
      <c r="D279" s="3">
        <v>50.0</v>
      </c>
    </row>
    <row r="280">
      <c r="A280" s="3">
        <v>10.0</v>
      </c>
      <c r="B280" s="3">
        <v>42.0</v>
      </c>
      <c r="D280" s="3">
        <v>50.0</v>
      </c>
    </row>
    <row r="281">
      <c r="B281" s="3">
        <v>42.0</v>
      </c>
      <c r="C281" s="3">
        <v>0.0</v>
      </c>
      <c r="D281" s="3">
        <v>54.0</v>
      </c>
    </row>
    <row r="282">
      <c r="B282" s="3">
        <v>42.0</v>
      </c>
      <c r="D282" s="3">
        <v>54.0</v>
      </c>
    </row>
    <row r="283">
      <c r="A283" s="3">
        <v>0.0</v>
      </c>
      <c r="B283" s="3">
        <v>46.0</v>
      </c>
      <c r="D283" s="3">
        <v>54.0</v>
      </c>
    </row>
    <row r="284">
      <c r="B284" s="3">
        <v>46.0</v>
      </c>
      <c r="C284" s="3">
        <v>0.0</v>
      </c>
      <c r="D284" s="3">
        <v>58.0</v>
      </c>
    </row>
    <row r="285">
      <c r="A285" s="3">
        <v>0.0</v>
      </c>
      <c r="B285" s="3">
        <v>50.0</v>
      </c>
      <c r="D285" s="3">
        <v>58.0</v>
      </c>
    </row>
    <row r="287">
      <c r="B287" s="3">
        <v>54.0</v>
      </c>
      <c r="D287" s="3">
        <v>58.0</v>
      </c>
    </row>
    <row r="288">
      <c r="A288" s="3">
        <v>0.0</v>
      </c>
      <c r="B288" s="3">
        <v>58.0</v>
      </c>
      <c r="D288" s="3">
        <v>58.0</v>
      </c>
    </row>
    <row r="289">
      <c r="A289" s="3">
        <v>10.0</v>
      </c>
      <c r="B289" s="3">
        <v>72.0</v>
      </c>
      <c r="D289" s="3">
        <v>58.0</v>
      </c>
    </row>
    <row r="290">
      <c r="B290" s="3">
        <v>72.0</v>
      </c>
      <c r="C290" s="3">
        <v>10.0</v>
      </c>
      <c r="D290" s="3">
        <v>72.0</v>
      </c>
    </row>
    <row r="291">
      <c r="B291" s="3">
        <v>72.0</v>
      </c>
      <c r="C291" s="3">
        <v>10.0</v>
      </c>
      <c r="D291" s="3">
        <v>86.0</v>
      </c>
    </row>
    <row r="292">
      <c r="B292" s="3">
        <v>72.0</v>
      </c>
      <c r="C292" s="3">
        <v>0.0</v>
      </c>
      <c r="D292" s="3">
        <v>90.0</v>
      </c>
    </row>
    <row r="293">
      <c r="A293" s="3">
        <v>0.0</v>
      </c>
      <c r="B293" s="3">
        <v>76.0</v>
      </c>
      <c r="D293" s="3">
        <v>90.0</v>
      </c>
    </row>
    <row r="294">
      <c r="A294" s="3">
        <v>10.0</v>
      </c>
      <c r="B294" s="3">
        <v>90.0</v>
      </c>
      <c r="D294" s="3">
        <v>90.0</v>
      </c>
    </row>
    <row r="295">
      <c r="B295" s="3">
        <v>90.0</v>
      </c>
      <c r="C295" s="3">
        <v>10.0</v>
      </c>
      <c r="D295" s="3">
        <v>104.0</v>
      </c>
    </row>
    <row r="296">
      <c r="B296" s="3">
        <v>94.0</v>
      </c>
      <c r="D296" s="3">
        <v>104.0</v>
      </c>
    </row>
    <row r="297">
      <c r="B297" s="3">
        <v>94.0</v>
      </c>
      <c r="C297" s="3">
        <v>0.0</v>
      </c>
      <c r="D297" s="3">
        <v>108.0</v>
      </c>
    </row>
    <row r="298">
      <c r="A298" s="3">
        <v>10.0</v>
      </c>
      <c r="B298" s="3">
        <v>112.0</v>
      </c>
      <c r="D298" s="3">
        <v>108.0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3" t="str">
        <f t="array" ref="B1:AO30">transpose(sort(transpose(All!B1:AO30),2,true))</f>
        <v>Middleton C</v>
      </c>
      <c r="C1" s="3" t="s">
        <v>0</v>
      </c>
      <c r="D1" s="3" t="s">
        <v>5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0</v>
      </c>
      <c r="J1" s="3" t="s">
        <v>3</v>
      </c>
      <c r="K1" s="3" t="s">
        <v>2</v>
      </c>
      <c r="L1" s="3" t="s">
        <v>1</v>
      </c>
      <c r="M1" s="3" t="s">
        <v>7</v>
      </c>
      <c r="N1" s="3" t="s">
        <v>4</v>
      </c>
      <c r="O1" s="3" t="s">
        <v>4</v>
      </c>
      <c r="P1" s="3" t="s">
        <v>6</v>
      </c>
      <c r="Q1" s="3" t="s">
        <v>7</v>
      </c>
      <c r="R1" s="3" t="s">
        <v>7</v>
      </c>
      <c r="S1" s="3" t="s">
        <v>5</v>
      </c>
      <c r="T1" s="3" t="s">
        <v>3</v>
      </c>
      <c r="U1" s="3" t="s">
        <v>0</v>
      </c>
      <c r="V1" s="3" t="s">
        <v>1</v>
      </c>
      <c r="W1" s="3" t="s">
        <v>4</v>
      </c>
      <c r="X1" s="3" t="s">
        <v>1</v>
      </c>
      <c r="Y1" s="3" t="s">
        <v>5</v>
      </c>
      <c r="Z1" s="3" t="s">
        <v>0</v>
      </c>
      <c r="AA1" s="3" t="s">
        <v>1</v>
      </c>
      <c r="AB1" s="3" t="s">
        <v>4</v>
      </c>
      <c r="AC1" s="3" t="s">
        <v>0</v>
      </c>
      <c r="AD1" s="3" t="s">
        <v>2</v>
      </c>
      <c r="AE1" s="3" t="s">
        <v>3</v>
      </c>
      <c r="AF1" s="3" t="s">
        <v>6</v>
      </c>
      <c r="AG1" s="3" t="s">
        <v>3</v>
      </c>
      <c r="AH1" s="3" t="s">
        <v>5</v>
      </c>
      <c r="AI1" s="3" t="s">
        <v>6</v>
      </c>
      <c r="AJ1" s="3" t="s">
        <v>7</v>
      </c>
      <c r="AK1" s="3" t="s">
        <v>6</v>
      </c>
      <c r="AL1" s="3" t="s">
        <v>1</v>
      </c>
      <c r="AM1" s="3" t="s">
        <v>2</v>
      </c>
      <c r="AN1" s="3" t="s">
        <v>6</v>
      </c>
      <c r="AO1" s="3" t="s">
        <v>7</v>
      </c>
    </row>
    <row r="2">
      <c r="B2" s="3" t="s">
        <v>20</v>
      </c>
      <c r="C2" s="3" t="s">
        <v>14</v>
      </c>
      <c r="D2" s="3" t="s">
        <v>36</v>
      </c>
      <c r="E2" s="3" t="s">
        <v>22</v>
      </c>
      <c r="F2" s="3" t="s">
        <v>23</v>
      </c>
      <c r="G2" s="3" t="s">
        <v>31</v>
      </c>
      <c r="H2" s="3" t="s">
        <v>34</v>
      </c>
      <c r="I2" s="3" t="s">
        <v>12</v>
      </c>
      <c r="J2" s="3" t="s">
        <v>24</v>
      </c>
      <c r="K2" s="3" t="s">
        <v>19</v>
      </c>
      <c r="L2" s="3" t="s">
        <v>15</v>
      </c>
      <c r="M2" s="3" t="s">
        <v>45</v>
      </c>
      <c r="N2" s="3" t="s">
        <v>29</v>
      </c>
      <c r="O2" s="3" t="s">
        <v>28</v>
      </c>
      <c r="P2" s="3" t="s">
        <v>38</v>
      </c>
      <c r="Q2" s="3" t="s">
        <v>44</v>
      </c>
      <c r="R2" s="3" t="s">
        <v>42</v>
      </c>
      <c r="S2" s="3" t="s">
        <v>35</v>
      </c>
      <c r="T2" s="3" t="s">
        <v>25</v>
      </c>
      <c r="U2" s="3" t="s">
        <v>10</v>
      </c>
      <c r="V2" s="3" t="s">
        <v>16</v>
      </c>
      <c r="W2" s="3" t="s">
        <v>32</v>
      </c>
      <c r="X2" s="3" t="s">
        <v>18</v>
      </c>
      <c r="Y2" s="3" t="s">
        <v>37</v>
      </c>
      <c r="Z2" s="3" t="s">
        <v>11</v>
      </c>
      <c r="AA2" s="3" t="s">
        <v>17</v>
      </c>
      <c r="AB2" s="3" t="s">
        <v>30</v>
      </c>
      <c r="AC2" s="3" t="s">
        <v>13</v>
      </c>
      <c r="AD2" s="3" t="s">
        <v>21</v>
      </c>
      <c r="AE2" s="3" t="s">
        <v>27</v>
      </c>
      <c r="AF2" s="3" t="s">
        <v>40</v>
      </c>
      <c r="AG2" s="3" t="s">
        <v>26</v>
      </c>
      <c r="AH2" s="3" t="s">
        <v>33</v>
      </c>
      <c r="AI2" s="3" t="s">
        <v>39</v>
      </c>
      <c r="AJ2" s="3" t="s">
        <v>43</v>
      </c>
      <c r="AK2" s="3" t="s">
        <v>41</v>
      </c>
      <c r="AL2" s="3"/>
      <c r="AM2" s="3"/>
      <c r="AN2" s="3"/>
      <c r="AO2" s="3"/>
    </row>
    <row r="3">
      <c r="B3" s="3" t="b">
        <v>1</v>
      </c>
      <c r="C3" s="3" t="b">
        <v>1</v>
      </c>
      <c r="D3" s="3" t="b">
        <v>1</v>
      </c>
      <c r="E3" s="3" t="b">
        <v>1</v>
      </c>
      <c r="F3" s="3" t="b">
        <v>1</v>
      </c>
      <c r="G3" s="3" t="b">
        <v>1</v>
      </c>
      <c r="H3" s="3" t="b">
        <v>1</v>
      </c>
      <c r="I3" s="3" t="b">
        <v>1</v>
      </c>
      <c r="J3" s="3" t="b">
        <v>1</v>
      </c>
      <c r="K3" s="3" t="b">
        <v>1</v>
      </c>
      <c r="L3" s="3" t="b">
        <v>1</v>
      </c>
      <c r="M3" s="3" t="b">
        <v>1</v>
      </c>
      <c r="N3" s="3" t="b">
        <v>1</v>
      </c>
      <c r="O3" s="3" t="b">
        <v>1</v>
      </c>
      <c r="P3" s="3" t="b">
        <v>1</v>
      </c>
      <c r="Q3" s="3" t="b">
        <v>1</v>
      </c>
      <c r="R3" s="3" t="b">
        <v>1</v>
      </c>
      <c r="S3" s="3" t="b">
        <v>1</v>
      </c>
      <c r="T3" s="3" t="b">
        <v>1</v>
      </c>
      <c r="U3" s="3" t="b">
        <v>1</v>
      </c>
      <c r="V3" s="3" t="b">
        <v>1</v>
      </c>
      <c r="W3" s="3" t="b">
        <v>1</v>
      </c>
      <c r="X3" s="3" t="b">
        <v>1</v>
      </c>
      <c r="Y3" s="3" t="b">
        <v>1</v>
      </c>
      <c r="Z3" s="3" t="b">
        <v>1</v>
      </c>
      <c r="AA3" s="3" t="b">
        <v>1</v>
      </c>
      <c r="AB3" s="3" t="b">
        <v>1</v>
      </c>
      <c r="AC3" s="3" t="b">
        <v>1</v>
      </c>
      <c r="AD3" s="3" t="b">
        <v>1</v>
      </c>
      <c r="AE3" s="3" t="b">
        <v>1</v>
      </c>
      <c r="AF3" s="3" t="b">
        <v>1</v>
      </c>
      <c r="AG3" s="3" t="b">
        <v>1</v>
      </c>
      <c r="AH3" s="3" t="b">
        <v>1</v>
      </c>
      <c r="AI3" s="3" t="b">
        <v>1</v>
      </c>
      <c r="AJ3" s="3" t="b">
        <v>1</v>
      </c>
      <c r="AK3" s="3" t="b">
        <v>1</v>
      </c>
      <c r="AL3" s="3" t="b">
        <v>0</v>
      </c>
      <c r="AM3" s="3" t="b">
        <v>0</v>
      </c>
      <c r="AN3" s="3" t="b">
        <v>0</v>
      </c>
      <c r="AO3" s="3" t="b">
        <v>0</v>
      </c>
    </row>
    <row r="4">
      <c r="A4" s="3" t="s">
        <v>46</v>
      </c>
      <c r="B4" s="3"/>
      <c r="C4" s="3"/>
      <c r="D4" s="3"/>
      <c r="E4" s="3"/>
      <c r="F4" s="3"/>
      <c r="G4" s="3"/>
      <c r="H4" s="3">
        <v>4.0</v>
      </c>
      <c r="I4" s="3"/>
      <c r="J4" s="3"/>
      <c r="K4" s="3">
        <v>4.0</v>
      </c>
      <c r="L4" s="3"/>
      <c r="M4" s="3"/>
      <c r="N4" s="3"/>
      <c r="O4" s="3"/>
      <c r="P4" s="3"/>
      <c r="Q4" s="3">
        <v>4.0</v>
      </c>
      <c r="R4" s="3"/>
      <c r="S4" s="3"/>
      <c r="T4" s="3"/>
      <c r="U4" s="3"/>
      <c r="V4" s="3">
        <v>-4.0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>
        <v>0.0</v>
      </c>
      <c r="AM4" s="3">
        <v>0.0</v>
      </c>
      <c r="AN4" s="3">
        <v>0.0</v>
      </c>
      <c r="AO4" s="3">
        <v>0.0</v>
      </c>
    </row>
    <row r="5">
      <c r="A5" s="3" t="s">
        <v>47</v>
      </c>
      <c r="B5" s="3"/>
      <c r="C5" s="3"/>
      <c r="D5" s="3"/>
      <c r="E5" s="3"/>
      <c r="F5" s="3">
        <v>4.0</v>
      </c>
      <c r="G5" s="3"/>
      <c r="H5" s="3"/>
      <c r="I5" s="3"/>
      <c r="J5" s="3"/>
      <c r="K5" s="3"/>
      <c r="L5" s="3"/>
      <c r="M5" s="3"/>
      <c r="N5" s="3">
        <v>4.0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>
        <v>4.0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>
        <v>-4.0</v>
      </c>
      <c r="AL5" s="3">
        <v>0.0</v>
      </c>
      <c r="AM5" s="3">
        <v>0.0</v>
      </c>
      <c r="AN5" s="3">
        <v>0.0</v>
      </c>
      <c r="AO5" s="3">
        <v>0.0</v>
      </c>
    </row>
    <row r="6">
      <c r="A6" s="3" t="s">
        <v>48</v>
      </c>
      <c r="B6" s="3"/>
      <c r="C6" s="3"/>
      <c r="D6" s="3"/>
      <c r="E6" s="3"/>
      <c r="F6" s="3"/>
      <c r="G6" s="3"/>
      <c r="H6" s="3"/>
      <c r="I6" s="3"/>
      <c r="J6" s="3">
        <v>4.0</v>
      </c>
      <c r="K6" s="3"/>
      <c r="L6" s="3">
        <v>4.0</v>
      </c>
      <c r="M6" s="3"/>
      <c r="N6" s="3">
        <v>4.0</v>
      </c>
      <c r="O6" s="3"/>
      <c r="P6" s="3"/>
      <c r="Q6" s="3"/>
      <c r="R6" s="3">
        <v>4.0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>
        <v>0.0</v>
      </c>
      <c r="AM6" s="3">
        <v>0.0</v>
      </c>
      <c r="AN6" s="3">
        <v>0.0</v>
      </c>
      <c r="AO6" s="3">
        <v>0.0</v>
      </c>
    </row>
    <row r="7">
      <c r="A7" s="3" t="s">
        <v>49</v>
      </c>
      <c r="B7" s="3"/>
      <c r="C7" s="3"/>
      <c r="D7" s="3"/>
      <c r="E7" s="3"/>
      <c r="F7" s="3"/>
      <c r="G7" s="3"/>
      <c r="H7" s="3">
        <v>4.0</v>
      </c>
      <c r="I7" s="3"/>
      <c r="J7" s="3"/>
      <c r="K7" s="3">
        <v>4.0</v>
      </c>
      <c r="L7" s="3"/>
      <c r="M7" s="3">
        <v>4.0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>
        <v>4.0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>
        <v>0.0</v>
      </c>
      <c r="AM7" s="3">
        <v>0.0</v>
      </c>
      <c r="AN7" s="3">
        <v>0.0</v>
      </c>
      <c r="AO7" s="3">
        <v>0.0</v>
      </c>
    </row>
    <row r="8">
      <c r="A8" s="3" t="s">
        <v>50</v>
      </c>
      <c r="B8" s="3"/>
      <c r="C8" s="3"/>
      <c r="D8" s="3"/>
      <c r="E8" s="3"/>
      <c r="F8" s="3"/>
      <c r="G8" s="3"/>
      <c r="H8" s="3"/>
      <c r="I8" s="3"/>
      <c r="J8" s="3">
        <v>4.0</v>
      </c>
      <c r="K8" s="3"/>
      <c r="L8" s="3">
        <v>4.0</v>
      </c>
      <c r="M8" s="3"/>
      <c r="N8" s="3">
        <v>4.0</v>
      </c>
      <c r="O8" s="3"/>
      <c r="P8" s="3"/>
      <c r="Q8" s="3"/>
      <c r="R8" s="3">
        <v>4.0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>
        <v>0.0</v>
      </c>
      <c r="AM8" s="3">
        <v>0.0</v>
      </c>
      <c r="AN8" s="3">
        <v>0.0</v>
      </c>
      <c r="AO8" s="3">
        <v>0.0</v>
      </c>
    </row>
    <row r="9">
      <c r="A9" s="3" t="s">
        <v>51</v>
      </c>
      <c r="B9" s="3"/>
      <c r="C9" s="3"/>
      <c r="D9" s="3">
        <v>4.0</v>
      </c>
      <c r="E9" s="3"/>
      <c r="F9" s="3">
        <v>4.0</v>
      </c>
      <c r="G9" s="3"/>
      <c r="H9" s="3"/>
      <c r="I9" s="3"/>
      <c r="J9" s="3"/>
      <c r="K9" s="3"/>
      <c r="L9" s="3"/>
      <c r="M9" s="3">
        <v>4.0</v>
      </c>
      <c r="N9" s="3"/>
      <c r="O9" s="3"/>
      <c r="P9" s="3"/>
      <c r="Q9" s="3"/>
      <c r="R9" s="3"/>
      <c r="S9" s="3"/>
      <c r="T9" s="3"/>
      <c r="U9" s="3"/>
      <c r="V9" s="3"/>
      <c r="W9" s="3"/>
      <c r="X9" s="3">
        <v>4.0</v>
      </c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>
        <v>0.0</v>
      </c>
      <c r="AM9" s="3">
        <v>0.0</v>
      </c>
      <c r="AN9" s="3">
        <v>0.0</v>
      </c>
      <c r="AO9" s="3">
        <v>0.0</v>
      </c>
    </row>
    <row r="10">
      <c r="A10" s="3" t="s">
        <v>46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>
        <v>4.0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>
        <v>4.0</v>
      </c>
      <c r="AB10" s="3"/>
      <c r="AC10" s="3"/>
      <c r="AD10" s="3"/>
      <c r="AE10" s="3"/>
      <c r="AF10" s="3"/>
      <c r="AG10" s="3"/>
      <c r="AH10" s="3"/>
      <c r="AI10" s="3">
        <v>4.0</v>
      </c>
      <c r="AJ10" s="3"/>
      <c r="AK10" s="3"/>
      <c r="AL10" s="3">
        <v>0.0</v>
      </c>
      <c r="AM10" s="3">
        <v>0.0</v>
      </c>
      <c r="AN10" s="3">
        <v>0.0</v>
      </c>
      <c r="AO10" s="3">
        <v>0.0</v>
      </c>
    </row>
    <row r="11">
      <c r="A11" s="3" t="s">
        <v>47</v>
      </c>
      <c r="B11" s="3"/>
      <c r="C11" s="3"/>
      <c r="D11" s="3"/>
      <c r="E11" s="3"/>
      <c r="F11" s="3">
        <v>4.0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>
        <v>4.0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>
        <v>4.0</v>
      </c>
      <c r="AL11" s="3">
        <v>0.0</v>
      </c>
      <c r="AM11" s="3">
        <v>0.0</v>
      </c>
      <c r="AN11" s="3">
        <v>0.0</v>
      </c>
      <c r="AO11" s="3">
        <v>0.0</v>
      </c>
    </row>
    <row r="12">
      <c r="A12" s="3" t="s">
        <v>48</v>
      </c>
      <c r="B12" s="3"/>
      <c r="C12" s="3"/>
      <c r="D12" s="3"/>
      <c r="E12" s="3"/>
      <c r="F12" s="3"/>
      <c r="G12" s="3"/>
      <c r="H12" s="3"/>
      <c r="I12" s="3"/>
      <c r="J12" s="3">
        <v>4.0</v>
      </c>
      <c r="K12" s="3"/>
      <c r="L12" s="3"/>
      <c r="M12" s="3"/>
      <c r="N12" s="3">
        <v>-4.0</v>
      </c>
      <c r="O12" s="3"/>
      <c r="P12" s="3"/>
      <c r="Q12" s="3"/>
      <c r="R12" s="3"/>
      <c r="S12" s="3">
        <v>4.0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>
        <v>0.0</v>
      </c>
      <c r="AM12" s="3">
        <v>0.0</v>
      </c>
      <c r="AN12" s="3">
        <v>0.0</v>
      </c>
      <c r="AO12" s="3">
        <v>0.0</v>
      </c>
    </row>
    <row r="13">
      <c r="A13" s="3" t="s">
        <v>49</v>
      </c>
      <c r="B13" s="3"/>
      <c r="C13" s="3"/>
      <c r="D13" s="3"/>
      <c r="E13" s="3"/>
      <c r="F13" s="3"/>
      <c r="G13" s="3"/>
      <c r="H13" s="3"/>
      <c r="I13" s="3"/>
      <c r="J13" s="3">
        <v>4.0</v>
      </c>
      <c r="K13" s="3"/>
      <c r="L13" s="3"/>
      <c r="M13" s="3"/>
      <c r="N13" s="3">
        <v>4.0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>
        <v>4.0</v>
      </c>
      <c r="AB13" s="3"/>
      <c r="AC13" s="3"/>
      <c r="AD13" s="3"/>
      <c r="AE13" s="3"/>
      <c r="AF13" s="3"/>
      <c r="AG13" s="3"/>
      <c r="AH13" s="3"/>
      <c r="AI13" s="3"/>
      <c r="AJ13" s="3"/>
      <c r="AK13" s="3">
        <v>4.0</v>
      </c>
      <c r="AL13" s="3">
        <v>0.0</v>
      </c>
      <c r="AM13" s="3">
        <v>0.0</v>
      </c>
      <c r="AN13" s="3">
        <v>0.0</v>
      </c>
      <c r="AO13" s="3">
        <v>0.0</v>
      </c>
    </row>
    <row r="14">
      <c r="A14" s="3" t="s">
        <v>50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>
        <v>4.0</v>
      </c>
      <c r="O14" s="3"/>
      <c r="P14" s="3"/>
      <c r="Q14" s="3"/>
      <c r="R14" s="3"/>
      <c r="S14" s="3"/>
      <c r="T14" s="3"/>
      <c r="U14" s="3"/>
      <c r="V14" s="3"/>
      <c r="W14" s="3"/>
      <c r="X14" s="3">
        <v>-4.0</v>
      </c>
      <c r="Y14" s="3"/>
      <c r="Z14" s="3"/>
      <c r="AA14" s="3"/>
      <c r="AB14" s="3"/>
      <c r="AC14" s="3"/>
      <c r="AD14" s="3">
        <v>4.0</v>
      </c>
      <c r="AE14" s="3"/>
      <c r="AF14" s="3"/>
      <c r="AG14" s="3"/>
      <c r="AH14" s="3"/>
      <c r="AI14" s="3"/>
      <c r="AJ14" s="3"/>
      <c r="AK14" s="3"/>
      <c r="AL14" s="3">
        <v>0.0</v>
      </c>
      <c r="AM14" s="3">
        <v>0.0</v>
      </c>
      <c r="AN14" s="3">
        <v>0.0</v>
      </c>
      <c r="AO14" s="3">
        <v>0.0</v>
      </c>
    </row>
    <row r="15">
      <c r="A15" s="3" t="s">
        <v>51</v>
      </c>
      <c r="B15" s="3"/>
      <c r="C15" s="3"/>
      <c r="D15" s="3"/>
      <c r="E15" s="3"/>
      <c r="F15" s="3"/>
      <c r="G15" s="3"/>
      <c r="H15" s="3"/>
      <c r="I15" s="3"/>
      <c r="J15" s="3">
        <v>4.0</v>
      </c>
      <c r="K15" s="3"/>
      <c r="L15" s="3"/>
      <c r="M15" s="3"/>
      <c r="N15" s="3">
        <v>4.0</v>
      </c>
      <c r="O15" s="3"/>
      <c r="P15" s="3"/>
      <c r="Q15" s="3"/>
      <c r="R15" s="3">
        <v>4.0</v>
      </c>
      <c r="S15" s="3"/>
      <c r="T15" s="3"/>
      <c r="U15" s="3"/>
      <c r="V15" s="3"/>
      <c r="W15" s="3"/>
      <c r="X15" s="3"/>
      <c r="Y15" s="3"/>
      <c r="Z15" s="3"/>
      <c r="AA15" s="3">
        <v>4.0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>
        <v>0.0</v>
      </c>
      <c r="AM15" s="3">
        <v>0.0</v>
      </c>
      <c r="AN15" s="3">
        <v>0.0</v>
      </c>
      <c r="AO15" s="3">
        <v>0.0</v>
      </c>
    </row>
    <row r="16">
      <c r="B16" s="3" t="b">
        <v>1</v>
      </c>
      <c r="C16" s="3" t="b">
        <v>1</v>
      </c>
      <c r="D16" s="3" t="b">
        <v>1</v>
      </c>
      <c r="E16" s="3" t="b">
        <v>1</v>
      </c>
      <c r="F16" s="3" t="b">
        <v>1</v>
      </c>
      <c r="G16" s="3" t="b">
        <v>1</v>
      </c>
      <c r="H16" s="3" t="b">
        <v>1</v>
      </c>
      <c r="I16" s="3" t="b">
        <v>1</v>
      </c>
      <c r="J16" s="3" t="b">
        <v>1</v>
      </c>
      <c r="K16" s="3" t="b">
        <v>1</v>
      </c>
      <c r="L16" s="3" t="b">
        <v>1</v>
      </c>
      <c r="M16" s="3" t="b">
        <v>1</v>
      </c>
      <c r="N16" s="3" t="b">
        <v>1</v>
      </c>
      <c r="O16" s="3" t="b">
        <v>1</v>
      </c>
      <c r="P16" s="3" t="b">
        <v>1</v>
      </c>
      <c r="Q16" s="3" t="b">
        <v>1</v>
      </c>
      <c r="R16" s="3" t="b">
        <v>1</v>
      </c>
      <c r="S16" s="3" t="b">
        <v>1</v>
      </c>
      <c r="T16" s="3" t="b">
        <v>1</v>
      </c>
      <c r="U16" s="3" t="b">
        <v>1</v>
      </c>
      <c r="V16" s="3" t="b">
        <v>1</v>
      </c>
      <c r="W16" s="3" t="b">
        <v>1</v>
      </c>
      <c r="X16" s="3" t="b">
        <v>1</v>
      </c>
      <c r="Y16" s="3" t="b">
        <v>1</v>
      </c>
      <c r="Z16" s="3" t="b">
        <v>1</v>
      </c>
      <c r="AA16" s="3" t="b">
        <v>1</v>
      </c>
      <c r="AB16" s="3" t="b">
        <v>1</v>
      </c>
      <c r="AC16" s="3" t="b">
        <v>1</v>
      </c>
      <c r="AD16" s="3" t="b">
        <v>1</v>
      </c>
      <c r="AE16" s="3" t="b">
        <v>1</v>
      </c>
      <c r="AF16" s="3" t="b">
        <v>1</v>
      </c>
      <c r="AG16" s="3" t="b">
        <v>1</v>
      </c>
      <c r="AH16" s="3" t="b">
        <v>1</v>
      </c>
      <c r="AI16" s="3" t="b">
        <v>1</v>
      </c>
      <c r="AJ16" s="3" t="b">
        <v>1</v>
      </c>
      <c r="AK16" s="3" t="b">
        <v>1</v>
      </c>
      <c r="AL16" s="3" t="b">
        <v>1</v>
      </c>
      <c r="AM16" s="3" t="b">
        <v>0</v>
      </c>
      <c r="AN16" s="3" t="b">
        <v>0</v>
      </c>
      <c r="AO16" s="3" t="b">
        <v>0</v>
      </c>
    </row>
    <row r="17">
      <c r="A17" s="3" t="s">
        <v>46</v>
      </c>
      <c r="B17" s="3"/>
      <c r="C17" s="3"/>
      <c r="D17" s="3"/>
      <c r="E17" s="3"/>
      <c r="F17" s="3"/>
      <c r="G17" s="3"/>
      <c r="H17" s="3"/>
      <c r="I17" s="3"/>
      <c r="J17" s="3">
        <v>4.0</v>
      </c>
      <c r="K17" s="3"/>
      <c r="L17" s="3">
        <v>4.0</v>
      </c>
      <c r="M17" s="3"/>
      <c r="N17" s="3"/>
      <c r="O17" s="3">
        <v>4.0</v>
      </c>
      <c r="P17" s="3">
        <v>4.0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>
        <v>0.0</v>
      </c>
      <c r="AN17" s="3">
        <v>0.0</v>
      </c>
      <c r="AO17" s="3">
        <v>0.0</v>
      </c>
    </row>
    <row r="18">
      <c r="A18" s="3" t="s">
        <v>47</v>
      </c>
      <c r="B18" s="3"/>
      <c r="C18" s="3"/>
      <c r="D18" s="3"/>
      <c r="E18" s="3"/>
      <c r="F18" s="3"/>
      <c r="G18" s="3"/>
      <c r="H18" s="3"/>
      <c r="I18" s="3"/>
      <c r="J18" s="3">
        <v>4.0</v>
      </c>
      <c r="K18" s="3"/>
      <c r="L18" s="3">
        <v>4.0</v>
      </c>
      <c r="M18" s="3"/>
      <c r="N18" s="3">
        <v>4.0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>
        <v>4.0</v>
      </c>
      <c r="AL18" s="3"/>
      <c r="AM18" s="3">
        <v>0.0</v>
      </c>
      <c r="AN18" s="3">
        <v>0.0</v>
      </c>
      <c r="AO18" s="3">
        <v>0.0</v>
      </c>
    </row>
    <row r="19">
      <c r="A19" s="3" t="s">
        <v>48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>
        <v>4.0</v>
      </c>
      <c r="M19" s="3"/>
      <c r="N19" s="3"/>
      <c r="O19" s="3"/>
      <c r="P19" s="3"/>
      <c r="Q19" s="3"/>
      <c r="R19" s="3"/>
      <c r="S19" s="3">
        <v>4.0</v>
      </c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>
        <v>0.0</v>
      </c>
      <c r="AN19" s="3">
        <v>0.0</v>
      </c>
      <c r="AO19" s="3">
        <v>0.0</v>
      </c>
    </row>
    <row r="20">
      <c r="A20" s="3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>
        <v>4.0</v>
      </c>
      <c r="M20" s="3"/>
      <c r="N20" s="3">
        <v>4.0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>
        <v>-4.0</v>
      </c>
      <c r="AE20" s="3"/>
      <c r="AF20" s="3"/>
      <c r="AG20" s="3"/>
      <c r="AH20" s="3"/>
      <c r="AI20" s="3"/>
      <c r="AJ20" s="3"/>
      <c r="AK20" s="3">
        <v>-4.0</v>
      </c>
      <c r="AL20" s="3"/>
      <c r="AM20" s="3">
        <v>0.0</v>
      </c>
      <c r="AN20" s="3">
        <v>0.0</v>
      </c>
      <c r="AO20" s="3">
        <v>0.0</v>
      </c>
    </row>
    <row r="21">
      <c r="A21" s="3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>
        <v>4.0</v>
      </c>
      <c r="O21" s="3"/>
      <c r="P21" s="3"/>
      <c r="Q21" s="3"/>
      <c r="R21" s="3"/>
      <c r="S21" s="3"/>
      <c r="T21" s="3">
        <v>4.0</v>
      </c>
      <c r="U21" s="3"/>
      <c r="V21" s="3"/>
      <c r="W21" s="3"/>
      <c r="X21" s="3"/>
      <c r="Y21" s="3"/>
      <c r="Z21" s="3"/>
      <c r="AA21" s="3">
        <v>4.0</v>
      </c>
      <c r="AB21" s="3"/>
      <c r="AC21" s="3"/>
      <c r="AD21" s="3"/>
      <c r="AE21" s="3"/>
      <c r="AF21" s="3">
        <v>4.0</v>
      </c>
      <c r="AG21" s="3"/>
      <c r="AH21" s="3"/>
      <c r="AI21" s="3"/>
      <c r="AJ21" s="3"/>
      <c r="AK21" s="3"/>
      <c r="AL21" s="3"/>
      <c r="AM21" s="3">
        <v>0.0</v>
      </c>
      <c r="AN21" s="3">
        <v>0.0</v>
      </c>
      <c r="AO21" s="3">
        <v>0.0</v>
      </c>
    </row>
    <row r="22">
      <c r="A22" s="3" t="s">
        <v>51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>
        <v>4.0</v>
      </c>
      <c r="T22" s="3">
        <v>4.0</v>
      </c>
      <c r="U22" s="3"/>
      <c r="V22" s="3"/>
      <c r="W22" s="3"/>
      <c r="X22" s="3"/>
      <c r="Y22" s="3"/>
      <c r="Z22" s="3">
        <v>4.0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>
        <v>4.0</v>
      </c>
      <c r="AL22" s="3"/>
      <c r="AM22" s="3">
        <v>0.0</v>
      </c>
      <c r="AN22" s="3">
        <v>0.0</v>
      </c>
      <c r="AO22" s="3">
        <v>0.0</v>
      </c>
    </row>
    <row r="23">
      <c r="A23" s="3" t="s">
        <v>46</v>
      </c>
      <c r="B23" s="3"/>
      <c r="C23" s="3"/>
      <c r="D23" s="3"/>
      <c r="E23" s="3"/>
      <c r="F23" s="3">
        <v>4.0</v>
      </c>
      <c r="G23" s="3"/>
      <c r="H23" s="3">
        <v>4.0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>
        <v>4.0</v>
      </c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>
        <v>4.0</v>
      </c>
      <c r="AL23" s="3"/>
      <c r="AM23" s="3">
        <v>0.0</v>
      </c>
      <c r="AN23" s="3">
        <v>0.0</v>
      </c>
      <c r="AO23" s="3">
        <v>0.0</v>
      </c>
    </row>
    <row r="24">
      <c r="A24" s="3" t="s">
        <v>47</v>
      </c>
      <c r="B24" s="3"/>
      <c r="C24" s="3"/>
      <c r="D24" s="3"/>
      <c r="E24" s="3"/>
      <c r="F24" s="3">
        <v>4.0</v>
      </c>
      <c r="G24" s="3"/>
      <c r="H24" s="3"/>
      <c r="I24" s="3"/>
      <c r="J24" s="3"/>
      <c r="K24" s="3"/>
      <c r="L24" s="3"/>
      <c r="M24" s="3"/>
      <c r="N24" s="3">
        <v>4.0</v>
      </c>
      <c r="O24" s="3"/>
      <c r="P24" s="3"/>
      <c r="Q24" s="3"/>
      <c r="R24" s="3">
        <v>4.0</v>
      </c>
      <c r="S24" s="3"/>
      <c r="T24" s="3"/>
      <c r="U24" s="3"/>
      <c r="V24" s="3"/>
      <c r="W24" s="3"/>
      <c r="X24" s="3"/>
      <c r="Y24" s="3"/>
      <c r="Z24" s="3"/>
      <c r="AA24" s="3">
        <v>4.0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>
        <v>0.0</v>
      </c>
      <c r="AN24" s="3">
        <v>0.0</v>
      </c>
      <c r="AO24" s="3">
        <v>0.0</v>
      </c>
    </row>
    <row r="25">
      <c r="A25" s="3" t="s">
        <v>48</v>
      </c>
      <c r="B25" s="3"/>
      <c r="C25" s="3"/>
      <c r="D25" s="3"/>
      <c r="E25" s="3"/>
      <c r="F25" s="3"/>
      <c r="G25" s="3"/>
      <c r="H25" s="3"/>
      <c r="I25" s="3"/>
      <c r="J25" s="3">
        <v>4.0</v>
      </c>
      <c r="K25" s="3"/>
      <c r="L25" s="3">
        <v>4.0</v>
      </c>
      <c r="M25" s="3"/>
      <c r="N25" s="3">
        <v>4.0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>
        <v>4.0</v>
      </c>
      <c r="AG25" s="3"/>
      <c r="AH25" s="3"/>
      <c r="AI25" s="3"/>
      <c r="AJ25" s="3"/>
      <c r="AK25" s="3"/>
      <c r="AL25" s="3"/>
      <c r="AM25" s="3">
        <v>0.0</v>
      </c>
      <c r="AN25" s="3">
        <v>0.0</v>
      </c>
      <c r="AO25" s="3">
        <v>0.0</v>
      </c>
    </row>
    <row r="26">
      <c r="A26" s="3" t="s">
        <v>49</v>
      </c>
      <c r="B26" s="3"/>
      <c r="C26" s="3"/>
      <c r="D26" s="3"/>
      <c r="E26" s="3"/>
      <c r="F26" s="3"/>
      <c r="G26" s="3"/>
      <c r="H26" s="3"/>
      <c r="I26" s="3"/>
      <c r="J26" s="3">
        <v>4.0</v>
      </c>
      <c r="K26" s="3"/>
      <c r="L26" s="3"/>
      <c r="M26" s="3"/>
      <c r="N26" s="3">
        <v>4.0</v>
      </c>
      <c r="O26" s="3"/>
      <c r="P26" s="3"/>
      <c r="Q26" s="3">
        <v>4.0</v>
      </c>
      <c r="R26" s="3"/>
      <c r="S26" s="3"/>
      <c r="T26" s="3"/>
      <c r="U26" s="3"/>
      <c r="V26" s="3">
        <v>4.0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>
        <v>0.0</v>
      </c>
      <c r="AN26" s="3">
        <v>0.0</v>
      </c>
      <c r="AO26" s="3">
        <v>0.0</v>
      </c>
    </row>
    <row r="27">
      <c r="A27" s="3" t="s">
        <v>50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>
        <v>4.0</v>
      </c>
      <c r="T27" s="3"/>
      <c r="U27" s="3"/>
      <c r="V27" s="3"/>
      <c r="W27" s="3"/>
      <c r="X27" s="3">
        <v>4.0</v>
      </c>
      <c r="Y27" s="3"/>
      <c r="Z27" s="3"/>
      <c r="AA27" s="3"/>
      <c r="AB27" s="3"/>
      <c r="AC27" s="3"/>
      <c r="AD27" s="3"/>
      <c r="AE27" s="3"/>
      <c r="AF27" s="3">
        <v>4.0</v>
      </c>
      <c r="AG27" s="3">
        <v>4.0</v>
      </c>
      <c r="AH27" s="3"/>
      <c r="AI27" s="3"/>
      <c r="AJ27" s="3"/>
      <c r="AK27" s="3"/>
      <c r="AL27" s="3"/>
      <c r="AM27" s="3">
        <v>0.0</v>
      </c>
      <c r="AN27" s="3">
        <v>0.0</v>
      </c>
      <c r="AO27" s="3">
        <v>0.0</v>
      </c>
    </row>
    <row r="28">
      <c r="A28" s="3" t="s">
        <v>51</v>
      </c>
      <c r="B28" s="3"/>
      <c r="C28" s="3"/>
      <c r="D28" s="3">
        <v>4.0</v>
      </c>
      <c r="E28" s="3"/>
      <c r="F28" s="3"/>
      <c r="G28" s="3"/>
      <c r="H28" s="3"/>
      <c r="I28" s="3"/>
      <c r="J28" s="3"/>
      <c r="K28" s="3">
        <v>4.0</v>
      </c>
      <c r="L28" s="3"/>
      <c r="M28" s="3">
        <v>4.0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>
        <v>4.0</v>
      </c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>
        <v>0.0</v>
      </c>
      <c r="AN28" s="3">
        <v>0.0</v>
      </c>
      <c r="AO28" s="3">
        <v>0.0</v>
      </c>
    </row>
    <row r="29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</row>
    <row r="30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</row>
    <row r="31">
      <c r="B31" s="3" t="str">
        <f t="array" ref="B31:AO60">transpose(sort(transpose(All!B31:AO60),2,true))</f>
        <v>Middleton C</v>
      </c>
      <c r="C31" s="3" t="s">
        <v>0</v>
      </c>
      <c r="D31" s="3" t="s">
        <v>5</v>
      </c>
      <c r="E31" s="3" t="s">
        <v>2</v>
      </c>
      <c r="F31" s="3" t="s">
        <v>3</v>
      </c>
      <c r="G31" s="3" t="s">
        <v>4</v>
      </c>
      <c r="H31" s="3" t="s">
        <v>5</v>
      </c>
      <c r="I31" s="3" t="s">
        <v>0</v>
      </c>
      <c r="J31" s="3" t="s">
        <v>3</v>
      </c>
      <c r="K31" s="3" t="s">
        <v>2</v>
      </c>
      <c r="L31" s="3" t="s">
        <v>1</v>
      </c>
      <c r="M31" s="3" t="s">
        <v>7</v>
      </c>
      <c r="N31" s="3" t="s">
        <v>4</v>
      </c>
      <c r="O31" s="3" t="s">
        <v>4</v>
      </c>
      <c r="P31" s="3" t="s">
        <v>6</v>
      </c>
      <c r="Q31" s="3" t="s">
        <v>7</v>
      </c>
      <c r="R31" s="3" t="s">
        <v>7</v>
      </c>
      <c r="S31" s="3" t="s">
        <v>5</v>
      </c>
      <c r="T31" s="3" t="s">
        <v>3</v>
      </c>
      <c r="U31" s="3" t="s">
        <v>0</v>
      </c>
      <c r="V31" s="3" t="s">
        <v>1</v>
      </c>
      <c r="W31" s="3" t="s">
        <v>4</v>
      </c>
      <c r="X31" s="3" t="s">
        <v>1</v>
      </c>
      <c r="Y31" s="3" t="s">
        <v>5</v>
      </c>
      <c r="Z31" s="3" t="s">
        <v>0</v>
      </c>
      <c r="AA31" s="3" t="s">
        <v>1</v>
      </c>
      <c r="AB31" s="3" t="s">
        <v>4</v>
      </c>
      <c r="AC31" s="3" t="s">
        <v>0</v>
      </c>
      <c r="AD31" s="3" t="s">
        <v>2</v>
      </c>
      <c r="AE31" s="3" t="s">
        <v>3</v>
      </c>
      <c r="AF31" s="3" t="s">
        <v>6</v>
      </c>
      <c r="AG31" s="3" t="s">
        <v>3</v>
      </c>
      <c r="AH31" s="3" t="s">
        <v>5</v>
      </c>
      <c r="AI31" s="3" t="s">
        <v>6</v>
      </c>
      <c r="AJ31" s="3" t="s">
        <v>7</v>
      </c>
      <c r="AK31" s="3" t="s">
        <v>6</v>
      </c>
      <c r="AL31" s="3" t="s">
        <v>1</v>
      </c>
      <c r="AM31" s="3" t="s">
        <v>2</v>
      </c>
      <c r="AN31" s="3" t="s">
        <v>6</v>
      </c>
      <c r="AO31" s="3" t="s">
        <v>7</v>
      </c>
    </row>
    <row r="32">
      <c r="B32" s="3" t="s">
        <v>20</v>
      </c>
      <c r="C32" s="3" t="s">
        <v>14</v>
      </c>
      <c r="D32" s="3" t="s">
        <v>36</v>
      </c>
      <c r="E32" s="3" t="s">
        <v>22</v>
      </c>
      <c r="F32" s="3" t="s">
        <v>23</v>
      </c>
      <c r="G32" s="3" t="s">
        <v>31</v>
      </c>
      <c r="H32" s="3" t="s">
        <v>34</v>
      </c>
      <c r="I32" s="3" t="s">
        <v>12</v>
      </c>
      <c r="J32" s="3" t="s">
        <v>24</v>
      </c>
      <c r="K32" s="3" t="s">
        <v>19</v>
      </c>
      <c r="L32" s="3" t="s">
        <v>15</v>
      </c>
      <c r="M32" s="3" t="s">
        <v>45</v>
      </c>
      <c r="N32" s="3" t="s">
        <v>29</v>
      </c>
      <c r="O32" s="3" t="s">
        <v>28</v>
      </c>
      <c r="P32" s="3" t="s">
        <v>38</v>
      </c>
      <c r="Q32" s="3" t="s">
        <v>44</v>
      </c>
      <c r="R32" s="3" t="s">
        <v>42</v>
      </c>
      <c r="S32" s="3" t="s">
        <v>35</v>
      </c>
      <c r="T32" s="3" t="s">
        <v>25</v>
      </c>
      <c r="U32" s="3" t="s">
        <v>10</v>
      </c>
      <c r="V32" s="3" t="s">
        <v>16</v>
      </c>
      <c r="W32" s="3" t="s">
        <v>32</v>
      </c>
      <c r="X32" s="3" t="s">
        <v>18</v>
      </c>
      <c r="Y32" s="3" t="s">
        <v>37</v>
      </c>
      <c r="Z32" s="3" t="s">
        <v>11</v>
      </c>
      <c r="AA32" s="3" t="s">
        <v>17</v>
      </c>
      <c r="AB32" s="3" t="s">
        <v>30</v>
      </c>
      <c r="AC32" s="3" t="s">
        <v>13</v>
      </c>
      <c r="AD32" s="3" t="s">
        <v>21</v>
      </c>
      <c r="AE32" s="3" t="s">
        <v>27</v>
      </c>
      <c r="AF32" s="3" t="s">
        <v>40</v>
      </c>
      <c r="AG32" s="3" t="s">
        <v>26</v>
      </c>
      <c r="AH32" s="3" t="s">
        <v>33</v>
      </c>
      <c r="AI32" s="3" t="s">
        <v>39</v>
      </c>
      <c r="AJ32" s="3" t="s">
        <v>43</v>
      </c>
      <c r="AK32" s="3" t="s">
        <v>41</v>
      </c>
      <c r="AL32" s="3"/>
      <c r="AM32" s="3"/>
      <c r="AN32" s="3"/>
      <c r="AO32" s="3"/>
    </row>
    <row r="33">
      <c r="B33" s="3" t="b">
        <v>1</v>
      </c>
      <c r="C33" s="3" t="b">
        <v>1</v>
      </c>
      <c r="D33" s="3" t="b">
        <v>1</v>
      </c>
      <c r="E33" s="3" t="b">
        <v>1</v>
      </c>
      <c r="F33" s="3" t="b">
        <v>1</v>
      </c>
      <c r="G33" s="3" t="b">
        <v>1</v>
      </c>
      <c r="H33" s="3" t="b">
        <v>1</v>
      </c>
      <c r="I33" s="3" t="b">
        <v>1</v>
      </c>
      <c r="J33" s="3" t="b">
        <v>1</v>
      </c>
      <c r="K33" s="3" t="b">
        <v>1</v>
      </c>
      <c r="L33" s="3" t="b">
        <v>1</v>
      </c>
      <c r="M33" s="3" t="b">
        <v>1</v>
      </c>
      <c r="N33" s="3" t="b">
        <v>1</v>
      </c>
      <c r="O33" s="3" t="b">
        <v>1</v>
      </c>
      <c r="P33" s="3" t="b">
        <v>1</v>
      </c>
      <c r="Q33" s="3" t="b">
        <v>1</v>
      </c>
      <c r="R33" s="3" t="b">
        <v>1</v>
      </c>
      <c r="S33" s="3" t="b">
        <v>1</v>
      </c>
      <c r="T33" s="3" t="b">
        <v>1</v>
      </c>
      <c r="U33" s="3" t="b">
        <v>1</v>
      </c>
      <c r="V33" s="3" t="b">
        <v>1</v>
      </c>
      <c r="W33" s="3" t="b">
        <v>1</v>
      </c>
      <c r="X33" s="3" t="b">
        <v>1</v>
      </c>
      <c r="Y33" s="3" t="b">
        <v>1</v>
      </c>
      <c r="Z33" s="3" t="b">
        <v>1</v>
      </c>
      <c r="AA33" s="3" t="b">
        <v>1</v>
      </c>
      <c r="AB33" s="3" t="b">
        <v>1</v>
      </c>
      <c r="AC33" s="3" t="b">
        <v>1</v>
      </c>
      <c r="AD33" s="3" t="b">
        <v>1</v>
      </c>
      <c r="AE33" s="3" t="b">
        <v>1</v>
      </c>
      <c r="AF33" s="3" t="b">
        <v>1</v>
      </c>
      <c r="AG33" s="3" t="b">
        <v>1</v>
      </c>
      <c r="AH33" s="3" t="b">
        <v>1</v>
      </c>
      <c r="AI33" s="3" t="b">
        <v>1</v>
      </c>
      <c r="AJ33" s="3" t="b">
        <v>1</v>
      </c>
      <c r="AK33" s="3" t="b">
        <v>1</v>
      </c>
      <c r="AL33" s="3" t="b">
        <v>0</v>
      </c>
      <c r="AM33" s="3" t="b">
        <v>0</v>
      </c>
      <c r="AN33" s="3" t="b">
        <v>0</v>
      </c>
      <c r="AO33" s="3" t="b">
        <v>0</v>
      </c>
    </row>
    <row r="34">
      <c r="A34" s="3" t="s">
        <v>46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>
        <v>4.0</v>
      </c>
      <c r="Z34" s="3"/>
      <c r="AA34" s="3"/>
      <c r="AB34" s="3">
        <v>4.0</v>
      </c>
      <c r="AC34" s="3"/>
      <c r="AD34" s="3">
        <v>4.0</v>
      </c>
      <c r="AE34" s="3"/>
      <c r="AF34" s="3"/>
      <c r="AG34" s="3">
        <v>4.0</v>
      </c>
      <c r="AH34" s="3"/>
      <c r="AI34" s="3"/>
      <c r="AJ34" s="3"/>
      <c r="AK34" s="3"/>
      <c r="AL34" s="3">
        <v>0.0</v>
      </c>
      <c r="AM34" s="3">
        <v>0.0</v>
      </c>
      <c r="AN34" s="3">
        <v>0.0</v>
      </c>
      <c r="AO34" s="3">
        <v>0.0</v>
      </c>
    </row>
    <row r="35">
      <c r="A35" s="3" t="s">
        <v>47</v>
      </c>
      <c r="B35" s="3"/>
      <c r="C35" s="3"/>
      <c r="D35" s="3">
        <v>4.0</v>
      </c>
      <c r="E35" s="3"/>
      <c r="F35" s="3"/>
      <c r="G35" s="3"/>
      <c r="H35" s="3"/>
      <c r="I35" s="3"/>
      <c r="J35" s="3"/>
      <c r="K35" s="3"/>
      <c r="L35" s="3">
        <v>4.0</v>
      </c>
      <c r="M35" s="3"/>
      <c r="N35" s="3">
        <v>4.0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>
        <v>4.0</v>
      </c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>
        <v>0.0</v>
      </c>
      <c r="AM35" s="3">
        <v>0.0</v>
      </c>
      <c r="AN35" s="3">
        <v>0.0</v>
      </c>
      <c r="AO35" s="3">
        <v>0.0</v>
      </c>
    </row>
    <row r="36">
      <c r="A36" s="3" t="s">
        <v>48</v>
      </c>
      <c r="B36" s="3"/>
      <c r="C36" s="3"/>
      <c r="D36" s="3"/>
      <c r="E36" s="3"/>
      <c r="F36" s="3">
        <v>4.0</v>
      </c>
      <c r="G36" s="3"/>
      <c r="H36" s="3"/>
      <c r="I36" s="3"/>
      <c r="J36" s="3"/>
      <c r="K36" s="3"/>
      <c r="L36" s="3">
        <v>-4.0</v>
      </c>
      <c r="M36" s="3"/>
      <c r="N36" s="3">
        <v>4.0</v>
      </c>
      <c r="O36" s="3"/>
      <c r="P36" s="3"/>
      <c r="Q36" s="3"/>
      <c r="R36" s="3"/>
      <c r="S36" s="3">
        <v>4.0</v>
      </c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>
        <v>0.0</v>
      </c>
      <c r="AM36" s="3">
        <v>0.0</v>
      </c>
      <c r="AN36" s="3">
        <v>0.0</v>
      </c>
      <c r="AO36" s="3">
        <v>0.0</v>
      </c>
    </row>
    <row r="37">
      <c r="A37" s="3" t="s">
        <v>49</v>
      </c>
      <c r="B37" s="3"/>
      <c r="C37" s="3"/>
      <c r="D37" s="3"/>
      <c r="E37" s="3">
        <v>-4.0</v>
      </c>
      <c r="F37" s="3"/>
      <c r="G37" s="3"/>
      <c r="H37" s="3">
        <v>4.0</v>
      </c>
      <c r="I37" s="3"/>
      <c r="J37" s="3"/>
      <c r="K37" s="3"/>
      <c r="L37" s="3">
        <v>4.0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>
        <v>4.0</v>
      </c>
      <c r="AA37" s="3"/>
      <c r="AB37" s="3">
        <v>4.0</v>
      </c>
      <c r="AC37" s="3"/>
      <c r="AD37" s="3"/>
      <c r="AE37" s="3"/>
      <c r="AF37" s="3"/>
      <c r="AG37" s="3"/>
      <c r="AH37" s="3"/>
      <c r="AI37" s="3"/>
      <c r="AJ37" s="3"/>
      <c r="AK37" s="3"/>
      <c r="AL37" s="3">
        <v>0.0</v>
      </c>
      <c r="AM37" s="3">
        <v>0.0</v>
      </c>
      <c r="AN37" s="3">
        <v>0.0</v>
      </c>
      <c r="AO37" s="3">
        <v>0.0</v>
      </c>
    </row>
    <row r="38">
      <c r="A38" s="3" t="s">
        <v>50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>
        <v>4.0</v>
      </c>
      <c r="O38" s="3"/>
      <c r="P38" s="3"/>
      <c r="Q38" s="3"/>
      <c r="R38" s="3"/>
      <c r="S38" s="3"/>
      <c r="T38" s="3"/>
      <c r="U38" s="3"/>
      <c r="V38" s="3"/>
      <c r="W38" s="3"/>
      <c r="X38" s="3">
        <v>4.0</v>
      </c>
      <c r="Y38" s="3">
        <v>4.0</v>
      </c>
      <c r="Z38" s="3">
        <v>4.0</v>
      </c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>
        <v>0.0</v>
      </c>
      <c r="AM38" s="3">
        <v>0.0</v>
      </c>
      <c r="AN38" s="3">
        <v>0.0</v>
      </c>
      <c r="AO38" s="3">
        <v>0.0</v>
      </c>
    </row>
    <row r="39">
      <c r="A39" s="3" t="s">
        <v>51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>
        <v>4.0</v>
      </c>
      <c r="O39" s="3"/>
      <c r="P39" s="3"/>
      <c r="Q39" s="3"/>
      <c r="R39" s="3"/>
      <c r="S39" s="3">
        <v>4.0</v>
      </c>
      <c r="T39" s="3"/>
      <c r="U39" s="3"/>
      <c r="V39" s="3"/>
      <c r="W39" s="3"/>
      <c r="X39" s="3"/>
      <c r="Y39" s="3"/>
      <c r="Z39" s="3">
        <v>4.0</v>
      </c>
      <c r="AA39" s="3">
        <v>4.0</v>
      </c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>
        <v>0.0</v>
      </c>
      <c r="AM39" s="3">
        <v>0.0</v>
      </c>
      <c r="AN39" s="3">
        <v>0.0</v>
      </c>
      <c r="AO39" s="3">
        <v>0.0</v>
      </c>
    </row>
    <row r="40">
      <c r="A40" s="3" t="s">
        <v>46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>
        <v>4.0</v>
      </c>
      <c r="M40" s="3"/>
      <c r="N40" s="3">
        <v>4.0</v>
      </c>
      <c r="O40" s="3"/>
      <c r="P40" s="3"/>
      <c r="Q40" s="3"/>
      <c r="R40" s="3"/>
      <c r="S40" s="3">
        <v>4.0</v>
      </c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>
        <v>0.0</v>
      </c>
      <c r="AM40" s="3">
        <v>0.0</v>
      </c>
      <c r="AN40" s="3">
        <v>0.0</v>
      </c>
      <c r="AO40" s="3">
        <v>0.0</v>
      </c>
    </row>
    <row r="41">
      <c r="A41" s="3" t="s">
        <v>47</v>
      </c>
      <c r="B41" s="3"/>
      <c r="C41" s="3"/>
      <c r="D41" s="3"/>
      <c r="E41" s="3"/>
      <c r="F41" s="3">
        <v>4.0</v>
      </c>
      <c r="G41" s="3"/>
      <c r="H41" s="3"/>
      <c r="I41" s="3"/>
      <c r="J41" s="3"/>
      <c r="K41" s="3"/>
      <c r="L41" s="3"/>
      <c r="M41" s="3"/>
      <c r="N41" s="3"/>
      <c r="O41" s="3">
        <v>4.0</v>
      </c>
      <c r="P41" s="3">
        <v>4.0</v>
      </c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>
        <v>0.0</v>
      </c>
      <c r="AM41" s="3">
        <v>0.0</v>
      </c>
      <c r="AN41" s="3">
        <v>0.0</v>
      </c>
      <c r="AO41" s="3">
        <v>0.0</v>
      </c>
    </row>
    <row r="42">
      <c r="A42" s="3" t="s">
        <v>48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>
        <v>4.0</v>
      </c>
      <c r="M42" s="3">
        <v>0.0</v>
      </c>
      <c r="N42" s="3"/>
      <c r="O42" s="3"/>
      <c r="P42" s="3"/>
      <c r="Q42" s="3"/>
      <c r="R42" s="3"/>
      <c r="S42" s="3">
        <v>4.0</v>
      </c>
      <c r="T42" s="3"/>
      <c r="U42" s="3"/>
      <c r="V42" s="3"/>
      <c r="W42" s="3"/>
      <c r="X42" s="3"/>
      <c r="Y42" s="3"/>
      <c r="Z42" s="3"/>
      <c r="AA42" s="3"/>
      <c r="AB42" s="3">
        <v>0.0</v>
      </c>
      <c r="AC42" s="3"/>
      <c r="AD42" s="3"/>
      <c r="AE42" s="3"/>
      <c r="AF42" s="3"/>
      <c r="AG42" s="3"/>
      <c r="AH42" s="3"/>
      <c r="AI42" s="3"/>
      <c r="AJ42" s="3"/>
      <c r="AK42" s="3"/>
      <c r="AL42" s="3">
        <v>0.0</v>
      </c>
      <c r="AM42" s="3">
        <v>0.0</v>
      </c>
      <c r="AN42" s="3">
        <v>0.0</v>
      </c>
      <c r="AO42" s="3">
        <v>0.0</v>
      </c>
    </row>
    <row r="43">
      <c r="A43" s="3" t="s">
        <v>49</v>
      </c>
      <c r="B43" s="3"/>
      <c r="C43" s="3"/>
      <c r="D43" s="3"/>
      <c r="E43" s="3">
        <v>4.0</v>
      </c>
      <c r="F43" s="3"/>
      <c r="G43" s="3"/>
      <c r="H43" s="3">
        <v>4.0</v>
      </c>
      <c r="I43" s="3"/>
      <c r="J43" s="3"/>
      <c r="K43" s="3"/>
      <c r="L43" s="3"/>
      <c r="M43" s="3"/>
      <c r="N43" s="3">
        <v>4.0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>
        <v>4.0</v>
      </c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>
        <v>0.0</v>
      </c>
      <c r="AM43" s="3">
        <v>0.0</v>
      </c>
      <c r="AN43" s="3">
        <v>0.0</v>
      </c>
      <c r="AO43" s="3">
        <v>0.0</v>
      </c>
    </row>
    <row r="44">
      <c r="A44" s="3" t="s">
        <v>50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>
        <v>4.0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>
        <v>0.0</v>
      </c>
      <c r="AM44" s="3">
        <v>0.0</v>
      </c>
      <c r="AN44" s="3">
        <v>0.0</v>
      </c>
      <c r="AO44" s="3">
        <v>0.0</v>
      </c>
    </row>
    <row r="45">
      <c r="A45" s="3" t="s">
        <v>51</v>
      </c>
      <c r="B45" s="3"/>
      <c r="C45" s="3"/>
      <c r="D45" s="3"/>
      <c r="E45" s="3"/>
      <c r="F45" s="3">
        <v>4.0</v>
      </c>
      <c r="G45" s="3"/>
      <c r="H45" s="3"/>
      <c r="I45" s="3"/>
      <c r="J45" s="3"/>
      <c r="K45" s="3"/>
      <c r="L45" s="3"/>
      <c r="M45" s="3"/>
      <c r="N45" s="3"/>
      <c r="O45" s="3">
        <v>4.0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>
        <v>4.0</v>
      </c>
      <c r="AJ45" s="3"/>
      <c r="AK45" s="3"/>
      <c r="AL45" s="3">
        <v>0.0</v>
      </c>
      <c r="AM45" s="3">
        <v>0.0</v>
      </c>
      <c r="AN45" s="3">
        <v>0.0</v>
      </c>
      <c r="AO45" s="3">
        <v>0.0</v>
      </c>
    </row>
    <row r="46">
      <c r="B46" s="3" t="b">
        <v>1</v>
      </c>
      <c r="C46" s="3" t="b">
        <v>1</v>
      </c>
      <c r="D46" s="3" t="b">
        <v>1</v>
      </c>
      <c r="E46" s="3" t="b">
        <v>1</v>
      </c>
      <c r="F46" s="3" t="b">
        <v>1</v>
      </c>
      <c r="G46" s="3" t="b">
        <v>1</v>
      </c>
      <c r="H46" s="3" t="b">
        <v>1</v>
      </c>
      <c r="I46" s="3" t="b">
        <v>1</v>
      </c>
      <c r="J46" s="3" t="b">
        <v>1</v>
      </c>
      <c r="K46" s="3" t="b">
        <v>1</v>
      </c>
      <c r="L46" s="3" t="b">
        <v>1</v>
      </c>
      <c r="M46" s="3" t="b">
        <v>1</v>
      </c>
      <c r="N46" s="3" t="b">
        <v>1</v>
      </c>
      <c r="O46" s="3" t="b">
        <v>1</v>
      </c>
      <c r="P46" s="3" t="b">
        <v>1</v>
      </c>
      <c r="Q46" s="3" t="b">
        <v>1</v>
      </c>
      <c r="R46" s="3" t="b">
        <v>1</v>
      </c>
      <c r="S46" s="3" t="b">
        <v>1</v>
      </c>
      <c r="T46" s="3" t="b">
        <v>1</v>
      </c>
      <c r="U46" s="3" t="b">
        <v>1</v>
      </c>
      <c r="V46" s="3" t="b">
        <v>1</v>
      </c>
      <c r="W46" s="3" t="b">
        <v>1</v>
      </c>
      <c r="X46" s="3" t="b">
        <v>1</v>
      </c>
      <c r="Y46" s="3" t="b">
        <v>1</v>
      </c>
      <c r="Z46" s="3" t="b">
        <v>1</v>
      </c>
      <c r="AA46" s="3" t="b">
        <v>1</v>
      </c>
      <c r="AB46" s="3" t="b">
        <v>1</v>
      </c>
      <c r="AC46" s="3" t="b">
        <v>1</v>
      </c>
      <c r="AD46" s="3" t="b">
        <v>1</v>
      </c>
      <c r="AE46" s="3" t="b">
        <v>1</v>
      </c>
      <c r="AF46" s="3" t="b">
        <v>1</v>
      </c>
      <c r="AG46" s="3" t="b">
        <v>1</v>
      </c>
      <c r="AH46" s="3" t="b">
        <v>1</v>
      </c>
      <c r="AI46" s="3" t="b">
        <v>1</v>
      </c>
      <c r="AJ46" s="3" t="b">
        <v>1</v>
      </c>
      <c r="AK46" s="3" t="b">
        <v>1</v>
      </c>
      <c r="AL46" s="3" t="b">
        <v>0</v>
      </c>
      <c r="AM46" s="3" t="b">
        <v>0</v>
      </c>
      <c r="AN46" s="3" t="b">
        <v>0</v>
      </c>
      <c r="AO46" s="3" t="b">
        <v>0</v>
      </c>
    </row>
    <row r="47">
      <c r="A47" s="3" t="s">
        <v>46</v>
      </c>
      <c r="B47" s="3"/>
      <c r="C47" s="3"/>
      <c r="D47" s="3">
        <v>0.0</v>
      </c>
      <c r="E47" s="3"/>
      <c r="F47" s="3"/>
      <c r="G47" s="3"/>
      <c r="H47" s="3"/>
      <c r="I47" s="3"/>
      <c r="J47" s="3"/>
      <c r="K47" s="3"/>
      <c r="L47" s="3"/>
      <c r="M47" s="3"/>
      <c r="N47" s="3">
        <v>-4.0</v>
      </c>
      <c r="O47" s="3"/>
      <c r="P47" s="3"/>
      <c r="Q47" s="3">
        <v>0.0</v>
      </c>
      <c r="R47" s="3"/>
      <c r="S47" s="3"/>
      <c r="T47" s="3"/>
      <c r="U47" s="3"/>
      <c r="V47" s="3"/>
      <c r="W47" s="3"/>
      <c r="X47" s="3"/>
      <c r="Y47" s="3"/>
      <c r="Z47" s="3"/>
      <c r="AA47" s="3">
        <v>-4.0</v>
      </c>
      <c r="AB47" s="3"/>
      <c r="AC47" s="3"/>
      <c r="AD47" s="3"/>
      <c r="AE47" s="3"/>
      <c r="AF47" s="3"/>
      <c r="AG47" s="3"/>
      <c r="AH47" s="3"/>
      <c r="AI47" s="3"/>
      <c r="AJ47" s="3"/>
      <c r="AK47" s="3">
        <v>0.0</v>
      </c>
      <c r="AL47" s="3">
        <v>0.0</v>
      </c>
      <c r="AM47" s="3">
        <v>0.0</v>
      </c>
      <c r="AN47" s="3">
        <v>0.0</v>
      </c>
      <c r="AO47" s="3">
        <v>0.0</v>
      </c>
    </row>
    <row r="48">
      <c r="A48" s="3" t="s">
        <v>47</v>
      </c>
      <c r="B48" s="3"/>
      <c r="C48" s="3"/>
      <c r="D48" s="3">
        <v>-4.0</v>
      </c>
      <c r="E48" s="3">
        <v>4.0</v>
      </c>
      <c r="F48" s="3">
        <v>4.0</v>
      </c>
      <c r="G48" s="3"/>
      <c r="H48" s="3"/>
      <c r="I48" s="3"/>
      <c r="J48" s="3"/>
      <c r="K48" s="3"/>
      <c r="L48" s="3"/>
      <c r="M48" s="3"/>
      <c r="N48" s="3"/>
      <c r="O48" s="3">
        <v>-4.0</v>
      </c>
      <c r="P48" s="3"/>
      <c r="Q48" s="3"/>
      <c r="R48" s="3">
        <v>4.0</v>
      </c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>
        <v>4.0</v>
      </c>
      <c r="AL48" s="3">
        <v>0.0</v>
      </c>
      <c r="AM48" s="3">
        <v>0.0</v>
      </c>
      <c r="AN48" s="3">
        <v>0.0</v>
      </c>
      <c r="AO48" s="3">
        <v>0.0</v>
      </c>
    </row>
    <row r="49">
      <c r="A49" s="3" t="s">
        <v>48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>
        <v>4.0</v>
      </c>
      <c r="M49" s="3"/>
      <c r="N49" s="3">
        <v>4.0</v>
      </c>
      <c r="O49" s="3"/>
      <c r="P49" s="3"/>
      <c r="Q49" s="3"/>
      <c r="R49" s="3"/>
      <c r="S49" s="3">
        <v>4.0</v>
      </c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>
        <v>0.0</v>
      </c>
      <c r="AM49" s="3">
        <v>0.0</v>
      </c>
      <c r="AN49" s="3">
        <v>0.0</v>
      </c>
      <c r="AO49" s="3">
        <v>0.0</v>
      </c>
    </row>
    <row r="50">
      <c r="A50" s="3" t="s">
        <v>49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>
        <v>4.0</v>
      </c>
      <c r="M50" s="3"/>
      <c r="N50" s="3">
        <v>4.0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>
        <v>0.0</v>
      </c>
      <c r="AM50" s="3">
        <v>0.0</v>
      </c>
      <c r="AN50" s="3">
        <v>0.0</v>
      </c>
      <c r="AO50" s="3">
        <v>0.0</v>
      </c>
    </row>
    <row r="51">
      <c r="A51" s="3" t="s">
        <v>50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>
        <v>4.0</v>
      </c>
      <c r="O51" s="3"/>
      <c r="P51" s="3"/>
      <c r="Q51" s="3"/>
      <c r="R51" s="3"/>
      <c r="S51" s="3"/>
      <c r="T51" s="3"/>
      <c r="U51" s="3"/>
      <c r="V51" s="3"/>
      <c r="W51" s="3"/>
      <c r="X51" s="3">
        <v>4.0</v>
      </c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>
        <v>0.0</v>
      </c>
      <c r="AM51" s="3">
        <v>0.0</v>
      </c>
      <c r="AN51" s="3">
        <v>0.0</v>
      </c>
      <c r="AO51" s="3">
        <v>0.0</v>
      </c>
    </row>
    <row r="52">
      <c r="A52" s="3" t="s">
        <v>51</v>
      </c>
      <c r="B52" s="3"/>
      <c r="C52" s="3"/>
      <c r="D52" s="3">
        <v>4.0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>
        <v>4.0</v>
      </c>
      <c r="S52" s="3"/>
      <c r="T52" s="3"/>
      <c r="U52" s="3"/>
      <c r="V52" s="3"/>
      <c r="W52" s="3"/>
      <c r="X52" s="3">
        <v>4.0</v>
      </c>
      <c r="Y52" s="3"/>
      <c r="Z52" s="3"/>
      <c r="AA52" s="3"/>
      <c r="AB52" s="3"/>
      <c r="AC52" s="3">
        <v>4.0</v>
      </c>
      <c r="AD52" s="3"/>
      <c r="AE52" s="3"/>
      <c r="AF52" s="3"/>
      <c r="AG52" s="3"/>
      <c r="AH52" s="3"/>
      <c r="AI52" s="3"/>
      <c r="AJ52" s="3"/>
      <c r="AK52" s="3"/>
      <c r="AL52" s="3">
        <v>0.0</v>
      </c>
      <c r="AM52" s="3">
        <v>0.0</v>
      </c>
      <c r="AN52" s="3">
        <v>0.0</v>
      </c>
      <c r="AO52" s="3">
        <v>0.0</v>
      </c>
    </row>
    <row r="53">
      <c r="A53" s="3" t="s">
        <v>46</v>
      </c>
      <c r="B53" s="3"/>
      <c r="C53" s="3"/>
      <c r="D53" s="3"/>
      <c r="E53" s="3">
        <v>4.0</v>
      </c>
      <c r="F53" s="3"/>
      <c r="G53" s="3"/>
      <c r="H53" s="3"/>
      <c r="I53" s="3"/>
      <c r="J53" s="3"/>
      <c r="K53" s="3"/>
      <c r="L53" s="3"/>
      <c r="M53" s="3"/>
      <c r="N53" s="3">
        <v>0.0</v>
      </c>
      <c r="O53" s="3"/>
      <c r="P53" s="3"/>
      <c r="Q53" s="3"/>
      <c r="R53" s="3">
        <v>0.0</v>
      </c>
      <c r="S53" s="3"/>
      <c r="T53" s="3"/>
      <c r="U53" s="3"/>
      <c r="V53" s="3"/>
      <c r="W53" s="3"/>
      <c r="X53" s="3">
        <v>4.0</v>
      </c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>
        <v>0.0</v>
      </c>
      <c r="AM53" s="3">
        <v>0.0</v>
      </c>
      <c r="AN53" s="3">
        <v>0.0</v>
      </c>
      <c r="AO53" s="3">
        <v>0.0</v>
      </c>
    </row>
    <row r="54">
      <c r="A54" s="3" t="s">
        <v>47</v>
      </c>
      <c r="B54" s="3"/>
      <c r="C54" s="3"/>
      <c r="D54" s="3"/>
      <c r="E54" s="3"/>
      <c r="F54" s="3">
        <v>4.0</v>
      </c>
      <c r="G54" s="3"/>
      <c r="H54" s="3"/>
      <c r="I54" s="3"/>
      <c r="J54" s="3"/>
      <c r="K54" s="3"/>
      <c r="L54" s="3">
        <v>-4.0</v>
      </c>
      <c r="M54" s="3"/>
      <c r="N54" s="3"/>
      <c r="O54" s="3">
        <v>4.0</v>
      </c>
      <c r="P54" s="3"/>
      <c r="Q54" s="3"/>
      <c r="R54" s="3"/>
      <c r="S54" s="3">
        <v>4.0</v>
      </c>
      <c r="T54" s="3"/>
      <c r="U54" s="3"/>
      <c r="V54" s="3"/>
      <c r="W54" s="3"/>
      <c r="X54" s="3"/>
      <c r="Y54" s="3"/>
      <c r="Z54" s="3">
        <v>4.0</v>
      </c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>
        <v>0.0</v>
      </c>
      <c r="AM54" s="3">
        <v>0.0</v>
      </c>
      <c r="AN54" s="3">
        <v>0.0</v>
      </c>
      <c r="AO54" s="3">
        <v>0.0</v>
      </c>
    </row>
    <row r="55">
      <c r="A55" s="3" t="s">
        <v>48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>
        <v>4.0</v>
      </c>
      <c r="M55" s="3"/>
      <c r="N55" s="3">
        <v>4.0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>
        <v>0.0</v>
      </c>
      <c r="AM55" s="3">
        <v>0.0</v>
      </c>
      <c r="AN55" s="3">
        <v>0.0</v>
      </c>
      <c r="AO55" s="3">
        <v>0.0</v>
      </c>
    </row>
    <row r="56">
      <c r="A56" s="3" t="s">
        <v>49</v>
      </c>
      <c r="B56" s="3"/>
      <c r="C56" s="3"/>
      <c r="D56" s="3"/>
      <c r="E56" s="3"/>
      <c r="F56" s="3"/>
      <c r="G56" s="3"/>
      <c r="H56" s="3">
        <v>-4.0</v>
      </c>
      <c r="I56" s="3"/>
      <c r="J56" s="3"/>
      <c r="K56" s="3"/>
      <c r="L56" s="3"/>
      <c r="M56" s="3"/>
      <c r="N56" s="3"/>
      <c r="O56" s="3">
        <v>4.0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>
        <v>4.0</v>
      </c>
      <c r="AB56" s="3"/>
      <c r="AC56" s="3"/>
      <c r="AD56" s="3"/>
      <c r="AE56" s="3"/>
      <c r="AF56" s="3"/>
      <c r="AG56" s="3"/>
      <c r="AH56" s="3"/>
      <c r="AI56" s="3"/>
      <c r="AJ56" s="3"/>
      <c r="AK56" s="3">
        <v>4.0</v>
      </c>
      <c r="AL56" s="3">
        <v>0.0</v>
      </c>
      <c r="AM56" s="3">
        <v>0.0</v>
      </c>
      <c r="AN56" s="3">
        <v>0.0</v>
      </c>
      <c r="AO56" s="3">
        <v>0.0</v>
      </c>
    </row>
    <row r="57">
      <c r="A57" s="3" t="s">
        <v>50</v>
      </c>
      <c r="B57" s="3"/>
      <c r="C57" s="3"/>
      <c r="D57" s="3"/>
      <c r="E57" s="3"/>
      <c r="F57" s="3">
        <v>4.0</v>
      </c>
      <c r="G57" s="3"/>
      <c r="H57" s="3"/>
      <c r="I57" s="3"/>
      <c r="J57" s="3"/>
      <c r="K57" s="3"/>
      <c r="L57" s="3"/>
      <c r="M57" s="3"/>
      <c r="N57" s="3">
        <v>0.0</v>
      </c>
      <c r="O57" s="3"/>
      <c r="P57" s="3"/>
      <c r="Q57" s="3"/>
      <c r="R57" s="3">
        <v>4.0</v>
      </c>
      <c r="S57" s="3"/>
      <c r="T57" s="3"/>
      <c r="U57" s="3"/>
      <c r="V57" s="3"/>
      <c r="W57" s="3"/>
      <c r="X57" s="3">
        <v>-4.0</v>
      </c>
      <c r="Y57" s="3"/>
      <c r="Z57" s="3"/>
      <c r="AA57" s="3"/>
      <c r="AB57" s="3"/>
      <c r="AC57" s="3"/>
      <c r="AD57" s="3">
        <v>4.0</v>
      </c>
      <c r="AE57" s="3"/>
      <c r="AF57" s="3"/>
      <c r="AG57" s="3"/>
      <c r="AH57" s="3">
        <v>4.0</v>
      </c>
      <c r="AI57" s="3"/>
      <c r="AJ57" s="3"/>
      <c r="AK57" s="3"/>
      <c r="AL57" s="3">
        <v>0.0</v>
      </c>
      <c r="AM57" s="3">
        <v>0.0</v>
      </c>
      <c r="AN57" s="3">
        <v>0.0</v>
      </c>
      <c r="AO57" s="3">
        <v>0.0</v>
      </c>
    </row>
    <row r="58">
      <c r="A58" s="3" t="s">
        <v>51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>
        <v>0.0</v>
      </c>
      <c r="P58" s="3"/>
      <c r="Q58" s="3"/>
      <c r="R58" s="3">
        <v>0.0</v>
      </c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>
        <v>0.0</v>
      </c>
      <c r="AM58" s="3">
        <v>0.0</v>
      </c>
      <c r="AN58" s="3">
        <v>0.0</v>
      </c>
      <c r="AO58" s="3">
        <v>0.0</v>
      </c>
    </row>
    <row r="59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</row>
    <row r="60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</row>
    <row r="61">
      <c r="B61" s="3" t="str">
        <f t="array" ref="B61:AO90">transpose(sort(transpose(All!B61:AO90),2,true))</f>
        <v>Middleton C</v>
      </c>
      <c r="C61" s="3" t="s">
        <v>0</v>
      </c>
      <c r="D61" s="3" t="s">
        <v>5</v>
      </c>
      <c r="E61" s="3" t="s">
        <v>2</v>
      </c>
      <c r="F61" s="3" t="s">
        <v>3</v>
      </c>
      <c r="G61" s="3" t="s">
        <v>4</v>
      </c>
      <c r="H61" s="3" t="s">
        <v>5</v>
      </c>
      <c r="I61" s="3" t="s">
        <v>0</v>
      </c>
      <c r="J61" s="3" t="s">
        <v>3</v>
      </c>
      <c r="K61" s="3" t="s">
        <v>2</v>
      </c>
      <c r="L61" s="3" t="s">
        <v>1</v>
      </c>
      <c r="M61" s="3" t="s">
        <v>7</v>
      </c>
      <c r="N61" s="3" t="s">
        <v>4</v>
      </c>
      <c r="O61" s="3" t="s">
        <v>4</v>
      </c>
      <c r="P61" s="3" t="s">
        <v>6</v>
      </c>
      <c r="Q61" s="3" t="s">
        <v>7</v>
      </c>
      <c r="R61" s="3" t="s">
        <v>7</v>
      </c>
      <c r="S61" s="3" t="s">
        <v>5</v>
      </c>
      <c r="T61" s="3" t="s">
        <v>3</v>
      </c>
      <c r="U61" s="3" t="s">
        <v>0</v>
      </c>
      <c r="V61" s="3" t="s">
        <v>1</v>
      </c>
      <c r="W61" s="3" t="s">
        <v>4</v>
      </c>
      <c r="X61" s="3" t="s">
        <v>1</v>
      </c>
      <c r="Y61" s="3" t="s">
        <v>5</v>
      </c>
      <c r="Z61" s="3" t="s">
        <v>0</v>
      </c>
      <c r="AA61" s="3" t="s">
        <v>1</v>
      </c>
      <c r="AB61" s="3" t="s">
        <v>4</v>
      </c>
      <c r="AC61" s="3" t="s">
        <v>0</v>
      </c>
      <c r="AD61" s="3" t="s">
        <v>2</v>
      </c>
      <c r="AE61" s="3" t="s">
        <v>3</v>
      </c>
      <c r="AF61" s="3" t="s">
        <v>6</v>
      </c>
      <c r="AG61" s="3" t="s">
        <v>3</v>
      </c>
      <c r="AH61" s="3" t="s">
        <v>5</v>
      </c>
      <c r="AI61" s="3" t="s">
        <v>6</v>
      </c>
      <c r="AJ61" s="3" t="s">
        <v>7</v>
      </c>
      <c r="AK61" s="3" t="s">
        <v>6</v>
      </c>
      <c r="AL61" s="3" t="s">
        <v>2</v>
      </c>
      <c r="AM61" s="3" t="s">
        <v>1</v>
      </c>
      <c r="AN61" s="3" t="s">
        <v>6</v>
      </c>
      <c r="AO61" s="3" t="s">
        <v>7</v>
      </c>
    </row>
    <row r="62">
      <c r="B62" s="3" t="s">
        <v>20</v>
      </c>
      <c r="C62" s="3" t="s">
        <v>14</v>
      </c>
      <c r="D62" s="3" t="s">
        <v>36</v>
      </c>
      <c r="E62" s="3" t="s">
        <v>22</v>
      </c>
      <c r="F62" s="3" t="s">
        <v>23</v>
      </c>
      <c r="G62" s="3" t="s">
        <v>31</v>
      </c>
      <c r="H62" s="3" t="s">
        <v>34</v>
      </c>
      <c r="I62" s="3" t="s">
        <v>12</v>
      </c>
      <c r="J62" s="3" t="s">
        <v>24</v>
      </c>
      <c r="K62" s="3" t="s">
        <v>19</v>
      </c>
      <c r="L62" s="3" t="s">
        <v>15</v>
      </c>
      <c r="M62" s="3" t="s">
        <v>45</v>
      </c>
      <c r="N62" s="3" t="s">
        <v>29</v>
      </c>
      <c r="O62" s="3" t="s">
        <v>28</v>
      </c>
      <c r="P62" s="3" t="s">
        <v>38</v>
      </c>
      <c r="Q62" s="3" t="s">
        <v>44</v>
      </c>
      <c r="R62" s="3" t="s">
        <v>42</v>
      </c>
      <c r="S62" s="3" t="s">
        <v>35</v>
      </c>
      <c r="T62" s="3" t="s">
        <v>25</v>
      </c>
      <c r="U62" s="3" t="s">
        <v>10</v>
      </c>
      <c r="V62" s="3" t="s">
        <v>16</v>
      </c>
      <c r="W62" s="3" t="s">
        <v>32</v>
      </c>
      <c r="X62" s="3" t="s">
        <v>18</v>
      </c>
      <c r="Y62" s="3" t="s">
        <v>37</v>
      </c>
      <c r="Z62" s="3" t="s">
        <v>11</v>
      </c>
      <c r="AA62" s="3" t="s">
        <v>17</v>
      </c>
      <c r="AB62" s="3" t="s">
        <v>30</v>
      </c>
      <c r="AC62" s="3" t="s">
        <v>13</v>
      </c>
      <c r="AD62" s="3" t="s">
        <v>13</v>
      </c>
      <c r="AE62" s="3" t="s">
        <v>27</v>
      </c>
      <c r="AF62" s="3" t="s">
        <v>40</v>
      </c>
      <c r="AG62" s="3" t="s">
        <v>26</v>
      </c>
      <c r="AH62" s="3" t="s">
        <v>33</v>
      </c>
      <c r="AI62" s="3" t="s">
        <v>39</v>
      </c>
      <c r="AJ62" s="3" t="s">
        <v>43</v>
      </c>
      <c r="AK62" s="3" t="s">
        <v>41</v>
      </c>
      <c r="AL62" s="3"/>
      <c r="AM62" s="3"/>
      <c r="AN62" s="3"/>
      <c r="AO62" s="3"/>
    </row>
    <row r="63">
      <c r="B63" s="3" t="b">
        <v>1</v>
      </c>
      <c r="C63" s="3" t="b">
        <v>1</v>
      </c>
      <c r="D63" s="3" t="b">
        <v>1</v>
      </c>
      <c r="E63" s="3" t="b">
        <v>1</v>
      </c>
      <c r="F63" s="3" t="b">
        <v>1</v>
      </c>
      <c r="G63" s="3" t="b">
        <v>1</v>
      </c>
      <c r="H63" s="3" t="b">
        <v>1</v>
      </c>
      <c r="I63" s="3" t="b">
        <v>1</v>
      </c>
      <c r="J63" s="3" t="b">
        <v>1</v>
      </c>
      <c r="K63" s="3" t="b">
        <v>1</v>
      </c>
      <c r="L63" s="3" t="b">
        <v>1</v>
      </c>
      <c r="M63" s="3" t="b">
        <v>1</v>
      </c>
      <c r="N63" s="3" t="b">
        <v>1</v>
      </c>
      <c r="O63" s="3" t="b">
        <v>1</v>
      </c>
      <c r="P63" s="3" t="b">
        <v>1</v>
      </c>
      <c r="Q63" s="3" t="b">
        <v>1</v>
      </c>
      <c r="R63" s="3" t="b">
        <v>1</v>
      </c>
      <c r="S63" s="3" t="b">
        <v>1</v>
      </c>
      <c r="T63" s="3" t="b">
        <v>1</v>
      </c>
      <c r="U63" s="3" t="b">
        <v>1</v>
      </c>
      <c r="V63" s="3" t="b">
        <v>1</v>
      </c>
      <c r="W63" s="3" t="b">
        <v>1</v>
      </c>
      <c r="X63" s="3" t="b">
        <v>1</v>
      </c>
      <c r="Y63" s="3" t="b">
        <v>1</v>
      </c>
      <c r="Z63" s="3" t="b">
        <v>1</v>
      </c>
      <c r="AA63" s="3" t="b">
        <v>1</v>
      </c>
      <c r="AB63" s="3" t="b">
        <v>1</v>
      </c>
      <c r="AC63" s="3" t="b">
        <v>1</v>
      </c>
      <c r="AD63" s="3" t="b">
        <v>1</v>
      </c>
      <c r="AE63" s="3" t="b">
        <v>1</v>
      </c>
      <c r="AF63" s="3" t="b">
        <v>1</v>
      </c>
      <c r="AG63" s="3" t="b">
        <v>1</v>
      </c>
      <c r="AH63" s="3" t="b">
        <v>1</v>
      </c>
      <c r="AI63" s="3" t="b">
        <v>1</v>
      </c>
      <c r="AJ63" s="3" t="b">
        <v>1</v>
      </c>
      <c r="AK63" s="3" t="b">
        <v>1</v>
      </c>
      <c r="AL63" s="3" t="b">
        <v>0</v>
      </c>
      <c r="AM63" s="3" t="b">
        <v>0</v>
      </c>
      <c r="AN63" s="3" t="b">
        <v>0</v>
      </c>
      <c r="AO63" s="3" t="b">
        <v>0</v>
      </c>
    </row>
    <row r="64">
      <c r="A64" s="3" t="s">
        <v>46</v>
      </c>
      <c r="B64" s="3">
        <v>-4.0</v>
      </c>
      <c r="C64" s="3"/>
      <c r="D64" s="3"/>
      <c r="E64" s="3"/>
      <c r="F64" s="3"/>
      <c r="G64" s="3"/>
      <c r="H64" s="3"/>
      <c r="I64" s="3"/>
      <c r="J64" s="3"/>
      <c r="K64" s="3"/>
      <c r="L64" s="3">
        <v>4.0</v>
      </c>
      <c r="M64" s="3"/>
      <c r="N64" s="3"/>
      <c r="O64" s="3">
        <v>4.0</v>
      </c>
      <c r="P64" s="3"/>
      <c r="Q64" s="3"/>
      <c r="R64" s="3"/>
      <c r="S64" s="3">
        <v>4.0</v>
      </c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>
        <v>0.0</v>
      </c>
      <c r="AM64" s="3">
        <v>0.0</v>
      </c>
      <c r="AN64" s="3">
        <v>0.0</v>
      </c>
      <c r="AO64" s="3">
        <v>0.0</v>
      </c>
    </row>
    <row r="65">
      <c r="A65" s="3" t="s">
        <v>47</v>
      </c>
      <c r="B65" s="3"/>
      <c r="C65" s="3"/>
      <c r="D65" s="3">
        <v>4.0</v>
      </c>
      <c r="E65" s="3">
        <v>-4.0</v>
      </c>
      <c r="F65" s="3">
        <v>4.0</v>
      </c>
      <c r="G65" s="3"/>
      <c r="H65" s="3"/>
      <c r="I65" s="3"/>
      <c r="J65" s="3"/>
      <c r="K65" s="3"/>
      <c r="L65" s="3"/>
      <c r="M65" s="3"/>
      <c r="N65" s="3"/>
      <c r="O65" s="3">
        <v>4.0</v>
      </c>
      <c r="P65" s="3"/>
      <c r="Q65" s="3"/>
      <c r="R65" s="3"/>
      <c r="S65" s="3"/>
      <c r="T65" s="3"/>
      <c r="U65" s="3"/>
      <c r="V65" s="3"/>
      <c r="W65" s="3"/>
      <c r="X65" s="3">
        <v>-4.0</v>
      </c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>
        <v>0.0</v>
      </c>
      <c r="AM65" s="3">
        <v>0.0</v>
      </c>
      <c r="AN65" s="3">
        <v>0.0</v>
      </c>
      <c r="AO65" s="3">
        <v>0.0</v>
      </c>
    </row>
    <row r="66">
      <c r="A66" s="3" t="s">
        <v>48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>
        <v>4.0</v>
      </c>
      <c r="M66" s="3"/>
      <c r="N66" s="3">
        <v>4.0</v>
      </c>
      <c r="O66" s="3"/>
      <c r="P66" s="3"/>
      <c r="Q66" s="3"/>
      <c r="R66" s="3">
        <v>4.0</v>
      </c>
      <c r="S66" s="3">
        <v>0.0</v>
      </c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>
        <v>4.0</v>
      </c>
      <c r="AH66" s="3"/>
      <c r="AI66" s="3"/>
      <c r="AJ66" s="3"/>
      <c r="AK66" s="3"/>
      <c r="AL66" s="3">
        <v>0.0</v>
      </c>
      <c r="AM66" s="3">
        <v>0.0</v>
      </c>
      <c r="AN66" s="3">
        <v>0.0</v>
      </c>
      <c r="AO66" s="3">
        <v>0.0</v>
      </c>
    </row>
    <row r="67">
      <c r="A67" s="3" t="s">
        <v>49</v>
      </c>
      <c r="B67" s="3"/>
      <c r="C67" s="3"/>
      <c r="D67" s="3"/>
      <c r="E67" s="3">
        <v>4.0</v>
      </c>
      <c r="F67" s="3"/>
      <c r="G67" s="3"/>
      <c r="H67" s="3">
        <v>4.0</v>
      </c>
      <c r="I67" s="3"/>
      <c r="J67" s="3">
        <v>4.0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>
        <v>-4.0</v>
      </c>
      <c r="AB67" s="3"/>
      <c r="AC67" s="3"/>
      <c r="AD67" s="3"/>
      <c r="AE67" s="3"/>
      <c r="AF67" s="3"/>
      <c r="AG67" s="3"/>
      <c r="AH67" s="3"/>
      <c r="AI67" s="3"/>
      <c r="AJ67" s="3"/>
      <c r="AK67" s="3">
        <v>4.0</v>
      </c>
      <c r="AL67" s="3">
        <v>0.0</v>
      </c>
      <c r="AM67" s="3">
        <v>0.0</v>
      </c>
      <c r="AN67" s="3">
        <v>0.0</v>
      </c>
      <c r="AO67" s="3">
        <v>0.0</v>
      </c>
    </row>
    <row r="68">
      <c r="A68" s="3" t="s">
        <v>50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>
        <v>4.0</v>
      </c>
      <c r="O68" s="3"/>
      <c r="P68" s="3"/>
      <c r="Q68" s="3"/>
      <c r="R68" s="3"/>
      <c r="S68" s="3"/>
      <c r="T68" s="3"/>
      <c r="U68" s="3"/>
      <c r="V68" s="3"/>
      <c r="W68" s="3"/>
      <c r="X68" s="3">
        <v>4.0</v>
      </c>
      <c r="Y68" s="3"/>
      <c r="Z68" s="3"/>
      <c r="AA68" s="3"/>
      <c r="AB68" s="3"/>
      <c r="AC68" s="3"/>
      <c r="AD68" s="3"/>
      <c r="AE68" s="3"/>
      <c r="AF68" s="3"/>
      <c r="AG68" s="3">
        <v>-4.0</v>
      </c>
      <c r="AH68" s="3">
        <v>0.0</v>
      </c>
      <c r="AI68" s="3"/>
      <c r="AJ68" s="3">
        <v>0.0</v>
      </c>
      <c r="AK68" s="3"/>
      <c r="AL68" s="3">
        <v>0.0</v>
      </c>
      <c r="AM68" s="3">
        <v>0.0</v>
      </c>
      <c r="AN68" s="3">
        <v>0.0</v>
      </c>
      <c r="AO68" s="3">
        <v>0.0</v>
      </c>
    </row>
    <row r="69">
      <c r="A69" s="3" t="s">
        <v>51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>
        <v>4.0</v>
      </c>
      <c r="P69" s="3"/>
      <c r="Q69" s="3"/>
      <c r="R69" s="3"/>
      <c r="S69" s="3">
        <v>4.0</v>
      </c>
      <c r="T69" s="3"/>
      <c r="U69" s="3"/>
      <c r="V69" s="3">
        <v>-4.0</v>
      </c>
      <c r="W69" s="3"/>
      <c r="X69" s="3"/>
      <c r="Y69" s="3"/>
      <c r="Z69" s="3"/>
      <c r="AA69" s="3"/>
      <c r="AB69" s="3"/>
      <c r="AC69" s="3"/>
      <c r="AD69" s="3">
        <v>4.0</v>
      </c>
      <c r="AE69" s="3"/>
      <c r="AF69" s="3"/>
      <c r="AG69" s="3"/>
      <c r="AH69" s="3"/>
      <c r="AI69" s="3"/>
      <c r="AJ69" s="3"/>
      <c r="AK69" s="3"/>
      <c r="AL69" s="3">
        <v>0.0</v>
      </c>
      <c r="AM69" s="3">
        <v>0.0</v>
      </c>
      <c r="AN69" s="3">
        <v>0.0</v>
      </c>
      <c r="AO69" s="3">
        <v>0.0</v>
      </c>
    </row>
    <row r="70">
      <c r="A70" s="3" t="s">
        <v>46</v>
      </c>
      <c r="B70" s="3"/>
      <c r="C70" s="3"/>
      <c r="D70" s="3"/>
      <c r="E70" s="3">
        <v>4.0</v>
      </c>
      <c r="F70" s="3"/>
      <c r="G70" s="3"/>
      <c r="H70" s="3"/>
      <c r="I70" s="3"/>
      <c r="J70" s="3">
        <v>4.0</v>
      </c>
      <c r="K70" s="3"/>
      <c r="L70" s="3"/>
      <c r="M70" s="3"/>
      <c r="N70" s="3">
        <v>4.0</v>
      </c>
      <c r="O70" s="3"/>
      <c r="P70" s="3"/>
      <c r="Q70" s="3"/>
      <c r="R70" s="3"/>
      <c r="S70" s="3">
        <v>4.0</v>
      </c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>
        <v>0.0</v>
      </c>
      <c r="AM70" s="3">
        <v>0.0</v>
      </c>
      <c r="AN70" s="3">
        <v>0.0</v>
      </c>
      <c r="AO70" s="3">
        <v>0.0</v>
      </c>
    </row>
    <row r="71">
      <c r="A71" s="3" t="s">
        <v>47</v>
      </c>
      <c r="B71" s="3"/>
      <c r="C71" s="3"/>
      <c r="D71" s="3">
        <v>4.0</v>
      </c>
      <c r="E71" s="3">
        <v>4.0</v>
      </c>
      <c r="F71" s="3">
        <v>4.0</v>
      </c>
      <c r="G71" s="3"/>
      <c r="H71" s="3"/>
      <c r="I71" s="3"/>
      <c r="J71" s="3"/>
      <c r="K71" s="3"/>
      <c r="L71" s="3"/>
      <c r="M71" s="3"/>
      <c r="N71" s="3">
        <v>4.0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>
        <v>0.0</v>
      </c>
      <c r="AM71" s="3">
        <v>0.0</v>
      </c>
      <c r="AN71" s="3">
        <v>0.0</v>
      </c>
      <c r="AO71" s="3">
        <v>0.0</v>
      </c>
    </row>
    <row r="72">
      <c r="A72" s="3" t="s">
        <v>48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>
        <v>4.0</v>
      </c>
      <c r="M72" s="3"/>
      <c r="N72" s="3"/>
      <c r="O72" s="3"/>
      <c r="P72" s="3"/>
      <c r="Q72" s="3"/>
      <c r="R72" s="3"/>
      <c r="S72" s="3">
        <v>4.0</v>
      </c>
      <c r="T72" s="3"/>
      <c r="U72" s="3"/>
      <c r="V72" s="3"/>
      <c r="W72" s="3"/>
      <c r="X72" s="3"/>
      <c r="Y72" s="3"/>
      <c r="Z72" s="3"/>
      <c r="AA72" s="3"/>
      <c r="AB72" s="3">
        <v>4.0</v>
      </c>
      <c r="AC72" s="3"/>
      <c r="AD72" s="3"/>
      <c r="AE72" s="3"/>
      <c r="AF72" s="3">
        <v>0.0</v>
      </c>
      <c r="AG72" s="3"/>
      <c r="AH72" s="3"/>
      <c r="AI72" s="3"/>
      <c r="AJ72" s="3"/>
      <c r="AK72" s="3"/>
      <c r="AL72" s="3">
        <v>0.0</v>
      </c>
      <c r="AM72" s="3">
        <v>0.0</v>
      </c>
      <c r="AN72" s="3">
        <v>0.0</v>
      </c>
      <c r="AO72" s="3">
        <v>0.0</v>
      </c>
    </row>
    <row r="73">
      <c r="A73" s="3" t="s">
        <v>49</v>
      </c>
      <c r="B73" s="3"/>
      <c r="C73" s="3"/>
      <c r="D73" s="3">
        <v>4.0</v>
      </c>
      <c r="E73" s="3"/>
      <c r="F73" s="3"/>
      <c r="G73" s="3"/>
      <c r="H73" s="3"/>
      <c r="I73" s="3"/>
      <c r="J73" s="3"/>
      <c r="K73" s="3"/>
      <c r="L73" s="3"/>
      <c r="M73" s="3"/>
      <c r="N73" s="3">
        <v>4.0</v>
      </c>
      <c r="O73" s="3"/>
      <c r="P73" s="3"/>
      <c r="Q73" s="3"/>
      <c r="R73" s="3"/>
      <c r="S73" s="3"/>
      <c r="T73" s="3">
        <v>4.0</v>
      </c>
      <c r="U73" s="3"/>
      <c r="V73" s="3">
        <v>4.0</v>
      </c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>
        <v>0.0</v>
      </c>
      <c r="AM73" s="3">
        <v>0.0</v>
      </c>
      <c r="AN73" s="3">
        <v>0.0</v>
      </c>
      <c r="AO73" s="3">
        <v>0.0</v>
      </c>
    </row>
    <row r="74">
      <c r="A74" s="3" t="s">
        <v>50</v>
      </c>
      <c r="B74" s="3"/>
      <c r="C74" s="3"/>
      <c r="D74" s="3"/>
      <c r="E74" s="3">
        <v>4.0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>
        <v>4.0</v>
      </c>
      <c r="AA74" s="3"/>
      <c r="AB74" s="3"/>
      <c r="AC74" s="3"/>
      <c r="AD74" s="3"/>
      <c r="AE74" s="3"/>
      <c r="AF74" s="3"/>
      <c r="AG74" s="3"/>
      <c r="AH74" s="3">
        <v>4.0</v>
      </c>
      <c r="AI74" s="3"/>
      <c r="AJ74" s="3"/>
      <c r="AK74" s="3"/>
      <c r="AL74" s="3">
        <v>0.0</v>
      </c>
      <c r="AM74" s="3">
        <v>0.0</v>
      </c>
      <c r="AN74" s="3">
        <v>0.0</v>
      </c>
      <c r="AO74" s="3">
        <v>0.0</v>
      </c>
    </row>
    <row r="75">
      <c r="A75" s="3" t="s">
        <v>51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>
        <v>4.0</v>
      </c>
      <c r="O75" s="3"/>
      <c r="P75" s="3"/>
      <c r="Q75" s="3"/>
      <c r="R75" s="3">
        <v>0.0</v>
      </c>
      <c r="S75" s="3">
        <v>4.0</v>
      </c>
      <c r="T75" s="3"/>
      <c r="U75" s="3"/>
      <c r="V75" s="3"/>
      <c r="W75" s="3"/>
      <c r="X75" s="3"/>
      <c r="Y75" s="3"/>
      <c r="Z75" s="3">
        <v>4.0</v>
      </c>
      <c r="AA75" s="3">
        <v>0.0</v>
      </c>
      <c r="AB75" s="3"/>
      <c r="AC75" s="3"/>
      <c r="AD75" s="3">
        <v>-4.0</v>
      </c>
      <c r="AE75" s="3"/>
      <c r="AF75" s="3"/>
      <c r="AG75" s="3"/>
      <c r="AH75" s="3"/>
      <c r="AI75" s="3"/>
      <c r="AJ75" s="3"/>
      <c r="AK75" s="3"/>
      <c r="AL75" s="3">
        <v>0.0</v>
      </c>
      <c r="AM75" s="3">
        <v>0.0</v>
      </c>
      <c r="AN75" s="3">
        <v>0.0</v>
      </c>
      <c r="AO75" s="3">
        <v>0.0</v>
      </c>
    </row>
    <row r="76">
      <c r="B76" s="3" t="b">
        <v>1</v>
      </c>
      <c r="C76" s="3" t="b">
        <v>1</v>
      </c>
      <c r="D76" s="3" t="b">
        <v>1</v>
      </c>
      <c r="E76" s="3" t="b">
        <v>1</v>
      </c>
      <c r="F76" s="3" t="b">
        <v>1</v>
      </c>
      <c r="G76" s="3" t="b">
        <v>1</v>
      </c>
      <c r="H76" s="3" t="b">
        <v>1</v>
      </c>
      <c r="I76" s="3" t="b">
        <v>1</v>
      </c>
      <c r="J76" s="3" t="b">
        <v>1</v>
      </c>
      <c r="K76" s="3" t="b">
        <v>1</v>
      </c>
      <c r="L76" s="3" t="b">
        <v>1</v>
      </c>
      <c r="M76" s="3" t="b">
        <v>1</v>
      </c>
      <c r="N76" s="3" t="b">
        <v>1</v>
      </c>
      <c r="O76" s="3" t="b">
        <v>1</v>
      </c>
      <c r="P76" s="3" t="b">
        <v>1</v>
      </c>
      <c r="Q76" s="3" t="b">
        <v>1</v>
      </c>
      <c r="R76" s="3" t="b">
        <v>1</v>
      </c>
      <c r="S76" s="3" t="b">
        <v>1</v>
      </c>
      <c r="T76" s="3" t="b">
        <v>1</v>
      </c>
      <c r="U76" s="3" t="b">
        <v>1</v>
      </c>
      <c r="V76" s="3" t="b">
        <v>1</v>
      </c>
      <c r="W76" s="3" t="b">
        <v>1</v>
      </c>
      <c r="X76" s="3" t="b">
        <v>1</v>
      </c>
      <c r="Y76" s="3" t="b">
        <v>1</v>
      </c>
      <c r="Z76" s="3" t="b">
        <v>1</v>
      </c>
      <c r="AA76" s="3" t="b">
        <v>1</v>
      </c>
      <c r="AB76" s="3" t="b">
        <v>1</v>
      </c>
      <c r="AC76" s="3" t="b">
        <v>1</v>
      </c>
      <c r="AD76" s="3" t="b">
        <v>1</v>
      </c>
      <c r="AE76" s="3" t="b">
        <v>1</v>
      </c>
      <c r="AF76" s="3" t="b">
        <v>1</v>
      </c>
      <c r="AG76" s="3" t="b">
        <v>1</v>
      </c>
      <c r="AH76" s="3" t="b">
        <v>1</v>
      </c>
      <c r="AI76" s="3" t="b">
        <v>1</v>
      </c>
      <c r="AJ76" s="3" t="b">
        <v>1</v>
      </c>
      <c r="AK76" s="3" t="b">
        <v>1</v>
      </c>
      <c r="AL76" s="3" t="b">
        <v>0</v>
      </c>
      <c r="AM76" s="3" t="b">
        <v>0</v>
      </c>
      <c r="AN76" s="3" t="b">
        <v>0</v>
      </c>
      <c r="AO76" s="3" t="b">
        <v>0</v>
      </c>
    </row>
    <row r="77">
      <c r="A77" s="3" t="s">
        <v>46</v>
      </c>
      <c r="B77" s="3"/>
      <c r="C77" s="3"/>
      <c r="D77" s="3"/>
      <c r="E77" s="3">
        <v>-4.0</v>
      </c>
      <c r="F77" s="3"/>
      <c r="G77" s="3"/>
      <c r="H77" s="3">
        <v>-4.0</v>
      </c>
      <c r="I77" s="3"/>
      <c r="J77" s="3"/>
      <c r="K77" s="3"/>
      <c r="L77" s="3">
        <v>4.0</v>
      </c>
      <c r="M77" s="3">
        <v>4.0</v>
      </c>
      <c r="N77" s="3">
        <v>4.0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>
        <v>4.0</v>
      </c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>
        <v>0.0</v>
      </c>
      <c r="AM77" s="3">
        <v>0.0</v>
      </c>
      <c r="AN77" s="3">
        <v>0.0</v>
      </c>
      <c r="AO77" s="3">
        <v>0.0</v>
      </c>
    </row>
    <row r="78">
      <c r="A78" s="3" t="s">
        <v>47</v>
      </c>
      <c r="B78" s="3"/>
      <c r="C78" s="3"/>
      <c r="D78" s="3">
        <v>4.0</v>
      </c>
      <c r="E78" s="3">
        <v>4.0</v>
      </c>
      <c r="F78" s="3">
        <v>4.0</v>
      </c>
      <c r="G78" s="3"/>
      <c r="H78" s="3"/>
      <c r="I78" s="3"/>
      <c r="J78" s="3"/>
      <c r="K78" s="3"/>
      <c r="L78" s="3"/>
      <c r="M78" s="3"/>
      <c r="N78" s="3"/>
      <c r="O78" s="3">
        <v>-4.0</v>
      </c>
      <c r="P78" s="3"/>
      <c r="Q78" s="3"/>
      <c r="R78" s="3">
        <v>0.0</v>
      </c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>
        <v>4.0</v>
      </c>
      <c r="AJ78" s="3"/>
      <c r="AK78" s="3"/>
      <c r="AL78" s="3">
        <v>0.0</v>
      </c>
      <c r="AM78" s="3">
        <v>0.0</v>
      </c>
      <c r="AN78" s="3">
        <v>0.0</v>
      </c>
      <c r="AO78" s="3">
        <v>0.0</v>
      </c>
    </row>
    <row r="79">
      <c r="A79" s="3" t="s">
        <v>48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>
        <v>4.0</v>
      </c>
      <c r="M79" s="3"/>
      <c r="N79" s="3"/>
      <c r="O79" s="3">
        <v>4.0</v>
      </c>
      <c r="P79" s="3"/>
      <c r="Q79" s="3"/>
      <c r="R79" s="3"/>
      <c r="S79" s="3">
        <v>0.0</v>
      </c>
      <c r="T79" s="3"/>
      <c r="U79" s="3"/>
      <c r="V79" s="3"/>
      <c r="W79" s="3"/>
      <c r="X79" s="3"/>
      <c r="Y79" s="3"/>
      <c r="Z79" s="3">
        <v>4.0</v>
      </c>
      <c r="AA79" s="3"/>
      <c r="AB79" s="3"/>
      <c r="AC79" s="3"/>
      <c r="AD79" s="3">
        <v>-4.0</v>
      </c>
      <c r="AE79" s="3"/>
      <c r="AF79" s="3"/>
      <c r="AG79" s="3"/>
      <c r="AH79" s="3"/>
      <c r="AI79" s="3"/>
      <c r="AJ79" s="3">
        <v>0.0</v>
      </c>
      <c r="AK79" s="3"/>
      <c r="AL79" s="3">
        <v>0.0</v>
      </c>
      <c r="AM79" s="3">
        <v>0.0</v>
      </c>
      <c r="AN79" s="3">
        <v>0.0</v>
      </c>
      <c r="AO79" s="3">
        <v>0.0</v>
      </c>
    </row>
    <row r="80">
      <c r="A80" s="3" t="s">
        <v>49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>
        <v>4.0</v>
      </c>
      <c r="O80" s="3"/>
      <c r="P80" s="3"/>
      <c r="Q80" s="3"/>
      <c r="R80" s="3"/>
      <c r="S80" s="3">
        <v>4.0</v>
      </c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>
        <v>4.0</v>
      </c>
      <c r="AH80" s="3"/>
      <c r="AI80" s="3"/>
      <c r="AJ80" s="3"/>
      <c r="AK80" s="3"/>
      <c r="AL80" s="3">
        <v>0.0</v>
      </c>
      <c r="AM80" s="3">
        <v>0.0</v>
      </c>
      <c r="AN80" s="3">
        <v>0.0</v>
      </c>
      <c r="AO80" s="3">
        <v>0.0</v>
      </c>
    </row>
    <row r="81">
      <c r="A81" s="3" t="s">
        <v>50</v>
      </c>
      <c r="B81" s="3"/>
      <c r="C81" s="3">
        <v>4.0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>
        <v>4.0</v>
      </c>
      <c r="O81" s="3"/>
      <c r="P81" s="3"/>
      <c r="Q81" s="3"/>
      <c r="R81" s="3"/>
      <c r="S81" s="3"/>
      <c r="T81" s="3"/>
      <c r="U81" s="3"/>
      <c r="V81" s="3"/>
      <c r="W81" s="3"/>
      <c r="X81" s="3">
        <v>4.0</v>
      </c>
      <c r="Y81" s="3">
        <v>4.0</v>
      </c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>
        <v>0.0</v>
      </c>
      <c r="AM81" s="3">
        <v>0.0</v>
      </c>
      <c r="AN81" s="3">
        <v>0.0</v>
      </c>
      <c r="AO81" s="3">
        <v>0.0</v>
      </c>
    </row>
    <row r="82">
      <c r="A82" s="3" t="s">
        <v>51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>
        <v>4.0</v>
      </c>
      <c r="M82" s="3"/>
      <c r="N82" s="3">
        <v>4.0</v>
      </c>
      <c r="O82" s="3"/>
      <c r="P82" s="3"/>
      <c r="Q82" s="3"/>
      <c r="R82" s="3">
        <v>0.0</v>
      </c>
      <c r="S82" s="3">
        <v>0.0</v>
      </c>
      <c r="T82" s="3">
        <v>4.0</v>
      </c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>
        <v>0.0</v>
      </c>
      <c r="AM82" s="3">
        <v>0.0</v>
      </c>
      <c r="AN82" s="3">
        <v>0.0</v>
      </c>
      <c r="AO82" s="3">
        <v>0.0</v>
      </c>
    </row>
    <row r="83">
      <c r="A83" s="3" t="s">
        <v>46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>
        <v>4.0</v>
      </c>
      <c r="M83" s="3"/>
      <c r="N83" s="3"/>
      <c r="O83" s="3"/>
      <c r="P83" s="3"/>
      <c r="Q83" s="3"/>
      <c r="R83" s="3"/>
      <c r="S83" s="3">
        <v>4.0</v>
      </c>
      <c r="T83" s="3">
        <v>4.0</v>
      </c>
      <c r="U83" s="3"/>
      <c r="V83" s="3"/>
      <c r="W83" s="3"/>
      <c r="X83" s="3"/>
      <c r="Y83" s="3"/>
      <c r="Z83" s="3"/>
      <c r="AA83" s="3"/>
      <c r="AB83" s="3">
        <v>-4.0</v>
      </c>
      <c r="AC83" s="3"/>
      <c r="AD83" s="3"/>
      <c r="AE83" s="3"/>
      <c r="AF83" s="3"/>
      <c r="AG83" s="3"/>
      <c r="AH83" s="3"/>
      <c r="AI83" s="3">
        <v>4.0</v>
      </c>
      <c r="AJ83" s="3"/>
      <c r="AK83" s="3"/>
      <c r="AL83" s="3">
        <v>0.0</v>
      </c>
      <c r="AM83" s="3">
        <v>0.0</v>
      </c>
      <c r="AN83" s="3">
        <v>0.0</v>
      </c>
      <c r="AO83" s="3">
        <v>0.0</v>
      </c>
    </row>
    <row r="84">
      <c r="A84" s="3" t="s">
        <v>47</v>
      </c>
      <c r="B84" s="3"/>
      <c r="C84" s="3"/>
      <c r="D84" s="3"/>
      <c r="E84" s="3"/>
      <c r="F84" s="3">
        <v>4.0</v>
      </c>
      <c r="G84" s="3"/>
      <c r="H84" s="3"/>
      <c r="I84" s="3"/>
      <c r="J84" s="3"/>
      <c r="K84" s="3"/>
      <c r="L84" s="3">
        <v>4.0</v>
      </c>
      <c r="M84" s="3"/>
      <c r="N84" s="3"/>
      <c r="O84" s="3">
        <v>4.0</v>
      </c>
      <c r="P84" s="3"/>
      <c r="Q84" s="3"/>
      <c r="R84" s="3"/>
      <c r="S84" s="3">
        <v>4.0</v>
      </c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>
        <v>0.0</v>
      </c>
      <c r="AM84" s="3">
        <v>0.0</v>
      </c>
      <c r="AN84" s="3">
        <v>0.0</v>
      </c>
      <c r="AO84" s="3">
        <v>0.0</v>
      </c>
    </row>
    <row r="85">
      <c r="A85" s="3" t="s">
        <v>48</v>
      </c>
      <c r="B85" s="3"/>
      <c r="C85" s="3"/>
      <c r="D85" s="3"/>
      <c r="E85" s="3">
        <v>-4.0</v>
      </c>
      <c r="F85" s="3"/>
      <c r="G85" s="3"/>
      <c r="H85" s="3"/>
      <c r="I85" s="3"/>
      <c r="J85" s="3"/>
      <c r="K85" s="3"/>
      <c r="L85" s="3">
        <v>0.0</v>
      </c>
      <c r="M85" s="3"/>
      <c r="N85" s="3"/>
      <c r="O85" s="3"/>
      <c r="P85" s="3"/>
      <c r="Q85" s="3"/>
      <c r="R85" s="3"/>
      <c r="S85" s="3">
        <v>0.0</v>
      </c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>
        <v>0.0</v>
      </c>
      <c r="AK85" s="3">
        <v>4.0</v>
      </c>
      <c r="AL85" s="3">
        <v>0.0</v>
      </c>
      <c r="AM85" s="3">
        <v>0.0</v>
      </c>
      <c r="AN85" s="3">
        <v>0.0</v>
      </c>
      <c r="AO85" s="3">
        <v>0.0</v>
      </c>
    </row>
    <row r="86">
      <c r="A86" s="3" t="s">
        <v>49</v>
      </c>
      <c r="B86" s="3"/>
      <c r="C86" s="3">
        <v>4.0</v>
      </c>
      <c r="D86" s="3"/>
      <c r="E86" s="3">
        <v>-4.0</v>
      </c>
      <c r="F86" s="3"/>
      <c r="G86" s="3"/>
      <c r="H86" s="3">
        <v>4.0</v>
      </c>
      <c r="I86" s="3"/>
      <c r="J86" s="3"/>
      <c r="K86" s="3"/>
      <c r="L86" s="3"/>
      <c r="M86" s="3"/>
      <c r="N86" s="3"/>
      <c r="O86" s="3">
        <v>4.0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>
        <v>4.0</v>
      </c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>
        <v>0.0</v>
      </c>
      <c r="AM86" s="3">
        <v>0.0</v>
      </c>
      <c r="AN86" s="3">
        <v>0.0</v>
      </c>
      <c r="AO86" s="3">
        <v>0.0</v>
      </c>
    </row>
    <row r="87">
      <c r="A87" s="3" t="s">
        <v>50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>
        <v>0.0</v>
      </c>
      <c r="T87" s="3"/>
      <c r="U87" s="3"/>
      <c r="V87" s="3"/>
      <c r="W87" s="3"/>
      <c r="X87" s="3">
        <v>4.0</v>
      </c>
      <c r="Y87" s="3"/>
      <c r="Z87" s="3"/>
      <c r="AA87" s="3"/>
      <c r="AB87" s="3"/>
      <c r="AC87" s="3">
        <v>4.0</v>
      </c>
      <c r="AD87" s="3"/>
      <c r="AE87" s="3"/>
      <c r="AF87" s="3"/>
      <c r="AG87" s="3"/>
      <c r="AH87" s="3"/>
      <c r="AI87" s="3"/>
      <c r="AJ87" s="3">
        <v>4.0</v>
      </c>
      <c r="AK87" s="3"/>
      <c r="AL87" s="3">
        <v>0.0</v>
      </c>
      <c r="AM87" s="3">
        <v>0.0</v>
      </c>
      <c r="AN87" s="3">
        <v>0.0</v>
      </c>
      <c r="AO87" s="3">
        <v>0.0</v>
      </c>
    </row>
    <row r="88">
      <c r="A88" s="3" t="s">
        <v>51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>
        <v>4.0</v>
      </c>
      <c r="M88" s="3"/>
      <c r="N88" s="3">
        <v>4.0</v>
      </c>
      <c r="O88" s="3"/>
      <c r="P88" s="3"/>
      <c r="Q88" s="3"/>
      <c r="R88" s="3"/>
      <c r="S88" s="3">
        <v>4.0</v>
      </c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>
        <v>0.0</v>
      </c>
      <c r="AM88" s="3">
        <v>0.0</v>
      </c>
      <c r="AN88" s="3">
        <v>0.0</v>
      </c>
      <c r="AO88" s="3">
        <v>0.0</v>
      </c>
    </row>
    <row r="89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</row>
    <row r="90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>
      <c r="B91" s="3" t="str">
        <f t="array" ref="B91:AO120">transpose(sort(transpose(All!B91:AO120),2,true))</f>
        <v>Middleton C</v>
      </c>
      <c r="C91" s="3" t="s">
        <v>0</v>
      </c>
      <c r="D91" s="3" t="s">
        <v>5</v>
      </c>
      <c r="E91" s="3" t="s">
        <v>2</v>
      </c>
      <c r="F91" s="3" t="s">
        <v>3</v>
      </c>
      <c r="G91" s="3" t="s">
        <v>4</v>
      </c>
      <c r="H91" s="3" t="s">
        <v>5</v>
      </c>
      <c r="I91" s="3" t="s">
        <v>0</v>
      </c>
      <c r="J91" s="3" t="s">
        <v>3</v>
      </c>
      <c r="K91" s="3" t="s">
        <v>2</v>
      </c>
      <c r="L91" s="3" t="s">
        <v>1</v>
      </c>
      <c r="M91" s="3" t="s">
        <v>7</v>
      </c>
      <c r="N91" s="3" t="s">
        <v>4</v>
      </c>
      <c r="O91" s="3" t="s">
        <v>4</v>
      </c>
      <c r="P91" s="3" t="s">
        <v>6</v>
      </c>
      <c r="Q91" s="3" t="s">
        <v>7</v>
      </c>
      <c r="R91" s="3" t="s">
        <v>7</v>
      </c>
      <c r="S91" s="3" t="s">
        <v>5</v>
      </c>
      <c r="T91" s="3" t="s">
        <v>3</v>
      </c>
      <c r="U91" s="3" t="s">
        <v>0</v>
      </c>
      <c r="V91" s="3" t="s">
        <v>1</v>
      </c>
      <c r="W91" s="3" t="s">
        <v>4</v>
      </c>
      <c r="X91" s="3" t="s">
        <v>1</v>
      </c>
      <c r="Y91" s="3" t="s">
        <v>5</v>
      </c>
      <c r="Z91" s="3" t="s">
        <v>0</v>
      </c>
      <c r="AA91" s="3" t="s">
        <v>1</v>
      </c>
      <c r="AB91" s="3" t="s">
        <v>4</v>
      </c>
      <c r="AC91" s="3" t="s">
        <v>0</v>
      </c>
      <c r="AD91" s="3" t="s">
        <v>2</v>
      </c>
      <c r="AE91" s="3" t="s">
        <v>3</v>
      </c>
      <c r="AF91" s="3" t="s">
        <v>6</v>
      </c>
      <c r="AG91" s="3" t="s">
        <v>3</v>
      </c>
      <c r="AH91" s="3" t="s">
        <v>5</v>
      </c>
      <c r="AI91" s="3" t="s">
        <v>6</v>
      </c>
      <c r="AJ91" s="3" t="s">
        <v>7</v>
      </c>
      <c r="AK91" s="3" t="s">
        <v>6</v>
      </c>
      <c r="AL91" s="3" t="s">
        <v>1</v>
      </c>
      <c r="AM91" s="3" t="s">
        <v>7</v>
      </c>
      <c r="AN91" s="3" t="s">
        <v>2</v>
      </c>
      <c r="AO91" s="3" t="s">
        <v>6</v>
      </c>
    </row>
    <row r="92">
      <c r="B92" s="3" t="s">
        <v>20</v>
      </c>
      <c r="C92" s="3" t="s">
        <v>14</v>
      </c>
      <c r="D92" s="3" t="s">
        <v>36</v>
      </c>
      <c r="E92" s="3" t="s">
        <v>22</v>
      </c>
      <c r="F92" s="3" t="s">
        <v>23</v>
      </c>
      <c r="G92" s="3" t="s">
        <v>31</v>
      </c>
      <c r="H92" s="3" t="s">
        <v>34</v>
      </c>
      <c r="I92" s="3" t="s">
        <v>12</v>
      </c>
      <c r="J92" s="3" t="s">
        <v>24</v>
      </c>
      <c r="K92" s="3" t="s">
        <v>19</v>
      </c>
      <c r="L92" s="3" t="s">
        <v>15</v>
      </c>
      <c r="M92" s="3" t="s">
        <v>45</v>
      </c>
      <c r="N92" s="3" t="s">
        <v>29</v>
      </c>
      <c r="O92" s="3" t="s">
        <v>28</v>
      </c>
      <c r="P92" s="3" t="s">
        <v>38</v>
      </c>
      <c r="Q92" s="3" t="s">
        <v>44</v>
      </c>
      <c r="R92" s="3" t="s">
        <v>42</v>
      </c>
      <c r="S92" s="3" t="s">
        <v>35</v>
      </c>
      <c r="T92" s="3" t="s">
        <v>25</v>
      </c>
      <c r="U92" s="3" t="s">
        <v>10</v>
      </c>
      <c r="V92" s="3" t="s">
        <v>16</v>
      </c>
      <c r="W92" s="3" t="s">
        <v>32</v>
      </c>
      <c r="X92" s="3" t="s">
        <v>18</v>
      </c>
      <c r="Y92" s="3" t="s">
        <v>37</v>
      </c>
      <c r="Z92" s="3" t="s">
        <v>11</v>
      </c>
      <c r="AA92" s="3" t="s">
        <v>17</v>
      </c>
      <c r="AB92" s="3" t="s">
        <v>30</v>
      </c>
      <c r="AC92" s="3" t="s">
        <v>13</v>
      </c>
      <c r="AD92" s="3" t="s">
        <v>21</v>
      </c>
      <c r="AE92" s="3" t="s">
        <v>27</v>
      </c>
      <c r="AF92" s="3" t="s">
        <v>40</v>
      </c>
      <c r="AG92" s="3" t="s">
        <v>26</v>
      </c>
      <c r="AH92" s="3" t="s">
        <v>33</v>
      </c>
      <c r="AI92" s="3" t="s">
        <v>39</v>
      </c>
      <c r="AJ92" s="3" t="s">
        <v>43</v>
      </c>
      <c r="AK92" s="3" t="s">
        <v>41</v>
      </c>
      <c r="AL92" s="3"/>
      <c r="AM92" s="3"/>
      <c r="AN92" s="3"/>
      <c r="AO92" s="3"/>
    </row>
    <row r="93">
      <c r="B93" s="3" t="b">
        <v>1</v>
      </c>
      <c r="C93" s="3" t="b">
        <v>1</v>
      </c>
      <c r="D93" s="3" t="b">
        <v>1</v>
      </c>
      <c r="E93" s="3" t="b">
        <v>1</v>
      </c>
      <c r="F93" s="3" t="b">
        <v>1</v>
      </c>
      <c r="G93" s="3" t="b">
        <v>1</v>
      </c>
      <c r="H93" s="3" t="b">
        <v>1</v>
      </c>
      <c r="I93" s="3" t="b">
        <v>1</v>
      </c>
      <c r="J93" s="3" t="b">
        <v>1</v>
      </c>
      <c r="K93" s="3" t="b">
        <v>1</v>
      </c>
      <c r="L93" s="3" t="b">
        <v>1</v>
      </c>
      <c r="M93" s="3" t="b">
        <v>1</v>
      </c>
      <c r="N93" s="3" t="b">
        <v>1</v>
      </c>
      <c r="O93" s="3" t="b">
        <v>1</v>
      </c>
      <c r="P93" s="3" t="b">
        <v>1</v>
      </c>
      <c r="Q93" s="3" t="b">
        <v>1</v>
      </c>
      <c r="R93" s="3" t="b">
        <v>1</v>
      </c>
      <c r="S93" s="3" t="b">
        <v>1</v>
      </c>
      <c r="T93" s="3" t="b">
        <v>1</v>
      </c>
      <c r="U93" s="3" t="b">
        <v>1</v>
      </c>
      <c r="V93" s="3" t="b">
        <v>1</v>
      </c>
      <c r="W93" s="3" t="b">
        <v>1</v>
      </c>
      <c r="X93" s="3" t="b">
        <v>1</v>
      </c>
      <c r="Y93" s="3" t="b">
        <v>1</v>
      </c>
      <c r="Z93" s="3" t="b">
        <v>1</v>
      </c>
      <c r="AA93" s="3" t="b">
        <v>1</v>
      </c>
      <c r="AB93" s="3" t="b">
        <v>1</v>
      </c>
      <c r="AC93" s="3" t="b">
        <v>1</v>
      </c>
      <c r="AD93" s="3" t="b">
        <v>1</v>
      </c>
      <c r="AE93" s="3" t="b">
        <v>1</v>
      </c>
      <c r="AF93" s="3" t="b">
        <v>1</v>
      </c>
      <c r="AG93" s="3" t="b">
        <v>1</v>
      </c>
      <c r="AH93" s="3" t="b">
        <v>1</v>
      </c>
      <c r="AI93" s="3" t="b">
        <v>1</v>
      </c>
      <c r="AJ93" s="3" t="b">
        <v>1</v>
      </c>
      <c r="AK93" s="3" t="b">
        <v>1</v>
      </c>
      <c r="AL93" s="3" t="b">
        <v>0</v>
      </c>
      <c r="AM93" s="3" t="b">
        <v>0</v>
      </c>
      <c r="AN93" s="3" t="b">
        <v>0</v>
      </c>
      <c r="AO93" s="3" t="b">
        <v>0</v>
      </c>
    </row>
    <row r="94">
      <c r="A94" s="3" t="s">
        <v>46</v>
      </c>
      <c r="B94" s="3"/>
      <c r="C94" s="3"/>
      <c r="D94" s="3"/>
      <c r="E94" s="3"/>
      <c r="F94" s="3"/>
      <c r="G94" s="3"/>
      <c r="H94" s="3"/>
      <c r="I94" s="3"/>
      <c r="J94" s="3">
        <v>4.0</v>
      </c>
      <c r="K94" s="3"/>
      <c r="L94" s="3"/>
      <c r="M94" s="3"/>
      <c r="N94" s="3"/>
      <c r="O94" s="3"/>
      <c r="P94" s="3"/>
      <c r="Q94" s="3"/>
      <c r="R94" s="3">
        <v>4.0</v>
      </c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>
        <v>0.0</v>
      </c>
      <c r="AM94" s="3">
        <v>0.0</v>
      </c>
      <c r="AN94" s="3">
        <v>0.0</v>
      </c>
      <c r="AO94" s="3">
        <v>0.0</v>
      </c>
    </row>
    <row r="95">
      <c r="A95" s="3" t="s">
        <v>47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>
        <v>4.0</v>
      </c>
      <c r="M95" s="3"/>
      <c r="N95" s="3">
        <v>4.0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>
        <v>4.0</v>
      </c>
      <c r="AJ95" s="3"/>
      <c r="AK95" s="3"/>
      <c r="AL95" s="3">
        <v>0.0</v>
      </c>
      <c r="AM95" s="3">
        <v>0.0</v>
      </c>
      <c r="AN95" s="3">
        <v>0.0</v>
      </c>
      <c r="AO95" s="3">
        <v>0.0</v>
      </c>
    </row>
    <row r="96">
      <c r="A96" s="3" t="s">
        <v>48</v>
      </c>
      <c r="B96" s="3"/>
      <c r="C96" s="3"/>
      <c r="D96" s="3"/>
      <c r="E96" s="3"/>
      <c r="F96" s="3"/>
      <c r="G96" s="3"/>
      <c r="H96" s="3"/>
      <c r="I96" s="3"/>
      <c r="J96" s="3">
        <v>-4.0</v>
      </c>
      <c r="K96" s="3"/>
      <c r="L96" s="3"/>
      <c r="M96" s="3"/>
      <c r="N96" s="3">
        <v>4.0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>
        <v>-4.0</v>
      </c>
      <c r="AB96" s="3"/>
      <c r="AC96" s="3"/>
      <c r="AD96" s="3"/>
      <c r="AE96" s="3"/>
      <c r="AF96" s="3"/>
      <c r="AG96" s="3"/>
      <c r="AH96" s="3">
        <v>4.0</v>
      </c>
      <c r="AI96" s="3"/>
      <c r="AJ96" s="3"/>
      <c r="AK96" s="3">
        <v>4.0</v>
      </c>
      <c r="AL96" s="3">
        <v>0.0</v>
      </c>
      <c r="AM96" s="3">
        <v>0.0</v>
      </c>
      <c r="AN96" s="3">
        <v>0.0</v>
      </c>
      <c r="AO96" s="3">
        <v>0.0</v>
      </c>
    </row>
    <row r="97">
      <c r="A97" s="3" t="s">
        <v>49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>
        <v>-4.0</v>
      </c>
      <c r="M97" s="3"/>
      <c r="N97" s="3">
        <v>4.0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>
        <v>4.0</v>
      </c>
      <c r="AE97" s="3"/>
      <c r="AF97" s="3"/>
      <c r="AG97" s="3"/>
      <c r="AH97" s="3"/>
      <c r="AI97" s="3"/>
      <c r="AJ97" s="3"/>
      <c r="AK97" s="3">
        <v>4.0</v>
      </c>
      <c r="AL97" s="3">
        <v>0.0</v>
      </c>
      <c r="AM97" s="3">
        <v>0.0</v>
      </c>
      <c r="AN97" s="3">
        <v>0.0</v>
      </c>
      <c r="AO97" s="3">
        <v>0.0</v>
      </c>
    </row>
    <row r="98">
      <c r="A98" s="3" t="s">
        <v>50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>
        <v>4.0</v>
      </c>
      <c r="Y98" s="3"/>
      <c r="Z98" s="3"/>
      <c r="AA98" s="3"/>
      <c r="AB98" s="3">
        <v>4.0</v>
      </c>
      <c r="AC98" s="3"/>
      <c r="AD98" s="3"/>
      <c r="AE98" s="3"/>
      <c r="AF98" s="3"/>
      <c r="AG98" s="3"/>
      <c r="AH98" s="3"/>
      <c r="AI98" s="3"/>
      <c r="AJ98" s="3"/>
      <c r="AK98" s="3"/>
      <c r="AL98" s="3">
        <v>0.0</v>
      </c>
      <c r="AM98" s="3">
        <v>0.0</v>
      </c>
      <c r="AN98" s="3">
        <v>0.0</v>
      </c>
      <c r="AO98" s="3">
        <v>0.0</v>
      </c>
    </row>
    <row r="99">
      <c r="A99" s="3" t="s">
        <v>51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>
        <v>4.0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>
        <v>0.0</v>
      </c>
      <c r="AM99" s="3">
        <v>0.0</v>
      </c>
      <c r="AN99" s="3">
        <v>0.0</v>
      </c>
      <c r="AO99" s="3">
        <v>0.0</v>
      </c>
    </row>
    <row r="100">
      <c r="A100" s="3" t="s">
        <v>46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>
        <v>-4.0</v>
      </c>
      <c r="M100" s="3"/>
      <c r="N100" s="3">
        <v>4.0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>
        <v>-4.0</v>
      </c>
      <c r="AE100" s="3"/>
      <c r="AF100" s="3"/>
      <c r="AG100" s="3"/>
      <c r="AH100" s="3"/>
      <c r="AI100" s="3"/>
      <c r="AJ100" s="3">
        <v>4.0</v>
      </c>
      <c r="AK100" s="3">
        <v>4.0</v>
      </c>
      <c r="AL100" s="3">
        <v>0.0</v>
      </c>
      <c r="AM100" s="3">
        <v>0.0</v>
      </c>
      <c r="AN100" s="3">
        <v>0.0</v>
      </c>
      <c r="AO100" s="3">
        <v>0.0</v>
      </c>
    </row>
    <row r="101">
      <c r="A101" s="3" t="s">
        <v>47</v>
      </c>
      <c r="B101" s="3"/>
      <c r="C101" s="3"/>
      <c r="D101" s="3"/>
      <c r="E101" s="3">
        <v>4.0</v>
      </c>
      <c r="F101" s="3"/>
      <c r="G101" s="3"/>
      <c r="H101" s="3"/>
      <c r="I101" s="3">
        <v>4.0</v>
      </c>
      <c r="J101" s="3"/>
      <c r="K101" s="3"/>
      <c r="L101" s="3"/>
      <c r="M101" s="3"/>
      <c r="N101" s="3">
        <v>4.0</v>
      </c>
      <c r="O101" s="3"/>
      <c r="P101" s="3"/>
      <c r="Q101" s="3"/>
      <c r="R101" s="3"/>
      <c r="S101" s="3"/>
      <c r="T101" s="3"/>
      <c r="U101" s="3"/>
      <c r="V101" s="3">
        <v>4.0</v>
      </c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>
        <v>0.0</v>
      </c>
      <c r="AM101" s="3">
        <v>0.0</v>
      </c>
      <c r="AN101" s="3">
        <v>0.0</v>
      </c>
      <c r="AO101" s="3">
        <v>0.0</v>
      </c>
    </row>
    <row r="102">
      <c r="A102" s="3" t="s">
        <v>48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>
        <v>4.0</v>
      </c>
      <c r="M102" s="3"/>
      <c r="N102" s="3">
        <v>4.0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>
        <v>0.0</v>
      </c>
      <c r="AM102" s="3">
        <v>0.0</v>
      </c>
      <c r="AN102" s="3">
        <v>0.0</v>
      </c>
      <c r="AO102" s="3">
        <v>0.0</v>
      </c>
    </row>
    <row r="103">
      <c r="A103" s="3" t="s">
        <v>49</v>
      </c>
      <c r="B103" s="3"/>
      <c r="C103" s="3"/>
      <c r="D103" s="3">
        <v>4.0</v>
      </c>
      <c r="E103" s="3"/>
      <c r="F103" s="3"/>
      <c r="G103" s="3"/>
      <c r="H103" s="3"/>
      <c r="I103" s="3"/>
      <c r="J103" s="3"/>
      <c r="K103" s="3"/>
      <c r="L103" s="3"/>
      <c r="M103" s="3"/>
      <c r="N103" s="3">
        <v>4.0</v>
      </c>
      <c r="O103" s="3"/>
      <c r="P103" s="3"/>
      <c r="Q103" s="3"/>
      <c r="R103" s="3">
        <v>4.0</v>
      </c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>
        <v>4.0</v>
      </c>
      <c r="AL103" s="3">
        <v>0.0</v>
      </c>
      <c r="AM103" s="3">
        <v>0.0</v>
      </c>
      <c r="AN103" s="3">
        <v>0.0</v>
      </c>
      <c r="AO103" s="3">
        <v>0.0</v>
      </c>
    </row>
    <row r="104">
      <c r="A104" s="3" t="s">
        <v>50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>
        <v>4.0</v>
      </c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>
        <v>0.0</v>
      </c>
      <c r="AM104" s="3">
        <v>0.0</v>
      </c>
      <c r="AN104" s="3">
        <v>0.0</v>
      </c>
      <c r="AO104" s="3">
        <v>0.0</v>
      </c>
    </row>
    <row r="105">
      <c r="A105" s="3" t="s">
        <v>51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>
        <v>4.0</v>
      </c>
      <c r="O105" s="3"/>
      <c r="P105" s="3"/>
      <c r="Q105" s="3"/>
      <c r="R105" s="3">
        <v>4.0</v>
      </c>
      <c r="S105" s="3"/>
      <c r="T105" s="3"/>
      <c r="U105" s="3"/>
      <c r="V105" s="3">
        <v>4.0</v>
      </c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>
        <v>0.0</v>
      </c>
      <c r="AM105" s="3">
        <v>0.0</v>
      </c>
      <c r="AN105" s="3">
        <v>0.0</v>
      </c>
      <c r="AO105" s="3">
        <v>0.0</v>
      </c>
    </row>
    <row r="106">
      <c r="B106" s="3" t="b">
        <v>1</v>
      </c>
      <c r="C106" s="3" t="b">
        <v>1</v>
      </c>
      <c r="D106" s="3" t="b">
        <v>1</v>
      </c>
      <c r="E106" s="3" t="b">
        <v>1</v>
      </c>
      <c r="F106" s="3" t="b">
        <v>1</v>
      </c>
      <c r="G106" s="3" t="b">
        <v>1</v>
      </c>
      <c r="H106" s="3" t="b">
        <v>1</v>
      </c>
      <c r="I106" s="3" t="b">
        <v>1</v>
      </c>
      <c r="J106" s="3" t="b">
        <v>1</v>
      </c>
      <c r="K106" s="3" t="b">
        <v>1</v>
      </c>
      <c r="L106" s="3" t="b">
        <v>1</v>
      </c>
      <c r="M106" s="3" t="b">
        <v>1</v>
      </c>
      <c r="N106" s="3" t="b">
        <v>1</v>
      </c>
      <c r="O106" s="3" t="b">
        <v>1</v>
      </c>
      <c r="P106" s="3" t="b">
        <v>1</v>
      </c>
      <c r="Q106" s="3" t="b">
        <v>1</v>
      </c>
      <c r="R106" s="3" t="b">
        <v>1</v>
      </c>
      <c r="S106" s="3" t="b">
        <v>1</v>
      </c>
      <c r="T106" s="3" t="b">
        <v>1</v>
      </c>
      <c r="U106" s="3" t="b">
        <v>1</v>
      </c>
      <c r="V106" s="3" t="b">
        <v>1</v>
      </c>
      <c r="W106" s="3" t="b">
        <v>1</v>
      </c>
      <c r="X106" s="3" t="b">
        <v>1</v>
      </c>
      <c r="Y106" s="3" t="b">
        <v>1</v>
      </c>
      <c r="Z106" s="3" t="b">
        <v>1</v>
      </c>
      <c r="AA106" s="3" t="b">
        <v>1</v>
      </c>
      <c r="AB106" s="3" t="b">
        <v>1</v>
      </c>
      <c r="AC106" s="3" t="b">
        <v>1</v>
      </c>
      <c r="AD106" s="3" t="b">
        <v>1</v>
      </c>
      <c r="AE106" s="3" t="b">
        <v>1</v>
      </c>
      <c r="AF106" s="3" t="b">
        <v>1</v>
      </c>
      <c r="AG106" s="3" t="b">
        <v>1</v>
      </c>
      <c r="AH106" s="3" t="b">
        <v>1</v>
      </c>
      <c r="AI106" s="3" t="b">
        <v>1</v>
      </c>
      <c r="AJ106" s="3" t="b">
        <v>1</v>
      </c>
      <c r="AK106" s="3" t="b">
        <v>1</v>
      </c>
      <c r="AL106" s="3" t="b">
        <v>0</v>
      </c>
      <c r="AM106" s="3" t="b">
        <v>0</v>
      </c>
      <c r="AN106" s="3" t="b">
        <v>0</v>
      </c>
      <c r="AO106" s="3" t="b">
        <v>0</v>
      </c>
    </row>
    <row r="107">
      <c r="A107" s="3" t="s">
        <v>46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>
        <v>4.0</v>
      </c>
      <c r="M107" s="3"/>
      <c r="N107" s="3"/>
      <c r="O107" s="3">
        <v>4.0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>
        <v>4.0</v>
      </c>
      <c r="AJ107" s="3"/>
      <c r="AK107" s="3"/>
      <c r="AL107" s="3">
        <v>0.0</v>
      </c>
      <c r="AM107" s="3">
        <v>0.0</v>
      </c>
      <c r="AN107" s="3">
        <v>0.0</v>
      </c>
      <c r="AO107" s="3">
        <v>0.0</v>
      </c>
    </row>
    <row r="108">
      <c r="A108" s="3" t="s">
        <v>47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>
        <v>4.0</v>
      </c>
      <c r="M108" s="3"/>
      <c r="N108" s="3"/>
      <c r="O108" s="3">
        <v>4.0</v>
      </c>
      <c r="P108" s="3"/>
      <c r="Q108" s="3"/>
      <c r="R108" s="3">
        <v>4.0</v>
      </c>
      <c r="S108" s="3"/>
      <c r="T108" s="3"/>
      <c r="U108" s="3"/>
      <c r="V108" s="3"/>
      <c r="W108" s="3"/>
      <c r="X108" s="3"/>
      <c r="Y108" s="3"/>
      <c r="Z108" s="3">
        <v>4.0</v>
      </c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>
        <v>0.0</v>
      </c>
      <c r="AM108" s="3">
        <v>0.0</v>
      </c>
      <c r="AN108" s="3">
        <v>0.0</v>
      </c>
      <c r="AO108" s="3">
        <v>0.0</v>
      </c>
    </row>
    <row r="109">
      <c r="A109" s="3" t="s">
        <v>48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>
        <v>4.0</v>
      </c>
      <c r="O109" s="3"/>
      <c r="P109" s="3"/>
      <c r="Q109" s="3"/>
      <c r="R109" s="3"/>
      <c r="S109" s="3">
        <v>4.0</v>
      </c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>
        <v>0.0</v>
      </c>
      <c r="AM109" s="3">
        <v>0.0</v>
      </c>
      <c r="AN109" s="3">
        <v>0.0</v>
      </c>
      <c r="AO109" s="3">
        <v>0.0</v>
      </c>
    </row>
    <row r="110">
      <c r="A110" s="3" t="s">
        <v>49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>
        <v>4.0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>
        <v>0.0</v>
      </c>
      <c r="AM110" s="3">
        <v>0.0</v>
      </c>
      <c r="AN110" s="3">
        <v>0.0</v>
      </c>
      <c r="AO110" s="3">
        <v>0.0</v>
      </c>
    </row>
    <row r="111">
      <c r="A111" s="3" t="s">
        <v>50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>
        <v>4.0</v>
      </c>
      <c r="O111" s="3"/>
      <c r="P111" s="3"/>
      <c r="Q111" s="3"/>
      <c r="R111" s="3">
        <v>4.0</v>
      </c>
      <c r="S111" s="3">
        <v>4.0</v>
      </c>
      <c r="T111" s="3"/>
      <c r="U111" s="3"/>
      <c r="V111" s="3"/>
      <c r="W111" s="3"/>
      <c r="X111" s="3"/>
      <c r="Y111" s="3"/>
      <c r="Z111" s="3">
        <v>4.0</v>
      </c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>
        <v>0.0</v>
      </c>
      <c r="AM111" s="3">
        <v>0.0</v>
      </c>
      <c r="AN111" s="3">
        <v>0.0</v>
      </c>
      <c r="AO111" s="3">
        <v>0.0</v>
      </c>
    </row>
    <row r="112">
      <c r="A112" s="3" t="s">
        <v>51</v>
      </c>
      <c r="B112" s="3"/>
      <c r="C112" s="3"/>
      <c r="D112" s="3"/>
      <c r="E112" s="3"/>
      <c r="F112" s="3"/>
      <c r="G112" s="3"/>
      <c r="H112" s="3"/>
      <c r="I112" s="3"/>
      <c r="J112" s="3"/>
      <c r="K112" s="3">
        <v>4.0</v>
      </c>
      <c r="L112" s="3"/>
      <c r="M112" s="3"/>
      <c r="N112" s="3"/>
      <c r="O112" s="3"/>
      <c r="P112" s="3"/>
      <c r="Q112" s="3"/>
      <c r="R112" s="3"/>
      <c r="S112" s="3">
        <v>4.0</v>
      </c>
      <c r="T112" s="3"/>
      <c r="U112" s="3"/>
      <c r="V112" s="3"/>
      <c r="W112" s="3"/>
      <c r="X112" s="3"/>
      <c r="Y112" s="3"/>
      <c r="Z112" s="3">
        <v>4.0</v>
      </c>
      <c r="AA112" s="3"/>
      <c r="AB112" s="3">
        <v>-4.0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>
        <v>0.0</v>
      </c>
      <c r="AM112" s="3">
        <v>0.0</v>
      </c>
      <c r="AN112" s="3">
        <v>0.0</v>
      </c>
      <c r="AO112" s="3">
        <v>0.0</v>
      </c>
    </row>
    <row r="113">
      <c r="A113" s="3" t="s">
        <v>46</v>
      </c>
      <c r="B113" s="3"/>
      <c r="C113" s="3"/>
      <c r="D113" s="3"/>
      <c r="E113" s="3"/>
      <c r="F113" s="3"/>
      <c r="G113" s="3"/>
      <c r="H113" s="3"/>
      <c r="I113" s="3"/>
      <c r="J113" s="3">
        <v>4.0</v>
      </c>
      <c r="K113" s="3">
        <v>4.0</v>
      </c>
      <c r="L113" s="3"/>
      <c r="M113" s="3"/>
      <c r="N113" s="3">
        <v>-4.0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>
        <v>4.0</v>
      </c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>
        <v>0.0</v>
      </c>
      <c r="AM113" s="3">
        <v>0.0</v>
      </c>
      <c r="AN113" s="3">
        <v>0.0</v>
      </c>
      <c r="AO113" s="3">
        <v>0.0</v>
      </c>
    </row>
    <row r="114">
      <c r="A114" s="3" t="s">
        <v>47</v>
      </c>
      <c r="B114" s="3"/>
      <c r="C114" s="3"/>
      <c r="D114" s="3"/>
      <c r="E114" s="3"/>
      <c r="F114" s="3">
        <v>4.0</v>
      </c>
      <c r="G114" s="3"/>
      <c r="H114" s="3"/>
      <c r="I114" s="3"/>
      <c r="J114" s="3"/>
      <c r="K114" s="3"/>
      <c r="L114" s="3">
        <v>4.0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>
        <v>0.0</v>
      </c>
      <c r="AM114" s="3">
        <v>0.0</v>
      </c>
      <c r="AN114" s="3">
        <v>0.0</v>
      </c>
      <c r="AO114" s="3">
        <v>0.0</v>
      </c>
    </row>
    <row r="115">
      <c r="A115" s="3" t="s">
        <v>48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>
        <v>4.0</v>
      </c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>
        <v>0.0</v>
      </c>
      <c r="AM115" s="3">
        <v>0.0</v>
      </c>
      <c r="AN115" s="3">
        <v>0.0</v>
      </c>
      <c r="AO115" s="3">
        <v>0.0</v>
      </c>
    </row>
    <row r="116">
      <c r="A116" s="3" t="s">
        <v>49</v>
      </c>
      <c r="B116" s="3"/>
      <c r="C116" s="3"/>
      <c r="D116" s="3"/>
      <c r="E116" s="3">
        <v>-4.0</v>
      </c>
      <c r="F116" s="3"/>
      <c r="G116" s="3"/>
      <c r="H116" s="3"/>
      <c r="I116" s="3"/>
      <c r="J116" s="3"/>
      <c r="K116" s="3"/>
      <c r="L116" s="3"/>
      <c r="M116" s="3">
        <v>4.0</v>
      </c>
      <c r="N116" s="3">
        <v>4.0</v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>
        <v>4.0</v>
      </c>
      <c r="AB116" s="3"/>
      <c r="AC116" s="3"/>
      <c r="AD116" s="3"/>
      <c r="AE116" s="3"/>
      <c r="AF116" s="3"/>
      <c r="AG116" s="3"/>
      <c r="AH116" s="3"/>
      <c r="AI116" s="3"/>
      <c r="AJ116" s="3"/>
      <c r="AK116" s="3">
        <v>4.0</v>
      </c>
      <c r="AL116" s="3">
        <v>0.0</v>
      </c>
      <c r="AM116" s="3">
        <v>0.0</v>
      </c>
      <c r="AN116" s="3">
        <v>0.0</v>
      </c>
      <c r="AO116" s="3">
        <v>0.0</v>
      </c>
    </row>
    <row r="117">
      <c r="A117" s="3" t="s">
        <v>50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>
        <v>4.0</v>
      </c>
      <c r="Y117" s="3"/>
      <c r="Z117" s="3"/>
      <c r="AA117" s="3"/>
      <c r="AB117" s="3">
        <v>4.0</v>
      </c>
      <c r="AC117" s="3"/>
      <c r="AD117" s="3"/>
      <c r="AE117" s="3"/>
      <c r="AF117" s="3">
        <v>4.0</v>
      </c>
      <c r="AG117" s="3"/>
      <c r="AH117" s="3"/>
      <c r="AI117" s="3"/>
      <c r="AJ117" s="3"/>
      <c r="AK117" s="3"/>
      <c r="AL117" s="3">
        <v>0.0</v>
      </c>
      <c r="AM117" s="3">
        <v>0.0</v>
      </c>
      <c r="AN117" s="3">
        <v>0.0</v>
      </c>
      <c r="AO117" s="3">
        <v>0.0</v>
      </c>
    </row>
    <row r="118">
      <c r="A118" s="3" t="s">
        <v>51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>
        <v>4.0</v>
      </c>
      <c r="O118" s="3"/>
      <c r="P118" s="3"/>
      <c r="Q118" s="3"/>
      <c r="R118" s="3">
        <v>-4.0</v>
      </c>
      <c r="S118" s="3"/>
      <c r="T118" s="3"/>
      <c r="U118" s="3"/>
      <c r="V118" s="3"/>
      <c r="W118" s="3"/>
      <c r="X118" s="3"/>
      <c r="Y118" s="3"/>
      <c r="Z118" s="3">
        <v>4.0</v>
      </c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>
        <v>0.0</v>
      </c>
      <c r="AM118" s="3">
        <v>0.0</v>
      </c>
      <c r="AN118" s="3">
        <v>0.0</v>
      </c>
      <c r="AO118" s="3">
        <v>0.0</v>
      </c>
    </row>
    <row r="119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</row>
    <row r="120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</row>
    <row r="121">
      <c r="B121" s="3" t="str">
        <f t="array" ref="B121:AO150">transpose(sort(transpose(All!B121:AO150),2,true))</f>
        <v>Middleton C</v>
      </c>
      <c r="C121" s="3" t="s">
        <v>0</v>
      </c>
      <c r="D121" s="3" t="s">
        <v>5</v>
      </c>
      <c r="E121" s="3" t="s">
        <v>2</v>
      </c>
      <c r="F121" s="3" t="s">
        <v>3</v>
      </c>
      <c r="G121" s="3" t="s">
        <v>4</v>
      </c>
      <c r="H121" s="3" t="s">
        <v>5</v>
      </c>
      <c r="I121" s="3" t="s">
        <v>0</v>
      </c>
      <c r="J121" s="3" t="s">
        <v>3</v>
      </c>
      <c r="K121" s="3" t="s">
        <v>2</v>
      </c>
      <c r="L121" s="3" t="s">
        <v>1</v>
      </c>
      <c r="M121" s="3" t="s">
        <v>7</v>
      </c>
      <c r="N121" s="3" t="s">
        <v>4</v>
      </c>
      <c r="O121" s="3" t="s">
        <v>4</v>
      </c>
      <c r="P121" s="3" t="s">
        <v>6</v>
      </c>
      <c r="Q121" s="3" t="s">
        <v>7</v>
      </c>
      <c r="R121" s="3" t="s">
        <v>7</v>
      </c>
      <c r="S121" s="3" t="s">
        <v>5</v>
      </c>
      <c r="T121" s="3" t="s">
        <v>3</v>
      </c>
      <c r="U121" s="3" t="s">
        <v>0</v>
      </c>
      <c r="V121" s="3" t="s">
        <v>1</v>
      </c>
      <c r="W121" s="3" t="s">
        <v>4</v>
      </c>
      <c r="X121" s="3" t="s">
        <v>1</v>
      </c>
      <c r="Y121" s="3" t="s">
        <v>5</v>
      </c>
      <c r="Z121" s="3" t="s">
        <v>0</v>
      </c>
      <c r="AA121" s="3" t="s">
        <v>1</v>
      </c>
      <c r="AB121" s="3" t="s">
        <v>4</v>
      </c>
      <c r="AC121" s="3" t="s">
        <v>0</v>
      </c>
      <c r="AD121" s="3" t="s">
        <v>2</v>
      </c>
      <c r="AE121" s="3" t="s">
        <v>3</v>
      </c>
      <c r="AF121" s="3" t="s">
        <v>6</v>
      </c>
      <c r="AG121" s="3" t="s">
        <v>3</v>
      </c>
      <c r="AH121" s="3" t="s">
        <v>5</v>
      </c>
      <c r="AI121" s="3" t="s">
        <v>6</v>
      </c>
      <c r="AJ121" s="3" t="s">
        <v>7</v>
      </c>
      <c r="AK121" s="3" t="s">
        <v>6</v>
      </c>
      <c r="AL121" s="3" t="s">
        <v>1</v>
      </c>
      <c r="AM121" s="3" t="s">
        <v>7</v>
      </c>
      <c r="AN121" s="3" t="s">
        <v>6</v>
      </c>
      <c r="AO121" s="3" t="s">
        <v>2</v>
      </c>
    </row>
    <row r="122">
      <c r="B122" s="3" t="s">
        <v>20</v>
      </c>
      <c r="C122" s="3" t="s">
        <v>14</v>
      </c>
      <c r="D122" s="3" t="s">
        <v>36</v>
      </c>
      <c r="E122" s="3" t="s">
        <v>22</v>
      </c>
      <c r="F122" s="3" t="s">
        <v>23</v>
      </c>
      <c r="G122" s="3" t="s">
        <v>31</v>
      </c>
      <c r="H122" s="3" t="s">
        <v>34</v>
      </c>
      <c r="I122" s="3" t="s">
        <v>12</v>
      </c>
      <c r="J122" s="3" t="s">
        <v>24</v>
      </c>
      <c r="K122" s="3" t="s">
        <v>19</v>
      </c>
      <c r="L122" s="3" t="s">
        <v>15</v>
      </c>
      <c r="M122" s="3" t="s">
        <v>45</v>
      </c>
      <c r="N122" s="3" t="s">
        <v>29</v>
      </c>
      <c r="O122" s="3" t="s">
        <v>28</v>
      </c>
      <c r="P122" s="3" t="s">
        <v>38</v>
      </c>
      <c r="Q122" s="3" t="s">
        <v>44</v>
      </c>
      <c r="R122" s="3" t="s">
        <v>42</v>
      </c>
      <c r="S122" s="3" t="s">
        <v>35</v>
      </c>
      <c r="T122" s="3" t="s">
        <v>25</v>
      </c>
      <c r="U122" s="3" t="s">
        <v>10</v>
      </c>
      <c r="V122" s="3" t="s">
        <v>16</v>
      </c>
      <c r="W122" s="3" t="s">
        <v>32</v>
      </c>
      <c r="X122" s="3" t="s">
        <v>18</v>
      </c>
      <c r="Y122" s="3" t="s">
        <v>37</v>
      </c>
      <c r="Z122" s="3" t="s">
        <v>11</v>
      </c>
      <c r="AA122" s="3" t="s">
        <v>17</v>
      </c>
      <c r="AB122" s="3" t="s">
        <v>30</v>
      </c>
      <c r="AC122" s="3" t="s">
        <v>13</v>
      </c>
      <c r="AD122" s="3" t="s">
        <v>21</v>
      </c>
      <c r="AE122" s="3" t="s">
        <v>27</v>
      </c>
      <c r="AF122" s="3" t="s">
        <v>40</v>
      </c>
      <c r="AG122" s="3" t="s">
        <v>26</v>
      </c>
      <c r="AH122" s="3" t="s">
        <v>33</v>
      </c>
      <c r="AI122" s="3" t="s">
        <v>39</v>
      </c>
      <c r="AJ122" s="3" t="s">
        <v>43</v>
      </c>
      <c r="AK122" s="3" t="s">
        <v>41</v>
      </c>
      <c r="AL122" s="3"/>
      <c r="AM122" s="3"/>
      <c r="AN122" s="3"/>
      <c r="AO122" s="3"/>
    </row>
    <row r="123">
      <c r="B123" s="3" t="b">
        <v>1</v>
      </c>
      <c r="C123" s="3" t="b">
        <v>1</v>
      </c>
      <c r="D123" s="3" t="b">
        <v>1</v>
      </c>
      <c r="E123" s="3" t="b">
        <v>1</v>
      </c>
      <c r="F123" s="3" t="b">
        <v>1</v>
      </c>
      <c r="G123" s="3" t="b">
        <v>1</v>
      </c>
      <c r="H123" s="3" t="b">
        <v>1</v>
      </c>
      <c r="I123" s="3" t="b">
        <v>1</v>
      </c>
      <c r="J123" s="3" t="b">
        <v>1</v>
      </c>
      <c r="K123" s="3" t="b">
        <v>1</v>
      </c>
      <c r="L123" s="3" t="b">
        <v>1</v>
      </c>
      <c r="M123" s="3" t="b">
        <v>1</v>
      </c>
      <c r="N123" s="3" t="b">
        <v>1</v>
      </c>
      <c r="O123" s="3" t="b">
        <v>1</v>
      </c>
      <c r="P123" s="3" t="b">
        <v>1</v>
      </c>
      <c r="Q123" s="3" t="b">
        <v>1</v>
      </c>
      <c r="R123" s="3" t="b">
        <v>1</v>
      </c>
      <c r="S123" s="3" t="b">
        <v>1</v>
      </c>
      <c r="T123" s="3" t="b">
        <v>1</v>
      </c>
      <c r="U123" s="3" t="b">
        <v>1</v>
      </c>
      <c r="V123" s="3" t="b">
        <v>1</v>
      </c>
      <c r="W123" s="3" t="b">
        <v>1</v>
      </c>
      <c r="X123" s="3" t="b">
        <v>1</v>
      </c>
      <c r="Y123" s="3" t="b">
        <v>1</v>
      </c>
      <c r="Z123" s="3" t="b">
        <v>1</v>
      </c>
      <c r="AA123" s="3" t="b">
        <v>1</v>
      </c>
      <c r="AB123" s="3" t="b">
        <v>1</v>
      </c>
      <c r="AC123" s="3" t="b">
        <v>1</v>
      </c>
      <c r="AD123" s="3" t="b">
        <v>1</v>
      </c>
      <c r="AE123" s="3" t="b">
        <v>1</v>
      </c>
      <c r="AF123" s="3" t="b">
        <v>1</v>
      </c>
      <c r="AG123" s="3" t="b">
        <v>1</v>
      </c>
      <c r="AH123" s="3" t="b">
        <v>1</v>
      </c>
      <c r="AI123" s="3" t="b">
        <v>1</v>
      </c>
      <c r="AJ123" s="3" t="b">
        <v>1</v>
      </c>
      <c r="AK123" s="3" t="b">
        <v>1</v>
      </c>
      <c r="AL123" s="3" t="b">
        <v>0</v>
      </c>
      <c r="AM123" s="3" t="b">
        <v>0</v>
      </c>
      <c r="AN123" s="3" t="b">
        <v>0</v>
      </c>
      <c r="AO123" s="3" t="b">
        <v>0</v>
      </c>
    </row>
    <row r="124">
      <c r="A124" s="3" t="s">
        <v>46</v>
      </c>
      <c r="B124" s="3">
        <v>0.0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>
        <v>-4.0</v>
      </c>
      <c r="Y124" s="3"/>
      <c r="Z124" s="3"/>
      <c r="AA124" s="3"/>
      <c r="AB124" s="3"/>
      <c r="AC124" s="3"/>
      <c r="AD124" s="3"/>
      <c r="AE124" s="3"/>
      <c r="AF124" s="3">
        <v>0.0</v>
      </c>
      <c r="AG124" s="3"/>
      <c r="AH124" s="3"/>
      <c r="AI124" s="3"/>
      <c r="AJ124" s="3"/>
      <c r="AK124" s="3"/>
      <c r="AL124" s="3">
        <v>0.0</v>
      </c>
      <c r="AM124" s="3">
        <v>0.0</v>
      </c>
      <c r="AN124" s="3">
        <v>0.0</v>
      </c>
      <c r="AO124" s="3">
        <v>0.0</v>
      </c>
    </row>
    <row r="125">
      <c r="A125" s="3" t="s">
        <v>47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>
        <v>0.0</v>
      </c>
      <c r="AE125" s="3"/>
      <c r="AF125" s="3"/>
      <c r="AG125" s="3"/>
      <c r="AH125" s="3"/>
      <c r="AI125" s="3">
        <v>0.0</v>
      </c>
      <c r="AJ125" s="3"/>
      <c r="AK125" s="3"/>
      <c r="AL125" s="3">
        <v>0.0</v>
      </c>
      <c r="AM125" s="3">
        <v>0.0</v>
      </c>
      <c r="AN125" s="3">
        <v>0.0</v>
      </c>
      <c r="AO125" s="3">
        <v>0.0</v>
      </c>
    </row>
    <row r="126">
      <c r="A126" s="3" t="s">
        <v>48</v>
      </c>
      <c r="B126" s="3"/>
      <c r="C126" s="3"/>
      <c r="D126" s="3"/>
      <c r="E126" s="3">
        <v>0.0</v>
      </c>
      <c r="F126" s="3"/>
      <c r="G126" s="3"/>
      <c r="H126" s="3"/>
      <c r="I126" s="3"/>
      <c r="J126" s="3"/>
      <c r="K126" s="3"/>
      <c r="L126" s="3">
        <v>4.0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>
        <v>0.0</v>
      </c>
      <c r="AG126" s="3"/>
      <c r="AH126" s="3"/>
      <c r="AI126" s="3"/>
      <c r="AJ126" s="3"/>
      <c r="AK126" s="3"/>
      <c r="AL126" s="3">
        <v>0.0</v>
      </c>
      <c r="AM126" s="3">
        <v>0.0</v>
      </c>
      <c r="AN126" s="3">
        <v>0.0</v>
      </c>
      <c r="AO126" s="3">
        <v>0.0</v>
      </c>
    </row>
    <row r="127">
      <c r="A127" s="3" t="s">
        <v>49</v>
      </c>
      <c r="B127" s="3"/>
      <c r="C127" s="3"/>
      <c r="D127" s="3"/>
      <c r="E127" s="3"/>
      <c r="F127" s="3">
        <v>4.0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>
        <v>0.0</v>
      </c>
      <c r="AE127" s="3"/>
      <c r="AF127" s="3"/>
      <c r="AG127" s="3"/>
      <c r="AH127" s="3"/>
      <c r="AI127" s="3"/>
      <c r="AJ127" s="3"/>
      <c r="AK127" s="3">
        <v>0.0</v>
      </c>
      <c r="AL127" s="3">
        <v>0.0</v>
      </c>
      <c r="AM127" s="3">
        <v>0.0</v>
      </c>
      <c r="AN127" s="3">
        <v>0.0</v>
      </c>
      <c r="AO127" s="3">
        <v>0.0</v>
      </c>
    </row>
    <row r="128">
      <c r="A128" s="3" t="s">
        <v>50</v>
      </c>
      <c r="B128" s="3"/>
      <c r="C128" s="3"/>
      <c r="D128" s="3"/>
      <c r="E128" s="3">
        <v>0.0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>
        <v>-4.0</v>
      </c>
      <c r="Y128" s="3"/>
      <c r="Z128" s="3"/>
      <c r="AA128" s="3"/>
      <c r="AB128" s="3"/>
      <c r="AC128" s="3"/>
      <c r="AD128" s="3"/>
      <c r="AE128" s="3"/>
      <c r="AF128" s="3">
        <v>0.0</v>
      </c>
      <c r="AG128" s="3"/>
      <c r="AH128" s="3"/>
      <c r="AI128" s="3"/>
      <c r="AJ128" s="3"/>
      <c r="AK128" s="3"/>
      <c r="AL128" s="3">
        <v>0.0</v>
      </c>
      <c r="AM128" s="3">
        <v>0.0</v>
      </c>
      <c r="AN128" s="3">
        <v>0.0</v>
      </c>
      <c r="AO128" s="3">
        <v>0.0</v>
      </c>
    </row>
    <row r="129">
      <c r="A129" s="3" t="s">
        <v>51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>
        <v>-4.0</v>
      </c>
      <c r="O129" s="3"/>
      <c r="P129" s="3"/>
      <c r="Q129" s="3"/>
      <c r="R129" s="3"/>
      <c r="S129" s="3">
        <v>-4.0</v>
      </c>
      <c r="T129" s="3"/>
      <c r="U129" s="3"/>
      <c r="V129" s="3"/>
      <c r="W129" s="3"/>
      <c r="X129" s="3"/>
      <c r="Y129" s="3"/>
      <c r="Z129" s="3"/>
      <c r="AA129" s="3">
        <v>4.0</v>
      </c>
      <c r="AB129" s="3"/>
      <c r="AC129" s="3"/>
      <c r="AD129" s="3">
        <v>-4.0</v>
      </c>
      <c r="AE129" s="3"/>
      <c r="AF129" s="3"/>
      <c r="AG129" s="3"/>
      <c r="AH129" s="3"/>
      <c r="AI129" s="3">
        <v>-4.0</v>
      </c>
      <c r="AJ129" s="3"/>
      <c r="AK129" s="3"/>
      <c r="AL129" s="3">
        <v>0.0</v>
      </c>
      <c r="AM129" s="3">
        <v>0.0</v>
      </c>
      <c r="AN129" s="3">
        <v>0.0</v>
      </c>
      <c r="AO129" s="3">
        <v>0.0</v>
      </c>
    </row>
    <row r="130">
      <c r="A130" s="3" t="s">
        <v>46</v>
      </c>
      <c r="B130" s="3"/>
      <c r="C130" s="3"/>
      <c r="D130" s="3"/>
      <c r="E130" s="3"/>
      <c r="F130" s="3">
        <v>4.0</v>
      </c>
      <c r="G130" s="3"/>
      <c r="H130" s="3"/>
      <c r="I130" s="3"/>
      <c r="J130" s="3"/>
      <c r="K130" s="3"/>
      <c r="L130" s="3"/>
      <c r="M130" s="3">
        <v>4.0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>
        <v>4.0</v>
      </c>
      <c r="AB130" s="3"/>
      <c r="AC130" s="3"/>
      <c r="AD130" s="3">
        <v>0.0</v>
      </c>
      <c r="AE130" s="3"/>
      <c r="AF130" s="3"/>
      <c r="AG130" s="3"/>
      <c r="AH130" s="3"/>
      <c r="AI130" s="3"/>
      <c r="AJ130" s="3"/>
      <c r="AK130" s="3"/>
      <c r="AL130" s="3">
        <v>0.0</v>
      </c>
      <c r="AM130" s="3">
        <v>0.0</v>
      </c>
      <c r="AN130" s="3">
        <v>0.0</v>
      </c>
      <c r="AO130" s="3">
        <v>0.0</v>
      </c>
    </row>
    <row r="131">
      <c r="A131" s="3" t="s">
        <v>47</v>
      </c>
      <c r="B131" s="3"/>
      <c r="C131" s="3"/>
      <c r="D131" s="3">
        <v>4.0</v>
      </c>
      <c r="E131" s="3"/>
      <c r="F131" s="3"/>
      <c r="G131" s="3"/>
      <c r="H131" s="3"/>
      <c r="I131" s="3"/>
      <c r="J131" s="3"/>
      <c r="K131" s="3"/>
      <c r="L131" s="3">
        <v>4.0</v>
      </c>
      <c r="M131" s="3">
        <v>4.0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>
        <v>-4.0</v>
      </c>
      <c r="AE131" s="3"/>
      <c r="AF131" s="3"/>
      <c r="AG131" s="3"/>
      <c r="AH131" s="3"/>
      <c r="AI131" s="3"/>
      <c r="AJ131" s="3"/>
      <c r="AK131" s="3">
        <v>4.0</v>
      </c>
      <c r="AL131" s="3">
        <v>0.0</v>
      </c>
      <c r="AM131" s="3">
        <v>0.0</v>
      </c>
      <c r="AN131" s="3">
        <v>0.0</v>
      </c>
      <c r="AO131" s="3">
        <v>0.0</v>
      </c>
    </row>
    <row r="132">
      <c r="A132" s="3" t="s">
        <v>48</v>
      </c>
      <c r="B132" s="3"/>
      <c r="C132" s="3"/>
      <c r="D132" s="3"/>
      <c r="E132" s="3"/>
      <c r="F132" s="3">
        <v>4.0</v>
      </c>
      <c r="G132" s="3"/>
      <c r="H132" s="3"/>
      <c r="I132" s="3">
        <v>4.0</v>
      </c>
      <c r="J132" s="3"/>
      <c r="K132" s="3"/>
      <c r="L132" s="3"/>
      <c r="M132" s="3"/>
      <c r="N132" s="3">
        <v>4.0</v>
      </c>
      <c r="O132" s="3"/>
      <c r="P132" s="3"/>
      <c r="Q132" s="3"/>
      <c r="R132" s="3"/>
      <c r="S132" s="3">
        <v>-4.0</v>
      </c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>
        <v>0.0</v>
      </c>
      <c r="AE132" s="3"/>
      <c r="AF132" s="3"/>
      <c r="AG132" s="3"/>
      <c r="AH132" s="3"/>
      <c r="AI132" s="3"/>
      <c r="AJ132" s="3"/>
      <c r="AK132" s="3">
        <v>-4.0</v>
      </c>
      <c r="AL132" s="3">
        <v>0.0</v>
      </c>
      <c r="AM132" s="3">
        <v>0.0</v>
      </c>
      <c r="AN132" s="3">
        <v>0.0</v>
      </c>
      <c r="AO132" s="3">
        <v>0.0</v>
      </c>
    </row>
    <row r="133">
      <c r="A133" s="3" t="s">
        <v>49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>
        <v>4.0</v>
      </c>
      <c r="U133" s="3"/>
      <c r="V133" s="3"/>
      <c r="W133" s="3"/>
      <c r="X133" s="3"/>
      <c r="Y133" s="3"/>
      <c r="Z133" s="3"/>
      <c r="AA133" s="3">
        <v>4.0</v>
      </c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>
        <v>0.0</v>
      </c>
      <c r="AM133" s="3">
        <v>0.0</v>
      </c>
      <c r="AN133" s="3">
        <v>0.0</v>
      </c>
      <c r="AO133" s="3">
        <v>0.0</v>
      </c>
    </row>
    <row r="134">
      <c r="A134" s="3" t="s">
        <v>50</v>
      </c>
      <c r="B134" s="3"/>
      <c r="C134" s="3"/>
      <c r="D134" s="3"/>
      <c r="E134" s="3">
        <v>0.0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>
        <v>0.0</v>
      </c>
      <c r="AG134" s="3"/>
      <c r="AH134" s="3">
        <v>4.0</v>
      </c>
      <c r="AI134" s="3"/>
      <c r="AJ134" s="3"/>
      <c r="AK134" s="3"/>
      <c r="AL134" s="3">
        <v>0.0</v>
      </c>
      <c r="AM134" s="3">
        <v>0.0</v>
      </c>
      <c r="AN134" s="3">
        <v>0.0</v>
      </c>
      <c r="AO134" s="3">
        <v>0.0</v>
      </c>
    </row>
    <row r="135">
      <c r="A135" s="3" t="s">
        <v>51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>
        <v>0.0</v>
      </c>
      <c r="AM135" s="3">
        <v>0.0</v>
      </c>
      <c r="AN135" s="3">
        <v>0.0</v>
      </c>
      <c r="AO135" s="3">
        <v>0.0</v>
      </c>
    </row>
    <row r="136">
      <c r="B136" s="3" t="b">
        <v>1</v>
      </c>
      <c r="C136" s="3" t="b">
        <v>1</v>
      </c>
      <c r="D136" s="3" t="b">
        <v>1</v>
      </c>
      <c r="E136" s="3" t="b">
        <v>1</v>
      </c>
      <c r="F136" s="3" t="b">
        <v>1</v>
      </c>
      <c r="G136" s="3" t="b">
        <v>1</v>
      </c>
      <c r="H136" s="3" t="b">
        <v>1</v>
      </c>
      <c r="I136" s="3" t="b">
        <v>1</v>
      </c>
      <c r="J136" s="3" t="b">
        <v>1</v>
      </c>
      <c r="K136" s="3" t="b">
        <v>1</v>
      </c>
      <c r="L136" s="3" t="b">
        <v>1</v>
      </c>
      <c r="M136" s="3" t="b">
        <v>1</v>
      </c>
      <c r="N136" s="3" t="b">
        <v>1</v>
      </c>
      <c r="O136" s="3" t="b">
        <v>1</v>
      </c>
      <c r="P136" s="3" t="b">
        <v>1</v>
      </c>
      <c r="Q136" s="3" t="b">
        <v>1</v>
      </c>
      <c r="R136" s="3" t="b">
        <v>1</v>
      </c>
      <c r="S136" s="3" t="b">
        <v>1</v>
      </c>
      <c r="T136" s="3" t="b">
        <v>1</v>
      </c>
      <c r="U136" s="3" t="b">
        <v>1</v>
      </c>
      <c r="V136" s="3" t="b">
        <v>1</v>
      </c>
      <c r="W136" s="3" t="b">
        <v>1</v>
      </c>
      <c r="X136" s="3" t="b">
        <v>1</v>
      </c>
      <c r="Y136" s="3" t="b">
        <v>1</v>
      </c>
      <c r="Z136" s="3" t="b">
        <v>1</v>
      </c>
      <c r="AA136" s="3" t="b">
        <v>1</v>
      </c>
      <c r="AB136" s="3" t="b">
        <v>1</v>
      </c>
      <c r="AC136" s="3" t="b">
        <v>1</v>
      </c>
      <c r="AD136" s="3" t="b">
        <v>1</v>
      </c>
      <c r="AE136" s="3" t="b">
        <v>1</v>
      </c>
      <c r="AF136" s="3" t="b">
        <v>1</v>
      </c>
      <c r="AG136" s="3" t="b">
        <v>1</v>
      </c>
      <c r="AH136" s="3" t="b">
        <v>1</v>
      </c>
      <c r="AI136" s="3" t="b">
        <v>1</v>
      </c>
      <c r="AJ136" s="3" t="b">
        <v>1</v>
      </c>
      <c r="AK136" s="3" t="b">
        <v>1</v>
      </c>
      <c r="AL136" s="3" t="b">
        <v>0</v>
      </c>
      <c r="AM136" s="3" t="b">
        <v>0</v>
      </c>
      <c r="AN136" s="3" t="b">
        <v>0</v>
      </c>
      <c r="AO136" s="3" t="b">
        <v>0</v>
      </c>
    </row>
    <row r="137">
      <c r="A137" s="3" t="s">
        <v>46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>
        <v>4.0</v>
      </c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>
        <v>0.0</v>
      </c>
      <c r="AE137" s="3"/>
      <c r="AF137" s="3"/>
      <c r="AG137" s="3"/>
      <c r="AH137" s="3"/>
      <c r="AI137" s="3"/>
      <c r="AJ137" s="3"/>
      <c r="AK137" s="3"/>
      <c r="AL137" s="3">
        <v>0.0</v>
      </c>
      <c r="AM137" s="3">
        <v>0.0</v>
      </c>
      <c r="AN137" s="3">
        <v>0.0</v>
      </c>
      <c r="AO137" s="3">
        <v>0.0</v>
      </c>
    </row>
    <row r="138">
      <c r="A138" s="3" t="s">
        <v>47</v>
      </c>
      <c r="B138" s="3"/>
      <c r="C138" s="3"/>
      <c r="D138" s="3"/>
      <c r="E138" s="3">
        <v>4.0</v>
      </c>
      <c r="F138" s="3">
        <v>4.0</v>
      </c>
      <c r="G138" s="3"/>
      <c r="H138" s="3"/>
      <c r="I138" s="3"/>
      <c r="J138" s="3"/>
      <c r="K138" s="3"/>
      <c r="L138" s="3"/>
      <c r="M138" s="3"/>
      <c r="N138" s="3"/>
      <c r="O138" s="3">
        <v>4.0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>
        <v>0.0</v>
      </c>
      <c r="AJ138" s="3"/>
      <c r="AK138" s="3"/>
      <c r="AL138" s="3">
        <v>0.0</v>
      </c>
      <c r="AM138" s="3">
        <v>0.0</v>
      </c>
      <c r="AN138" s="3">
        <v>0.0</v>
      </c>
      <c r="AO138" s="3">
        <v>0.0</v>
      </c>
    </row>
    <row r="139">
      <c r="A139" s="3" t="s">
        <v>48</v>
      </c>
      <c r="B139" s="3"/>
      <c r="C139" s="3"/>
      <c r="D139" s="3"/>
      <c r="E139" s="3">
        <v>0.0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>
        <v>4.0</v>
      </c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>
        <v>0.0</v>
      </c>
      <c r="AL139" s="3">
        <v>0.0</v>
      </c>
      <c r="AM139" s="3">
        <v>0.0</v>
      </c>
      <c r="AN139" s="3">
        <v>0.0</v>
      </c>
      <c r="AO139" s="3">
        <v>0.0</v>
      </c>
    </row>
    <row r="140">
      <c r="A140" s="3" t="s">
        <v>49</v>
      </c>
      <c r="B140" s="3"/>
      <c r="C140" s="3"/>
      <c r="D140" s="3"/>
      <c r="E140" s="3">
        <v>0.0</v>
      </c>
      <c r="F140" s="3">
        <v>4.0</v>
      </c>
      <c r="G140" s="3"/>
      <c r="H140" s="3"/>
      <c r="I140" s="3"/>
      <c r="J140" s="3"/>
      <c r="K140" s="3"/>
      <c r="L140" s="3">
        <v>4.0</v>
      </c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>
        <v>4.0</v>
      </c>
      <c r="AK140" s="3">
        <v>0.0</v>
      </c>
      <c r="AL140" s="3">
        <v>0.0</v>
      </c>
      <c r="AM140" s="3">
        <v>0.0</v>
      </c>
      <c r="AN140" s="3">
        <v>0.0</v>
      </c>
      <c r="AO140" s="3">
        <v>0.0</v>
      </c>
    </row>
    <row r="141">
      <c r="A141" s="3" t="s">
        <v>50</v>
      </c>
      <c r="B141" s="3"/>
      <c r="C141" s="3"/>
      <c r="D141" s="3"/>
      <c r="E141" s="3">
        <v>0.0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>
        <v>4.0</v>
      </c>
      <c r="S141" s="3"/>
      <c r="T141" s="3"/>
      <c r="U141" s="3"/>
      <c r="V141" s="3"/>
      <c r="W141" s="3"/>
      <c r="X141" s="3"/>
      <c r="Y141" s="3"/>
      <c r="Z141" s="3"/>
      <c r="AA141" s="3"/>
      <c r="AB141" s="3">
        <v>4.0</v>
      </c>
      <c r="AC141" s="3"/>
      <c r="AD141" s="3"/>
      <c r="AE141" s="3"/>
      <c r="AF141" s="3">
        <v>0.0</v>
      </c>
      <c r="AG141" s="3"/>
      <c r="AH141" s="3">
        <v>4.0</v>
      </c>
      <c r="AI141" s="3"/>
      <c r="AJ141" s="3"/>
      <c r="AK141" s="3"/>
      <c r="AL141" s="3">
        <v>0.0</v>
      </c>
      <c r="AM141" s="3">
        <v>0.0</v>
      </c>
      <c r="AN141" s="3">
        <v>0.0</v>
      </c>
      <c r="AO141" s="3">
        <v>0.0</v>
      </c>
    </row>
    <row r="142">
      <c r="A142" s="3" t="s">
        <v>51</v>
      </c>
      <c r="B142" s="3"/>
      <c r="C142" s="3"/>
      <c r="D142" s="3"/>
      <c r="E142" s="3">
        <v>0.0</v>
      </c>
      <c r="F142" s="3">
        <v>4.0</v>
      </c>
      <c r="G142" s="3"/>
      <c r="H142" s="3"/>
      <c r="I142" s="3"/>
      <c r="J142" s="3"/>
      <c r="K142" s="3"/>
      <c r="L142" s="3"/>
      <c r="M142" s="3"/>
      <c r="N142" s="3"/>
      <c r="O142" s="3">
        <v>4.0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>
        <v>0.0</v>
      </c>
      <c r="AJ142" s="3"/>
      <c r="AK142" s="3"/>
      <c r="AL142" s="3">
        <v>0.0</v>
      </c>
      <c r="AM142" s="3">
        <v>0.0</v>
      </c>
      <c r="AN142" s="3">
        <v>0.0</v>
      </c>
      <c r="AO142" s="3">
        <v>0.0</v>
      </c>
    </row>
    <row r="143">
      <c r="A143" s="3" t="s">
        <v>46</v>
      </c>
      <c r="B143" s="3"/>
      <c r="C143" s="3">
        <v>4.0</v>
      </c>
      <c r="D143" s="3"/>
      <c r="E143" s="3"/>
      <c r="F143" s="3"/>
      <c r="G143" s="3"/>
      <c r="H143" s="3"/>
      <c r="I143" s="3"/>
      <c r="J143" s="3"/>
      <c r="K143" s="3"/>
      <c r="L143" s="3">
        <v>4.0</v>
      </c>
      <c r="M143" s="3"/>
      <c r="N143" s="3">
        <v>-4.0</v>
      </c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>
        <v>-4.0</v>
      </c>
      <c r="AE143" s="3"/>
      <c r="AF143" s="3"/>
      <c r="AG143" s="3"/>
      <c r="AH143" s="3">
        <v>-4.0</v>
      </c>
      <c r="AI143" s="3"/>
      <c r="AJ143" s="3"/>
      <c r="AK143" s="3">
        <v>-4.0</v>
      </c>
      <c r="AL143" s="3">
        <v>0.0</v>
      </c>
      <c r="AM143" s="3">
        <v>0.0</v>
      </c>
      <c r="AN143" s="3">
        <v>0.0</v>
      </c>
      <c r="AO143" s="3">
        <v>0.0</v>
      </c>
    </row>
    <row r="144">
      <c r="A144" s="3" t="s">
        <v>47</v>
      </c>
      <c r="B144" s="3">
        <v>0.0</v>
      </c>
      <c r="C144" s="3"/>
      <c r="D144" s="3"/>
      <c r="E144" s="3"/>
      <c r="F144" s="3"/>
      <c r="G144" s="3"/>
      <c r="H144" s="3"/>
      <c r="I144" s="3"/>
      <c r="J144" s="3">
        <v>4.0</v>
      </c>
      <c r="K144" s="3"/>
      <c r="L144" s="3">
        <v>4.0</v>
      </c>
      <c r="M144" s="3"/>
      <c r="N144" s="3"/>
      <c r="O144" s="3"/>
      <c r="P144" s="3"/>
      <c r="Q144" s="3"/>
      <c r="R144" s="3">
        <v>4.0</v>
      </c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>
        <v>0.0</v>
      </c>
      <c r="AL144" s="3">
        <v>0.0</v>
      </c>
      <c r="AM144" s="3">
        <v>0.0</v>
      </c>
      <c r="AN144" s="3">
        <v>0.0</v>
      </c>
      <c r="AO144" s="3">
        <v>0.0</v>
      </c>
    </row>
    <row r="145">
      <c r="A145" s="3" t="s">
        <v>48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>
        <v>4.0</v>
      </c>
      <c r="M145" s="3"/>
      <c r="N145" s="3"/>
      <c r="O145" s="3"/>
      <c r="P145" s="3">
        <v>0.0</v>
      </c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>
        <v>0.0</v>
      </c>
      <c r="AE145" s="3"/>
      <c r="AF145" s="3"/>
      <c r="AG145" s="3"/>
      <c r="AH145" s="3"/>
      <c r="AI145" s="3"/>
      <c r="AJ145" s="3"/>
      <c r="AK145" s="3"/>
      <c r="AL145" s="3">
        <v>0.0</v>
      </c>
      <c r="AM145" s="3">
        <v>0.0</v>
      </c>
      <c r="AN145" s="3">
        <v>0.0</v>
      </c>
      <c r="AO145" s="3">
        <v>0.0</v>
      </c>
    </row>
    <row r="146">
      <c r="A146" s="3" t="s">
        <v>49</v>
      </c>
      <c r="B146" s="3"/>
      <c r="C146" s="3"/>
      <c r="D146" s="3"/>
      <c r="E146" s="3"/>
      <c r="F146" s="3"/>
      <c r="G146" s="3"/>
      <c r="H146" s="3"/>
      <c r="I146" s="3"/>
      <c r="J146" s="3">
        <v>-4.0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>
        <v>4.0</v>
      </c>
      <c r="AB146" s="3"/>
      <c r="AC146" s="3"/>
      <c r="AD146" s="3">
        <v>0.0</v>
      </c>
      <c r="AE146" s="3"/>
      <c r="AF146" s="3">
        <v>0.0</v>
      </c>
      <c r="AG146" s="3"/>
      <c r="AH146" s="3"/>
      <c r="AI146" s="3"/>
      <c r="AJ146" s="3"/>
      <c r="AK146" s="3"/>
      <c r="AL146" s="3">
        <v>0.0</v>
      </c>
      <c r="AM146" s="3">
        <v>0.0</v>
      </c>
      <c r="AN146" s="3">
        <v>0.0</v>
      </c>
      <c r="AO146" s="3">
        <v>0.0</v>
      </c>
    </row>
    <row r="147">
      <c r="A147" s="3" t="s">
        <v>50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>
        <v>0.0</v>
      </c>
      <c r="AE147" s="3"/>
      <c r="AF147" s="3">
        <v>0.0</v>
      </c>
      <c r="AG147" s="3"/>
      <c r="AH147" s="3"/>
      <c r="AI147" s="3"/>
      <c r="AJ147" s="3"/>
      <c r="AK147" s="3"/>
      <c r="AL147" s="3">
        <v>0.0</v>
      </c>
      <c r="AM147" s="3">
        <v>0.0</v>
      </c>
      <c r="AN147" s="3">
        <v>0.0</v>
      </c>
      <c r="AO147" s="3">
        <v>0.0</v>
      </c>
    </row>
    <row r="148">
      <c r="A148" s="3" t="s">
        <v>51</v>
      </c>
      <c r="B148" s="3"/>
      <c r="C148" s="3"/>
      <c r="D148" s="3"/>
      <c r="E148" s="3">
        <v>4.0</v>
      </c>
      <c r="F148" s="3">
        <v>4.0</v>
      </c>
      <c r="G148" s="3"/>
      <c r="H148" s="3"/>
      <c r="I148" s="3"/>
      <c r="J148" s="3"/>
      <c r="K148" s="3"/>
      <c r="L148" s="3"/>
      <c r="M148" s="3"/>
      <c r="N148" s="3"/>
      <c r="O148" s="3">
        <v>4.0</v>
      </c>
      <c r="P148" s="3"/>
      <c r="Q148" s="3"/>
      <c r="R148" s="3">
        <v>4.0</v>
      </c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>
        <v>0.0</v>
      </c>
      <c r="AM148" s="3">
        <v>0.0</v>
      </c>
      <c r="AN148" s="3">
        <v>0.0</v>
      </c>
      <c r="AO148" s="3">
        <v>0.0</v>
      </c>
    </row>
    <row r="149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</row>
    <row r="150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</row>
    <row r="151">
      <c r="B151" s="3" t="str">
        <f t="array" ref="B151:AO180">transpose(sort(transpose(All!B151:AO180),2,true))</f>
        <v>Middleton C</v>
      </c>
      <c r="C151" s="3" t="s">
        <v>0</v>
      </c>
      <c r="D151" s="3" t="s">
        <v>5</v>
      </c>
      <c r="E151" s="3" t="s">
        <v>2</v>
      </c>
      <c r="F151" s="3" t="s">
        <v>3</v>
      </c>
      <c r="G151" s="3" t="s">
        <v>4</v>
      </c>
      <c r="H151" s="3" t="s">
        <v>5</v>
      </c>
      <c r="I151" s="3" t="s">
        <v>0</v>
      </c>
      <c r="J151" s="3" t="s">
        <v>3</v>
      </c>
      <c r="K151" s="3" t="s">
        <v>2</v>
      </c>
      <c r="L151" s="3" t="s">
        <v>1</v>
      </c>
      <c r="M151" s="3" t="s">
        <v>7</v>
      </c>
      <c r="N151" s="3" t="s">
        <v>4</v>
      </c>
      <c r="O151" s="3" t="s">
        <v>4</v>
      </c>
      <c r="P151" s="3" t="s">
        <v>6</v>
      </c>
      <c r="Q151" s="3" t="s">
        <v>7</v>
      </c>
      <c r="R151" s="3" t="s">
        <v>7</v>
      </c>
      <c r="S151" s="3" t="s">
        <v>5</v>
      </c>
      <c r="T151" s="3" t="s">
        <v>3</v>
      </c>
      <c r="U151" s="3" t="s">
        <v>0</v>
      </c>
      <c r="V151" s="3" t="s">
        <v>1</v>
      </c>
      <c r="W151" s="3" t="s">
        <v>4</v>
      </c>
      <c r="X151" s="3" t="s">
        <v>1</v>
      </c>
      <c r="Y151" s="3" t="s">
        <v>5</v>
      </c>
      <c r="Z151" s="3" t="s">
        <v>0</v>
      </c>
      <c r="AA151" s="3" t="s">
        <v>1</v>
      </c>
      <c r="AB151" s="3" t="s">
        <v>4</v>
      </c>
      <c r="AC151" s="3" t="s">
        <v>0</v>
      </c>
      <c r="AD151" s="3" t="s">
        <v>2</v>
      </c>
      <c r="AE151" s="3" t="s">
        <v>3</v>
      </c>
      <c r="AF151" s="3" t="s">
        <v>6</v>
      </c>
      <c r="AG151" s="3" t="s">
        <v>3</v>
      </c>
      <c r="AH151" s="3" t="s">
        <v>5</v>
      </c>
      <c r="AI151" s="3" t="s">
        <v>6</v>
      </c>
      <c r="AJ151" s="3" t="s">
        <v>7</v>
      </c>
      <c r="AK151" s="3" t="s">
        <v>6</v>
      </c>
      <c r="AL151" s="3" t="s">
        <v>1</v>
      </c>
      <c r="AM151" s="3" t="s">
        <v>7</v>
      </c>
      <c r="AN151" s="3" t="s">
        <v>6</v>
      </c>
      <c r="AO151" s="3" t="s">
        <v>2</v>
      </c>
    </row>
    <row r="152">
      <c r="B152" s="3" t="s">
        <v>20</v>
      </c>
      <c r="C152" s="3" t="s">
        <v>14</v>
      </c>
      <c r="D152" s="3" t="s">
        <v>36</v>
      </c>
      <c r="E152" s="3" t="s">
        <v>22</v>
      </c>
      <c r="F152" s="3" t="s">
        <v>23</v>
      </c>
      <c r="G152" s="3" t="s">
        <v>31</v>
      </c>
      <c r="H152" s="3" t="s">
        <v>34</v>
      </c>
      <c r="I152" s="3" t="s">
        <v>12</v>
      </c>
      <c r="J152" s="3" t="s">
        <v>24</v>
      </c>
      <c r="K152" s="3" t="s">
        <v>19</v>
      </c>
      <c r="L152" s="3" t="s">
        <v>15</v>
      </c>
      <c r="M152" s="3" t="s">
        <v>45</v>
      </c>
      <c r="N152" s="3" t="s">
        <v>29</v>
      </c>
      <c r="O152" s="3" t="s">
        <v>28</v>
      </c>
      <c r="P152" s="3" t="s">
        <v>38</v>
      </c>
      <c r="Q152" s="3" t="s">
        <v>44</v>
      </c>
      <c r="R152" s="3" t="s">
        <v>42</v>
      </c>
      <c r="S152" s="3" t="s">
        <v>35</v>
      </c>
      <c r="T152" s="3" t="s">
        <v>25</v>
      </c>
      <c r="U152" s="3" t="s">
        <v>10</v>
      </c>
      <c r="V152" s="3" t="s">
        <v>16</v>
      </c>
      <c r="W152" s="3" t="s">
        <v>32</v>
      </c>
      <c r="X152" s="3" t="s">
        <v>18</v>
      </c>
      <c r="Y152" s="3" t="s">
        <v>37</v>
      </c>
      <c r="Z152" s="3" t="s">
        <v>11</v>
      </c>
      <c r="AA152" s="3" t="s">
        <v>17</v>
      </c>
      <c r="AB152" s="3" t="s">
        <v>30</v>
      </c>
      <c r="AC152" s="3" t="s">
        <v>13</v>
      </c>
      <c r="AD152" s="3" t="s">
        <v>21</v>
      </c>
      <c r="AE152" s="3" t="s">
        <v>27</v>
      </c>
      <c r="AF152" s="3" t="s">
        <v>40</v>
      </c>
      <c r="AG152" s="3" t="s">
        <v>26</v>
      </c>
      <c r="AH152" s="3" t="s">
        <v>33</v>
      </c>
      <c r="AI152" s="3" t="s">
        <v>39</v>
      </c>
      <c r="AJ152" s="3" t="s">
        <v>43</v>
      </c>
      <c r="AK152" s="3" t="s">
        <v>41</v>
      </c>
      <c r="AL152" s="3"/>
      <c r="AM152" s="3"/>
      <c r="AN152" s="3"/>
      <c r="AO152" s="3"/>
    </row>
    <row r="153">
      <c r="B153" s="3" t="b">
        <v>1</v>
      </c>
      <c r="C153" s="3" t="b">
        <v>1</v>
      </c>
      <c r="D153" s="3" t="b">
        <v>1</v>
      </c>
      <c r="E153" s="3" t="b">
        <v>1</v>
      </c>
      <c r="F153" s="3" t="b">
        <v>1</v>
      </c>
      <c r="G153" s="3" t="b">
        <v>1</v>
      </c>
      <c r="H153" s="3" t="b">
        <v>1</v>
      </c>
      <c r="I153" s="3" t="b">
        <v>1</v>
      </c>
      <c r="J153" s="3" t="b">
        <v>1</v>
      </c>
      <c r="K153" s="3" t="b">
        <v>1</v>
      </c>
      <c r="L153" s="3" t="b">
        <v>1</v>
      </c>
      <c r="M153" s="3" t="b">
        <v>1</v>
      </c>
      <c r="N153" s="3" t="b">
        <v>1</v>
      </c>
      <c r="O153" s="3" t="b">
        <v>1</v>
      </c>
      <c r="P153" s="3" t="b">
        <v>1</v>
      </c>
      <c r="Q153" s="3" t="b">
        <v>1</v>
      </c>
      <c r="R153" s="3" t="b">
        <v>1</v>
      </c>
      <c r="S153" s="3" t="b">
        <v>1</v>
      </c>
      <c r="T153" s="3" t="b">
        <v>1</v>
      </c>
      <c r="U153" s="3" t="b">
        <v>1</v>
      </c>
      <c r="V153" s="3" t="b">
        <v>1</v>
      </c>
      <c r="W153" s="3" t="b">
        <v>1</v>
      </c>
      <c r="X153" s="3" t="b">
        <v>1</v>
      </c>
      <c r="Y153" s="3" t="b">
        <v>1</v>
      </c>
      <c r="Z153" s="3" t="b">
        <v>1</v>
      </c>
      <c r="AA153" s="3" t="b">
        <v>1</v>
      </c>
      <c r="AB153" s="3" t="b">
        <v>1</v>
      </c>
      <c r="AC153" s="3" t="b">
        <v>1</v>
      </c>
      <c r="AD153" s="3" t="b">
        <v>1</v>
      </c>
      <c r="AE153" s="3" t="b">
        <v>1</v>
      </c>
      <c r="AF153" s="3" t="b">
        <v>1</v>
      </c>
      <c r="AG153" s="3" t="b">
        <v>1</v>
      </c>
      <c r="AH153" s="3" t="b">
        <v>1</v>
      </c>
      <c r="AI153" s="3" t="b">
        <v>1</v>
      </c>
      <c r="AJ153" s="3" t="b">
        <v>1</v>
      </c>
      <c r="AK153" s="3" t="b">
        <v>1</v>
      </c>
      <c r="AL153" s="3" t="b">
        <v>0</v>
      </c>
      <c r="AM153" s="3" t="b">
        <v>0</v>
      </c>
      <c r="AN153" s="3" t="b">
        <v>0</v>
      </c>
      <c r="AO153" s="3" t="b">
        <v>0</v>
      </c>
    </row>
    <row r="154">
      <c r="A154" s="3" t="s">
        <v>46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>
        <v>-4.0</v>
      </c>
      <c r="M154" s="3"/>
      <c r="N154" s="3">
        <v>-4.0</v>
      </c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>
        <v>4.0</v>
      </c>
      <c r="AA154" s="3"/>
      <c r="AB154" s="3"/>
      <c r="AC154" s="3"/>
      <c r="AD154" s="3">
        <v>4.0</v>
      </c>
      <c r="AE154" s="3"/>
      <c r="AF154" s="3"/>
      <c r="AG154" s="3"/>
      <c r="AH154" s="3"/>
      <c r="AI154" s="3"/>
      <c r="AJ154" s="3"/>
      <c r="AK154" s="3"/>
      <c r="AL154" s="3">
        <v>0.0</v>
      </c>
      <c r="AM154" s="3">
        <v>0.0</v>
      </c>
      <c r="AN154" s="3">
        <v>0.0</v>
      </c>
      <c r="AO154" s="3">
        <v>0.0</v>
      </c>
    </row>
    <row r="155">
      <c r="A155" s="3" t="s">
        <v>47</v>
      </c>
      <c r="B155" s="3"/>
      <c r="C155" s="3"/>
      <c r="D155" s="3"/>
      <c r="E155" s="3"/>
      <c r="F155" s="3">
        <v>4.0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>
        <v>4.0</v>
      </c>
      <c r="S155" s="3"/>
      <c r="T155" s="3"/>
      <c r="U155" s="3"/>
      <c r="V155" s="3">
        <v>4.0</v>
      </c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>
        <v>4.0</v>
      </c>
      <c r="AJ155" s="3"/>
      <c r="AK155" s="3"/>
      <c r="AL155" s="3">
        <v>0.0</v>
      </c>
      <c r="AM155" s="3">
        <v>0.0</v>
      </c>
      <c r="AN155" s="3">
        <v>0.0</v>
      </c>
      <c r="AO155" s="3">
        <v>0.0</v>
      </c>
    </row>
    <row r="156">
      <c r="A156" s="3" t="s">
        <v>48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>
        <v>4.0</v>
      </c>
      <c r="O156" s="3"/>
      <c r="P156" s="3"/>
      <c r="Q156" s="3"/>
      <c r="R156" s="3"/>
      <c r="S156" s="3">
        <v>4.0</v>
      </c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>
        <v>0.0</v>
      </c>
      <c r="AM156" s="3">
        <v>0.0</v>
      </c>
      <c r="AN156" s="3">
        <v>0.0</v>
      </c>
      <c r="AO156" s="3">
        <v>0.0</v>
      </c>
    </row>
    <row r="157">
      <c r="A157" s="3" t="s">
        <v>49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>
        <v>4.0</v>
      </c>
      <c r="M157" s="3"/>
      <c r="N157" s="3"/>
      <c r="O157" s="3"/>
      <c r="P157" s="3">
        <v>4.0</v>
      </c>
      <c r="Q157" s="3">
        <v>4.0</v>
      </c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>
        <v>0.0</v>
      </c>
      <c r="AM157" s="3">
        <v>0.0</v>
      </c>
      <c r="AN157" s="3">
        <v>0.0</v>
      </c>
      <c r="AO157" s="3">
        <v>0.0</v>
      </c>
    </row>
    <row r="158">
      <c r="A158" s="3" t="s">
        <v>50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>
        <v>0.0</v>
      </c>
      <c r="AM158" s="3">
        <v>0.0</v>
      </c>
      <c r="AN158" s="3">
        <v>0.0</v>
      </c>
      <c r="AO158" s="3">
        <v>0.0</v>
      </c>
    </row>
    <row r="159">
      <c r="A159" s="3" t="s">
        <v>51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>
        <v>4.0</v>
      </c>
      <c r="P159" s="3"/>
      <c r="Q159" s="3"/>
      <c r="R159" s="3"/>
      <c r="S159" s="3">
        <v>4.0</v>
      </c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>
        <v>0.0</v>
      </c>
      <c r="AM159" s="3">
        <v>0.0</v>
      </c>
      <c r="AN159" s="3">
        <v>0.0</v>
      </c>
      <c r="AO159" s="3">
        <v>0.0</v>
      </c>
    </row>
    <row r="160">
      <c r="A160" s="3" t="s">
        <v>46</v>
      </c>
      <c r="B160" s="3"/>
      <c r="C160" s="3"/>
      <c r="D160" s="3"/>
      <c r="E160" s="3"/>
      <c r="F160" s="3"/>
      <c r="G160" s="3"/>
      <c r="H160" s="3"/>
      <c r="I160" s="3"/>
      <c r="J160" s="3"/>
      <c r="K160" s="3">
        <v>4.0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>
        <v>4.0</v>
      </c>
      <c r="Y160" s="3"/>
      <c r="Z160" s="3">
        <v>4.0</v>
      </c>
      <c r="AA160" s="3"/>
      <c r="AB160" s="3">
        <v>4.0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>
        <v>0.0</v>
      </c>
      <c r="AM160" s="3">
        <v>0.0</v>
      </c>
      <c r="AN160" s="3">
        <v>0.0</v>
      </c>
      <c r="AO160" s="3">
        <v>0.0</v>
      </c>
    </row>
    <row r="161">
      <c r="A161" s="3" t="s">
        <v>47</v>
      </c>
      <c r="B161" s="3"/>
      <c r="C161" s="3"/>
      <c r="D161" s="3"/>
      <c r="E161" s="3"/>
      <c r="F161" s="3">
        <v>4.0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>
        <v>4.0</v>
      </c>
      <c r="AJ161" s="3"/>
      <c r="AK161" s="3"/>
      <c r="AL161" s="3">
        <v>0.0</v>
      </c>
      <c r="AM161" s="3">
        <v>0.0</v>
      </c>
      <c r="AN161" s="3">
        <v>0.0</v>
      </c>
      <c r="AO161" s="3">
        <v>0.0</v>
      </c>
    </row>
    <row r="162">
      <c r="A162" s="3" t="s">
        <v>48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>
        <v>4.0</v>
      </c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>
        <v>0.0</v>
      </c>
      <c r="AM162" s="3">
        <v>0.0</v>
      </c>
      <c r="AN162" s="3">
        <v>0.0</v>
      </c>
      <c r="AO162" s="3">
        <v>0.0</v>
      </c>
    </row>
    <row r="163">
      <c r="A163" s="3" t="s">
        <v>49</v>
      </c>
      <c r="B163" s="3"/>
      <c r="C163" s="3"/>
      <c r="D163" s="3"/>
      <c r="E163" s="3"/>
      <c r="F163" s="3"/>
      <c r="G163" s="3"/>
      <c r="H163" s="3">
        <v>4.0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>
        <v>4.0</v>
      </c>
      <c r="U163" s="3"/>
      <c r="V163" s="3"/>
      <c r="W163" s="3"/>
      <c r="X163" s="3"/>
      <c r="Y163" s="3"/>
      <c r="Z163" s="3"/>
      <c r="AA163" s="3"/>
      <c r="AB163" s="3"/>
      <c r="AC163" s="3">
        <v>4.0</v>
      </c>
      <c r="AD163" s="3"/>
      <c r="AE163" s="3"/>
      <c r="AF163" s="3"/>
      <c r="AG163" s="3"/>
      <c r="AH163" s="3"/>
      <c r="AI163" s="3"/>
      <c r="AJ163" s="3"/>
      <c r="AK163" s="3"/>
      <c r="AL163" s="3">
        <v>0.0</v>
      </c>
      <c r="AM163" s="3">
        <v>0.0</v>
      </c>
      <c r="AN163" s="3">
        <v>0.0</v>
      </c>
      <c r="AO163" s="3">
        <v>0.0</v>
      </c>
    </row>
    <row r="164">
      <c r="A164" s="3" t="s">
        <v>50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>
        <v>0.0</v>
      </c>
      <c r="AM164" s="3">
        <v>0.0</v>
      </c>
      <c r="AN164" s="3">
        <v>0.0</v>
      </c>
      <c r="AO164" s="3">
        <v>0.0</v>
      </c>
    </row>
    <row r="165">
      <c r="A165" s="3" t="s">
        <v>51</v>
      </c>
      <c r="B165" s="3"/>
      <c r="C165" s="3"/>
      <c r="D165" s="3"/>
      <c r="E165" s="3"/>
      <c r="F165" s="3">
        <v>4.0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>
        <v>4.0</v>
      </c>
      <c r="T165" s="3"/>
      <c r="U165" s="3"/>
      <c r="V165" s="3"/>
      <c r="W165" s="3"/>
      <c r="X165" s="3"/>
      <c r="Y165" s="3"/>
      <c r="Z165" s="3">
        <v>4.0</v>
      </c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>
        <v>0.0</v>
      </c>
      <c r="AM165" s="3">
        <v>0.0</v>
      </c>
      <c r="AN165" s="3">
        <v>0.0</v>
      </c>
      <c r="AO165" s="3">
        <v>0.0</v>
      </c>
    </row>
    <row r="166">
      <c r="B166" s="3" t="b">
        <v>1</v>
      </c>
      <c r="C166" s="3" t="b">
        <v>1</v>
      </c>
      <c r="D166" s="3" t="b">
        <v>1</v>
      </c>
      <c r="E166" s="3" t="b">
        <v>1</v>
      </c>
      <c r="F166" s="3" t="b">
        <v>1</v>
      </c>
      <c r="G166" s="3" t="b">
        <v>1</v>
      </c>
      <c r="H166" s="3" t="b">
        <v>1</v>
      </c>
      <c r="I166" s="3" t="b">
        <v>1</v>
      </c>
      <c r="J166" s="3" t="b">
        <v>1</v>
      </c>
      <c r="K166" s="3" t="b">
        <v>1</v>
      </c>
      <c r="L166" s="3" t="b">
        <v>1</v>
      </c>
      <c r="M166" s="3" t="b">
        <v>1</v>
      </c>
      <c r="N166" s="3" t="b">
        <v>1</v>
      </c>
      <c r="O166" s="3" t="b">
        <v>1</v>
      </c>
      <c r="P166" s="3" t="b">
        <v>1</v>
      </c>
      <c r="Q166" s="3" t="b">
        <v>1</v>
      </c>
      <c r="R166" s="3" t="b">
        <v>1</v>
      </c>
      <c r="S166" s="3" t="b">
        <v>1</v>
      </c>
      <c r="T166" s="3" t="b">
        <v>1</v>
      </c>
      <c r="U166" s="3" t="b">
        <v>1</v>
      </c>
      <c r="V166" s="3" t="b">
        <v>1</v>
      </c>
      <c r="W166" s="3" t="b">
        <v>1</v>
      </c>
      <c r="X166" s="3" t="b">
        <v>1</v>
      </c>
      <c r="Y166" s="3" t="b">
        <v>1</v>
      </c>
      <c r="Z166" s="3" t="b">
        <v>1</v>
      </c>
      <c r="AA166" s="3" t="b">
        <v>1</v>
      </c>
      <c r="AB166" s="3" t="b">
        <v>1</v>
      </c>
      <c r="AC166" s="3" t="b">
        <v>1</v>
      </c>
      <c r="AD166" s="3" t="b">
        <v>1</v>
      </c>
      <c r="AE166" s="3" t="b">
        <v>1</v>
      </c>
      <c r="AF166" s="3" t="b">
        <v>1</v>
      </c>
      <c r="AG166" s="3" t="b">
        <v>1</v>
      </c>
      <c r="AH166" s="3" t="b">
        <v>1</v>
      </c>
      <c r="AI166" s="3" t="b">
        <v>1</v>
      </c>
      <c r="AJ166" s="3" t="b">
        <v>1</v>
      </c>
      <c r="AK166" s="3" t="b">
        <v>1</v>
      </c>
      <c r="AL166" s="3" t="b">
        <v>0</v>
      </c>
      <c r="AM166" s="3" t="b">
        <v>0</v>
      </c>
      <c r="AN166" s="3" t="b">
        <v>0</v>
      </c>
      <c r="AO166" s="3" t="b">
        <v>0</v>
      </c>
    </row>
    <row r="167">
      <c r="A167" s="3" t="s">
        <v>46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>
        <v>-4.0</v>
      </c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>
        <v>0.0</v>
      </c>
      <c r="AM167" s="3">
        <v>0.0</v>
      </c>
      <c r="AN167" s="3">
        <v>0.0</v>
      </c>
      <c r="AO167" s="3">
        <v>0.0</v>
      </c>
    </row>
    <row r="168">
      <c r="A168" s="3" t="s">
        <v>47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>
        <v>4.0</v>
      </c>
      <c r="M168" s="3"/>
      <c r="N168" s="3"/>
      <c r="O168" s="3">
        <v>4.0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>
        <v>4.0</v>
      </c>
      <c r="AJ168" s="3"/>
      <c r="AK168" s="3"/>
      <c r="AL168" s="3">
        <v>0.0</v>
      </c>
      <c r="AM168" s="3">
        <v>0.0</v>
      </c>
      <c r="AN168" s="3">
        <v>0.0</v>
      </c>
      <c r="AO168" s="3">
        <v>0.0</v>
      </c>
    </row>
    <row r="169">
      <c r="A169" s="3" t="s">
        <v>48</v>
      </c>
      <c r="B169" s="3"/>
      <c r="C169" s="3"/>
      <c r="D169" s="3"/>
      <c r="E169" s="3"/>
      <c r="F169" s="3"/>
      <c r="G169" s="3"/>
      <c r="H169" s="3"/>
      <c r="I169" s="3"/>
      <c r="J169" s="3">
        <v>4.0</v>
      </c>
      <c r="K169" s="3"/>
      <c r="L169" s="3">
        <v>4.0</v>
      </c>
      <c r="M169" s="3"/>
      <c r="N169" s="3"/>
      <c r="O169" s="3"/>
      <c r="P169" s="3"/>
      <c r="Q169" s="3"/>
      <c r="R169" s="3">
        <v>4.0</v>
      </c>
      <c r="S169" s="3">
        <v>-4.0</v>
      </c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>
        <v>0.0</v>
      </c>
      <c r="AM169" s="3">
        <v>0.0</v>
      </c>
      <c r="AN169" s="3">
        <v>0.0</v>
      </c>
      <c r="AO169" s="3">
        <v>0.0</v>
      </c>
    </row>
    <row r="170">
      <c r="A170" s="3" t="s">
        <v>49</v>
      </c>
      <c r="B170" s="3"/>
      <c r="C170" s="3"/>
      <c r="D170" s="3"/>
      <c r="E170" s="3">
        <v>4.0</v>
      </c>
      <c r="F170" s="3"/>
      <c r="G170" s="3"/>
      <c r="H170" s="3"/>
      <c r="I170" s="3"/>
      <c r="J170" s="3"/>
      <c r="K170" s="3"/>
      <c r="L170" s="3"/>
      <c r="M170" s="3"/>
      <c r="N170" s="3">
        <v>4.0</v>
      </c>
      <c r="O170" s="3"/>
      <c r="P170" s="3"/>
      <c r="Q170" s="3">
        <v>4.0</v>
      </c>
      <c r="R170" s="3"/>
      <c r="S170" s="3"/>
      <c r="T170" s="3"/>
      <c r="U170" s="3"/>
      <c r="V170" s="3"/>
      <c r="W170" s="3"/>
      <c r="X170" s="3"/>
      <c r="Y170" s="3">
        <v>4.0</v>
      </c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>
        <v>0.0</v>
      </c>
      <c r="AM170" s="3">
        <v>0.0</v>
      </c>
      <c r="AN170" s="3">
        <v>0.0</v>
      </c>
      <c r="AO170" s="3">
        <v>0.0</v>
      </c>
    </row>
    <row r="171">
      <c r="A171" s="3" t="s">
        <v>50</v>
      </c>
      <c r="B171" s="3"/>
      <c r="C171" s="3"/>
      <c r="D171" s="3"/>
      <c r="E171" s="3">
        <v>4.0</v>
      </c>
      <c r="F171" s="3"/>
      <c r="G171" s="3"/>
      <c r="H171" s="3"/>
      <c r="I171" s="3"/>
      <c r="J171" s="3"/>
      <c r="K171" s="3"/>
      <c r="L171" s="3"/>
      <c r="M171" s="3"/>
      <c r="N171" s="3">
        <v>4.0</v>
      </c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>
        <v>0.0</v>
      </c>
      <c r="AM171" s="3">
        <v>0.0</v>
      </c>
      <c r="AN171" s="3">
        <v>0.0</v>
      </c>
      <c r="AO171" s="3">
        <v>0.0</v>
      </c>
    </row>
    <row r="172">
      <c r="A172" s="3" t="s">
        <v>51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>
        <v>4.0</v>
      </c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>
        <v>0.0</v>
      </c>
      <c r="AM172" s="3">
        <v>0.0</v>
      </c>
      <c r="AN172" s="3">
        <v>0.0</v>
      </c>
      <c r="AO172" s="3">
        <v>0.0</v>
      </c>
    </row>
    <row r="173">
      <c r="A173" s="3" t="s">
        <v>46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>
        <v>4.0</v>
      </c>
      <c r="Y173" s="3"/>
      <c r="Z173" s="3"/>
      <c r="AA173" s="3"/>
      <c r="AB173" s="3">
        <v>4.0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>
        <v>0.0</v>
      </c>
      <c r="AM173" s="3">
        <v>0.0</v>
      </c>
      <c r="AN173" s="3">
        <v>0.0</v>
      </c>
      <c r="AO173" s="3">
        <v>0.0</v>
      </c>
    </row>
    <row r="174">
      <c r="A174" s="3" t="s">
        <v>47</v>
      </c>
      <c r="B174" s="3"/>
      <c r="C174" s="3"/>
      <c r="D174" s="3"/>
      <c r="E174" s="3">
        <v>4.0</v>
      </c>
      <c r="F174" s="3"/>
      <c r="G174" s="3"/>
      <c r="H174" s="3"/>
      <c r="I174" s="3"/>
      <c r="J174" s="3"/>
      <c r="K174" s="3"/>
      <c r="L174" s="3"/>
      <c r="M174" s="3"/>
      <c r="N174" s="3">
        <v>4.0</v>
      </c>
      <c r="O174" s="3"/>
      <c r="P174" s="3"/>
      <c r="Q174" s="3"/>
      <c r="R174" s="3">
        <v>4.0</v>
      </c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>
        <v>0.0</v>
      </c>
      <c r="AM174" s="3">
        <v>0.0</v>
      </c>
      <c r="AN174" s="3">
        <v>0.0</v>
      </c>
      <c r="AO174" s="3">
        <v>0.0</v>
      </c>
    </row>
    <row r="175">
      <c r="A175" s="3" t="s">
        <v>48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>
        <v>4.0</v>
      </c>
      <c r="M175" s="3"/>
      <c r="N175" s="3">
        <v>4.0</v>
      </c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4.0</v>
      </c>
      <c r="AD175" s="3"/>
      <c r="AE175" s="3"/>
      <c r="AF175" s="3"/>
      <c r="AG175" s="3"/>
      <c r="AH175" s="3"/>
      <c r="AI175" s="3"/>
      <c r="AJ175" s="3"/>
      <c r="AK175" s="3">
        <v>4.0</v>
      </c>
      <c r="AL175" s="3">
        <v>0.0</v>
      </c>
      <c r="AM175" s="3">
        <v>0.0</v>
      </c>
      <c r="AN175" s="3">
        <v>0.0</v>
      </c>
      <c r="AO175" s="3">
        <v>0.0</v>
      </c>
    </row>
    <row r="176">
      <c r="A176" s="3" t="s">
        <v>49</v>
      </c>
      <c r="B176" s="3"/>
      <c r="C176" s="3"/>
      <c r="D176" s="3"/>
      <c r="E176" s="3"/>
      <c r="F176" s="3"/>
      <c r="G176" s="3"/>
      <c r="H176" s="3"/>
      <c r="I176" s="3"/>
      <c r="J176" s="3"/>
      <c r="K176" s="3">
        <v>4.0</v>
      </c>
      <c r="L176" s="3"/>
      <c r="M176" s="3"/>
      <c r="N176" s="3"/>
      <c r="O176" s="3"/>
      <c r="P176" s="3"/>
      <c r="Q176" s="3"/>
      <c r="R176" s="3">
        <v>4.0</v>
      </c>
      <c r="S176" s="3"/>
      <c r="T176" s="3">
        <v>4.0</v>
      </c>
      <c r="U176" s="3"/>
      <c r="V176" s="3"/>
      <c r="W176" s="3"/>
      <c r="X176" s="3"/>
      <c r="Y176" s="3"/>
      <c r="Z176" s="3"/>
      <c r="AA176" s="3">
        <v>4.0</v>
      </c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>
        <v>0.0</v>
      </c>
      <c r="AM176" s="3">
        <v>0.0</v>
      </c>
      <c r="AN176" s="3">
        <v>0.0</v>
      </c>
      <c r="AO176" s="3">
        <v>0.0</v>
      </c>
    </row>
    <row r="177">
      <c r="A177" s="3" t="s">
        <v>50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>
        <v>-4.0</v>
      </c>
      <c r="Y177" s="3"/>
      <c r="Z177" s="3"/>
      <c r="AA177" s="3"/>
      <c r="AB177" s="3"/>
      <c r="AC177" s="3">
        <v>4.0</v>
      </c>
      <c r="AD177" s="3"/>
      <c r="AE177" s="3"/>
      <c r="AF177" s="3">
        <v>4.0</v>
      </c>
      <c r="AG177" s="3"/>
      <c r="AH177" s="3"/>
      <c r="AI177" s="3"/>
      <c r="AJ177" s="3"/>
      <c r="AK177" s="3"/>
      <c r="AL177" s="3">
        <v>0.0</v>
      </c>
      <c r="AM177" s="3">
        <v>0.0</v>
      </c>
      <c r="AN177" s="3">
        <v>0.0</v>
      </c>
      <c r="AO177" s="3">
        <v>0.0</v>
      </c>
    </row>
    <row r="178">
      <c r="A178" s="3" t="s">
        <v>51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>
        <v>4.0</v>
      </c>
      <c r="N178" s="3"/>
      <c r="O178" s="3"/>
      <c r="P178" s="3"/>
      <c r="Q178" s="3"/>
      <c r="R178" s="3"/>
      <c r="S178" s="3"/>
      <c r="T178" s="3">
        <v>4.0</v>
      </c>
      <c r="U178" s="3"/>
      <c r="V178" s="3"/>
      <c r="W178" s="3"/>
      <c r="X178" s="3"/>
      <c r="Y178" s="3"/>
      <c r="Z178" s="3"/>
      <c r="AA178" s="3">
        <v>-4.0</v>
      </c>
      <c r="AB178" s="3"/>
      <c r="AC178" s="3"/>
      <c r="AD178" s="3"/>
      <c r="AE178" s="3"/>
      <c r="AF178" s="3">
        <v>4.0</v>
      </c>
      <c r="AG178" s="3"/>
      <c r="AH178" s="3"/>
      <c r="AI178" s="3"/>
      <c r="AJ178" s="3"/>
      <c r="AK178" s="3"/>
      <c r="AL178" s="3">
        <v>0.0</v>
      </c>
      <c r="AM178" s="3">
        <v>0.0</v>
      </c>
      <c r="AN178" s="3">
        <v>0.0</v>
      </c>
      <c r="AO178" s="3">
        <v>0.0</v>
      </c>
    </row>
    <row r="179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</row>
    <row r="180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</row>
    <row r="181">
      <c r="B181" s="3" t="str">
        <f t="array" ref="B181:AO210">transpose(sort(transpose(All!B181:AO210),2,true))</f>
        <v>Middleton C</v>
      </c>
      <c r="C181" s="3" t="s">
        <v>0</v>
      </c>
      <c r="D181" s="3" t="s">
        <v>5</v>
      </c>
      <c r="E181" s="3" t="s">
        <v>2</v>
      </c>
      <c r="F181" s="3" t="s">
        <v>3</v>
      </c>
      <c r="G181" s="3" t="s">
        <v>4</v>
      </c>
      <c r="H181" s="3" t="s">
        <v>5</v>
      </c>
      <c r="I181" s="3" t="s">
        <v>0</v>
      </c>
      <c r="J181" s="3" t="s">
        <v>3</v>
      </c>
      <c r="K181" s="3" t="s">
        <v>2</v>
      </c>
      <c r="L181" s="3" t="s">
        <v>1</v>
      </c>
      <c r="M181" s="3" t="s">
        <v>7</v>
      </c>
      <c r="N181" s="3" t="s">
        <v>4</v>
      </c>
      <c r="O181" s="3" t="s">
        <v>4</v>
      </c>
      <c r="P181" s="3" t="s">
        <v>6</v>
      </c>
      <c r="Q181" s="3" t="s">
        <v>7</v>
      </c>
      <c r="R181" s="3" t="s">
        <v>7</v>
      </c>
      <c r="S181" s="3" t="s">
        <v>5</v>
      </c>
      <c r="T181" s="3" t="s">
        <v>3</v>
      </c>
      <c r="U181" s="3" t="s">
        <v>0</v>
      </c>
      <c r="V181" s="3" t="s">
        <v>1</v>
      </c>
      <c r="W181" s="3" t="s">
        <v>4</v>
      </c>
      <c r="X181" s="3" t="s">
        <v>1</v>
      </c>
      <c r="Y181" s="3" t="s">
        <v>5</v>
      </c>
      <c r="Z181" s="3" t="s">
        <v>0</v>
      </c>
      <c r="AA181" s="3" t="s">
        <v>1</v>
      </c>
      <c r="AB181" s="3" t="s">
        <v>4</v>
      </c>
      <c r="AC181" s="3" t="s">
        <v>0</v>
      </c>
      <c r="AD181" s="3" t="s">
        <v>2</v>
      </c>
      <c r="AE181" s="3" t="s">
        <v>3</v>
      </c>
      <c r="AF181" s="3" t="s">
        <v>6</v>
      </c>
      <c r="AG181" s="3" t="s">
        <v>3</v>
      </c>
      <c r="AH181" s="3" t="s">
        <v>5</v>
      </c>
      <c r="AI181" s="3" t="s">
        <v>6</v>
      </c>
      <c r="AJ181" s="3" t="s">
        <v>7</v>
      </c>
      <c r="AK181" s="3" t="s">
        <v>6</v>
      </c>
      <c r="AL181" s="3" t="s">
        <v>7</v>
      </c>
      <c r="AM181" s="3" t="s">
        <v>2</v>
      </c>
      <c r="AN181" s="3" t="s">
        <v>1</v>
      </c>
      <c r="AO181" s="3" t="s">
        <v>6</v>
      </c>
    </row>
    <row r="182">
      <c r="B182" s="3" t="s">
        <v>20</v>
      </c>
      <c r="C182" s="3" t="s">
        <v>14</v>
      </c>
      <c r="D182" s="3" t="s">
        <v>36</v>
      </c>
      <c r="E182" s="3" t="s">
        <v>22</v>
      </c>
      <c r="F182" s="3" t="s">
        <v>23</v>
      </c>
      <c r="G182" s="3" t="s">
        <v>31</v>
      </c>
      <c r="H182" s="3" t="s">
        <v>34</v>
      </c>
      <c r="I182" s="3" t="s">
        <v>12</v>
      </c>
      <c r="J182" s="3" t="s">
        <v>24</v>
      </c>
      <c r="K182" s="3" t="s">
        <v>19</v>
      </c>
      <c r="L182" s="3" t="s">
        <v>15</v>
      </c>
      <c r="M182" s="3" t="s">
        <v>45</v>
      </c>
      <c r="N182" s="3" t="s">
        <v>29</v>
      </c>
      <c r="O182" s="3" t="s">
        <v>28</v>
      </c>
      <c r="P182" s="3" t="s">
        <v>38</v>
      </c>
      <c r="Q182" s="3" t="s">
        <v>44</v>
      </c>
      <c r="R182" s="3" t="s">
        <v>42</v>
      </c>
      <c r="S182" s="3" t="s">
        <v>35</v>
      </c>
      <c r="T182" s="3" t="s">
        <v>25</v>
      </c>
      <c r="U182" s="3" t="s">
        <v>10</v>
      </c>
      <c r="V182" s="3" t="s">
        <v>16</v>
      </c>
      <c r="W182" s="3" t="s">
        <v>32</v>
      </c>
      <c r="X182" s="3" t="s">
        <v>18</v>
      </c>
      <c r="Y182" s="3" t="s">
        <v>37</v>
      </c>
      <c r="Z182" s="3" t="s">
        <v>11</v>
      </c>
      <c r="AA182" s="3" t="s">
        <v>17</v>
      </c>
      <c r="AB182" s="3" t="s">
        <v>30</v>
      </c>
      <c r="AC182" s="3" t="s">
        <v>13</v>
      </c>
      <c r="AD182" s="3" t="s">
        <v>21</v>
      </c>
      <c r="AE182" s="3" t="s">
        <v>27</v>
      </c>
      <c r="AF182" s="3" t="s">
        <v>40</v>
      </c>
      <c r="AG182" s="3" t="s">
        <v>26</v>
      </c>
      <c r="AH182" s="3" t="s">
        <v>33</v>
      </c>
      <c r="AI182" s="3" t="s">
        <v>39</v>
      </c>
      <c r="AJ182" s="3" t="s">
        <v>43</v>
      </c>
      <c r="AK182" s="3" t="s">
        <v>41</v>
      </c>
      <c r="AL182" s="3"/>
      <c r="AM182" s="3"/>
      <c r="AN182" s="3"/>
      <c r="AO182" s="3"/>
    </row>
    <row r="183">
      <c r="B183" s="3" t="b">
        <v>1</v>
      </c>
      <c r="C183" s="3" t="b">
        <v>0</v>
      </c>
      <c r="D183" s="3" t="b">
        <v>1</v>
      </c>
      <c r="E183" s="3" t="b">
        <v>1</v>
      </c>
      <c r="F183" s="3" t="b">
        <v>1</v>
      </c>
      <c r="G183" s="3" t="b">
        <v>0</v>
      </c>
      <c r="H183" s="3" t="b">
        <v>1</v>
      </c>
      <c r="I183" s="3" t="b">
        <v>0</v>
      </c>
      <c r="J183" s="3" t="b">
        <v>1</v>
      </c>
      <c r="K183" s="3" t="b">
        <v>1</v>
      </c>
      <c r="L183" s="3" t="b">
        <v>0</v>
      </c>
      <c r="M183" s="3" t="b">
        <v>1</v>
      </c>
      <c r="N183" s="3" t="b">
        <v>0</v>
      </c>
      <c r="O183" s="3" t="b">
        <v>0</v>
      </c>
      <c r="P183" s="3" t="b">
        <v>0</v>
      </c>
      <c r="Q183" s="3" t="b">
        <v>1</v>
      </c>
      <c r="R183" s="3" t="b">
        <v>1</v>
      </c>
      <c r="S183" s="3" t="b">
        <v>1</v>
      </c>
      <c r="T183" s="3" t="b">
        <v>1</v>
      </c>
      <c r="U183" s="3" t="b">
        <v>0</v>
      </c>
      <c r="V183" s="3" t="b">
        <v>0</v>
      </c>
      <c r="W183" s="3" t="b">
        <v>0</v>
      </c>
      <c r="X183" s="3" t="b">
        <v>0</v>
      </c>
      <c r="Y183" s="3" t="b">
        <v>1</v>
      </c>
      <c r="Z183" s="3" t="b">
        <v>0</v>
      </c>
      <c r="AA183" s="3" t="b">
        <v>0</v>
      </c>
      <c r="AB183" s="3" t="b">
        <v>0</v>
      </c>
      <c r="AC183" s="3" t="b">
        <v>0</v>
      </c>
      <c r="AD183" s="3" t="b">
        <v>1</v>
      </c>
      <c r="AE183" s="3" t="b">
        <v>1</v>
      </c>
      <c r="AF183" s="3" t="b">
        <v>0</v>
      </c>
      <c r="AG183" s="3" t="b">
        <v>1</v>
      </c>
      <c r="AH183" s="3" t="b">
        <v>1</v>
      </c>
      <c r="AI183" s="3" t="b">
        <v>0</v>
      </c>
      <c r="AJ183" s="3" t="b">
        <v>1</v>
      </c>
      <c r="AK183" s="3" t="b">
        <v>0</v>
      </c>
      <c r="AL183" s="3" t="b">
        <v>0</v>
      </c>
      <c r="AM183" s="3" t="b">
        <v>0</v>
      </c>
      <c r="AN183" s="3" t="b">
        <v>0</v>
      </c>
      <c r="AO183" s="3" t="b">
        <v>0</v>
      </c>
    </row>
    <row r="184">
      <c r="A184" s="3" t="s">
        <v>46</v>
      </c>
      <c r="B184" s="3"/>
      <c r="C184" s="3"/>
      <c r="D184" s="3"/>
      <c r="E184" s="3"/>
      <c r="F184" s="3"/>
      <c r="G184" s="3"/>
      <c r="H184" s="3"/>
      <c r="I184" s="3"/>
      <c r="J184" s="3">
        <v>4.0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>
        <v>0.0</v>
      </c>
      <c r="AM184" s="3">
        <v>0.0</v>
      </c>
      <c r="AN184" s="3"/>
      <c r="AO184" s="3"/>
    </row>
    <row r="185">
      <c r="A185" s="3" t="s">
        <v>47</v>
      </c>
      <c r="B185" s="3"/>
      <c r="C185" s="3"/>
      <c r="D185" s="3"/>
      <c r="E185" s="3">
        <v>4.0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>
        <v>4.0</v>
      </c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>
        <v>0.0</v>
      </c>
      <c r="AM185" s="3">
        <v>0.0</v>
      </c>
      <c r="AN185" s="3"/>
      <c r="AO185" s="3"/>
    </row>
    <row r="186">
      <c r="A186" s="3" t="s">
        <v>48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>
        <v>4.0</v>
      </c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>
        <v>0.0</v>
      </c>
      <c r="AM186" s="3">
        <v>0.0</v>
      </c>
      <c r="AN186" s="3"/>
      <c r="AO186" s="3"/>
    </row>
    <row r="187">
      <c r="A187" s="3" t="s">
        <v>49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>
        <v>4.0</v>
      </c>
      <c r="AI187" s="3"/>
      <c r="AJ187" s="3"/>
      <c r="AK187" s="3"/>
      <c r="AL187" s="3">
        <v>0.0</v>
      </c>
      <c r="AM187" s="3">
        <v>0.0</v>
      </c>
      <c r="AN187" s="3"/>
      <c r="AO187" s="3"/>
    </row>
    <row r="188">
      <c r="A188" s="3" t="s">
        <v>50</v>
      </c>
      <c r="B188" s="3"/>
      <c r="C188" s="3"/>
      <c r="D188" s="3"/>
      <c r="E188" s="3">
        <v>4.0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>
        <v>4.0</v>
      </c>
      <c r="AI188" s="3"/>
      <c r="AJ188" s="3"/>
      <c r="AK188" s="3"/>
      <c r="AL188" s="3">
        <v>0.0</v>
      </c>
      <c r="AM188" s="3">
        <v>0.0</v>
      </c>
      <c r="AN188" s="3"/>
      <c r="AO188" s="3"/>
    </row>
    <row r="189">
      <c r="A189" s="3" t="s">
        <v>51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>
        <v>0.0</v>
      </c>
      <c r="AM189" s="3">
        <v>0.0</v>
      </c>
      <c r="AN189" s="3"/>
      <c r="AO189" s="3"/>
    </row>
    <row r="190">
      <c r="A190" s="3" t="s">
        <v>46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>
        <v>0.0</v>
      </c>
      <c r="AM190" s="3">
        <v>0.0</v>
      </c>
      <c r="AN190" s="3"/>
      <c r="AO190" s="3"/>
    </row>
    <row r="191">
      <c r="A191" s="3" t="s">
        <v>47</v>
      </c>
      <c r="B191" s="3"/>
      <c r="C191" s="3"/>
      <c r="D191" s="3">
        <v>4.0</v>
      </c>
      <c r="E191" s="3"/>
      <c r="F191" s="3">
        <v>4.0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>
        <v>0.0</v>
      </c>
      <c r="AM191" s="3">
        <v>0.0</v>
      </c>
      <c r="AN191" s="3"/>
      <c r="AO191" s="3"/>
    </row>
    <row r="192">
      <c r="A192" s="3" t="s">
        <v>48</v>
      </c>
      <c r="B192" s="3"/>
      <c r="C192" s="3"/>
      <c r="D192" s="3"/>
      <c r="E192" s="3"/>
      <c r="F192" s="3"/>
      <c r="G192" s="3"/>
      <c r="H192" s="3"/>
      <c r="I192" s="3"/>
      <c r="J192" s="3">
        <v>4.0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>
        <v>4.0</v>
      </c>
      <c r="AI192" s="3"/>
      <c r="AJ192" s="3"/>
      <c r="AK192" s="3"/>
      <c r="AL192" s="3">
        <v>0.0</v>
      </c>
      <c r="AM192" s="3">
        <v>0.0</v>
      </c>
      <c r="AN192" s="3"/>
      <c r="AO192" s="3"/>
    </row>
    <row r="193">
      <c r="A193" s="3" t="s">
        <v>49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4.0</v>
      </c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>
        <v>4.0</v>
      </c>
      <c r="AH193" s="3"/>
      <c r="AI193" s="3"/>
      <c r="AJ193" s="3"/>
      <c r="AK193" s="3"/>
      <c r="AL193" s="3">
        <v>0.0</v>
      </c>
      <c r="AM193" s="3">
        <v>0.0</v>
      </c>
      <c r="AN193" s="3"/>
      <c r="AO193" s="3"/>
    </row>
    <row r="194">
      <c r="A194" s="3" t="s">
        <v>50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>
        <v>0.0</v>
      </c>
      <c r="AM194" s="3">
        <v>0.0</v>
      </c>
      <c r="AN194" s="3"/>
      <c r="AO194" s="3"/>
    </row>
    <row r="195">
      <c r="A195" s="3" t="s">
        <v>51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>
        <v>4.0</v>
      </c>
      <c r="S195" s="3"/>
      <c r="T195" s="3">
        <v>4.0</v>
      </c>
      <c r="U195" s="3"/>
      <c r="V195" s="3"/>
      <c r="W195" s="3"/>
      <c r="X195" s="3"/>
      <c r="Y195" s="3"/>
      <c r="Z195" s="3"/>
      <c r="AA195" s="3"/>
      <c r="AB195" s="3"/>
      <c r="AC195" s="3"/>
      <c r="AD195" s="3">
        <v>-4.0</v>
      </c>
      <c r="AE195" s="3"/>
      <c r="AF195" s="3"/>
      <c r="AG195" s="3"/>
      <c r="AH195" s="3"/>
      <c r="AI195" s="3"/>
      <c r="AJ195" s="3"/>
      <c r="AK195" s="3"/>
      <c r="AL195" s="3">
        <v>0.0</v>
      </c>
      <c r="AM195" s="3">
        <v>0.0</v>
      </c>
      <c r="AN195" s="3"/>
      <c r="AO195" s="3"/>
    </row>
    <row r="196">
      <c r="B196" s="3" t="b">
        <v>1</v>
      </c>
      <c r="C196" s="3" t="b">
        <v>0</v>
      </c>
      <c r="D196" s="3" t="b">
        <v>1</v>
      </c>
      <c r="E196" s="3" t="b">
        <v>1</v>
      </c>
      <c r="F196" s="3" t="b">
        <v>1</v>
      </c>
      <c r="G196" s="3" t="b">
        <v>0</v>
      </c>
      <c r="H196" s="3" t="b">
        <v>1</v>
      </c>
      <c r="I196" s="3" t="b">
        <v>0</v>
      </c>
      <c r="J196" s="3" t="b">
        <v>1</v>
      </c>
      <c r="K196" s="3" t="b">
        <v>1</v>
      </c>
      <c r="L196" s="3" t="b">
        <v>0</v>
      </c>
      <c r="M196" s="3" t="b">
        <v>1</v>
      </c>
      <c r="N196" s="3" t="b">
        <v>0</v>
      </c>
      <c r="O196" s="3" t="b">
        <v>0</v>
      </c>
      <c r="P196" s="3" t="b">
        <v>0</v>
      </c>
      <c r="Q196" s="3" t="b">
        <v>1</v>
      </c>
      <c r="R196" s="3" t="b">
        <v>1</v>
      </c>
      <c r="S196" s="3" t="b">
        <v>1</v>
      </c>
      <c r="T196" s="3" t="b">
        <v>1</v>
      </c>
      <c r="U196" s="3" t="b">
        <v>0</v>
      </c>
      <c r="V196" s="3" t="b">
        <v>0</v>
      </c>
      <c r="W196" s="3" t="b">
        <v>0</v>
      </c>
      <c r="X196" s="3" t="b">
        <v>0</v>
      </c>
      <c r="Y196" s="3" t="b">
        <v>1</v>
      </c>
      <c r="Z196" s="3" t="b">
        <v>0</v>
      </c>
      <c r="AA196" s="3" t="b">
        <v>0</v>
      </c>
      <c r="AB196" s="3" t="b">
        <v>0</v>
      </c>
      <c r="AC196" s="3" t="b">
        <v>0</v>
      </c>
      <c r="AD196" s="3" t="b">
        <v>1</v>
      </c>
      <c r="AE196" s="3" t="b">
        <v>1</v>
      </c>
      <c r="AF196" s="3" t="b">
        <v>0</v>
      </c>
      <c r="AG196" s="3" t="b">
        <v>1</v>
      </c>
      <c r="AH196" s="3" t="b">
        <v>1</v>
      </c>
      <c r="AI196" s="3" t="b">
        <v>0</v>
      </c>
      <c r="AJ196" s="3" t="b">
        <v>1</v>
      </c>
      <c r="AK196" s="3" t="b">
        <v>0</v>
      </c>
      <c r="AL196" s="3" t="b">
        <v>0</v>
      </c>
      <c r="AM196" s="3" t="b">
        <v>0</v>
      </c>
      <c r="AN196" s="3" t="b">
        <v>0</v>
      </c>
      <c r="AO196" s="3" t="b">
        <v>0</v>
      </c>
    </row>
    <row r="197">
      <c r="A197" s="3" t="s">
        <v>46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>
        <v>0.0</v>
      </c>
      <c r="AM197" s="3">
        <v>0.0</v>
      </c>
      <c r="AN197" s="3"/>
      <c r="AO197" s="3"/>
    </row>
    <row r="198">
      <c r="A198" s="3" t="s">
        <v>47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>
        <v>4.0</v>
      </c>
      <c r="S198" s="3">
        <v>-4.0</v>
      </c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>
        <v>4.0</v>
      </c>
      <c r="AE198" s="3"/>
      <c r="AF198" s="3"/>
      <c r="AG198" s="3">
        <v>-4.0</v>
      </c>
      <c r="AH198" s="3"/>
      <c r="AI198" s="3"/>
      <c r="AJ198" s="3"/>
      <c r="AK198" s="3"/>
      <c r="AL198" s="3">
        <v>0.0</v>
      </c>
      <c r="AM198" s="3">
        <v>0.0</v>
      </c>
      <c r="AN198" s="3"/>
      <c r="AO198" s="3"/>
    </row>
    <row r="199">
      <c r="A199" s="3" t="s">
        <v>48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>
        <v>-4.0</v>
      </c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>
        <v>0.0</v>
      </c>
      <c r="AM199" s="3">
        <v>0.0</v>
      </c>
      <c r="AN199" s="3"/>
      <c r="AO199" s="3"/>
    </row>
    <row r="200">
      <c r="A200" s="3" t="s">
        <v>49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>
        <v>0.0</v>
      </c>
      <c r="AM200" s="3">
        <v>0.0</v>
      </c>
      <c r="AN200" s="3"/>
      <c r="AO200" s="3"/>
    </row>
    <row r="201">
      <c r="A201" s="3" t="s">
        <v>50</v>
      </c>
      <c r="B201" s="3"/>
      <c r="C201" s="3"/>
      <c r="D201" s="3"/>
      <c r="E201" s="3">
        <v>4.0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>
        <v>4.0</v>
      </c>
      <c r="AI201" s="3"/>
      <c r="AJ201" s="3"/>
      <c r="AK201" s="3"/>
      <c r="AL201" s="3">
        <v>0.0</v>
      </c>
      <c r="AM201" s="3">
        <v>0.0</v>
      </c>
      <c r="AN201" s="3"/>
      <c r="AO201" s="3"/>
    </row>
    <row r="202">
      <c r="A202" s="3" t="s">
        <v>51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>
        <v>0.0</v>
      </c>
      <c r="AM202" s="3">
        <v>0.0</v>
      </c>
      <c r="AN202" s="3"/>
      <c r="AO202" s="3"/>
    </row>
    <row r="203">
      <c r="A203" s="3" t="s">
        <v>46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>
        <v>0.0</v>
      </c>
      <c r="AM203" s="3">
        <v>0.0</v>
      </c>
      <c r="AN203" s="3"/>
      <c r="AO203" s="3"/>
    </row>
    <row r="204">
      <c r="A204" s="3" t="s">
        <v>47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>
        <v>0.0</v>
      </c>
      <c r="AM204" s="3">
        <v>0.0</v>
      </c>
      <c r="AN204" s="3"/>
      <c r="AO204" s="3"/>
    </row>
    <row r="205">
      <c r="A205" s="3" t="s">
        <v>48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>
        <v>0.0</v>
      </c>
      <c r="AM205" s="3">
        <v>0.0</v>
      </c>
      <c r="AN205" s="3"/>
      <c r="AO205" s="3"/>
    </row>
    <row r="206">
      <c r="A206" s="3" t="s">
        <v>49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>
        <v>0.0</v>
      </c>
      <c r="AM206" s="3">
        <v>0.0</v>
      </c>
      <c r="AN206" s="3"/>
      <c r="AO206" s="3"/>
    </row>
    <row r="207">
      <c r="A207" s="3" t="s">
        <v>50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>
        <v>4.0</v>
      </c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>
        <v>0.0</v>
      </c>
      <c r="AM207" s="3">
        <v>0.0</v>
      </c>
      <c r="AN207" s="3"/>
      <c r="AO207" s="3"/>
    </row>
    <row r="208">
      <c r="A208" s="3" t="s">
        <v>51</v>
      </c>
      <c r="B208" s="3"/>
      <c r="C208" s="3"/>
      <c r="D208" s="3">
        <v>4.0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>
        <v>0.0</v>
      </c>
      <c r="AM208" s="3">
        <v>0.0</v>
      </c>
      <c r="AN208" s="3"/>
      <c r="AO208" s="3"/>
    </row>
    <row r="209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</row>
    <row r="210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</row>
    <row r="211">
      <c r="B211" s="3" t="str">
        <f t="array" ref="B211:AO240">transpose(sort(transpose(All!B211:AO240),2,true))</f>
        <v>Middleton C</v>
      </c>
      <c r="C211" s="3" t="s">
        <v>0</v>
      </c>
      <c r="D211" s="3" t="s">
        <v>5</v>
      </c>
      <c r="E211" s="3" t="s">
        <v>2</v>
      </c>
      <c r="F211" s="3" t="s">
        <v>3</v>
      </c>
      <c r="G211" s="3" t="s">
        <v>4</v>
      </c>
      <c r="H211" s="3" t="s">
        <v>5</v>
      </c>
      <c r="I211" s="3" t="s">
        <v>0</v>
      </c>
      <c r="J211" s="3" t="s">
        <v>3</v>
      </c>
      <c r="K211" s="3" t="s">
        <v>2</v>
      </c>
      <c r="L211" s="3" t="s">
        <v>1</v>
      </c>
      <c r="M211" s="3" t="s">
        <v>7</v>
      </c>
      <c r="N211" s="3" t="s">
        <v>4</v>
      </c>
      <c r="O211" s="3" t="s">
        <v>4</v>
      </c>
      <c r="P211" s="3" t="s">
        <v>6</v>
      </c>
      <c r="Q211" s="3" t="s">
        <v>7</v>
      </c>
      <c r="R211" s="3" t="s">
        <v>7</v>
      </c>
      <c r="S211" s="3" t="s">
        <v>5</v>
      </c>
      <c r="T211" s="3" t="s">
        <v>3</v>
      </c>
      <c r="U211" s="3" t="s">
        <v>0</v>
      </c>
      <c r="V211" s="3" t="s">
        <v>1</v>
      </c>
      <c r="W211" s="3" t="s">
        <v>4</v>
      </c>
      <c r="X211" s="3" t="s">
        <v>1</v>
      </c>
      <c r="Y211" s="3" t="s">
        <v>5</v>
      </c>
      <c r="Z211" s="3" t="s">
        <v>0</v>
      </c>
      <c r="AA211" s="3" t="s">
        <v>1</v>
      </c>
      <c r="AB211" s="3" t="s">
        <v>4</v>
      </c>
      <c r="AC211" s="3" t="s">
        <v>0</v>
      </c>
      <c r="AD211" s="3" t="s">
        <v>2</v>
      </c>
      <c r="AE211" s="3" t="s">
        <v>3</v>
      </c>
      <c r="AF211" s="3" t="s">
        <v>6</v>
      </c>
      <c r="AG211" s="3" t="s">
        <v>3</v>
      </c>
      <c r="AH211" s="3" t="s">
        <v>5</v>
      </c>
      <c r="AI211" s="3" t="s">
        <v>6</v>
      </c>
      <c r="AJ211" s="3" t="s">
        <v>7</v>
      </c>
      <c r="AK211" s="3" t="s">
        <v>6</v>
      </c>
      <c r="AL211" s="3" t="s">
        <v>7</v>
      </c>
      <c r="AM211" s="3" t="s">
        <v>2</v>
      </c>
      <c r="AN211" s="3" t="s">
        <v>1</v>
      </c>
      <c r="AO211" s="3" t="s">
        <v>6</v>
      </c>
    </row>
    <row r="212">
      <c r="B212" s="3" t="s">
        <v>20</v>
      </c>
      <c r="C212" s="3" t="s">
        <v>14</v>
      </c>
      <c r="D212" s="3" t="s">
        <v>36</v>
      </c>
      <c r="E212" s="3" t="s">
        <v>22</v>
      </c>
      <c r="F212" s="3" t="s">
        <v>23</v>
      </c>
      <c r="G212" s="3" t="s">
        <v>31</v>
      </c>
      <c r="H212" s="3" t="s">
        <v>34</v>
      </c>
      <c r="I212" s="3" t="s">
        <v>12</v>
      </c>
      <c r="J212" s="3" t="s">
        <v>24</v>
      </c>
      <c r="K212" s="3" t="s">
        <v>19</v>
      </c>
      <c r="L212" s="3" t="s">
        <v>15</v>
      </c>
      <c r="M212" s="3" t="s">
        <v>45</v>
      </c>
      <c r="N212" s="3" t="s">
        <v>29</v>
      </c>
      <c r="O212" s="3" t="s">
        <v>28</v>
      </c>
      <c r="P212" s="3" t="s">
        <v>38</v>
      </c>
      <c r="Q212" s="3" t="s">
        <v>44</v>
      </c>
      <c r="R212" s="3" t="s">
        <v>42</v>
      </c>
      <c r="S212" s="3" t="s">
        <v>35</v>
      </c>
      <c r="T212" s="3" t="s">
        <v>25</v>
      </c>
      <c r="U212" s="3" t="s">
        <v>10</v>
      </c>
      <c r="V212" s="3" t="s">
        <v>16</v>
      </c>
      <c r="W212" s="3" t="s">
        <v>32</v>
      </c>
      <c r="X212" s="3" t="s">
        <v>18</v>
      </c>
      <c r="Y212" s="3" t="s">
        <v>37</v>
      </c>
      <c r="Z212" s="3" t="s">
        <v>11</v>
      </c>
      <c r="AA212" s="3" t="s">
        <v>17</v>
      </c>
      <c r="AB212" s="3" t="s">
        <v>30</v>
      </c>
      <c r="AC212" s="3" t="s">
        <v>13</v>
      </c>
      <c r="AD212" s="3" t="s">
        <v>21</v>
      </c>
      <c r="AE212" s="3" t="s">
        <v>27</v>
      </c>
      <c r="AF212" s="3" t="s">
        <v>40</v>
      </c>
      <c r="AG212" s="3" t="s">
        <v>26</v>
      </c>
      <c r="AH212" s="3" t="s">
        <v>33</v>
      </c>
      <c r="AI212" s="3" t="s">
        <v>39</v>
      </c>
      <c r="AJ212" s="3" t="s">
        <v>43</v>
      </c>
      <c r="AK212" s="3" t="s">
        <v>41</v>
      </c>
      <c r="AL212" s="3"/>
      <c r="AM212" s="3"/>
      <c r="AN212" s="3"/>
      <c r="AO212" s="3"/>
    </row>
    <row r="213">
      <c r="B213" s="3" t="b">
        <v>1</v>
      </c>
      <c r="C213" s="3" t="b">
        <v>0</v>
      </c>
      <c r="D213" s="3" t="b">
        <v>1</v>
      </c>
      <c r="E213" s="3" t="b">
        <v>0</v>
      </c>
      <c r="F213" s="3" t="b">
        <v>1</v>
      </c>
      <c r="G213" s="3" t="b">
        <v>1</v>
      </c>
      <c r="H213" s="3" t="b">
        <v>1</v>
      </c>
      <c r="I213" s="3" t="b">
        <v>0</v>
      </c>
      <c r="J213" s="3" t="b">
        <v>1</v>
      </c>
      <c r="K213" s="3" t="b">
        <v>1</v>
      </c>
      <c r="L213" s="3" t="b">
        <v>1</v>
      </c>
      <c r="M213" s="3" t="b">
        <v>1</v>
      </c>
      <c r="N213" s="3" t="b">
        <v>1</v>
      </c>
      <c r="O213" s="3" t="b">
        <v>1</v>
      </c>
      <c r="P213" s="3" t="b">
        <v>0</v>
      </c>
      <c r="Q213" s="3" t="b">
        <v>1</v>
      </c>
      <c r="R213" s="3" t="b">
        <v>1</v>
      </c>
      <c r="S213" s="3" t="b">
        <v>1</v>
      </c>
      <c r="T213" s="3" t="b">
        <v>1</v>
      </c>
      <c r="U213" s="3" t="b">
        <v>0</v>
      </c>
      <c r="V213" s="3" t="b">
        <v>1</v>
      </c>
      <c r="W213" s="3" t="b">
        <v>1</v>
      </c>
      <c r="X213" s="3" t="b">
        <v>1</v>
      </c>
      <c r="Y213" s="3" t="b">
        <v>1</v>
      </c>
      <c r="Z213" s="3" t="b">
        <v>0</v>
      </c>
      <c r="AA213" s="3" t="b">
        <v>1</v>
      </c>
      <c r="AB213" s="3" t="b">
        <v>1</v>
      </c>
      <c r="AC213" s="3" t="b">
        <v>0</v>
      </c>
      <c r="AD213" s="3" t="b">
        <v>1</v>
      </c>
      <c r="AE213" s="3" t="b">
        <v>1</v>
      </c>
      <c r="AF213" s="3" t="b">
        <v>0</v>
      </c>
      <c r="AG213" s="3" t="b">
        <v>1</v>
      </c>
      <c r="AH213" s="3" t="b">
        <v>1</v>
      </c>
      <c r="AI213" s="3" t="b">
        <v>0</v>
      </c>
      <c r="AJ213" s="3" t="b">
        <v>1</v>
      </c>
      <c r="AK213" s="3" t="b">
        <v>0</v>
      </c>
      <c r="AL213" s="3" t="b">
        <v>0</v>
      </c>
      <c r="AM213" s="3" t="b">
        <v>0</v>
      </c>
      <c r="AN213" s="3" t="b">
        <v>0</v>
      </c>
      <c r="AO213" s="3" t="b">
        <v>0</v>
      </c>
    </row>
    <row r="214">
      <c r="A214" s="3" t="s">
        <v>46</v>
      </c>
      <c r="B214" s="3"/>
      <c r="C214" s="3"/>
      <c r="D214" s="3"/>
      <c r="E214" s="3">
        <v>0.0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>
        <v>0.0</v>
      </c>
      <c r="AM214" s="3">
        <v>0.0</v>
      </c>
      <c r="AN214" s="3">
        <v>0.0</v>
      </c>
      <c r="AO214" s="3"/>
    </row>
    <row r="215">
      <c r="A215" s="3" t="s">
        <v>47</v>
      </c>
      <c r="B215" s="3"/>
      <c r="C215" s="3"/>
      <c r="D215" s="3"/>
      <c r="E215" s="3">
        <v>0.0</v>
      </c>
      <c r="F215" s="3">
        <v>4.0</v>
      </c>
      <c r="G215" s="3"/>
      <c r="H215" s="3"/>
      <c r="I215" s="3"/>
      <c r="J215" s="3"/>
      <c r="K215" s="3"/>
      <c r="L215" s="3"/>
      <c r="M215" s="3"/>
      <c r="N215" s="3">
        <v>4.0</v>
      </c>
      <c r="O215" s="3"/>
      <c r="P215" s="3"/>
      <c r="Q215" s="3"/>
      <c r="R215" s="3">
        <v>4.0</v>
      </c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>
        <v>0.0</v>
      </c>
      <c r="AM215" s="3">
        <v>0.0</v>
      </c>
      <c r="AN215" s="3">
        <v>0.0</v>
      </c>
      <c r="AO215" s="3"/>
    </row>
    <row r="216">
      <c r="A216" s="3" t="s">
        <v>48</v>
      </c>
      <c r="B216" s="3"/>
      <c r="C216" s="3"/>
      <c r="D216" s="3"/>
      <c r="E216" s="3">
        <v>0.0</v>
      </c>
      <c r="F216" s="3"/>
      <c r="G216" s="3"/>
      <c r="H216" s="3"/>
      <c r="I216" s="3"/>
      <c r="J216" s="3"/>
      <c r="K216" s="3"/>
      <c r="L216" s="3">
        <v>4.0</v>
      </c>
      <c r="M216" s="3"/>
      <c r="N216" s="3"/>
      <c r="O216" s="3"/>
      <c r="P216" s="3"/>
      <c r="Q216" s="3"/>
      <c r="R216" s="3">
        <v>4.0</v>
      </c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>
        <v>0.0</v>
      </c>
      <c r="AM216" s="3">
        <v>0.0</v>
      </c>
      <c r="AN216" s="3">
        <v>0.0</v>
      </c>
      <c r="AO216" s="3"/>
    </row>
    <row r="217">
      <c r="A217" s="3" t="s">
        <v>49</v>
      </c>
      <c r="B217" s="3"/>
      <c r="C217" s="3"/>
      <c r="D217" s="3"/>
      <c r="E217" s="3">
        <v>0.0</v>
      </c>
      <c r="F217" s="3"/>
      <c r="G217" s="3"/>
      <c r="H217" s="3"/>
      <c r="I217" s="3"/>
      <c r="J217" s="3"/>
      <c r="K217" s="3"/>
      <c r="L217" s="3">
        <v>4.0</v>
      </c>
      <c r="M217" s="3"/>
      <c r="N217" s="3"/>
      <c r="O217" s="3"/>
      <c r="P217" s="3"/>
      <c r="Q217" s="3"/>
      <c r="R217" s="3"/>
      <c r="S217" s="3"/>
      <c r="T217" s="3">
        <v>4.0</v>
      </c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>
        <v>0.0</v>
      </c>
      <c r="AM217" s="3">
        <v>0.0</v>
      </c>
      <c r="AN217" s="3">
        <v>0.0</v>
      </c>
      <c r="AO217" s="3"/>
    </row>
    <row r="218">
      <c r="A218" s="3" t="s">
        <v>50</v>
      </c>
      <c r="B218" s="3"/>
      <c r="C218" s="3"/>
      <c r="D218" s="3"/>
      <c r="E218" s="3">
        <v>0.0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>
        <v>4.0</v>
      </c>
      <c r="Y218" s="3"/>
      <c r="Z218" s="3"/>
      <c r="AA218" s="3"/>
      <c r="AB218" s="3"/>
      <c r="AC218" s="3"/>
      <c r="AD218" s="3">
        <v>4.0</v>
      </c>
      <c r="AE218" s="3"/>
      <c r="AF218" s="3"/>
      <c r="AG218" s="3"/>
      <c r="AH218" s="3"/>
      <c r="AI218" s="3"/>
      <c r="AJ218" s="3"/>
      <c r="AK218" s="3"/>
      <c r="AL218" s="3">
        <v>0.0</v>
      </c>
      <c r="AM218" s="3">
        <v>0.0</v>
      </c>
      <c r="AN218" s="3">
        <v>0.0</v>
      </c>
      <c r="AO218" s="3"/>
    </row>
    <row r="219">
      <c r="A219" s="3" t="s">
        <v>51</v>
      </c>
      <c r="B219" s="3"/>
      <c r="C219" s="3"/>
      <c r="D219" s="3"/>
      <c r="E219" s="3">
        <v>0.0</v>
      </c>
      <c r="F219" s="3"/>
      <c r="G219" s="3"/>
      <c r="H219" s="3"/>
      <c r="I219" s="3"/>
      <c r="J219" s="3"/>
      <c r="K219" s="3"/>
      <c r="L219" s="3"/>
      <c r="M219" s="3"/>
      <c r="N219" s="3">
        <v>4.0</v>
      </c>
      <c r="O219" s="3"/>
      <c r="P219" s="3"/>
      <c r="Q219" s="3"/>
      <c r="R219" s="3"/>
      <c r="S219" s="3">
        <v>4.0</v>
      </c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>
        <v>4.0</v>
      </c>
      <c r="AE219" s="3"/>
      <c r="AF219" s="3"/>
      <c r="AG219" s="3"/>
      <c r="AH219" s="3"/>
      <c r="AI219" s="3"/>
      <c r="AJ219" s="3"/>
      <c r="AK219" s="3"/>
      <c r="AL219" s="3">
        <v>0.0</v>
      </c>
      <c r="AM219" s="3">
        <v>0.0</v>
      </c>
      <c r="AN219" s="3">
        <v>0.0</v>
      </c>
      <c r="AO219" s="3"/>
    </row>
    <row r="220">
      <c r="A220" s="3" t="s">
        <v>46</v>
      </c>
      <c r="B220" s="3"/>
      <c r="C220" s="3"/>
      <c r="D220" s="3"/>
      <c r="E220" s="3">
        <v>0.0</v>
      </c>
      <c r="F220" s="3"/>
      <c r="G220" s="3"/>
      <c r="H220" s="3"/>
      <c r="I220" s="3"/>
      <c r="J220" s="3"/>
      <c r="K220" s="3"/>
      <c r="L220" s="3"/>
      <c r="M220" s="3">
        <v>4.0</v>
      </c>
      <c r="N220" s="3">
        <v>4.0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>
        <v>4.0</v>
      </c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>
        <v>0.0</v>
      </c>
      <c r="AM220" s="3">
        <v>0.0</v>
      </c>
      <c r="AN220" s="3">
        <v>0.0</v>
      </c>
      <c r="AO220" s="3"/>
    </row>
    <row r="221">
      <c r="A221" s="3" t="s">
        <v>47</v>
      </c>
      <c r="B221" s="3"/>
      <c r="C221" s="3"/>
      <c r="D221" s="3"/>
      <c r="E221" s="3">
        <v>0.0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>
        <v>4.0</v>
      </c>
      <c r="W221" s="3"/>
      <c r="X221" s="3"/>
      <c r="Y221" s="3"/>
      <c r="Z221" s="3"/>
      <c r="AA221" s="3"/>
      <c r="AB221" s="3"/>
      <c r="AC221" s="3"/>
      <c r="AD221" s="3">
        <v>4.0</v>
      </c>
      <c r="AE221" s="3"/>
      <c r="AF221" s="3"/>
      <c r="AG221" s="3"/>
      <c r="AH221" s="3"/>
      <c r="AI221" s="3"/>
      <c r="AJ221" s="3"/>
      <c r="AK221" s="3"/>
      <c r="AL221" s="3">
        <v>0.0</v>
      </c>
      <c r="AM221" s="3">
        <v>0.0</v>
      </c>
      <c r="AN221" s="3">
        <v>0.0</v>
      </c>
      <c r="AO221" s="3"/>
    </row>
    <row r="222">
      <c r="A222" s="3" t="s">
        <v>48</v>
      </c>
      <c r="B222" s="3"/>
      <c r="C222" s="3"/>
      <c r="D222" s="3"/>
      <c r="E222" s="3">
        <v>0.0</v>
      </c>
      <c r="F222" s="3"/>
      <c r="G222" s="3"/>
      <c r="H222" s="3"/>
      <c r="I222" s="3"/>
      <c r="J222" s="3"/>
      <c r="K222" s="3"/>
      <c r="L222" s="3"/>
      <c r="M222" s="3"/>
      <c r="N222" s="3">
        <v>4.0</v>
      </c>
      <c r="O222" s="3"/>
      <c r="P222" s="3"/>
      <c r="Q222" s="3"/>
      <c r="R222" s="3"/>
      <c r="S222" s="3">
        <v>-4.0</v>
      </c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>
        <v>4.0</v>
      </c>
      <c r="AE222" s="3"/>
      <c r="AF222" s="3"/>
      <c r="AG222" s="3"/>
      <c r="AH222" s="3"/>
      <c r="AI222" s="3"/>
      <c r="AJ222" s="3"/>
      <c r="AK222" s="3"/>
      <c r="AL222" s="3">
        <v>0.0</v>
      </c>
      <c r="AM222" s="3">
        <v>0.0</v>
      </c>
      <c r="AN222" s="3">
        <v>0.0</v>
      </c>
      <c r="AO222" s="3"/>
    </row>
    <row r="223">
      <c r="A223" s="3" t="s">
        <v>49</v>
      </c>
      <c r="B223" s="3"/>
      <c r="C223" s="3"/>
      <c r="D223" s="3"/>
      <c r="E223" s="3">
        <v>0.0</v>
      </c>
      <c r="F223" s="3"/>
      <c r="G223" s="3"/>
      <c r="H223" s="3">
        <v>4.0</v>
      </c>
      <c r="I223" s="3"/>
      <c r="J223" s="3"/>
      <c r="K223" s="3"/>
      <c r="L223" s="3"/>
      <c r="M223" s="3">
        <v>4.0</v>
      </c>
      <c r="N223" s="3">
        <v>-4.0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>
        <v>0.0</v>
      </c>
      <c r="AM223" s="3">
        <v>0.0</v>
      </c>
      <c r="AN223" s="3">
        <v>0.0</v>
      </c>
      <c r="AO223" s="3"/>
    </row>
    <row r="224">
      <c r="A224" s="3" t="s">
        <v>50</v>
      </c>
      <c r="B224" s="3"/>
      <c r="C224" s="3"/>
      <c r="D224" s="3"/>
      <c r="E224" s="3">
        <v>0.0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>
        <v>4.0</v>
      </c>
      <c r="AC224" s="3"/>
      <c r="AD224" s="3">
        <v>4.0</v>
      </c>
      <c r="AE224" s="3"/>
      <c r="AF224" s="3"/>
      <c r="AG224" s="3"/>
      <c r="AH224" s="3"/>
      <c r="AI224" s="3"/>
      <c r="AJ224" s="3"/>
      <c r="AK224" s="3"/>
      <c r="AL224" s="3">
        <v>0.0</v>
      </c>
      <c r="AM224" s="3">
        <v>0.0</v>
      </c>
      <c r="AN224" s="3">
        <v>0.0</v>
      </c>
      <c r="AO224" s="3"/>
    </row>
    <row r="225">
      <c r="A225" s="3" t="s">
        <v>51</v>
      </c>
      <c r="B225" s="3"/>
      <c r="C225" s="3"/>
      <c r="D225" s="3"/>
      <c r="E225" s="3">
        <v>0.0</v>
      </c>
      <c r="F225" s="3">
        <v>4.0</v>
      </c>
      <c r="G225" s="3"/>
      <c r="H225" s="3"/>
      <c r="I225" s="3"/>
      <c r="J225" s="3"/>
      <c r="K225" s="3"/>
      <c r="L225" s="3"/>
      <c r="M225" s="3"/>
      <c r="N225" s="3"/>
      <c r="O225" s="3">
        <v>-4.0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>
        <v>0.0</v>
      </c>
      <c r="AM225" s="3">
        <v>0.0</v>
      </c>
      <c r="AN225" s="3">
        <v>0.0</v>
      </c>
      <c r="AO225" s="3"/>
    </row>
    <row r="226">
      <c r="B226" s="3" t="b">
        <v>1</v>
      </c>
      <c r="C226" s="3" t="b">
        <v>0</v>
      </c>
      <c r="D226" s="3" t="b">
        <v>1</v>
      </c>
      <c r="E226" s="3" t="b">
        <v>0</v>
      </c>
      <c r="F226" s="3" t="b">
        <v>1</v>
      </c>
      <c r="G226" s="3" t="b">
        <v>1</v>
      </c>
      <c r="H226" s="3" t="b">
        <v>1</v>
      </c>
      <c r="I226" s="3" t="b">
        <v>0</v>
      </c>
      <c r="J226" s="3" t="b">
        <v>1</v>
      </c>
      <c r="K226" s="3" t="b">
        <v>1</v>
      </c>
      <c r="L226" s="3" t="b">
        <v>1</v>
      </c>
      <c r="M226" s="3" t="b">
        <v>1</v>
      </c>
      <c r="N226" s="3" t="b">
        <v>1</v>
      </c>
      <c r="O226" s="3" t="b">
        <v>1</v>
      </c>
      <c r="P226" s="3" t="b">
        <v>0</v>
      </c>
      <c r="Q226" s="3" t="b">
        <v>1</v>
      </c>
      <c r="R226" s="3" t="b">
        <v>1</v>
      </c>
      <c r="S226" s="3" t="b">
        <v>1</v>
      </c>
      <c r="T226" s="3" t="b">
        <v>1</v>
      </c>
      <c r="U226" s="3" t="b">
        <v>0</v>
      </c>
      <c r="V226" s="3" t="b">
        <v>1</v>
      </c>
      <c r="W226" s="3" t="b">
        <v>1</v>
      </c>
      <c r="X226" s="3" t="b">
        <v>1</v>
      </c>
      <c r="Y226" s="3" t="b">
        <v>1</v>
      </c>
      <c r="Z226" s="3" t="b">
        <v>0</v>
      </c>
      <c r="AA226" s="3" t="b">
        <v>1</v>
      </c>
      <c r="AB226" s="3" t="b">
        <v>1</v>
      </c>
      <c r="AC226" s="3" t="b">
        <v>0</v>
      </c>
      <c r="AD226" s="3" t="b">
        <v>1</v>
      </c>
      <c r="AE226" s="3" t="b">
        <v>1</v>
      </c>
      <c r="AF226" s="3" t="b">
        <v>0</v>
      </c>
      <c r="AG226" s="3" t="b">
        <v>1</v>
      </c>
      <c r="AH226" s="3" t="b">
        <v>1</v>
      </c>
      <c r="AI226" s="3" t="b">
        <v>0</v>
      </c>
      <c r="AJ226" s="3" t="b">
        <v>1</v>
      </c>
      <c r="AK226" s="3" t="b">
        <v>0</v>
      </c>
      <c r="AL226" s="3" t="b">
        <v>0</v>
      </c>
      <c r="AM226" s="3" t="b">
        <v>0</v>
      </c>
      <c r="AN226" s="3" t="b">
        <v>0</v>
      </c>
      <c r="AO226" s="3" t="b">
        <v>0</v>
      </c>
    </row>
    <row r="227">
      <c r="A227" s="3" t="s">
        <v>46</v>
      </c>
      <c r="B227" s="3"/>
      <c r="C227" s="3"/>
      <c r="D227" s="3"/>
      <c r="E227" s="3">
        <v>0.0</v>
      </c>
      <c r="F227" s="3"/>
      <c r="G227" s="3"/>
      <c r="H227" s="3"/>
      <c r="I227" s="3"/>
      <c r="J227" s="3"/>
      <c r="K227" s="3">
        <v>4.0</v>
      </c>
      <c r="L227" s="3">
        <v>4.0</v>
      </c>
      <c r="M227" s="3"/>
      <c r="N227" s="3"/>
      <c r="O227" s="3"/>
      <c r="P227" s="3"/>
      <c r="Q227" s="3"/>
      <c r="R227" s="3"/>
      <c r="S227" s="3"/>
      <c r="T227" s="3">
        <v>4.0</v>
      </c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>
        <v>0.0</v>
      </c>
      <c r="AM227" s="3">
        <v>0.0</v>
      </c>
      <c r="AN227" s="3">
        <v>0.0</v>
      </c>
      <c r="AO227" s="3"/>
    </row>
    <row r="228">
      <c r="A228" s="3" t="s">
        <v>47</v>
      </c>
      <c r="B228" s="3"/>
      <c r="C228" s="3"/>
      <c r="D228" s="3"/>
      <c r="E228" s="3">
        <v>0.0</v>
      </c>
      <c r="F228" s="3"/>
      <c r="G228" s="3"/>
      <c r="H228" s="3"/>
      <c r="I228" s="3"/>
      <c r="J228" s="3"/>
      <c r="K228" s="3"/>
      <c r="L228" s="3"/>
      <c r="M228" s="3"/>
      <c r="N228" s="3">
        <v>4.0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>
        <v>0.0</v>
      </c>
      <c r="AM228" s="3">
        <v>0.0</v>
      </c>
      <c r="AN228" s="3">
        <v>0.0</v>
      </c>
      <c r="AO228" s="3"/>
    </row>
    <row r="229">
      <c r="A229" s="3" t="s">
        <v>48</v>
      </c>
      <c r="B229" s="3"/>
      <c r="C229" s="3"/>
      <c r="D229" s="3"/>
      <c r="E229" s="3">
        <v>0.0</v>
      </c>
      <c r="F229" s="3"/>
      <c r="G229" s="3"/>
      <c r="H229" s="3"/>
      <c r="I229" s="3"/>
      <c r="J229" s="3"/>
      <c r="K229" s="3"/>
      <c r="L229" s="3"/>
      <c r="M229" s="3"/>
      <c r="N229" s="3">
        <v>4.0</v>
      </c>
      <c r="O229" s="3"/>
      <c r="P229" s="3"/>
      <c r="Q229" s="3"/>
      <c r="R229" s="3"/>
      <c r="S229" s="3">
        <v>-4.0</v>
      </c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>
        <v>4.0</v>
      </c>
      <c r="AH229" s="3"/>
      <c r="AI229" s="3"/>
      <c r="AJ229" s="3"/>
      <c r="AK229" s="3"/>
      <c r="AL229" s="3">
        <v>0.0</v>
      </c>
      <c r="AM229" s="3">
        <v>0.0</v>
      </c>
      <c r="AN229" s="3">
        <v>0.0</v>
      </c>
      <c r="AO229" s="3"/>
    </row>
    <row r="230">
      <c r="A230" s="3" t="s">
        <v>49</v>
      </c>
      <c r="B230" s="3"/>
      <c r="C230" s="3"/>
      <c r="D230" s="3"/>
      <c r="E230" s="3">
        <v>0.0</v>
      </c>
      <c r="F230" s="3"/>
      <c r="G230" s="3"/>
      <c r="H230" s="3"/>
      <c r="I230" s="3"/>
      <c r="J230" s="3">
        <v>4.0</v>
      </c>
      <c r="K230" s="3"/>
      <c r="L230" s="3">
        <v>4.0</v>
      </c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>
        <v>0.0</v>
      </c>
      <c r="AM230" s="3">
        <v>0.0</v>
      </c>
      <c r="AN230" s="3">
        <v>0.0</v>
      </c>
      <c r="AO230" s="3"/>
    </row>
    <row r="231">
      <c r="A231" s="3" t="s">
        <v>50</v>
      </c>
      <c r="B231" s="3"/>
      <c r="C231" s="3"/>
      <c r="D231" s="3"/>
      <c r="E231" s="3">
        <v>0.0</v>
      </c>
      <c r="F231" s="3"/>
      <c r="G231" s="3"/>
      <c r="H231" s="3"/>
      <c r="I231" s="3"/>
      <c r="J231" s="3"/>
      <c r="K231" s="3"/>
      <c r="L231" s="3"/>
      <c r="M231" s="3"/>
      <c r="N231" s="3">
        <v>4.0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>
        <v>4.0</v>
      </c>
      <c r="AK231" s="3"/>
      <c r="AL231" s="3">
        <v>0.0</v>
      </c>
      <c r="AM231" s="3">
        <v>0.0</v>
      </c>
      <c r="AN231" s="3">
        <v>0.0</v>
      </c>
      <c r="AO231" s="3"/>
    </row>
    <row r="232">
      <c r="A232" s="3" t="s">
        <v>51</v>
      </c>
      <c r="B232" s="3"/>
      <c r="C232" s="3"/>
      <c r="D232" s="3"/>
      <c r="E232" s="3">
        <v>0.0</v>
      </c>
      <c r="F232" s="3"/>
      <c r="G232" s="3"/>
      <c r="H232" s="3"/>
      <c r="I232" s="3"/>
      <c r="J232" s="3"/>
      <c r="K232" s="3"/>
      <c r="L232" s="3"/>
      <c r="M232" s="3">
        <v>4.0</v>
      </c>
      <c r="N232" s="3">
        <v>4.0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>
        <v>0.0</v>
      </c>
      <c r="AM232" s="3">
        <v>0.0</v>
      </c>
      <c r="AN232" s="3">
        <v>0.0</v>
      </c>
      <c r="AO232" s="3"/>
    </row>
    <row r="233">
      <c r="A233" s="3" t="s">
        <v>46</v>
      </c>
      <c r="B233" s="3"/>
      <c r="C233" s="3"/>
      <c r="D233" s="3"/>
      <c r="E233" s="3">
        <v>0.0</v>
      </c>
      <c r="F233" s="3"/>
      <c r="G233" s="3"/>
      <c r="H233" s="3"/>
      <c r="I233" s="3"/>
      <c r="J233" s="3"/>
      <c r="K233" s="3"/>
      <c r="L233" s="3"/>
      <c r="M233" s="3"/>
      <c r="N233" s="3">
        <v>4.0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>
        <v>0.0</v>
      </c>
      <c r="AM233" s="3">
        <v>0.0</v>
      </c>
      <c r="AN233" s="3">
        <v>0.0</v>
      </c>
      <c r="AO233" s="3"/>
    </row>
    <row r="234">
      <c r="A234" s="3" t="s">
        <v>47</v>
      </c>
      <c r="B234" s="3"/>
      <c r="C234" s="3"/>
      <c r="D234" s="3"/>
      <c r="E234" s="3">
        <v>0.0</v>
      </c>
      <c r="F234" s="3">
        <v>4.0</v>
      </c>
      <c r="G234" s="3"/>
      <c r="H234" s="3"/>
      <c r="I234" s="3"/>
      <c r="J234" s="3"/>
      <c r="K234" s="3"/>
      <c r="L234" s="3"/>
      <c r="M234" s="3"/>
      <c r="N234" s="3"/>
      <c r="O234" s="3">
        <v>4.0</v>
      </c>
      <c r="P234" s="3"/>
      <c r="Q234" s="3"/>
      <c r="R234" s="3">
        <v>4.0</v>
      </c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>
        <v>0.0</v>
      </c>
      <c r="AM234" s="3">
        <v>0.0</v>
      </c>
      <c r="AN234" s="3">
        <v>0.0</v>
      </c>
      <c r="AO234" s="3"/>
    </row>
    <row r="235">
      <c r="A235" s="3" t="s">
        <v>48</v>
      </c>
      <c r="B235" s="3"/>
      <c r="C235" s="3"/>
      <c r="D235" s="3"/>
      <c r="E235" s="3">
        <v>0.0</v>
      </c>
      <c r="F235" s="3"/>
      <c r="G235" s="3"/>
      <c r="H235" s="3"/>
      <c r="I235" s="3"/>
      <c r="J235" s="3">
        <v>4.0</v>
      </c>
      <c r="K235" s="3">
        <v>4.0</v>
      </c>
      <c r="L235" s="3"/>
      <c r="M235" s="3"/>
      <c r="N235" s="3">
        <v>4.0</v>
      </c>
      <c r="O235" s="3"/>
      <c r="P235" s="3"/>
      <c r="Q235" s="3"/>
      <c r="R235" s="3"/>
      <c r="S235" s="3">
        <v>-4.0</v>
      </c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>
        <v>0.0</v>
      </c>
      <c r="AM235" s="3">
        <v>0.0</v>
      </c>
      <c r="AN235" s="3">
        <v>0.0</v>
      </c>
      <c r="AO235" s="3"/>
    </row>
    <row r="236">
      <c r="A236" s="3" t="s">
        <v>49</v>
      </c>
      <c r="B236" s="3"/>
      <c r="C236" s="3"/>
      <c r="D236" s="3"/>
      <c r="E236" s="3">
        <v>0.0</v>
      </c>
      <c r="F236" s="3"/>
      <c r="G236" s="3"/>
      <c r="H236" s="3"/>
      <c r="I236" s="3"/>
      <c r="J236" s="3"/>
      <c r="K236" s="3">
        <v>-4.0</v>
      </c>
      <c r="L236" s="3"/>
      <c r="M236" s="3"/>
      <c r="N236" s="3"/>
      <c r="O236" s="3"/>
      <c r="P236" s="3"/>
      <c r="Q236" s="3">
        <v>4.0</v>
      </c>
      <c r="R236" s="3"/>
      <c r="S236" s="3"/>
      <c r="T236" s="3">
        <v>-4.0</v>
      </c>
      <c r="U236" s="3"/>
      <c r="V236" s="3"/>
      <c r="W236" s="3"/>
      <c r="X236" s="3"/>
      <c r="Y236" s="3"/>
      <c r="Z236" s="3"/>
      <c r="AA236" s="3">
        <v>4.0</v>
      </c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>
        <v>0.0</v>
      </c>
      <c r="AM236" s="3">
        <v>0.0</v>
      </c>
      <c r="AN236" s="3">
        <v>0.0</v>
      </c>
      <c r="AO236" s="3"/>
    </row>
    <row r="237">
      <c r="A237" s="3" t="s">
        <v>50</v>
      </c>
      <c r="B237" s="3"/>
      <c r="C237" s="3"/>
      <c r="D237" s="3"/>
      <c r="E237" s="3">
        <v>0.0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>
        <v>-4.0</v>
      </c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>
        <v>0.0</v>
      </c>
      <c r="AM237" s="3">
        <v>0.0</v>
      </c>
      <c r="AN237" s="3">
        <v>0.0</v>
      </c>
      <c r="AO237" s="3"/>
    </row>
    <row r="238">
      <c r="A238" s="3" t="s">
        <v>51</v>
      </c>
      <c r="B238" s="3"/>
      <c r="C238" s="3"/>
      <c r="D238" s="3"/>
      <c r="E238" s="3">
        <v>0.0</v>
      </c>
      <c r="F238" s="3"/>
      <c r="G238" s="3"/>
      <c r="H238" s="3"/>
      <c r="I238" s="3"/>
      <c r="J238" s="3"/>
      <c r="K238" s="3"/>
      <c r="L238" s="3"/>
      <c r="M238" s="3"/>
      <c r="N238" s="3">
        <v>4.0</v>
      </c>
      <c r="O238" s="3"/>
      <c r="P238" s="3"/>
      <c r="Q238" s="3"/>
      <c r="R238" s="3"/>
      <c r="S238" s="3"/>
      <c r="T238" s="3">
        <v>4.0</v>
      </c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>
        <v>0.0</v>
      </c>
      <c r="AM238" s="3">
        <v>0.0</v>
      </c>
      <c r="AN238" s="3">
        <v>0.0</v>
      </c>
      <c r="AO238" s="3"/>
    </row>
    <row r="239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</row>
    <row r="240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</row>
    <row r="241">
      <c r="B241" s="3" t="str">
        <f t="array" ref="B241:AO270">transpose(sort(transpose(All!B241:AO270),2,true))</f>
        <v>Middleton C</v>
      </c>
      <c r="C241" s="3" t="s">
        <v>0</v>
      </c>
      <c r="D241" s="3" t="s">
        <v>5</v>
      </c>
      <c r="E241" s="3" t="s">
        <v>2</v>
      </c>
      <c r="F241" s="3" t="s">
        <v>3</v>
      </c>
      <c r="G241" s="3" t="s">
        <v>4</v>
      </c>
      <c r="H241" s="3" t="s">
        <v>5</v>
      </c>
      <c r="I241" s="3" t="s">
        <v>0</v>
      </c>
      <c r="J241" s="3" t="s">
        <v>3</v>
      </c>
      <c r="K241" s="3" t="s">
        <v>2</v>
      </c>
      <c r="L241" s="3" t="s">
        <v>1</v>
      </c>
      <c r="M241" s="3" t="s">
        <v>7</v>
      </c>
      <c r="N241" s="3" t="s">
        <v>4</v>
      </c>
      <c r="O241" s="3" t="s">
        <v>4</v>
      </c>
      <c r="P241" s="3" t="s">
        <v>6</v>
      </c>
      <c r="Q241" s="3" t="s">
        <v>7</v>
      </c>
      <c r="R241" s="3" t="s">
        <v>7</v>
      </c>
      <c r="S241" s="3" t="s">
        <v>5</v>
      </c>
      <c r="T241" s="3" t="s">
        <v>3</v>
      </c>
      <c r="U241" s="3" t="s">
        <v>0</v>
      </c>
      <c r="V241" s="3" t="s">
        <v>1</v>
      </c>
      <c r="W241" s="3" t="s">
        <v>4</v>
      </c>
      <c r="X241" s="3" t="s">
        <v>1</v>
      </c>
      <c r="Y241" s="3" t="s">
        <v>5</v>
      </c>
      <c r="Z241" s="3" t="s">
        <v>0</v>
      </c>
      <c r="AA241" s="3" t="s">
        <v>1</v>
      </c>
      <c r="AB241" s="3" t="s">
        <v>4</v>
      </c>
      <c r="AC241" s="3" t="s">
        <v>0</v>
      </c>
      <c r="AD241" s="3" t="s">
        <v>2</v>
      </c>
      <c r="AE241" s="3" t="s">
        <v>3</v>
      </c>
      <c r="AF241" s="3" t="s">
        <v>6</v>
      </c>
      <c r="AG241" s="3" t="s">
        <v>3</v>
      </c>
      <c r="AH241" s="3" t="s">
        <v>5</v>
      </c>
      <c r="AI241" s="3" t="s">
        <v>6</v>
      </c>
      <c r="AJ241" s="3" t="s">
        <v>7</v>
      </c>
      <c r="AK241" s="3" t="s">
        <v>6</v>
      </c>
      <c r="AL241" s="3" t="s">
        <v>1</v>
      </c>
      <c r="AM241" s="3" t="s">
        <v>7</v>
      </c>
      <c r="AN241" s="3" t="s">
        <v>2</v>
      </c>
      <c r="AO241" s="3" t="s">
        <v>6</v>
      </c>
    </row>
    <row r="242">
      <c r="B242" s="3" t="s">
        <v>20</v>
      </c>
      <c r="C242" s="3" t="s">
        <v>14</v>
      </c>
      <c r="D242" s="3" t="s">
        <v>36</v>
      </c>
      <c r="E242" s="3" t="s">
        <v>22</v>
      </c>
      <c r="F242" s="3" t="s">
        <v>23</v>
      </c>
      <c r="G242" s="3" t="s">
        <v>31</v>
      </c>
      <c r="H242" s="3" t="s">
        <v>34</v>
      </c>
      <c r="I242" s="3" t="s">
        <v>12</v>
      </c>
      <c r="J242" s="3" t="s">
        <v>24</v>
      </c>
      <c r="K242" s="3" t="s">
        <v>19</v>
      </c>
      <c r="L242" s="3" t="s">
        <v>15</v>
      </c>
      <c r="M242" s="3" t="s">
        <v>45</v>
      </c>
      <c r="N242" s="3" t="s">
        <v>29</v>
      </c>
      <c r="O242" s="3" t="s">
        <v>28</v>
      </c>
      <c r="P242" s="3" t="s">
        <v>38</v>
      </c>
      <c r="Q242" s="3" t="s">
        <v>44</v>
      </c>
      <c r="R242" s="3" t="s">
        <v>42</v>
      </c>
      <c r="S242" s="3" t="s">
        <v>35</v>
      </c>
      <c r="T242" s="3" t="s">
        <v>25</v>
      </c>
      <c r="U242" s="3" t="s">
        <v>10</v>
      </c>
      <c r="V242" s="3" t="s">
        <v>16</v>
      </c>
      <c r="W242" s="3" t="s">
        <v>32</v>
      </c>
      <c r="X242" s="3" t="s">
        <v>18</v>
      </c>
      <c r="Y242" s="3" t="s">
        <v>37</v>
      </c>
      <c r="Z242" s="3" t="s">
        <v>11</v>
      </c>
      <c r="AA242" s="3" t="s">
        <v>17</v>
      </c>
      <c r="AB242" s="3" t="s">
        <v>30</v>
      </c>
      <c r="AC242" s="3" t="s">
        <v>13</v>
      </c>
      <c r="AD242" s="3" t="s">
        <v>21</v>
      </c>
      <c r="AE242" s="3" t="s">
        <v>27</v>
      </c>
      <c r="AF242" s="3" t="s">
        <v>40</v>
      </c>
      <c r="AG242" s="3" t="s">
        <v>26</v>
      </c>
      <c r="AH242" s="3" t="s">
        <v>33</v>
      </c>
      <c r="AI242" s="3" t="s">
        <v>39</v>
      </c>
      <c r="AJ242" s="3" t="s">
        <v>43</v>
      </c>
      <c r="AK242" s="3" t="s">
        <v>41</v>
      </c>
      <c r="AL242" s="3"/>
      <c r="AM242" s="3"/>
      <c r="AN242" s="3"/>
      <c r="AO242" s="3"/>
    </row>
    <row r="243">
      <c r="B243" s="3" t="b">
        <v>0</v>
      </c>
      <c r="C243" s="3" t="b">
        <v>0</v>
      </c>
      <c r="D243" s="3" t="b">
        <v>0</v>
      </c>
      <c r="E243" s="3" t="b">
        <v>0</v>
      </c>
      <c r="F243" s="3" t="b">
        <v>1</v>
      </c>
      <c r="G243" s="3" t="b">
        <v>0</v>
      </c>
      <c r="H243" s="3" t="b">
        <v>0</v>
      </c>
      <c r="I243" s="3" t="b">
        <v>0</v>
      </c>
      <c r="J243" s="3" t="b">
        <v>1</v>
      </c>
      <c r="K243" s="3" t="b">
        <v>0</v>
      </c>
      <c r="L243" s="3" t="b">
        <v>1</v>
      </c>
      <c r="M243" s="3" t="b">
        <v>0</v>
      </c>
      <c r="N243" s="3" t="b">
        <v>0</v>
      </c>
      <c r="O243" s="3" t="b">
        <v>0</v>
      </c>
      <c r="P243" s="3" t="b">
        <v>0</v>
      </c>
      <c r="Q243" s="3" t="b">
        <v>0</v>
      </c>
      <c r="R243" s="3" t="b">
        <v>0</v>
      </c>
      <c r="S243" s="3" t="b">
        <v>0</v>
      </c>
      <c r="T243" s="3" t="b">
        <v>1</v>
      </c>
      <c r="U243" s="3" t="b">
        <v>0</v>
      </c>
      <c r="V243" s="3" t="b">
        <v>1</v>
      </c>
      <c r="W243" s="3" t="b">
        <v>0</v>
      </c>
      <c r="X243" s="3" t="b">
        <v>1</v>
      </c>
      <c r="Y243" s="3" t="b">
        <v>0</v>
      </c>
      <c r="Z243" s="3" t="b">
        <v>0</v>
      </c>
      <c r="AA243" s="3" t="b">
        <v>1</v>
      </c>
      <c r="AB243" s="3" t="b">
        <v>0</v>
      </c>
      <c r="AC243" s="3" t="b">
        <v>0</v>
      </c>
      <c r="AD243" s="3" t="b">
        <v>0</v>
      </c>
      <c r="AE243" s="3" t="b">
        <v>1</v>
      </c>
      <c r="AF243" s="3" t="b">
        <v>0</v>
      </c>
      <c r="AG243" s="3" t="b">
        <v>1</v>
      </c>
      <c r="AH243" s="3" t="b">
        <v>0</v>
      </c>
      <c r="AI243" s="3" t="b">
        <v>0</v>
      </c>
      <c r="AJ243" s="3" t="b">
        <v>0</v>
      </c>
      <c r="AK243" s="3" t="b">
        <v>0</v>
      </c>
      <c r="AL243" s="3" t="b">
        <v>0</v>
      </c>
      <c r="AM243" s="3" t="b">
        <v>0</v>
      </c>
      <c r="AN243" s="3" t="b">
        <v>0</v>
      </c>
      <c r="AO243" s="3" t="b">
        <v>0</v>
      </c>
    </row>
    <row r="244">
      <c r="A244" s="3" t="s">
        <v>46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>
        <v>0.0</v>
      </c>
      <c r="AM244" s="3"/>
      <c r="AN244" s="3"/>
      <c r="AO244" s="3"/>
    </row>
    <row r="245">
      <c r="A245" s="3" t="s">
        <v>47</v>
      </c>
      <c r="B245" s="3"/>
      <c r="C245" s="3"/>
      <c r="D245" s="3"/>
      <c r="E245" s="3"/>
      <c r="F245" s="3">
        <v>4.0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>
        <v>0.0</v>
      </c>
      <c r="AM245" s="3"/>
      <c r="AN245" s="3"/>
      <c r="AO245" s="3"/>
    </row>
    <row r="246">
      <c r="A246" s="3" t="s">
        <v>48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>
        <v>4.0</v>
      </c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>
        <v>0.0</v>
      </c>
      <c r="AM246" s="3"/>
      <c r="AN246" s="3"/>
      <c r="AO246" s="3"/>
    </row>
    <row r="247">
      <c r="A247" s="3" t="s">
        <v>49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>
        <v>4.0</v>
      </c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>
        <v>0.0</v>
      </c>
      <c r="AM247" s="3"/>
      <c r="AN247" s="3"/>
      <c r="AO247" s="3"/>
    </row>
    <row r="248">
      <c r="A248" s="3" t="s">
        <v>50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>
        <v>4.0</v>
      </c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>
        <v>0.0</v>
      </c>
      <c r="AM248" s="3"/>
      <c r="AN248" s="3"/>
      <c r="AO248" s="3"/>
    </row>
    <row r="249">
      <c r="A249" s="3" t="s">
        <v>51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>
        <v>0.0</v>
      </c>
      <c r="AM249" s="3"/>
      <c r="AN249" s="3"/>
      <c r="AO249" s="3"/>
    </row>
    <row r="250">
      <c r="A250" s="3" t="s">
        <v>46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>
        <v>0.0</v>
      </c>
      <c r="AM250" s="3"/>
      <c r="AN250" s="3"/>
      <c r="AO250" s="3"/>
    </row>
    <row r="251">
      <c r="A251" s="3" t="s">
        <v>47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>
        <v>0.0</v>
      </c>
      <c r="AM251" s="3"/>
      <c r="AN251" s="3"/>
      <c r="AO251" s="3"/>
    </row>
    <row r="252">
      <c r="A252" s="3" t="s">
        <v>48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>
        <v>0.0</v>
      </c>
      <c r="AM252" s="3"/>
      <c r="AN252" s="3"/>
      <c r="AO252" s="3"/>
    </row>
    <row r="253">
      <c r="A253" s="3" t="s">
        <v>49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>
        <v>4.0</v>
      </c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>
        <v>0.0</v>
      </c>
      <c r="AM253" s="3"/>
      <c r="AN253" s="3"/>
      <c r="AO253" s="3"/>
    </row>
    <row r="254">
      <c r="A254" s="3" t="s">
        <v>50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>
        <v>4.0</v>
      </c>
      <c r="AH254" s="3"/>
      <c r="AI254" s="3"/>
      <c r="AJ254" s="3"/>
      <c r="AK254" s="3"/>
      <c r="AL254" s="3">
        <v>0.0</v>
      </c>
      <c r="AM254" s="3"/>
      <c r="AN254" s="3"/>
      <c r="AO254" s="3"/>
    </row>
    <row r="255">
      <c r="A255" s="3" t="s">
        <v>51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>
        <v>0.0</v>
      </c>
      <c r="AM255" s="3"/>
      <c r="AN255" s="3"/>
      <c r="AO255" s="3"/>
    </row>
    <row r="256">
      <c r="B256" s="3" t="b">
        <v>0</v>
      </c>
      <c r="C256" s="3" t="b">
        <v>0</v>
      </c>
      <c r="D256" s="3" t="b">
        <v>0</v>
      </c>
      <c r="E256" s="3" t="b">
        <v>0</v>
      </c>
      <c r="F256" s="3" t="b">
        <v>1</v>
      </c>
      <c r="G256" s="3" t="b">
        <v>0</v>
      </c>
      <c r="H256" s="3" t="b">
        <v>0</v>
      </c>
      <c r="I256" s="3" t="b">
        <v>0</v>
      </c>
      <c r="J256" s="3" t="b">
        <v>1</v>
      </c>
      <c r="K256" s="3" t="b">
        <v>0</v>
      </c>
      <c r="L256" s="3" t="b">
        <v>1</v>
      </c>
      <c r="M256" s="3" t="b">
        <v>0</v>
      </c>
      <c r="N256" s="3" t="b">
        <v>0</v>
      </c>
      <c r="O256" s="3" t="b">
        <v>0</v>
      </c>
      <c r="P256" s="3" t="b">
        <v>0</v>
      </c>
      <c r="Q256" s="3" t="b">
        <v>0</v>
      </c>
      <c r="R256" s="3" t="b">
        <v>0</v>
      </c>
      <c r="S256" s="3" t="b">
        <v>0</v>
      </c>
      <c r="T256" s="3" t="b">
        <v>1</v>
      </c>
      <c r="U256" s="3" t="b">
        <v>0</v>
      </c>
      <c r="V256" s="3" t="b">
        <v>1</v>
      </c>
      <c r="W256" s="3" t="b">
        <v>0</v>
      </c>
      <c r="X256" s="3" t="b">
        <v>1</v>
      </c>
      <c r="Y256" s="3" t="b">
        <v>0</v>
      </c>
      <c r="Z256" s="3" t="b">
        <v>0</v>
      </c>
      <c r="AA256" s="3" t="b">
        <v>1</v>
      </c>
      <c r="AB256" s="3" t="b">
        <v>0</v>
      </c>
      <c r="AC256" s="3" t="b">
        <v>0</v>
      </c>
      <c r="AD256" s="3" t="b">
        <v>0</v>
      </c>
      <c r="AE256" s="3" t="b">
        <v>1</v>
      </c>
      <c r="AF256" s="3" t="b">
        <v>0</v>
      </c>
      <c r="AG256" s="3" t="b">
        <v>1</v>
      </c>
      <c r="AH256" s="3" t="b">
        <v>0</v>
      </c>
      <c r="AI256" s="3" t="b">
        <v>0</v>
      </c>
      <c r="AJ256" s="3" t="b">
        <v>0</v>
      </c>
      <c r="AK256" s="3" t="b">
        <v>0</v>
      </c>
      <c r="AL256" s="3" t="b">
        <v>0</v>
      </c>
      <c r="AM256" s="3" t="b">
        <v>0</v>
      </c>
      <c r="AN256" s="3" t="b">
        <v>0</v>
      </c>
      <c r="AO256" s="3" t="b">
        <v>0</v>
      </c>
    </row>
    <row r="257">
      <c r="A257" s="3" t="s">
        <v>46</v>
      </c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>
        <v>4.0</v>
      </c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>
        <v>0.0</v>
      </c>
      <c r="AM257" s="3"/>
      <c r="AN257" s="3"/>
      <c r="AO257" s="3"/>
    </row>
    <row r="258">
      <c r="A258" s="3" t="s">
        <v>47</v>
      </c>
      <c r="B258" s="3"/>
      <c r="C258" s="3"/>
      <c r="D258" s="3"/>
      <c r="E258" s="3"/>
      <c r="F258" s="3">
        <v>4.0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>
        <v>0.0</v>
      </c>
      <c r="AM258" s="3"/>
      <c r="AN258" s="3"/>
      <c r="AO258" s="3"/>
    </row>
    <row r="259">
      <c r="A259" s="3" t="s">
        <v>48</v>
      </c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>
        <v>4.0</v>
      </c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>
        <v>0.0</v>
      </c>
      <c r="AM259" s="3"/>
      <c r="AN259" s="3"/>
      <c r="AO259" s="3"/>
    </row>
    <row r="260">
      <c r="A260" s="3" t="s">
        <v>49</v>
      </c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>
        <v>4.0</v>
      </c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>
        <v>0.0</v>
      </c>
      <c r="AM260" s="3"/>
      <c r="AN260" s="3"/>
      <c r="AO260" s="3"/>
    </row>
    <row r="261">
      <c r="A261" s="3" t="s">
        <v>50</v>
      </c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>
        <v>4.0</v>
      </c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>
        <v>0.0</v>
      </c>
      <c r="AM261" s="3"/>
      <c r="AN261" s="3"/>
      <c r="AO261" s="3"/>
    </row>
    <row r="262">
      <c r="A262" s="3" t="s">
        <v>51</v>
      </c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>
        <v>0.0</v>
      </c>
      <c r="AM262" s="3"/>
      <c r="AN262" s="3"/>
      <c r="AO262" s="3"/>
    </row>
    <row r="263">
      <c r="A263" s="3" t="s">
        <v>46</v>
      </c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>
        <v>0.0</v>
      </c>
      <c r="AM263" s="3"/>
      <c r="AN263" s="3"/>
      <c r="AO263" s="3"/>
    </row>
    <row r="264">
      <c r="A264" s="3" t="s">
        <v>47</v>
      </c>
      <c r="B264" s="3"/>
      <c r="C264" s="3"/>
      <c r="D264" s="3"/>
      <c r="E264" s="3"/>
      <c r="F264" s="3">
        <v>4.0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>
        <v>0.0</v>
      </c>
      <c r="AM264" s="3"/>
      <c r="AN264" s="3"/>
      <c r="AO264" s="3"/>
    </row>
    <row r="265">
      <c r="A265" s="3" t="s">
        <v>48</v>
      </c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>
        <v>4.0</v>
      </c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>
        <v>0.0</v>
      </c>
      <c r="AM265" s="3"/>
      <c r="AN265" s="3"/>
      <c r="AO265" s="3"/>
    </row>
    <row r="266">
      <c r="A266" s="3" t="s">
        <v>49</v>
      </c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>
        <v>4.0</v>
      </c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>
        <v>0.0</v>
      </c>
      <c r="AM266" s="3"/>
      <c r="AN266" s="3"/>
      <c r="AO266" s="3"/>
    </row>
    <row r="267">
      <c r="A267" s="3" t="s">
        <v>50</v>
      </c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>
        <v>-4.0</v>
      </c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>
        <v>0.0</v>
      </c>
      <c r="AM267" s="3"/>
      <c r="AN267" s="3"/>
      <c r="AO267" s="3"/>
    </row>
    <row r="268">
      <c r="A268" s="3" t="s">
        <v>51</v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>
        <v>4.0</v>
      </c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>
        <v>0.0</v>
      </c>
      <c r="AM268" s="3"/>
      <c r="AN268" s="3"/>
      <c r="AO268" s="3"/>
    </row>
    <row r="269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</row>
    <row r="270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</row>
    <row r="271">
      <c r="B271" s="3" t="str">
        <f t="array" ref="B271:AO300">transpose(sort(transpose(All!B271:AO300),2,true))</f>
        <v>Middleton C</v>
      </c>
      <c r="C271" s="3" t="s">
        <v>0</v>
      </c>
      <c r="D271" s="3" t="s">
        <v>5</v>
      </c>
      <c r="E271" s="3" t="s">
        <v>2</v>
      </c>
      <c r="F271" s="3" t="s">
        <v>3</v>
      </c>
      <c r="G271" s="3" t="s">
        <v>4</v>
      </c>
      <c r="H271" s="3" t="s">
        <v>5</v>
      </c>
      <c r="I271" s="3" t="s">
        <v>0</v>
      </c>
      <c r="J271" s="3" t="s">
        <v>3</v>
      </c>
      <c r="K271" s="3" t="s">
        <v>2</v>
      </c>
      <c r="L271" s="3" t="s">
        <v>1</v>
      </c>
      <c r="M271" s="3" t="s">
        <v>7</v>
      </c>
      <c r="N271" s="3" t="s">
        <v>4</v>
      </c>
      <c r="O271" s="3" t="s">
        <v>4</v>
      </c>
      <c r="P271" s="3" t="s">
        <v>6</v>
      </c>
      <c r="Q271" s="3" t="s">
        <v>7</v>
      </c>
      <c r="R271" s="3" t="s">
        <v>7</v>
      </c>
      <c r="S271" s="3" t="s">
        <v>5</v>
      </c>
      <c r="T271" s="3" t="s">
        <v>3</v>
      </c>
      <c r="U271" s="3" t="s">
        <v>0</v>
      </c>
      <c r="V271" s="3" t="s">
        <v>1</v>
      </c>
      <c r="W271" s="3" t="s">
        <v>4</v>
      </c>
      <c r="X271" s="3" t="s">
        <v>1</v>
      </c>
      <c r="Y271" s="3" t="s">
        <v>5</v>
      </c>
      <c r="Z271" s="3" t="s">
        <v>0</v>
      </c>
      <c r="AA271" s="3" t="s">
        <v>1</v>
      </c>
      <c r="AB271" s="3" t="s">
        <v>4</v>
      </c>
      <c r="AC271" s="3" t="s">
        <v>0</v>
      </c>
      <c r="AD271" s="3" t="s">
        <v>2</v>
      </c>
      <c r="AE271" s="3" t="s">
        <v>3</v>
      </c>
      <c r="AF271" s="3" t="s">
        <v>6</v>
      </c>
      <c r="AG271" s="3" t="s">
        <v>3</v>
      </c>
      <c r="AH271" s="3" t="s">
        <v>5</v>
      </c>
      <c r="AI271" s="3" t="s">
        <v>6</v>
      </c>
      <c r="AJ271" s="3" t="s">
        <v>7</v>
      </c>
      <c r="AK271" s="3" t="s">
        <v>6</v>
      </c>
      <c r="AL271" s="3" t="s">
        <v>1</v>
      </c>
      <c r="AM271" s="3" t="s">
        <v>7</v>
      </c>
      <c r="AN271" s="3" t="s">
        <v>2</v>
      </c>
      <c r="AO271" s="3" t="s">
        <v>6</v>
      </c>
    </row>
    <row r="272">
      <c r="B272" s="3" t="s">
        <v>20</v>
      </c>
      <c r="C272" s="3" t="s">
        <v>14</v>
      </c>
      <c r="D272" s="3" t="s">
        <v>36</v>
      </c>
      <c r="E272" s="3" t="s">
        <v>22</v>
      </c>
      <c r="F272" s="3" t="s">
        <v>23</v>
      </c>
      <c r="G272" s="3" t="s">
        <v>31</v>
      </c>
      <c r="H272" s="3" t="s">
        <v>34</v>
      </c>
      <c r="I272" s="3" t="s">
        <v>12</v>
      </c>
      <c r="J272" s="3" t="s">
        <v>24</v>
      </c>
      <c r="K272" s="3" t="s">
        <v>19</v>
      </c>
      <c r="L272" s="3" t="s">
        <v>15</v>
      </c>
      <c r="M272" s="3" t="s">
        <v>45</v>
      </c>
      <c r="N272" s="3" t="s">
        <v>29</v>
      </c>
      <c r="O272" s="3" t="s">
        <v>28</v>
      </c>
      <c r="P272" s="3" t="s">
        <v>38</v>
      </c>
      <c r="Q272" s="3" t="s">
        <v>44</v>
      </c>
      <c r="R272" s="3" t="s">
        <v>42</v>
      </c>
      <c r="S272" s="3" t="s">
        <v>35</v>
      </c>
      <c r="T272" s="3" t="s">
        <v>25</v>
      </c>
      <c r="U272" s="3" t="s">
        <v>10</v>
      </c>
      <c r="V272" s="3" t="s">
        <v>16</v>
      </c>
      <c r="W272" s="3" t="s">
        <v>32</v>
      </c>
      <c r="X272" s="3" t="s">
        <v>18</v>
      </c>
      <c r="Y272" s="3" t="s">
        <v>37</v>
      </c>
      <c r="Z272" s="3" t="s">
        <v>11</v>
      </c>
      <c r="AA272" s="3" t="s">
        <v>17</v>
      </c>
      <c r="AB272" s="3" t="s">
        <v>30</v>
      </c>
      <c r="AC272" s="3" t="s">
        <v>13</v>
      </c>
      <c r="AD272" s="3" t="s">
        <v>21</v>
      </c>
      <c r="AE272" s="3" t="s">
        <v>27</v>
      </c>
      <c r="AF272" s="3" t="s">
        <v>40</v>
      </c>
      <c r="AG272" s="3" t="s">
        <v>26</v>
      </c>
      <c r="AH272" s="3" t="s">
        <v>33</v>
      </c>
      <c r="AI272" s="3" t="s">
        <v>39</v>
      </c>
      <c r="AJ272" s="3" t="s">
        <v>43</v>
      </c>
      <c r="AK272" s="3" t="s">
        <v>41</v>
      </c>
      <c r="AL272" s="3"/>
      <c r="AM272" s="3"/>
      <c r="AN272" s="3"/>
      <c r="AO272" s="3"/>
    </row>
    <row r="273">
      <c r="B273" s="3" t="b">
        <v>0</v>
      </c>
      <c r="C273" s="3" t="b">
        <v>0</v>
      </c>
      <c r="D273" s="3" t="b">
        <v>0</v>
      </c>
      <c r="E273" s="3" t="b">
        <v>0</v>
      </c>
      <c r="F273" s="3" t="b">
        <v>0</v>
      </c>
      <c r="G273" s="3" t="b">
        <v>1</v>
      </c>
      <c r="H273" s="3" t="b">
        <v>0</v>
      </c>
      <c r="I273" s="3" t="b">
        <v>0</v>
      </c>
      <c r="J273" s="3" t="b">
        <v>0</v>
      </c>
      <c r="K273" s="3" t="b">
        <v>0</v>
      </c>
      <c r="L273" s="3" t="b">
        <v>1</v>
      </c>
      <c r="M273" s="3" t="b">
        <v>0</v>
      </c>
      <c r="N273" s="3" t="b">
        <v>1</v>
      </c>
      <c r="O273" s="3" t="b">
        <v>1</v>
      </c>
      <c r="P273" s="3" t="b">
        <v>0</v>
      </c>
      <c r="Q273" s="3" t="b">
        <v>0</v>
      </c>
      <c r="R273" s="3" t="b">
        <v>0</v>
      </c>
      <c r="S273" s="3" t="b">
        <v>0</v>
      </c>
      <c r="T273" s="3" t="b">
        <v>0</v>
      </c>
      <c r="U273" s="3" t="b">
        <v>0</v>
      </c>
      <c r="V273" s="3" t="b">
        <v>1</v>
      </c>
      <c r="W273" s="3" t="b">
        <v>1</v>
      </c>
      <c r="X273" s="3" t="b">
        <v>1</v>
      </c>
      <c r="Y273" s="3" t="b">
        <v>0</v>
      </c>
      <c r="Z273" s="3" t="b">
        <v>0</v>
      </c>
      <c r="AA273" s="3" t="b">
        <v>1</v>
      </c>
      <c r="AB273" s="3" t="b">
        <v>1</v>
      </c>
      <c r="AC273" s="3" t="b">
        <v>0</v>
      </c>
      <c r="AD273" s="3" t="b">
        <v>0</v>
      </c>
      <c r="AE273" s="3" t="b">
        <v>0</v>
      </c>
      <c r="AF273" s="3" t="b">
        <v>0</v>
      </c>
      <c r="AG273" s="3" t="b">
        <v>0</v>
      </c>
      <c r="AH273" s="3" t="b">
        <v>0</v>
      </c>
      <c r="AI273" s="3" t="b">
        <v>0</v>
      </c>
      <c r="AJ273" s="3" t="b">
        <v>0</v>
      </c>
      <c r="AK273" s="3" t="b">
        <v>0</v>
      </c>
      <c r="AL273" s="3" t="b">
        <v>0</v>
      </c>
      <c r="AM273" s="3" t="b">
        <v>0</v>
      </c>
      <c r="AN273" s="3" t="b">
        <v>0</v>
      </c>
      <c r="AO273" s="3" t="b">
        <v>0</v>
      </c>
    </row>
    <row r="274">
      <c r="A274" s="3" t="s">
        <v>46</v>
      </c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>
        <v>4.0</v>
      </c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>
        <v>0.0</v>
      </c>
      <c r="AM274" s="3"/>
      <c r="AN274" s="3"/>
      <c r="AO274" s="3"/>
    </row>
    <row r="275">
      <c r="A275" s="3" t="s">
        <v>47</v>
      </c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>
        <v>4.0</v>
      </c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>
        <v>0.0</v>
      </c>
      <c r="AM275" s="3"/>
      <c r="AN275" s="3"/>
      <c r="AO275" s="3"/>
    </row>
    <row r="276">
      <c r="A276" s="3" t="s">
        <v>48</v>
      </c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>
        <v>4.0</v>
      </c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>
        <v>0.0</v>
      </c>
      <c r="AM276" s="3"/>
      <c r="AN276" s="3"/>
      <c r="AO276" s="3"/>
    </row>
    <row r="277">
      <c r="A277" s="3" t="s">
        <v>49</v>
      </c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>
        <v>4.0</v>
      </c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>
        <v>0.0</v>
      </c>
      <c r="AM277" s="3"/>
      <c r="AN277" s="3"/>
      <c r="AO277" s="3"/>
    </row>
    <row r="278">
      <c r="A278" s="3" t="s">
        <v>50</v>
      </c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>
        <v>-4.0</v>
      </c>
      <c r="O278" s="3"/>
      <c r="P278" s="3"/>
      <c r="Q278" s="3"/>
      <c r="R278" s="3"/>
      <c r="S278" s="3"/>
      <c r="T278" s="3"/>
      <c r="U278" s="3"/>
      <c r="V278" s="3"/>
      <c r="W278" s="3"/>
      <c r="X278" s="3">
        <v>4.0</v>
      </c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>
        <v>0.0</v>
      </c>
      <c r="AM278" s="3"/>
      <c r="AN278" s="3"/>
      <c r="AO278" s="3"/>
    </row>
    <row r="279">
      <c r="A279" s="3" t="s">
        <v>51</v>
      </c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>
        <v>4.0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>
        <v>0.0</v>
      </c>
      <c r="AM279" s="3"/>
      <c r="AN279" s="3"/>
      <c r="AO279" s="3"/>
    </row>
    <row r="280">
      <c r="A280" s="3" t="s">
        <v>46</v>
      </c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>
        <v>4.0</v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>
        <v>0.0</v>
      </c>
      <c r="AM280" s="3"/>
      <c r="AN280" s="3"/>
      <c r="AO280" s="3"/>
    </row>
    <row r="281">
      <c r="A281" s="3" t="s">
        <v>47</v>
      </c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>
        <v>4.0</v>
      </c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>
        <v>0.0</v>
      </c>
      <c r="AM281" s="3"/>
      <c r="AN281" s="3"/>
      <c r="AO281" s="3"/>
    </row>
    <row r="282">
      <c r="A282" s="3" t="s">
        <v>48</v>
      </c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>
        <v>0.0</v>
      </c>
      <c r="AM282" s="3"/>
      <c r="AN282" s="3"/>
      <c r="AO282" s="3"/>
    </row>
    <row r="283">
      <c r="A283" s="3" t="s">
        <v>49</v>
      </c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>
        <v>4.0</v>
      </c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>
        <v>0.0</v>
      </c>
      <c r="AM283" s="3"/>
      <c r="AN283" s="3"/>
      <c r="AO283" s="3"/>
    </row>
    <row r="284">
      <c r="A284" s="3" t="s">
        <v>50</v>
      </c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>
        <v>4.0</v>
      </c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>
        <v>0.0</v>
      </c>
      <c r="AM284" s="3"/>
      <c r="AN284" s="3"/>
      <c r="AO284" s="3"/>
    </row>
    <row r="285">
      <c r="A285" s="3" t="s">
        <v>51</v>
      </c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>
        <v>4.0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>
        <v>0.0</v>
      </c>
      <c r="AM285" s="3"/>
      <c r="AN285" s="3"/>
      <c r="AO285" s="3"/>
    </row>
    <row r="286">
      <c r="B286" s="3" t="b">
        <v>0</v>
      </c>
      <c r="C286" s="3" t="b">
        <v>0</v>
      </c>
      <c r="D286" s="3" t="b">
        <v>0</v>
      </c>
      <c r="E286" s="3" t="b">
        <v>0</v>
      </c>
      <c r="F286" s="3" t="b">
        <v>0</v>
      </c>
      <c r="G286" s="3" t="b">
        <v>1</v>
      </c>
      <c r="H286" s="3" t="b">
        <v>0</v>
      </c>
      <c r="I286" s="3" t="b">
        <v>0</v>
      </c>
      <c r="J286" s="3" t="b">
        <v>0</v>
      </c>
      <c r="K286" s="3" t="b">
        <v>0</v>
      </c>
      <c r="L286" s="3" t="b">
        <v>1</v>
      </c>
      <c r="M286" s="3" t="b">
        <v>0</v>
      </c>
      <c r="N286" s="3" t="b">
        <v>1</v>
      </c>
      <c r="O286" s="3" t="b">
        <v>1</v>
      </c>
      <c r="P286" s="3" t="b">
        <v>0</v>
      </c>
      <c r="Q286" s="3" t="b">
        <v>0</v>
      </c>
      <c r="R286" s="3" t="b">
        <v>0</v>
      </c>
      <c r="S286" s="3" t="b">
        <v>0</v>
      </c>
      <c r="T286" s="3" t="b">
        <v>0</v>
      </c>
      <c r="U286" s="3" t="b">
        <v>0</v>
      </c>
      <c r="V286" s="3" t="b">
        <v>1</v>
      </c>
      <c r="W286" s="3" t="b">
        <v>1</v>
      </c>
      <c r="X286" s="3" t="b">
        <v>1</v>
      </c>
      <c r="Y286" s="3" t="b">
        <v>0</v>
      </c>
      <c r="Z286" s="3" t="b">
        <v>0</v>
      </c>
      <c r="AA286" s="3" t="b">
        <v>1</v>
      </c>
      <c r="AB286" s="3" t="b">
        <v>1</v>
      </c>
      <c r="AC286" s="3" t="b">
        <v>0</v>
      </c>
      <c r="AD286" s="3" t="b">
        <v>0</v>
      </c>
      <c r="AE286" s="3" t="b">
        <v>0</v>
      </c>
      <c r="AF286" s="3" t="b">
        <v>0</v>
      </c>
      <c r="AG286" s="3" t="b">
        <v>0</v>
      </c>
      <c r="AH286" s="3" t="b">
        <v>0</v>
      </c>
      <c r="AI286" s="3" t="b">
        <v>0</v>
      </c>
      <c r="AJ286" s="3" t="b">
        <v>0</v>
      </c>
      <c r="AK286" s="3" t="b">
        <v>0</v>
      </c>
      <c r="AL286" s="3" t="b">
        <v>0</v>
      </c>
      <c r="AM286" s="3" t="b">
        <v>0</v>
      </c>
      <c r="AN286" s="3" t="b">
        <v>0</v>
      </c>
      <c r="AO286" s="3" t="b">
        <v>0</v>
      </c>
    </row>
    <row r="287">
      <c r="A287" s="3" t="s">
        <v>46</v>
      </c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>
        <v>-4.0</v>
      </c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>
        <v>0.0</v>
      </c>
      <c r="AM287" s="3"/>
      <c r="AN287" s="3"/>
      <c r="AO287" s="3"/>
    </row>
    <row r="288">
      <c r="A288" s="3" t="s">
        <v>47</v>
      </c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>
        <v>4.0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>
        <v>0.0</v>
      </c>
      <c r="AM288" s="3"/>
      <c r="AN288" s="3"/>
      <c r="AO288" s="3"/>
    </row>
    <row r="289">
      <c r="A289" s="3" t="s">
        <v>48</v>
      </c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>
        <v>4.0</v>
      </c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>
        <v>0.0</v>
      </c>
      <c r="AM289" s="3"/>
      <c r="AN289" s="3"/>
      <c r="AO289" s="3"/>
    </row>
    <row r="290">
      <c r="A290" s="3" t="s">
        <v>49</v>
      </c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>
        <v>4.0</v>
      </c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>
        <v>0.0</v>
      </c>
      <c r="AM290" s="3"/>
      <c r="AN290" s="3"/>
      <c r="AO290" s="3"/>
    </row>
    <row r="291">
      <c r="A291" s="3" t="s">
        <v>50</v>
      </c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>
        <v>4.0</v>
      </c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>
        <v>0.0</v>
      </c>
      <c r="AM291" s="3"/>
      <c r="AN291" s="3"/>
      <c r="AO291" s="3"/>
    </row>
    <row r="292">
      <c r="A292" s="3" t="s">
        <v>51</v>
      </c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>
        <v>4.0</v>
      </c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>
        <v>0.0</v>
      </c>
      <c r="AM292" s="3"/>
      <c r="AN292" s="3"/>
      <c r="AO292" s="3"/>
    </row>
    <row r="293">
      <c r="A293" s="3" t="s">
        <v>46</v>
      </c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>
        <v>4.0</v>
      </c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>
        <v>0.0</v>
      </c>
      <c r="AM293" s="3"/>
      <c r="AN293" s="3"/>
      <c r="AO293" s="3"/>
    </row>
    <row r="294">
      <c r="A294" s="3" t="s">
        <v>47</v>
      </c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>
        <v>4.0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>
        <v>0.0</v>
      </c>
      <c r="AM294" s="3"/>
      <c r="AN294" s="3"/>
      <c r="AO294" s="3"/>
    </row>
    <row r="295">
      <c r="A295" s="3" t="s">
        <v>48</v>
      </c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>
        <v>4.0</v>
      </c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>
        <v>0.0</v>
      </c>
      <c r="AM295" s="3"/>
      <c r="AN295" s="3"/>
      <c r="AO295" s="3"/>
    </row>
    <row r="296">
      <c r="A296" s="3" t="s">
        <v>49</v>
      </c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>
        <v>-4.0</v>
      </c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>
        <v>0.0</v>
      </c>
      <c r="AM296" s="3"/>
      <c r="AN296" s="3"/>
      <c r="AO296" s="3"/>
    </row>
    <row r="297">
      <c r="A297" s="3" t="s">
        <v>50</v>
      </c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>
        <v>4.0</v>
      </c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>
        <v>0.0</v>
      </c>
      <c r="AM297" s="3"/>
      <c r="AN297" s="3"/>
      <c r="AO297" s="3"/>
    </row>
    <row r="298">
      <c r="A298" s="3" t="s">
        <v>51</v>
      </c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>
        <v>4.0</v>
      </c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>
        <v>-4.0</v>
      </c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>
        <v>0.0</v>
      </c>
      <c r="AM298" s="3"/>
      <c r="AN298" s="3"/>
      <c r="AO298" s="3"/>
    </row>
    <row r="299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</row>
    <row r="300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</row>
    <row r="301">
      <c r="B301" s="3" t="str">
        <f t="array" ref="B301:AI330">transpose(sort(transpose(All!B301:AI330),2,true))</f>
        <v/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</row>
    <row r="302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</row>
    <row r="303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</row>
    <row r="304">
      <c r="A304" s="3" t="s">
        <v>46</v>
      </c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</row>
    <row r="305">
      <c r="A305" s="3" t="s">
        <v>47</v>
      </c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</row>
    <row r="306">
      <c r="A306" s="3" t="s">
        <v>48</v>
      </c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</row>
    <row r="307">
      <c r="A307" s="3" t="s">
        <v>49</v>
      </c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</row>
    <row r="308">
      <c r="A308" s="3" t="s">
        <v>50</v>
      </c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</row>
    <row r="309">
      <c r="A309" s="3" t="s">
        <v>51</v>
      </c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</row>
    <row r="310">
      <c r="A310" s="3" t="s">
        <v>46</v>
      </c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</row>
    <row r="311">
      <c r="A311" s="3" t="s">
        <v>47</v>
      </c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</row>
    <row r="312">
      <c r="A312" s="3" t="s">
        <v>48</v>
      </c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</row>
    <row r="313">
      <c r="A313" s="3" t="s">
        <v>49</v>
      </c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</row>
    <row r="314">
      <c r="A314" s="3" t="s">
        <v>50</v>
      </c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</row>
    <row r="315">
      <c r="A315" s="3" t="s">
        <v>51</v>
      </c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</row>
    <row r="316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</row>
    <row r="317">
      <c r="A317" s="3" t="s">
        <v>46</v>
      </c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</row>
    <row r="318">
      <c r="A318" s="3" t="s">
        <v>47</v>
      </c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</row>
    <row r="319">
      <c r="A319" s="3" t="s">
        <v>48</v>
      </c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</row>
    <row r="320">
      <c r="A320" s="3" t="s">
        <v>49</v>
      </c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</row>
    <row r="321">
      <c r="A321" s="3" t="s">
        <v>50</v>
      </c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</row>
    <row r="322">
      <c r="A322" s="3" t="s">
        <v>51</v>
      </c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</row>
    <row r="323">
      <c r="A323" s="3" t="s">
        <v>46</v>
      </c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</row>
    <row r="324">
      <c r="A324" s="3" t="s">
        <v>47</v>
      </c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</row>
    <row r="325">
      <c r="A325" s="3" t="s">
        <v>48</v>
      </c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</row>
    <row r="326">
      <c r="A326" s="3" t="s">
        <v>49</v>
      </c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</row>
    <row r="327">
      <c r="A327" s="3" t="s">
        <v>50</v>
      </c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</row>
    <row r="328">
      <c r="A328" s="3" t="s">
        <v>51</v>
      </c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</row>
    <row r="329">
      <c r="A329" s="3" t="str">
        <f t="shared" ref="A329:A330" si="1">AM329</f>
        <v/>
      </c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</row>
    <row r="330">
      <c r="A330" s="3" t="str">
        <f t="shared" si="1"/>
        <v/>
      </c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</row>
    <row r="331">
      <c r="A331" s="7" t="s">
        <v>92</v>
      </c>
      <c r="B331" s="8" t="s">
        <v>20</v>
      </c>
      <c r="C331" s="8" t="s">
        <v>14</v>
      </c>
      <c r="D331" s="8" t="s">
        <v>36</v>
      </c>
      <c r="E331" s="8" t="s">
        <v>22</v>
      </c>
      <c r="F331" s="8" t="s">
        <v>23</v>
      </c>
      <c r="G331" s="8" t="s">
        <v>31</v>
      </c>
      <c r="H331" s="8" t="s">
        <v>34</v>
      </c>
      <c r="I331" s="8" t="s">
        <v>12</v>
      </c>
      <c r="J331" s="8" t="s">
        <v>24</v>
      </c>
      <c r="K331" s="8" t="s">
        <v>19</v>
      </c>
      <c r="L331" s="8" t="s">
        <v>15</v>
      </c>
      <c r="M331" s="8" t="s">
        <v>45</v>
      </c>
      <c r="N331" s="8" t="s">
        <v>29</v>
      </c>
      <c r="O331" s="8" t="s">
        <v>28</v>
      </c>
      <c r="P331" s="8" t="s">
        <v>38</v>
      </c>
      <c r="Q331" s="8" t="s">
        <v>44</v>
      </c>
      <c r="R331" s="8" t="s">
        <v>42</v>
      </c>
      <c r="S331" s="8" t="s">
        <v>35</v>
      </c>
      <c r="T331" s="8" t="s">
        <v>25</v>
      </c>
      <c r="U331" s="8" t="s">
        <v>10</v>
      </c>
      <c r="V331" s="8" t="s">
        <v>16</v>
      </c>
      <c r="W331" s="8" t="s">
        <v>32</v>
      </c>
      <c r="X331" s="8" t="s">
        <v>18</v>
      </c>
      <c r="Y331" s="8" t="s">
        <v>37</v>
      </c>
      <c r="Z331" s="8" t="s">
        <v>11</v>
      </c>
      <c r="AA331" s="8" t="s">
        <v>17</v>
      </c>
      <c r="AB331" s="8" t="s">
        <v>30</v>
      </c>
      <c r="AC331" s="8" t="s">
        <v>13</v>
      </c>
      <c r="AD331" s="7" t="s">
        <v>21</v>
      </c>
      <c r="AE331" s="8" t="s">
        <v>27</v>
      </c>
      <c r="AF331" s="8" t="s">
        <v>40</v>
      </c>
      <c r="AG331" s="8" t="s">
        <v>26</v>
      </c>
      <c r="AH331" s="8" t="s">
        <v>33</v>
      </c>
      <c r="AI331" s="8" t="s">
        <v>39</v>
      </c>
      <c r="AJ331" s="8" t="s">
        <v>43</v>
      </c>
      <c r="AK331" s="8" t="s">
        <v>41</v>
      </c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</row>
    <row r="332">
      <c r="A332" s="7" t="s">
        <v>54</v>
      </c>
      <c r="B332" s="8">
        <f t="shared" ref="B332:AK332" si="2">countif(B1:B330,"TRUE")/2</f>
        <v>8</v>
      </c>
      <c r="C332" s="8">
        <f t="shared" si="2"/>
        <v>6</v>
      </c>
      <c r="D332" s="8">
        <f t="shared" si="2"/>
        <v>8</v>
      </c>
      <c r="E332" s="8">
        <f t="shared" si="2"/>
        <v>7</v>
      </c>
      <c r="F332" s="8">
        <f t="shared" si="2"/>
        <v>9</v>
      </c>
      <c r="G332" s="8">
        <f t="shared" si="2"/>
        <v>8</v>
      </c>
      <c r="H332" s="8">
        <f t="shared" si="2"/>
        <v>8</v>
      </c>
      <c r="I332" s="8">
        <f t="shared" si="2"/>
        <v>6</v>
      </c>
      <c r="J332" s="8">
        <f t="shared" si="2"/>
        <v>9</v>
      </c>
      <c r="K332" s="8">
        <f t="shared" si="2"/>
        <v>8</v>
      </c>
      <c r="L332" s="8">
        <f t="shared" si="2"/>
        <v>9</v>
      </c>
      <c r="M332" s="8">
        <f t="shared" si="2"/>
        <v>8</v>
      </c>
      <c r="N332" s="8">
        <f t="shared" si="2"/>
        <v>8</v>
      </c>
      <c r="O332" s="8">
        <f t="shared" si="2"/>
        <v>8</v>
      </c>
      <c r="P332" s="8">
        <f t="shared" si="2"/>
        <v>6</v>
      </c>
      <c r="Q332" s="8">
        <f t="shared" si="2"/>
        <v>8</v>
      </c>
      <c r="R332" s="8">
        <f t="shared" si="2"/>
        <v>8</v>
      </c>
      <c r="S332" s="8">
        <f t="shared" si="2"/>
        <v>8</v>
      </c>
      <c r="T332" s="8">
        <f t="shared" si="2"/>
        <v>9</v>
      </c>
      <c r="U332" s="8">
        <f t="shared" si="2"/>
        <v>6</v>
      </c>
      <c r="V332" s="8">
        <f t="shared" si="2"/>
        <v>9</v>
      </c>
      <c r="W332" s="8">
        <f t="shared" si="2"/>
        <v>8</v>
      </c>
      <c r="X332" s="8">
        <f t="shared" si="2"/>
        <v>9</v>
      </c>
      <c r="Y332" s="8">
        <f t="shared" si="2"/>
        <v>8</v>
      </c>
      <c r="Z332" s="8">
        <f t="shared" si="2"/>
        <v>6</v>
      </c>
      <c r="AA332" s="8">
        <f t="shared" si="2"/>
        <v>9</v>
      </c>
      <c r="AB332" s="8">
        <f t="shared" si="2"/>
        <v>8</v>
      </c>
      <c r="AC332" s="8">
        <f t="shared" si="2"/>
        <v>6</v>
      </c>
      <c r="AD332" s="8">
        <f t="shared" si="2"/>
        <v>8</v>
      </c>
      <c r="AE332" s="8">
        <f t="shared" si="2"/>
        <v>9</v>
      </c>
      <c r="AF332" s="8">
        <f t="shared" si="2"/>
        <v>6</v>
      </c>
      <c r="AG332" s="8">
        <f t="shared" si="2"/>
        <v>9</v>
      </c>
      <c r="AH332" s="8">
        <f t="shared" si="2"/>
        <v>8</v>
      </c>
      <c r="AI332" s="8">
        <f t="shared" si="2"/>
        <v>6</v>
      </c>
      <c r="AJ332" s="8">
        <f t="shared" si="2"/>
        <v>8</v>
      </c>
      <c r="AK332" s="8">
        <f t="shared" si="2"/>
        <v>6</v>
      </c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</row>
    <row r="333">
      <c r="A333" s="7" t="s">
        <v>55</v>
      </c>
      <c r="B333" s="8">
        <f t="shared" ref="B333:AK333" si="3">countif(B1:B330,"4")</f>
        <v>0</v>
      </c>
      <c r="C333" s="8">
        <f t="shared" si="3"/>
        <v>3</v>
      </c>
      <c r="D333" s="8">
        <f t="shared" si="3"/>
        <v>12</v>
      </c>
      <c r="E333" s="8">
        <f t="shared" si="3"/>
        <v>17</v>
      </c>
      <c r="F333" s="8">
        <f t="shared" si="3"/>
        <v>33</v>
      </c>
      <c r="G333" s="8">
        <f t="shared" si="3"/>
        <v>0</v>
      </c>
      <c r="H333" s="8">
        <f t="shared" si="3"/>
        <v>9</v>
      </c>
      <c r="I333" s="8">
        <f t="shared" si="3"/>
        <v>2</v>
      </c>
      <c r="J333" s="8">
        <f t="shared" si="3"/>
        <v>19</v>
      </c>
      <c r="K333" s="8">
        <f t="shared" si="3"/>
        <v>9</v>
      </c>
      <c r="L333" s="8">
        <f t="shared" si="3"/>
        <v>52</v>
      </c>
      <c r="M333" s="8">
        <f t="shared" si="3"/>
        <v>11</v>
      </c>
      <c r="N333" s="8">
        <f t="shared" si="3"/>
        <v>72</v>
      </c>
      <c r="O333" s="8">
        <f t="shared" si="3"/>
        <v>24</v>
      </c>
      <c r="P333" s="8">
        <f t="shared" si="3"/>
        <v>4</v>
      </c>
      <c r="Q333" s="8">
        <f t="shared" si="3"/>
        <v>6</v>
      </c>
      <c r="R333" s="8">
        <f t="shared" si="3"/>
        <v>27</v>
      </c>
      <c r="S333" s="8">
        <f t="shared" si="3"/>
        <v>29</v>
      </c>
      <c r="T333" s="8">
        <f t="shared" si="3"/>
        <v>15</v>
      </c>
      <c r="U333" s="8">
        <f t="shared" si="3"/>
        <v>0</v>
      </c>
      <c r="V333" s="8">
        <f t="shared" si="3"/>
        <v>8</v>
      </c>
      <c r="W333" s="8">
        <f t="shared" si="3"/>
        <v>0</v>
      </c>
      <c r="X333" s="8">
        <f t="shared" si="3"/>
        <v>24</v>
      </c>
      <c r="Y333" s="8">
        <f t="shared" si="3"/>
        <v>5</v>
      </c>
      <c r="Z333" s="8">
        <f t="shared" si="3"/>
        <v>19</v>
      </c>
      <c r="AA333" s="8">
        <f t="shared" si="3"/>
        <v>19</v>
      </c>
      <c r="AB333" s="8">
        <f t="shared" si="3"/>
        <v>10</v>
      </c>
      <c r="AC333" s="8">
        <f t="shared" si="3"/>
        <v>5</v>
      </c>
      <c r="AD333" s="8">
        <f t="shared" si="3"/>
        <v>12</v>
      </c>
      <c r="AE333" s="8">
        <f t="shared" si="3"/>
        <v>0</v>
      </c>
      <c r="AF333" s="8">
        <f t="shared" si="3"/>
        <v>6</v>
      </c>
      <c r="AG333" s="8">
        <f t="shared" si="3"/>
        <v>7</v>
      </c>
      <c r="AH333" s="8">
        <f t="shared" si="3"/>
        <v>9</v>
      </c>
      <c r="AI333" s="8">
        <f t="shared" si="3"/>
        <v>9</v>
      </c>
      <c r="AJ333" s="8">
        <f t="shared" si="3"/>
        <v>4</v>
      </c>
      <c r="AK333" s="8">
        <f t="shared" si="3"/>
        <v>16</v>
      </c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</row>
    <row r="334">
      <c r="A334" s="7" t="s">
        <v>56</v>
      </c>
      <c r="B334" s="8">
        <f t="shared" ref="B334:AK334" si="4">countif(B2:B331,"-4")</f>
        <v>1</v>
      </c>
      <c r="C334" s="8">
        <f t="shared" si="4"/>
        <v>0</v>
      </c>
      <c r="D334" s="8">
        <f t="shared" si="4"/>
        <v>1</v>
      </c>
      <c r="E334" s="8">
        <f t="shared" si="4"/>
        <v>6</v>
      </c>
      <c r="F334" s="8">
        <f t="shared" si="4"/>
        <v>0</v>
      </c>
      <c r="G334" s="8">
        <f t="shared" si="4"/>
        <v>0</v>
      </c>
      <c r="H334" s="8">
        <f t="shared" si="4"/>
        <v>2</v>
      </c>
      <c r="I334" s="8">
        <f t="shared" si="4"/>
        <v>0</v>
      </c>
      <c r="J334" s="8">
        <f t="shared" si="4"/>
        <v>2</v>
      </c>
      <c r="K334" s="8">
        <f t="shared" si="4"/>
        <v>1</v>
      </c>
      <c r="L334" s="8">
        <f t="shared" si="4"/>
        <v>5</v>
      </c>
      <c r="M334" s="8">
        <f t="shared" si="4"/>
        <v>0</v>
      </c>
      <c r="N334" s="8">
        <f t="shared" si="4"/>
        <v>9</v>
      </c>
      <c r="O334" s="8">
        <f t="shared" si="4"/>
        <v>3</v>
      </c>
      <c r="P334" s="8">
        <f t="shared" si="4"/>
        <v>0</v>
      </c>
      <c r="Q334" s="8">
        <f t="shared" si="4"/>
        <v>0</v>
      </c>
      <c r="R334" s="8">
        <f t="shared" si="4"/>
        <v>1</v>
      </c>
      <c r="S334" s="8">
        <f t="shared" si="4"/>
        <v>8</v>
      </c>
      <c r="T334" s="8">
        <f t="shared" si="4"/>
        <v>1</v>
      </c>
      <c r="U334" s="8">
        <f t="shared" si="4"/>
        <v>0</v>
      </c>
      <c r="V334" s="8">
        <f t="shared" si="4"/>
        <v>2</v>
      </c>
      <c r="W334" s="8">
        <f t="shared" si="4"/>
        <v>0</v>
      </c>
      <c r="X334" s="8">
        <f t="shared" si="4"/>
        <v>9</v>
      </c>
      <c r="Y334" s="8">
        <f t="shared" si="4"/>
        <v>0</v>
      </c>
      <c r="Z334" s="8">
        <f t="shared" si="4"/>
        <v>0</v>
      </c>
      <c r="AA334" s="8">
        <f t="shared" si="4"/>
        <v>6</v>
      </c>
      <c r="AB334" s="8">
        <f t="shared" si="4"/>
        <v>2</v>
      </c>
      <c r="AC334" s="8">
        <f t="shared" si="4"/>
        <v>0</v>
      </c>
      <c r="AD334" s="8">
        <f t="shared" si="4"/>
        <v>8</v>
      </c>
      <c r="AE334" s="8">
        <f t="shared" si="4"/>
        <v>0</v>
      </c>
      <c r="AF334" s="8">
        <f t="shared" si="4"/>
        <v>0</v>
      </c>
      <c r="AG334" s="8">
        <f t="shared" si="4"/>
        <v>2</v>
      </c>
      <c r="AH334" s="8">
        <f t="shared" si="4"/>
        <v>1</v>
      </c>
      <c r="AI334" s="8">
        <f t="shared" si="4"/>
        <v>1</v>
      </c>
      <c r="AJ334" s="8">
        <f t="shared" si="4"/>
        <v>0</v>
      </c>
      <c r="AK334" s="8">
        <f t="shared" si="4"/>
        <v>4</v>
      </c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</row>
    <row r="335">
      <c r="A335" s="7" t="s">
        <v>57</v>
      </c>
      <c r="B335" s="8">
        <f>B333/B334</f>
        <v>0</v>
      </c>
      <c r="C335" s="7" t="s">
        <v>78</v>
      </c>
      <c r="D335" s="8">
        <f t="shared" ref="D335:E335" si="5">D333/D334</f>
        <v>12</v>
      </c>
      <c r="E335" s="8">
        <f t="shared" si="5"/>
        <v>2.833333333</v>
      </c>
      <c r="F335" s="7" t="s">
        <v>78</v>
      </c>
      <c r="G335" s="7" t="s">
        <v>78</v>
      </c>
      <c r="H335" s="8">
        <f>H333/H334</f>
        <v>4.5</v>
      </c>
      <c r="I335" s="7" t="s">
        <v>78</v>
      </c>
      <c r="J335" s="8">
        <f t="shared" ref="J335:L335" si="6">J333/J334</f>
        <v>9.5</v>
      </c>
      <c r="K335" s="8">
        <f t="shared" si="6"/>
        <v>9</v>
      </c>
      <c r="L335" s="8">
        <f t="shared" si="6"/>
        <v>10.4</v>
      </c>
      <c r="M335" s="7" t="s">
        <v>78</v>
      </c>
      <c r="N335" s="8">
        <f t="shared" ref="N335:O335" si="7">N333/N334</f>
        <v>8</v>
      </c>
      <c r="O335" s="8">
        <f t="shared" si="7"/>
        <v>8</v>
      </c>
      <c r="P335" s="7" t="s">
        <v>78</v>
      </c>
      <c r="Q335" s="7" t="s">
        <v>78</v>
      </c>
      <c r="R335" s="8">
        <f t="shared" ref="R335:T335" si="8">R333/R334</f>
        <v>27</v>
      </c>
      <c r="S335" s="8">
        <f t="shared" si="8"/>
        <v>3.625</v>
      </c>
      <c r="T335" s="8">
        <f t="shared" si="8"/>
        <v>15</v>
      </c>
      <c r="U335" s="7" t="s">
        <v>78</v>
      </c>
      <c r="V335" s="8">
        <f>V333/V334</f>
        <v>4</v>
      </c>
      <c r="W335" s="7" t="s">
        <v>78</v>
      </c>
      <c r="X335" s="8">
        <f>X333/X334</f>
        <v>2.666666667</v>
      </c>
      <c r="Y335" s="7" t="s">
        <v>78</v>
      </c>
      <c r="Z335" s="7" t="s">
        <v>78</v>
      </c>
      <c r="AA335" s="8">
        <f t="shared" ref="AA335:AB335" si="9">AA333/AA334</f>
        <v>3.166666667</v>
      </c>
      <c r="AB335" s="8">
        <f t="shared" si="9"/>
        <v>5</v>
      </c>
      <c r="AC335" s="7" t="s">
        <v>78</v>
      </c>
      <c r="AD335" s="8">
        <f>AD333/AD334</f>
        <v>1.5</v>
      </c>
      <c r="AE335" s="7" t="s">
        <v>78</v>
      </c>
      <c r="AF335" s="7" t="s">
        <v>78</v>
      </c>
      <c r="AG335" s="8">
        <f t="shared" ref="AG335:AI335" si="10">AG333/AG334</f>
        <v>3.5</v>
      </c>
      <c r="AH335" s="8">
        <f t="shared" si="10"/>
        <v>9</v>
      </c>
      <c r="AI335" s="8">
        <f t="shared" si="10"/>
        <v>9</v>
      </c>
      <c r="AJ335" s="7" t="s">
        <v>78</v>
      </c>
      <c r="AK335" s="8">
        <f>AK333/AK334</f>
        <v>4</v>
      </c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</row>
    <row r="336">
      <c r="A336" s="7" t="s">
        <v>58</v>
      </c>
      <c r="B336" s="8">
        <f t="shared" ref="B336:AK336" si="11">4*B333-4*B334</f>
        <v>-4</v>
      </c>
      <c r="C336" s="8">
        <f t="shared" si="11"/>
        <v>12</v>
      </c>
      <c r="D336" s="8">
        <f t="shared" si="11"/>
        <v>44</v>
      </c>
      <c r="E336" s="8">
        <f t="shared" si="11"/>
        <v>44</v>
      </c>
      <c r="F336" s="8">
        <f t="shared" si="11"/>
        <v>132</v>
      </c>
      <c r="G336" s="8">
        <f t="shared" si="11"/>
        <v>0</v>
      </c>
      <c r="H336" s="8">
        <f t="shared" si="11"/>
        <v>28</v>
      </c>
      <c r="I336" s="8">
        <f t="shared" si="11"/>
        <v>8</v>
      </c>
      <c r="J336" s="8">
        <f t="shared" si="11"/>
        <v>68</v>
      </c>
      <c r="K336" s="8">
        <f t="shared" si="11"/>
        <v>32</v>
      </c>
      <c r="L336" s="8">
        <f t="shared" si="11"/>
        <v>188</v>
      </c>
      <c r="M336" s="8">
        <f t="shared" si="11"/>
        <v>44</v>
      </c>
      <c r="N336" s="8">
        <f t="shared" si="11"/>
        <v>252</v>
      </c>
      <c r="O336" s="8">
        <f t="shared" si="11"/>
        <v>84</v>
      </c>
      <c r="P336" s="8">
        <f t="shared" si="11"/>
        <v>16</v>
      </c>
      <c r="Q336" s="8">
        <f t="shared" si="11"/>
        <v>24</v>
      </c>
      <c r="R336" s="8">
        <f t="shared" si="11"/>
        <v>104</v>
      </c>
      <c r="S336" s="8">
        <f t="shared" si="11"/>
        <v>84</v>
      </c>
      <c r="T336" s="8">
        <f t="shared" si="11"/>
        <v>56</v>
      </c>
      <c r="U336" s="8">
        <f t="shared" si="11"/>
        <v>0</v>
      </c>
      <c r="V336" s="8">
        <f t="shared" si="11"/>
        <v>24</v>
      </c>
      <c r="W336" s="8">
        <f t="shared" si="11"/>
        <v>0</v>
      </c>
      <c r="X336" s="8">
        <f t="shared" si="11"/>
        <v>60</v>
      </c>
      <c r="Y336" s="8">
        <f t="shared" si="11"/>
        <v>20</v>
      </c>
      <c r="Z336" s="8">
        <f t="shared" si="11"/>
        <v>76</v>
      </c>
      <c r="AA336" s="8">
        <f t="shared" si="11"/>
        <v>52</v>
      </c>
      <c r="AB336" s="8">
        <f t="shared" si="11"/>
        <v>32</v>
      </c>
      <c r="AC336" s="8">
        <f t="shared" si="11"/>
        <v>20</v>
      </c>
      <c r="AD336" s="8">
        <f t="shared" si="11"/>
        <v>16</v>
      </c>
      <c r="AE336" s="8">
        <f t="shared" si="11"/>
        <v>0</v>
      </c>
      <c r="AF336" s="8">
        <f t="shared" si="11"/>
        <v>24</v>
      </c>
      <c r="AG336" s="8">
        <f t="shared" si="11"/>
        <v>20</v>
      </c>
      <c r="AH336" s="8">
        <f t="shared" si="11"/>
        <v>32</v>
      </c>
      <c r="AI336" s="8">
        <f t="shared" si="11"/>
        <v>32</v>
      </c>
      <c r="AJ336" s="8">
        <f t="shared" si="11"/>
        <v>16</v>
      </c>
      <c r="AK336" s="8">
        <f t="shared" si="11"/>
        <v>48</v>
      </c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</row>
    <row r="337">
      <c r="A337" s="7" t="s">
        <v>59</v>
      </c>
      <c r="B337" s="8">
        <f t="shared" ref="B337:AK337" si="12">B336/B332</f>
        <v>-0.5</v>
      </c>
      <c r="C337" s="8">
        <f t="shared" si="12"/>
        <v>2</v>
      </c>
      <c r="D337" s="8">
        <f t="shared" si="12"/>
        <v>5.5</v>
      </c>
      <c r="E337" s="8">
        <f t="shared" si="12"/>
        <v>6.285714286</v>
      </c>
      <c r="F337" s="8">
        <f t="shared" si="12"/>
        <v>14.66666667</v>
      </c>
      <c r="G337" s="8">
        <f t="shared" si="12"/>
        <v>0</v>
      </c>
      <c r="H337" s="8">
        <f t="shared" si="12"/>
        <v>3.5</v>
      </c>
      <c r="I337" s="8">
        <f t="shared" si="12"/>
        <v>1.333333333</v>
      </c>
      <c r="J337" s="8">
        <f t="shared" si="12"/>
        <v>7.555555556</v>
      </c>
      <c r="K337" s="8">
        <f t="shared" si="12"/>
        <v>4</v>
      </c>
      <c r="L337" s="8">
        <f t="shared" si="12"/>
        <v>20.88888889</v>
      </c>
      <c r="M337" s="8">
        <f t="shared" si="12"/>
        <v>5.5</v>
      </c>
      <c r="N337" s="8">
        <f t="shared" si="12"/>
        <v>31.5</v>
      </c>
      <c r="O337" s="8">
        <f t="shared" si="12"/>
        <v>10.5</v>
      </c>
      <c r="P337" s="8">
        <f t="shared" si="12"/>
        <v>2.666666667</v>
      </c>
      <c r="Q337" s="8">
        <f t="shared" si="12"/>
        <v>3</v>
      </c>
      <c r="R337" s="8">
        <f t="shared" si="12"/>
        <v>13</v>
      </c>
      <c r="S337" s="8">
        <f t="shared" si="12"/>
        <v>10.5</v>
      </c>
      <c r="T337" s="8">
        <f t="shared" si="12"/>
        <v>6.222222222</v>
      </c>
      <c r="U337" s="8">
        <f t="shared" si="12"/>
        <v>0</v>
      </c>
      <c r="V337" s="8">
        <f t="shared" si="12"/>
        <v>2.666666667</v>
      </c>
      <c r="W337" s="8">
        <f t="shared" si="12"/>
        <v>0</v>
      </c>
      <c r="X337" s="8">
        <f t="shared" si="12"/>
        <v>6.666666667</v>
      </c>
      <c r="Y337" s="8">
        <f t="shared" si="12"/>
        <v>2.5</v>
      </c>
      <c r="Z337" s="8">
        <f t="shared" si="12"/>
        <v>12.66666667</v>
      </c>
      <c r="AA337" s="8">
        <f t="shared" si="12"/>
        <v>5.777777778</v>
      </c>
      <c r="AB337" s="8">
        <f t="shared" si="12"/>
        <v>4</v>
      </c>
      <c r="AC337" s="8">
        <f t="shared" si="12"/>
        <v>3.333333333</v>
      </c>
      <c r="AD337" s="8">
        <f t="shared" si="12"/>
        <v>2</v>
      </c>
      <c r="AE337" s="8">
        <f t="shared" si="12"/>
        <v>0</v>
      </c>
      <c r="AF337" s="8">
        <f t="shared" si="12"/>
        <v>4</v>
      </c>
      <c r="AG337" s="8">
        <f t="shared" si="12"/>
        <v>2.222222222</v>
      </c>
      <c r="AH337" s="8">
        <f t="shared" si="12"/>
        <v>4</v>
      </c>
      <c r="AI337" s="8">
        <f t="shared" si="12"/>
        <v>5.333333333</v>
      </c>
      <c r="AJ337" s="8">
        <f t="shared" si="12"/>
        <v>2</v>
      </c>
      <c r="AK337" s="8">
        <f t="shared" si="12"/>
        <v>8</v>
      </c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</row>
    <row r="338">
      <c r="A338" s="7" t="s">
        <v>60</v>
      </c>
      <c r="B338" s="8">
        <f t="shared" ref="B338:AK338" si="13">countifs(B$1:B$330,4,$A$1:$A$330,"X")</f>
        <v>0</v>
      </c>
      <c r="C338" s="8">
        <f t="shared" si="13"/>
        <v>1</v>
      </c>
      <c r="D338" s="8">
        <f t="shared" si="13"/>
        <v>0</v>
      </c>
      <c r="E338" s="8">
        <f t="shared" si="13"/>
        <v>2</v>
      </c>
      <c r="F338" s="8">
        <f t="shared" si="13"/>
        <v>2</v>
      </c>
      <c r="G338" s="8">
        <f t="shared" si="13"/>
        <v>0</v>
      </c>
      <c r="H338" s="8">
        <f t="shared" si="13"/>
        <v>2</v>
      </c>
      <c r="I338" s="8">
        <f t="shared" si="13"/>
        <v>0</v>
      </c>
      <c r="J338" s="8">
        <f t="shared" si="13"/>
        <v>5</v>
      </c>
      <c r="K338" s="8">
        <f t="shared" si="13"/>
        <v>4</v>
      </c>
      <c r="L338" s="8">
        <f t="shared" si="13"/>
        <v>8</v>
      </c>
      <c r="M338" s="8">
        <f t="shared" si="13"/>
        <v>3</v>
      </c>
      <c r="N338" s="8">
        <f t="shared" si="13"/>
        <v>9</v>
      </c>
      <c r="O338" s="8">
        <f t="shared" si="13"/>
        <v>3</v>
      </c>
      <c r="P338" s="8">
        <f t="shared" si="13"/>
        <v>1</v>
      </c>
      <c r="Q338" s="8">
        <f t="shared" si="13"/>
        <v>1</v>
      </c>
      <c r="R338" s="8">
        <f t="shared" si="13"/>
        <v>1</v>
      </c>
      <c r="S338" s="8">
        <f t="shared" si="13"/>
        <v>4</v>
      </c>
      <c r="T338" s="8">
        <f t="shared" si="13"/>
        <v>3</v>
      </c>
      <c r="U338" s="8">
        <f t="shared" si="13"/>
        <v>0</v>
      </c>
      <c r="V338" s="8">
        <f t="shared" si="13"/>
        <v>0</v>
      </c>
      <c r="W338" s="8">
        <f t="shared" si="13"/>
        <v>0</v>
      </c>
      <c r="X338" s="8">
        <f t="shared" si="13"/>
        <v>5</v>
      </c>
      <c r="Y338" s="8">
        <f t="shared" si="13"/>
        <v>2</v>
      </c>
      <c r="Z338" s="8">
        <f t="shared" si="13"/>
        <v>3</v>
      </c>
      <c r="AA338" s="8">
        <f t="shared" si="13"/>
        <v>3</v>
      </c>
      <c r="AB338" s="8">
        <f t="shared" si="13"/>
        <v>4</v>
      </c>
      <c r="AC338" s="8">
        <f t="shared" si="13"/>
        <v>0</v>
      </c>
      <c r="AD338" s="8">
        <f t="shared" si="13"/>
        <v>2</v>
      </c>
      <c r="AE338" s="8">
        <f t="shared" si="13"/>
        <v>0</v>
      </c>
      <c r="AF338" s="8">
        <f t="shared" si="13"/>
        <v>0</v>
      </c>
      <c r="AG338" s="8">
        <f t="shared" si="13"/>
        <v>1</v>
      </c>
      <c r="AH338" s="8">
        <f t="shared" si="13"/>
        <v>0</v>
      </c>
      <c r="AI338" s="8">
        <f t="shared" si="13"/>
        <v>3</v>
      </c>
      <c r="AJ338" s="8">
        <f t="shared" si="13"/>
        <v>1</v>
      </c>
      <c r="AK338" s="8">
        <f t="shared" si="13"/>
        <v>2</v>
      </c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</row>
    <row r="339">
      <c r="A339" s="7" t="s">
        <v>61</v>
      </c>
      <c r="B339" s="8">
        <f t="shared" ref="B339:AK339" si="14">countifs(B$1:B$330,-4,$A$1:$A$330,"X")</f>
        <v>1</v>
      </c>
      <c r="C339" s="8">
        <f t="shared" si="14"/>
        <v>0</v>
      </c>
      <c r="D339" s="8">
        <f t="shared" si="14"/>
        <v>0</v>
      </c>
      <c r="E339" s="8">
        <f t="shared" si="14"/>
        <v>1</v>
      </c>
      <c r="F339" s="8">
        <f t="shared" si="14"/>
        <v>0</v>
      </c>
      <c r="G339" s="8">
        <f t="shared" si="14"/>
        <v>0</v>
      </c>
      <c r="H339" s="8">
        <f t="shared" si="14"/>
        <v>1</v>
      </c>
      <c r="I339" s="8">
        <f t="shared" si="14"/>
        <v>0</v>
      </c>
      <c r="J339" s="8">
        <f t="shared" si="14"/>
        <v>0</v>
      </c>
      <c r="K339" s="8">
        <f t="shared" si="14"/>
        <v>0</v>
      </c>
      <c r="L339" s="8">
        <f t="shared" si="14"/>
        <v>2</v>
      </c>
      <c r="M339" s="8">
        <f t="shared" si="14"/>
        <v>0</v>
      </c>
      <c r="N339" s="8">
        <f t="shared" si="14"/>
        <v>5</v>
      </c>
      <c r="O339" s="8">
        <f t="shared" si="14"/>
        <v>0</v>
      </c>
      <c r="P339" s="8">
        <f t="shared" si="14"/>
        <v>0</v>
      </c>
      <c r="Q339" s="8">
        <f t="shared" si="14"/>
        <v>0</v>
      </c>
      <c r="R339" s="8">
        <f t="shared" si="14"/>
        <v>0</v>
      </c>
      <c r="S339" s="8">
        <f t="shared" si="14"/>
        <v>0</v>
      </c>
      <c r="T339" s="8">
        <f t="shared" si="14"/>
        <v>0</v>
      </c>
      <c r="U339" s="8">
        <f t="shared" si="14"/>
        <v>0</v>
      </c>
      <c r="V339" s="8">
        <f t="shared" si="14"/>
        <v>1</v>
      </c>
      <c r="W339" s="8">
        <f t="shared" si="14"/>
        <v>0</v>
      </c>
      <c r="X339" s="8">
        <f t="shared" si="14"/>
        <v>2</v>
      </c>
      <c r="Y339" s="8">
        <f t="shared" si="14"/>
        <v>0</v>
      </c>
      <c r="Z339" s="8">
        <f t="shared" si="14"/>
        <v>0</v>
      </c>
      <c r="AA339" s="8">
        <f t="shared" si="14"/>
        <v>1</v>
      </c>
      <c r="AB339" s="8">
        <f t="shared" si="14"/>
        <v>1</v>
      </c>
      <c r="AC339" s="8">
        <f t="shared" si="14"/>
        <v>0</v>
      </c>
      <c r="AD339" s="8">
        <f t="shared" si="14"/>
        <v>2</v>
      </c>
      <c r="AE339" s="8">
        <f t="shared" si="14"/>
        <v>0</v>
      </c>
      <c r="AF339" s="8">
        <f t="shared" si="14"/>
        <v>0</v>
      </c>
      <c r="AG339" s="8">
        <f t="shared" si="14"/>
        <v>0</v>
      </c>
      <c r="AH339" s="8">
        <f t="shared" si="14"/>
        <v>1</v>
      </c>
      <c r="AI339" s="8">
        <f t="shared" si="14"/>
        <v>0</v>
      </c>
      <c r="AJ339" s="8">
        <f t="shared" si="14"/>
        <v>0</v>
      </c>
      <c r="AK339" s="8">
        <f t="shared" si="14"/>
        <v>1</v>
      </c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</row>
    <row r="340">
      <c r="A340" s="7" t="s">
        <v>62</v>
      </c>
      <c r="B340" s="8">
        <f t="shared" ref="B340:AK340" si="15">4*(B338-B339)/B$332</f>
        <v>-0.5</v>
      </c>
      <c r="C340" s="8">
        <f t="shared" si="15"/>
        <v>0.6666666667</v>
      </c>
      <c r="D340" s="8">
        <f t="shared" si="15"/>
        <v>0</v>
      </c>
      <c r="E340" s="8">
        <f t="shared" si="15"/>
        <v>0.5714285714</v>
      </c>
      <c r="F340" s="8">
        <f t="shared" si="15"/>
        <v>0.8888888889</v>
      </c>
      <c r="G340" s="8">
        <f t="shared" si="15"/>
        <v>0</v>
      </c>
      <c r="H340" s="8">
        <f t="shared" si="15"/>
        <v>0.5</v>
      </c>
      <c r="I340" s="8">
        <f t="shared" si="15"/>
        <v>0</v>
      </c>
      <c r="J340" s="8">
        <f t="shared" si="15"/>
        <v>2.222222222</v>
      </c>
      <c r="K340" s="8">
        <f t="shared" si="15"/>
        <v>2</v>
      </c>
      <c r="L340" s="8">
        <f t="shared" si="15"/>
        <v>2.666666667</v>
      </c>
      <c r="M340" s="8">
        <f t="shared" si="15"/>
        <v>1.5</v>
      </c>
      <c r="N340" s="8">
        <f t="shared" si="15"/>
        <v>2</v>
      </c>
      <c r="O340" s="8">
        <f t="shared" si="15"/>
        <v>1.5</v>
      </c>
      <c r="P340" s="8">
        <f t="shared" si="15"/>
        <v>0.6666666667</v>
      </c>
      <c r="Q340" s="8">
        <f t="shared" si="15"/>
        <v>0.5</v>
      </c>
      <c r="R340" s="8">
        <f t="shared" si="15"/>
        <v>0.5</v>
      </c>
      <c r="S340" s="8">
        <f t="shared" si="15"/>
        <v>2</v>
      </c>
      <c r="T340" s="8">
        <f t="shared" si="15"/>
        <v>1.333333333</v>
      </c>
      <c r="U340" s="8">
        <f t="shared" si="15"/>
        <v>0</v>
      </c>
      <c r="V340" s="8">
        <f t="shared" si="15"/>
        <v>-0.4444444444</v>
      </c>
      <c r="W340" s="8">
        <f t="shared" si="15"/>
        <v>0</v>
      </c>
      <c r="X340" s="8">
        <f t="shared" si="15"/>
        <v>1.333333333</v>
      </c>
      <c r="Y340" s="8">
        <f t="shared" si="15"/>
        <v>1</v>
      </c>
      <c r="Z340" s="8">
        <f t="shared" si="15"/>
        <v>2</v>
      </c>
      <c r="AA340" s="8">
        <f t="shared" si="15"/>
        <v>0.8888888889</v>
      </c>
      <c r="AB340" s="8">
        <f t="shared" si="15"/>
        <v>1.5</v>
      </c>
      <c r="AC340" s="8">
        <f t="shared" si="15"/>
        <v>0</v>
      </c>
      <c r="AD340" s="8">
        <f t="shared" si="15"/>
        <v>0</v>
      </c>
      <c r="AE340" s="8">
        <f t="shared" si="15"/>
        <v>0</v>
      </c>
      <c r="AF340" s="8">
        <f t="shared" si="15"/>
        <v>0</v>
      </c>
      <c r="AG340" s="8">
        <f t="shared" si="15"/>
        <v>0.4444444444</v>
      </c>
      <c r="AH340" s="8">
        <f t="shared" si="15"/>
        <v>-0.5</v>
      </c>
      <c r="AI340" s="8">
        <f t="shared" si="15"/>
        <v>2</v>
      </c>
      <c r="AJ340" s="8">
        <f t="shared" si="15"/>
        <v>0.5</v>
      </c>
      <c r="AK340" s="8">
        <f t="shared" si="15"/>
        <v>0.6666666667</v>
      </c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</row>
    <row r="341">
      <c r="A341" s="7" t="s">
        <v>63</v>
      </c>
      <c r="B341" s="8">
        <f t="shared" ref="B341:AK341" si="16">countifs(B$1:B$330,4,$A$1:$A$330,"M")</f>
        <v>0</v>
      </c>
      <c r="C341" s="8">
        <f t="shared" si="16"/>
        <v>0</v>
      </c>
      <c r="D341" s="8">
        <f t="shared" si="16"/>
        <v>6</v>
      </c>
      <c r="E341" s="8">
        <f t="shared" si="16"/>
        <v>7</v>
      </c>
      <c r="F341" s="8">
        <f t="shared" si="16"/>
        <v>20</v>
      </c>
      <c r="G341" s="8">
        <f t="shared" si="16"/>
        <v>0</v>
      </c>
      <c r="H341" s="8">
        <f t="shared" si="16"/>
        <v>0</v>
      </c>
      <c r="I341" s="8">
        <f t="shared" si="16"/>
        <v>1</v>
      </c>
      <c r="J341" s="8">
        <f t="shared" si="16"/>
        <v>2</v>
      </c>
      <c r="K341" s="8">
        <f t="shared" si="16"/>
        <v>0</v>
      </c>
      <c r="L341" s="8">
        <f t="shared" si="16"/>
        <v>11</v>
      </c>
      <c r="M341" s="8">
        <f t="shared" si="16"/>
        <v>1</v>
      </c>
      <c r="N341" s="8">
        <f t="shared" si="16"/>
        <v>10</v>
      </c>
      <c r="O341" s="8">
        <f t="shared" si="16"/>
        <v>10</v>
      </c>
      <c r="P341" s="8">
        <f t="shared" si="16"/>
        <v>1</v>
      </c>
      <c r="Q341" s="8">
        <f t="shared" si="16"/>
        <v>0</v>
      </c>
      <c r="R341" s="8">
        <f t="shared" si="16"/>
        <v>10</v>
      </c>
      <c r="S341" s="8">
        <f t="shared" si="16"/>
        <v>3</v>
      </c>
      <c r="T341" s="8">
        <f t="shared" si="16"/>
        <v>0</v>
      </c>
      <c r="U341" s="8">
        <f t="shared" si="16"/>
        <v>0</v>
      </c>
      <c r="V341" s="8">
        <f t="shared" si="16"/>
        <v>3</v>
      </c>
      <c r="W341" s="8">
        <f t="shared" si="16"/>
        <v>0</v>
      </c>
      <c r="X341" s="8">
        <f t="shared" si="16"/>
        <v>0</v>
      </c>
      <c r="Y341" s="8">
        <f t="shared" si="16"/>
        <v>0</v>
      </c>
      <c r="Z341" s="8">
        <f t="shared" si="16"/>
        <v>4</v>
      </c>
      <c r="AA341" s="8">
        <f t="shared" si="16"/>
        <v>1</v>
      </c>
      <c r="AB341" s="8">
        <f t="shared" si="16"/>
        <v>0</v>
      </c>
      <c r="AC341" s="8">
        <f t="shared" si="16"/>
        <v>0</v>
      </c>
      <c r="AD341" s="8">
        <f t="shared" si="16"/>
        <v>2</v>
      </c>
      <c r="AE341" s="8">
        <f t="shared" si="16"/>
        <v>0</v>
      </c>
      <c r="AF341" s="8">
        <f t="shared" si="16"/>
        <v>0</v>
      </c>
      <c r="AG341" s="8">
        <f t="shared" si="16"/>
        <v>0</v>
      </c>
      <c r="AH341" s="8">
        <f t="shared" si="16"/>
        <v>0</v>
      </c>
      <c r="AI341" s="8">
        <f t="shared" si="16"/>
        <v>5</v>
      </c>
      <c r="AJ341" s="8">
        <f t="shared" si="16"/>
        <v>0</v>
      </c>
      <c r="AK341" s="8">
        <f t="shared" si="16"/>
        <v>4</v>
      </c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</row>
    <row r="342">
      <c r="A342" s="7" t="s">
        <v>64</v>
      </c>
      <c r="B342" s="8">
        <f t="shared" ref="B342:AK342" si="17">countifs(B$1:B$330,-4,$A$1:$A$330,"M")</f>
        <v>0</v>
      </c>
      <c r="C342" s="8">
        <f t="shared" si="17"/>
        <v>0</v>
      </c>
      <c r="D342" s="8">
        <f t="shared" si="17"/>
        <v>1</v>
      </c>
      <c r="E342" s="8">
        <f t="shared" si="17"/>
        <v>1</v>
      </c>
      <c r="F342" s="8">
        <f t="shared" si="17"/>
        <v>0</v>
      </c>
      <c r="G342" s="8">
        <f t="shared" si="17"/>
        <v>0</v>
      </c>
      <c r="H342" s="8">
        <f t="shared" si="17"/>
        <v>0</v>
      </c>
      <c r="I342" s="8">
        <f t="shared" si="17"/>
        <v>0</v>
      </c>
      <c r="J342" s="8">
        <f t="shared" si="17"/>
        <v>0</v>
      </c>
      <c r="K342" s="8">
        <f t="shared" si="17"/>
        <v>0</v>
      </c>
      <c r="L342" s="8">
        <f t="shared" si="17"/>
        <v>1</v>
      </c>
      <c r="M342" s="8">
        <f t="shared" si="17"/>
        <v>0</v>
      </c>
      <c r="N342" s="8">
        <f t="shared" si="17"/>
        <v>0</v>
      </c>
      <c r="O342" s="8">
        <f t="shared" si="17"/>
        <v>2</v>
      </c>
      <c r="P342" s="8">
        <f t="shared" si="17"/>
        <v>0</v>
      </c>
      <c r="Q342" s="8">
        <f t="shared" si="17"/>
        <v>0</v>
      </c>
      <c r="R342" s="8">
        <f t="shared" si="17"/>
        <v>0</v>
      </c>
      <c r="S342" s="8">
        <f t="shared" si="17"/>
        <v>1</v>
      </c>
      <c r="T342" s="8">
        <f t="shared" si="17"/>
        <v>0</v>
      </c>
      <c r="U342" s="8">
        <f t="shared" si="17"/>
        <v>0</v>
      </c>
      <c r="V342" s="8">
        <f t="shared" si="17"/>
        <v>0</v>
      </c>
      <c r="W342" s="8">
        <f t="shared" si="17"/>
        <v>0</v>
      </c>
      <c r="X342" s="8">
        <f t="shared" si="17"/>
        <v>1</v>
      </c>
      <c r="Y342" s="8">
        <f t="shared" si="17"/>
        <v>0</v>
      </c>
      <c r="Z342" s="8">
        <f t="shared" si="17"/>
        <v>0</v>
      </c>
      <c r="AA342" s="8">
        <f t="shared" si="17"/>
        <v>0</v>
      </c>
      <c r="AB342" s="8">
        <f t="shared" si="17"/>
        <v>0</v>
      </c>
      <c r="AC342" s="8">
        <f t="shared" si="17"/>
        <v>0</v>
      </c>
      <c r="AD342" s="8">
        <f t="shared" si="17"/>
        <v>1</v>
      </c>
      <c r="AE342" s="8">
        <f t="shared" si="17"/>
        <v>0</v>
      </c>
      <c r="AF342" s="8">
        <f t="shared" si="17"/>
        <v>0</v>
      </c>
      <c r="AG342" s="8">
        <f t="shared" si="17"/>
        <v>1</v>
      </c>
      <c r="AH342" s="8">
        <f t="shared" si="17"/>
        <v>0</v>
      </c>
      <c r="AI342" s="8">
        <f t="shared" si="17"/>
        <v>0</v>
      </c>
      <c r="AJ342" s="8">
        <f t="shared" si="17"/>
        <v>0</v>
      </c>
      <c r="AK342" s="8">
        <f t="shared" si="17"/>
        <v>1</v>
      </c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</row>
    <row r="343">
      <c r="A343" s="7" t="s">
        <v>65</v>
      </c>
      <c r="B343" s="8">
        <f t="shared" ref="B343:AK343" si="18">4*(B341-B342)/B$332</f>
        <v>0</v>
      </c>
      <c r="C343" s="8">
        <f t="shared" si="18"/>
        <v>0</v>
      </c>
      <c r="D343" s="8">
        <f t="shared" si="18"/>
        <v>2.5</v>
      </c>
      <c r="E343" s="8">
        <f t="shared" si="18"/>
        <v>3.428571429</v>
      </c>
      <c r="F343" s="8">
        <f t="shared" si="18"/>
        <v>8.888888889</v>
      </c>
      <c r="G343" s="8">
        <f t="shared" si="18"/>
        <v>0</v>
      </c>
      <c r="H343" s="8">
        <f t="shared" si="18"/>
        <v>0</v>
      </c>
      <c r="I343" s="8">
        <f t="shared" si="18"/>
        <v>0.6666666667</v>
      </c>
      <c r="J343" s="8">
        <f t="shared" si="18"/>
        <v>0.8888888889</v>
      </c>
      <c r="K343" s="8">
        <f t="shared" si="18"/>
        <v>0</v>
      </c>
      <c r="L343" s="8">
        <f t="shared" si="18"/>
        <v>4.444444444</v>
      </c>
      <c r="M343" s="8">
        <f t="shared" si="18"/>
        <v>0.5</v>
      </c>
      <c r="N343" s="8">
        <f t="shared" si="18"/>
        <v>5</v>
      </c>
      <c r="O343" s="8">
        <f t="shared" si="18"/>
        <v>4</v>
      </c>
      <c r="P343" s="8">
        <f t="shared" si="18"/>
        <v>0.6666666667</v>
      </c>
      <c r="Q343" s="8">
        <f t="shared" si="18"/>
        <v>0</v>
      </c>
      <c r="R343" s="8">
        <f t="shared" si="18"/>
        <v>5</v>
      </c>
      <c r="S343" s="8">
        <f t="shared" si="18"/>
        <v>1</v>
      </c>
      <c r="T343" s="8">
        <f t="shared" si="18"/>
        <v>0</v>
      </c>
      <c r="U343" s="8">
        <f t="shared" si="18"/>
        <v>0</v>
      </c>
      <c r="V343" s="8">
        <f t="shared" si="18"/>
        <v>1.333333333</v>
      </c>
      <c r="W343" s="8">
        <f t="shared" si="18"/>
        <v>0</v>
      </c>
      <c r="X343" s="8">
        <f t="shared" si="18"/>
        <v>-0.4444444444</v>
      </c>
      <c r="Y343" s="8">
        <f t="shared" si="18"/>
        <v>0</v>
      </c>
      <c r="Z343" s="8">
        <f t="shared" si="18"/>
        <v>2.666666667</v>
      </c>
      <c r="AA343" s="8">
        <f t="shared" si="18"/>
        <v>0.4444444444</v>
      </c>
      <c r="AB343" s="8">
        <f t="shared" si="18"/>
        <v>0</v>
      </c>
      <c r="AC343" s="8">
        <f t="shared" si="18"/>
        <v>0</v>
      </c>
      <c r="AD343" s="8">
        <f t="shared" si="18"/>
        <v>0.5</v>
      </c>
      <c r="AE343" s="8">
        <f t="shared" si="18"/>
        <v>0</v>
      </c>
      <c r="AF343" s="8">
        <f t="shared" si="18"/>
        <v>0</v>
      </c>
      <c r="AG343" s="8">
        <f t="shared" si="18"/>
        <v>-0.4444444444</v>
      </c>
      <c r="AH343" s="8">
        <f t="shared" si="18"/>
        <v>0</v>
      </c>
      <c r="AI343" s="8">
        <f t="shared" si="18"/>
        <v>3.333333333</v>
      </c>
      <c r="AJ343" s="8">
        <f t="shared" si="18"/>
        <v>0</v>
      </c>
      <c r="AK343" s="8">
        <f t="shared" si="18"/>
        <v>2</v>
      </c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</row>
    <row r="344">
      <c r="A344" s="7" t="s">
        <v>66</v>
      </c>
      <c r="B344" s="8">
        <f t="shared" ref="B344:AK344" si="19">countifs(B$1:B$330,4,$A$1:$A$330,"C")</f>
        <v>0</v>
      </c>
      <c r="C344" s="8">
        <f t="shared" si="19"/>
        <v>0</v>
      </c>
      <c r="D344" s="8">
        <f t="shared" si="19"/>
        <v>0</v>
      </c>
      <c r="E344" s="8">
        <f t="shared" si="19"/>
        <v>0</v>
      </c>
      <c r="F344" s="8">
        <f t="shared" si="19"/>
        <v>2</v>
      </c>
      <c r="G344" s="8">
        <f t="shared" si="19"/>
        <v>0</v>
      </c>
      <c r="H344" s="8">
        <f t="shared" si="19"/>
        <v>0</v>
      </c>
      <c r="I344" s="8">
        <f t="shared" si="19"/>
        <v>1</v>
      </c>
      <c r="J344" s="8">
        <f t="shared" si="19"/>
        <v>6</v>
      </c>
      <c r="K344" s="8">
        <f t="shared" si="19"/>
        <v>1</v>
      </c>
      <c r="L344" s="8">
        <f t="shared" si="19"/>
        <v>18</v>
      </c>
      <c r="M344" s="8">
        <f t="shared" si="19"/>
        <v>0</v>
      </c>
      <c r="N344" s="8">
        <f t="shared" si="19"/>
        <v>18</v>
      </c>
      <c r="O344" s="8">
        <f t="shared" si="19"/>
        <v>1</v>
      </c>
      <c r="P344" s="8">
        <f t="shared" si="19"/>
        <v>1</v>
      </c>
      <c r="Q344" s="8">
        <f t="shared" si="19"/>
        <v>0</v>
      </c>
      <c r="R344" s="8">
        <f t="shared" si="19"/>
        <v>4</v>
      </c>
      <c r="S344" s="8">
        <f t="shared" si="19"/>
        <v>10</v>
      </c>
      <c r="T344" s="8">
        <f t="shared" si="19"/>
        <v>0</v>
      </c>
      <c r="U344" s="8">
        <f t="shared" si="19"/>
        <v>0</v>
      </c>
      <c r="V344" s="8">
        <f t="shared" si="19"/>
        <v>0</v>
      </c>
      <c r="W344" s="8">
        <f t="shared" si="19"/>
        <v>0</v>
      </c>
      <c r="X344" s="8">
        <f t="shared" si="19"/>
        <v>0</v>
      </c>
      <c r="Y344" s="8">
        <f t="shared" si="19"/>
        <v>0</v>
      </c>
      <c r="Z344" s="8">
        <f t="shared" si="19"/>
        <v>1</v>
      </c>
      <c r="AA344" s="8">
        <f t="shared" si="19"/>
        <v>1</v>
      </c>
      <c r="AB344" s="8">
        <f t="shared" si="19"/>
        <v>1</v>
      </c>
      <c r="AC344" s="8">
        <f t="shared" si="19"/>
        <v>1</v>
      </c>
      <c r="AD344" s="8">
        <f t="shared" si="19"/>
        <v>1</v>
      </c>
      <c r="AE344" s="8">
        <f t="shared" si="19"/>
        <v>0</v>
      </c>
      <c r="AF344" s="8">
        <f t="shared" si="19"/>
        <v>1</v>
      </c>
      <c r="AG344" s="8">
        <f t="shared" si="19"/>
        <v>2</v>
      </c>
      <c r="AH344" s="8">
        <f t="shared" si="19"/>
        <v>2</v>
      </c>
      <c r="AI344" s="8">
        <f t="shared" si="19"/>
        <v>0</v>
      </c>
      <c r="AJ344" s="8">
        <f t="shared" si="19"/>
        <v>0</v>
      </c>
      <c r="AK344" s="8">
        <f t="shared" si="19"/>
        <v>3</v>
      </c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</row>
    <row r="345">
      <c r="A345" s="7" t="s">
        <v>67</v>
      </c>
      <c r="B345" s="8">
        <f t="shared" ref="B345:AK345" si="20">countifs(B$1:B$330,-4,$A$1:$A$330,"C")</f>
        <v>0</v>
      </c>
      <c r="C345" s="8">
        <f t="shared" si="20"/>
        <v>0</v>
      </c>
      <c r="D345" s="8">
        <f t="shared" si="20"/>
        <v>0</v>
      </c>
      <c r="E345" s="8">
        <f t="shared" si="20"/>
        <v>1</v>
      </c>
      <c r="F345" s="8">
        <f t="shared" si="20"/>
        <v>0</v>
      </c>
      <c r="G345" s="8">
        <f t="shared" si="20"/>
        <v>0</v>
      </c>
      <c r="H345" s="8">
        <f t="shared" si="20"/>
        <v>0</v>
      </c>
      <c r="I345" s="8">
        <f t="shared" si="20"/>
        <v>0</v>
      </c>
      <c r="J345" s="8">
        <f t="shared" si="20"/>
        <v>1</v>
      </c>
      <c r="K345" s="8">
        <f t="shared" si="20"/>
        <v>0</v>
      </c>
      <c r="L345" s="8">
        <f t="shared" si="20"/>
        <v>1</v>
      </c>
      <c r="M345" s="8">
        <f t="shared" si="20"/>
        <v>0</v>
      </c>
      <c r="N345" s="8">
        <f t="shared" si="20"/>
        <v>1</v>
      </c>
      <c r="O345" s="8">
        <f t="shared" si="20"/>
        <v>0</v>
      </c>
      <c r="P345" s="8">
        <f t="shared" si="20"/>
        <v>0</v>
      </c>
      <c r="Q345" s="8">
        <f t="shared" si="20"/>
        <v>0</v>
      </c>
      <c r="R345" s="8">
        <f t="shared" si="20"/>
        <v>0</v>
      </c>
      <c r="S345" s="8">
        <f t="shared" si="20"/>
        <v>6</v>
      </c>
      <c r="T345" s="8">
        <f t="shared" si="20"/>
        <v>0</v>
      </c>
      <c r="U345" s="8">
        <f t="shared" si="20"/>
        <v>0</v>
      </c>
      <c r="V345" s="8">
        <f t="shared" si="20"/>
        <v>0</v>
      </c>
      <c r="W345" s="8">
        <f t="shared" si="20"/>
        <v>0</v>
      </c>
      <c r="X345" s="8">
        <f t="shared" si="20"/>
        <v>0</v>
      </c>
      <c r="Y345" s="8">
        <f t="shared" si="20"/>
        <v>0</v>
      </c>
      <c r="Z345" s="8">
        <f t="shared" si="20"/>
        <v>0</v>
      </c>
      <c r="AA345" s="8">
        <f t="shared" si="20"/>
        <v>1</v>
      </c>
      <c r="AB345" s="8">
        <f t="shared" si="20"/>
        <v>0</v>
      </c>
      <c r="AC345" s="8">
        <f t="shared" si="20"/>
        <v>0</v>
      </c>
      <c r="AD345" s="8">
        <f t="shared" si="20"/>
        <v>1</v>
      </c>
      <c r="AE345" s="8">
        <f t="shared" si="20"/>
        <v>0</v>
      </c>
      <c r="AF345" s="8">
        <f t="shared" si="20"/>
        <v>0</v>
      </c>
      <c r="AG345" s="8">
        <f t="shared" si="20"/>
        <v>0</v>
      </c>
      <c r="AH345" s="8">
        <f t="shared" si="20"/>
        <v>0</v>
      </c>
      <c r="AI345" s="8">
        <f t="shared" si="20"/>
        <v>0</v>
      </c>
      <c r="AJ345" s="8">
        <f t="shared" si="20"/>
        <v>0</v>
      </c>
      <c r="AK345" s="8">
        <f t="shared" si="20"/>
        <v>1</v>
      </c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</row>
    <row r="346">
      <c r="A346" s="7" t="s">
        <v>68</v>
      </c>
      <c r="B346" s="8">
        <f t="shared" ref="B346:AK346" si="21">4*(B344-B345)/B$332</f>
        <v>0</v>
      </c>
      <c r="C346" s="8">
        <f t="shared" si="21"/>
        <v>0</v>
      </c>
      <c r="D346" s="8">
        <f t="shared" si="21"/>
        <v>0</v>
      </c>
      <c r="E346" s="8">
        <f t="shared" si="21"/>
        <v>-0.5714285714</v>
      </c>
      <c r="F346" s="8">
        <f t="shared" si="21"/>
        <v>0.8888888889</v>
      </c>
      <c r="G346" s="8">
        <f t="shared" si="21"/>
        <v>0</v>
      </c>
      <c r="H346" s="8">
        <f t="shared" si="21"/>
        <v>0</v>
      </c>
      <c r="I346" s="8">
        <f t="shared" si="21"/>
        <v>0.6666666667</v>
      </c>
      <c r="J346" s="8">
        <f t="shared" si="21"/>
        <v>2.222222222</v>
      </c>
      <c r="K346" s="8">
        <f t="shared" si="21"/>
        <v>0.5</v>
      </c>
      <c r="L346" s="8">
        <f t="shared" si="21"/>
        <v>7.555555556</v>
      </c>
      <c r="M346" s="8">
        <f t="shared" si="21"/>
        <v>0</v>
      </c>
      <c r="N346" s="8">
        <f t="shared" si="21"/>
        <v>8.5</v>
      </c>
      <c r="O346" s="8">
        <f t="shared" si="21"/>
        <v>0.5</v>
      </c>
      <c r="P346" s="8">
        <f t="shared" si="21"/>
        <v>0.6666666667</v>
      </c>
      <c r="Q346" s="8">
        <f t="shared" si="21"/>
        <v>0</v>
      </c>
      <c r="R346" s="8">
        <f t="shared" si="21"/>
        <v>2</v>
      </c>
      <c r="S346" s="8">
        <f t="shared" si="21"/>
        <v>2</v>
      </c>
      <c r="T346" s="8">
        <f t="shared" si="21"/>
        <v>0</v>
      </c>
      <c r="U346" s="8">
        <f t="shared" si="21"/>
        <v>0</v>
      </c>
      <c r="V346" s="8">
        <f t="shared" si="21"/>
        <v>0</v>
      </c>
      <c r="W346" s="8">
        <f t="shared" si="21"/>
        <v>0</v>
      </c>
      <c r="X346" s="8">
        <f t="shared" si="21"/>
        <v>0</v>
      </c>
      <c r="Y346" s="8">
        <f t="shared" si="21"/>
        <v>0</v>
      </c>
      <c r="Z346" s="8">
        <f t="shared" si="21"/>
        <v>0.6666666667</v>
      </c>
      <c r="AA346" s="8">
        <f t="shared" si="21"/>
        <v>0</v>
      </c>
      <c r="AB346" s="8">
        <f t="shared" si="21"/>
        <v>0.5</v>
      </c>
      <c r="AC346" s="8">
        <f t="shared" si="21"/>
        <v>0.6666666667</v>
      </c>
      <c r="AD346" s="8">
        <f t="shared" si="21"/>
        <v>0</v>
      </c>
      <c r="AE346" s="8">
        <f t="shared" si="21"/>
        <v>0</v>
      </c>
      <c r="AF346" s="8">
        <f t="shared" si="21"/>
        <v>0.6666666667</v>
      </c>
      <c r="AG346" s="8">
        <f t="shared" si="21"/>
        <v>0.8888888889</v>
      </c>
      <c r="AH346" s="8">
        <f t="shared" si="21"/>
        <v>1</v>
      </c>
      <c r="AI346" s="8">
        <f t="shared" si="21"/>
        <v>0</v>
      </c>
      <c r="AJ346" s="8">
        <f t="shared" si="21"/>
        <v>0</v>
      </c>
      <c r="AK346" s="8">
        <f t="shared" si="21"/>
        <v>1.333333333</v>
      </c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</row>
    <row r="347">
      <c r="A347" s="7" t="s">
        <v>69</v>
      </c>
      <c r="B347" s="8">
        <f t="shared" ref="B347:AK347" si="22">countifs(B$1:B$330,4,$A$1:$A$330,"E")</f>
        <v>0</v>
      </c>
      <c r="C347" s="8">
        <f t="shared" si="22"/>
        <v>1</v>
      </c>
      <c r="D347" s="8">
        <f t="shared" si="22"/>
        <v>2</v>
      </c>
      <c r="E347" s="8">
        <f t="shared" si="22"/>
        <v>3</v>
      </c>
      <c r="F347" s="8">
        <f t="shared" si="22"/>
        <v>2</v>
      </c>
      <c r="G347" s="8">
        <f t="shared" si="22"/>
        <v>0</v>
      </c>
      <c r="H347" s="8">
        <f t="shared" si="22"/>
        <v>7</v>
      </c>
      <c r="I347" s="8">
        <f t="shared" si="22"/>
        <v>0</v>
      </c>
      <c r="J347" s="8">
        <f t="shared" si="22"/>
        <v>4</v>
      </c>
      <c r="K347" s="8">
        <f t="shared" si="22"/>
        <v>2</v>
      </c>
      <c r="L347" s="8">
        <f t="shared" si="22"/>
        <v>12</v>
      </c>
      <c r="M347" s="8">
        <f t="shared" si="22"/>
        <v>3</v>
      </c>
      <c r="N347" s="8">
        <f t="shared" si="22"/>
        <v>12</v>
      </c>
      <c r="O347" s="8">
        <f t="shared" si="22"/>
        <v>2</v>
      </c>
      <c r="P347" s="8">
        <f t="shared" si="22"/>
        <v>1</v>
      </c>
      <c r="Q347" s="8">
        <f t="shared" si="22"/>
        <v>5</v>
      </c>
      <c r="R347" s="8">
        <f t="shared" si="22"/>
        <v>2</v>
      </c>
      <c r="S347" s="8">
        <f t="shared" si="22"/>
        <v>1</v>
      </c>
      <c r="T347" s="8">
        <f t="shared" si="22"/>
        <v>6</v>
      </c>
      <c r="U347" s="8">
        <f t="shared" si="22"/>
        <v>0</v>
      </c>
      <c r="V347" s="8">
        <f t="shared" si="22"/>
        <v>3</v>
      </c>
      <c r="W347" s="8">
        <f t="shared" si="22"/>
        <v>0</v>
      </c>
      <c r="X347" s="8">
        <f t="shared" si="22"/>
        <v>0</v>
      </c>
      <c r="Y347" s="8">
        <f t="shared" si="22"/>
        <v>1</v>
      </c>
      <c r="Z347" s="8">
        <f t="shared" si="22"/>
        <v>2</v>
      </c>
      <c r="AA347" s="8">
        <f t="shared" si="22"/>
        <v>9</v>
      </c>
      <c r="AB347" s="8">
        <f t="shared" si="22"/>
        <v>1</v>
      </c>
      <c r="AC347" s="8">
        <f t="shared" si="22"/>
        <v>1</v>
      </c>
      <c r="AD347" s="8">
        <f t="shared" si="22"/>
        <v>1</v>
      </c>
      <c r="AE347" s="8">
        <f t="shared" si="22"/>
        <v>0</v>
      </c>
      <c r="AF347" s="8">
        <f t="shared" si="22"/>
        <v>0</v>
      </c>
      <c r="AG347" s="8">
        <f t="shared" si="22"/>
        <v>2</v>
      </c>
      <c r="AH347" s="8">
        <f t="shared" si="22"/>
        <v>1</v>
      </c>
      <c r="AI347" s="8">
        <f t="shared" si="22"/>
        <v>0</v>
      </c>
      <c r="AJ347" s="8">
        <f t="shared" si="22"/>
        <v>1</v>
      </c>
      <c r="AK347" s="8">
        <f t="shared" si="22"/>
        <v>6</v>
      </c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</row>
    <row r="348">
      <c r="A348" s="7" t="s">
        <v>70</v>
      </c>
      <c r="B348" s="8">
        <f t="shared" ref="B348:AK348" si="23">countifs(B$1:B$330,-4,$A$1:$A$330,"E")</f>
        <v>0</v>
      </c>
      <c r="C348" s="8">
        <f t="shared" si="23"/>
        <v>0</v>
      </c>
      <c r="D348" s="8">
        <f t="shared" si="23"/>
        <v>0</v>
      </c>
      <c r="E348" s="8">
        <f t="shared" si="23"/>
        <v>3</v>
      </c>
      <c r="F348" s="8">
        <f t="shared" si="23"/>
        <v>0</v>
      </c>
      <c r="G348" s="8">
        <f t="shared" si="23"/>
        <v>0</v>
      </c>
      <c r="H348" s="8">
        <f t="shared" si="23"/>
        <v>1</v>
      </c>
      <c r="I348" s="8">
        <f t="shared" si="23"/>
        <v>0</v>
      </c>
      <c r="J348" s="8">
        <f t="shared" si="23"/>
        <v>1</v>
      </c>
      <c r="K348" s="8">
        <f t="shared" si="23"/>
        <v>1</v>
      </c>
      <c r="L348" s="8">
        <f t="shared" si="23"/>
        <v>1</v>
      </c>
      <c r="M348" s="8">
        <f t="shared" si="23"/>
        <v>0</v>
      </c>
      <c r="N348" s="8">
        <f t="shared" si="23"/>
        <v>1</v>
      </c>
      <c r="O348" s="8">
        <f t="shared" si="23"/>
        <v>0</v>
      </c>
      <c r="P348" s="8">
        <f t="shared" si="23"/>
        <v>0</v>
      </c>
      <c r="Q348" s="8">
        <f t="shared" si="23"/>
        <v>0</v>
      </c>
      <c r="R348" s="8">
        <f t="shared" si="23"/>
        <v>0</v>
      </c>
      <c r="S348" s="8">
        <f t="shared" si="23"/>
        <v>0</v>
      </c>
      <c r="T348" s="8">
        <f t="shared" si="23"/>
        <v>1</v>
      </c>
      <c r="U348" s="8">
        <f t="shared" si="23"/>
        <v>0</v>
      </c>
      <c r="V348" s="8">
        <f t="shared" si="23"/>
        <v>0</v>
      </c>
      <c r="W348" s="8">
        <f t="shared" si="23"/>
        <v>0</v>
      </c>
      <c r="X348" s="8">
        <f t="shared" si="23"/>
        <v>0</v>
      </c>
      <c r="Y348" s="8">
        <f t="shared" si="23"/>
        <v>0</v>
      </c>
      <c r="Z348" s="8">
        <f t="shared" si="23"/>
        <v>0</v>
      </c>
      <c r="AA348" s="8">
        <f t="shared" si="23"/>
        <v>2</v>
      </c>
      <c r="AB348" s="8">
        <f t="shared" si="23"/>
        <v>0</v>
      </c>
      <c r="AC348" s="8">
        <f t="shared" si="23"/>
        <v>0</v>
      </c>
      <c r="AD348" s="8">
        <f t="shared" si="23"/>
        <v>1</v>
      </c>
      <c r="AE348" s="8">
        <f t="shared" si="23"/>
        <v>0</v>
      </c>
      <c r="AF348" s="8">
        <f t="shared" si="23"/>
        <v>0</v>
      </c>
      <c r="AG348" s="8">
        <f t="shared" si="23"/>
        <v>0</v>
      </c>
      <c r="AH348" s="8">
        <f t="shared" si="23"/>
        <v>0</v>
      </c>
      <c r="AI348" s="8">
        <f t="shared" si="23"/>
        <v>0</v>
      </c>
      <c r="AJ348" s="8">
        <f t="shared" si="23"/>
        <v>0</v>
      </c>
      <c r="AK348" s="8">
        <f t="shared" si="23"/>
        <v>1</v>
      </c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</row>
    <row r="349">
      <c r="A349" s="7" t="s">
        <v>71</v>
      </c>
      <c r="B349" s="8">
        <f t="shared" ref="B349:AK349" si="24">4*(B347-B348)/B$332</f>
        <v>0</v>
      </c>
      <c r="C349" s="8">
        <f t="shared" si="24"/>
        <v>0.6666666667</v>
      </c>
      <c r="D349" s="8">
        <f t="shared" si="24"/>
        <v>1</v>
      </c>
      <c r="E349" s="8">
        <f t="shared" si="24"/>
        <v>0</v>
      </c>
      <c r="F349" s="8">
        <f t="shared" si="24"/>
        <v>0.8888888889</v>
      </c>
      <c r="G349" s="8">
        <f t="shared" si="24"/>
        <v>0</v>
      </c>
      <c r="H349" s="8">
        <f t="shared" si="24"/>
        <v>3</v>
      </c>
      <c r="I349" s="8">
        <f t="shared" si="24"/>
        <v>0</v>
      </c>
      <c r="J349" s="8">
        <f t="shared" si="24"/>
        <v>1.333333333</v>
      </c>
      <c r="K349" s="8">
        <f t="shared" si="24"/>
        <v>0.5</v>
      </c>
      <c r="L349" s="8">
        <f t="shared" si="24"/>
        <v>4.888888889</v>
      </c>
      <c r="M349" s="8">
        <f t="shared" si="24"/>
        <v>1.5</v>
      </c>
      <c r="N349" s="8">
        <f t="shared" si="24"/>
        <v>5.5</v>
      </c>
      <c r="O349" s="8">
        <f t="shared" si="24"/>
        <v>1</v>
      </c>
      <c r="P349" s="8">
        <f t="shared" si="24"/>
        <v>0.6666666667</v>
      </c>
      <c r="Q349" s="8">
        <f t="shared" si="24"/>
        <v>2.5</v>
      </c>
      <c r="R349" s="8">
        <f t="shared" si="24"/>
        <v>1</v>
      </c>
      <c r="S349" s="8">
        <f t="shared" si="24"/>
        <v>0.5</v>
      </c>
      <c r="T349" s="8">
        <f t="shared" si="24"/>
        <v>2.222222222</v>
      </c>
      <c r="U349" s="8">
        <f t="shared" si="24"/>
        <v>0</v>
      </c>
      <c r="V349" s="8">
        <f t="shared" si="24"/>
        <v>1.333333333</v>
      </c>
      <c r="W349" s="8">
        <f t="shared" si="24"/>
        <v>0</v>
      </c>
      <c r="X349" s="8">
        <f t="shared" si="24"/>
        <v>0</v>
      </c>
      <c r="Y349" s="8">
        <f t="shared" si="24"/>
        <v>0.5</v>
      </c>
      <c r="Z349" s="8">
        <f t="shared" si="24"/>
        <v>1.333333333</v>
      </c>
      <c r="AA349" s="8">
        <f t="shared" si="24"/>
        <v>3.111111111</v>
      </c>
      <c r="AB349" s="8">
        <f t="shared" si="24"/>
        <v>0.5</v>
      </c>
      <c r="AC349" s="8">
        <f t="shared" si="24"/>
        <v>0.6666666667</v>
      </c>
      <c r="AD349" s="8">
        <f t="shared" si="24"/>
        <v>0</v>
      </c>
      <c r="AE349" s="8">
        <f t="shared" si="24"/>
        <v>0</v>
      </c>
      <c r="AF349" s="8">
        <f t="shared" si="24"/>
        <v>0</v>
      </c>
      <c r="AG349" s="8">
        <f t="shared" si="24"/>
        <v>0.8888888889</v>
      </c>
      <c r="AH349" s="8">
        <f t="shared" si="24"/>
        <v>0.5</v>
      </c>
      <c r="AI349" s="8">
        <f t="shared" si="24"/>
        <v>0</v>
      </c>
      <c r="AJ349" s="8">
        <f t="shared" si="24"/>
        <v>0.5</v>
      </c>
      <c r="AK349" s="8">
        <f t="shared" si="24"/>
        <v>3.333333333</v>
      </c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</row>
    <row r="350">
      <c r="A350" s="7" t="s">
        <v>72</v>
      </c>
      <c r="B350" s="8">
        <f t="shared" ref="B350:AK350" si="25">countifs(B$1:B$330,4,$A$1:$A$330,"B")</f>
        <v>0</v>
      </c>
      <c r="C350" s="8">
        <f t="shared" si="25"/>
        <v>1</v>
      </c>
      <c r="D350" s="8">
        <f t="shared" si="25"/>
        <v>0</v>
      </c>
      <c r="E350" s="8">
        <f t="shared" si="25"/>
        <v>4</v>
      </c>
      <c r="F350" s="8">
        <f t="shared" si="25"/>
        <v>1</v>
      </c>
      <c r="G350" s="8">
        <f t="shared" si="25"/>
        <v>0</v>
      </c>
      <c r="H350" s="8">
        <f t="shared" si="25"/>
        <v>0</v>
      </c>
      <c r="I350" s="8">
        <f t="shared" si="25"/>
        <v>0</v>
      </c>
      <c r="J350" s="8">
        <f t="shared" si="25"/>
        <v>1</v>
      </c>
      <c r="K350" s="8">
        <f t="shared" si="25"/>
        <v>0</v>
      </c>
      <c r="L350" s="8">
        <f t="shared" si="25"/>
        <v>1</v>
      </c>
      <c r="M350" s="8">
        <f t="shared" si="25"/>
        <v>0</v>
      </c>
      <c r="N350" s="8">
        <f t="shared" si="25"/>
        <v>11</v>
      </c>
      <c r="O350" s="8">
        <f t="shared" si="25"/>
        <v>0</v>
      </c>
      <c r="P350" s="8">
        <f t="shared" si="25"/>
        <v>0</v>
      </c>
      <c r="Q350" s="8">
        <f t="shared" si="25"/>
        <v>0</v>
      </c>
      <c r="R350" s="8">
        <f t="shared" si="25"/>
        <v>5</v>
      </c>
      <c r="S350" s="8">
        <f t="shared" si="25"/>
        <v>2</v>
      </c>
      <c r="T350" s="8">
        <f t="shared" si="25"/>
        <v>1</v>
      </c>
      <c r="U350" s="8">
        <f t="shared" si="25"/>
        <v>0</v>
      </c>
      <c r="V350" s="8">
        <f t="shared" si="25"/>
        <v>0</v>
      </c>
      <c r="W350" s="8">
        <f t="shared" si="25"/>
        <v>0</v>
      </c>
      <c r="X350" s="8">
        <f t="shared" si="25"/>
        <v>16</v>
      </c>
      <c r="Y350" s="8">
        <f t="shared" si="25"/>
        <v>2</v>
      </c>
      <c r="Z350" s="8">
        <f t="shared" si="25"/>
        <v>3</v>
      </c>
      <c r="AA350" s="8">
        <f t="shared" si="25"/>
        <v>1</v>
      </c>
      <c r="AB350" s="8">
        <f t="shared" si="25"/>
        <v>4</v>
      </c>
      <c r="AC350" s="8">
        <f t="shared" si="25"/>
        <v>2</v>
      </c>
      <c r="AD350" s="8">
        <f t="shared" si="25"/>
        <v>4</v>
      </c>
      <c r="AE350" s="8">
        <f t="shared" si="25"/>
        <v>0</v>
      </c>
      <c r="AF350" s="8">
        <f t="shared" si="25"/>
        <v>4</v>
      </c>
      <c r="AG350" s="8">
        <f t="shared" si="25"/>
        <v>2</v>
      </c>
      <c r="AH350" s="8">
        <f t="shared" si="25"/>
        <v>6</v>
      </c>
      <c r="AI350" s="8">
        <f t="shared" si="25"/>
        <v>0</v>
      </c>
      <c r="AJ350" s="8">
        <f t="shared" si="25"/>
        <v>2</v>
      </c>
      <c r="AK350" s="8">
        <f t="shared" si="25"/>
        <v>0</v>
      </c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</row>
    <row r="351">
      <c r="A351" s="7" t="s">
        <v>73</v>
      </c>
      <c r="B351" s="8">
        <f t="shared" ref="B351:AK351" si="26">countifs(B$1:B$330,-4,$A$1:$A$330,"B")</f>
        <v>0</v>
      </c>
      <c r="C351" s="8">
        <f t="shared" si="26"/>
        <v>0</v>
      </c>
      <c r="D351" s="8">
        <f t="shared" si="26"/>
        <v>0</v>
      </c>
      <c r="E351" s="8">
        <f t="shared" si="26"/>
        <v>0</v>
      </c>
      <c r="F351" s="8">
        <f t="shared" si="26"/>
        <v>0</v>
      </c>
      <c r="G351" s="8">
        <f t="shared" si="26"/>
        <v>0</v>
      </c>
      <c r="H351" s="8">
        <f t="shared" si="26"/>
        <v>0</v>
      </c>
      <c r="I351" s="8">
        <f t="shared" si="26"/>
        <v>0</v>
      </c>
      <c r="J351" s="8">
        <f t="shared" si="26"/>
        <v>0</v>
      </c>
      <c r="K351" s="8">
        <f t="shared" si="26"/>
        <v>0</v>
      </c>
      <c r="L351" s="8">
        <f t="shared" si="26"/>
        <v>0</v>
      </c>
      <c r="M351" s="8">
        <f t="shared" si="26"/>
        <v>0</v>
      </c>
      <c r="N351" s="8">
        <f t="shared" si="26"/>
        <v>1</v>
      </c>
      <c r="O351" s="8">
        <f t="shared" si="26"/>
        <v>0</v>
      </c>
      <c r="P351" s="8">
        <f t="shared" si="26"/>
        <v>0</v>
      </c>
      <c r="Q351" s="8">
        <f t="shared" si="26"/>
        <v>0</v>
      </c>
      <c r="R351" s="8">
        <f t="shared" si="26"/>
        <v>0</v>
      </c>
      <c r="S351" s="8">
        <f t="shared" si="26"/>
        <v>0</v>
      </c>
      <c r="T351" s="8">
        <f t="shared" si="26"/>
        <v>0</v>
      </c>
      <c r="U351" s="8">
        <f t="shared" si="26"/>
        <v>0</v>
      </c>
      <c r="V351" s="8">
        <f t="shared" si="26"/>
        <v>0</v>
      </c>
      <c r="W351" s="8">
        <f t="shared" si="26"/>
        <v>0</v>
      </c>
      <c r="X351" s="8">
        <f t="shared" si="26"/>
        <v>6</v>
      </c>
      <c r="Y351" s="8">
        <f t="shared" si="26"/>
        <v>0</v>
      </c>
      <c r="Z351" s="8">
        <f t="shared" si="26"/>
        <v>0</v>
      </c>
      <c r="AA351" s="8">
        <f t="shared" si="26"/>
        <v>0</v>
      </c>
      <c r="AB351" s="8">
        <f t="shared" si="26"/>
        <v>0</v>
      </c>
      <c r="AC351" s="8">
        <f t="shared" si="26"/>
        <v>0</v>
      </c>
      <c r="AD351" s="8">
        <f t="shared" si="26"/>
        <v>0</v>
      </c>
      <c r="AE351" s="8">
        <f t="shared" si="26"/>
        <v>0</v>
      </c>
      <c r="AF351" s="8">
        <f t="shared" si="26"/>
        <v>0</v>
      </c>
      <c r="AG351" s="8">
        <f t="shared" si="26"/>
        <v>1</v>
      </c>
      <c r="AH351" s="8">
        <f t="shared" si="26"/>
        <v>0</v>
      </c>
      <c r="AI351" s="8">
        <f t="shared" si="26"/>
        <v>0</v>
      </c>
      <c r="AJ351" s="8">
        <f t="shared" si="26"/>
        <v>0</v>
      </c>
      <c r="AK351" s="8">
        <f t="shared" si="26"/>
        <v>0</v>
      </c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</row>
    <row r="352">
      <c r="A352" s="7" t="s">
        <v>74</v>
      </c>
      <c r="B352" s="8">
        <f t="shared" ref="B352:AK352" si="27">4*(B350-B351)/B$332</f>
        <v>0</v>
      </c>
      <c r="C352" s="8">
        <f t="shared" si="27"/>
        <v>0.6666666667</v>
      </c>
      <c r="D352" s="8">
        <f t="shared" si="27"/>
        <v>0</v>
      </c>
      <c r="E352" s="8">
        <f t="shared" si="27"/>
        <v>2.285714286</v>
      </c>
      <c r="F352" s="8">
        <f t="shared" si="27"/>
        <v>0.4444444444</v>
      </c>
      <c r="G352" s="8">
        <f t="shared" si="27"/>
        <v>0</v>
      </c>
      <c r="H352" s="8">
        <f t="shared" si="27"/>
        <v>0</v>
      </c>
      <c r="I352" s="8">
        <f t="shared" si="27"/>
        <v>0</v>
      </c>
      <c r="J352" s="8">
        <f t="shared" si="27"/>
        <v>0.4444444444</v>
      </c>
      <c r="K352" s="8">
        <f t="shared" si="27"/>
        <v>0</v>
      </c>
      <c r="L352" s="8">
        <f t="shared" si="27"/>
        <v>0.4444444444</v>
      </c>
      <c r="M352" s="8">
        <f t="shared" si="27"/>
        <v>0</v>
      </c>
      <c r="N352" s="8">
        <f t="shared" si="27"/>
        <v>5</v>
      </c>
      <c r="O352" s="8">
        <f t="shared" si="27"/>
        <v>0</v>
      </c>
      <c r="P352" s="8">
        <f t="shared" si="27"/>
        <v>0</v>
      </c>
      <c r="Q352" s="8">
        <f t="shared" si="27"/>
        <v>0</v>
      </c>
      <c r="R352" s="8">
        <f t="shared" si="27"/>
        <v>2.5</v>
      </c>
      <c r="S352" s="8">
        <f t="shared" si="27"/>
        <v>1</v>
      </c>
      <c r="T352" s="8">
        <f t="shared" si="27"/>
        <v>0.4444444444</v>
      </c>
      <c r="U352" s="8">
        <f t="shared" si="27"/>
        <v>0</v>
      </c>
      <c r="V352" s="8">
        <f t="shared" si="27"/>
        <v>0</v>
      </c>
      <c r="W352" s="8">
        <f t="shared" si="27"/>
        <v>0</v>
      </c>
      <c r="X352" s="8">
        <f t="shared" si="27"/>
        <v>4.444444444</v>
      </c>
      <c r="Y352" s="8">
        <f t="shared" si="27"/>
        <v>1</v>
      </c>
      <c r="Z352" s="8">
        <f t="shared" si="27"/>
        <v>2</v>
      </c>
      <c r="AA352" s="8">
        <f t="shared" si="27"/>
        <v>0.4444444444</v>
      </c>
      <c r="AB352" s="8">
        <f t="shared" si="27"/>
        <v>2</v>
      </c>
      <c r="AC352" s="8">
        <f t="shared" si="27"/>
        <v>1.333333333</v>
      </c>
      <c r="AD352" s="8">
        <f t="shared" si="27"/>
        <v>2</v>
      </c>
      <c r="AE352" s="8">
        <f t="shared" si="27"/>
        <v>0</v>
      </c>
      <c r="AF352" s="8">
        <f t="shared" si="27"/>
        <v>2.666666667</v>
      </c>
      <c r="AG352" s="8">
        <f t="shared" si="27"/>
        <v>0.4444444444</v>
      </c>
      <c r="AH352" s="8">
        <f t="shared" si="27"/>
        <v>3</v>
      </c>
      <c r="AI352" s="8">
        <f t="shared" si="27"/>
        <v>0</v>
      </c>
      <c r="AJ352" s="8">
        <f t="shared" si="27"/>
        <v>1</v>
      </c>
      <c r="AK352" s="8">
        <f t="shared" si="27"/>
        <v>0</v>
      </c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</row>
    <row r="353">
      <c r="A353" s="7" t="s">
        <v>75</v>
      </c>
      <c r="B353" s="8">
        <f t="shared" ref="B353:AK353" si="28">countifs(B$1:B$330,4,$A$1:$A$330,"P")</f>
        <v>0</v>
      </c>
      <c r="C353" s="8">
        <f t="shared" si="28"/>
        <v>0</v>
      </c>
      <c r="D353" s="8">
        <f t="shared" si="28"/>
        <v>4</v>
      </c>
      <c r="E353" s="8">
        <f t="shared" si="28"/>
        <v>1</v>
      </c>
      <c r="F353" s="8">
        <f t="shared" si="28"/>
        <v>6</v>
      </c>
      <c r="G353" s="8">
        <f t="shared" si="28"/>
        <v>0</v>
      </c>
      <c r="H353" s="8">
        <f t="shared" si="28"/>
        <v>0</v>
      </c>
      <c r="I353" s="8">
        <f t="shared" si="28"/>
        <v>0</v>
      </c>
      <c r="J353" s="8">
        <f t="shared" si="28"/>
        <v>1</v>
      </c>
      <c r="K353" s="8">
        <f t="shared" si="28"/>
        <v>2</v>
      </c>
      <c r="L353" s="8">
        <f t="shared" si="28"/>
        <v>2</v>
      </c>
      <c r="M353" s="8">
        <f t="shared" si="28"/>
        <v>4</v>
      </c>
      <c r="N353" s="8">
        <f t="shared" si="28"/>
        <v>12</v>
      </c>
      <c r="O353" s="8">
        <f t="shared" si="28"/>
        <v>8</v>
      </c>
      <c r="P353" s="8">
        <f t="shared" si="28"/>
        <v>0</v>
      </c>
      <c r="Q353" s="8">
        <f t="shared" si="28"/>
        <v>0</v>
      </c>
      <c r="R353" s="8">
        <f t="shared" si="28"/>
        <v>5</v>
      </c>
      <c r="S353" s="8">
        <f t="shared" si="28"/>
        <v>9</v>
      </c>
      <c r="T353" s="8">
        <f t="shared" si="28"/>
        <v>5</v>
      </c>
      <c r="U353" s="8">
        <f t="shared" si="28"/>
        <v>0</v>
      </c>
      <c r="V353" s="8">
        <f t="shared" si="28"/>
        <v>2</v>
      </c>
      <c r="W353" s="8">
        <f t="shared" si="28"/>
        <v>0</v>
      </c>
      <c r="X353" s="8">
        <f t="shared" si="28"/>
        <v>3</v>
      </c>
      <c r="Y353" s="8">
        <f t="shared" si="28"/>
        <v>0</v>
      </c>
      <c r="Z353" s="8">
        <f t="shared" si="28"/>
        <v>6</v>
      </c>
      <c r="AA353" s="8">
        <f t="shared" si="28"/>
        <v>4</v>
      </c>
      <c r="AB353" s="8">
        <f t="shared" si="28"/>
        <v>0</v>
      </c>
      <c r="AC353" s="8">
        <f t="shared" si="28"/>
        <v>1</v>
      </c>
      <c r="AD353" s="8">
        <f t="shared" si="28"/>
        <v>2</v>
      </c>
      <c r="AE353" s="8">
        <f t="shared" si="28"/>
        <v>0</v>
      </c>
      <c r="AF353" s="8">
        <f t="shared" si="28"/>
        <v>1</v>
      </c>
      <c r="AG353" s="8">
        <f t="shared" si="28"/>
        <v>0</v>
      </c>
      <c r="AH353" s="8">
        <f t="shared" si="28"/>
        <v>0</v>
      </c>
      <c r="AI353" s="8">
        <f t="shared" si="28"/>
        <v>1</v>
      </c>
      <c r="AJ353" s="8">
        <f t="shared" si="28"/>
        <v>0</v>
      </c>
      <c r="AK353" s="8">
        <f t="shared" si="28"/>
        <v>1</v>
      </c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</row>
    <row r="354">
      <c r="A354" s="7" t="s">
        <v>76</v>
      </c>
      <c r="B354" s="8">
        <f t="shared" ref="B354:AK354" si="29">countifs(B$1:B$330,-4,$A$1:$A$330,"P")</f>
        <v>0</v>
      </c>
      <c r="C354" s="8">
        <f t="shared" si="29"/>
        <v>0</v>
      </c>
      <c r="D354" s="8">
        <f t="shared" si="29"/>
        <v>0</v>
      </c>
      <c r="E354" s="8">
        <f t="shared" si="29"/>
        <v>0</v>
      </c>
      <c r="F354" s="8">
        <f t="shared" si="29"/>
        <v>0</v>
      </c>
      <c r="G354" s="8">
        <f t="shared" si="29"/>
        <v>0</v>
      </c>
      <c r="H354" s="8">
        <f t="shared" si="29"/>
        <v>0</v>
      </c>
      <c r="I354" s="8">
        <f t="shared" si="29"/>
        <v>0</v>
      </c>
      <c r="J354" s="8">
        <f t="shared" si="29"/>
        <v>0</v>
      </c>
      <c r="K354" s="8">
        <f t="shared" si="29"/>
        <v>0</v>
      </c>
      <c r="L354" s="8">
        <f t="shared" si="29"/>
        <v>0</v>
      </c>
      <c r="M354" s="8">
        <f t="shared" si="29"/>
        <v>0</v>
      </c>
      <c r="N354" s="8">
        <f t="shared" si="29"/>
        <v>1</v>
      </c>
      <c r="O354" s="8">
        <f t="shared" si="29"/>
        <v>1</v>
      </c>
      <c r="P354" s="8">
        <f t="shared" si="29"/>
        <v>0</v>
      </c>
      <c r="Q354" s="8">
        <f t="shared" si="29"/>
        <v>0</v>
      </c>
      <c r="R354" s="8">
        <f t="shared" si="29"/>
        <v>1</v>
      </c>
      <c r="S354" s="8">
        <f t="shared" si="29"/>
        <v>1</v>
      </c>
      <c r="T354" s="8">
        <f t="shared" si="29"/>
        <v>0</v>
      </c>
      <c r="U354" s="8">
        <f t="shared" si="29"/>
        <v>0</v>
      </c>
      <c r="V354" s="8">
        <f t="shared" si="29"/>
        <v>1</v>
      </c>
      <c r="W354" s="8">
        <f t="shared" si="29"/>
        <v>0</v>
      </c>
      <c r="X354" s="8">
        <f t="shared" si="29"/>
        <v>0</v>
      </c>
      <c r="Y354" s="8">
        <f t="shared" si="29"/>
        <v>0</v>
      </c>
      <c r="Z354" s="8">
        <f t="shared" si="29"/>
        <v>0</v>
      </c>
      <c r="AA354" s="8">
        <f t="shared" si="29"/>
        <v>2</v>
      </c>
      <c r="AB354" s="8">
        <f t="shared" si="29"/>
        <v>1</v>
      </c>
      <c r="AC354" s="8">
        <f t="shared" si="29"/>
        <v>0</v>
      </c>
      <c r="AD354" s="8">
        <f t="shared" si="29"/>
        <v>3</v>
      </c>
      <c r="AE354" s="8">
        <f t="shared" si="29"/>
        <v>0</v>
      </c>
      <c r="AF354" s="8">
        <f t="shared" si="29"/>
        <v>0</v>
      </c>
      <c r="AG354" s="8">
        <f t="shared" si="29"/>
        <v>0</v>
      </c>
      <c r="AH354" s="8">
        <f t="shared" si="29"/>
        <v>0</v>
      </c>
      <c r="AI354" s="8">
        <f t="shared" si="29"/>
        <v>1</v>
      </c>
      <c r="AJ354" s="8">
        <f t="shared" si="29"/>
        <v>0</v>
      </c>
      <c r="AK354" s="8">
        <f t="shared" si="29"/>
        <v>0</v>
      </c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</row>
    <row r="355">
      <c r="A355" s="7" t="s">
        <v>77</v>
      </c>
      <c r="B355" s="8">
        <f t="shared" ref="B355:AK355" si="30">4*(B353-B354)/B$332</f>
        <v>0</v>
      </c>
      <c r="C355" s="8">
        <f t="shared" si="30"/>
        <v>0</v>
      </c>
      <c r="D355" s="8">
        <f t="shared" si="30"/>
        <v>2</v>
      </c>
      <c r="E355" s="8">
        <f t="shared" si="30"/>
        <v>0.5714285714</v>
      </c>
      <c r="F355" s="8">
        <f t="shared" si="30"/>
        <v>2.666666667</v>
      </c>
      <c r="G355" s="8">
        <f t="shared" si="30"/>
        <v>0</v>
      </c>
      <c r="H355" s="8">
        <f t="shared" si="30"/>
        <v>0</v>
      </c>
      <c r="I355" s="8">
        <f t="shared" si="30"/>
        <v>0</v>
      </c>
      <c r="J355" s="8">
        <f t="shared" si="30"/>
        <v>0.4444444444</v>
      </c>
      <c r="K355" s="8">
        <f t="shared" si="30"/>
        <v>1</v>
      </c>
      <c r="L355" s="8">
        <f t="shared" si="30"/>
        <v>0.8888888889</v>
      </c>
      <c r="M355" s="8">
        <f t="shared" si="30"/>
        <v>2</v>
      </c>
      <c r="N355" s="8">
        <f t="shared" si="30"/>
        <v>5.5</v>
      </c>
      <c r="O355" s="8">
        <f t="shared" si="30"/>
        <v>3.5</v>
      </c>
      <c r="P355" s="8">
        <f t="shared" si="30"/>
        <v>0</v>
      </c>
      <c r="Q355" s="8">
        <f t="shared" si="30"/>
        <v>0</v>
      </c>
      <c r="R355" s="8">
        <f t="shared" si="30"/>
        <v>2</v>
      </c>
      <c r="S355" s="8">
        <f t="shared" si="30"/>
        <v>4</v>
      </c>
      <c r="T355" s="8">
        <f t="shared" si="30"/>
        <v>2.222222222</v>
      </c>
      <c r="U355" s="8">
        <f t="shared" si="30"/>
        <v>0</v>
      </c>
      <c r="V355" s="8">
        <f t="shared" si="30"/>
        <v>0.4444444444</v>
      </c>
      <c r="W355" s="8">
        <f t="shared" si="30"/>
        <v>0</v>
      </c>
      <c r="X355" s="8">
        <f t="shared" si="30"/>
        <v>1.333333333</v>
      </c>
      <c r="Y355" s="8">
        <f t="shared" si="30"/>
        <v>0</v>
      </c>
      <c r="Z355" s="8">
        <f t="shared" si="30"/>
        <v>4</v>
      </c>
      <c r="AA355" s="8">
        <f t="shared" si="30"/>
        <v>0.8888888889</v>
      </c>
      <c r="AB355" s="8">
        <f t="shared" si="30"/>
        <v>-0.5</v>
      </c>
      <c r="AC355" s="8">
        <f t="shared" si="30"/>
        <v>0.6666666667</v>
      </c>
      <c r="AD355" s="8">
        <f t="shared" si="30"/>
        <v>-0.5</v>
      </c>
      <c r="AE355" s="8">
        <f t="shared" si="30"/>
        <v>0</v>
      </c>
      <c r="AF355" s="8">
        <f t="shared" si="30"/>
        <v>0.6666666667</v>
      </c>
      <c r="AG355" s="8">
        <f t="shared" si="30"/>
        <v>0</v>
      </c>
      <c r="AH355" s="8">
        <f t="shared" si="30"/>
        <v>0</v>
      </c>
      <c r="AI355" s="8">
        <f t="shared" si="30"/>
        <v>0</v>
      </c>
      <c r="AJ355" s="8">
        <f t="shared" si="30"/>
        <v>0</v>
      </c>
      <c r="AK355" s="8">
        <f t="shared" si="30"/>
        <v>0.6666666667</v>
      </c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3" t="str">
        <f t="array" ref="B1:Q30">transpose(sort(transpose(Full!A1:R30),1,true))</f>
        <v>Brookfield</v>
      </c>
      <c r="C1" s="3" t="s">
        <v>4</v>
      </c>
      <c r="D1" s="3" t="s">
        <v>5</v>
      </c>
      <c r="E1" s="3" t="s">
        <v>5</v>
      </c>
      <c r="F1" s="3" t="s">
        <v>0</v>
      </c>
      <c r="G1" s="3" t="s">
        <v>0</v>
      </c>
      <c r="H1" s="3" t="s">
        <v>1</v>
      </c>
      <c r="I1" s="3" t="s">
        <v>1</v>
      </c>
      <c r="J1" s="3" t="s">
        <v>7</v>
      </c>
      <c r="K1" s="3" t="s">
        <v>7</v>
      </c>
      <c r="L1" s="3" t="s">
        <v>2</v>
      </c>
      <c r="M1" s="3" t="s">
        <v>2</v>
      </c>
      <c r="N1" s="3" t="s">
        <v>6</v>
      </c>
      <c r="O1" s="3" t="s">
        <v>6</v>
      </c>
      <c r="P1" s="3" t="s">
        <v>3</v>
      </c>
      <c r="Q1" s="3" t="s">
        <v>3</v>
      </c>
    </row>
    <row r="2">
      <c r="B2" s="3" t="s">
        <v>8</v>
      </c>
      <c r="C2" s="3" t="s">
        <v>9</v>
      </c>
      <c r="D2" s="3" t="s">
        <v>8</v>
      </c>
      <c r="E2" s="3" t="s">
        <v>9</v>
      </c>
      <c r="F2" s="3" t="s">
        <v>8</v>
      </c>
      <c r="G2" s="3" t="s">
        <v>9</v>
      </c>
      <c r="H2" s="3" t="s">
        <v>8</v>
      </c>
      <c r="I2" s="3" t="s">
        <v>9</v>
      </c>
      <c r="J2" s="3" t="s">
        <v>8</v>
      </c>
      <c r="K2" s="3" t="s">
        <v>9</v>
      </c>
      <c r="L2" s="3" t="s">
        <v>8</v>
      </c>
      <c r="M2" s="3" t="s">
        <v>9</v>
      </c>
      <c r="N2" s="3" t="s">
        <v>8</v>
      </c>
      <c r="O2" s="3" t="s">
        <v>9</v>
      </c>
      <c r="P2" s="3" t="s">
        <v>8</v>
      </c>
      <c r="Q2" s="3" t="s">
        <v>9</v>
      </c>
    </row>
    <row r="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>
      <c r="A4" s="3" t="s">
        <v>46</v>
      </c>
      <c r="B4" s="3"/>
      <c r="C4" s="3">
        <v>0.0</v>
      </c>
      <c r="D4" s="3">
        <v>10.0</v>
      </c>
      <c r="E4" s="3">
        <v>14.0</v>
      </c>
      <c r="F4" s="3"/>
      <c r="G4" s="3">
        <v>4.0</v>
      </c>
      <c r="H4" s="3"/>
      <c r="I4" s="3">
        <v>0.0</v>
      </c>
      <c r="J4" s="3">
        <v>10.0</v>
      </c>
      <c r="K4" s="3">
        <v>14.0</v>
      </c>
      <c r="L4" s="3"/>
      <c r="M4" s="3">
        <v>4.0</v>
      </c>
      <c r="N4" s="3"/>
      <c r="O4" s="3">
        <v>0.0</v>
      </c>
      <c r="P4" s="3"/>
      <c r="Q4" s="3">
        <v>0.0</v>
      </c>
    </row>
    <row r="5">
      <c r="A5" s="3" t="s">
        <v>47</v>
      </c>
      <c r="B5" s="3">
        <v>10.0</v>
      </c>
      <c r="C5" s="3">
        <v>14.0</v>
      </c>
      <c r="D5" s="3"/>
      <c r="E5" s="3">
        <v>14.0</v>
      </c>
      <c r="F5" s="3">
        <v>0.0</v>
      </c>
      <c r="G5" s="3">
        <v>8.0</v>
      </c>
      <c r="H5" s="3"/>
      <c r="I5" s="3">
        <v>0.0</v>
      </c>
      <c r="J5" s="3"/>
      <c r="K5" s="3">
        <v>18.0</v>
      </c>
      <c r="L5" s="3"/>
      <c r="M5" s="3">
        <v>4.0</v>
      </c>
      <c r="N5" s="3"/>
      <c r="O5" s="3">
        <v>0.0</v>
      </c>
      <c r="P5" s="3">
        <v>10.0</v>
      </c>
      <c r="Q5" s="3">
        <v>14.0</v>
      </c>
    </row>
    <row r="6">
      <c r="A6" s="3" t="s">
        <v>48</v>
      </c>
      <c r="B6" s="3">
        <v>10.0</v>
      </c>
      <c r="C6" s="3">
        <v>28.0</v>
      </c>
      <c r="D6" s="3"/>
      <c r="E6" s="3">
        <v>14.0</v>
      </c>
      <c r="F6" s="3"/>
      <c r="G6" s="3">
        <v>8.0</v>
      </c>
      <c r="H6" s="3">
        <v>0.0</v>
      </c>
      <c r="I6" s="3">
        <v>4.0</v>
      </c>
      <c r="J6" s="3">
        <v>0.0</v>
      </c>
      <c r="K6" s="3">
        <v>22.0</v>
      </c>
      <c r="L6" s="3"/>
      <c r="M6" s="3">
        <v>4.0</v>
      </c>
      <c r="N6" s="3"/>
      <c r="O6" s="3">
        <v>0.0</v>
      </c>
      <c r="P6" s="3">
        <v>0.0</v>
      </c>
      <c r="Q6" s="3">
        <v>18.0</v>
      </c>
    </row>
    <row r="7">
      <c r="A7" s="3" t="s">
        <v>49</v>
      </c>
      <c r="B7" s="3"/>
      <c r="C7" s="3">
        <v>28.0</v>
      </c>
      <c r="D7" s="3">
        <v>0.0</v>
      </c>
      <c r="E7" s="3">
        <v>18.0</v>
      </c>
      <c r="F7" s="3">
        <v>0.0</v>
      </c>
      <c r="G7" s="3">
        <v>12.0</v>
      </c>
      <c r="H7" s="3"/>
      <c r="I7" s="3">
        <v>4.0</v>
      </c>
      <c r="J7" s="3">
        <v>10.0</v>
      </c>
      <c r="K7" s="3">
        <v>36.0</v>
      </c>
      <c r="L7" s="3">
        <v>10.0</v>
      </c>
      <c r="M7" s="3">
        <v>18.0</v>
      </c>
      <c r="N7" s="3"/>
      <c r="O7" s="3">
        <v>0.0</v>
      </c>
      <c r="P7" s="3"/>
      <c r="Q7" s="3">
        <v>18.0</v>
      </c>
    </row>
    <row r="8">
      <c r="A8" s="3" t="s">
        <v>50</v>
      </c>
      <c r="B8" s="3">
        <v>10.0</v>
      </c>
      <c r="C8" s="3">
        <v>42.0</v>
      </c>
      <c r="D8" s="3"/>
      <c r="E8" s="3">
        <v>18.0</v>
      </c>
      <c r="F8" s="3"/>
      <c r="G8" s="3">
        <v>12.0</v>
      </c>
      <c r="H8" s="3">
        <v>10.0</v>
      </c>
      <c r="I8" s="3">
        <v>18.0</v>
      </c>
      <c r="J8" s="3">
        <v>10.0</v>
      </c>
      <c r="K8" s="3">
        <v>50.0</v>
      </c>
      <c r="L8" s="3"/>
      <c r="M8" s="3">
        <v>18.0</v>
      </c>
      <c r="N8" s="3"/>
      <c r="O8" s="3">
        <v>0.0</v>
      </c>
      <c r="P8" s="3">
        <v>10.0</v>
      </c>
      <c r="Q8" s="3">
        <v>32.0</v>
      </c>
    </row>
    <row r="9">
      <c r="A9" s="3" t="s">
        <v>51</v>
      </c>
      <c r="B9" s="3"/>
      <c r="C9" s="3">
        <v>42.0</v>
      </c>
      <c r="D9" s="3">
        <v>0.0</v>
      </c>
      <c r="E9" s="3">
        <v>22.0</v>
      </c>
      <c r="F9" s="3"/>
      <c r="G9" s="3">
        <v>12.0</v>
      </c>
      <c r="H9" s="3">
        <v>10.0</v>
      </c>
      <c r="I9" s="3">
        <v>32.0</v>
      </c>
      <c r="J9" s="3">
        <v>0.0</v>
      </c>
      <c r="K9" s="3">
        <v>54.0</v>
      </c>
      <c r="L9" s="3"/>
      <c r="M9" s="3">
        <v>18.0</v>
      </c>
      <c r="N9" s="3"/>
      <c r="O9" s="3">
        <v>0.0</v>
      </c>
      <c r="P9" s="3">
        <v>10.0</v>
      </c>
      <c r="Q9" s="3">
        <v>46.0</v>
      </c>
    </row>
    <row r="10">
      <c r="A10" s="3" t="s">
        <v>46</v>
      </c>
      <c r="B10" s="3">
        <v>10.0</v>
      </c>
      <c r="C10" s="3">
        <v>56.0</v>
      </c>
      <c r="D10" s="3"/>
      <c r="E10" s="3">
        <v>22.0</v>
      </c>
      <c r="F10" s="3"/>
      <c r="G10" s="3">
        <v>12.0</v>
      </c>
      <c r="H10" s="3">
        <v>10.0</v>
      </c>
      <c r="I10" s="3">
        <v>46.0</v>
      </c>
      <c r="J10" s="3"/>
      <c r="K10" s="3">
        <v>54.0</v>
      </c>
      <c r="L10" s="3"/>
      <c r="M10" s="3">
        <v>18.0</v>
      </c>
      <c r="N10" s="3">
        <v>10.0</v>
      </c>
      <c r="O10" s="3">
        <v>14.0</v>
      </c>
      <c r="P10" s="3"/>
      <c r="Q10" s="3">
        <v>46.0</v>
      </c>
    </row>
    <row r="11">
      <c r="A11" s="3" t="s">
        <v>47</v>
      </c>
      <c r="B11" s="3"/>
      <c r="C11" s="3">
        <v>56.0</v>
      </c>
      <c r="D11" s="3">
        <v>10.0</v>
      </c>
      <c r="E11" s="3">
        <v>36.0</v>
      </c>
      <c r="F11" s="3"/>
      <c r="G11" s="3">
        <v>12.0</v>
      </c>
      <c r="H11" s="3"/>
      <c r="I11" s="3">
        <v>46.0</v>
      </c>
      <c r="J11" s="3"/>
      <c r="K11" s="3">
        <v>54.0</v>
      </c>
      <c r="L11" s="3"/>
      <c r="M11" s="3">
        <v>18.0</v>
      </c>
      <c r="N11" s="3">
        <v>10.0</v>
      </c>
      <c r="O11" s="3">
        <v>28.0</v>
      </c>
      <c r="P11" s="3">
        <v>10.0</v>
      </c>
      <c r="Q11" s="3">
        <v>60.0</v>
      </c>
    </row>
    <row r="12">
      <c r="A12" s="3" t="s">
        <v>48</v>
      </c>
      <c r="B12" s="3"/>
      <c r="C12" s="3">
        <v>56.0</v>
      </c>
      <c r="D12" s="3">
        <v>10.0</v>
      </c>
      <c r="E12" s="3">
        <v>54.0</v>
      </c>
      <c r="F12" s="3"/>
      <c r="G12" s="3">
        <v>12.0</v>
      </c>
      <c r="H12" s="3"/>
      <c r="I12" s="3">
        <v>46.0</v>
      </c>
      <c r="J12" s="3"/>
      <c r="K12" s="3">
        <v>54.0</v>
      </c>
      <c r="L12" s="3"/>
      <c r="M12" s="3">
        <v>18.0</v>
      </c>
      <c r="N12" s="3"/>
      <c r="O12" s="3">
        <v>28.0</v>
      </c>
      <c r="P12" s="3">
        <v>10.0</v>
      </c>
      <c r="Q12" s="3">
        <v>74.0</v>
      </c>
    </row>
    <row r="13">
      <c r="A13" s="3" t="s">
        <v>49</v>
      </c>
      <c r="B13" s="3">
        <v>10.0</v>
      </c>
      <c r="C13" s="3">
        <v>70.0</v>
      </c>
      <c r="D13" s="3"/>
      <c r="E13" s="3">
        <v>54.0</v>
      </c>
      <c r="F13" s="3"/>
      <c r="G13" s="3">
        <v>12.0</v>
      </c>
      <c r="H13" s="3">
        <v>10.0</v>
      </c>
      <c r="I13" s="3">
        <v>60.0</v>
      </c>
      <c r="J13" s="3"/>
      <c r="K13" s="3">
        <v>54.0</v>
      </c>
      <c r="L13" s="3"/>
      <c r="M13" s="3">
        <v>18.0</v>
      </c>
      <c r="N13" s="3">
        <v>10.0</v>
      </c>
      <c r="O13" s="3">
        <v>42.0</v>
      </c>
      <c r="P13" s="3">
        <v>10.0</v>
      </c>
      <c r="Q13" s="3">
        <v>88.0</v>
      </c>
    </row>
    <row r="14">
      <c r="A14" s="3" t="s">
        <v>50</v>
      </c>
      <c r="B14" s="3">
        <v>10.0</v>
      </c>
      <c r="C14" s="3">
        <v>84.0</v>
      </c>
      <c r="D14" s="3"/>
      <c r="E14" s="3">
        <v>54.0</v>
      </c>
      <c r="F14" s="3"/>
      <c r="G14" s="3">
        <v>16.0</v>
      </c>
      <c r="H14" s="3"/>
      <c r="I14" s="3">
        <v>60.0</v>
      </c>
      <c r="J14" s="3"/>
      <c r="K14" s="3">
        <v>54.0</v>
      </c>
      <c r="L14" s="3">
        <v>0.0</v>
      </c>
      <c r="M14" s="3">
        <v>22.0</v>
      </c>
      <c r="N14" s="3"/>
      <c r="O14" s="3">
        <v>42.0</v>
      </c>
      <c r="P14" s="3"/>
      <c r="Q14" s="3">
        <v>88.0</v>
      </c>
    </row>
    <row r="15">
      <c r="A15" s="3" t="s">
        <v>51</v>
      </c>
      <c r="B15" s="3">
        <v>10.0</v>
      </c>
      <c r="C15" s="3">
        <v>98.0</v>
      </c>
      <c r="D15" s="3"/>
      <c r="E15" s="3">
        <v>54.0</v>
      </c>
      <c r="F15" s="3"/>
      <c r="G15" s="3">
        <v>16.0</v>
      </c>
      <c r="H15" s="3">
        <v>10.0</v>
      </c>
      <c r="I15" s="3">
        <v>74.0</v>
      </c>
      <c r="J15" s="3">
        <v>0.0</v>
      </c>
      <c r="K15" s="3">
        <v>58.0</v>
      </c>
      <c r="L15" s="3"/>
      <c r="M15" s="3">
        <v>22.0</v>
      </c>
      <c r="N15" s="3"/>
      <c r="O15" s="3">
        <v>42.0</v>
      </c>
      <c r="P15" s="3">
        <v>0.0</v>
      </c>
      <c r="Q15" s="3">
        <v>92.0</v>
      </c>
    </row>
    <row r="16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>
      <c r="A17" s="3" t="s">
        <v>46</v>
      </c>
      <c r="B17" s="3">
        <v>10.0</v>
      </c>
      <c r="C17" s="3">
        <v>112.0</v>
      </c>
      <c r="D17" s="3"/>
      <c r="E17" s="3">
        <v>54.0</v>
      </c>
      <c r="F17" s="3"/>
      <c r="G17" s="3">
        <v>16.0</v>
      </c>
      <c r="H17" s="3">
        <v>10.0</v>
      </c>
      <c r="I17" s="3">
        <v>88.0</v>
      </c>
      <c r="J17" s="3"/>
      <c r="K17" s="3">
        <v>58.0</v>
      </c>
      <c r="L17" s="3"/>
      <c r="M17" s="3">
        <v>22.0</v>
      </c>
      <c r="N17" s="3">
        <v>0.0</v>
      </c>
      <c r="O17" s="3">
        <v>46.0</v>
      </c>
      <c r="P17" s="3">
        <v>10.0</v>
      </c>
      <c r="Q17" s="3">
        <v>106.0</v>
      </c>
    </row>
    <row r="18">
      <c r="A18" s="3" t="s">
        <v>47</v>
      </c>
      <c r="B18" s="3">
        <v>10.0</v>
      </c>
      <c r="C18" s="3">
        <v>126.0</v>
      </c>
      <c r="D18" s="3"/>
      <c r="E18" s="3">
        <v>54.0</v>
      </c>
      <c r="F18" s="3"/>
      <c r="G18" s="3">
        <v>16.0</v>
      </c>
      <c r="H18" s="3">
        <v>10.0</v>
      </c>
      <c r="I18" s="3">
        <v>102.0</v>
      </c>
      <c r="J18" s="3"/>
      <c r="K18" s="3">
        <v>58.0</v>
      </c>
      <c r="L18" s="3"/>
      <c r="M18" s="3">
        <v>22.0</v>
      </c>
      <c r="N18" s="3">
        <v>10.0</v>
      </c>
      <c r="O18" s="3">
        <v>60.0</v>
      </c>
      <c r="P18" s="3">
        <v>10.0</v>
      </c>
      <c r="Q18" s="3">
        <v>120.0</v>
      </c>
    </row>
    <row r="19">
      <c r="A19" s="3" t="s">
        <v>48</v>
      </c>
      <c r="B19" s="3"/>
      <c r="C19" s="3">
        <v>126.0</v>
      </c>
      <c r="D19" s="3">
        <v>0.0</v>
      </c>
      <c r="E19" s="3">
        <v>58.0</v>
      </c>
      <c r="F19" s="3"/>
      <c r="G19" s="3">
        <v>16.0</v>
      </c>
      <c r="H19" s="3">
        <v>10.0</v>
      </c>
      <c r="I19" s="3">
        <v>116.0</v>
      </c>
      <c r="J19" s="3"/>
      <c r="K19" s="3">
        <v>58.0</v>
      </c>
      <c r="L19" s="3"/>
      <c r="M19" s="3">
        <v>22.0</v>
      </c>
      <c r="N19" s="3"/>
      <c r="O19" s="3">
        <v>60.0</v>
      </c>
      <c r="P19" s="3"/>
      <c r="Q19" s="3">
        <v>120.0</v>
      </c>
    </row>
    <row r="20">
      <c r="A20" s="3" t="s">
        <v>49</v>
      </c>
      <c r="B20" s="3">
        <v>10.0</v>
      </c>
      <c r="C20" s="3">
        <v>140.0</v>
      </c>
      <c r="D20" s="3"/>
      <c r="E20" s="3">
        <v>58.0</v>
      </c>
      <c r="F20" s="3"/>
      <c r="G20" s="3">
        <v>16.0</v>
      </c>
      <c r="H20" s="3">
        <v>10.0</v>
      </c>
      <c r="I20" s="3">
        <v>130.0</v>
      </c>
      <c r="J20" s="3"/>
      <c r="K20" s="3">
        <v>62.0</v>
      </c>
      <c r="L20" s="3"/>
      <c r="M20" s="3">
        <v>22.0</v>
      </c>
      <c r="N20" s="3"/>
      <c r="O20" s="3">
        <v>60.0</v>
      </c>
      <c r="P20" s="3"/>
      <c r="Q20" s="3">
        <v>124.0</v>
      </c>
    </row>
    <row r="21">
      <c r="A21" s="3" t="s">
        <v>50</v>
      </c>
      <c r="B21" s="3">
        <v>10.0</v>
      </c>
      <c r="C21" s="3">
        <v>154.0</v>
      </c>
      <c r="D21" s="3"/>
      <c r="E21" s="3">
        <v>58.0</v>
      </c>
      <c r="F21" s="3"/>
      <c r="G21" s="3">
        <v>16.0</v>
      </c>
      <c r="H21" s="3">
        <v>10.0</v>
      </c>
      <c r="I21" s="3">
        <v>144.0</v>
      </c>
      <c r="J21" s="3"/>
      <c r="K21" s="3">
        <v>62.0</v>
      </c>
      <c r="L21" s="3"/>
      <c r="M21" s="3">
        <v>22.0</v>
      </c>
      <c r="N21" s="3">
        <v>10.0</v>
      </c>
      <c r="O21" s="3">
        <v>74.0</v>
      </c>
      <c r="P21" s="3">
        <v>10.0</v>
      </c>
      <c r="Q21" s="3">
        <v>138.0</v>
      </c>
    </row>
    <row r="22">
      <c r="A22" s="3" t="s">
        <v>51</v>
      </c>
      <c r="B22" s="3"/>
      <c r="C22" s="3">
        <v>154.0</v>
      </c>
      <c r="D22" s="3">
        <v>0.0</v>
      </c>
      <c r="E22" s="3">
        <v>62.0</v>
      </c>
      <c r="F22" s="3">
        <v>0.0</v>
      </c>
      <c r="G22" s="3">
        <v>20.0</v>
      </c>
      <c r="H22" s="3"/>
      <c r="I22" s="3">
        <v>144.0</v>
      </c>
      <c r="J22" s="3"/>
      <c r="K22" s="3">
        <v>62.0</v>
      </c>
      <c r="L22" s="3"/>
      <c r="M22" s="3">
        <v>22.0</v>
      </c>
      <c r="N22" s="3">
        <v>0.0</v>
      </c>
      <c r="O22" s="3">
        <v>78.0</v>
      </c>
      <c r="P22" s="3">
        <v>0.0</v>
      </c>
      <c r="Q22" s="3">
        <v>142.0</v>
      </c>
    </row>
    <row r="23">
      <c r="A23" s="3" t="s">
        <v>46</v>
      </c>
      <c r="B23" s="3"/>
      <c r="C23" s="3">
        <v>154.0</v>
      </c>
      <c r="D23" s="3">
        <v>10.0</v>
      </c>
      <c r="E23" s="3">
        <v>76.0</v>
      </c>
      <c r="F23" s="3"/>
      <c r="G23" s="3">
        <v>20.0</v>
      </c>
      <c r="H23" s="3">
        <v>10.0</v>
      </c>
      <c r="I23" s="3">
        <v>158.0</v>
      </c>
      <c r="J23" s="3"/>
      <c r="K23" s="3">
        <v>62.0</v>
      </c>
      <c r="L23" s="3"/>
      <c r="M23" s="3">
        <v>22.0</v>
      </c>
      <c r="N23" s="3">
        <v>0.0</v>
      </c>
      <c r="O23" s="3">
        <v>82.0</v>
      </c>
      <c r="P23" s="3">
        <v>0.0</v>
      </c>
      <c r="Q23" s="3">
        <v>146.0</v>
      </c>
    </row>
    <row r="24">
      <c r="A24" s="3" t="s">
        <v>47</v>
      </c>
      <c r="B24" s="3">
        <v>10.0</v>
      </c>
      <c r="C24" s="3">
        <v>168.0</v>
      </c>
      <c r="D24" s="3"/>
      <c r="E24" s="3">
        <v>76.0</v>
      </c>
      <c r="F24" s="3"/>
      <c r="G24" s="3">
        <v>20.0</v>
      </c>
      <c r="H24" s="3">
        <v>10.0</v>
      </c>
      <c r="I24" s="3">
        <v>172.0</v>
      </c>
      <c r="J24" s="3">
        <v>10.0</v>
      </c>
      <c r="K24" s="3">
        <v>76.0</v>
      </c>
      <c r="L24" s="3"/>
      <c r="M24" s="3">
        <v>22.0</v>
      </c>
      <c r="N24" s="3"/>
      <c r="O24" s="3">
        <v>82.0</v>
      </c>
      <c r="P24" s="3">
        <v>10.0</v>
      </c>
      <c r="Q24" s="3">
        <v>160.0</v>
      </c>
    </row>
    <row r="25">
      <c r="A25" s="3" t="s">
        <v>48</v>
      </c>
      <c r="B25" s="3">
        <v>10.0</v>
      </c>
      <c r="C25" s="3">
        <v>182.0</v>
      </c>
      <c r="D25" s="3"/>
      <c r="E25" s="3">
        <v>76.0</v>
      </c>
      <c r="F25" s="3"/>
      <c r="G25" s="3">
        <v>20.0</v>
      </c>
      <c r="H25" s="3">
        <v>10.0</v>
      </c>
      <c r="I25" s="3">
        <v>186.0</v>
      </c>
      <c r="J25" s="3"/>
      <c r="K25" s="3">
        <v>76.0</v>
      </c>
      <c r="L25" s="3"/>
      <c r="M25" s="3">
        <v>22.0</v>
      </c>
      <c r="N25" s="3">
        <v>10.0</v>
      </c>
      <c r="O25" s="3">
        <v>96.0</v>
      </c>
      <c r="P25" s="3">
        <v>10.0</v>
      </c>
      <c r="Q25" s="3">
        <v>174.0</v>
      </c>
    </row>
    <row r="26">
      <c r="A26" s="3" t="s">
        <v>49</v>
      </c>
      <c r="B26" s="3">
        <v>10.0</v>
      </c>
      <c r="C26" s="3">
        <v>196.0</v>
      </c>
      <c r="D26" s="3"/>
      <c r="E26" s="3">
        <v>76.0</v>
      </c>
      <c r="F26" s="3"/>
      <c r="G26" s="3">
        <v>20.0</v>
      </c>
      <c r="H26" s="3">
        <v>10.0</v>
      </c>
      <c r="I26" s="3">
        <v>200.0</v>
      </c>
      <c r="J26" s="3">
        <v>10.0</v>
      </c>
      <c r="K26" s="3">
        <v>90.0</v>
      </c>
      <c r="L26" s="3"/>
      <c r="M26" s="3">
        <v>22.0</v>
      </c>
      <c r="N26" s="3"/>
      <c r="O26" s="3">
        <v>96.0</v>
      </c>
      <c r="P26" s="3">
        <v>0.0</v>
      </c>
      <c r="Q26" s="3">
        <v>178.0</v>
      </c>
    </row>
    <row r="27">
      <c r="A27" s="3" t="s">
        <v>50</v>
      </c>
      <c r="B27" s="3"/>
      <c r="C27" s="3">
        <v>196.0</v>
      </c>
      <c r="D27" s="3">
        <v>10.0</v>
      </c>
      <c r="E27" s="3">
        <v>90.0</v>
      </c>
      <c r="F27" s="3"/>
      <c r="G27" s="3">
        <v>20.0</v>
      </c>
      <c r="H27" s="3">
        <v>10.0</v>
      </c>
      <c r="I27" s="3">
        <v>214.0</v>
      </c>
      <c r="J27" s="3"/>
      <c r="K27" s="3">
        <v>90.0</v>
      </c>
      <c r="L27" s="3"/>
      <c r="M27" s="3">
        <v>22.0</v>
      </c>
      <c r="N27" s="3">
        <v>0.0</v>
      </c>
      <c r="O27" s="3">
        <v>100.0</v>
      </c>
      <c r="P27" s="3">
        <v>0.0</v>
      </c>
      <c r="Q27" s="3">
        <v>182.0</v>
      </c>
    </row>
    <row r="28">
      <c r="A28" s="3" t="s">
        <v>51</v>
      </c>
      <c r="B28" s="3"/>
      <c r="C28" s="3">
        <v>196.0</v>
      </c>
      <c r="D28" s="3">
        <v>0.0</v>
      </c>
      <c r="E28" s="3">
        <v>94.0</v>
      </c>
      <c r="F28" s="3"/>
      <c r="G28" s="3">
        <v>20.0</v>
      </c>
      <c r="H28" s="3">
        <v>0.0</v>
      </c>
      <c r="I28" s="3">
        <v>218.0</v>
      </c>
      <c r="J28" s="3">
        <v>0.0</v>
      </c>
      <c r="K28" s="3">
        <v>94.0</v>
      </c>
      <c r="L28" s="3">
        <v>0.0</v>
      </c>
      <c r="M28" s="3">
        <v>26.0</v>
      </c>
      <c r="N28" s="3"/>
      <c r="O28" s="3">
        <v>100.0</v>
      </c>
      <c r="P28" s="3"/>
      <c r="Q28" s="3">
        <v>182.0</v>
      </c>
    </row>
    <row r="29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>
      <c r="B31" s="3" t="str">
        <f t="array" ref="B31:Q60">transpose(sort(transpose(Full!A31:R60),1,true))</f>
        <v>Brookfield</v>
      </c>
      <c r="C31" s="3" t="s">
        <v>4</v>
      </c>
      <c r="D31" s="3" t="s">
        <v>5</v>
      </c>
      <c r="E31" s="3" t="s">
        <v>5</v>
      </c>
      <c r="F31" s="3" t="s">
        <v>0</v>
      </c>
      <c r="G31" s="3" t="s">
        <v>0</v>
      </c>
      <c r="H31" s="3" t="s">
        <v>1</v>
      </c>
      <c r="I31" s="3" t="s">
        <v>1</v>
      </c>
      <c r="J31" s="3" t="s">
        <v>7</v>
      </c>
      <c r="K31" s="3" t="s">
        <v>7</v>
      </c>
      <c r="L31" s="3" t="s">
        <v>2</v>
      </c>
      <c r="M31" s="3" t="s">
        <v>2</v>
      </c>
      <c r="N31" s="3" t="s">
        <v>6</v>
      </c>
      <c r="O31" s="3" t="s">
        <v>6</v>
      </c>
      <c r="P31" s="3" t="s">
        <v>3</v>
      </c>
      <c r="Q31" s="3" t="s">
        <v>3</v>
      </c>
    </row>
    <row r="32">
      <c r="B32" s="3" t="s">
        <v>8</v>
      </c>
      <c r="C32" s="3" t="s">
        <v>9</v>
      </c>
      <c r="D32" s="3" t="s">
        <v>8</v>
      </c>
      <c r="E32" s="3" t="s">
        <v>9</v>
      </c>
      <c r="F32" s="3" t="s">
        <v>8</v>
      </c>
      <c r="G32" s="3" t="s">
        <v>9</v>
      </c>
      <c r="H32" s="3" t="s">
        <v>8</v>
      </c>
      <c r="I32" s="3" t="s">
        <v>9</v>
      </c>
      <c r="J32" s="3" t="s">
        <v>8</v>
      </c>
      <c r="K32" s="3" t="s">
        <v>9</v>
      </c>
      <c r="L32" s="3" t="s">
        <v>8</v>
      </c>
      <c r="M32" s="3" t="s">
        <v>9</v>
      </c>
      <c r="N32" s="3" t="s">
        <v>8</v>
      </c>
      <c r="O32" s="3" t="s">
        <v>9</v>
      </c>
      <c r="P32" s="3" t="s">
        <v>8</v>
      </c>
      <c r="Q32" s="3" t="s">
        <v>9</v>
      </c>
    </row>
    <row r="3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>
      <c r="A34" s="3" t="s">
        <v>46</v>
      </c>
      <c r="B34" s="3">
        <v>10.0</v>
      </c>
      <c r="C34" s="3">
        <v>14.0</v>
      </c>
      <c r="D34" s="3">
        <v>10.0</v>
      </c>
      <c r="E34" s="3">
        <v>14.0</v>
      </c>
      <c r="F34" s="3"/>
      <c r="G34" s="3">
        <v>0.0</v>
      </c>
      <c r="H34" s="3"/>
      <c r="I34" s="3">
        <v>0.0</v>
      </c>
      <c r="J34" s="3"/>
      <c r="K34" s="3">
        <v>0.0</v>
      </c>
      <c r="L34" s="3">
        <v>10.0</v>
      </c>
      <c r="M34" s="3">
        <v>14.0</v>
      </c>
      <c r="N34" s="3"/>
      <c r="O34" s="3">
        <v>0.0</v>
      </c>
      <c r="P34" s="3">
        <v>10.0</v>
      </c>
      <c r="Q34" s="3">
        <v>14.0</v>
      </c>
    </row>
    <row r="35">
      <c r="A35" s="3" t="s">
        <v>47</v>
      </c>
      <c r="B35" s="3">
        <v>10.0</v>
      </c>
      <c r="C35" s="3">
        <v>28.0</v>
      </c>
      <c r="D35" s="3">
        <v>0.0</v>
      </c>
      <c r="E35" s="3">
        <v>18.0</v>
      </c>
      <c r="F35" s="3">
        <v>0.0</v>
      </c>
      <c r="G35" s="3">
        <v>4.0</v>
      </c>
      <c r="H35" s="3">
        <v>10.0</v>
      </c>
      <c r="I35" s="3">
        <v>14.0</v>
      </c>
      <c r="J35" s="3"/>
      <c r="K35" s="3">
        <v>0.0</v>
      </c>
      <c r="L35" s="3"/>
      <c r="M35" s="3">
        <v>14.0</v>
      </c>
      <c r="N35" s="3"/>
      <c r="O35" s="3">
        <v>0.0</v>
      </c>
      <c r="P35" s="3"/>
      <c r="Q35" s="3">
        <v>14.0</v>
      </c>
    </row>
    <row r="36">
      <c r="A36" s="3" t="s">
        <v>48</v>
      </c>
      <c r="B36" s="3">
        <v>10.0</v>
      </c>
      <c r="C36" s="3">
        <v>42.0</v>
      </c>
      <c r="D36" s="3">
        <v>10.0</v>
      </c>
      <c r="E36" s="3">
        <v>32.0</v>
      </c>
      <c r="F36" s="3"/>
      <c r="G36" s="3">
        <v>4.0</v>
      </c>
      <c r="H36" s="3"/>
      <c r="I36" s="3">
        <v>14.0</v>
      </c>
      <c r="J36" s="3"/>
      <c r="K36" s="3">
        <v>0.0</v>
      </c>
      <c r="L36" s="3"/>
      <c r="M36" s="3">
        <v>14.0</v>
      </c>
      <c r="N36" s="3"/>
      <c r="O36" s="3">
        <v>0.0</v>
      </c>
      <c r="P36" s="3">
        <v>10.0</v>
      </c>
      <c r="Q36" s="3">
        <v>32.0</v>
      </c>
    </row>
    <row r="37">
      <c r="A37" s="3" t="s">
        <v>49</v>
      </c>
      <c r="B37" s="3">
        <v>10.0</v>
      </c>
      <c r="C37" s="3">
        <v>56.0</v>
      </c>
      <c r="D37" s="3">
        <v>0.0</v>
      </c>
      <c r="E37" s="3">
        <v>36.0</v>
      </c>
      <c r="F37" s="3">
        <v>10.0</v>
      </c>
      <c r="G37" s="3">
        <v>22.0</v>
      </c>
      <c r="H37" s="3">
        <v>10.0</v>
      </c>
      <c r="I37" s="3">
        <v>28.0</v>
      </c>
      <c r="J37" s="3"/>
      <c r="K37" s="3">
        <v>0.0</v>
      </c>
      <c r="L37" s="3"/>
      <c r="M37" s="3">
        <v>14.0</v>
      </c>
      <c r="N37" s="3"/>
      <c r="O37" s="3">
        <v>0.0</v>
      </c>
      <c r="P37" s="3"/>
      <c r="Q37" s="3">
        <v>32.0</v>
      </c>
    </row>
    <row r="38">
      <c r="A38" s="3" t="s">
        <v>50</v>
      </c>
      <c r="B38" s="3">
        <v>0.0</v>
      </c>
      <c r="C38" s="3">
        <v>60.0</v>
      </c>
      <c r="D38" s="3">
        <v>10.0</v>
      </c>
      <c r="E38" s="3">
        <v>50.0</v>
      </c>
      <c r="F38" s="3">
        <v>0.0</v>
      </c>
      <c r="G38" s="3">
        <v>26.0</v>
      </c>
      <c r="H38" s="3">
        <v>0.0</v>
      </c>
      <c r="I38" s="3">
        <v>32.0</v>
      </c>
      <c r="J38" s="3"/>
      <c r="K38" s="3">
        <v>0.0</v>
      </c>
      <c r="L38" s="3"/>
      <c r="M38" s="3">
        <v>14.0</v>
      </c>
      <c r="N38" s="3"/>
      <c r="O38" s="3">
        <v>0.0</v>
      </c>
      <c r="P38" s="3"/>
      <c r="Q38" s="3">
        <v>32.0</v>
      </c>
    </row>
    <row r="39">
      <c r="A39" s="3" t="s">
        <v>51</v>
      </c>
      <c r="B39" s="3">
        <v>10.0</v>
      </c>
      <c r="C39" s="3">
        <v>74.0</v>
      </c>
      <c r="D39" s="3">
        <v>0.0</v>
      </c>
      <c r="E39" s="3">
        <v>54.0</v>
      </c>
      <c r="F39" s="3">
        <v>0.0</v>
      </c>
      <c r="G39" s="3">
        <v>30.0</v>
      </c>
      <c r="H39" s="3">
        <v>0.0</v>
      </c>
      <c r="I39" s="3">
        <v>36.0</v>
      </c>
      <c r="J39" s="3"/>
      <c r="K39" s="3">
        <v>0.0</v>
      </c>
      <c r="L39" s="3"/>
      <c r="M39" s="3">
        <v>14.0</v>
      </c>
      <c r="N39" s="3"/>
      <c r="O39" s="3">
        <v>0.0</v>
      </c>
      <c r="P39" s="3"/>
      <c r="Q39" s="3">
        <v>32.0</v>
      </c>
    </row>
    <row r="40">
      <c r="A40" s="3" t="s">
        <v>46</v>
      </c>
      <c r="B40" s="3">
        <v>10.0</v>
      </c>
      <c r="C40" s="3">
        <v>88.0</v>
      </c>
      <c r="D40" s="3">
        <v>10.0</v>
      </c>
      <c r="E40" s="3">
        <v>68.0</v>
      </c>
      <c r="F40" s="3"/>
      <c r="G40" s="3">
        <v>30.0</v>
      </c>
      <c r="H40" s="3">
        <v>10.0</v>
      </c>
      <c r="I40" s="3">
        <v>50.0</v>
      </c>
      <c r="J40" s="3"/>
      <c r="K40" s="3">
        <v>0.0</v>
      </c>
      <c r="L40" s="3"/>
      <c r="M40" s="3">
        <v>14.0</v>
      </c>
      <c r="N40" s="3"/>
      <c r="O40" s="3">
        <v>0.0</v>
      </c>
      <c r="P40" s="3"/>
      <c r="Q40" s="3">
        <v>32.0</v>
      </c>
    </row>
    <row r="41">
      <c r="A41" s="3" t="s">
        <v>47</v>
      </c>
      <c r="B41" s="3">
        <v>0.0</v>
      </c>
      <c r="C41" s="3">
        <v>92.0</v>
      </c>
      <c r="D41" s="3"/>
      <c r="E41" s="3">
        <v>68.0</v>
      </c>
      <c r="F41" s="3"/>
      <c r="G41" s="3">
        <v>30.0</v>
      </c>
      <c r="H41" s="3"/>
      <c r="I41" s="3">
        <v>50.0</v>
      </c>
      <c r="J41" s="3"/>
      <c r="K41" s="3">
        <v>0.0</v>
      </c>
      <c r="L41" s="3"/>
      <c r="M41" s="3">
        <v>14.0</v>
      </c>
      <c r="N41" s="3">
        <v>0.0</v>
      </c>
      <c r="O41" s="3">
        <v>4.0</v>
      </c>
      <c r="P41" s="3">
        <v>10.0</v>
      </c>
      <c r="Q41" s="3">
        <v>46.0</v>
      </c>
    </row>
    <row r="42">
      <c r="A42" s="3" t="s">
        <v>48</v>
      </c>
      <c r="B42" s="3"/>
      <c r="C42" s="3">
        <v>92.0</v>
      </c>
      <c r="D42" s="3">
        <v>0.0</v>
      </c>
      <c r="E42" s="3">
        <v>72.0</v>
      </c>
      <c r="F42" s="3"/>
      <c r="G42" s="3">
        <v>30.0</v>
      </c>
      <c r="H42" s="3">
        <v>10.0</v>
      </c>
      <c r="I42" s="3">
        <v>64.0</v>
      </c>
      <c r="J42" s="3"/>
      <c r="K42" s="3">
        <v>0.0</v>
      </c>
      <c r="L42" s="3"/>
      <c r="M42" s="3">
        <v>14.0</v>
      </c>
      <c r="N42" s="3"/>
      <c r="O42" s="3">
        <v>4.0</v>
      </c>
      <c r="P42" s="3"/>
      <c r="Q42" s="3">
        <v>46.0</v>
      </c>
    </row>
    <row r="43">
      <c r="A43" s="3" t="s">
        <v>49</v>
      </c>
      <c r="B43" s="3">
        <v>10.0</v>
      </c>
      <c r="C43" s="3">
        <v>106.0</v>
      </c>
      <c r="D43" s="3">
        <v>10.0</v>
      </c>
      <c r="E43" s="3">
        <v>86.0</v>
      </c>
      <c r="F43" s="3"/>
      <c r="G43" s="3">
        <v>30.0</v>
      </c>
      <c r="H43" s="3">
        <v>10.0</v>
      </c>
      <c r="I43" s="3">
        <v>78.0</v>
      </c>
      <c r="J43" s="3"/>
      <c r="K43" s="3">
        <v>0.0</v>
      </c>
      <c r="L43" s="3">
        <v>0.0</v>
      </c>
      <c r="M43" s="3">
        <v>18.0</v>
      </c>
      <c r="N43" s="3"/>
      <c r="O43" s="3">
        <v>4.0</v>
      </c>
      <c r="P43" s="3"/>
      <c r="Q43" s="3">
        <v>46.0</v>
      </c>
    </row>
    <row r="44">
      <c r="A44" s="3" t="s">
        <v>50</v>
      </c>
      <c r="B44" s="3">
        <v>10.0</v>
      </c>
      <c r="C44" s="3">
        <v>120.0</v>
      </c>
      <c r="D44" s="3"/>
      <c r="E44" s="3">
        <v>86.0</v>
      </c>
      <c r="F44" s="3"/>
      <c r="G44" s="3">
        <v>30.0</v>
      </c>
      <c r="H44" s="3"/>
      <c r="I44" s="3">
        <v>78.0</v>
      </c>
      <c r="J44" s="3"/>
      <c r="K44" s="3">
        <v>0.0</v>
      </c>
      <c r="L44" s="3"/>
      <c r="M44" s="3">
        <v>18.0</v>
      </c>
      <c r="N44" s="3"/>
      <c r="O44" s="3">
        <v>4.0</v>
      </c>
      <c r="P44" s="3"/>
      <c r="Q44" s="3">
        <v>46.0</v>
      </c>
    </row>
    <row r="45">
      <c r="A45" s="3" t="s">
        <v>51</v>
      </c>
      <c r="B45" s="3">
        <v>10.0</v>
      </c>
      <c r="C45" s="3">
        <v>134.0</v>
      </c>
      <c r="D45" s="3"/>
      <c r="E45" s="3">
        <v>86.0</v>
      </c>
      <c r="F45" s="3"/>
      <c r="G45" s="3">
        <v>30.0</v>
      </c>
      <c r="H45" s="3"/>
      <c r="I45" s="3">
        <v>78.0</v>
      </c>
      <c r="J45" s="3"/>
      <c r="K45" s="3">
        <v>0.0</v>
      </c>
      <c r="L45" s="3"/>
      <c r="M45" s="3">
        <v>18.0</v>
      </c>
      <c r="N45" s="3">
        <v>10.0</v>
      </c>
      <c r="O45" s="3">
        <v>18.0</v>
      </c>
      <c r="P45" s="3">
        <v>0.0</v>
      </c>
      <c r="Q45" s="3">
        <v>50.0</v>
      </c>
    </row>
    <row r="46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>
      <c r="A47" s="3" t="s">
        <v>46</v>
      </c>
      <c r="B47" s="3"/>
      <c r="C47" s="3">
        <v>134.0</v>
      </c>
      <c r="D47" s="3"/>
      <c r="E47" s="3">
        <v>86.0</v>
      </c>
      <c r="F47" s="3"/>
      <c r="G47" s="3">
        <v>30.0</v>
      </c>
      <c r="H47" s="3"/>
      <c r="I47" s="3">
        <v>78.0</v>
      </c>
      <c r="J47" s="3"/>
      <c r="K47" s="3">
        <v>4.0</v>
      </c>
      <c r="L47" s="3"/>
      <c r="M47" s="3">
        <v>18.0</v>
      </c>
      <c r="N47" s="3"/>
      <c r="O47" s="3">
        <v>18.0</v>
      </c>
      <c r="P47" s="3"/>
      <c r="Q47" s="3">
        <v>54.0</v>
      </c>
    </row>
    <row r="48">
      <c r="A48" s="3" t="s">
        <v>47</v>
      </c>
      <c r="B48" s="3"/>
      <c r="C48" s="3">
        <v>134.0</v>
      </c>
      <c r="D48" s="3"/>
      <c r="E48" s="3">
        <v>86.0</v>
      </c>
      <c r="F48" s="3"/>
      <c r="G48" s="3">
        <v>30.0</v>
      </c>
      <c r="H48" s="3"/>
      <c r="I48" s="3">
        <v>78.0</v>
      </c>
      <c r="J48" s="3">
        <v>10.0</v>
      </c>
      <c r="K48" s="3">
        <v>22.0</v>
      </c>
      <c r="L48" s="3">
        <v>10.0</v>
      </c>
      <c r="M48" s="3">
        <v>32.0</v>
      </c>
      <c r="N48" s="3">
        <v>10.0</v>
      </c>
      <c r="O48" s="3">
        <v>36.0</v>
      </c>
      <c r="P48" s="3">
        <v>10.0</v>
      </c>
      <c r="Q48" s="3">
        <v>68.0</v>
      </c>
    </row>
    <row r="49">
      <c r="A49" s="3" t="s">
        <v>48</v>
      </c>
      <c r="B49" s="3">
        <v>10.0</v>
      </c>
      <c r="C49" s="3">
        <v>148.0</v>
      </c>
      <c r="D49" s="3">
        <v>10.0</v>
      </c>
      <c r="E49" s="3">
        <v>100.0</v>
      </c>
      <c r="F49" s="3"/>
      <c r="G49" s="3">
        <v>30.0</v>
      </c>
      <c r="H49" s="3">
        <v>10.0</v>
      </c>
      <c r="I49" s="3">
        <v>92.0</v>
      </c>
      <c r="J49" s="3"/>
      <c r="K49" s="3">
        <v>22.0</v>
      </c>
      <c r="L49" s="3"/>
      <c r="M49" s="3">
        <v>32.0</v>
      </c>
      <c r="N49" s="3"/>
      <c r="O49" s="3">
        <v>36.0</v>
      </c>
      <c r="P49" s="3"/>
      <c r="Q49" s="3">
        <v>68.0</v>
      </c>
    </row>
    <row r="50">
      <c r="A50" s="3" t="s">
        <v>49</v>
      </c>
      <c r="B50" s="3">
        <v>0.0</v>
      </c>
      <c r="C50" s="3">
        <v>152.0</v>
      </c>
      <c r="D50" s="3"/>
      <c r="E50" s="3">
        <v>100.0</v>
      </c>
      <c r="F50" s="3"/>
      <c r="G50" s="3">
        <v>30.0</v>
      </c>
      <c r="H50" s="3">
        <v>10.0</v>
      </c>
      <c r="I50" s="3">
        <v>106.0</v>
      </c>
      <c r="J50" s="3"/>
      <c r="K50" s="3">
        <v>22.0</v>
      </c>
      <c r="L50" s="3"/>
      <c r="M50" s="3">
        <v>32.0</v>
      </c>
      <c r="N50" s="3"/>
      <c r="O50" s="3">
        <v>36.0</v>
      </c>
      <c r="P50" s="3"/>
      <c r="Q50" s="3">
        <v>68.0</v>
      </c>
    </row>
    <row r="51">
      <c r="A51" s="3" t="s">
        <v>50</v>
      </c>
      <c r="B51" s="3">
        <v>10.0</v>
      </c>
      <c r="C51" s="3">
        <v>166.0</v>
      </c>
      <c r="D51" s="3"/>
      <c r="E51" s="3">
        <v>100.0</v>
      </c>
      <c r="F51" s="3"/>
      <c r="G51" s="3">
        <v>30.0</v>
      </c>
      <c r="H51" s="3">
        <v>10.0</v>
      </c>
      <c r="I51" s="3">
        <v>120.0</v>
      </c>
      <c r="J51" s="3"/>
      <c r="K51" s="3">
        <v>22.0</v>
      </c>
      <c r="L51" s="3"/>
      <c r="M51" s="3">
        <v>32.0</v>
      </c>
      <c r="N51" s="3"/>
      <c r="O51" s="3">
        <v>36.0</v>
      </c>
      <c r="P51" s="3"/>
      <c r="Q51" s="3">
        <v>68.0</v>
      </c>
    </row>
    <row r="52">
      <c r="A52" s="3" t="s">
        <v>51</v>
      </c>
      <c r="B52" s="3"/>
      <c r="C52" s="3">
        <v>166.0</v>
      </c>
      <c r="D52" s="3">
        <v>0.0</v>
      </c>
      <c r="E52" s="3">
        <v>104.0</v>
      </c>
      <c r="F52" s="3">
        <v>0.0</v>
      </c>
      <c r="G52" s="3">
        <v>34.0</v>
      </c>
      <c r="H52" s="3">
        <v>0.0</v>
      </c>
      <c r="I52" s="3">
        <v>124.0</v>
      </c>
      <c r="J52" s="3">
        <v>0.0</v>
      </c>
      <c r="K52" s="3">
        <v>26.0</v>
      </c>
      <c r="L52" s="3"/>
      <c r="M52" s="3">
        <v>32.0</v>
      </c>
      <c r="N52" s="3"/>
      <c r="O52" s="3">
        <v>36.0</v>
      </c>
      <c r="P52" s="3"/>
      <c r="Q52" s="3">
        <v>68.0</v>
      </c>
    </row>
    <row r="53">
      <c r="A53" s="3" t="s">
        <v>46</v>
      </c>
      <c r="B53" s="3"/>
      <c r="C53" s="3">
        <v>166.0</v>
      </c>
      <c r="D53" s="3"/>
      <c r="E53" s="3">
        <v>104.0</v>
      </c>
      <c r="F53" s="3"/>
      <c r="G53" s="3">
        <v>34.0</v>
      </c>
      <c r="H53" s="3">
        <v>10.0</v>
      </c>
      <c r="I53" s="3">
        <v>138.0</v>
      </c>
      <c r="J53" s="3"/>
      <c r="K53" s="3">
        <v>26.0</v>
      </c>
      <c r="L53" s="3">
        <v>10.0</v>
      </c>
      <c r="M53" s="3">
        <v>46.0</v>
      </c>
      <c r="N53" s="3"/>
      <c r="O53" s="3">
        <v>36.0</v>
      </c>
      <c r="P53" s="3"/>
      <c r="Q53" s="3">
        <v>68.0</v>
      </c>
    </row>
    <row r="54">
      <c r="A54" s="3" t="s">
        <v>47</v>
      </c>
      <c r="B54" s="3">
        <v>10.0</v>
      </c>
      <c r="C54" s="3">
        <v>180.0</v>
      </c>
      <c r="D54" s="3">
        <v>0.0</v>
      </c>
      <c r="E54" s="3">
        <v>108.0</v>
      </c>
      <c r="F54" s="3">
        <v>0.0</v>
      </c>
      <c r="G54" s="3">
        <v>38.0</v>
      </c>
      <c r="H54" s="3"/>
      <c r="I54" s="3">
        <v>138.0</v>
      </c>
      <c r="J54" s="3"/>
      <c r="K54" s="3">
        <v>26.0</v>
      </c>
      <c r="L54" s="3"/>
      <c r="M54" s="3">
        <v>46.0</v>
      </c>
      <c r="N54" s="3"/>
      <c r="O54" s="3">
        <v>36.0</v>
      </c>
      <c r="P54" s="3">
        <v>0.0</v>
      </c>
      <c r="Q54" s="3">
        <v>76.0</v>
      </c>
    </row>
    <row r="55">
      <c r="A55" s="3" t="s">
        <v>48</v>
      </c>
      <c r="B55" s="3">
        <v>10.0</v>
      </c>
      <c r="C55" s="3">
        <v>194.0</v>
      </c>
      <c r="D55" s="3"/>
      <c r="E55" s="3">
        <v>108.0</v>
      </c>
      <c r="F55" s="3"/>
      <c r="G55" s="3">
        <v>38.0</v>
      </c>
      <c r="H55" s="3">
        <v>10.0</v>
      </c>
      <c r="I55" s="3">
        <v>152.0</v>
      </c>
      <c r="J55" s="3"/>
      <c r="K55" s="3">
        <v>26.0</v>
      </c>
      <c r="L55" s="3"/>
      <c r="M55" s="3">
        <v>46.0</v>
      </c>
      <c r="N55" s="3"/>
      <c r="O55" s="3">
        <v>36.0</v>
      </c>
      <c r="P55" s="3"/>
      <c r="Q55" s="3">
        <v>76.0</v>
      </c>
    </row>
    <row r="56">
      <c r="A56" s="3" t="s">
        <v>49</v>
      </c>
      <c r="B56" s="3">
        <v>10.0</v>
      </c>
      <c r="C56" s="3">
        <v>208.0</v>
      </c>
      <c r="D56" s="3"/>
      <c r="E56" s="3">
        <v>108.0</v>
      </c>
      <c r="F56" s="3"/>
      <c r="G56" s="3">
        <v>38.0</v>
      </c>
      <c r="H56" s="3">
        <v>10.0</v>
      </c>
      <c r="I56" s="3">
        <v>166.0</v>
      </c>
      <c r="J56" s="3"/>
      <c r="K56" s="3">
        <v>26.0</v>
      </c>
      <c r="L56" s="3"/>
      <c r="M56" s="3">
        <v>46.0</v>
      </c>
      <c r="N56" s="3">
        <v>10.0</v>
      </c>
      <c r="O56" s="3">
        <v>54.0</v>
      </c>
      <c r="P56" s="3"/>
      <c r="Q56" s="3">
        <v>76.0</v>
      </c>
    </row>
    <row r="57">
      <c r="A57" s="3" t="s">
        <v>50</v>
      </c>
      <c r="B57" s="3"/>
      <c r="C57" s="3">
        <v>208.0</v>
      </c>
      <c r="D57" s="3">
        <v>10.0</v>
      </c>
      <c r="E57" s="3">
        <v>122.0</v>
      </c>
      <c r="F57" s="3"/>
      <c r="G57" s="3">
        <v>38.0</v>
      </c>
      <c r="H57" s="3"/>
      <c r="I57" s="3">
        <v>166.0</v>
      </c>
      <c r="J57" s="3">
        <v>0.0</v>
      </c>
      <c r="K57" s="3">
        <v>30.0</v>
      </c>
      <c r="L57" s="3">
        <v>0.0</v>
      </c>
      <c r="M57" s="3">
        <v>50.0</v>
      </c>
      <c r="N57" s="3"/>
      <c r="O57" s="3">
        <v>54.0</v>
      </c>
      <c r="P57" s="3">
        <v>0.0</v>
      </c>
      <c r="Q57" s="3">
        <v>84.0</v>
      </c>
    </row>
    <row r="58">
      <c r="A58" s="3" t="s">
        <v>51</v>
      </c>
      <c r="B58" s="3"/>
      <c r="C58" s="3">
        <v>208.0</v>
      </c>
      <c r="D58" s="3"/>
      <c r="E58" s="3">
        <v>122.0</v>
      </c>
      <c r="F58" s="3"/>
      <c r="G58" s="3">
        <v>38.0</v>
      </c>
      <c r="H58" s="3"/>
      <c r="I58" s="3">
        <v>166.0</v>
      </c>
      <c r="J58" s="3"/>
      <c r="K58" s="3">
        <v>30.0</v>
      </c>
      <c r="L58" s="3"/>
      <c r="M58" s="3">
        <v>50.0</v>
      </c>
      <c r="N58" s="3"/>
      <c r="O58" s="3">
        <v>54.0</v>
      </c>
      <c r="P58" s="3"/>
      <c r="Q58" s="3">
        <v>84.0</v>
      </c>
    </row>
    <row r="59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>
      <c r="B61" s="3" t="str">
        <f t="array" ref="B61:Q90">transpose(sort(transpose(Full!A61:R90),1,true))</f>
        <v>Brookfield</v>
      </c>
      <c r="C61" s="3" t="s">
        <v>4</v>
      </c>
      <c r="D61" s="3" t="s">
        <v>5</v>
      </c>
      <c r="E61" s="3" t="s">
        <v>5</v>
      </c>
      <c r="F61" s="3" t="s">
        <v>0</v>
      </c>
      <c r="G61" s="3" t="s">
        <v>0</v>
      </c>
      <c r="H61" s="3" t="s">
        <v>1</v>
      </c>
      <c r="I61" s="3" t="s">
        <v>1</v>
      </c>
      <c r="J61" s="3" t="s">
        <v>7</v>
      </c>
      <c r="K61" s="3" t="s">
        <v>7</v>
      </c>
      <c r="L61" s="3" t="s">
        <v>2</v>
      </c>
      <c r="M61" s="3" t="s">
        <v>2</v>
      </c>
      <c r="N61" s="3" t="s">
        <v>6</v>
      </c>
      <c r="O61" s="3" t="s">
        <v>6</v>
      </c>
      <c r="P61" s="3" t="s">
        <v>3</v>
      </c>
      <c r="Q61" s="3" t="s">
        <v>3</v>
      </c>
    </row>
    <row r="62">
      <c r="B62" s="3" t="s">
        <v>8</v>
      </c>
      <c r="C62" s="3" t="s">
        <v>9</v>
      </c>
      <c r="D62" s="3" t="s">
        <v>8</v>
      </c>
      <c r="E62" s="3" t="s">
        <v>9</v>
      </c>
      <c r="F62" s="3" t="s">
        <v>8</v>
      </c>
      <c r="G62" s="3" t="s">
        <v>9</v>
      </c>
      <c r="H62" s="3" t="s">
        <v>8</v>
      </c>
      <c r="I62" s="3" t="s">
        <v>9</v>
      </c>
      <c r="J62" s="3" t="s">
        <v>8</v>
      </c>
      <c r="K62" s="3" t="s">
        <v>9</v>
      </c>
      <c r="L62" s="3" t="s">
        <v>8</v>
      </c>
      <c r="M62" s="3" t="s">
        <v>9</v>
      </c>
      <c r="N62" s="3" t="s">
        <v>8</v>
      </c>
      <c r="O62" s="3" t="s">
        <v>9</v>
      </c>
      <c r="P62" s="3" t="s">
        <v>8</v>
      </c>
      <c r="Q62" s="3" t="s">
        <v>9</v>
      </c>
    </row>
    <row r="63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>
      <c r="A64" s="3" t="s">
        <v>46</v>
      </c>
      <c r="B64" s="3">
        <v>10.0</v>
      </c>
      <c r="C64" s="3">
        <v>14.0</v>
      </c>
      <c r="D64" s="3">
        <v>0.0</v>
      </c>
      <c r="E64" s="3">
        <v>4.0</v>
      </c>
      <c r="F64" s="3"/>
      <c r="G64" s="3">
        <v>0.0</v>
      </c>
      <c r="H64" s="3">
        <v>10.0</v>
      </c>
      <c r="I64" s="3">
        <v>18.0</v>
      </c>
      <c r="J64" s="3"/>
      <c r="K64" s="3">
        <v>0.0</v>
      </c>
      <c r="L64" s="3"/>
      <c r="M64" s="3">
        <v>0.0</v>
      </c>
      <c r="N64" s="3"/>
      <c r="O64" s="3">
        <v>0.0</v>
      </c>
      <c r="P64" s="3"/>
      <c r="Q64" s="3">
        <v>0.0</v>
      </c>
    </row>
    <row r="65">
      <c r="A65" s="3" t="s">
        <v>47</v>
      </c>
      <c r="B65" s="3">
        <v>10.0</v>
      </c>
      <c r="C65" s="3">
        <v>28.0</v>
      </c>
      <c r="D65" s="3">
        <v>0.0</v>
      </c>
      <c r="E65" s="3">
        <v>8.0</v>
      </c>
      <c r="F65" s="3"/>
      <c r="G65" s="3">
        <v>0.0</v>
      </c>
      <c r="H65" s="3"/>
      <c r="I65" s="3">
        <v>22.0</v>
      </c>
      <c r="J65" s="3"/>
      <c r="K65" s="3">
        <v>0.0</v>
      </c>
      <c r="L65" s="3"/>
      <c r="M65" s="3">
        <v>4.0</v>
      </c>
      <c r="N65" s="3"/>
      <c r="O65" s="3">
        <v>0.0</v>
      </c>
      <c r="P65" s="3">
        <v>0.0</v>
      </c>
      <c r="Q65" s="3">
        <v>4.0</v>
      </c>
    </row>
    <row r="66">
      <c r="A66" s="3" t="s">
        <v>48</v>
      </c>
      <c r="B66" s="3">
        <v>0.0</v>
      </c>
      <c r="C66" s="3">
        <v>32.0</v>
      </c>
      <c r="D66" s="3"/>
      <c r="E66" s="3">
        <v>8.0</v>
      </c>
      <c r="F66" s="3"/>
      <c r="G66" s="3">
        <v>0.0</v>
      </c>
      <c r="H66" s="3">
        <v>10.0</v>
      </c>
      <c r="I66" s="3">
        <v>36.0</v>
      </c>
      <c r="J66" s="3">
        <v>10.0</v>
      </c>
      <c r="K66" s="3">
        <v>14.0</v>
      </c>
      <c r="L66" s="3"/>
      <c r="M66" s="3">
        <v>4.0</v>
      </c>
      <c r="N66" s="3"/>
      <c r="O66" s="3">
        <v>0.0</v>
      </c>
      <c r="P66" s="3">
        <v>0.0</v>
      </c>
      <c r="Q66" s="3">
        <v>8.0</v>
      </c>
    </row>
    <row r="67">
      <c r="A67" s="3" t="s">
        <v>49</v>
      </c>
      <c r="B67" s="3"/>
      <c r="C67" s="3">
        <v>32.0</v>
      </c>
      <c r="D67" s="3">
        <v>0.0</v>
      </c>
      <c r="E67" s="3">
        <v>12.0</v>
      </c>
      <c r="F67" s="3"/>
      <c r="G67" s="3">
        <v>0.0</v>
      </c>
      <c r="H67" s="3"/>
      <c r="I67" s="3">
        <v>36.0</v>
      </c>
      <c r="J67" s="3"/>
      <c r="K67" s="3">
        <v>14.0</v>
      </c>
      <c r="L67" s="3">
        <v>0.0</v>
      </c>
      <c r="M67" s="3">
        <v>12.0</v>
      </c>
      <c r="N67" s="3">
        <v>0.0</v>
      </c>
      <c r="O67" s="3">
        <v>4.0</v>
      </c>
      <c r="P67" s="3">
        <v>0.0</v>
      </c>
      <c r="Q67" s="3">
        <v>12.0</v>
      </c>
    </row>
    <row r="68">
      <c r="A68" s="3" t="s">
        <v>50</v>
      </c>
      <c r="B68" s="3">
        <v>10.0</v>
      </c>
      <c r="C68" s="3">
        <v>46.0</v>
      </c>
      <c r="D68" s="3"/>
      <c r="E68" s="3">
        <v>12.0</v>
      </c>
      <c r="F68" s="3"/>
      <c r="G68" s="3">
        <v>4.0</v>
      </c>
      <c r="H68" s="3">
        <v>10.0</v>
      </c>
      <c r="I68" s="3">
        <v>50.0</v>
      </c>
      <c r="J68" s="3"/>
      <c r="K68" s="3">
        <v>14.0</v>
      </c>
      <c r="L68" s="3"/>
      <c r="M68" s="3">
        <v>12.0</v>
      </c>
      <c r="N68" s="3"/>
      <c r="O68" s="3">
        <v>4.0</v>
      </c>
      <c r="P68" s="3"/>
      <c r="Q68" s="3">
        <v>12.0</v>
      </c>
    </row>
    <row r="69">
      <c r="A69" s="3" t="s">
        <v>51</v>
      </c>
      <c r="B69" s="3">
        <v>10.0</v>
      </c>
      <c r="C69" s="3">
        <v>60.0</v>
      </c>
      <c r="D69" s="3">
        <v>10.0</v>
      </c>
      <c r="E69" s="3">
        <v>26.0</v>
      </c>
      <c r="F69" s="3"/>
      <c r="G69" s="3">
        <v>4.0</v>
      </c>
      <c r="H69" s="3"/>
      <c r="I69" s="3">
        <v>50.0</v>
      </c>
      <c r="J69" s="3"/>
      <c r="K69" s="3">
        <v>14.0</v>
      </c>
      <c r="L69" s="3">
        <v>10.0</v>
      </c>
      <c r="M69" s="3">
        <v>30.0</v>
      </c>
      <c r="N69" s="3"/>
      <c r="O69" s="3">
        <v>4.0</v>
      </c>
      <c r="P69" s="3"/>
      <c r="Q69" s="3">
        <v>12.0</v>
      </c>
    </row>
    <row r="70">
      <c r="A70" s="3" t="s">
        <v>46</v>
      </c>
      <c r="B70" s="3">
        <v>10.0</v>
      </c>
      <c r="C70" s="3">
        <v>74.0</v>
      </c>
      <c r="D70" s="3">
        <v>0.0</v>
      </c>
      <c r="E70" s="3">
        <v>30.0</v>
      </c>
      <c r="F70" s="3"/>
      <c r="G70" s="3">
        <v>4.0</v>
      </c>
      <c r="H70" s="3"/>
      <c r="I70" s="3">
        <v>50.0</v>
      </c>
      <c r="J70" s="3"/>
      <c r="K70" s="3">
        <v>14.0</v>
      </c>
      <c r="L70" s="3">
        <v>10.0</v>
      </c>
      <c r="M70" s="3">
        <v>44.0</v>
      </c>
      <c r="N70" s="3"/>
      <c r="O70" s="3">
        <v>4.0</v>
      </c>
      <c r="P70" s="3">
        <v>10.0</v>
      </c>
      <c r="Q70" s="3">
        <v>26.0</v>
      </c>
    </row>
    <row r="71">
      <c r="A71" s="3" t="s">
        <v>47</v>
      </c>
      <c r="B71" s="3">
        <v>0.0</v>
      </c>
      <c r="C71" s="3">
        <v>78.0</v>
      </c>
      <c r="D71" s="3">
        <v>0.0</v>
      </c>
      <c r="E71" s="3">
        <v>34.0</v>
      </c>
      <c r="F71" s="3"/>
      <c r="G71" s="3">
        <v>4.0</v>
      </c>
      <c r="H71" s="3"/>
      <c r="I71" s="3">
        <v>50.0</v>
      </c>
      <c r="J71" s="3"/>
      <c r="K71" s="3">
        <v>14.0</v>
      </c>
      <c r="L71" s="3">
        <v>0.0</v>
      </c>
      <c r="M71" s="3">
        <v>48.0</v>
      </c>
      <c r="N71" s="3"/>
      <c r="O71" s="3">
        <v>4.0</v>
      </c>
      <c r="P71" s="3">
        <v>0.0</v>
      </c>
      <c r="Q71" s="3">
        <v>30.0</v>
      </c>
    </row>
    <row r="72">
      <c r="A72" s="3" t="s">
        <v>48</v>
      </c>
      <c r="B72" s="3">
        <v>10.0</v>
      </c>
      <c r="C72" s="3">
        <v>92.0</v>
      </c>
      <c r="D72" s="3">
        <v>0.0</v>
      </c>
      <c r="E72" s="3">
        <v>38.0</v>
      </c>
      <c r="F72" s="3"/>
      <c r="G72" s="3">
        <v>4.0</v>
      </c>
      <c r="H72" s="3">
        <v>0.0</v>
      </c>
      <c r="I72" s="3">
        <v>54.0</v>
      </c>
      <c r="J72" s="3"/>
      <c r="K72" s="3">
        <v>14.0</v>
      </c>
      <c r="L72" s="3"/>
      <c r="M72" s="3">
        <v>48.0</v>
      </c>
      <c r="N72" s="3"/>
      <c r="O72" s="3">
        <v>4.0</v>
      </c>
      <c r="P72" s="3"/>
      <c r="Q72" s="3">
        <v>30.0</v>
      </c>
    </row>
    <row r="73">
      <c r="A73" s="3" t="s">
        <v>49</v>
      </c>
      <c r="B73" s="3">
        <v>10.0</v>
      </c>
      <c r="C73" s="3">
        <v>106.0</v>
      </c>
      <c r="D73" s="3">
        <v>10.0</v>
      </c>
      <c r="E73" s="3">
        <v>52.0</v>
      </c>
      <c r="F73" s="3"/>
      <c r="G73" s="3">
        <v>4.0</v>
      </c>
      <c r="H73" s="3">
        <v>10.0</v>
      </c>
      <c r="I73" s="3">
        <v>68.0</v>
      </c>
      <c r="J73" s="3"/>
      <c r="K73" s="3">
        <v>14.0</v>
      </c>
      <c r="L73" s="3"/>
      <c r="M73" s="3">
        <v>48.0</v>
      </c>
      <c r="N73" s="3"/>
      <c r="O73" s="3">
        <v>4.0</v>
      </c>
      <c r="P73" s="3">
        <v>10.0</v>
      </c>
      <c r="Q73" s="3">
        <v>44.0</v>
      </c>
    </row>
    <row r="74">
      <c r="A74" s="3" t="s">
        <v>50</v>
      </c>
      <c r="B74" s="3"/>
      <c r="C74" s="3">
        <v>106.0</v>
      </c>
      <c r="D74" s="3">
        <v>10.0</v>
      </c>
      <c r="E74" s="3">
        <v>66.0</v>
      </c>
      <c r="F74" s="3">
        <v>0.0</v>
      </c>
      <c r="G74" s="3">
        <v>8.0</v>
      </c>
      <c r="H74" s="3"/>
      <c r="I74" s="3">
        <v>68.0</v>
      </c>
      <c r="J74" s="3"/>
      <c r="K74" s="3">
        <v>14.0</v>
      </c>
      <c r="L74" s="3">
        <v>0.0</v>
      </c>
      <c r="M74" s="3">
        <v>52.0</v>
      </c>
      <c r="N74" s="3"/>
      <c r="O74" s="3">
        <v>4.0</v>
      </c>
      <c r="P74" s="3"/>
      <c r="Q74" s="3">
        <v>44.0</v>
      </c>
    </row>
    <row r="75">
      <c r="A75" s="3" t="s">
        <v>51</v>
      </c>
      <c r="B75" s="3">
        <v>10.0</v>
      </c>
      <c r="C75" s="3">
        <v>120.0</v>
      </c>
      <c r="D75" s="3">
        <v>0.0</v>
      </c>
      <c r="E75" s="3">
        <v>70.0</v>
      </c>
      <c r="F75" s="3">
        <v>0.0</v>
      </c>
      <c r="G75" s="3">
        <v>12.0</v>
      </c>
      <c r="H75" s="3"/>
      <c r="I75" s="3">
        <v>72.0</v>
      </c>
      <c r="J75" s="3"/>
      <c r="K75" s="3">
        <v>14.0</v>
      </c>
      <c r="L75" s="3"/>
      <c r="M75" s="3">
        <v>52.0</v>
      </c>
      <c r="N75" s="3"/>
      <c r="O75" s="3">
        <v>4.0</v>
      </c>
      <c r="P75" s="3"/>
      <c r="Q75" s="3">
        <v>44.0</v>
      </c>
    </row>
    <row r="76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>
      <c r="A77" s="3" t="s">
        <v>46</v>
      </c>
      <c r="B77" s="3">
        <v>10.0</v>
      </c>
      <c r="C77" s="3">
        <v>134.0</v>
      </c>
      <c r="D77" s="3"/>
      <c r="E77" s="3">
        <v>70.0</v>
      </c>
      <c r="F77" s="3">
        <v>10.0</v>
      </c>
      <c r="G77" s="3">
        <v>26.0</v>
      </c>
      <c r="H77" s="3">
        <v>10.0</v>
      </c>
      <c r="I77" s="3">
        <v>90.0</v>
      </c>
      <c r="J77" s="3">
        <v>0.0</v>
      </c>
      <c r="K77" s="3">
        <v>22.0</v>
      </c>
      <c r="L77" s="3"/>
      <c r="M77" s="3">
        <v>52.0</v>
      </c>
      <c r="N77" s="3"/>
      <c r="O77" s="3">
        <v>4.0</v>
      </c>
      <c r="P77" s="3"/>
      <c r="Q77" s="3">
        <v>44.0</v>
      </c>
    </row>
    <row r="78">
      <c r="A78" s="3" t="s">
        <v>47</v>
      </c>
      <c r="B78" s="3"/>
      <c r="C78" s="3">
        <v>134.0</v>
      </c>
      <c r="D78" s="3">
        <v>0.0</v>
      </c>
      <c r="E78" s="3">
        <v>74.0</v>
      </c>
      <c r="F78" s="3"/>
      <c r="G78" s="3">
        <v>26.0</v>
      </c>
      <c r="H78" s="3"/>
      <c r="I78" s="3">
        <v>90.0</v>
      </c>
      <c r="J78" s="3"/>
      <c r="K78" s="3">
        <v>22.0</v>
      </c>
      <c r="L78" s="3">
        <v>0.0</v>
      </c>
      <c r="M78" s="3">
        <v>56.0</v>
      </c>
      <c r="N78" s="3">
        <v>10.0</v>
      </c>
      <c r="O78" s="3">
        <v>22.0</v>
      </c>
      <c r="P78" s="3">
        <v>0.0</v>
      </c>
      <c r="Q78" s="3">
        <v>48.0</v>
      </c>
    </row>
    <row r="79">
      <c r="A79" s="3" t="s">
        <v>48</v>
      </c>
      <c r="B79" s="3">
        <v>10.0</v>
      </c>
      <c r="C79" s="3">
        <v>148.0</v>
      </c>
      <c r="D79" s="3"/>
      <c r="E79" s="3">
        <v>74.0</v>
      </c>
      <c r="F79" s="3">
        <v>0.0</v>
      </c>
      <c r="G79" s="3">
        <v>30.0</v>
      </c>
      <c r="H79" s="3">
        <v>10.0</v>
      </c>
      <c r="I79" s="3">
        <v>108.0</v>
      </c>
      <c r="J79" s="3"/>
      <c r="K79" s="3">
        <v>22.0</v>
      </c>
      <c r="L79" s="3"/>
      <c r="M79" s="3">
        <v>56.0</v>
      </c>
      <c r="N79" s="3"/>
      <c r="O79" s="3">
        <v>22.0</v>
      </c>
      <c r="P79" s="3"/>
      <c r="Q79" s="3">
        <v>48.0</v>
      </c>
    </row>
    <row r="80">
      <c r="A80" s="3" t="s">
        <v>49</v>
      </c>
      <c r="B80" s="3">
        <v>0.0</v>
      </c>
      <c r="C80" s="3">
        <v>152.0</v>
      </c>
      <c r="D80" s="3">
        <v>0.0</v>
      </c>
      <c r="E80" s="3">
        <v>78.0</v>
      </c>
      <c r="F80" s="3"/>
      <c r="G80" s="3">
        <v>30.0</v>
      </c>
      <c r="H80" s="3"/>
      <c r="I80" s="3">
        <v>108.0</v>
      </c>
      <c r="J80" s="3"/>
      <c r="K80" s="3">
        <v>22.0</v>
      </c>
      <c r="L80" s="3"/>
      <c r="M80" s="3">
        <v>56.0</v>
      </c>
      <c r="N80" s="3"/>
      <c r="O80" s="3">
        <v>22.0</v>
      </c>
      <c r="P80" s="3">
        <v>0.0</v>
      </c>
      <c r="Q80" s="3">
        <v>52.0</v>
      </c>
    </row>
    <row r="81">
      <c r="A81" s="3" t="s">
        <v>50</v>
      </c>
      <c r="B81" s="3">
        <v>0.0</v>
      </c>
      <c r="C81" s="3">
        <v>156.0</v>
      </c>
      <c r="D81" s="3">
        <v>10.0</v>
      </c>
      <c r="E81" s="3">
        <v>92.0</v>
      </c>
      <c r="F81" s="3">
        <v>0.0</v>
      </c>
      <c r="G81" s="3">
        <v>34.0</v>
      </c>
      <c r="H81" s="3">
        <v>10.0</v>
      </c>
      <c r="I81" s="3">
        <v>122.0</v>
      </c>
      <c r="J81" s="3"/>
      <c r="K81" s="3">
        <v>22.0</v>
      </c>
      <c r="L81" s="3"/>
      <c r="M81" s="3">
        <v>56.0</v>
      </c>
      <c r="N81" s="3"/>
      <c r="O81" s="3">
        <v>22.0</v>
      </c>
      <c r="P81" s="3"/>
      <c r="Q81" s="3">
        <v>52.0</v>
      </c>
    </row>
    <row r="82">
      <c r="A82" s="3" t="s">
        <v>51</v>
      </c>
      <c r="B82" s="3">
        <v>0.0</v>
      </c>
      <c r="C82" s="3">
        <v>160.0</v>
      </c>
      <c r="D82" s="3"/>
      <c r="E82" s="3">
        <v>92.0</v>
      </c>
      <c r="F82" s="3"/>
      <c r="G82" s="3">
        <v>34.0</v>
      </c>
      <c r="H82" s="3">
        <v>0.0</v>
      </c>
      <c r="I82" s="3">
        <v>126.0</v>
      </c>
      <c r="J82" s="3"/>
      <c r="K82" s="3">
        <v>22.0</v>
      </c>
      <c r="L82" s="3"/>
      <c r="M82" s="3">
        <v>56.0</v>
      </c>
      <c r="N82" s="3"/>
      <c r="O82" s="3">
        <v>22.0</v>
      </c>
      <c r="P82" s="3">
        <v>0.0</v>
      </c>
      <c r="Q82" s="3">
        <v>56.0</v>
      </c>
    </row>
    <row r="83">
      <c r="A83" s="3" t="s">
        <v>46</v>
      </c>
      <c r="B83" s="3"/>
      <c r="C83" s="3">
        <v>160.0</v>
      </c>
      <c r="D83" s="3">
        <v>0.0</v>
      </c>
      <c r="E83" s="3">
        <v>96.0</v>
      </c>
      <c r="F83" s="3"/>
      <c r="G83" s="3">
        <v>34.0</v>
      </c>
      <c r="H83" s="3">
        <v>10.0</v>
      </c>
      <c r="I83" s="3">
        <v>140.0</v>
      </c>
      <c r="J83" s="3"/>
      <c r="K83" s="3">
        <v>22.0</v>
      </c>
      <c r="L83" s="3"/>
      <c r="M83" s="3">
        <v>56.0</v>
      </c>
      <c r="N83" s="3">
        <v>0.0</v>
      </c>
      <c r="O83" s="3">
        <v>30.0</v>
      </c>
      <c r="P83" s="3">
        <v>10.0</v>
      </c>
      <c r="Q83" s="3">
        <v>70.0</v>
      </c>
    </row>
    <row r="84">
      <c r="A84" s="3" t="s">
        <v>47</v>
      </c>
      <c r="B84" s="3">
        <v>0.0</v>
      </c>
      <c r="C84" s="3">
        <v>164.0</v>
      </c>
      <c r="D84" s="3">
        <v>0.0</v>
      </c>
      <c r="E84" s="3">
        <v>100.0</v>
      </c>
      <c r="F84" s="3"/>
      <c r="G84" s="3">
        <v>34.0</v>
      </c>
      <c r="H84" s="3">
        <v>10.0</v>
      </c>
      <c r="I84" s="3">
        <v>154.0</v>
      </c>
      <c r="J84" s="3"/>
      <c r="K84" s="3">
        <v>22.0</v>
      </c>
      <c r="L84" s="3"/>
      <c r="M84" s="3">
        <v>56.0</v>
      </c>
      <c r="N84" s="3"/>
      <c r="O84" s="3">
        <v>30.0</v>
      </c>
      <c r="P84" s="3">
        <v>10.0</v>
      </c>
      <c r="Q84" s="3">
        <v>84.0</v>
      </c>
    </row>
    <row r="85">
      <c r="A85" s="3" t="s">
        <v>48</v>
      </c>
      <c r="B85" s="3"/>
      <c r="C85" s="3">
        <v>164.0</v>
      </c>
      <c r="D85" s="3"/>
      <c r="E85" s="3">
        <v>100.0</v>
      </c>
      <c r="F85" s="3"/>
      <c r="G85" s="3">
        <v>34.0</v>
      </c>
      <c r="H85" s="3"/>
      <c r="I85" s="3">
        <v>158.0</v>
      </c>
      <c r="J85" s="3"/>
      <c r="K85" s="3">
        <v>22.0</v>
      </c>
      <c r="L85" s="3"/>
      <c r="M85" s="3">
        <v>56.0</v>
      </c>
      <c r="N85" s="3">
        <v>0.0</v>
      </c>
      <c r="O85" s="3">
        <v>34.0</v>
      </c>
      <c r="P85" s="3"/>
      <c r="Q85" s="3">
        <v>84.0</v>
      </c>
    </row>
    <row r="86">
      <c r="A86" s="3" t="s">
        <v>49</v>
      </c>
      <c r="B86" s="3">
        <v>10.0</v>
      </c>
      <c r="C86" s="3">
        <v>178.0</v>
      </c>
      <c r="D86" s="3">
        <v>10.0</v>
      </c>
      <c r="E86" s="3">
        <v>114.0</v>
      </c>
      <c r="F86" s="3">
        <v>0.0</v>
      </c>
      <c r="G86" s="3">
        <v>38.0</v>
      </c>
      <c r="H86" s="3">
        <v>10.0</v>
      </c>
      <c r="I86" s="3">
        <v>176.0</v>
      </c>
      <c r="J86" s="3"/>
      <c r="K86" s="3">
        <v>22.0</v>
      </c>
      <c r="L86" s="3"/>
      <c r="M86" s="3">
        <v>56.0</v>
      </c>
      <c r="N86" s="3"/>
      <c r="O86" s="3">
        <v>34.0</v>
      </c>
      <c r="P86" s="3"/>
      <c r="Q86" s="3">
        <v>84.0</v>
      </c>
    </row>
    <row r="87">
      <c r="A87" s="3" t="s">
        <v>50</v>
      </c>
      <c r="B87" s="3"/>
      <c r="C87" s="3">
        <v>178.0</v>
      </c>
      <c r="D87" s="3"/>
      <c r="E87" s="3">
        <v>114.0</v>
      </c>
      <c r="F87" s="3">
        <v>10.0</v>
      </c>
      <c r="G87" s="3">
        <v>52.0</v>
      </c>
      <c r="H87" s="3">
        <v>10.0</v>
      </c>
      <c r="I87" s="3">
        <v>190.0</v>
      </c>
      <c r="J87" s="3">
        <v>10.0</v>
      </c>
      <c r="K87" s="3">
        <v>36.0</v>
      </c>
      <c r="L87" s="3"/>
      <c r="M87" s="3">
        <v>56.0</v>
      </c>
      <c r="N87" s="3"/>
      <c r="O87" s="3">
        <v>34.0</v>
      </c>
      <c r="P87" s="3"/>
      <c r="Q87" s="3">
        <v>84.0</v>
      </c>
    </row>
    <row r="88">
      <c r="A88" s="3" t="s">
        <v>51</v>
      </c>
      <c r="B88" s="3">
        <v>10.0</v>
      </c>
      <c r="C88" s="3">
        <v>192.0</v>
      </c>
      <c r="D88" s="3">
        <v>10.0</v>
      </c>
      <c r="E88" s="3">
        <v>128.0</v>
      </c>
      <c r="F88" s="3"/>
      <c r="G88" s="3">
        <v>52.0</v>
      </c>
      <c r="H88" s="3">
        <v>10.0</v>
      </c>
      <c r="I88" s="3">
        <v>204.0</v>
      </c>
      <c r="J88" s="3"/>
      <c r="K88" s="3">
        <v>36.0</v>
      </c>
      <c r="L88" s="3"/>
      <c r="M88" s="3">
        <v>56.0</v>
      </c>
      <c r="N88" s="3"/>
      <c r="O88" s="3">
        <v>34.0</v>
      </c>
      <c r="P88" s="3"/>
      <c r="Q88" s="3">
        <v>84.0</v>
      </c>
    </row>
    <row r="89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>
      <c r="B91" s="3" t="str">
        <f t="array" ref="B91:Q120">transpose(sort(transpose(Full!A91:R120),1,true))</f>
        <v>Brookfield</v>
      </c>
      <c r="C91" s="3" t="s">
        <v>4</v>
      </c>
      <c r="D91" s="3" t="s">
        <v>5</v>
      </c>
      <c r="E91" s="3" t="s">
        <v>5</v>
      </c>
      <c r="F91" s="3" t="s">
        <v>0</v>
      </c>
      <c r="G91" s="3" t="s">
        <v>0</v>
      </c>
      <c r="H91" s="3" t="s">
        <v>1</v>
      </c>
      <c r="I91" s="3" t="s">
        <v>1</v>
      </c>
      <c r="J91" s="3" t="s">
        <v>7</v>
      </c>
      <c r="K91" s="3" t="s">
        <v>7</v>
      </c>
      <c r="L91" s="3" t="s">
        <v>2</v>
      </c>
      <c r="M91" s="3" t="s">
        <v>2</v>
      </c>
      <c r="N91" s="3" t="s">
        <v>6</v>
      </c>
      <c r="O91" s="3" t="s">
        <v>6</v>
      </c>
      <c r="P91" s="3" t="s">
        <v>3</v>
      </c>
      <c r="Q91" s="3" t="s">
        <v>3</v>
      </c>
    </row>
    <row r="92">
      <c r="B92" s="3" t="s">
        <v>8</v>
      </c>
      <c r="C92" s="3" t="s">
        <v>9</v>
      </c>
      <c r="D92" s="3" t="s">
        <v>8</v>
      </c>
      <c r="E92" s="3" t="s">
        <v>9</v>
      </c>
      <c r="F92" s="3" t="s">
        <v>8</v>
      </c>
      <c r="G92" s="3" t="s">
        <v>9</v>
      </c>
      <c r="H92" s="3" t="s">
        <v>8</v>
      </c>
      <c r="I92" s="3" t="s">
        <v>9</v>
      </c>
      <c r="J92" s="3" t="s">
        <v>8</v>
      </c>
      <c r="K92" s="3" t="s">
        <v>9</v>
      </c>
      <c r="L92" s="3" t="s">
        <v>8</v>
      </c>
      <c r="M92" s="3" t="s">
        <v>9</v>
      </c>
      <c r="N92" s="3" t="s">
        <v>8</v>
      </c>
      <c r="O92" s="3" t="s">
        <v>9</v>
      </c>
      <c r="P92" s="3" t="s">
        <v>8</v>
      </c>
      <c r="Q92" s="3" t="s">
        <v>9</v>
      </c>
    </row>
    <row r="93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>
      <c r="A94" s="3" t="s">
        <v>46</v>
      </c>
      <c r="B94" s="3"/>
      <c r="C94" s="3">
        <v>0.0</v>
      </c>
      <c r="D94" s="3"/>
      <c r="E94" s="3">
        <v>0.0</v>
      </c>
      <c r="F94" s="3"/>
      <c r="G94" s="3">
        <v>0.0</v>
      </c>
      <c r="H94" s="3"/>
      <c r="I94" s="3">
        <v>0.0</v>
      </c>
      <c r="J94" s="3">
        <v>0.0</v>
      </c>
      <c r="K94" s="3">
        <v>4.0</v>
      </c>
      <c r="L94" s="3"/>
      <c r="M94" s="3">
        <v>0.0</v>
      </c>
      <c r="N94" s="3"/>
      <c r="O94" s="3">
        <v>0.0</v>
      </c>
      <c r="P94" s="3">
        <v>10.0</v>
      </c>
      <c r="Q94" s="3">
        <v>14.0</v>
      </c>
    </row>
    <row r="95">
      <c r="A95" s="3" t="s">
        <v>47</v>
      </c>
      <c r="B95" s="3">
        <v>10.0</v>
      </c>
      <c r="C95" s="3">
        <v>14.0</v>
      </c>
      <c r="D95" s="3"/>
      <c r="E95" s="3">
        <v>0.0</v>
      </c>
      <c r="F95" s="3"/>
      <c r="G95" s="3">
        <v>0.0</v>
      </c>
      <c r="H95" s="3">
        <v>0.0</v>
      </c>
      <c r="I95" s="3">
        <v>4.0</v>
      </c>
      <c r="J95" s="3"/>
      <c r="K95" s="3">
        <v>4.0</v>
      </c>
      <c r="L95" s="3"/>
      <c r="M95" s="3">
        <v>0.0</v>
      </c>
      <c r="N95" s="3">
        <v>0.0</v>
      </c>
      <c r="O95" s="3">
        <v>4.0</v>
      </c>
      <c r="P95" s="3"/>
      <c r="Q95" s="3">
        <v>14.0</v>
      </c>
    </row>
    <row r="96">
      <c r="A96" s="3" t="s">
        <v>48</v>
      </c>
      <c r="B96" s="3">
        <v>10.0</v>
      </c>
      <c r="C96" s="3">
        <v>32.0</v>
      </c>
      <c r="D96" s="3">
        <v>0.0</v>
      </c>
      <c r="E96" s="3">
        <v>8.0</v>
      </c>
      <c r="F96" s="3"/>
      <c r="G96" s="3">
        <v>0.0</v>
      </c>
      <c r="H96" s="3"/>
      <c r="I96" s="3">
        <v>4.0</v>
      </c>
      <c r="J96" s="3"/>
      <c r="K96" s="3">
        <v>4.0</v>
      </c>
      <c r="L96" s="3"/>
      <c r="M96" s="3">
        <v>0.0</v>
      </c>
      <c r="N96" s="3">
        <v>10.0</v>
      </c>
      <c r="O96" s="3">
        <v>18.0</v>
      </c>
      <c r="P96" s="3"/>
      <c r="Q96" s="3">
        <v>14.0</v>
      </c>
    </row>
    <row r="97">
      <c r="A97" s="3" t="s">
        <v>49</v>
      </c>
      <c r="B97" s="3">
        <v>10.0</v>
      </c>
      <c r="C97" s="3">
        <v>46.0</v>
      </c>
      <c r="D97" s="3"/>
      <c r="E97" s="3">
        <v>12.0</v>
      </c>
      <c r="F97" s="3"/>
      <c r="G97" s="3">
        <v>0.0</v>
      </c>
      <c r="H97" s="3"/>
      <c r="I97" s="3">
        <v>4.0</v>
      </c>
      <c r="J97" s="3"/>
      <c r="K97" s="3">
        <v>4.0</v>
      </c>
      <c r="L97" s="3">
        <v>10.0</v>
      </c>
      <c r="M97" s="3">
        <v>14.0</v>
      </c>
      <c r="N97" s="3">
        <v>10.0</v>
      </c>
      <c r="O97" s="3">
        <v>32.0</v>
      </c>
      <c r="P97" s="3"/>
      <c r="Q97" s="3">
        <v>14.0</v>
      </c>
    </row>
    <row r="98">
      <c r="A98" s="3" t="s">
        <v>50</v>
      </c>
      <c r="B98" s="3">
        <v>10.0</v>
      </c>
      <c r="C98" s="3">
        <v>60.0</v>
      </c>
      <c r="D98" s="3"/>
      <c r="E98" s="3">
        <v>12.0</v>
      </c>
      <c r="F98" s="3"/>
      <c r="G98" s="3">
        <v>0.0</v>
      </c>
      <c r="H98" s="3">
        <v>10.0</v>
      </c>
      <c r="I98" s="3">
        <v>18.0</v>
      </c>
      <c r="J98" s="3"/>
      <c r="K98" s="3">
        <v>4.0</v>
      </c>
      <c r="L98" s="3"/>
      <c r="M98" s="3">
        <v>14.0</v>
      </c>
      <c r="N98" s="3"/>
      <c r="O98" s="3">
        <v>32.0</v>
      </c>
      <c r="P98" s="3"/>
      <c r="Q98" s="3">
        <v>14.0</v>
      </c>
    </row>
    <row r="99">
      <c r="A99" s="3" t="s">
        <v>51</v>
      </c>
      <c r="B99" s="3">
        <v>10.0</v>
      </c>
      <c r="C99" s="3">
        <v>74.0</v>
      </c>
      <c r="D99" s="3"/>
      <c r="E99" s="3">
        <v>12.0</v>
      </c>
      <c r="F99" s="3"/>
      <c r="G99" s="3">
        <v>0.0</v>
      </c>
      <c r="H99" s="3"/>
      <c r="I99" s="3">
        <v>18.0</v>
      </c>
      <c r="J99" s="3"/>
      <c r="K99" s="3">
        <v>4.0</v>
      </c>
      <c r="L99" s="3"/>
      <c r="M99" s="3">
        <v>14.0</v>
      </c>
      <c r="N99" s="3"/>
      <c r="O99" s="3">
        <v>32.0</v>
      </c>
      <c r="P99" s="3"/>
      <c r="Q99" s="3">
        <v>14.0</v>
      </c>
    </row>
    <row r="100">
      <c r="A100" s="3" t="s">
        <v>46</v>
      </c>
      <c r="B100" s="3">
        <v>10.0</v>
      </c>
      <c r="C100" s="3">
        <v>88.0</v>
      </c>
      <c r="D100" s="3"/>
      <c r="E100" s="3">
        <v>16.0</v>
      </c>
      <c r="F100" s="3"/>
      <c r="G100" s="3">
        <v>0.0</v>
      </c>
      <c r="H100" s="3"/>
      <c r="I100" s="3">
        <v>18.0</v>
      </c>
      <c r="J100" s="3">
        <v>10.0</v>
      </c>
      <c r="K100" s="3">
        <v>22.0</v>
      </c>
      <c r="L100" s="3"/>
      <c r="M100" s="3">
        <v>14.0</v>
      </c>
      <c r="N100" s="3">
        <v>10.0</v>
      </c>
      <c r="O100" s="3">
        <v>46.0</v>
      </c>
      <c r="P100" s="3"/>
      <c r="Q100" s="3">
        <v>14.0</v>
      </c>
    </row>
    <row r="101">
      <c r="A101" s="3" t="s">
        <v>47</v>
      </c>
      <c r="B101" s="3">
        <v>10.0</v>
      </c>
      <c r="C101" s="3">
        <v>102.0</v>
      </c>
      <c r="D101" s="3"/>
      <c r="E101" s="3">
        <v>16.0</v>
      </c>
      <c r="F101" s="3">
        <v>0.0</v>
      </c>
      <c r="G101" s="3">
        <v>4.0</v>
      </c>
      <c r="H101" s="3">
        <v>0.0</v>
      </c>
      <c r="I101" s="3">
        <v>22.0</v>
      </c>
      <c r="J101" s="3"/>
      <c r="K101" s="3">
        <v>22.0</v>
      </c>
      <c r="L101" s="3">
        <v>0.0</v>
      </c>
      <c r="M101" s="3">
        <v>18.0</v>
      </c>
      <c r="N101" s="3"/>
      <c r="O101" s="3">
        <v>46.0</v>
      </c>
      <c r="P101" s="3"/>
      <c r="Q101" s="3">
        <v>14.0</v>
      </c>
    </row>
    <row r="102">
      <c r="A102" s="3" t="s">
        <v>48</v>
      </c>
      <c r="B102" s="3">
        <v>10.0</v>
      </c>
      <c r="C102" s="3">
        <v>116.0</v>
      </c>
      <c r="D102" s="3"/>
      <c r="E102" s="3">
        <v>16.0</v>
      </c>
      <c r="F102" s="3"/>
      <c r="G102" s="3">
        <v>4.0</v>
      </c>
      <c r="H102" s="3">
        <v>10.0</v>
      </c>
      <c r="I102" s="3">
        <v>36.0</v>
      </c>
      <c r="J102" s="3"/>
      <c r="K102" s="3">
        <v>22.0</v>
      </c>
      <c r="L102" s="3"/>
      <c r="M102" s="3">
        <v>18.0</v>
      </c>
      <c r="N102" s="3"/>
      <c r="O102" s="3">
        <v>46.0</v>
      </c>
      <c r="P102" s="3"/>
      <c r="Q102" s="3">
        <v>14.0</v>
      </c>
    </row>
    <row r="103">
      <c r="A103" s="3" t="s">
        <v>49</v>
      </c>
      <c r="B103" s="3">
        <v>10.0</v>
      </c>
      <c r="C103" s="3">
        <v>130.0</v>
      </c>
      <c r="D103" s="3">
        <v>10.0</v>
      </c>
      <c r="E103" s="3">
        <v>30.0</v>
      </c>
      <c r="F103" s="3"/>
      <c r="G103" s="3">
        <v>4.0</v>
      </c>
      <c r="H103" s="3"/>
      <c r="I103" s="3">
        <v>36.0</v>
      </c>
      <c r="J103" s="3">
        <v>10.0</v>
      </c>
      <c r="K103" s="3">
        <v>36.0</v>
      </c>
      <c r="L103" s="3"/>
      <c r="M103" s="3">
        <v>18.0</v>
      </c>
      <c r="N103" s="3">
        <v>10.0</v>
      </c>
      <c r="O103" s="3">
        <v>60.0</v>
      </c>
      <c r="P103" s="3"/>
      <c r="Q103" s="3">
        <v>14.0</v>
      </c>
    </row>
    <row r="104">
      <c r="A104" s="3" t="s">
        <v>50</v>
      </c>
      <c r="B104" s="3"/>
      <c r="C104" s="3">
        <v>130.0</v>
      </c>
      <c r="D104" s="3"/>
      <c r="E104" s="3">
        <v>30.0</v>
      </c>
      <c r="F104" s="3"/>
      <c r="G104" s="3">
        <v>4.0</v>
      </c>
      <c r="H104" s="3">
        <v>10.0</v>
      </c>
      <c r="I104" s="3">
        <v>50.0</v>
      </c>
      <c r="J104" s="3"/>
      <c r="K104" s="3">
        <v>36.0</v>
      </c>
      <c r="L104" s="3"/>
      <c r="M104" s="3">
        <v>18.0</v>
      </c>
      <c r="N104" s="3"/>
      <c r="O104" s="3">
        <v>60.0</v>
      </c>
      <c r="P104" s="3"/>
      <c r="Q104" s="3">
        <v>14.0</v>
      </c>
    </row>
    <row r="105">
      <c r="A105" s="3" t="s">
        <v>51</v>
      </c>
      <c r="B105" s="3">
        <v>10.0</v>
      </c>
      <c r="C105" s="3">
        <v>144.0</v>
      </c>
      <c r="D105" s="3"/>
      <c r="E105" s="3">
        <v>30.0</v>
      </c>
      <c r="F105" s="3"/>
      <c r="G105" s="3">
        <v>4.0</v>
      </c>
      <c r="H105" s="3">
        <v>10.0</v>
      </c>
      <c r="I105" s="3">
        <v>64.0</v>
      </c>
      <c r="J105" s="3">
        <v>0.0</v>
      </c>
      <c r="K105" s="3">
        <v>40.0</v>
      </c>
      <c r="L105" s="3"/>
      <c r="M105" s="3">
        <v>18.0</v>
      </c>
      <c r="N105" s="3"/>
      <c r="O105" s="3">
        <v>60.0</v>
      </c>
      <c r="P105" s="3"/>
      <c r="Q105" s="3">
        <v>14.0</v>
      </c>
    </row>
    <row r="106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>
      <c r="A107" s="3" t="s">
        <v>46</v>
      </c>
      <c r="B107" s="3">
        <v>10.0</v>
      </c>
      <c r="C107" s="3">
        <v>158.0</v>
      </c>
      <c r="D107" s="3"/>
      <c r="E107" s="3">
        <v>30.0</v>
      </c>
      <c r="F107" s="3"/>
      <c r="G107" s="3">
        <v>4.0</v>
      </c>
      <c r="H107" s="3">
        <v>0.0</v>
      </c>
      <c r="I107" s="3">
        <v>68.0</v>
      </c>
      <c r="J107" s="3"/>
      <c r="K107" s="3">
        <v>40.0</v>
      </c>
      <c r="L107" s="3"/>
      <c r="M107" s="3">
        <v>18.0</v>
      </c>
      <c r="N107" s="3">
        <v>0.0</v>
      </c>
      <c r="O107" s="3">
        <v>64.0</v>
      </c>
      <c r="P107" s="3"/>
      <c r="Q107" s="3">
        <v>14.0</v>
      </c>
    </row>
    <row r="108">
      <c r="A108" s="3" t="s">
        <v>47</v>
      </c>
      <c r="B108" s="3">
        <v>0.0</v>
      </c>
      <c r="C108" s="3">
        <v>162.0</v>
      </c>
      <c r="D108" s="3"/>
      <c r="E108" s="3">
        <v>30.0</v>
      </c>
      <c r="F108" s="3">
        <v>0.0</v>
      </c>
      <c r="G108" s="3">
        <v>8.0</v>
      </c>
      <c r="H108" s="3">
        <v>10.0</v>
      </c>
      <c r="I108" s="3">
        <v>82.0</v>
      </c>
      <c r="J108" s="3">
        <v>10.0</v>
      </c>
      <c r="K108" s="3">
        <v>54.0</v>
      </c>
      <c r="L108" s="3"/>
      <c r="M108" s="3">
        <v>18.0</v>
      </c>
      <c r="N108" s="3"/>
      <c r="O108" s="3">
        <v>64.0</v>
      </c>
      <c r="P108" s="3"/>
      <c r="Q108" s="3">
        <v>14.0</v>
      </c>
    </row>
    <row r="109">
      <c r="A109" s="3" t="s">
        <v>48</v>
      </c>
      <c r="B109" s="3">
        <v>10.0</v>
      </c>
      <c r="C109" s="3">
        <v>176.0</v>
      </c>
      <c r="D109" s="3">
        <v>0.0</v>
      </c>
      <c r="E109" s="3">
        <v>34.0</v>
      </c>
      <c r="F109" s="3"/>
      <c r="G109" s="3">
        <v>8.0</v>
      </c>
      <c r="H109" s="3"/>
      <c r="I109" s="3">
        <v>82.0</v>
      </c>
      <c r="J109" s="3"/>
      <c r="K109" s="3">
        <v>54.0</v>
      </c>
      <c r="L109" s="3"/>
      <c r="M109" s="3">
        <v>18.0</v>
      </c>
      <c r="N109" s="3"/>
      <c r="O109" s="3">
        <v>64.0</v>
      </c>
      <c r="P109" s="3"/>
      <c r="Q109" s="3">
        <v>14.0</v>
      </c>
    </row>
    <row r="110">
      <c r="A110" s="3" t="s">
        <v>49</v>
      </c>
      <c r="B110" s="3"/>
      <c r="C110" s="3">
        <v>176.0</v>
      </c>
      <c r="D110" s="3"/>
      <c r="E110" s="3">
        <v>34.0</v>
      </c>
      <c r="F110" s="3"/>
      <c r="G110" s="3">
        <v>8.0</v>
      </c>
      <c r="H110" s="3">
        <v>10.0</v>
      </c>
      <c r="I110" s="3">
        <v>96.0</v>
      </c>
      <c r="J110" s="3"/>
      <c r="K110" s="3">
        <v>54.0</v>
      </c>
      <c r="L110" s="3"/>
      <c r="M110" s="3">
        <v>18.0</v>
      </c>
      <c r="N110" s="3"/>
      <c r="O110" s="3">
        <v>64.0</v>
      </c>
      <c r="P110" s="3"/>
      <c r="Q110" s="3">
        <v>14.0</v>
      </c>
    </row>
    <row r="111">
      <c r="A111" s="3" t="s">
        <v>50</v>
      </c>
      <c r="B111" s="3">
        <v>0.0</v>
      </c>
      <c r="C111" s="3">
        <v>180.0</v>
      </c>
      <c r="D111" s="3">
        <v>0.0</v>
      </c>
      <c r="E111" s="3">
        <v>38.0</v>
      </c>
      <c r="F111" s="3">
        <v>0.0</v>
      </c>
      <c r="G111" s="3">
        <v>12.0</v>
      </c>
      <c r="H111" s="3"/>
      <c r="I111" s="3">
        <v>96.0</v>
      </c>
      <c r="J111" s="3">
        <v>0.0</v>
      </c>
      <c r="K111" s="3">
        <v>58.0</v>
      </c>
      <c r="L111" s="3"/>
      <c r="M111" s="3">
        <v>18.0</v>
      </c>
      <c r="N111" s="3"/>
      <c r="O111" s="3">
        <v>64.0</v>
      </c>
      <c r="P111" s="3"/>
      <c r="Q111" s="3">
        <v>14.0</v>
      </c>
    </row>
    <row r="112">
      <c r="A112" s="3" t="s">
        <v>51</v>
      </c>
      <c r="B112" s="3"/>
      <c r="C112" s="3">
        <v>180.0</v>
      </c>
      <c r="D112" s="3">
        <v>0.0</v>
      </c>
      <c r="E112" s="3">
        <v>42.0</v>
      </c>
      <c r="F112" s="3">
        <v>0.0</v>
      </c>
      <c r="G112" s="3">
        <v>16.0</v>
      </c>
      <c r="H112" s="3"/>
      <c r="I112" s="3">
        <v>96.0</v>
      </c>
      <c r="J112" s="3"/>
      <c r="K112" s="3">
        <v>58.0</v>
      </c>
      <c r="L112" s="3">
        <v>0.0</v>
      </c>
      <c r="M112" s="3">
        <v>22.0</v>
      </c>
      <c r="N112" s="3"/>
      <c r="O112" s="3">
        <v>64.0</v>
      </c>
      <c r="P112" s="3"/>
      <c r="Q112" s="3">
        <v>18.0</v>
      </c>
    </row>
    <row r="113">
      <c r="A113" s="3" t="s">
        <v>46</v>
      </c>
      <c r="B113" s="3"/>
      <c r="C113" s="3">
        <v>180.0</v>
      </c>
      <c r="D113" s="3"/>
      <c r="E113" s="3">
        <v>42.0</v>
      </c>
      <c r="F113" s="3"/>
      <c r="G113" s="3">
        <v>16.0</v>
      </c>
      <c r="H113" s="3">
        <v>0.0</v>
      </c>
      <c r="I113" s="3">
        <v>100.0</v>
      </c>
      <c r="J113" s="3"/>
      <c r="K113" s="3">
        <v>58.0</v>
      </c>
      <c r="L113" s="3">
        <v>0.0</v>
      </c>
      <c r="M113" s="3">
        <v>26.0</v>
      </c>
      <c r="N113" s="3"/>
      <c r="O113" s="3">
        <v>64.0</v>
      </c>
      <c r="P113" s="3">
        <v>0.0</v>
      </c>
      <c r="Q113" s="3">
        <v>26.0</v>
      </c>
    </row>
    <row r="114">
      <c r="A114" s="3" t="s">
        <v>47</v>
      </c>
      <c r="B114" s="3"/>
      <c r="C114" s="3">
        <v>180.0</v>
      </c>
      <c r="D114" s="3"/>
      <c r="E114" s="3">
        <v>42.0</v>
      </c>
      <c r="F114" s="3"/>
      <c r="G114" s="3">
        <v>16.0</v>
      </c>
      <c r="H114" s="3">
        <v>0.0</v>
      </c>
      <c r="I114" s="3">
        <v>104.0</v>
      </c>
      <c r="J114" s="3"/>
      <c r="K114" s="3">
        <v>58.0</v>
      </c>
      <c r="L114" s="3"/>
      <c r="M114" s="3">
        <v>26.0</v>
      </c>
      <c r="N114" s="3"/>
      <c r="O114" s="3">
        <v>64.0</v>
      </c>
      <c r="P114" s="3">
        <v>10.0</v>
      </c>
      <c r="Q114" s="3">
        <v>40.0</v>
      </c>
    </row>
    <row r="115">
      <c r="A115" s="3" t="s">
        <v>48</v>
      </c>
      <c r="B115" s="3"/>
      <c r="C115" s="3">
        <v>180.0</v>
      </c>
      <c r="D115" s="3"/>
      <c r="E115" s="3">
        <v>42.0</v>
      </c>
      <c r="F115" s="3"/>
      <c r="G115" s="3">
        <v>16.0</v>
      </c>
      <c r="H115" s="3"/>
      <c r="I115" s="3">
        <v>104.0</v>
      </c>
      <c r="J115" s="3"/>
      <c r="K115" s="3">
        <v>58.0</v>
      </c>
      <c r="L115" s="3"/>
      <c r="M115" s="3">
        <v>26.0</v>
      </c>
      <c r="N115" s="3">
        <v>0.0</v>
      </c>
      <c r="O115" s="3">
        <v>68.0</v>
      </c>
      <c r="P115" s="3"/>
      <c r="Q115" s="3">
        <v>40.0</v>
      </c>
    </row>
    <row r="116">
      <c r="A116" s="3" t="s">
        <v>49</v>
      </c>
      <c r="B116" s="3">
        <v>0.0</v>
      </c>
      <c r="C116" s="3">
        <v>184.0</v>
      </c>
      <c r="D116" s="3"/>
      <c r="E116" s="3">
        <v>42.0</v>
      </c>
      <c r="F116" s="3"/>
      <c r="G116" s="3">
        <v>16.0</v>
      </c>
      <c r="H116" s="3">
        <v>10.0</v>
      </c>
      <c r="I116" s="3">
        <v>118.0</v>
      </c>
      <c r="J116" s="3">
        <v>0.0</v>
      </c>
      <c r="K116" s="3">
        <v>66.0</v>
      </c>
      <c r="L116" s="3"/>
      <c r="M116" s="3">
        <v>26.0</v>
      </c>
      <c r="N116" s="3">
        <v>10.0</v>
      </c>
      <c r="O116" s="3">
        <v>82.0</v>
      </c>
      <c r="P116" s="3"/>
      <c r="Q116" s="3">
        <v>40.0</v>
      </c>
    </row>
    <row r="117">
      <c r="A117" s="3" t="s">
        <v>50</v>
      </c>
      <c r="B117" s="3">
        <v>0.0</v>
      </c>
      <c r="C117" s="3">
        <v>188.0</v>
      </c>
      <c r="D117" s="3"/>
      <c r="E117" s="3">
        <v>42.0</v>
      </c>
      <c r="F117" s="3"/>
      <c r="G117" s="3">
        <v>16.0</v>
      </c>
      <c r="H117" s="3">
        <v>10.0</v>
      </c>
      <c r="I117" s="3">
        <v>132.0</v>
      </c>
      <c r="J117" s="3"/>
      <c r="K117" s="3">
        <v>66.0</v>
      </c>
      <c r="L117" s="3"/>
      <c r="M117" s="3">
        <v>26.0</v>
      </c>
      <c r="N117" s="3">
        <v>0.0</v>
      </c>
      <c r="O117" s="3">
        <v>86.0</v>
      </c>
      <c r="P117" s="3"/>
      <c r="Q117" s="3">
        <v>40.0</v>
      </c>
    </row>
    <row r="118">
      <c r="A118" s="3" t="s">
        <v>51</v>
      </c>
      <c r="B118" s="3">
        <v>10.0</v>
      </c>
      <c r="C118" s="3">
        <v>202.0</v>
      </c>
      <c r="D118" s="3"/>
      <c r="E118" s="3">
        <v>42.0</v>
      </c>
      <c r="F118" s="3">
        <v>0.0</v>
      </c>
      <c r="G118" s="3">
        <v>20.0</v>
      </c>
      <c r="H118" s="3"/>
      <c r="I118" s="3">
        <v>132.0</v>
      </c>
      <c r="J118" s="3"/>
      <c r="K118" s="3">
        <v>66.0</v>
      </c>
      <c r="L118" s="3"/>
      <c r="M118" s="3">
        <v>30.0</v>
      </c>
      <c r="N118" s="3"/>
      <c r="O118" s="3">
        <v>86.0</v>
      </c>
      <c r="P118" s="3"/>
      <c r="Q118" s="3">
        <v>40.0</v>
      </c>
    </row>
    <row r="119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>
      <c r="B121" s="3" t="str">
        <f t="array" ref="B121:Q150">transpose(sort(transpose(Full!A121:R150),1,true))</f>
        <v>Brookfield</v>
      </c>
      <c r="C121" s="3" t="s">
        <v>4</v>
      </c>
      <c r="D121" s="3" t="s">
        <v>5</v>
      </c>
      <c r="E121" s="3" t="s">
        <v>5</v>
      </c>
      <c r="F121" s="3" t="s">
        <v>0</v>
      </c>
      <c r="G121" s="3" t="s">
        <v>0</v>
      </c>
      <c r="H121" s="3" t="s">
        <v>1</v>
      </c>
      <c r="I121" s="3" t="s">
        <v>1</v>
      </c>
      <c r="J121" s="3" t="s">
        <v>7</v>
      </c>
      <c r="K121" s="3" t="s">
        <v>7</v>
      </c>
      <c r="L121" s="3" t="s">
        <v>2</v>
      </c>
      <c r="M121" s="3" t="s">
        <v>2</v>
      </c>
      <c r="N121" s="3" t="s">
        <v>6</v>
      </c>
      <c r="O121" s="3" t="s">
        <v>6</v>
      </c>
      <c r="P121" s="3" t="s">
        <v>3</v>
      </c>
      <c r="Q121" s="3" t="s">
        <v>3</v>
      </c>
    </row>
    <row r="122">
      <c r="B122" s="3" t="s">
        <v>8</v>
      </c>
      <c r="C122" s="3" t="s">
        <v>9</v>
      </c>
      <c r="D122" s="3" t="s">
        <v>8</v>
      </c>
      <c r="E122" s="3" t="s">
        <v>9</v>
      </c>
      <c r="F122" s="3" t="s">
        <v>8</v>
      </c>
      <c r="G122" s="3" t="s">
        <v>9</v>
      </c>
      <c r="H122" s="3" t="s">
        <v>8</v>
      </c>
      <c r="I122" s="3" t="s">
        <v>9</v>
      </c>
      <c r="J122" s="3" t="s">
        <v>8</v>
      </c>
      <c r="K122" s="3" t="s">
        <v>9</v>
      </c>
      <c r="L122" s="3" t="s">
        <v>8</v>
      </c>
      <c r="M122" s="3" t="s">
        <v>9</v>
      </c>
      <c r="N122" s="3" t="s">
        <v>8</v>
      </c>
      <c r="O122" s="3" t="s">
        <v>9</v>
      </c>
      <c r="P122" s="3" t="s">
        <v>8</v>
      </c>
      <c r="Q122" s="3" t="s">
        <v>9</v>
      </c>
    </row>
    <row r="123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>
      <c r="A124" s="3" t="s">
        <v>46</v>
      </c>
      <c r="B124" s="3"/>
      <c r="C124" s="3">
        <v>4.0</v>
      </c>
      <c r="D124" s="3"/>
      <c r="E124" s="3">
        <v>0.0</v>
      </c>
      <c r="F124" s="3"/>
      <c r="G124" s="3">
        <v>0.0</v>
      </c>
      <c r="H124" s="3"/>
      <c r="I124" s="3">
        <v>0.0</v>
      </c>
      <c r="J124" s="3"/>
      <c r="K124" s="3">
        <v>0.0</v>
      </c>
      <c r="L124" s="3"/>
      <c r="M124" s="3">
        <v>0.0</v>
      </c>
      <c r="N124" s="3"/>
      <c r="O124" s="3">
        <v>0.0</v>
      </c>
      <c r="P124" s="3"/>
      <c r="Q124" s="3">
        <v>0.0</v>
      </c>
    </row>
    <row r="125">
      <c r="A125" s="3" t="s">
        <v>47</v>
      </c>
      <c r="B125" s="3"/>
      <c r="C125" s="3">
        <v>4.0</v>
      </c>
      <c r="D125" s="3"/>
      <c r="E125" s="3">
        <v>0.0</v>
      </c>
      <c r="F125" s="3"/>
      <c r="G125" s="3">
        <v>0.0</v>
      </c>
      <c r="H125" s="3"/>
      <c r="I125" s="3">
        <v>0.0</v>
      </c>
      <c r="J125" s="3"/>
      <c r="K125" s="3">
        <v>0.0</v>
      </c>
      <c r="L125" s="3"/>
      <c r="M125" s="3">
        <v>0.0</v>
      </c>
      <c r="N125" s="3"/>
      <c r="O125" s="3">
        <v>0.0</v>
      </c>
      <c r="P125" s="3"/>
      <c r="Q125" s="3">
        <v>0.0</v>
      </c>
    </row>
    <row r="126">
      <c r="A126" s="3" t="s">
        <v>48</v>
      </c>
      <c r="B126" s="3"/>
      <c r="C126" s="3">
        <v>4.0</v>
      </c>
      <c r="D126" s="3"/>
      <c r="E126" s="3">
        <v>0.0</v>
      </c>
      <c r="F126" s="3"/>
      <c r="G126" s="3">
        <v>0.0</v>
      </c>
      <c r="H126" s="3">
        <v>0.0</v>
      </c>
      <c r="I126" s="3">
        <v>4.0</v>
      </c>
      <c r="J126" s="3"/>
      <c r="K126" s="3">
        <v>0.0</v>
      </c>
      <c r="L126" s="3"/>
      <c r="M126" s="3">
        <v>0.0</v>
      </c>
      <c r="N126" s="3"/>
      <c r="O126" s="3">
        <v>0.0</v>
      </c>
      <c r="P126" s="3"/>
      <c r="Q126" s="3">
        <v>0.0</v>
      </c>
    </row>
    <row r="127">
      <c r="A127" s="3" t="s">
        <v>49</v>
      </c>
      <c r="B127" s="3"/>
      <c r="C127" s="3">
        <v>4.0</v>
      </c>
      <c r="D127" s="3"/>
      <c r="E127" s="3">
        <v>0.0</v>
      </c>
      <c r="F127" s="3"/>
      <c r="G127" s="3">
        <v>0.0</v>
      </c>
      <c r="H127" s="3"/>
      <c r="I127" s="3">
        <v>4.0</v>
      </c>
      <c r="J127" s="3"/>
      <c r="K127" s="3">
        <v>0.0</v>
      </c>
      <c r="L127" s="3"/>
      <c r="M127" s="3">
        <v>0.0</v>
      </c>
      <c r="N127" s="3"/>
      <c r="O127" s="3">
        <v>0.0</v>
      </c>
      <c r="P127" s="3">
        <v>0.0</v>
      </c>
      <c r="Q127" s="3">
        <v>4.0</v>
      </c>
    </row>
    <row r="128">
      <c r="A128" s="3" t="s">
        <v>50</v>
      </c>
      <c r="B128" s="3"/>
      <c r="C128" s="3">
        <v>8.0</v>
      </c>
      <c r="D128" s="3"/>
      <c r="E128" s="3">
        <v>0.0</v>
      </c>
      <c r="F128" s="3"/>
      <c r="G128" s="3">
        <v>0.0</v>
      </c>
      <c r="H128" s="3"/>
      <c r="I128" s="3">
        <v>4.0</v>
      </c>
      <c r="J128" s="3"/>
      <c r="K128" s="3">
        <v>0.0</v>
      </c>
      <c r="L128" s="3"/>
      <c r="M128" s="3">
        <v>0.0</v>
      </c>
      <c r="N128" s="3"/>
      <c r="O128" s="3">
        <v>0.0</v>
      </c>
      <c r="P128" s="3"/>
      <c r="Q128" s="3">
        <v>4.0</v>
      </c>
    </row>
    <row r="129">
      <c r="A129" s="3" t="s">
        <v>51</v>
      </c>
      <c r="B129" s="3"/>
      <c r="C129" s="3">
        <v>8.0</v>
      </c>
      <c r="D129" s="3"/>
      <c r="E129" s="3">
        <v>0.0</v>
      </c>
      <c r="F129" s="3"/>
      <c r="G129" s="3">
        <v>0.0</v>
      </c>
      <c r="H129" s="3">
        <v>10.0</v>
      </c>
      <c r="I129" s="3">
        <v>22.0</v>
      </c>
      <c r="J129" s="3"/>
      <c r="K129" s="3">
        <v>0.0</v>
      </c>
      <c r="L129" s="3"/>
      <c r="M129" s="3">
        <v>4.0</v>
      </c>
      <c r="N129" s="3"/>
      <c r="O129" s="3">
        <v>4.0</v>
      </c>
      <c r="P129" s="3"/>
      <c r="Q129" s="3">
        <v>8.0</v>
      </c>
    </row>
    <row r="130">
      <c r="A130" s="3" t="s">
        <v>46</v>
      </c>
      <c r="B130" s="3"/>
      <c r="C130" s="3">
        <v>8.0</v>
      </c>
      <c r="D130" s="3"/>
      <c r="E130" s="3">
        <v>0.0</v>
      </c>
      <c r="F130" s="3"/>
      <c r="G130" s="3">
        <v>0.0</v>
      </c>
      <c r="H130" s="3">
        <v>0.0</v>
      </c>
      <c r="I130" s="3">
        <v>26.0</v>
      </c>
      <c r="J130" s="3">
        <v>0.0</v>
      </c>
      <c r="K130" s="3">
        <v>4.0</v>
      </c>
      <c r="L130" s="3"/>
      <c r="M130" s="3">
        <v>4.0</v>
      </c>
      <c r="N130" s="3"/>
      <c r="O130" s="3">
        <v>4.0</v>
      </c>
      <c r="P130" s="3">
        <v>0.0</v>
      </c>
      <c r="Q130" s="3">
        <v>12.0</v>
      </c>
    </row>
    <row r="131">
      <c r="A131" s="3" t="s">
        <v>47</v>
      </c>
      <c r="B131" s="3"/>
      <c r="C131" s="3">
        <v>8.0</v>
      </c>
      <c r="D131" s="3">
        <v>0.0</v>
      </c>
      <c r="E131" s="3">
        <v>4.0</v>
      </c>
      <c r="F131" s="3"/>
      <c r="G131" s="3">
        <v>0.0</v>
      </c>
      <c r="H131" s="3">
        <v>10.0</v>
      </c>
      <c r="I131" s="3">
        <v>40.0</v>
      </c>
      <c r="J131" s="3">
        <v>10.0</v>
      </c>
      <c r="K131" s="3">
        <v>18.0</v>
      </c>
      <c r="L131" s="3"/>
      <c r="M131" s="3">
        <v>4.0</v>
      </c>
      <c r="N131" s="3">
        <v>10.0</v>
      </c>
      <c r="O131" s="3">
        <v>22.0</v>
      </c>
      <c r="P131" s="3"/>
      <c r="Q131" s="3">
        <v>12.0</v>
      </c>
    </row>
    <row r="132">
      <c r="A132" s="3" t="s">
        <v>48</v>
      </c>
      <c r="B132" s="3">
        <v>10.0</v>
      </c>
      <c r="C132" s="3">
        <v>22.0</v>
      </c>
      <c r="D132" s="3"/>
      <c r="E132" s="3">
        <v>4.0</v>
      </c>
      <c r="F132" s="3">
        <v>10.0</v>
      </c>
      <c r="G132" s="3">
        <v>14.0</v>
      </c>
      <c r="H132" s="3"/>
      <c r="I132" s="3">
        <v>40.0</v>
      </c>
      <c r="J132" s="3"/>
      <c r="K132" s="3">
        <v>18.0</v>
      </c>
      <c r="L132" s="3"/>
      <c r="M132" s="3">
        <v>8.0</v>
      </c>
      <c r="N132" s="3"/>
      <c r="O132" s="3">
        <v>22.0</v>
      </c>
      <c r="P132" s="3">
        <v>0.0</v>
      </c>
      <c r="Q132" s="3">
        <v>20.0</v>
      </c>
    </row>
    <row r="133">
      <c r="A133" s="3" t="s">
        <v>49</v>
      </c>
      <c r="B133" s="3"/>
      <c r="C133" s="3">
        <v>22.0</v>
      </c>
      <c r="D133" s="3"/>
      <c r="E133" s="3">
        <v>4.0</v>
      </c>
      <c r="F133" s="3"/>
      <c r="G133" s="3">
        <v>14.0</v>
      </c>
      <c r="H133" s="3">
        <v>0.0</v>
      </c>
      <c r="I133" s="3">
        <v>44.0</v>
      </c>
      <c r="J133" s="3"/>
      <c r="K133" s="3">
        <v>18.0</v>
      </c>
      <c r="L133" s="3"/>
      <c r="M133" s="3">
        <v>8.0</v>
      </c>
      <c r="N133" s="3"/>
      <c r="O133" s="3">
        <v>22.0</v>
      </c>
      <c r="P133" s="3">
        <v>0.0</v>
      </c>
      <c r="Q133" s="3">
        <v>24.0</v>
      </c>
    </row>
    <row r="134">
      <c r="A134" s="3" t="s">
        <v>50</v>
      </c>
      <c r="B134" s="3"/>
      <c r="C134" s="3">
        <v>22.0</v>
      </c>
      <c r="D134" s="3">
        <v>0.0</v>
      </c>
      <c r="E134" s="3">
        <v>8.0</v>
      </c>
      <c r="F134" s="3"/>
      <c r="G134" s="3">
        <v>14.0</v>
      </c>
      <c r="H134" s="3"/>
      <c r="I134" s="3">
        <v>44.0</v>
      </c>
      <c r="J134" s="3"/>
      <c r="K134" s="3">
        <v>18.0</v>
      </c>
      <c r="L134" s="3"/>
      <c r="M134" s="3">
        <v>8.0</v>
      </c>
      <c r="N134" s="3"/>
      <c r="O134" s="3">
        <v>22.0</v>
      </c>
      <c r="P134" s="3"/>
      <c r="Q134" s="3">
        <v>24.0</v>
      </c>
    </row>
    <row r="135">
      <c r="A135" s="3" t="s">
        <v>51</v>
      </c>
      <c r="B135" s="3"/>
      <c r="C135" s="3">
        <v>22.0</v>
      </c>
      <c r="D135" s="3"/>
      <c r="E135" s="3">
        <v>8.0</v>
      </c>
      <c r="F135" s="3"/>
      <c r="G135" s="3">
        <v>14.0</v>
      </c>
      <c r="H135" s="3"/>
      <c r="I135" s="3">
        <v>44.0</v>
      </c>
      <c r="J135" s="3"/>
      <c r="K135" s="3">
        <v>18.0</v>
      </c>
      <c r="L135" s="3"/>
      <c r="M135" s="3">
        <v>8.0</v>
      </c>
      <c r="N135" s="3"/>
      <c r="O135" s="3">
        <v>22.0</v>
      </c>
      <c r="P135" s="3"/>
      <c r="Q135" s="3">
        <v>24.0</v>
      </c>
    </row>
    <row r="136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>
      <c r="A137" s="3" t="s">
        <v>46</v>
      </c>
      <c r="B137" s="3">
        <v>0.0</v>
      </c>
      <c r="C137" s="3">
        <v>26.0</v>
      </c>
      <c r="D137" s="3"/>
      <c r="E137" s="3">
        <v>8.0</v>
      </c>
      <c r="F137" s="3"/>
      <c r="G137" s="3">
        <v>14.0</v>
      </c>
      <c r="H137" s="3"/>
      <c r="I137" s="3">
        <v>44.0</v>
      </c>
      <c r="J137" s="3"/>
      <c r="K137" s="3">
        <v>18.0</v>
      </c>
      <c r="L137" s="3"/>
      <c r="M137" s="3">
        <v>8.0</v>
      </c>
      <c r="N137" s="3"/>
      <c r="O137" s="3">
        <v>22.0</v>
      </c>
      <c r="P137" s="3"/>
      <c r="Q137" s="3">
        <v>24.0</v>
      </c>
    </row>
    <row r="138">
      <c r="A138" s="3" t="s">
        <v>47</v>
      </c>
      <c r="B138" s="3">
        <v>10.0</v>
      </c>
      <c r="C138" s="3">
        <v>40.0</v>
      </c>
      <c r="D138" s="3"/>
      <c r="E138" s="3">
        <v>8.0</v>
      </c>
      <c r="F138" s="3"/>
      <c r="G138" s="3">
        <v>14.0</v>
      </c>
      <c r="H138" s="3"/>
      <c r="I138" s="3">
        <v>44.0</v>
      </c>
      <c r="J138" s="3"/>
      <c r="K138" s="3">
        <v>18.0</v>
      </c>
      <c r="L138" s="3">
        <v>0.0</v>
      </c>
      <c r="M138" s="3">
        <v>12.0</v>
      </c>
      <c r="N138" s="3"/>
      <c r="O138" s="3">
        <v>22.0</v>
      </c>
      <c r="P138" s="3">
        <v>10.0</v>
      </c>
      <c r="Q138" s="3">
        <v>38.0</v>
      </c>
    </row>
    <row r="139">
      <c r="A139" s="3" t="s">
        <v>48</v>
      </c>
      <c r="B139" s="3"/>
      <c r="C139" s="3">
        <v>40.0</v>
      </c>
      <c r="D139" s="3">
        <v>0.0</v>
      </c>
      <c r="E139" s="3">
        <v>12.0</v>
      </c>
      <c r="F139" s="3"/>
      <c r="G139" s="3">
        <v>14.0</v>
      </c>
      <c r="H139" s="3"/>
      <c r="I139" s="3">
        <v>44.0</v>
      </c>
      <c r="J139" s="3"/>
      <c r="K139" s="3">
        <v>18.0</v>
      </c>
      <c r="L139" s="3"/>
      <c r="M139" s="3">
        <v>12.0</v>
      </c>
      <c r="N139" s="3"/>
      <c r="O139" s="3">
        <v>22.0</v>
      </c>
      <c r="P139" s="3"/>
      <c r="Q139" s="3">
        <v>38.0</v>
      </c>
    </row>
    <row r="140">
      <c r="A140" s="3" t="s">
        <v>49</v>
      </c>
      <c r="B140" s="3"/>
      <c r="C140" s="3">
        <v>40.0</v>
      </c>
      <c r="D140" s="3"/>
      <c r="E140" s="3">
        <v>12.0</v>
      </c>
      <c r="F140" s="3"/>
      <c r="G140" s="3">
        <v>14.0</v>
      </c>
      <c r="H140" s="3">
        <v>10.0</v>
      </c>
      <c r="I140" s="3">
        <v>58.0</v>
      </c>
      <c r="J140" s="3">
        <v>0.0</v>
      </c>
      <c r="K140" s="3">
        <v>22.0</v>
      </c>
      <c r="L140" s="3"/>
      <c r="M140" s="3">
        <v>12.0</v>
      </c>
      <c r="N140" s="3"/>
      <c r="O140" s="3">
        <v>22.0</v>
      </c>
      <c r="P140" s="3">
        <v>0.0</v>
      </c>
      <c r="Q140" s="3">
        <v>42.0</v>
      </c>
    </row>
    <row r="141">
      <c r="A141" s="3" t="s">
        <v>50</v>
      </c>
      <c r="B141" s="3">
        <v>10.0</v>
      </c>
      <c r="C141" s="3">
        <v>54.0</v>
      </c>
      <c r="D141" s="3">
        <v>0.0</v>
      </c>
      <c r="E141" s="3">
        <v>16.0</v>
      </c>
      <c r="F141" s="3"/>
      <c r="G141" s="3">
        <v>14.0</v>
      </c>
      <c r="H141" s="3"/>
      <c r="I141" s="3">
        <v>58.0</v>
      </c>
      <c r="J141" s="3">
        <v>0.0</v>
      </c>
      <c r="K141" s="3">
        <v>26.0</v>
      </c>
      <c r="L141" s="3"/>
      <c r="M141" s="3">
        <v>12.0</v>
      </c>
      <c r="N141" s="3"/>
      <c r="O141" s="3">
        <v>22.0</v>
      </c>
      <c r="P141" s="3"/>
      <c r="Q141" s="3">
        <v>42.0</v>
      </c>
    </row>
    <row r="142">
      <c r="A142" s="3" t="s">
        <v>51</v>
      </c>
      <c r="B142" s="3">
        <v>10.0</v>
      </c>
      <c r="C142" s="3">
        <v>68.0</v>
      </c>
      <c r="D142" s="3"/>
      <c r="E142" s="3">
        <v>16.0</v>
      </c>
      <c r="F142" s="3"/>
      <c r="G142" s="3">
        <v>14.0</v>
      </c>
      <c r="H142" s="3"/>
      <c r="I142" s="3">
        <v>58.0</v>
      </c>
      <c r="J142" s="3"/>
      <c r="K142" s="3">
        <v>26.0</v>
      </c>
      <c r="L142" s="3"/>
      <c r="M142" s="3">
        <v>12.0</v>
      </c>
      <c r="N142" s="3"/>
      <c r="O142" s="3">
        <v>22.0</v>
      </c>
      <c r="P142" s="3">
        <v>10.0</v>
      </c>
      <c r="Q142" s="3">
        <v>56.0</v>
      </c>
    </row>
    <row r="143">
      <c r="A143" s="3" t="s">
        <v>46</v>
      </c>
      <c r="B143" s="3"/>
      <c r="C143" s="3">
        <v>68.0</v>
      </c>
      <c r="D143" s="3"/>
      <c r="E143" s="3">
        <v>16.0</v>
      </c>
      <c r="F143" s="3">
        <v>10.0</v>
      </c>
      <c r="G143" s="3">
        <v>28.0</v>
      </c>
      <c r="H143" s="3">
        <v>10.0</v>
      </c>
      <c r="I143" s="3">
        <v>76.0</v>
      </c>
      <c r="J143" s="3"/>
      <c r="K143" s="3">
        <v>26.0</v>
      </c>
      <c r="L143" s="3"/>
      <c r="M143" s="3">
        <v>16.0</v>
      </c>
      <c r="N143" s="3"/>
      <c r="O143" s="3">
        <v>26.0</v>
      </c>
      <c r="P143" s="3"/>
      <c r="Q143" s="3">
        <v>60.0</v>
      </c>
    </row>
    <row r="144">
      <c r="A144" s="3" t="s">
        <v>47</v>
      </c>
      <c r="B144" s="3"/>
      <c r="C144" s="3">
        <v>68.0</v>
      </c>
      <c r="D144" s="3"/>
      <c r="E144" s="3">
        <v>16.0</v>
      </c>
      <c r="F144" s="3"/>
      <c r="G144" s="3">
        <v>28.0</v>
      </c>
      <c r="H144" s="3">
        <v>10.0</v>
      </c>
      <c r="I144" s="3">
        <v>90.0</v>
      </c>
      <c r="J144" s="3">
        <v>10.0</v>
      </c>
      <c r="K144" s="3">
        <v>40.0</v>
      </c>
      <c r="L144" s="3"/>
      <c r="M144" s="3">
        <v>16.0</v>
      </c>
      <c r="N144" s="3"/>
      <c r="O144" s="3">
        <v>26.0</v>
      </c>
      <c r="P144" s="3">
        <v>10.0</v>
      </c>
      <c r="Q144" s="3">
        <v>74.0</v>
      </c>
    </row>
    <row r="145">
      <c r="A145" s="3" t="s">
        <v>48</v>
      </c>
      <c r="B145" s="3"/>
      <c r="C145" s="3">
        <v>68.0</v>
      </c>
      <c r="D145" s="3"/>
      <c r="E145" s="3">
        <v>16.0</v>
      </c>
      <c r="F145" s="3"/>
      <c r="G145" s="3">
        <v>28.0</v>
      </c>
      <c r="H145" s="3">
        <v>10.0</v>
      </c>
      <c r="I145" s="3">
        <v>104.0</v>
      </c>
      <c r="J145" s="3"/>
      <c r="K145" s="3">
        <v>40.0</v>
      </c>
      <c r="L145" s="3"/>
      <c r="M145" s="3">
        <v>16.0</v>
      </c>
      <c r="N145" s="3"/>
      <c r="O145" s="3">
        <v>26.0</v>
      </c>
      <c r="P145" s="3"/>
      <c r="Q145" s="3">
        <v>74.0</v>
      </c>
    </row>
    <row r="146">
      <c r="A146" s="3" t="s">
        <v>49</v>
      </c>
      <c r="B146" s="3"/>
      <c r="C146" s="3">
        <v>68.0</v>
      </c>
      <c r="D146" s="3"/>
      <c r="E146" s="3">
        <v>20.0</v>
      </c>
      <c r="F146" s="3"/>
      <c r="G146" s="3">
        <v>28.0</v>
      </c>
      <c r="H146" s="3">
        <v>10.0</v>
      </c>
      <c r="I146" s="3">
        <v>118.0</v>
      </c>
      <c r="J146" s="3"/>
      <c r="K146" s="3">
        <v>40.0</v>
      </c>
      <c r="L146" s="3"/>
      <c r="M146" s="3">
        <v>16.0</v>
      </c>
      <c r="N146" s="3"/>
      <c r="O146" s="3">
        <v>26.0</v>
      </c>
      <c r="P146" s="3"/>
      <c r="Q146" s="3">
        <v>74.0</v>
      </c>
    </row>
    <row r="147">
      <c r="A147" s="3" t="s">
        <v>50</v>
      </c>
      <c r="B147" s="3"/>
      <c r="C147" s="3">
        <v>68.0</v>
      </c>
      <c r="D147" s="3"/>
      <c r="E147" s="3">
        <v>20.0</v>
      </c>
      <c r="F147" s="3"/>
      <c r="G147" s="3">
        <v>28.0</v>
      </c>
      <c r="H147" s="3"/>
      <c r="I147" s="3">
        <v>118.0</v>
      </c>
      <c r="J147" s="3"/>
      <c r="K147" s="3">
        <v>40.0</v>
      </c>
      <c r="L147" s="3"/>
      <c r="M147" s="3">
        <v>16.0</v>
      </c>
      <c r="N147" s="3"/>
      <c r="O147" s="3">
        <v>26.0</v>
      </c>
      <c r="P147" s="3"/>
      <c r="Q147" s="3">
        <v>74.0</v>
      </c>
    </row>
    <row r="148">
      <c r="A148" s="3" t="s">
        <v>51</v>
      </c>
      <c r="B148" s="3">
        <v>0.0</v>
      </c>
      <c r="C148" s="3">
        <v>72.0</v>
      </c>
      <c r="D148" s="3"/>
      <c r="E148" s="3">
        <v>20.0</v>
      </c>
      <c r="F148" s="3"/>
      <c r="G148" s="3">
        <v>28.0</v>
      </c>
      <c r="H148" s="3"/>
      <c r="I148" s="3">
        <v>118.0</v>
      </c>
      <c r="J148" s="3">
        <v>0.0</v>
      </c>
      <c r="K148" s="3">
        <v>44.0</v>
      </c>
      <c r="L148" s="3">
        <v>10.0</v>
      </c>
      <c r="M148" s="3">
        <v>30.0</v>
      </c>
      <c r="N148" s="3"/>
      <c r="O148" s="3">
        <v>26.0</v>
      </c>
      <c r="P148" s="3">
        <v>0.0</v>
      </c>
      <c r="Q148" s="3">
        <v>78.0</v>
      </c>
    </row>
    <row r="149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>
      <c r="B151" s="3" t="str">
        <f t="array" ref="B151:Q180">transpose(sort(transpose(Full!A151:R180),1,true))</f>
        <v>Brookfield</v>
      </c>
      <c r="C151" s="3" t="s">
        <v>4</v>
      </c>
      <c r="D151" s="3" t="s">
        <v>5</v>
      </c>
      <c r="E151" s="3" t="s">
        <v>5</v>
      </c>
      <c r="F151" s="3" t="s">
        <v>0</v>
      </c>
      <c r="G151" s="3" t="s">
        <v>0</v>
      </c>
      <c r="H151" s="3" t="s">
        <v>1</v>
      </c>
      <c r="I151" s="3" t="s">
        <v>1</v>
      </c>
      <c r="J151" s="3" t="s">
        <v>7</v>
      </c>
      <c r="K151" s="3" t="s">
        <v>7</v>
      </c>
      <c r="L151" s="3" t="s">
        <v>2</v>
      </c>
      <c r="M151" s="3" t="s">
        <v>2</v>
      </c>
      <c r="N151" s="3" t="s">
        <v>6</v>
      </c>
      <c r="O151" s="3" t="s">
        <v>6</v>
      </c>
      <c r="P151" s="3" t="s">
        <v>3</v>
      </c>
      <c r="Q151" s="3" t="s">
        <v>3</v>
      </c>
    </row>
    <row r="152">
      <c r="B152" s="3" t="s">
        <v>8</v>
      </c>
      <c r="C152" s="3" t="s">
        <v>9</v>
      </c>
      <c r="D152" s="3" t="s">
        <v>8</v>
      </c>
      <c r="E152" s="3" t="s">
        <v>9</v>
      </c>
      <c r="F152" s="3" t="s">
        <v>8</v>
      </c>
      <c r="G152" s="3" t="s">
        <v>9</v>
      </c>
      <c r="H152" s="3" t="s">
        <v>8</v>
      </c>
      <c r="I152" s="3" t="s">
        <v>9</v>
      </c>
      <c r="J152" s="3" t="s">
        <v>8</v>
      </c>
      <c r="K152" s="3" t="s">
        <v>9</v>
      </c>
      <c r="L152" s="3" t="s">
        <v>8</v>
      </c>
      <c r="M152" s="3" t="s">
        <v>9</v>
      </c>
      <c r="N152" s="3" t="s">
        <v>8</v>
      </c>
      <c r="O152" s="3" t="s">
        <v>9</v>
      </c>
      <c r="P152" s="3" t="s">
        <v>8</v>
      </c>
      <c r="Q152" s="3" t="s">
        <v>9</v>
      </c>
    </row>
    <row r="153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>
      <c r="A154" s="3" t="s">
        <v>46</v>
      </c>
      <c r="B154" s="3"/>
      <c r="C154" s="3">
        <v>0.0</v>
      </c>
      <c r="D154" s="3"/>
      <c r="E154" s="3">
        <v>4.0</v>
      </c>
      <c r="F154" s="3">
        <v>10.0</v>
      </c>
      <c r="G154" s="3">
        <v>14.0</v>
      </c>
      <c r="H154" s="3"/>
      <c r="I154" s="3">
        <v>0.0</v>
      </c>
      <c r="J154" s="3"/>
      <c r="K154" s="3">
        <v>0.0</v>
      </c>
      <c r="L154" s="3">
        <v>10.0</v>
      </c>
      <c r="M154" s="3">
        <v>14.0</v>
      </c>
      <c r="N154" s="3"/>
      <c r="O154" s="3">
        <v>0.0</v>
      </c>
      <c r="P154" s="3"/>
      <c r="Q154" s="3">
        <v>4.0</v>
      </c>
    </row>
    <row r="155">
      <c r="A155" s="3" t="s">
        <v>47</v>
      </c>
      <c r="B155" s="3"/>
      <c r="C155" s="3">
        <v>0.0</v>
      </c>
      <c r="D155" s="3"/>
      <c r="E155" s="3">
        <v>4.0</v>
      </c>
      <c r="F155" s="3"/>
      <c r="G155" s="3">
        <v>14.0</v>
      </c>
      <c r="H155" s="3">
        <v>10.0</v>
      </c>
      <c r="I155" s="3">
        <v>14.0</v>
      </c>
      <c r="J155" s="3">
        <v>0.0</v>
      </c>
      <c r="K155" s="3">
        <v>4.0</v>
      </c>
      <c r="L155" s="3"/>
      <c r="M155" s="3">
        <v>14.0</v>
      </c>
      <c r="N155" s="3">
        <v>0.0</v>
      </c>
      <c r="O155" s="3">
        <v>4.0</v>
      </c>
      <c r="P155" s="3">
        <v>10.0</v>
      </c>
      <c r="Q155" s="3">
        <v>18.0</v>
      </c>
    </row>
    <row r="156">
      <c r="A156" s="3" t="s">
        <v>48</v>
      </c>
      <c r="B156" s="3">
        <v>0.0</v>
      </c>
      <c r="C156" s="3">
        <v>4.0</v>
      </c>
      <c r="D156" s="3">
        <v>10.0</v>
      </c>
      <c r="E156" s="3">
        <v>18.0</v>
      </c>
      <c r="F156" s="3"/>
      <c r="G156" s="3">
        <v>14.0</v>
      </c>
      <c r="H156" s="3"/>
      <c r="I156" s="3">
        <v>14.0</v>
      </c>
      <c r="J156" s="3"/>
      <c r="K156" s="3">
        <v>4.0</v>
      </c>
      <c r="L156" s="3"/>
      <c r="M156" s="3">
        <v>14.0</v>
      </c>
      <c r="N156" s="3"/>
      <c r="O156" s="3">
        <v>4.0</v>
      </c>
      <c r="P156" s="3"/>
      <c r="Q156" s="3">
        <v>18.0</v>
      </c>
    </row>
    <row r="157">
      <c r="A157" s="3" t="s">
        <v>49</v>
      </c>
      <c r="B157" s="3"/>
      <c r="C157" s="3">
        <v>4.0</v>
      </c>
      <c r="D157" s="3"/>
      <c r="E157" s="3">
        <v>18.0</v>
      </c>
      <c r="F157" s="3"/>
      <c r="G157" s="3">
        <v>14.0</v>
      </c>
      <c r="H157" s="3">
        <v>10.0</v>
      </c>
      <c r="I157" s="3">
        <v>28.0</v>
      </c>
      <c r="J157" s="3">
        <v>0.0</v>
      </c>
      <c r="K157" s="3">
        <v>8.0</v>
      </c>
      <c r="L157" s="3"/>
      <c r="M157" s="3">
        <v>14.0</v>
      </c>
      <c r="N157" s="3">
        <v>0.0</v>
      </c>
      <c r="O157" s="3">
        <v>8.0</v>
      </c>
      <c r="P157" s="3"/>
      <c r="Q157" s="3">
        <v>18.0</v>
      </c>
    </row>
    <row r="158">
      <c r="A158" s="3" t="s">
        <v>50</v>
      </c>
      <c r="B158" s="3"/>
      <c r="C158" s="3">
        <v>4.0</v>
      </c>
      <c r="D158" s="3"/>
      <c r="E158" s="3">
        <v>18.0</v>
      </c>
      <c r="F158" s="3"/>
      <c r="G158" s="3">
        <v>14.0</v>
      </c>
      <c r="H158" s="3"/>
      <c r="I158" s="3">
        <v>28.0</v>
      </c>
      <c r="J158" s="3"/>
      <c r="K158" s="3">
        <v>8.0</v>
      </c>
      <c r="L158" s="3"/>
      <c r="M158" s="3">
        <v>14.0</v>
      </c>
      <c r="N158" s="3"/>
      <c r="O158" s="3">
        <v>8.0</v>
      </c>
      <c r="P158" s="3"/>
      <c r="Q158" s="3">
        <v>18.0</v>
      </c>
    </row>
    <row r="159">
      <c r="A159" s="3" t="s">
        <v>51</v>
      </c>
      <c r="B159" s="3">
        <v>0.0</v>
      </c>
      <c r="C159" s="3">
        <v>8.0</v>
      </c>
      <c r="D159" s="3">
        <v>0.0</v>
      </c>
      <c r="E159" s="3">
        <v>22.0</v>
      </c>
      <c r="F159" s="3"/>
      <c r="G159" s="3">
        <v>14.0</v>
      </c>
      <c r="H159" s="3"/>
      <c r="I159" s="3">
        <v>28.0</v>
      </c>
      <c r="J159" s="3"/>
      <c r="K159" s="3">
        <v>8.0</v>
      </c>
      <c r="L159" s="3"/>
      <c r="M159" s="3">
        <v>14.0</v>
      </c>
      <c r="N159" s="3"/>
      <c r="O159" s="3">
        <v>8.0</v>
      </c>
      <c r="P159" s="3"/>
      <c r="Q159" s="3">
        <v>18.0</v>
      </c>
    </row>
    <row r="160">
      <c r="A160" s="3" t="s">
        <v>46</v>
      </c>
      <c r="B160" s="3">
        <v>10.0</v>
      </c>
      <c r="C160" s="3">
        <v>22.0</v>
      </c>
      <c r="D160" s="3"/>
      <c r="E160" s="3">
        <v>22.0</v>
      </c>
      <c r="F160" s="3">
        <v>10.0</v>
      </c>
      <c r="G160" s="3">
        <v>28.0</v>
      </c>
      <c r="H160" s="3">
        <v>10.0</v>
      </c>
      <c r="I160" s="3">
        <v>42.0</v>
      </c>
      <c r="J160" s="3"/>
      <c r="K160" s="3">
        <v>8.0</v>
      </c>
      <c r="L160" s="3">
        <v>10.0</v>
      </c>
      <c r="M160" s="3">
        <v>28.0</v>
      </c>
      <c r="N160" s="3"/>
      <c r="O160" s="3">
        <v>8.0</v>
      </c>
      <c r="P160" s="3"/>
      <c r="Q160" s="3">
        <v>18.0</v>
      </c>
    </row>
    <row r="161">
      <c r="A161" s="3" t="s">
        <v>47</v>
      </c>
      <c r="B161" s="3"/>
      <c r="C161" s="3">
        <v>22.0</v>
      </c>
      <c r="D161" s="3"/>
      <c r="E161" s="3">
        <v>22.0</v>
      </c>
      <c r="F161" s="3"/>
      <c r="G161" s="3">
        <v>28.0</v>
      </c>
      <c r="H161" s="3"/>
      <c r="I161" s="3">
        <v>42.0</v>
      </c>
      <c r="J161" s="3"/>
      <c r="K161" s="3">
        <v>8.0</v>
      </c>
      <c r="L161" s="3"/>
      <c r="M161" s="3">
        <v>28.0</v>
      </c>
      <c r="N161" s="3">
        <v>0.0</v>
      </c>
      <c r="O161" s="3">
        <v>12.0</v>
      </c>
      <c r="P161" s="3">
        <v>0.0</v>
      </c>
      <c r="Q161" s="3">
        <v>22.0</v>
      </c>
    </row>
    <row r="162">
      <c r="A162" s="3" t="s">
        <v>48</v>
      </c>
      <c r="B162" s="3">
        <v>0.0</v>
      </c>
      <c r="C162" s="3">
        <v>26.0</v>
      </c>
      <c r="D162" s="3"/>
      <c r="E162" s="3">
        <v>22.0</v>
      </c>
      <c r="F162" s="3"/>
      <c r="G162" s="3">
        <v>28.0</v>
      </c>
      <c r="H162" s="3"/>
      <c r="I162" s="3">
        <v>42.0</v>
      </c>
      <c r="J162" s="3"/>
      <c r="K162" s="3">
        <v>8.0</v>
      </c>
      <c r="L162" s="3"/>
      <c r="M162" s="3">
        <v>28.0</v>
      </c>
      <c r="N162" s="3"/>
      <c r="O162" s="3">
        <v>12.0</v>
      </c>
      <c r="P162" s="3"/>
      <c r="Q162" s="3">
        <v>22.0</v>
      </c>
    </row>
    <row r="163">
      <c r="A163" s="3" t="s">
        <v>49</v>
      </c>
      <c r="B163" s="3"/>
      <c r="C163" s="3">
        <v>26.0</v>
      </c>
      <c r="D163" s="3">
        <v>10.0</v>
      </c>
      <c r="E163" s="3">
        <v>36.0</v>
      </c>
      <c r="F163" s="3">
        <v>0.0</v>
      </c>
      <c r="G163" s="3">
        <v>32.0</v>
      </c>
      <c r="H163" s="3"/>
      <c r="I163" s="3">
        <v>42.0</v>
      </c>
      <c r="J163" s="3"/>
      <c r="K163" s="3">
        <v>8.0</v>
      </c>
      <c r="L163" s="3"/>
      <c r="M163" s="3">
        <v>28.0</v>
      </c>
      <c r="N163" s="3"/>
      <c r="O163" s="3">
        <v>12.0</v>
      </c>
      <c r="P163" s="3">
        <v>10.0</v>
      </c>
      <c r="Q163" s="3">
        <v>36.0</v>
      </c>
    </row>
    <row r="164">
      <c r="A164" s="3" t="s">
        <v>50</v>
      </c>
      <c r="B164" s="3"/>
      <c r="C164" s="3">
        <v>26.0</v>
      </c>
      <c r="D164" s="3"/>
      <c r="E164" s="3">
        <v>36.0</v>
      </c>
      <c r="F164" s="3"/>
      <c r="G164" s="3">
        <v>32.0</v>
      </c>
      <c r="H164" s="3"/>
      <c r="I164" s="3">
        <v>42.0</v>
      </c>
      <c r="J164" s="3"/>
      <c r="K164" s="3">
        <v>8.0</v>
      </c>
      <c r="L164" s="3"/>
      <c r="M164" s="3">
        <v>28.0</v>
      </c>
      <c r="N164" s="3"/>
      <c r="O164" s="3">
        <v>12.0</v>
      </c>
      <c r="P164" s="3"/>
      <c r="Q164" s="3">
        <v>36.0</v>
      </c>
    </row>
    <row r="165">
      <c r="A165" s="3" t="s">
        <v>51</v>
      </c>
      <c r="B165" s="3"/>
      <c r="C165" s="3">
        <v>26.0</v>
      </c>
      <c r="D165" s="3">
        <v>0.0</v>
      </c>
      <c r="E165" s="3">
        <v>40.0</v>
      </c>
      <c r="F165" s="3">
        <v>0.0</v>
      </c>
      <c r="G165" s="3">
        <v>36.0</v>
      </c>
      <c r="H165" s="3"/>
      <c r="I165" s="3">
        <v>42.0</v>
      </c>
      <c r="J165" s="3"/>
      <c r="K165" s="3">
        <v>8.0</v>
      </c>
      <c r="L165" s="3"/>
      <c r="M165" s="3">
        <v>28.0</v>
      </c>
      <c r="N165" s="3"/>
      <c r="O165" s="3">
        <v>12.0</v>
      </c>
      <c r="P165" s="3">
        <v>0.0</v>
      </c>
      <c r="Q165" s="3">
        <v>40.0</v>
      </c>
    </row>
    <row r="166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>
      <c r="A167" s="3" t="s">
        <v>46</v>
      </c>
      <c r="B167" s="3"/>
      <c r="C167" s="3">
        <v>26.0</v>
      </c>
      <c r="D167" s="3"/>
      <c r="E167" s="3">
        <v>40.0</v>
      </c>
      <c r="F167" s="3"/>
      <c r="G167" s="3">
        <v>36.0</v>
      </c>
      <c r="H167" s="3"/>
      <c r="I167" s="3">
        <v>42.0</v>
      </c>
      <c r="J167" s="3"/>
      <c r="K167" s="3">
        <v>8.0</v>
      </c>
      <c r="L167" s="3"/>
      <c r="M167" s="3">
        <v>28.0</v>
      </c>
      <c r="N167" s="3"/>
      <c r="O167" s="3">
        <v>12.0</v>
      </c>
      <c r="P167" s="3"/>
      <c r="Q167" s="3">
        <v>44.0</v>
      </c>
    </row>
    <row r="168">
      <c r="A168" s="3" t="s">
        <v>47</v>
      </c>
      <c r="B168" s="3">
        <v>10.0</v>
      </c>
      <c r="C168" s="3">
        <v>40.0</v>
      </c>
      <c r="D168" s="3"/>
      <c r="E168" s="3">
        <v>40.0</v>
      </c>
      <c r="F168" s="3"/>
      <c r="G168" s="3">
        <v>36.0</v>
      </c>
      <c r="H168" s="3">
        <v>10.0</v>
      </c>
      <c r="I168" s="3">
        <v>56.0</v>
      </c>
      <c r="J168" s="3"/>
      <c r="K168" s="3">
        <v>8.0</v>
      </c>
      <c r="L168" s="3"/>
      <c r="M168" s="3">
        <v>28.0</v>
      </c>
      <c r="N168" s="3">
        <v>10.0</v>
      </c>
      <c r="O168" s="3">
        <v>26.0</v>
      </c>
      <c r="P168" s="3"/>
      <c r="Q168" s="3">
        <v>44.0</v>
      </c>
    </row>
    <row r="169">
      <c r="A169" s="3" t="s">
        <v>48</v>
      </c>
      <c r="B169" s="3"/>
      <c r="C169" s="3">
        <v>40.0</v>
      </c>
      <c r="D169" s="3"/>
      <c r="E169" s="3">
        <v>40.0</v>
      </c>
      <c r="F169" s="3"/>
      <c r="G169" s="3">
        <v>36.0</v>
      </c>
      <c r="H169" s="3">
        <v>10.0</v>
      </c>
      <c r="I169" s="3">
        <v>74.0</v>
      </c>
      <c r="J169" s="3">
        <v>10.0</v>
      </c>
      <c r="K169" s="3">
        <v>22.0</v>
      </c>
      <c r="L169" s="3"/>
      <c r="M169" s="3">
        <v>28.0</v>
      </c>
      <c r="N169" s="3"/>
      <c r="O169" s="3">
        <v>26.0</v>
      </c>
      <c r="P169" s="3">
        <v>0.0</v>
      </c>
      <c r="Q169" s="3">
        <v>48.0</v>
      </c>
    </row>
    <row r="170">
      <c r="A170" s="3" t="s">
        <v>49</v>
      </c>
      <c r="B170" s="3">
        <v>10.0</v>
      </c>
      <c r="C170" s="3">
        <v>54.0</v>
      </c>
      <c r="D170" s="3">
        <v>10.0</v>
      </c>
      <c r="E170" s="3">
        <v>54.0</v>
      </c>
      <c r="F170" s="3"/>
      <c r="G170" s="3">
        <v>36.0</v>
      </c>
      <c r="H170" s="3"/>
      <c r="I170" s="3">
        <v>74.0</v>
      </c>
      <c r="J170" s="3">
        <v>10.0</v>
      </c>
      <c r="K170" s="3">
        <v>36.0</v>
      </c>
      <c r="L170" s="3">
        <v>10.0</v>
      </c>
      <c r="M170" s="3">
        <v>42.0</v>
      </c>
      <c r="N170" s="3"/>
      <c r="O170" s="3">
        <v>26.0</v>
      </c>
      <c r="P170" s="3"/>
      <c r="Q170" s="3">
        <v>48.0</v>
      </c>
    </row>
    <row r="171">
      <c r="A171" s="3" t="s">
        <v>50</v>
      </c>
      <c r="B171" s="3">
        <v>0.0</v>
      </c>
      <c r="C171" s="3">
        <v>58.0</v>
      </c>
      <c r="D171" s="3"/>
      <c r="E171" s="3">
        <v>54.0</v>
      </c>
      <c r="F171" s="3"/>
      <c r="G171" s="3">
        <v>36.0</v>
      </c>
      <c r="H171" s="3"/>
      <c r="I171" s="3">
        <v>74.0</v>
      </c>
      <c r="J171" s="3"/>
      <c r="K171" s="3">
        <v>36.0</v>
      </c>
      <c r="L171" s="3">
        <v>0.0</v>
      </c>
      <c r="M171" s="3">
        <v>46.0</v>
      </c>
      <c r="N171" s="3"/>
      <c r="O171" s="3">
        <v>26.0</v>
      </c>
      <c r="P171" s="3"/>
      <c r="Q171" s="3">
        <v>48.0</v>
      </c>
    </row>
    <row r="172">
      <c r="A172" s="3" t="s">
        <v>51</v>
      </c>
      <c r="B172" s="3">
        <v>10.0</v>
      </c>
      <c r="C172" s="3">
        <v>72.0</v>
      </c>
      <c r="D172" s="3"/>
      <c r="E172" s="3">
        <v>54.0</v>
      </c>
      <c r="F172" s="3"/>
      <c r="G172" s="3">
        <v>36.0</v>
      </c>
      <c r="H172" s="3"/>
      <c r="I172" s="3">
        <v>74.0</v>
      </c>
      <c r="J172" s="3"/>
      <c r="K172" s="3">
        <v>36.0</v>
      </c>
      <c r="L172" s="3"/>
      <c r="M172" s="3">
        <v>46.0</v>
      </c>
      <c r="N172" s="3"/>
      <c r="O172" s="3">
        <v>26.0</v>
      </c>
      <c r="P172" s="3"/>
      <c r="Q172" s="3">
        <v>48.0</v>
      </c>
    </row>
    <row r="173">
      <c r="A173" s="3" t="s">
        <v>46</v>
      </c>
      <c r="B173" s="3">
        <v>10.0</v>
      </c>
      <c r="C173" s="3">
        <v>86.0</v>
      </c>
      <c r="D173" s="3"/>
      <c r="E173" s="3">
        <v>54.0</v>
      </c>
      <c r="F173" s="3"/>
      <c r="G173" s="3">
        <v>36.0</v>
      </c>
      <c r="H173" s="3">
        <v>10.0</v>
      </c>
      <c r="I173" s="3">
        <v>88.0</v>
      </c>
      <c r="J173" s="3"/>
      <c r="K173" s="3">
        <v>36.0</v>
      </c>
      <c r="L173" s="3"/>
      <c r="M173" s="3">
        <v>46.0</v>
      </c>
      <c r="N173" s="3"/>
      <c r="O173" s="3">
        <v>26.0</v>
      </c>
      <c r="P173" s="3"/>
      <c r="Q173" s="3">
        <v>48.0</v>
      </c>
    </row>
    <row r="174">
      <c r="A174" s="3" t="s">
        <v>47</v>
      </c>
      <c r="B174" s="3">
        <v>10.0</v>
      </c>
      <c r="C174" s="3">
        <v>100.0</v>
      </c>
      <c r="D174" s="3"/>
      <c r="E174" s="3">
        <v>54.0</v>
      </c>
      <c r="F174" s="3"/>
      <c r="G174" s="3">
        <v>36.0</v>
      </c>
      <c r="H174" s="3"/>
      <c r="I174" s="3">
        <v>88.0</v>
      </c>
      <c r="J174" s="3">
        <v>0.0</v>
      </c>
      <c r="K174" s="3">
        <v>40.0</v>
      </c>
      <c r="L174" s="3">
        <v>0.0</v>
      </c>
      <c r="M174" s="3">
        <v>50.0</v>
      </c>
      <c r="N174" s="3"/>
      <c r="O174" s="3">
        <v>26.0</v>
      </c>
      <c r="P174" s="3"/>
      <c r="Q174" s="3">
        <v>48.0</v>
      </c>
    </row>
    <row r="175">
      <c r="A175" s="3" t="s">
        <v>48</v>
      </c>
      <c r="B175" s="3">
        <v>0.0</v>
      </c>
      <c r="C175" s="3">
        <v>104.0</v>
      </c>
      <c r="D175" s="3"/>
      <c r="E175" s="3">
        <v>54.0</v>
      </c>
      <c r="F175" s="3">
        <v>0.0</v>
      </c>
      <c r="G175" s="3">
        <v>40.0</v>
      </c>
      <c r="H175" s="3">
        <v>10.0</v>
      </c>
      <c r="I175" s="3">
        <v>102.0</v>
      </c>
      <c r="J175" s="3"/>
      <c r="K175" s="3">
        <v>40.0</v>
      </c>
      <c r="L175" s="3"/>
      <c r="M175" s="3">
        <v>50.0</v>
      </c>
      <c r="N175" s="3">
        <v>0.0</v>
      </c>
      <c r="O175" s="3">
        <v>30.0</v>
      </c>
      <c r="P175" s="3"/>
      <c r="Q175" s="3">
        <v>48.0</v>
      </c>
    </row>
    <row r="176">
      <c r="A176" s="3" t="s">
        <v>49</v>
      </c>
      <c r="B176" s="3"/>
      <c r="C176" s="3">
        <v>104.0</v>
      </c>
      <c r="D176" s="3"/>
      <c r="E176" s="3">
        <v>54.0</v>
      </c>
      <c r="F176" s="3"/>
      <c r="G176" s="3">
        <v>40.0</v>
      </c>
      <c r="H176" s="3">
        <v>10.0</v>
      </c>
      <c r="I176" s="3">
        <v>116.0</v>
      </c>
      <c r="J176" s="3">
        <v>10.0</v>
      </c>
      <c r="K176" s="3">
        <v>54.0</v>
      </c>
      <c r="L176" s="3">
        <v>0.0</v>
      </c>
      <c r="M176" s="3">
        <v>54.0</v>
      </c>
      <c r="N176" s="3"/>
      <c r="O176" s="3">
        <v>30.0</v>
      </c>
      <c r="P176" s="3">
        <v>0.0</v>
      </c>
      <c r="Q176" s="3">
        <v>52.0</v>
      </c>
    </row>
    <row r="177">
      <c r="A177" s="3" t="s">
        <v>50</v>
      </c>
      <c r="B177" s="3"/>
      <c r="C177" s="3">
        <v>104.0</v>
      </c>
      <c r="D177" s="3"/>
      <c r="E177" s="3">
        <v>58.0</v>
      </c>
      <c r="F177" s="3">
        <v>10.0</v>
      </c>
      <c r="G177" s="3">
        <v>54.0</v>
      </c>
      <c r="H177" s="3"/>
      <c r="I177" s="3">
        <v>116.0</v>
      </c>
      <c r="J177" s="3"/>
      <c r="K177" s="3">
        <v>54.0</v>
      </c>
      <c r="L177" s="3"/>
      <c r="M177" s="3">
        <v>54.0</v>
      </c>
      <c r="N177" s="3">
        <v>0.0</v>
      </c>
      <c r="O177" s="3">
        <v>34.0</v>
      </c>
      <c r="P177" s="3"/>
      <c r="Q177" s="3">
        <v>52.0</v>
      </c>
    </row>
    <row r="178">
      <c r="A178" s="3" t="s">
        <v>51</v>
      </c>
      <c r="B178" s="3"/>
      <c r="C178" s="3">
        <v>104.0</v>
      </c>
      <c r="D178" s="3"/>
      <c r="E178" s="3">
        <v>62.0</v>
      </c>
      <c r="F178" s="3"/>
      <c r="G178" s="3">
        <v>54.0</v>
      </c>
      <c r="H178" s="3"/>
      <c r="I178" s="3">
        <v>116.0</v>
      </c>
      <c r="J178" s="3">
        <v>0.0</v>
      </c>
      <c r="K178" s="3">
        <v>58.0</v>
      </c>
      <c r="L178" s="3"/>
      <c r="M178" s="3">
        <v>54.0</v>
      </c>
      <c r="N178" s="3">
        <v>0.0</v>
      </c>
      <c r="O178" s="3">
        <v>38.0</v>
      </c>
      <c r="P178" s="3">
        <v>10.0</v>
      </c>
      <c r="Q178" s="3">
        <v>66.0</v>
      </c>
    </row>
    <row r="179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>
      <c r="B181" s="3" t="str">
        <f t="array" ref="B181:Q210">transpose(sort(transpose(Full!A181:R210),1,true))</f>
        <v>Brookfield</v>
      </c>
      <c r="C181" s="3" t="s">
        <v>4</v>
      </c>
      <c r="D181" s="3" t="s">
        <v>5</v>
      </c>
      <c r="E181" s="3" t="s">
        <v>5</v>
      </c>
      <c r="F181" s="3" t="s">
        <v>0</v>
      </c>
      <c r="G181" s="3" t="s">
        <v>0</v>
      </c>
      <c r="H181" s="3" t="s">
        <v>1</v>
      </c>
      <c r="I181" s="3" t="s">
        <v>1</v>
      </c>
      <c r="J181" s="3" t="s">
        <v>7</v>
      </c>
      <c r="K181" s="3" t="s">
        <v>7</v>
      </c>
      <c r="L181" s="3" t="s">
        <v>2</v>
      </c>
      <c r="M181" s="3" t="s">
        <v>2</v>
      </c>
      <c r="N181" s="3" t="s">
        <v>6</v>
      </c>
      <c r="O181" s="3" t="s">
        <v>6</v>
      </c>
      <c r="P181" s="3" t="s">
        <v>3</v>
      </c>
      <c r="Q181" s="3" t="s">
        <v>3</v>
      </c>
    </row>
    <row r="182">
      <c r="B182" s="3" t="s">
        <v>8</v>
      </c>
      <c r="C182" s="3" t="s">
        <v>9</v>
      </c>
      <c r="D182" s="3" t="s">
        <v>8</v>
      </c>
      <c r="E182" s="3" t="s">
        <v>9</v>
      </c>
      <c r="F182" s="3" t="s">
        <v>8</v>
      </c>
      <c r="G182" s="3" t="s">
        <v>9</v>
      </c>
      <c r="H182" s="3" t="s">
        <v>8</v>
      </c>
      <c r="I182" s="3" t="s">
        <v>9</v>
      </c>
      <c r="J182" s="3" t="s">
        <v>8</v>
      </c>
      <c r="K182" s="3" t="s">
        <v>9</v>
      </c>
      <c r="L182" s="3" t="s">
        <v>8</v>
      </c>
      <c r="M182" s="3" t="s">
        <v>9</v>
      </c>
      <c r="N182" s="3" t="s">
        <v>8</v>
      </c>
      <c r="O182" s="3" t="s">
        <v>9</v>
      </c>
      <c r="P182" s="3" t="s">
        <v>8</v>
      </c>
      <c r="Q182" s="3" t="s">
        <v>9</v>
      </c>
    </row>
    <row r="183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>
      <c r="A184" s="3" t="s">
        <v>46</v>
      </c>
      <c r="B184" s="3"/>
      <c r="C184" s="3"/>
      <c r="D184" s="3"/>
      <c r="E184" s="3">
        <v>0.0</v>
      </c>
      <c r="F184" s="3"/>
      <c r="G184" s="3"/>
      <c r="H184" s="3"/>
      <c r="I184" s="3"/>
      <c r="J184" s="3"/>
      <c r="K184" s="3">
        <v>0.0</v>
      </c>
      <c r="L184" s="3"/>
      <c r="M184" s="3">
        <v>0.0</v>
      </c>
      <c r="N184" s="3"/>
      <c r="O184" s="3"/>
      <c r="P184" s="3">
        <v>0.0</v>
      </c>
      <c r="Q184" s="3">
        <v>4.0</v>
      </c>
    </row>
    <row r="185">
      <c r="A185" s="3" t="s">
        <v>47</v>
      </c>
      <c r="B185" s="3"/>
      <c r="C185" s="3"/>
      <c r="D185" s="3"/>
      <c r="E185" s="3">
        <v>0.0</v>
      </c>
      <c r="F185" s="3"/>
      <c r="G185" s="3"/>
      <c r="H185" s="3"/>
      <c r="I185" s="3"/>
      <c r="J185" s="3">
        <v>0.0</v>
      </c>
      <c r="K185" s="3">
        <v>4.0</v>
      </c>
      <c r="L185" s="3">
        <v>0.0</v>
      </c>
      <c r="M185" s="3">
        <v>4.0</v>
      </c>
      <c r="N185" s="3"/>
      <c r="O185" s="3"/>
      <c r="P185" s="3"/>
      <c r="Q185" s="3">
        <v>4.0</v>
      </c>
    </row>
    <row r="186">
      <c r="A186" s="3" t="s">
        <v>48</v>
      </c>
      <c r="B186" s="3"/>
      <c r="C186" s="3"/>
      <c r="D186" s="3">
        <v>10.0</v>
      </c>
      <c r="E186" s="3">
        <v>14.0</v>
      </c>
      <c r="F186" s="3"/>
      <c r="G186" s="3"/>
      <c r="H186" s="3"/>
      <c r="I186" s="3"/>
      <c r="J186" s="3"/>
      <c r="K186" s="3">
        <v>4.0</v>
      </c>
      <c r="L186" s="3"/>
      <c r="M186" s="3">
        <v>4.0</v>
      </c>
      <c r="N186" s="3"/>
      <c r="O186" s="3"/>
      <c r="P186" s="3"/>
      <c r="Q186" s="3">
        <v>4.0</v>
      </c>
    </row>
    <row r="187">
      <c r="A187" s="3" t="s">
        <v>49</v>
      </c>
      <c r="B187" s="3"/>
      <c r="C187" s="3"/>
      <c r="D187" s="3">
        <v>0.0</v>
      </c>
      <c r="E187" s="3">
        <v>18.0</v>
      </c>
      <c r="F187" s="3"/>
      <c r="G187" s="3"/>
      <c r="H187" s="3"/>
      <c r="I187" s="3"/>
      <c r="J187" s="3"/>
      <c r="K187" s="3">
        <v>4.0</v>
      </c>
      <c r="L187" s="3"/>
      <c r="M187" s="3">
        <v>4.0</v>
      </c>
      <c r="N187" s="3"/>
      <c r="O187" s="3"/>
      <c r="P187" s="3"/>
      <c r="Q187" s="3">
        <v>4.0</v>
      </c>
    </row>
    <row r="188">
      <c r="A188" s="3" t="s">
        <v>50</v>
      </c>
      <c r="B188" s="3"/>
      <c r="C188" s="3"/>
      <c r="D188" s="3">
        <v>0.0</v>
      </c>
      <c r="E188" s="3">
        <v>22.0</v>
      </c>
      <c r="F188" s="3"/>
      <c r="G188" s="3"/>
      <c r="H188" s="3"/>
      <c r="I188" s="3"/>
      <c r="J188" s="3"/>
      <c r="K188" s="3">
        <v>4.0</v>
      </c>
      <c r="L188" s="3">
        <v>0.0</v>
      </c>
      <c r="M188" s="3">
        <v>8.0</v>
      </c>
      <c r="N188" s="3"/>
      <c r="O188" s="3"/>
      <c r="P188" s="3"/>
      <c r="Q188" s="3">
        <v>4.0</v>
      </c>
    </row>
    <row r="189">
      <c r="A189" s="3" t="s">
        <v>51</v>
      </c>
      <c r="B189" s="3"/>
      <c r="C189" s="3"/>
      <c r="D189" s="3"/>
      <c r="E189" s="3">
        <v>22.0</v>
      </c>
      <c r="F189" s="3"/>
      <c r="G189" s="3"/>
      <c r="H189" s="3"/>
      <c r="I189" s="3"/>
      <c r="J189" s="3"/>
      <c r="K189" s="3">
        <v>4.0</v>
      </c>
      <c r="L189" s="3"/>
      <c r="M189" s="3">
        <v>8.0</v>
      </c>
      <c r="N189" s="3"/>
      <c r="O189" s="3"/>
      <c r="P189" s="3"/>
      <c r="Q189" s="3">
        <v>4.0</v>
      </c>
    </row>
    <row r="190">
      <c r="A190" s="3" t="s">
        <v>46</v>
      </c>
      <c r="B190" s="3"/>
      <c r="C190" s="3"/>
      <c r="D190" s="3"/>
      <c r="E190" s="3">
        <v>22.0</v>
      </c>
      <c r="F190" s="3"/>
      <c r="G190" s="3"/>
      <c r="H190" s="3"/>
      <c r="I190" s="3"/>
      <c r="J190" s="3"/>
      <c r="K190" s="3">
        <v>4.0</v>
      </c>
      <c r="L190" s="3"/>
      <c r="M190" s="3">
        <v>8.0</v>
      </c>
      <c r="N190" s="3"/>
      <c r="O190" s="3"/>
      <c r="P190" s="3"/>
      <c r="Q190" s="3">
        <v>4.0</v>
      </c>
    </row>
    <row r="191">
      <c r="A191" s="3" t="s">
        <v>47</v>
      </c>
      <c r="B191" s="3"/>
      <c r="C191" s="3"/>
      <c r="D191" s="3">
        <v>10.0</v>
      </c>
      <c r="E191" s="3">
        <v>36.0</v>
      </c>
      <c r="F191" s="3"/>
      <c r="G191" s="3"/>
      <c r="H191" s="3"/>
      <c r="I191" s="3"/>
      <c r="J191" s="3"/>
      <c r="K191" s="3">
        <v>4.0</v>
      </c>
      <c r="L191" s="3"/>
      <c r="M191" s="3">
        <v>8.0</v>
      </c>
      <c r="N191" s="3"/>
      <c r="O191" s="3"/>
      <c r="P191" s="3">
        <v>10.0</v>
      </c>
      <c r="Q191" s="3">
        <v>18.0</v>
      </c>
    </row>
    <row r="192">
      <c r="A192" s="3" t="s">
        <v>48</v>
      </c>
      <c r="B192" s="3"/>
      <c r="C192" s="3"/>
      <c r="D192" s="3">
        <v>0.0</v>
      </c>
      <c r="E192" s="3">
        <v>40.0</v>
      </c>
      <c r="F192" s="3"/>
      <c r="G192" s="3"/>
      <c r="H192" s="3"/>
      <c r="I192" s="3"/>
      <c r="J192" s="3"/>
      <c r="K192" s="3">
        <v>4.0</v>
      </c>
      <c r="L192" s="3"/>
      <c r="M192" s="3">
        <v>8.0</v>
      </c>
      <c r="N192" s="3"/>
      <c r="O192" s="3"/>
      <c r="P192" s="3">
        <v>0.0</v>
      </c>
      <c r="Q192" s="3">
        <v>22.0</v>
      </c>
    </row>
    <row r="193">
      <c r="A193" s="3" t="s">
        <v>49</v>
      </c>
      <c r="B193" s="3"/>
      <c r="C193" s="3"/>
      <c r="D193" s="3"/>
      <c r="E193" s="3">
        <v>40.0</v>
      </c>
      <c r="F193" s="3"/>
      <c r="G193" s="3"/>
      <c r="H193" s="3"/>
      <c r="I193" s="3"/>
      <c r="J193" s="3">
        <v>0.0</v>
      </c>
      <c r="K193" s="3">
        <v>8.0</v>
      </c>
      <c r="L193" s="3"/>
      <c r="M193" s="3">
        <v>8.0</v>
      </c>
      <c r="N193" s="3"/>
      <c r="O193" s="3"/>
      <c r="P193" s="3">
        <v>0.0</v>
      </c>
      <c r="Q193" s="3">
        <v>26.0</v>
      </c>
    </row>
    <row r="194">
      <c r="A194" s="3" t="s">
        <v>50</v>
      </c>
      <c r="B194" s="3"/>
      <c r="C194" s="3"/>
      <c r="D194" s="3"/>
      <c r="E194" s="3">
        <v>40.0</v>
      </c>
      <c r="F194" s="3"/>
      <c r="G194" s="3"/>
      <c r="H194" s="3"/>
      <c r="I194" s="3"/>
      <c r="J194" s="3"/>
      <c r="K194" s="3">
        <v>8.0</v>
      </c>
      <c r="L194" s="3"/>
      <c r="M194" s="3">
        <v>8.0</v>
      </c>
      <c r="N194" s="3"/>
      <c r="O194" s="3"/>
      <c r="P194" s="3"/>
      <c r="Q194" s="3">
        <v>26.0</v>
      </c>
    </row>
    <row r="195">
      <c r="A195" s="3" t="s">
        <v>51</v>
      </c>
      <c r="B195" s="3"/>
      <c r="C195" s="3"/>
      <c r="D195" s="3"/>
      <c r="E195" s="3">
        <v>40.0</v>
      </c>
      <c r="F195" s="3"/>
      <c r="G195" s="3"/>
      <c r="H195" s="3"/>
      <c r="I195" s="3"/>
      <c r="J195" s="3">
        <v>0.0</v>
      </c>
      <c r="K195" s="3">
        <v>12.0</v>
      </c>
      <c r="L195" s="3"/>
      <c r="M195" s="3">
        <v>8.0</v>
      </c>
      <c r="N195" s="3"/>
      <c r="O195" s="3"/>
      <c r="P195" s="3">
        <v>10.0</v>
      </c>
      <c r="Q195" s="3">
        <v>44.0</v>
      </c>
    </row>
    <row r="196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>
      <c r="A197" s="3" t="s">
        <v>46</v>
      </c>
      <c r="B197" s="3"/>
      <c r="C197" s="3"/>
      <c r="D197" s="3"/>
      <c r="E197" s="3">
        <v>40.0</v>
      </c>
      <c r="F197" s="3"/>
      <c r="G197" s="3"/>
      <c r="H197" s="3"/>
      <c r="I197" s="3"/>
      <c r="J197" s="3"/>
      <c r="K197" s="3">
        <v>12.0</v>
      </c>
      <c r="L197" s="3"/>
      <c r="M197" s="3">
        <v>8.0</v>
      </c>
      <c r="N197" s="3"/>
      <c r="O197" s="3"/>
      <c r="P197" s="3"/>
      <c r="Q197" s="3">
        <v>44.0</v>
      </c>
    </row>
    <row r="198">
      <c r="A198" s="3" t="s">
        <v>47</v>
      </c>
      <c r="B198" s="3"/>
      <c r="C198" s="3"/>
      <c r="D198" s="3"/>
      <c r="E198" s="3">
        <v>40.0</v>
      </c>
      <c r="F198" s="3"/>
      <c r="G198" s="3"/>
      <c r="H198" s="3"/>
      <c r="I198" s="3"/>
      <c r="J198" s="3">
        <v>0.0</v>
      </c>
      <c r="K198" s="3">
        <v>20.0</v>
      </c>
      <c r="L198" s="3">
        <v>0.0</v>
      </c>
      <c r="M198" s="3">
        <v>16.0</v>
      </c>
      <c r="N198" s="3"/>
      <c r="O198" s="3"/>
      <c r="P198" s="3"/>
      <c r="Q198" s="3">
        <v>44.0</v>
      </c>
    </row>
    <row r="199">
      <c r="A199" s="3" t="s">
        <v>48</v>
      </c>
      <c r="B199" s="3"/>
      <c r="C199" s="3"/>
      <c r="D199" s="3"/>
      <c r="E199" s="3">
        <v>40.0</v>
      </c>
      <c r="F199" s="3"/>
      <c r="G199" s="3"/>
      <c r="H199" s="3"/>
      <c r="I199" s="3"/>
      <c r="J199" s="3"/>
      <c r="K199" s="3">
        <v>24.0</v>
      </c>
      <c r="L199" s="3"/>
      <c r="M199" s="3">
        <v>16.0</v>
      </c>
      <c r="N199" s="3"/>
      <c r="O199" s="3"/>
      <c r="P199" s="3"/>
      <c r="Q199" s="3">
        <v>44.0</v>
      </c>
    </row>
    <row r="200">
      <c r="A200" s="3" t="s">
        <v>49</v>
      </c>
      <c r="B200" s="3"/>
      <c r="C200" s="3"/>
      <c r="D200" s="3"/>
      <c r="E200" s="3">
        <v>40.0</v>
      </c>
      <c r="F200" s="3"/>
      <c r="G200" s="3"/>
      <c r="H200" s="3"/>
      <c r="I200" s="3"/>
      <c r="J200" s="3"/>
      <c r="K200" s="3">
        <v>24.0</v>
      </c>
      <c r="L200" s="3"/>
      <c r="M200" s="3">
        <v>16.0</v>
      </c>
      <c r="N200" s="3"/>
      <c r="O200" s="3"/>
      <c r="P200" s="3"/>
      <c r="Q200" s="3">
        <v>44.0</v>
      </c>
    </row>
    <row r="201">
      <c r="A201" s="3" t="s">
        <v>50</v>
      </c>
      <c r="B201" s="3"/>
      <c r="C201" s="3"/>
      <c r="D201" s="3">
        <v>0.0</v>
      </c>
      <c r="E201" s="3">
        <v>44.0</v>
      </c>
      <c r="F201" s="3"/>
      <c r="G201" s="3"/>
      <c r="H201" s="3"/>
      <c r="I201" s="3"/>
      <c r="J201" s="3"/>
      <c r="K201" s="3">
        <v>24.0</v>
      </c>
      <c r="L201" s="3">
        <v>0.0</v>
      </c>
      <c r="M201" s="3">
        <v>20.0</v>
      </c>
      <c r="N201" s="3"/>
      <c r="O201" s="3"/>
      <c r="P201" s="3"/>
      <c r="Q201" s="3">
        <v>44.0</v>
      </c>
    </row>
    <row r="202">
      <c r="A202" s="3" t="s">
        <v>51</v>
      </c>
      <c r="B202" s="3"/>
      <c r="C202" s="3"/>
      <c r="D202" s="3"/>
      <c r="E202" s="3">
        <v>44.0</v>
      </c>
      <c r="F202" s="3"/>
      <c r="G202" s="3"/>
      <c r="H202" s="3"/>
      <c r="I202" s="3"/>
      <c r="J202" s="3"/>
      <c r="K202" s="3">
        <v>24.0</v>
      </c>
      <c r="L202" s="3"/>
      <c r="M202" s="3">
        <v>20.0</v>
      </c>
      <c r="N202" s="3"/>
      <c r="O202" s="3"/>
      <c r="P202" s="3"/>
      <c r="Q202" s="3">
        <v>44.0</v>
      </c>
    </row>
    <row r="203">
      <c r="A203" s="3" t="s">
        <v>46</v>
      </c>
      <c r="B203" s="3"/>
      <c r="C203" s="3"/>
      <c r="D203" s="3"/>
      <c r="E203" s="3">
        <v>44.0</v>
      </c>
      <c r="F203" s="3"/>
      <c r="G203" s="3"/>
      <c r="H203" s="3"/>
      <c r="I203" s="3"/>
      <c r="J203" s="3"/>
      <c r="K203" s="3">
        <v>24.0</v>
      </c>
      <c r="L203" s="3"/>
      <c r="M203" s="3">
        <v>20.0</v>
      </c>
      <c r="N203" s="3"/>
      <c r="O203" s="3"/>
      <c r="P203" s="3"/>
      <c r="Q203" s="3">
        <v>44.0</v>
      </c>
    </row>
    <row r="204">
      <c r="A204" s="3" t="s">
        <v>47</v>
      </c>
      <c r="B204" s="3"/>
      <c r="C204" s="3"/>
      <c r="D204" s="3"/>
      <c r="E204" s="3">
        <v>44.0</v>
      </c>
      <c r="F204" s="3"/>
      <c r="G204" s="3"/>
      <c r="H204" s="3"/>
      <c r="I204" s="3"/>
      <c r="J204" s="3"/>
      <c r="K204" s="3">
        <v>24.0</v>
      </c>
      <c r="L204" s="3"/>
      <c r="M204" s="3">
        <v>20.0</v>
      </c>
      <c r="N204" s="3"/>
      <c r="O204" s="3"/>
      <c r="P204" s="3"/>
      <c r="Q204" s="3">
        <v>44.0</v>
      </c>
    </row>
    <row r="205">
      <c r="A205" s="3" t="s">
        <v>48</v>
      </c>
      <c r="B205" s="3"/>
      <c r="C205" s="3"/>
      <c r="D205" s="3"/>
      <c r="E205" s="3">
        <v>44.0</v>
      </c>
      <c r="F205" s="3"/>
      <c r="G205" s="3"/>
      <c r="H205" s="3"/>
      <c r="I205" s="3"/>
      <c r="J205" s="3"/>
      <c r="K205" s="3">
        <v>24.0</v>
      </c>
      <c r="L205" s="3"/>
      <c r="M205" s="3">
        <v>20.0</v>
      </c>
      <c r="N205" s="3"/>
      <c r="O205" s="3"/>
      <c r="P205" s="3"/>
      <c r="Q205" s="3">
        <v>44.0</v>
      </c>
    </row>
    <row r="206">
      <c r="A206" s="3" t="s">
        <v>49</v>
      </c>
      <c r="B206" s="3"/>
      <c r="C206" s="3"/>
      <c r="D206" s="3"/>
      <c r="E206" s="3">
        <v>44.0</v>
      </c>
      <c r="F206" s="3"/>
      <c r="G206" s="3"/>
      <c r="H206" s="3"/>
      <c r="I206" s="3"/>
      <c r="J206" s="3"/>
      <c r="K206" s="3">
        <v>24.0</v>
      </c>
      <c r="L206" s="3"/>
      <c r="M206" s="3">
        <v>20.0</v>
      </c>
      <c r="N206" s="3"/>
      <c r="O206" s="3"/>
      <c r="P206" s="3"/>
      <c r="Q206" s="3">
        <v>44.0</v>
      </c>
    </row>
    <row r="207">
      <c r="A207" s="3" t="s">
        <v>50</v>
      </c>
      <c r="B207" s="3"/>
      <c r="C207" s="3"/>
      <c r="D207" s="3"/>
      <c r="E207" s="3">
        <v>44.0</v>
      </c>
      <c r="F207" s="3"/>
      <c r="G207" s="3"/>
      <c r="H207" s="3"/>
      <c r="I207" s="3"/>
      <c r="J207" s="3">
        <v>0.0</v>
      </c>
      <c r="K207" s="3">
        <v>28.0</v>
      </c>
      <c r="L207" s="3"/>
      <c r="M207" s="3">
        <v>20.0</v>
      </c>
      <c r="N207" s="3"/>
      <c r="O207" s="3"/>
      <c r="P207" s="3"/>
      <c r="Q207" s="3">
        <v>44.0</v>
      </c>
    </row>
    <row r="208">
      <c r="A208" s="3" t="s">
        <v>51</v>
      </c>
      <c r="B208" s="3"/>
      <c r="C208" s="3"/>
      <c r="D208" s="3">
        <v>0.0</v>
      </c>
      <c r="E208" s="3">
        <v>48.0</v>
      </c>
      <c r="F208" s="3"/>
      <c r="G208" s="3"/>
      <c r="H208" s="3"/>
      <c r="I208" s="3"/>
      <c r="J208" s="3"/>
      <c r="K208" s="3">
        <v>28.0</v>
      </c>
      <c r="L208" s="3"/>
      <c r="M208" s="3">
        <v>20.0</v>
      </c>
      <c r="N208" s="3"/>
      <c r="O208" s="3"/>
      <c r="P208" s="3"/>
      <c r="Q208" s="3">
        <v>44.0</v>
      </c>
    </row>
    <row r="209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>
      <c r="B211" s="3" t="str">
        <f t="array" ref="B211:Q240">transpose(sort(transpose(Full!A211:R240),1,true))</f>
        <v>Brookfield</v>
      </c>
      <c r="C211" s="3" t="s">
        <v>4</v>
      </c>
      <c r="D211" s="3" t="s">
        <v>5</v>
      </c>
      <c r="E211" s="3" t="s">
        <v>5</v>
      </c>
      <c r="F211" s="3" t="s">
        <v>0</v>
      </c>
      <c r="G211" s="3" t="s">
        <v>0</v>
      </c>
      <c r="H211" s="3" t="s">
        <v>1</v>
      </c>
      <c r="I211" s="3" t="s">
        <v>1</v>
      </c>
      <c r="J211" s="3" t="s">
        <v>7</v>
      </c>
      <c r="K211" s="3" t="s">
        <v>7</v>
      </c>
      <c r="L211" s="3" t="s">
        <v>2</v>
      </c>
      <c r="M211" s="3" t="s">
        <v>2</v>
      </c>
      <c r="N211" s="3" t="s">
        <v>6</v>
      </c>
      <c r="O211" s="3" t="s">
        <v>6</v>
      </c>
      <c r="P211" s="3" t="s">
        <v>3</v>
      </c>
      <c r="Q211" s="3" t="s">
        <v>3</v>
      </c>
    </row>
    <row r="212">
      <c r="B212" s="3" t="s">
        <v>8</v>
      </c>
      <c r="C212" s="3" t="s">
        <v>9</v>
      </c>
      <c r="D212" s="3" t="s">
        <v>8</v>
      </c>
      <c r="E212" s="3" t="s">
        <v>9</v>
      </c>
      <c r="F212" s="3" t="s">
        <v>8</v>
      </c>
      <c r="G212" s="3" t="s">
        <v>9</v>
      </c>
      <c r="H212" s="3" t="s">
        <v>8</v>
      </c>
      <c r="I212" s="3" t="s">
        <v>9</v>
      </c>
      <c r="J212" s="3" t="s">
        <v>8</v>
      </c>
      <c r="K212" s="3" t="s">
        <v>9</v>
      </c>
      <c r="L212" s="3" t="s">
        <v>8</v>
      </c>
      <c r="M212" s="3" t="s">
        <v>9</v>
      </c>
      <c r="N212" s="3" t="s">
        <v>8</v>
      </c>
      <c r="O212" s="3" t="s">
        <v>9</v>
      </c>
      <c r="P212" s="3" t="s">
        <v>8</v>
      </c>
      <c r="Q212" s="3" t="s">
        <v>9</v>
      </c>
    </row>
    <row r="213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>
      <c r="A214" s="3" t="s">
        <v>46</v>
      </c>
      <c r="B214" s="3"/>
      <c r="C214" s="3">
        <v>0.0</v>
      </c>
      <c r="D214" s="3"/>
      <c r="E214" s="3">
        <v>0.0</v>
      </c>
      <c r="F214" s="3"/>
      <c r="G214" s="3"/>
      <c r="H214" s="3"/>
      <c r="I214" s="3">
        <v>0.0</v>
      </c>
      <c r="J214" s="3"/>
      <c r="K214" s="3">
        <v>0.0</v>
      </c>
      <c r="L214" s="3"/>
      <c r="M214" s="3">
        <v>0.0</v>
      </c>
      <c r="N214" s="3"/>
      <c r="O214" s="3"/>
      <c r="P214" s="3"/>
      <c r="Q214" s="3">
        <v>0.0</v>
      </c>
    </row>
    <row r="215">
      <c r="A215" s="3" t="s">
        <v>47</v>
      </c>
      <c r="B215" s="3">
        <v>0.0</v>
      </c>
      <c r="C215" s="3">
        <v>4.0</v>
      </c>
      <c r="D215" s="3"/>
      <c r="E215" s="3">
        <v>0.0</v>
      </c>
      <c r="F215" s="3"/>
      <c r="G215" s="3"/>
      <c r="H215" s="3"/>
      <c r="I215" s="3">
        <v>0.0</v>
      </c>
      <c r="J215" s="3">
        <v>0.0</v>
      </c>
      <c r="K215" s="3">
        <v>4.0</v>
      </c>
      <c r="L215" s="3"/>
      <c r="M215" s="3">
        <v>0.0</v>
      </c>
      <c r="N215" s="3"/>
      <c r="O215" s="3"/>
      <c r="P215" s="3">
        <v>0.0</v>
      </c>
      <c r="Q215" s="3">
        <v>4.0</v>
      </c>
    </row>
    <row r="216">
      <c r="A216" s="3" t="s">
        <v>48</v>
      </c>
      <c r="B216" s="3"/>
      <c r="C216" s="3">
        <v>4.0</v>
      </c>
      <c r="D216" s="3"/>
      <c r="E216" s="3">
        <v>0.0</v>
      </c>
      <c r="F216" s="3"/>
      <c r="G216" s="3"/>
      <c r="H216" s="3">
        <v>10.0</v>
      </c>
      <c r="I216" s="3">
        <v>14.0</v>
      </c>
      <c r="J216" s="3">
        <v>0.0</v>
      </c>
      <c r="K216" s="3">
        <v>8.0</v>
      </c>
      <c r="L216" s="3"/>
      <c r="M216" s="3">
        <v>0.0</v>
      </c>
      <c r="N216" s="3"/>
      <c r="O216" s="3"/>
      <c r="P216" s="3"/>
      <c r="Q216" s="3">
        <v>4.0</v>
      </c>
    </row>
    <row r="217">
      <c r="A217" s="3" t="s">
        <v>49</v>
      </c>
      <c r="B217" s="3"/>
      <c r="C217" s="3">
        <v>4.0</v>
      </c>
      <c r="D217" s="3"/>
      <c r="E217" s="3">
        <v>0.0</v>
      </c>
      <c r="F217" s="3"/>
      <c r="G217" s="3"/>
      <c r="H217" s="3">
        <v>0.0</v>
      </c>
      <c r="I217" s="3">
        <v>18.0</v>
      </c>
      <c r="J217" s="3"/>
      <c r="K217" s="3">
        <v>8.0</v>
      </c>
      <c r="L217" s="3"/>
      <c r="M217" s="3">
        <v>0.0</v>
      </c>
      <c r="N217" s="3"/>
      <c r="O217" s="3"/>
      <c r="P217" s="3">
        <v>0.0</v>
      </c>
      <c r="Q217" s="3">
        <v>8.0</v>
      </c>
    </row>
    <row r="218">
      <c r="A218" s="3" t="s">
        <v>50</v>
      </c>
      <c r="B218" s="3"/>
      <c r="C218" s="3">
        <v>4.0</v>
      </c>
      <c r="D218" s="3"/>
      <c r="E218" s="3">
        <v>0.0</v>
      </c>
      <c r="F218" s="3"/>
      <c r="G218" s="3"/>
      <c r="H218" s="3">
        <v>10.0</v>
      </c>
      <c r="I218" s="3">
        <v>32.0</v>
      </c>
      <c r="J218" s="3"/>
      <c r="K218" s="3">
        <v>8.0</v>
      </c>
      <c r="L218" s="3">
        <v>0.0</v>
      </c>
      <c r="M218" s="3">
        <v>4.0</v>
      </c>
      <c r="N218" s="3"/>
      <c r="O218" s="3"/>
      <c r="P218" s="3"/>
      <c r="Q218" s="3">
        <v>8.0</v>
      </c>
    </row>
    <row r="219">
      <c r="A219" s="3" t="s">
        <v>51</v>
      </c>
      <c r="B219" s="3">
        <v>10.0</v>
      </c>
      <c r="C219" s="3">
        <v>18.0</v>
      </c>
      <c r="D219" s="3">
        <v>10.0</v>
      </c>
      <c r="E219" s="3">
        <v>14.0</v>
      </c>
      <c r="F219" s="3"/>
      <c r="G219" s="3"/>
      <c r="H219" s="3"/>
      <c r="I219" s="3">
        <v>32.0</v>
      </c>
      <c r="J219" s="3"/>
      <c r="K219" s="3">
        <v>8.0</v>
      </c>
      <c r="L219" s="3">
        <v>0.0</v>
      </c>
      <c r="M219" s="3">
        <v>8.0</v>
      </c>
      <c r="N219" s="3"/>
      <c r="O219" s="3"/>
      <c r="P219" s="3"/>
      <c r="Q219" s="3">
        <v>8.0</v>
      </c>
    </row>
    <row r="220">
      <c r="A220" s="3" t="s">
        <v>46</v>
      </c>
      <c r="B220" s="3">
        <v>10.0</v>
      </c>
      <c r="C220" s="3">
        <v>32.0</v>
      </c>
      <c r="D220" s="3">
        <v>10.0</v>
      </c>
      <c r="E220" s="3">
        <v>28.0</v>
      </c>
      <c r="F220" s="3"/>
      <c r="G220" s="3"/>
      <c r="H220" s="3"/>
      <c r="I220" s="3">
        <v>32.0</v>
      </c>
      <c r="J220" s="3">
        <v>0.0</v>
      </c>
      <c r="K220" s="3">
        <v>12.0</v>
      </c>
      <c r="L220" s="3"/>
      <c r="M220" s="3">
        <v>8.0</v>
      </c>
      <c r="N220" s="3"/>
      <c r="O220" s="3"/>
      <c r="P220" s="3"/>
      <c r="Q220" s="3">
        <v>8.0</v>
      </c>
    </row>
    <row r="221">
      <c r="A221" s="3" t="s">
        <v>47</v>
      </c>
      <c r="B221" s="3"/>
      <c r="C221" s="3">
        <v>32.0</v>
      </c>
      <c r="D221" s="3"/>
      <c r="E221" s="3">
        <v>28.0</v>
      </c>
      <c r="F221" s="3"/>
      <c r="G221" s="3"/>
      <c r="H221" s="3">
        <v>0.0</v>
      </c>
      <c r="I221" s="3">
        <v>36.0</v>
      </c>
      <c r="J221" s="3"/>
      <c r="K221" s="3">
        <v>12.0</v>
      </c>
      <c r="L221" s="3">
        <v>0.0</v>
      </c>
      <c r="M221" s="3">
        <v>12.0</v>
      </c>
      <c r="N221" s="3"/>
      <c r="O221" s="3"/>
      <c r="P221" s="3"/>
      <c r="Q221" s="3">
        <v>8.0</v>
      </c>
    </row>
    <row r="222">
      <c r="A222" s="3" t="s">
        <v>48</v>
      </c>
      <c r="B222" s="3">
        <v>10.0</v>
      </c>
      <c r="C222" s="3">
        <v>46.0</v>
      </c>
      <c r="D222" s="3"/>
      <c r="E222" s="3">
        <v>28.0</v>
      </c>
      <c r="F222" s="3"/>
      <c r="G222" s="3"/>
      <c r="H222" s="3"/>
      <c r="I222" s="3">
        <v>36.0</v>
      </c>
      <c r="J222" s="3"/>
      <c r="K222" s="3">
        <v>12.0</v>
      </c>
      <c r="L222" s="3">
        <v>0.0</v>
      </c>
      <c r="M222" s="3">
        <v>16.0</v>
      </c>
      <c r="N222" s="3"/>
      <c r="O222" s="3"/>
      <c r="P222" s="3"/>
      <c r="Q222" s="3">
        <v>12.0</v>
      </c>
    </row>
    <row r="223">
      <c r="A223" s="3" t="s">
        <v>49</v>
      </c>
      <c r="B223" s="3"/>
      <c r="C223" s="3">
        <v>46.0</v>
      </c>
      <c r="D223" s="3">
        <v>0.0</v>
      </c>
      <c r="E223" s="3">
        <v>32.0</v>
      </c>
      <c r="F223" s="3"/>
      <c r="G223" s="3"/>
      <c r="H223" s="3"/>
      <c r="I223" s="3">
        <v>40.0</v>
      </c>
      <c r="J223" s="3">
        <v>0.0</v>
      </c>
      <c r="K223" s="3">
        <v>16.0</v>
      </c>
      <c r="L223" s="3"/>
      <c r="M223" s="3">
        <v>16.0</v>
      </c>
      <c r="N223" s="3"/>
      <c r="O223" s="3"/>
      <c r="P223" s="3"/>
      <c r="Q223" s="3">
        <v>12.0</v>
      </c>
    </row>
    <row r="224">
      <c r="A224" s="3" t="s">
        <v>50</v>
      </c>
      <c r="B224" s="3">
        <v>0.0</v>
      </c>
      <c r="C224" s="3">
        <v>50.0</v>
      </c>
      <c r="D224" s="3"/>
      <c r="E224" s="3">
        <v>32.0</v>
      </c>
      <c r="F224" s="3"/>
      <c r="G224" s="3"/>
      <c r="H224" s="3"/>
      <c r="I224" s="3">
        <v>40.0</v>
      </c>
      <c r="J224" s="3"/>
      <c r="K224" s="3">
        <v>16.0</v>
      </c>
      <c r="L224" s="3">
        <v>0.0</v>
      </c>
      <c r="M224" s="3">
        <v>20.0</v>
      </c>
      <c r="N224" s="3"/>
      <c r="O224" s="3"/>
      <c r="P224" s="3"/>
      <c r="Q224" s="3">
        <v>12.0</v>
      </c>
    </row>
    <row r="225">
      <c r="A225" s="3" t="s">
        <v>51</v>
      </c>
      <c r="B225" s="3"/>
      <c r="C225" s="3">
        <v>50.0</v>
      </c>
      <c r="D225" s="3"/>
      <c r="E225" s="3">
        <v>32.0</v>
      </c>
      <c r="F225" s="3"/>
      <c r="G225" s="3"/>
      <c r="H225" s="3"/>
      <c r="I225" s="3">
        <v>44.0</v>
      </c>
      <c r="J225" s="3"/>
      <c r="K225" s="3">
        <v>16.0</v>
      </c>
      <c r="L225" s="3"/>
      <c r="M225" s="3">
        <v>20.0</v>
      </c>
      <c r="N225" s="3"/>
      <c r="O225" s="3"/>
      <c r="P225" s="3">
        <v>0.0</v>
      </c>
      <c r="Q225" s="3">
        <v>16.0</v>
      </c>
    </row>
    <row r="226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>
      <c r="A227" s="3" t="s">
        <v>46</v>
      </c>
      <c r="B227" s="3"/>
      <c r="C227" s="3">
        <v>50.0</v>
      </c>
      <c r="D227" s="3"/>
      <c r="E227" s="3">
        <v>32.0</v>
      </c>
      <c r="F227" s="3"/>
      <c r="G227" s="3"/>
      <c r="H227" s="3">
        <v>0.0</v>
      </c>
      <c r="I227" s="3">
        <v>48.0</v>
      </c>
      <c r="J227" s="3"/>
      <c r="K227" s="3">
        <v>16.0</v>
      </c>
      <c r="L227" s="3">
        <v>10.0</v>
      </c>
      <c r="M227" s="3">
        <v>34.0</v>
      </c>
      <c r="N227" s="3"/>
      <c r="O227" s="3"/>
      <c r="P227" s="3">
        <v>0.0</v>
      </c>
      <c r="Q227" s="3">
        <v>20.0</v>
      </c>
    </row>
    <row r="228">
      <c r="A228" s="3" t="s">
        <v>47</v>
      </c>
      <c r="B228" s="3">
        <v>0.0</v>
      </c>
      <c r="C228" s="3">
        <v>54.0</v>
      </c>
      <c r="D228" s="3"/>
      <c r="E228" s="3">
        <v>32.0</v>
      </c>
      <c r="F228" s="3"/>
      <c r="G228" s="3"/>
      <c r="H228" s="3"/>
      <c r="I228" s="3">
        <v>48.0</v>
      </c>
      <c r="J228" s="3"/>
      <c r="K228" s="3">
        <v>16.0</v>
      </c>
      <c r="L228" s="3"/>
      <c r="M228" s="3">
        <v>34.0</v>
      </c>
      <c r="N228" s="3"/>
      <c r="O228" s="3"/>
      <c r="P228" s="3"/>
      <c r="Q228" s="3">
        <v>20.0</v>
      </c>
    </row>
    <row r="229">
      <c r="A229" s="3" t="s">
        <v>48</v>
      </c>
      <c r="B229" s="3">
        <v>10.0</v>
      </c>
      <c r="C229" s="3">
        <v>68.0</v>
      </c>
      <c r="D229" s="3"/>
      <c r="E229" s="3">
        <v>32.0</v>
      </c>
      <c r="F229" s="3"/>
      <c r="G229" s="3"/>
      <c r="H229" s="3"/>
      <c r="I229" s="3">
        <v>48.0</v>
      </c>
      <c r="J229" s="3"/>
      <c r="K229" s="3">
        <v>16.0</v>
      </c>
      <c r="L229" s="3"/>
      <c r="M229" s="3">
        <v>34.0</v>
      </c>
      <c r="N229" s="3"/>
      <c r="O229" s="3"/>
      <c r="P229" s="3">
        <v>10.0</v>
      </c>
      <c r="Q229" s="3">
        <v>38.0</v>
      </c>
    </row>
    <row r="230">
      <c r="A230" s="3" t="s">
        <v>49</v>
      </c>
      <c r="B230" s="3"/>
      <c r="C230" s="3">
        <v>68.0</v>
      </c>
      <c r="D230" s="3"/>
      <c r="E230" s="3">
        <v>32.0</v>
      </c>
      <c r="F230" s="3"/>
      <c r="G230" s="3"/>
      <c r="H230" s="3">
        <v>0.0</v>
      </c>
      <c r="I230" s="3">
        <v>52.0</v>
      </c>
      <c r="J230" s="3"/>
      <c r="K230" s="3">
        <v>16.0</v>
      </c>
      <c r="L230" s="3"/>
      <c r="M230" s="3">
        <v>34.0</v>
      </c>
      <c r="N230" s="3"/>
      <c r="O230" s="3"/>
      <c r="P230" s="3">
        <v>10.0</v>
      </c>
      <c r="Q230" s="3">
        <v>52.0</v>
      </c>
    </row>
    <row r="231">
      <c r="A231" s="3" t="s">
        <v>50</v>
      </c>
      <c r="B231" s="3">
        <v>10.0</v>
      </c>
      <c r="C231" s="3">
        <v>82.0</v>
      </c>
      <c r="D231" s="3"/>
      <c r="E231" s="3">
        <v>32.0</v>
      </c>
      <c r="F231" s="3"/>
      <c r="G231" s="3"/>
      <c r="H231" s="3"/>
      <c r="I231" s="3">
        <v>52.0</v>
      </c>
      <c r="J231" s="3">
        <v>0.0</v>
      </c>
      <c r="K231" s="3">
        <v>20.0</v>
      </c>
      <c r="L231" s="3"/>
      <c r="M231" s="3">
        <v>34.0</v>
      </c>
      <c r="N231" s="3"/>
      <c r="O231" s="3"/>
      <c r="P231" s="3"/>
      <c r="Q231" s="3">
        <v>52.0</v>
      </c>
    </row>
    <row r="232">
      <c r="A232" s="3" t="s">
        <v>51</v>
      </c>
      <c r="B232" s="3">
        <v>0.0</v>
      </c>
      <c r="C232" s="3">
        <v>86.0</v>
      </c>
      <c r="D232" s="3"/>
      <c r="E232" s="3">
        <v>32.0</v>
      </c>
      <c r="F232" s="3"/>
      <c r="G232" s="3"/>
      <c r="H232" s="3"/>
      <c r="I232" s="3">
        <v>52.0</v>
      </c>
      <c r="J232" s="3">
        <v>0.0</v>
      </c>
      <c r="K232" s="3">
        <v>24.0</v>
      </c>
      <c r="L232" s="3"/>
      <c r="M232" s="3">
        <v>34.0</v>
      </c>
      <c r="N232" s="3"/>
      <c r="O232" s="3"/>
      <c r="P232" s="3"/>
      <c r="Q232" s="3">
        <v>52.0</v>
      </c>
    </row>
    <row r="233">
      <c r="A233" s="3" t="s">
        <v>46</v>
      </c>
      <c r="B233" s="3">
        <v>10.0</v>
      </c>
      <c r="C233" s="3">
        <v>100.0</v>
      </c>
      <c r="D233" s="3"/>
      <c r="E233" s="3">
        <v>32.0</v>
      </c>
      <c r="F233" s="3"/>
      <c r="G233" s="3"/>
      <c r="H233" s="3"/>
      <c r="I233" s="3">
        <v>52.0</v>
      </c>
      <c r="J233" s="3"/>
      <c r="K233" s="3">
        <v>24.0</v>
      </c>
      <c r="L233" s="3"/>
      <c r="M233" s="3">
        <v>34.0</v>
      </c>
      <c r="N233" s="3"/>
      <c r="O233" s="3"/>
      <c r="P233" s="3"/>
      <c r="Q233" s="3">
        <v>52.0</v>
      </c>
    </row>
    <row r="234">
      <c r="A234" s="3" t="s">
        <v>47</v>
      </c>
      <c r="B234" s="3">
        <v>0.0</v>
      </c>
      <c r="C234" s="3">
        <v>104.0</v>
      </c>
      <c r="D234" s="3"/>
      <c r="E234" s="3">
        <v>32.0</v>
      </c>
      <c r="F234" s="3"/>
      <c r="G234" s="3"/>
      <c r="H234" s="3"/>
      <c r="I234" s="3">
        <v>52.0</v>
      </c>
      <c r="J234" s="3">
        <v>0.0</v>
      </c>
      <c r="K234" s="3">
        <v>28.0</v>
      </c>
      <c r="L234" s="3"/>
      <c r="M234" s="3">
        <v>34.0</v>
      </c>
      <c r="N234" s="3"/>
      <c r="O234" s="3"/>
      <c r="P234" s="3">
        <v>10.0</v>
      </c>
      <c r="Q234" s="3">
        <v>66.0</v>
      </c>
    </row>
    <row r="235">
      <c r="A235" s="3" t="s">
        <v>48</v>
      </c>
      <c r="B235" s="3">
        <v>10.0</v>
      </c>
      <c r="C235" s="3">
        <v>118.0</v>
      </c>
      <c r="D235" s="3"/>
      <c r="E235" s="3">
        <v>32.0</v>
      </c>
      <c r="F235" s="3"/>
      <c r="G235" s="3"/>
      <c r="H235" s="3"/>
      <c r="I235" s="3">
        <v>52.0</v>
      </c>
      <c r="J235" s="3"/>
      <c r="K235" s="3">
        <v>28.0</v>
      </c>
      <c r="L235" s="3">
        <v>0.0</v>
      </c>
      <c r="M235" s="3">
        <v>38.0</v>
      </c>
      <c r="N235" s="3"/>
      <c r="O235" s="3"/>
      <c r="P235" s="3">
        <v>0.0</v>
      </c>
      <c r="Q235" s="3">
        <v>74.0</v>
      </c>
    </row>
    <row r="236">
      <c r="A236" s="3" t="s">
        <v>49</v>
      </c>
      <c r="B236" s="3"/>
      <c r="C236" s="3">
        <v>118.0</v>
      </c>
      <c r="D236" s="3"/>
      <c r="E236" s="3">
        <v>36.0</v>
      </c>
      <c r="F236" s="3"/>
      <c r="G236" s="3"/>
      <c r="H236" s="3">
        <v>10.0</v>
      </c>
      <c r="I236" s="3">
        <v>66.0</v>
      </c>
      <c r="J236" s="3">
        <v>0.0</v>
      </c>
      <c r="K236" s="3">
        <v>36.0</v>
      </c>
      <c r="L236" s="3"/>
      <c r="M236" s="3">
        <v>38.0</v>
      </c>
      <c r="N236" s="3"/>
      <c r="O236" s="3"/>
      <c r="P236" s="3"/>
      <c r="Q236" s="3">
        <v>74.0</v>
      </c>
    </row>
    <row r="237">
      <c r="A237" s="3" t="s">
        <v>50</v>
      </c>
      <c r="B237" s="3"/>
      <c r="C237" s="3">
        <v>122.0</v>
      </c>
      <c r="D237" s="3"/>
      <c r="E237" s="3">
        <v>36.0</v>
      </c>
      <c r="F237" s="3"/>
      <c r="G237" s="3"/>
      <c r="H237" s="3"/>
      <c r="I237" s="3">
        <v>66.0</v>
      </c>
      <c r="J237" s="3"/>
      <c r="K237" s="3">
        <v>36.0</v>
      </c>
      <c r="L237" s="3"/>
      <c r="M237" s="3">
        <v>38.0</v>
      </c>
      <c r="N237" s="3"/>
      <c r="O237" s="3"/>
      <c r="P237" s="3"/>
      <c r="Q237" s="3">
        <v>74.0</v>
      </c>
    </row>
    <row r="238">
      <c r="A238" s="3" t="s">
        <v>51</v>
      </c>
      <c r="B238" s="3">
        <v>10.0</v>
      </c>
      <c r="C238" s="3">
        <v>136.0</v>
      </c>
      <c r="D238" s="3"/>
      <c r="E238" s="3">
        <v>36.0</v>
      </c>
      <c r="F238" s="3"/>
      <c r="G238" s="3"/>
      <c r="H238" s="3"/>
      <c r="I238" s="3">
        <v>66.0</v>
      </c>
      <c r="J238" s="3"/>
      <c r="K238" s="3">
        <v>36.0</v>
      </c>
      <c r="L238" s="3"/>
      <c r="M238" s="3">
        <v>38.0</v>
      </c>
      <c r="N238" s="3"/>
      <c r="O238" s="3"/>
      <c r="P238" s="3">
        <v>10.0</v>
      </c>
      <c r="Q238" s="3">
        <v>88.0</v>
      </c>
    </row>
    <row r="239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>
      <c r="B241" s="3" t="str">
        <f t="array" ref="B241:Q270">transpose(sort(transpose(Full!A241:R270),1,true))</f>
        <v>Brookfield</v>
      </c>
      <c r="C241" s="3" t="s">
        <v>4</v>
      </c>
      <c r="D241" s="3" t="s">
        <v>5</v>
      </c>
      <c r="E241" s="3" t="s">
        <v>5</v>
      </c>
      <c r="F241" s="3" t="s">
        <v>0</v>
      </c>
      <c r="G241" s="3" t="s">
        <v>0</v>
      </c>
      <c r="H241" s="3" t="s">
        <v>1</v>
      </c>
      <c r="I241" s="3" t="s">
        <v>1</v>
      </c>
      <c r="J241" s="3" t="s">
        <v>7</v>
      </c>
      <c r="K241" s="3" t="s">
        <v>7</v>
      </c>
      <c r="L241" s="3" t="s">
        <v>2</v>
      </c>
      <c r="M241" s="3" t="s">
        <v>2</v>
      </c>
      <c r="N241" s="3" t="s">
        <v>6</v>
      </c>
      <c r="O241" s="3" t="s">
        <v>6</v>
      </c>
      <c r="P241" s="3" t="s">
        <v>3</v>
      </c>
      <c r="Q241" s="3" t="s">
        <v>3</v>
      </c>
    </row>
    <row r="242">
      <c r="B242" s="3" t="s">
        <v>8</v>
      </c>
      <c r="C242" s="3" t="s">
        <v>9</v>
      </c>
      <c r="D242" s="3" t="s">
        <v>8</v>
      </c>
      <c r="E242" s="3" t="s">
        <v>9</v>
      </c>
      <c r="F242" s="3" t="s">
        <v>8</v>
      </c>
      <c r="G242" s="3" t="s">
        <v>9</v>
      </c>
      <c r="H242" s="3" t="s">
        <v>8</v>
      </c>
      <c r="I242" s="3" t="s">
        <v>9</v>
      </c>
      <c r="J242" s="3" t="s">
        <v>8</v>
      </c>
      <c r="K242" s="3" t="s">
        <v>9</v>
      </c>
      <c r="L242" s="3" t="s">
        <v>8</v>
      </c>
      <c r="M242" s="3" t="s">
        <v>9</v>
      </c>
      <c r="N242" s="3" t="s">
        <v>8</v>
      </c>
      <c r="O242" s="3" t="s">
        <v>9</v>
      </c>
      <c r="P242" s="3" t="s">
        <v>8</v>
      </c>
      <c r="Q242" s="3" t="s">
        <v>9</v>
      </c>
    </row>
    <row r="243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>
      <c r="A244" s="3" t="s">
        <v>46</v>
      </c>
      <c r="B244" s="3"/>
      <c r="C244" s="3"/>
      <c r="D244" s="3"/>
      <c r="E244" s="3"/>
      <c r="F244" s="3"/>
      <c r="G244" s="3"/>
      <c r="H244" s="3"/>
      <c r="I244" s="3">
        <v>0.0</v>
      </c>
      <c r="J244" s="3"/>
      <c r="K244" s="3"/>
      <c r="L244" s="3"/>
      <c r="M244" s="3"/>
      <c r="N244" s="3"/>
      <c r="O244" s="3"/>
      <c r="P244" s="3"/>
      <c r="Q244" s="3">
        <v>0.0</v>
      </c>
    </row>
    <row r="245">
      <c r="A245" s="3" t="s">
        <v>47</v>
      </c>
      <c r="B245" s="3"/>
      <c r="C245" s="3"/>
      <c r="D245" s="3"/>
      <c r="E245" s="3"/>
      <c r="F245" s="3"/>
      <c r="G245" s="3"/>
      <c r="H245" s="3"/>
      <c r="I245" s="3">
        <v>0.0</v>
      </c>
      <c r="J245" s="3"/>
      <c r="K245" s="3"/>
      <c r="L245" s="3"/>
      <c r="M245" s="3"/>
      <c r="N245" s="3"/>
      <c r="O245" s="3"/>
      <c r="P245" s="3">
        <v>0.0</v>
      </c>
      <c r="Q245" s="3">
        <v>4.0</v>
      </c>
    </row>
    <row r="246">
      <c r="A246" s="3" t="s">
        <v>48</v>
      </c>
      <c r="B246" s="3"/>
      <c r="C246" s="3"/>
      <c r="D246" s="3"/>
      <c r="E246" s="3"/>
      <c r="F246" s="3"/>
      <c r="G246" s="3"/>
      <c r="H246" s="3">
        <v>10.0</v>
      </c>
      <c r="I246" s="3">
        <v>14.0</v>
      </c>
      <c r="J246" s="3"/>
      <c r="K246" s="3"/>
      <c r="L246" s="3"/>
      <c r="M246" s="3"/>
      <c r="N246" s="3"/>
      <c r="O246" s="3"/>
      <c r="P246" s="3"/>
      <c r="Q246" s="3">
        <v>4.0</v>
      </c>
    </row>
    <row r="247">
      <c r="A247" s="3" t="s">
        <v>49</v>
      </c>
      <c r="B247" s="3"/>
      <c r="C247" s="3"/>
      <c r="D247" s="3"/>
      <c r="E247" s="3"/>
      <c r="F247" s="3"/>
      <c r="G247" s="3"/>
      <c r="H247" s="3">
        <v>10.0</v>
      </c>
      <c r="I247" s="3">
        <v>28.0</v>
      </c>
      <c r="J247" s="3"/>
      <c r="K247" s="3"/>
      <c r="L247" s="3"/>
      <c r="M247" s="3"/>
      <c r="N247" s="3"/>
      <c r="O247" s="3"/>
      <c r="P247" s="3"/>
      <c r="Q247" s="3">
        <v>4.0</v>
      </c>
    </row>
    <row r="248">
      <c r="A248" s="3" t="s">
        <v>50</v>
      </c>
      <c r="B248" s="3"/>
      <c r="C248" s="3"/>
      <c r="D248" s="3"/>
      <c r="E248" s="3"/>
      <c r="F248" s="3"/>
      <c r="G248" s="3"/>
      <c r="H248" s="3">
        <v>10.0</v>
      </c>
      <c r="I248" s="3">
        <v>42.0</v>
      </c>
      <c r="J248" s="3"/>
      <c r="K248" s="3"/>
      <c r="L248" s="3"/>
      <c r="M248" s="3"/>
      <c r="N248" s="3"/>
      <c r="O248" s="3"/>
      <c r="P248" s="3"/>
      <c r="Q248" s="3">
        <v>4.0</v>
      </c>
    </row>
    <row r="249">
      <c r="A249" s="3" t="s">
        <v>51</v>
      </c>
      <c r="B249" s="3"/>
      <c r="C249" s="3"/>
      <c r="D249" s="3"/>
      <c r="E249" s="3"/>
      <c r="F249" s="3"/>
      <c r="G249" s="3"/>
      <c r="H249" s="3"/>
      <c r="I249" s="3">
        <v>42.0</v>
      </c>
      <c r="J249" s="3"/>
      <c r="K249" s="3"/>
      <c r="L249" s="3"/>
      <c r="M249" s="3"/>
      <c r="N249" s="3"/>
      <c r="O249" s="3"/>
      <c r="P249" s="3"/>
      <c r="Q249" s="3">
        <v>4.0</v>
      </c>
    </row>
    <row r="250">
      <c r="A250" s="3" t="s">
        <v>46</v>
      </c>
      <c r="B250" s="3"/>
      <c r="C250" s="3"/>
      <c r="D250" s="3"/>
      <c r="E250" s="3"/>
      <c r="F250" s="3"/>
      <c r="G250" s="3"/>
      <c r="H250" s="3"/>
      <c r="I250" s="3">
        <v>42.0</v>
      </c>
      <c r="J250" s="3"/>
      <c r="K250" s="3"/>
      <c r="L250" s="3"/>
      <c r="M250" s="3"/>
      <c r="N250" s="3"/>
      <c r="O250" s="3"/>
      <c r="P250" s="3"/>
      <c r="Q250" s="3">
        <v>4.0</v>
      </c>
    </row>
    <row r="251">
      <c r="A251" s="3" t="s">
        <v>47</v>
      </c>
      <c r="B251" s="3"/>
      <c r="C251" s="3"/>
      <c r="D251" s="3"/>
      <c r="E251" s="3"/>
      <c r="F251" s="3"/>
      <c r="G251" s="3"/>
      <c r="H251" s="3"/>
      <c r="I251" s="3">
        <v>42.0</v>
      </c>
      <c r="J251" s="3"/>
      <c r="K251" s="3"/>
      <c r="L251" s="3"/>
      <c r="M251" s="3"/>
      <c r="N251" s="3"/>
      <c r="O251" s="3"/>
      <c r="P251" s="3"/>
      <c r="Q251" s="3">
        <v>4.0</v>
      </c>
    </row>
    <row r="252">
      <c r="A252" s="3" t="s">
        <v>48</v>
      </c>
      <c r="B252" s="3"/>
      <c r="C252" s="3"/>
      <c r="D252" s="3"/>
      <c r="E252" s="3"/>
      <c r="F252" s="3"/>
      <c r="G252" s="3"/>
      <c r="H252" s="3"/>
      <c r="I252" s="3">
        <v>42.0</v>
      </c>
      <c r="J252" s="3"/>
      <c r="K252" s="3"/>
      <c r="L252" s="3"/>
      <c r="M252" s="3"/>
      <c r="N252" s="3"/>
      <c r="O252" s="3"/>
      <c r="P252" s="3"/>
      <c r="Q252" s="3">
        <v>4.0</v>
      </c>
    </row>
    <row r="253">
      <c r="A253" s="3" t="s">
        <v>49</v>
      </c>
      <c r="B253" s="3"/>
      <c r="C253" s="3"/>
      <c r="D253" s="3"/>
      <c r="E253" s="3"/>
      <c r="F253" s="3"/>
      <c r="G253" s="3"/>
      <c r="H253" s="3"/>
      <c r="I253" s="3">
        <v>42.0</v>
      </c>
      <c r="J253" s="3"/>
      <c r="K253" s="3"/>
      <c r="L253" s="3"/>
      <c r="M253" s="3"/>
      <c r="N253" s="3"/>
      <c r="O253" s="3"/>
      <c r="P253" s="3">
        <v>0.0</v>
      </c>
      <c r="Q253" s="3">
        <v>8.0</v>
      </c>
    </row>
    <row r="254">
      <c r="A254" s="3" t="s">
        <v>50</v>
      </c>
      <c r="B254" s="3"/>
      <c r="C254" s="3"/>
      <c r="D254" s="3"/>
      <c r="E254" s="3"/>
      <c r="F254" s="3"/>
      <c r="G254" s="3"/>
      <c r="H254" s="3"/>
      <c r="I254" s="3">
        <v>42.0</v>
      </c>
      <c r="J254" s="3"/>
      <c r="K254" s="3"/>
      <c r="L254" s="3"/>
      <c r="M254" s="3"/>
      <c r="N254" s="3"/>
      <c r="O254" s="3"/>
      <c r="P254" s="3">
        <v>0.0</v>
      </c>
      <c r="Q254" s="3">
        <v>12.0</v>
      </c>
    </row>
    <row r="255">
      <c r="A255" s="3" t="s">
        <v>51</v>
      </c>
      <c r="B255" s="3"/>
      <c r="C255" s="3"/>
      <c r="D255" s="3"/>
      <c r="E255" s="3"/>
      <c r="F255" s="3"/>
      <c r="G255" s="3"/>
      <c r="H255" s="3"/>
      <c r="I255" s="3">
        <v>42.0</v>
      </c>
      <c r="J255" s="3"/>
      <c r="K255" s="3"/>
      <c r="L255" s="3"/>
      <c r="M255" s="3"/>
      <c r="N255" s="3"/>
      <c r="O255" s="3"/>
      <c r="P255" s="3"/>
      <c r="Q255" s="3">
        <v>12.0</v>
      </c>
    </row>
    <row r="256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>
      <c r="A257" s="3" t="s">
        <v>46</v>
      </c>
      <c r="B257" s="3"/>
      <c r="C257" s="3"/>
      <c r="D257" s="3"/>
      <c r="E257" s="3"/>
      <c r="F257" s="3"/>
      <c r="G257" s="3"/>
      <c r="H257" s="3"/>
      <c r="I257" s="3">
        <v>42.0</v>
      </c>
      <c r="J257" s="3"/>
      <c r="K257" s="3"/>
      <c r="L257" s="3"/>
      <c r="M257" s="3"/>
      <c r="N257" s="3"/>
      <c r="O257" s="3"/>
      <c r="P257" s="3">
        <v>0.0</v>
      </c>
      <c r="Q257" s="3">
        <v>16.0</v>
      </c>
    </row>
    <row r="258">
      <c r="A258" s="3" t="s">
        <v>47</v>
      </c>
      <c r="B258" s="3"/>
      <c r="C258" s="3"/>
      <c r="D258" s="3"/>
      <c r="E258" s="3"/>
      <c r="F258" s="3"/>
      <c r="G258" s="3"/>
      <c r="H258" s="3"/>
      <c r="I258" s="3">
        <v>42.0</v>
      </c>
      <c r="J258" s="3"/>
      <c r="K258" s="3"/>
      <c r="L258" s="3"/>
      <c r="M258" s="3"/>
      <c r="N258" s="3"/>
      <c r="O258" s="3"/>
      <c r="P258" s="3">
        <v>0.0</v>
      </c>
      <c r="Q258" s="3">
        <v>20.0</v>
      </c>
    </row>
    <row r="259">
      <c r="A259" s="3" t="s">
        <v>48</v>
      </c>
      <c r="B259" s="3"/>
      <c r="C259" s="3"/>
      <c r="D259" s="3"/>
      <c r="E259" s="3"/>
      <c r="F259" s="3"/>
      <c r="G259" s="3"/>
      <c r="H259" s="3">
        <v>0.0</v>
      </c>
      <c r="I259" s="3">
        <v>46.0</v>
      </c>
      <c r="J259" s="3"/>
      <c r="K259" s="3"/>
      <c r="L259" s="3"/>
      <c r="M259" s="3"/>
      <c r="N259" s="3"/>
      <c r="O259" s="3"/>
      <c r="P259" s="3"/>
      <c r="Q259" s="3">
        <v>20.0</v>
      </c>
    </row>
    <row r="260">
      <c r="A260" s="3" t="s">
        <v>49</v>
      </c>
      <c r="B260" s="3"/>
      <c r="C260" s="3"/>
      <c r="D260" s="3"/>
      <c r="E260" s="3"/>
      <c r="F260" s="3"/>
      <c r="G260" s="3"/>
      <c r="H260" s="3">
        <v>0.0</v>
      </c>
      <c r="I260" s="3">
        <v>50.0</v>
      </c>
      <c r="J260" s="3"/>
      <c r="K260" s="3"/>
      <c r="L260" s="3"/>
      <c r="M260" s="3"/>
      <c r="N260" s="3"/>
      <c r="O260" s="3"/>
      <c r="P260" s="3"/>
      <c r="Q260" s="3">
        <v>20.0</v>
      </c>
    </row>
    <row r="261">
      <c r="A261" s="3" t="s">
        <v>50</v>
      </c>
      <c r="B261" s="3"/>
      <c r="C261" s="3"/>
      <c r="D261" s="3"/>
      <c r="E261" s="3"/>
      <c r="F261" s="3"/>
      <c r="G261" s="3"/>
      <c r="H261" s="3">
        <v>10.0</v>
      </c>
      <c r="I261" s="3">
        <v>64.0</v>
      </c>
      <c r="J261" s="3"/>
      <c r="K261" s="3"/>
      <c r="L261" s="3"/>
      <c r="M261" s="3"/>
      <c r="N261" s="3"/>
      <c r="O261" s="3"/>
      <c r="P261" s="3"/>
      <c r="Q261" s="3">
        <v>20.0</v>
      </c>
    </row>
    <row r="262">
      <c r="A262" s="3" t="s">
        <v>51</v>
      </c>
      <c r="B262" s="3"/>
      <c r="C262" s="3"/>
      <c r="D262" s="3"/>
      <c r="E262" s="3"/>
      <c r="F262" s="3"/>
      <c r="G262" s="3"/>
      <c r="H262" s="3"/>
      <c r="I262" s="3">
        <v>64.0</v>
      </c>
      <c r="J262" s="3"/>
      <c r="K262" s="3"/>
      <c r="L262" s="3"/>
      <c r="M262" s="3"/>
      <c r="N262" s="3"/>
      <c r="O262" s="3"/>
      <c r="P262" s="3"/>
      <c r="Q262" s="3">
        <v>20.0</v>
      </c>
    </row>
    <row r="263">
      <c r="A263" s="3" t="s">
        <v>46</v>
      </c>
      <c r="B263" s="3"/>
      <c r="C263" s="3"/>
      <c r="D263" s="3"/>
      <c r="E263" s="3"/>
      <c r="F263" s="3"/>
      <c r="G263" s="3"/>
      <c r="H263" s="3"/>
      <c r="I263" s="3">
        <v>64.0</v>
      </c>
      <c r="J263" s="3"/>
      <c r="K263" s="3"/>
      <c r="L263" s="3"/>
      <c r="M263" s="3"/>
      <c r="N263" s="3"/>
      <c r="O263" s="3"/>
      <c r="P263" s="3"/>
      <c r="Q263" s="3">
        <v>20.0</v>
      </c>
    </row>
    <row r="264">
      <c r="A264" s="3" t="s">
        <v>47</v>
      </c>
      <c r="B264" s="3"/>
      <c r="C264" s="3"/>
      <c r="D264" s="3"/>
      <c r="E264" s="3"/>
      <c r="F264" s="3"/>
      <c r="G264" s="3"/>
      <c r="H264" s="3"/>
      <c r="I264" s="3">
        <v>64.0</v>
      </c>
      <c r="J264" s="3"/>
      <c r="K264" s="3"/>
      <c r="L264" s="3"/>
      <c r="M264" s="3"/>
      <c r="N264" s="3"/>
      <c r="O264" s="3"/>
      <c r="P264" s="3">
        <v>0.0</v>
      </c>
      <c r="Q264" s="3">
        <v>24.0</v>
      </c>
    </row>
    <row r="265">
      <c r="A265" s="3" t="s">
        <v>48</v>
      </c>
      <c r="B265" s="3"/>
      <c r="C265" s="3"/>
      <c r="D265" s="3"/>
      <c r="E265" s="3"/>
      <c r="F265" s="3"/>
      <c r="G265" s="3"/>
      <c r="H265" s="3">
        <v>10.0</v>
      </c>
      <c r="I265" s="3">
        <v>78.0</v>
      </c>
      <c r="J265" s="3"/>
      <c r="K265" s="3"/>
      <c r="L265" s="3"/>
      <c r="M265" s="3"/>
      <c r="N265" s="3"/>
      <c r="O265" s="3"/>
      <c r="P265" s="3"/>
      <c r="Q265" s="3">
        <v>24.0</v>
      </c>
    </row>
    <row r="266">
      <c r="A266" s="3" t="s">
        <v>49</v>
      </c>
      <c r="B266" s="3"/>
      <c r="C266" s="3"/>
      <c r="D266" s="3"/>
      <c r="E266" s="3"/>
      <c r="F266" s="3"/>
      <c r="G266" s="3"/>
      <c r="H266" s="3">
        <v>10.0</v>
      </c>
      <c r="I266" s="3">
        <v>92.0</v>
      </c>
      <c r="J266" s="3"/>
      <c r="K266" s="3"/>
      <c r="L266" s="3"/>
      <c r="M266" s="3"/>
      <c r="N266" s="3"/>
      <c r="O266" s="3"/>
      <c r="P266" s="3"/>
      <c r="Q266" s="3">
        <v>24.0</v>
      </c>
    </row>
    <row r="267">
      <c r="A267" s="3" t="s">
        <v>50</v>
      </c>
      <c r="B267" s="3"/>
      <c r="C267" s="3"/>
      <c r="D267" s="3"/>
      <c r="E267" s="3"/>
      <c r="F267" s="3"/>
      <c r="G267" s="3"/>
      <c r="H267" s="3"/>
      <c r="I267" s="3">
        <v>92.0</v>
      </c>
      <c r="J267" s="3"/>
      <c r="K267" s="3"/>
      <c r="L267" s="3"/>
      <c r="M267" s="3"/>
      <c r="N267" s="3"/>
      <c r="O267" s="3"/>
      <c r="P267" s="3"/>
      <c r="Q267" s="3">
        <v>28.0</v>
      </c>
    </row>
    <row r="268">
      <c r="A268" s="3" t="s">
        <v>51</v>
      </c>
      <c r="B268" s="3"/>
      <c r="C268" s="3"/>
      <c r="D268" s="3"/>
      <c r="E268" s="3"/>
      <c r="F268" s="3"/>
      <c r="G268" s="3"/>
      <c r="H268" s="3">
        <v>0.0</v>
      </c>
      <c r="I268" s="3">
        <v>96.0</v>
      </c>
      <c r="J268" s="3"/>
      <c r="K268" s="3"/>
      <c r="L268" s="3"/>
      <c r="M268" s="3"/>
      <c r="N268" s="3"/>
      <c r="O268" s="3"/>
      <c r="P268" s="3"/>
      <c r="Q268" s="3">
        <v>28.0</v>
      </c>
    </row>
    <row r="269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>
      <c r="B271" s="3" t="str">
        <f t="array" ref="B271:Q300">transpose(sort(transpose(Full!A271:R300),1,true))</f>
        <v>Brookfield</v>
      </c>
      <c r="C271" s="3" t="s">
        <v>4</v>
      </c>
      <c r="D271" s="3" t="s">
        <v>5</v>
      </c>
      <c r="E271" s="3" t="s">
        <v>5</v>
      </c>
      <c r="F271" s="3" t="s">
        <v>0</v>
      </c>
      <c r="G271" s="3" t="s">
        <v>0</v>
      </c>
      <c r="H271" s="3" t="s">
        <v>1</v>
      </c>
      <c r="I271" s="3" t="s">
        <v>1</v>
      </c>
      <c r="J271" s="3" t="s">
        <v>7</v>
      </c>
      <c r="K271" s="3" t="s">
        <v>7</v>
      </c>
      <c r="L271" s="3" t="s">
        <v>2</v>
      </c>
      <c r="M271" s="3" t="s">
        <v>2</v>
      </c>
      <c r="N271" s="3" t="s">
        <v>6</v>
      </c>
      <c r="O271" s="3" t="s">
        <v>6</v>
      </c>
      <c r="P271" s="3" t="s">
        <v>3</v>
      </c>
      <c r="Q271" s="3" t="s">
        <v>3</v>
      </c>
    </row>
    <row r="272">
      <c r="B272" s="3" t="s">
        <v>8</v>
      </c>
      <c r="C272" s="3" t="s">
        <v>9</v>
      </c>
      <c r="D272" s="3" t="s">
        <v>8</v>
      </c>
      <c r="E272" s="3" t="s">
        <v>9</v>
      </c>
      <c r="F272" s="3" t="s">
        <v>8</v>
      </c>
      <c r="G272" s="3" t="s">
        <v>9</v>
      </c>
      <c r="H272" s="3" t="s">
        <v>8</v>
      </c>
      <c r="I272" s="3" t="s">
        <v>9</v>
      </c>
      <c r="J272" s="3" t="s">
        <v>8</v>
      </c>
      <c r="K272" s="3" t="s">
        <v>9</v>
      </c>
      <c r="L272" s="3" t="s">
        <v>8</v>
      </c>
      <c r="M272" s="3" t="s">
        <v>9</v>
      </c>
      <c r="N272" s="3" t="s">
        <v>8</v>
      </c>
      <c r="O272" s="3" t="s">
        <v>9</v>
      </c>
      <c r="P272" s="3" t="s">
        <v>8</v>
      </c>
      <c r="Q272" s="3" t="s">
        <v>9</v>
      </c>
    </row>
    <row r="273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>
      <c r="A274" s="3" t="s">
        <v>46</v>
      </c>
      <c r="B274" s="3"/>
      <c r="C274" s="3">
        <v>0.0</v>
      </c>
      <c r="D274" s="3"/>
      <c r="E274" s="3"/>
      <c r="F274" s="3"/>
      <c r="G274" s="3"/>
      <c r="H274" s="3">
        <v>10.0</v>
      </c>
      <c r="I274" s="3">
        <v>14.0</v>
      </c>
      <c r="J274" s="3"/>
      <c r="K274" s="3"/>
      <c r="L274" s="3"/>
      <c r="M274" s="3"/>
      <c r="N274" s="3"/>
      <c r="O274" s="3"/>
      <c r="P274" s="3"/>
      <c r="Q274" s="3"/>
    </row>
    <row r="275">
      <c r="A275" s="3" t="s">
        <v>47</v>
      </c>
      <c r="B275" s="3"/>
      <c r="C275" s="3">
        <v>0.0</v>
      </c>
      <c r="D275" s="3"/>
      <c r="E275" s="3"/>
      <c r="F275" s="3"/>
      <c r="G275" s="3"/>
      <c r="H275" s="3">
        <v>10.0</v>
      </c>
      <c r="I275" s="3">
        <v>28.0</v>
      </c>
      <c r="J275" s="3"/>
      <c r="K275" s="3"/>
      <c r="L275" s="3"/>
      <c r="M275" s="3"/>
      <c r="N275" s="3"/>
      <c r="O275" s="3"/>
      <c r="P275" s="3"/>
      <c r="Q275" s="3"/>
    </row>
    <row r="276">
      <c r="A276" s="3" t="s">
        <v>48</v>
      </c>
      <c r="B276" s="3">
        <v>10.0</v>
      </c>
      <c r="C276" s="3">
        <v>14.0</v>
      </c>
      <c r="D276" s="3"/>
      <c r="E276" s="3"/>
      <c r="F276" s="3"/>
      <c r="G276" s="3"/>
      <c r="H276" s="3"/>
      <c r="I276" s="3">
        <v>28.0</v>
      </c>
      <c r="J276" s="3"/>
      <c r="K276" s="3"/>
      <c r="L276" s="3"/>
      <c r="M276" s="3"/>
      <c r="N276" s="3"/>
      <c r="O276" s="3"/>
      <c r="P276" s="3"/>
      <c r="Q276" s="3"/>
    </row>
    <row r="277">
      <c r="A277" s="3" t="s">
        <v>49</v>
      </c>
      <c r="B277" s="3"/>
      <c r="C277" s="3">
        <v>14.0</v>
      </c>
      <c r="D277" s="3"/>
      <c r="E277" s="3"/>
      <c r="F277" s="3"/>
      <c r="G277" s="3"/>
      <c r="H277" s="3">
        <v>10.0</v>
      </c>
      <c r="I277" s="3">
        <v>42.0</v>
      </c>
      <c r="J277" s="3"/>
      <c r="K277" s="3"/>
      <c r="L277" s="3"/>
      <c r="M277" s="3"/>
      <c r="N277" s="3"/>
      <c r="O277" s="3"/>
      <c r="P277" s="3"/>
      <c r="Q277" s="3"/>
    </row>
    <row r="278">
      <c r="A278" s="3" t="s">
        <v>50</v>
      </c>
      <c r="B278" s="3"/>
      <c r="C278" s="3">
        <v>14.0</v>
      </c>
      <c r="D278" s="3"/>
      <c r="E278" s="3"/>
      <c r="F278" s="3"/>
      <c r="G278" s="3"/>
      <c r="H278" s="3">
        <v>0.0</v>
      </c>
      <c r="I278" s="3">
        <v>50.0</v>
      </c>
      <c r="J278" s="3"/>
      <c r="K278" s="3"/>
      <c r="L278" s="3"/>
      <c r="M278" s="3"/>
      <c r="N278" s="3"/>
      <c r="O278" s="3"/>
      <c r="P278" s="3"/>
      <c r="Q278" s="3"/>
    </row>
    <row r="279">
      <c r="A279" s="3" t="s">
        <v>51</v>
      </c>
      <c r="B279" s="3">
        <v>10.0</v>
      </c>
      <c r="C279" s="3">
        <v>28.0</v>
      </c>
      <c r="D279" s="3"/>
      <c r="E279" s="3"/>
      <c r="F279" s="3"/>
      <c r="G279" s="3"/>
      <c r="H279" s="3"/>
      <c r="I279" s="3">
        <v>50.0</v>
      </c>
      <c r="J279" s="3"/>
      <c r="K279" s="3"/>
      <c r="L279" s="3"/>
      <c r="M279" s="3"/>
      <c r="N279" s="3"/>
      <c r="O279" s="3"/>
      <c r="P279" s="3"/>
      <c r="Q279" s="3"/>
    </row>
    <row r="280">
      <c r="A280" s="3" t="s">
        <v>46</v>
      </c>
      <c r="B280" s="3">
        <v>10.0</v>
      </c>
      <c r="C280" s="3">
        <v>42.0</v>
      </c>
      <c r="D280" s="3"/>
      <c r="E280" s="3"/>
      <c r="F280" s="3"/>
      <c r="G280" s="3"/>
      <c r="H280" s="3"/>
      <c r="I280" s="3">
        <v>50.0</v>
      </c>
      <c r="J280" s="3"/>
      <c r="K280" s="3"/>
      <c r="L280" s="3"/>
      <c r="M280" s="3"/>
      <c r="N280" s="3"/>
      <c r="O280" s="3"/>
      <c r="P280" s="3"/>
      <c r="Q280" s="3"/>
    </row>
    <row r="281">
      <c r="A281" s="3" t="s">
        <v>47</v>
      </c>
      <c r="B281" s="3"/>
      <c r="C281" s="3">
        <v>42.0</v>
      </c>
      <c r="D281" s="3"/>
      <c r="E281" s="3"/>
      <c r="F281" s="3"/>
      <c r="G281" s="3"/>
      <c r="H281" s="3">
        <v>0.0</v>
      </c>
      <c r="I281" s="3">
        <v>54.0</v>
      </c>
      <c r="J281" s="3"/>
      <c r="K281" s="3"/>
      <c r="L281" s="3"/>
      <c r="M281" s="3"/>
      <c r="N281" s="3"/>
      <c r="O281" s="3"/>
      <c r="P281" s="3"/>
      <c r="Q281" s="3"/>
    </row>
    <row r="282">
      <c r="A282" s="3" t="s">
        <v>48</v>
      </c>
      <c r="B282" s="3"/>
      <c r="C282" s="3">
        <v>42.0</v>
      </c>
      <c r="D282" s="3"/>
      <c r="E282" s="3"/>
      <c r="F282" s="3"/>
      <c r="G282" s="3"/>
      <c r="H282" s="3"/>
      <c r="I282" s="3">
        <v>54.0</v>
      </c>
      <c r="J282" s="3"/>
      <c r="K282" s="3"/>
      <c r="L282" s="3"/>
      <c r="M282" s="3"/>
      <c r="N282" s="3"/>
      <c r="O282" s="3"/>
      <c r="P282" s="3"/>
      <c r="Q282" s="3"/>
    </row>
    <row r="283">
      <c r="A283" s="3" t="s">
        <v>49</v>
      </c>
      <c r="B283" s="3">
        <v>0.0</v>
      </c>
      <c r="C283" s="3">
        <v>46.0</v>
      </c>
      <c r="D283" s="3"/>
      <c r="E283" s="3"/>
      <c r="F283" s="3"/>
      <c r="G283" s="3"/>
      <c r="H283" s="3"/>
      <c r="I283" s="3">
        <v>54.0</v>
      </c>
      <c r="J283" s="3"/>
      <c r="K283" s="3"/>
      <c r="L283" s="3"/>
      <c r="M283" s="3"/>
      <c r="N283" s="3"/>
      <c r="O283" s="3"/>
      <c r="P283" s="3"/>
      <c r="Q283" s="3"/>
    </row>
    <row r="284">
      <c r="A284" s="3" t="s">
        <v>50</v>
      </c>
      <c r="B284" s="3"/>
      <c r="C284" s="3">
        <v>46.0</v>
      </c>
      <c r="D284" s="3"/>
      <c r="E284" s="3"/>
      <c r="F284" s="3"/>
      <c r="G284" s="3"/>
      <c r="H284" s="3">
        <v>0.0</v>
      </c>
      <c r="I284" s="3">
        <v>58.0</v>
      </c>
      <c r="J284" s="3"/>
      <c r="K284" s="3"/>
      <c r="L284" s="3"/>
      <c r="M284" s="3"/>
      <c r="N284" s="3"/>
      <c r="O284" s="3"/>
      <c r="P284" s="3"/>
      <c r="Q284" s="3"/>
    </row>
    <row r="285">
      <c r="A285" s="3" t="s">
        <v>51</v>
      </c>
      <c r="B285" s="3">
        <v>0.0</v>
      </c>
      <c r="C285" s="3">
        <v>50.0</v>
      </c>
      <c r="D285" s="3"/>
      <c r="E285" s="3"/>
      <c r="F285" s="3"/>
      <c r="G285" s="3"/>
      <c r="H285" s="3"/>
      <c r="I285" s="3">
        <v>58.0</v>
      </c>
      <c r="J285" s="3"/>
      <c r="K285" s="3"/>
      <c r="L285" s="3"/>
      <c r="M285" s="3"/>
      <c r="N285" s="3"/>
      <c r="O285" s="3"/>
      <c r="P285" s="3"/>
      <c r="Q285" s="3"/>
    </row>
    <row r="286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>
      <c r="A287" s="3" t="s">
        <v>46</v>
      </c>
      <c r="B287" s="3"/>
      <c r="C287" s="3">
        <v>54.0</v>
      </c>
      <c r="D287" s="3"/>
      <c r="E287" s="3"/>
      <c r="F287" s="3"/>
      <c r="G287" s="3"/>
      <c r="H287" s="3"/>
      <c r="I287" s="3">
        <v>58.0</v>
      </c>
      <c r="J287" s="3"/>
      <c r="K287" s="3"/>
      <c r="L287" s="3"/>
      <c r="M287" s="3"/>
      <c r="N287" s="3"/>
      <c r="O287" s="3"/>
      <c r="P287" s="3"/>
      <c r="Q287" s="3"/>
    </row>
    <row r="288">
      <c r="A288" s="3" t="s">
        <v>47</v>
      </c>
      <c r="B288" s="3">
        <v>0.0</v>
      </c>
      <c r="C288" s="3">
        <v>58.0</v>
      </c>
      <c r="D288" s="3"/>
      <c r="E288" s="3"/>
      <c r="F288" s="3"/>
      <c r="G288" s="3"/>
      <c r="H288" s="3"/>
      <c r="I288" s="3">
        <v>58.0</v>
      </c>
      <c r="J288" s="3"/>
      <c r="K288" s="3"/>
      <c r="L288" s="3"/>
      <c r="M288" s="3"/>
      <c r="N288" s="3"/>
      <c r="O288" s="3"/>
      <c r="P288" s="3"/>
      <c r="Q288" s="3"/>
    </row>
    <row r="289">
      <c r="A289" s="3" t="s">
        <v>48</v>
      </c>
      <c r="B289" s="3">
        <v>10.0</v>
      </c>
      <c r="C289" s="3">
        <v>72.0</v>
      </c>
      <c r="D289" s="3"/>
      <c r="E289" s="3"/>
      <c r="F289" s="3"/>
      <c r="G289" s="3"/>
      <c r="H289" s="3"/>
      <c r="I289" s="3">
        <v>58.0</v>
      </c>
      <c r="J289" s="3"/>
      <c r="K289" s="3"/>
      <c r="L289" s="3"/>
      <c r="M289" s="3"/>
      <c r="N289" s="3"/>
      <c r="O289" s="3"/>
      <c r="P289" s="3"/>
      <c r="Q289" s="3"/>
    </row>
    <row r="290">
      <c r="A290" s="3" t="s">
        <v>49</v>
      </c>
      <c r="B290" s="3"/>
      <c r="C290" s="3">
        <v>72.0</v>
      </c>
      <c r="D290" s="3"/>
      <c r="E290" s="3"/>
      <c r="F290" s="3"/>
      <c r="G290" s="3"/>
      <c r="H290" s="3">
        <v>10.0</v>
      </c>
      <c r="I290" s="3">
        <v>72.0</v>
      </c>
      <c r="J290" s="3"/>
      <c r="K290" s="3"/>
      <c r="L290" s="3"/>
      <c r="M290" s="3"/>
      <c r="N290" s="3"/>
      <c r="O290" s="3"/>
      <c r="P290" s="3"/>
      <c r="Q290" s="3"/>
    </row>
    <row r="291">
      <c r="A291" s="3" t="s">
        <v>50</v>
      </c>
      <c r="B291" s="3"/>
      <c r="C291" s="3">
        <v>72.0</v>
      </c>
      <c r="D291" s="3"/>
      <c r="E291" s="3"/>
      <c r="F291" s="3"/>
      <c r="G291" s="3"/>
      <c r="H291" s="3">
        <v>10.0</v>
      </c>
      <c r="I291" s="3">
        <v>86.0</v>
      </c>
      <c r="J291" s="3"/>
      <c r="K291" s="3"/>
      <c r="L291" s="3"/>
      <c r="M291" s="3"/>
      <c r="N291" s="3"/>
      <c r="O291" s="3"/>
      <c r="P291" s="3"/>
      <c r="Q291" s="3"/>
    </row>
    <row r="292">
      <c r="A292" s="3" t="s">
        <v>51</v>
      </c>
      <c r="B292" s="3"/>
      <c r="C292" s="3">
        <v>72.0</v>
      </c>
      <c r="D292" s="3"/>
      <c r="E292" s="3"/>
      <c r="F292" s="3"/>
      <c r="G292" s="3"/>
      <c r="H292" s="3">
        <v>0.0</v>
      </c>
      <c r="I292" s="3">
        <v>90.0</v>
      </c>
      <c r="J292" s="3"/>
      <c r="K292" s="3"/>
      <c r="L292" s="3"/>
      <c r="M292" s="3"/>
      <c r="N292" s="3"/>
      <c r="O292" s="3"/>
      <c r="P292" s="3"/>
      <c r="Q292" s="3"/>
    </row>
    <row r="293">
      <c r="A293" s="3" t="s">
        <v>46</v>
      </c>
      <c r="B293" s="3">
        <v>0.0</v>
      </c>
      <c r="C293" s="3">
        <v>76.0</v>
      </c>
      <c r="D293" s="3"/>
      <c r="E293" s="3"/>
      <c r="F293" s="3"/>
      <c r="G293" s="3"/>
      <c r="H293" s="3"/>
      <c r="I293" s="3">
        <v>90.0</v>
      </c>
      <c r="J293" s="3"/>
      <c r="K293" s="3"/>
      <c r="L293" s="3"/>
      <c r="M293" s="3"/>
      <c r="N293" s="3"/>
      <c r="O293" s="3"/>
      <c r="P293" s="3"/>
      <c r="Q293" s="3"/>
    </row>
    <row r="294">
      <c r="A294" s="3" t="s">
        <v>47</v>
      </c>
      <c r="B294" s="3">
        <v>10.0</v>
      </c>
      <c r="C294" s="3">
        <v>90.0</v>
      </c>
      <c r="D294" s="3"/>
      <c r="E294" s="3"/>
      <c r="F294" s="3"/>
      <c r="G294" s="3"/>
      <c r="H294" s="3"/>
      <c r="I294" s="3">
        <v>90.0</v>
      </c>
      <c r="J294" s="3"/>
      <c r="K294" s="3"/>
      <c r="L294" s="3"/>
      <c r="M294" s="3"/>
      <c r="N294" s="3"/>
      <c r="O294" s="3"/>
      <c r="P294" s="3"/>
      <c r="Q294" s="3"/>
    </row>
    <row r="295">
      <c r="A295" s="3" t="s">
        <v>48</v>
      </c>
      <c r="B295" s="3"/>
      <c r="C295" s="3">
        <v>90.0</v>
      </c>
      <c r="D295" s="3"/>
      <c r="E295" s="3"/>
      <c r="F295" s="3"/>
      <c r="G295" s="3"/>
      <c r="H295" s="3">
        <v>10.0</v>
      </c>
      <c r="I295" s="3">
        <v>104.0</v>
      </c>
      <c r="J295" s="3"/>
      <c r="K295" s="3"/>
      <c r="L295" s="3"/>
      <c r="M295" s="3"/>
      <c r="N295" s="3"/>
      <c r="O295" s="3"/>
      <c r="P295" s="3"/>
      <c r="Q295" s="3"/>
    </row>
    <row r="296">
      <c r="A296" s="3" t="s">
        <v>49</v>
      </c>
      <c r="B296" s="3"/>
      <c r="C296" s="3">
        <v>94.0</v>
      </c>
      <c r="D296" s="3"/>
      <c r="E296" s="3"/>
      <c r="F296" s="3"/>
      <c r="G296" s="3"/>
      <c r="H296" s="3"/>
      <c r="I296" s="3">
        <v>104.0</v>
      </c>
      <c r="J296" s="3"/>
      <c r="K296" s="3"/>
      <c r="L296" s="3"/>
      <c r="M296" s="3"/>
      <c r="N296" s="3"/>
      <c r="O296" s="3"/>
      <c r="P296" s="3"/>
      <c r="Q296" s="3"/>
    </row>
    <row r="297">
      <c r="A297" s="3" t="s">
        <v>50</v>
      </c>
      <c r="B297" s="3"/>
      <c r="C297" s="3">
        <v>94.0</v>
      </c>
      <c r="D297" s="3"/>
      <c r="E297" s="3"/>
      <c r="F297" s="3"/>
      <c r="G297" s="3"/>
      <c r="H297" s="3">
        <v>0.0</v>
      </c>
      <c r="I297" s="3">
        <v>108.0</v>
      </c>
      <c r="J297" s="3"/>
      <c r="K297" s="3"/>
      <c r="L297" s="3"/>
      <c r="M297" s="3"/>
      <c r="N297" s="3"/>
      <c r="O297" s="3"/>
      <c r="P297" s="3"/>
      <c r="Q297" s="3"/>
    </row>
    <row r="298">
      <c r="A298" s="3" t="s">
        <v>51</v>
      </c>
      <c r="B298" s="3">
        <v>10.0</v>
      </c>
      <c r="C298" s="3">
        <v>112.0</v>
      </c>
      <c r="D298" s="3"/>
      <c r="E298" s="3"/>
      <c r="F298" s="3"/>
      <c r="G298" s="3"/>
      <c r="H298" s="3"/>
      <c r="I298" s="3">
        <v>108.0</v>
      </c>
      <c r="J298" s="3"/>
      <c r="K298" s="3"/>
      <c r="L298" s="3"/>
      <c r="M298" s="3"/>
      <c r="N298" s="3"/>
      <c r="O298" s="3"/>
      <c r="P298" s="3"/>
      <c r="Q298" s="3"/>
    </row>
    <row r="299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>
      <c r="B301" s="3" t="str">
        <f t="array" ref="B301:Q330">transpose(sort(transpose(Full!A301:R330),1,true))</f>
        <v/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>
      <c r="A304" s="3" t="s">
        <v>46</v>
      </c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>
      <c r="A305" s="3" t="s">
        <v>47</v>
      </c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>
      <c r="A306" s="3" t="s">
        <v>48</v>
      </c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>
      <c r="A307" s="3" t="s">
        <v>49</v>
      </c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>
      <c r="A308" s="3" t="s">
        <v>50</v>
      </c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>
      <c r="A309" s="3" t="s">
        <v>51</v>
      </c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>
      <c r="A310" s="3" t="s">
        <v>46</v>
      </c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>
      <c r="A311" s="3" t="s">
        <v>47</v>
      </c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>
      <c r="A312" s="3" t="s">
        <v>48</v>
      </c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>
      <c r="A313" s="3" t="s">
        <v>49</v>
      </c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>
      <c r="A314" s="3" t="s">
        <v>50</v>
      </c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>
      <c r="A315" s="3" t="s">
        <v>51</v>
      </c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>
      <c r="A317" s="3" t="s">
        <v>46</v>
      </c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>
      <c r="A318" s="3" t="s">
        <v>47</v>
      </c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>
      <c r="A319" s="3" t="s">
        <v>48</v>
      </c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>
      <c r="A320" s="3" t="s">
        <v>49</v>
      </c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>
      <c r="A321" s="3" t="s">
        <v>50</v>
      </c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>
      <c r="A322" s="3" t="s">
        <v>51</v>
      </c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>
      <c r="A323" s="3" t="s">
        <v>46</v>
      </c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>
      <c r="A324" s="3" t="s">
        <v>47</v>
      </c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>
      <c r="A325" s="3" t="s">
        <v>48</v>
      </c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>
      <c r="A326" s="3" t="s">
        <v>49</v>
      </c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>
      <c r="A327" s="3" t="s">
        <v>50</v>
      </c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>
      <c r="A328" s="3" t="s">
        <v>51</v>
      </c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>
      <c r="A331" s="2"/>
      <c r="B331" s="3" t="str">
        <f>B1</f>
        <v>Brookfield</v>
      </c>
      <c r="D331" s="3" t="str">
        <f>D1</f>
        <v>Eisenhower A</v>
      </c>
      <c r="F331" s="3" t="str">
        <f>F1</f>
        <v>Eisenhower B</v>
      </c>
      <c r="H331" s="3" t="str">
        <f>H1</f>
        <v>Middleton A</v>
      </c>
      <c r="J331" s="3" t="str">
        <f>J1</f>
        <v>Middleton B</v>
      </c>
      <c r="L331" s="3" t="str">
        <f>L1</f>
        <v>Middleton C</v>
      </c>
      <c r="N331" s="3" t="str">
        <f>N1</f>
        <v>West</v>
      </c>
      <c r="P331" s="3" t="str">
        <f>P1</f>
        <v>Whitney Young</v>
      </c>
    </row>
    <row r="332">
      <c r="A332" s="2" t="s">
        <v>59</v>
      </c>
      <c r="B332" s="3">
        <f>average(C28,C58,C88,C118,C148,C178,C208,C238,C268,C298,C328)</f>
        <v>152.75</v>
      </c>
      <c r="D332" s="3">
        <f>average(E28,E58,E88,E118,E148,E178,E208,E238,E268,E298,E328)</f>
        <v>69</v>
      </c>
      <c r="F332" s="3">
        <f>average(G28,G58,G88,G118,G148,G178,G208,G238,G268,G298,G328)</f>
        <v>35.33333333</v>
      </c>
      <c r="H332" s="3">
        <f>average(I28,I58,I88,I118,I148,I178,I208,I238,I268,I298,I328)</f>
        <v>136</v>
      </c>
      <c r="J332" s="3">
        <f>average(K28,K58,K88,K118,K148,K178,K208,K238,K268,K298,K328)</f>
        <v>49</v>
      </c>
      <c r="L332" s="3">
        <f>average(M28,M58,M88,M118,M148,M178,M208,M238,M268,M298,M328)</f>
        <v>38</v>
      </c>
      <c r="N332" s="3">
        <f>average(O28,O58,O88,O118,O148,O178,O208,O238,O268,O298,O328)</f>
        <v>56.33333333</v>
      </c>
      <c r="P332" s="3">
        <f>average(Q28,Q58,Q88,Q118,Q148,Q178,Q208,Q238,Q268,Q298,Q328)</f>
        <v>77.11111111</v>
      </c>
    </row>
    <row r="333">
      <c r="A333" s="2" t="s">
        <v>54</v>
      </c>
      <c r="B333" s="2">
        <v>8.0</v>
      </c>
      <c r="D333" s="2">
        <v>8.0</v>
      </c>
      <c r="F333" s="2">
        <v>6.0</v>
      </c>
      <c r="H333" s="2">
        <v>9.0</v>
      </c>
      <c r="J333" s="2">
        <v>8.0</v>
      </c>
      <c r="L333" s="2">
        <v>8.0</v>
      </c>
      <c r="N333" s="2">
        <v>6.0</v>
      </c>
      <c r="P333" s="2">
        <v>9.0</v>
      </c>
    </row>
    <row r="334">
      <c r="A334" s="2" t="s">
        <v>8</v>
      </c>
      <c r="B334" s="3">
        <f>countif(B1:B330,"10")</f>
        <v>77</v>
      </c>
      <c r="D334" s="3">
        <f>countif(D1:D330,"10")</f>
        <v>26</v>
      </c>
      <c r="F334" s="3">
        <f>countif(F1:F330,"10")</f>
        <v>8</v>
      </c>
      <c r="H334" s="3">
        <f>countif(H1:H330,"10")</f>
        <v>76</v>
      </c>
      <c r="J334" s="3">
        <f>countif(J1:J330,"10")</f>
        <v>16</v>
      </c>
      <c r="L334" s="3">
        <f>countif(L1:L330,"10")</f>
        <v>12</v>
      </c>
      <c r="N334" s="3">
        <f>countif(N1:N330,"10")</f>
        <v>17</v>
      </c>
      <c r="P334" s="3">
        <f>countif(P1:P330,"10")</f>
        <v>33</v>
      </c>
    </row>
    <row r="335">
      <c r="A335" s="2" t="s">
        <v>79</v>
      </c>
      <c r="B335" s="3">
        <f>countif(B1:B330,"10")/(countif(B1:B330,"10")+countif(B1:B330,"0"))</f>
        <v>0.7264150943</v>
      </c>
      <c r="D335" s="3">
        <f>countif(D1:D330,"10")/(countif(D1:D330,"10")+countif(D1:D330,"0"))</f>
        <v>0.40625</v>
      </c>
      <c r="F335" s="3">
        <f>countif(F1:F330,"10")/(countif(F1:F330,"10")+countif(F1:F330,"0"))</f>
        <v>0.275862069</v>
      </c>
      <c r="H335" s="3">
        <f>countif(H1:H330,"10")/(countif(H1:H330,"10")+countif(H1:H330,"0"))</f>
        <v>0.7378640777</v>
      </c>
      <c r="J335" s="3">
        <f>countif(J1:J330,"10")/(countif(J1:J330,"10")+countif(J1:J330,"0"))</f>
        <v>0.3333333333</v>
      </c>
      <c r="L335" s="3">
        <f>countif(L1:L330,"10")/(countif(L1:L330,"10")+countif(L1:L330,"0"))</f>
        <v>0.3243243243</v>
      </c>
      <c r="N335" s="3">
        <f>countif(N1:N330,"10")/(countif(N1:N330,"10")+countif(N1:N330,"0"))</f>
        <v>0.4857142857</v>
      </c>
      <c r="P335" s="3">
        <f>countif(P1:P330,"10")/(countif(P1:P330,"10")+countif(P1:P330,"0"))</f>
        <v>0.4459459459</v>
      </c>
    </row>
    <row r="336">
      <c r="A336" s="2" t="s">
        <v>80</v>
      </c>
      <c r="B336" s="3">
        <f>countifs(B$2:B$330,"10",$A$2:$A$330,"X")</f>
        <v>14</v>
      </c>
      <c r="D336" s="3">
        <f>countifs(D$2:D$330,"10",$A$2:$A$330,"X")</f>
        <v>5</v>
      </c>
      <c r="F336" s="3">
        <f>countifs(F$2:F$330,"10",$A$2:$A$330,"X")</f>
        <v>4</v>
      </c>
      <c r="H336" s="3">
        <f>countifs(H$2:H$330,"10",$A$2:$A$330,"X")</f>
        <v>12</v>
      </c>
      <c r="J336" s="3">
        <f>countifs(J$2:J$330,"10",$A$2:$A$330,"X")</f>
        <v>2</v>
      </c>
      <c r="L336" s="3">
        <f>countifs(L$2:L$330,"10",$A$2:$A$330,"X")</f>
        <v>6</v>
      </c>
      <c r="N336" s="3">
        <f>countifs(N$2:N$330,"10",$A$2:$A$330,"X")</f>
        <v>2</v>
      </c>
      <c r="P336" s="3">
        <f>countifs(P$2:P$330,"10",$A$2:$A$330,"X")</f>
        <v>5</v>
      </c>
    </row>
    <row r="337">
      <c r="A337" s="2" t="s">
        <v>81</v>
      </c>
      <c r="B337" s="3">
        <f>countifs(B$1:B$330,"10",$A$1:$A$330,"X")/(countifs(B$1:B$330,"10",$A$1:$A$330,"X")+COUNTIFS(B$1:B$330,"0",$A$1:$A$330,"X"))</f>
        <v>0.875</v>
      </c>
      <c r="D337" s="3">
        <f>countifs(D$1:D$330,"10",$A$1:$A$330,"X")/(countifs(D$1:D$330,"10",$A$1:$A$330,"X")+COUNTIFS(D$1:D$330,"0",$A$1:$A$330,"X"))</f>
        <v>0.625</v>
      </c>
      <c r="F337" s="3">
        <f>countifs(F$1:F$330,"10",$A$1:$A$330,"X")/(countifs(F$1:F$330,"10",$A$1:$A$330,"X")+COUNTIFS(F$1:F$330,"0",$A$1:$A$330,"X"))</f>
        <v>1</v>
      </c>
      <c r="H337" s="3">
        <f>countifs(H$1:H$330,"10",$A$1:$A$330,"X")/(countifs(H$1:H$330,"10",$A$1:$A$330,"X")+COUNTIFS(H$1:H$330,"0",$A$1:$A$330,"X"))</f>
        <v>0.75</v>
      </c>
      <c r="J337" s="3">
        <f>countifs(J$1:J$330,"10",$A$1:$A$330,"X")/(countifs(J$1:J$330,"10",$A$1:$A$330,"X")+COUNTIFS(J$1:J$330,"0",$A$1:$A$330,"X"))</f>
        <v>0.3333333333</v>
      </c>
      <c r="L337" s="3">
        <f>countifs(L$1:L$330,"10",$A$1:$A$330,"X")/(countifs(L$1:L$330,"10",$A$1:$A$330,"X")+COUNTIFS(L$1:L$330,"0",$A$1:$A$330,"X"))</f>
        <v>0.8571428571</v>
      </c>
      <c r="N337" s="3">
        <f>countifs(N$1:N$330,"10",$A$1:$A$330,"X")/(countifs(N$1:N$330,"10",$A$1:$A$330,"X")+COUNTIFS(N$1:N$330,"0",$A$1:$A$330,"X"))</f>
        <v>0.3333333333</v>
      </c>
      <c r="P337" s="3">
        <f>countifs(P$1:P$330,"10",$A$1:$A$330,"X")/(countifs(P$1:P$330,"10",$A$1:$A$330,"X")+COUNTIFS(P$1:P$330,"0",$A$1:$A$330,"X"))</f>
        <v>0.4545454545</v>
      </c>
    </row>
    <row r="338">
      <c r="A338" s="2" t="s">
        <v>82</v>
      </c>
      <c r="B338" s="3">
        <f>countifs(B$2:B$330,"10",$A$2:$A$330,"M")</f>
        <v>12</v>
      </c>
      <c r="D338" s="3">
        <f>countifs(D$2:D$330,"10",$A$2:$A$330,"M")</f>
        <v>2</v>
      </c>
      <c r="F338" s="3">
        <f>countifs(F$2:F$330,"10",$A$2:$A$330,"M")</f>
        <v>0</v>
      </c>
      <c r="H338" s="3">
        <f>countifs(H$2:H$330,"10",$A$2:$A$330,"M")</f>
        <v>10</v>
      </c>
      <c r="J338" s="3">
        <f>countifs(J$2:J$330,"10",$A$2:$A$330,"M")</f>
        <v>5</v>
      </c>
      <c r="L338" s="3">
        <f>countifs(L$2:L$330,"10",$A$2:$A$330,"M")</f>
        <v>1</v>
      </c>
      <c r="N338" s="3">
        <f>countifs(N$2:N$330,"10",$A$2:$A$330,"M")</f>
        <v>6</v>
      </c>
      <c r="P338" s="3">
        <f>countifs(P$2:P$330,"10",$A$2:$A$330,"M")</f>
        <v>13</v>
      </c>
    </row>
    <row r="339">
      <c r="A339" s="2" t="s">
        <v>83</v>
      </c>
      <c r="B339" s="3">
        <f>countifs(B$1:B$330,"10",$A$1:$A$330,"M")/(countifs(B$1:B$330,"10",$A$1:$A$330,"M")+COUNTIFS(B$1:B$330,"0",$A$1:$A$330,"M"))</f>
        <v>0.6</v>
      </c>
      <c r="D339" s="3">
        <f>countifs(D$1:D$330,"10",$A$1:$A$330,"M")/(countifs(D$1:D$330,"10",$A$1:$A$330,"M")+COUNTIFS(D$1:D$330,"0",$A$1:$A$330,"M"))</f>
        <v>0.2222222222</v>
      </c>
      <c r="F339" s="3">
        <f>countifs(F$1:F$330,"10",$A$1:$A$330,"M")/(countifs(F$1:F$330,"10",$A$1:$A$330,"M")+COUNTIFS(F$1:F$330,"0",$A$1:$A$330,"M"))</f>
        <v>0</v>
      </c>
      <c r="H339" s="3">
        <f>countifs(H$1:H$330,"10",$A$1:$A$330,"M")/(countifs(H$1:H$330,"10",$A$1:$A$330,"M")+COUNTIFS(H$1:H$330,"0",$A$1:$A$330,"M"))</f>
        <v>0.6666666667</v>
      </c>
      <c r="J339" s="3">
        <f>countifs(J$1:J$330,"10",$A$1:$A$330,"M")/(countifs(J$1:J$330,"10",$A$1:$A$330,"M")+COUNTIFS(J$1:J$330,"0",$A$1:$A$330,"M"))</f>
        <v>0.4545454545</v>
      </c>
      <c r="L339" s="3">
        <f>countifs(L$1:L$330,"10",$A$1:$A$330,"M")/(countifs(L$1:L$330,"10",$A$1:$A$330,"M")+COUNTIFS(L$1:L$330,"0",$A$1:$A$330,"M"))</f>
        <v>0.1111111111</v>
      </c>
      <c r="N339" s="3">
        <f>countifs(N$1:N$330,"10",$A$1:$A$330,"M")/(countifs(N$1:N$330,"10",$A$1:$A$330,"M")+COUNTIFS(N$1:N$330,"0",$A$1:$A$330,"M"))</f>
        <v>0.6</v>
      </c>
      <c r="P339" s="3">
        <f>countifs(P$1:P$330,"10",$A$1:$A$330,"M")/(countifs(P$1:P$330,"10",$A$1:$A$330,"M")+COUNTIFS(P$1:P$330,"0",$A$1:$A$330,"M"))</f>
        <v>0.5909090909</v>
      </c>
    </row>
    <row r="340">
      <c r="A340" s="2" t="s">
        <v>84</v>
      </c>
      <c r="B340" s="3">
        <f>countifs(B$2:B$330,"10",$A$2:$A$330,"C")</f>
        <v>16</v>
      </c>
      <c r="D340" s="3">
        <f>countifs(D$2:D$330,"10",$A$2:$A$330,"C")</f>
        <v>5</v>
      </c>
      <c r="F340" s="3">
        <f>countifs(F$2:F$330,"10",$A$2:$A$330,"C")</f>
        <v>1</v>
      </c>
      <c r="H340" s="3">
        <f>countifs(H$2:H$330,"10",$A$2:$A$330,"C")</f>
        <v>15</v>
      </c>
      <c r="J340" s="3">
        <f>countifs(J$2:J$330,"10",$A$2:$A$330,"C")</f>
        <v>2</v>
      </c>
      <c r="L340" s="3">
        <f>countifs(L$2:L$330,"10",$A$2:$A$330,"C")</f>
        <v>0</v>
      </c>
      <c r="N340" s="3">
        <f>countifs(N$2:N$330,"10",$A$2:$A$330,"C")</f>
        <v>2</v>
      </c>
      <c r="P340" s="3">
        <f>countifs(P$2:P$330,"10",$A$2:$A$330,"C")</f>
        <v>4</v>
      </c>
    </row>
    <row r="341">
      <c r="A341" s="2" t="s">
        <v>85</v>
      </c>
      <c r="B341" s="3">
        <f>countifs(B$1:B$330,"10",$A$1:$A$330,"C")/(countifs(B$1:B$330,"10",$A$1:$A$330,"C")+COUNTIFS(B$1:B$330,"0",$A$1:$A$330,"C"))</f>
        <v>0.8</v>
      </c>
      <c r="D341" s="3">
        <f>countifs(D$1:D$330,"10",$A$1:$A$330,"C")/(countifs(D$1:D$330,"10",$A$1:$A$330,"C")+COUNTIFS(D$1:D$330,"0",$A$1:$A$330,"C"))</f>
        <v>0.4166666667</v>
      </c>
      <c r="F341" s="3">
        <f>countifs(F$1:F$330,"10",$A$1:$A$330,"C")/(countifs(F$1:F$330,"10",$A$1:$A$330,"C")+COUNTIFS(F$1:F$330,"0",$A$1:$A$330,"C"))</f>
        <v>0.3333333333</v>
      </c>
      <c r="H341" s="3">
        <f>countifs(H$1:H$330,"10",$A$1:$A$330,"C")/(countifs(H$1:H$330,"10",$A$1:$A$330,"C")+COUNTIFS(H$1:H$330,"0",$A$1:$A$330,"C"))</f>
        <v>0.7894736842</v>
      </c>
      <c r="J341" s="3">
        <f>countifs(J$1:J$330,"10",$A$1:$A$330,"C")/(countifs(J$1:J$330,"10",$A$1:$A$330,"C")+COUNTIFS(J$1:J$330,"0",$A$1:$A$330,"C"))</f>
        <v>0.5</v>
      </c>
      <c r="L341" s="3">
        <f>countifs(L$1:L$330,"10",$A$1:$A$330,"C")/(countifs(L$1:L$330,"10",$A$1:$A$330,"C")+COUNTIFS(L$1:L$330,"0",$A$1:$A$330,"C"))</f>
        <v>0</v>
      </c>
      <c r="N341" s="3">
        <f>countifs(N$1:N$330,"10",$A$1:$A$330,"C")/(countifs(N$1:N$330,"10",$A$1:$A$330,"C")+COUNTIFS(N$1:N$330,"0",$A$1:$A$330,"C"))</f>
        <v>0.4</v>
      </c>
      <c r="P341" s="3">
        <f>countifs(P$1:P$330,"10",$A$1:$A$330,"C")/(countifs(P$1:P$330,"10",$A$1:$A$330,"C")+COUNTIFS(P$1:P$330,"0",$A$1:$A$330,"C"))</f>
        <v>0.4</v>
      </c>
    </row>
    <row r="342">
      <c r="A342" s="2" t="s">
        <v>86</v>
      </c>
      <c r="B342" s="3">
        <f>countifs(B$2:B$330,"10",$A$2:$A$330,"E")</f>
        <v>11</v>
      </c>
      <c r="D342" s="3">
        <f>countifs(D$2:D$330,"10",$A$2:$A$330,"E")</f>
        <v>6</v>
      </c>
      <c r="F342" s="3">
        <f>countifs(F$2:F$330,"10",$A$2:$A$330,"E")</f>
        <v>1</v>
      </c>
      <c r="H342" s="3">
        <f>countifs(H$2:H$330,"10",$A$2:$A$330,"E")</f>
        <v>20</v>
      </c>
      <c r="J342" s="3">
        <f>countifs(J$2:J$330,"10",$A$2:$A$330,"E")</f>
        <v>5</v>
      </c>
      <c r="L342" s="3">
        <f>countifs(L$2:L$330,"10",$A$2:$A$330,"E")</f>
        <v>3</v>
      </c>
      <c r="N342" s="3">
        <f>countifs(N$2:N$330,"10",$A$2:$A$330,"E")</f>
        <v>5</v>
      </c>
      <c r="P342" s="3">
        <f>countifs(P$2:P$330,"10",$A$2:$A$330,"E")</f>
        <v>4</v>
      </c>
    </row>
    <row r="343">
      <c r="A343" s="2" t="s">
        <v>87</v>
      </c>
      <c r="B343" s="3">
        <f>countifs(B$1:B$330,"10",$A$1:$A$330,"E")/(countifs(B$1:B$330,"10",$A$1:$A$330,"E")+COUNTIFS(B$1:B$330,"0",$A$1:$A$330,"E"))</f>
        <v>0.7333333333</v>
      </c>
      <c r="D343" s="3">
        <f>countifs(D$1:D$330,"10",$A$1:$A$330,"E")/(countifs(D$1:D$330,"10",$A$1:$A$330,"E")+COUNTIFS(D$1:D$330,"0",$A$1:$A$330,"E"))</f>
        <v>0.5</v>
      </c>
      <c r="F343" s="3">
        <f>countifs(F$1:F$330,"10",$A$1:$A$330,"E")/(countifs(F$1:F$330,"10",$A$1:$A$330,"E")+COUNTIFS(F$1:F$330,"0",$A$1:$A$330,"E"))</f>
        <v>0.25</v>
      </c>
      <c r="H343" s="3">
        <f>countifs(H$1:H$330,"10",$A$1:$A$330,"E")/(countifs(H$1:H$330,"10",$A$1:$A$330,"E")+COUNTIFS(H$1:H$330,"0",$A$1:$A$330,"E"))</f>
        <v>0.8333333333</v>
      </c>
      <c r="J343" s="3">
        <f>countifs(J$1:J$330,"10",$A$1:$A$330,"E")/(countifs(J$1:J$330,"10",$A$1:$A$330,"E")+COUNTIFS(J$1:J$330,"0",$A$1:$A$330,"E"))</f>
        <v>0.4545454545</v>
      </c>
      <c r="L343" s="3">
        <f>countifs(L$1:L$330,"10",$A$1:$A$330,"E")/(countifs(L$1:L$330,"10",$A$1:$A$330,"E")+COUNTIFS(L$1:L$330,"0",$A$1:$A$330,"E"))</f>
        <v>0.5</v>
      </c>
      <c r="N343" s="3">
        <f>countifs(N$1:N$330,"10",$A$1:$A$330,"E")/(countifs(N$1:N$330,"10",$A$1:$A$330,"E")+COUNTIFS(N$1:N$330,"0",$A$1:$A$330,"E"))</f>
        <v>0.7142857143</v>
      </c>
      <c r="P343" s="3">
        <f>countifs(P$1:P$330,"10",$A$1:$A$330,"E")/(countifs(P$1:P$330,"10",$A$1:$A$330,"E")+COUNTIFS(P$1:P$330,"0",$A$1:$A$330,"E"))</f>
        <v>0.2857142857</v>
      </c>
    </row>
    <row r="344">
      <c r="A344" s="2" t="s">
        <v>88</v>
      </c>
      <c r="B344" s="3">
        <f>countifs(B$2:B$330,"10",$A$2:$A$330,"B")</f>
        <v>9</v>
      </c>
      <c r="D344" s="3">
        <f>countifs(D$2:D$330,"10",$A$2:$A$330,"B")</f>
        <v>5</v>
      </c>
      <c r="F344" s="3">
        <f>countifs(F$2:F$330,"10",$A$2:$A$330,"B")</f>
        <v>2</v>
      </c>
      <c r="H344" s="3">
        <f>countifs(H$2:H$330,"10",$A$2:$A$330,"B")</f>
        <v>14</v>
      </c>
      <c r="J344" s="3">
        <f>countifs(J$2:J$330,"10",$A$2:$A$330,"B")</f>
        <v>2</v>
      </c>
      <c r="L344" s="3">
        <f>countifs(L$2:L$330,"10",$A$2:$A$330,"B")</f>
        <v>0</v>
      </c>
      <c r="N344" s="3">
        <f>countifs(N$2:N$330,"10",$A$2:$A$330,"B")</f>
        <v>1</v>
      </c>
      <c r="P344" s="3">
        <f>countifs(P$2:P$330,"10",$A$2:$A$330,"B")</f>
        <v>2</v>
      </c>
    </row>
    <row r="345">
      <c r="A345" s="2" t="s">
        <v>89</v>
      </c>
      <c r="B345" s="3">
        <f>countifs(B$1:B$330,"10",$A$1:$A$330,"B")/(countifs(B$1:B$330,"10",$A$1:$A$330,"B")+COUNTIFS(B$1:B$330,"0",$A$1:$A$330,"B"))</f>
        <v>0.6</v>
      </c>
      <c r="D345" s="3">
        <f>countifs(D$1:D$330,"10",$A$1:$A$330,"B")/(countifs(D$1:D$330,"10",$A$1:$A$330,"B")+COUNTIFS(D$1:D$330,"0",$A$1:$A$330,"B"))</f>
        <v>0.5</v>
      </c>
      <c r="F345" s="3">
        <f>countifs(F$1:F$330,"10",$A$1:$A$330,"B")/(countifs(F$1:F$330,"10",$A$1:$A$330,"B")+COUNTIFS(F$1:F$330,"0",$A$1:$A$330,"B"))</f>
        <v>0.3333333333</v>
      </c>
      <c r="H345" s="3">
        <f>countifs(H$1:H$330,"10",$A$1:$A$330,"B")/(countifs(H$1:H$330,"10",$A$1:$A$330,"B")+COUNTIFS(H$1:H$330,"0",$A$1:$A$330,"B"))</f>
        <v>0.7777777778</v>
      </c>
      <c r="J345" s="3">
        <f>countifs(J$1:J$330,"10",$A$1:$A$330,"B")/(countifs(J$1:J$330,"10",$A$1:$A$330,"B")+COUNTIFS(J$1:J$330,"0",$A$1:$A$330,"B"))</f>
        <v>0.2857142857</v>
      </c>
      <c r="L345" s="3">
        <f>countifs(L$1:L$330,"10",$A$1:$A$330,"B")/(countifs(L$1:L$330,"10",$A$1:$A$330,"B")+COUNTIFS(L$1:L$330,"0",$A$1:$A$330,"B"))</f>
        <v>0</v>
      </c>
      <c r="N345" s="3">
        <f>countifs(N$1:N$330,"10",$A$1:$A$330,"B")/(countifs(N$1:N$330,"10",$A$1:$A$330,"B")+COUNTIFS(N$1:N$330,"0",$A$1:$A$330,"B"))</f>
        <v>0.25</v>
      </c>
      <c r="P345" s="3">
        <f>countifs(P$1:P$330,"10",$A$1:$A$330,"B")/(countifs(P$1:P$330,"10",$A$1:$A$330,"B")+COUNTIFS(P$1:P$330,"0",$A$1:$A$330,"B"))</f>
        <v>0.4</v>
      </c>
    </row>
    <row r="346">
      <c r="A346" s="2" t="s">
        <v>90</v>
      </c>
      <c r="B346" s="3">
        <f>countifs(B$2:B$330,"10",$A$2:$A$330,"P")</f>
        <v>15</v>
      </c>
      <c r="D346" s="3">
        <f>countifs(D$2:D$330,"10",$A$2:$A$330,"P")</f>
        <v>3</v>
      </c>
      <c r="F346" s="3">
        <f>countifs(F$2:F$330,"10",$A$2:$A$330,"P")</f>
        <v>0</v>
      </c>
      <c r="H346" s="3">
        <f>countifs(H$2:H$330,"10",$A$2:$A$330,"P")</f>
        <v>5</v>
      </c>
      <c r="J346" s="3">
        <f>countifs(J$2:J$330,"10",$A$2:$A$330,"P")</f>
        <v>0</v>
      </c>
      <c r="L346" s="3">
        <f>countifs(L$2:L$330,"10",$A$2:$A$330,"P")</f>
        <v>2</v>
      </c>
      <c r="N346" s="3">
        <f>countifs(N$2:N$330,"10",$A$2:$A$330,"P")</f>
        <v>1</v>
      </c>
      <c r="P346" s="3">
        <f>countifs(P$2:P$330,"10",$A$2:$A$330,"P")</f>
        <v>5</v>
      </c>
    </row>
    <row r="347">
      <c r="A347" s="2" t="s">
        <v>91</v>
      </c>
      <c r="B347" s="3">
        <f>countifs(B$1:B$330,"10",$A$1:$A$330,"P")/(countifs(B$1:B$330,"10",$A$1:$A$330,"P")+COUNTIFS(B$1:B$330,"0",$A$1:$A$330,"P"))</f>
        <v>0.75</v>
      </c>
      <c r="D347" s="3">
        <f>countifs(D$1:D$330,"10",$A$1:$A$330,"P")/(countifs(D$1:D$330,"10",$A$1:$A$330,"P")+COUNTIFS(D$1:D$330,"0",$A$1:$A$330,"P"))</f>
        <v>0.2307692308</v>
      </c>
      <c r="F347" s="3">
        <f>countifs(F$1:F$330,"10",$A$1:$A$330,"P")/(countifs(F$1:F$330,"10",$A$1:$A$330,"P")+COUNTIFS(F$1:F$330,"0",$A$1:$A$330,"P"))</f>
        <v>0</v>
      </c>
      <c r="H347" s="3">
        <f>countifs(H$1:H$330,"10",$A$1:$A$330,"P")/(countifs(H$1:H$330,"10",$A$1:$A$330,"P")+COUNTIFS(H$1:H$330,"0",$A$1:$A$330,"P"))</f>
        <v>0.4545454545</v>
      </c>
      <c r="J347" s="3">
        <f>countifs(J$1:J$330,"10",$A$1:$A$330,"P")/(countifs(J$1:J$330,"10",$A$1:$A$330,"P")+COUNTIFS(J$1:J$330,"0",$A$1:$A$330,"P"))</f>
        <v>0</v>
      </c>
      <c r="L347" s="3">
        <f>countifs(L$1:L$330,"10",$A$1:$A$330,"P")/(countifs(L$1:L$330,"10",$A$1:$A$330,"P")+COUNTIFS(L$1:L$330,"0",$A$1:$A$330,"P"))</f>
        <v>0.4</v>
      </c>
      <c r="N347" s="3">
        <f>countifs(N$1:N$330,"10",$A$1:$A$330,"P")/(countifs(N$1:N$330,"10",$A$1:$A$330,"P")+COUNTIFS(N$1:N$330,"0",$A$1:$A$330,"P"))</f>
        <v>0.3333333333</v>
      </c>
      <c r="P347" s="3">
        <f>countifs(P$1:P$330,"10",$A$1:$A$330,"P")/(countifs(P$1:P$330,"10",$A$1:$A$330,"P")+COUNTIFS(P$1:P$330,"0",$A$1:$A$330,"P"))</f>
        <v>0.4166666667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3" max="8" width="7.63"/>
    <col customWidth="1" hidden="1" min="9" max="10" width="7.63"/>
    <col customWidth="1" min="11" max="11" width="7.63"/>
    <col customWidth="1" hidden="1" min="12" max="13" width="7.63"/>
    <col customWidth="1" min="14" max="14" width="7.63"/>
    <col customWidth="1" hidden="1" min="15" max="16" width="7.63"/>
    <col customWidth="1" min="17" max="17" width="7.63"/>
    <col customWidth="1" hidden="1" min="18" max="19" width="7.63"/>
    <col customWidth="1" min="20" max="20" width="7.63"/>
    <col customWidth="1" hidden="1" min="21" max="22" width="7.63"/>
    <col customWidth="1" min="23" max="23" width="7.63"/>
    <col customWidth="1" hidden="1" min="24" max="25" width="7.63"/>
    <col customWidth="1" min="26" max="26" width="7.63"/>
  </cols>
  <sheetData>
    <row r="1">
      <c r="A1" s="7" t="s">
        <v>52</v>
      </c>
      <c r="B1" s="7" t="s">
        <v>53</v>
      </c>
      <c r="C1" s="8" t="s">
        <v>54</v>
      </c>
      <c r="D1" s="8" t="s">
        <v>55</v>
      </c>
      <c r="E1" s="8" t="s">
        <v>56</v>
      </c>
      <c r="F1" s="8" t="s">
        <v>57</v>
      </c>
      <c r="G1" s="8" t="s">
        <v>58</v>
      </c>
      <c r="H1" s="9" t="s">
        <v>59</v>
      </c>
      <c r="I1" s="8" t="s">
        <v>60</v>
      </c>
      <c r="J1" s="8" t="s">
        <v>61</v>
      </c>
      <c r="K1" s="7" t="s">
        <v>62</v>
      </c>
      <c r="L1" s="8" t="s">
        <v>63</v>
      </c>
      <c r="M1" s="8" t="s">
        <v>64</v>
      </c>
      <c r="N1" s="7" t="s">
        <v>65</v>
      </c>
      <c r="O1" s="8" t="s">
        <v>66</v>
      </c>
      <c r="P1" s="8" t="s">
        <v>67</v>
      </c>
      <c r="Q1" s="7" t="s">
        <v>68</v>
      </c>
      <c r="R1" s="8" t="s">
        <v>69</v>
      </c>
      <c r="S1" s="8" t="s">
        <v>70</v>
      </c>
      <c r="T1" s="7" t="s">
        <v>71</v>
      </c>
      <c r="U1" s="8" t="s">
        <v>72</v>
      </c>
      <c r="V1" s="8" t="s">
        <v>73</v>
      </c>
      <c r="W1" s="7" t="s">
        <v>74</v>
      </c>
      <c r="X1" s="8" t="s">
        <v>75</v>
      </c>
      <c r="Y1" s="8" t="s">
        <v>76</v>
      </c>
      <c r="Z1" s="7" t="s">
        <v>77</v>
      </c>
    </row>
    <row r="2">
      <c r="A2" s="8" t="s">
        <v>29</v>
      </c>
      <c r="B2" s="10" t="s">
        <v>4</v>
      </c>
      <c r="C2" s="8">
        <v>8.0</v>
      </c>
      <c r="D2" s="8">
        <v>72.0</v>
      </c>
      <c r="E2" s="8">
        <v>9.0</v>
      </c>
      <c r="F2" s="11">
        <v>8.0</v>
      </c>
      <c r="G2" s="8">
        <v>252.0</v>
      </c>
      <c r="H2" s="9">
        <v>31.5</v>
      </c>
      <c r="I2" s="8">
        <v>9.0</v>
      </c>
      <c r="J2" s="8">
        <v>5.0</v>
      </c>
      <c r="K2" s="8">
        <v>2.0</v>
      </c>
      <c r="L2" s="8">
        <v>10.0</v>
      </c>
      <c r="M2" s="8">
        <v>0.0</v>
      </c>
      <c r="N2" s="8">
        <v>5.0</v>
      </c>
      <c r="O2" s="8">
        <v>18.0</v>
      </c>
      <c r="P2" s="8">
        <v>1.0</v>
      </c>
      <c r="Q2" s="8">
        <v>8.5</v>
      </c>
      <c r="R2" s="8">
        <v>12.0</v>
      </c>
      <c r="S2" s="8">
        <v>1.0</v>
      </c>
      <c r="T2" s="8">
        <v>5.5</v>
      </c>
      <c r="U2" s="8">
        <v>11.0</v>
      </c>
      <c r="V2" s="8">
        <v>1.0</v>
      </c>
      <c r="W2" s="8">
        <v>5.0</v>
      </c>
      <c r="X2" s="8">
        <v>12.0</v>
      </c>
      <c r="Y2" s="8">
        <v>1.0</v>
      </c>
      <c r="Z2" s="8">
        <v>5.5</v>
      </c>
    </row>
    <row r="3">
      <c r="A3" s="8" t="s">
        <v>15</v>
      </c>
      <c r="B3" s="10" t="s">
        <v>1</v>
      </c>
      <c r="C3" s="8">
        <v>9.0</v>
      </c>
      <c r="D3" s="8">
        <v>52.0</v>
      </c>
      <c r="E3" s="8">
        <v>5.0</v>
      </c>
      <c r="F3" s="8">
        <v>10.4</v>
      </c>
      <c r="G3" s="8">
        <v>188.0</v>
      </c>
      <c r="H3" s="12">
        <v>20.88888888888889</v>
      </c>
      <c r="I3" s="13">
        <v>8.0</v>
      </c>
      <c r="J3" s="13">
        <v>2.0</v>
      </c>
      <c r="K3" s="13">
        <v>2.6666666666666665</v>
      </c>
      <c r="L3" s="13">
        <v>11.0</v>
      </c>
      <c r="M3" s="13">
        <v>1.0</v>
      </c>
      <c r="N3" s="13">
        <v>4.444444444444445</v>
      </c>
      <c r="O3" s="13">
        <v>18.0</v>
      </c>
      <c r="P3" s="13">
        <v>1.0</v>
      </c>
      <c r="Q3" s="13">
        <v>7.555555555555555</v>
      </c>
      <c r="R3" s="13">
        <v>12.0</v>
      </c>
      <c r="S3" s="13">
        <v>1.0</v>
      </c>
      <c r="T3" s="13">
        <v>4.888888888888889</v>
      </c>
      <c r="U3" s="13">
        <v>1.0</v>
      </c>
      <c r="V3" s="13">
        <v>0.0</v>
      </c>
      <c r="W3" s="13">
        <v>0.4444444444444444</v>
      </c>
      <c r="X3" s="13">
        <v>2.0</v>
      </c>
      <c r="Y3" s="13">
        <v>0.0</v>
      </c>
      <c r="Z3" s="13">
        <v>0.8888888888888888</v>
      </c>
    </row>
    <row r="4">
      <c r="A4" s="8" t="s">
        <v>23</v>
      </c>
      <c r="B4" s="10" t="s">
        <v>3</v>
      </c>
      <c r="C4" s="8">
        <v>9.0</v>
      </c>
      <c r="D4" s="8">
        <v>33.0</v>
      </c>
      <c r="E4" s="8">
        <v>0.0</v>
      </c>
      <c r="F4" s="14" t="s">
        <v>78</v>
      </c>
      <c r="G4" s="8">
        <v>132.0</v>
      </c>
      <c r="H4" s="12">
        <v>14.666666666666666</v>
      </c>
      <c r="I4" s="13">
        <v>2.0</v>
      </c>
      <c r="J4" s="13">
        <v>0.0</v>
      </c>
      <c r="K4" s="13">
        <v>0.8888888888888888</v>
      </c>
      <c r="L4" s="13">
        <v>20.0</v>
      </c>
      <c r="M4" s="13">
        <v>0.0</v>
      </c>
      <c r="N4" s="13">
        <v>8.88888888888889</v>
      </c>
      <c r="O4" s="13">
        <v>2.0</v>
      </c>
      <c r="P4" s="13">
        <v>0.0</v>
      </c>
      <c r="Q4" s="13">
        <v>0.8888888888888888</v>
      </c>
      <c r="R4" s="13">
        <v>2.0</v>
      </c>
      <c r="S4" s="13">
        <v>0.0</v>
      </c>
      <c r="T4" s="13">
        <v>0.8888888888888888</v>
      </c>
      <c r="U4" s="13">
        <v>1.0</v>
      </c>
      <c r="V4" s="13">
        <v>0.0</v>
      </c>
      <c r="W4" s="13">
        <v>0.4444444444444444</v>
      </c>
      <c r="X4" s="13">
        <v>6.0</v>
      </c>
      <c r="Y4" s="13">
        <v>0.0</v>
      </c>
      <c r="Z4" s="13">
        <v>2.6666666666666665</v>
      </c>
    </row>
    <row r="5">
      <c r="A5" s="8" t="s">
        <v>42</v>
      </c>
      <c r="B5" s="10" t="s">
        <v>7</v>
      </c>
      <c r="C5" s="8">
        <v>8.0</v>
      </c>
      <c r="D5" s="8">
        <v>27.0</v>
      </c>
      <c r="E5" s="8">
        <v>1.0</v>
      </c>
      <c r="F5" s="8">
        <v>27.0</v>
      </c>
      <c r="G5" s="8">
        <v>104.0</v>
      </c>
      <c r="H5" s="9">
        <v>13.0</v>
      </c>
      <c r="I5" s="8">
        <v>1.0</v>
      </c>
      <c r="J5" s="8">
        <v>0.0</v>
      </c>
      <c r="K5" s="8">
        <v>0.5</v>
      </c>
      <c r="L5" s="8">
        <v>10.0</v>
      </c>
      <c r="M5" s="8">
        <v>0.0</v>
      </c>
      <c r="N5" s="8">
        <v>5.0</v>
      </c>
      <c r="O5" s="8">
        <v>4.0</v>
      </c>
      <c r="P5" s="8">
        <v>0.0</v>
      </c>
      <c r="Q5" s="8">
        <v>2.0</v>
      </c>
      <c r="R5" s="8">
        <v>2.0</v>
      </c>
      <c r="S5" s="8">
        <v>0.0</v>
      </c>
      <c r="T5" s="8">
        <v>1.0</v>
      </c>
      <c r="U5" s="8">
        <v>5.0</v>
      </c>
      <c r="V5" s="8">
        <v>0.0</v>
      </c>
      <c r="W5" s="8">
        <v>2.5</v>
      </c>
      <c r="X5" s="8">
        <v>5.0</v>
      </c>
      <c r="Y5" s="8">
        <v>1.0</v>
      </c>
      <c r="Z5" s="8">
        <v>2.0</v>
      </c>
    </row>
    <row r="6">
      <c r="A6" s="8" t="s">
        <v>11</v>
      </c>
      <c r="B6" s="10" t="s">
        <v>0</v>
      </c>
      <c r="C6" s="8">
        <v>6.0</v>
      </c>
      <c r="D6" s="8">
        <v>19.0</v>
      </c>
      <c r="E6" s="8">
        <v>0.0</v>
      </c>
      <c r="F6" s="8" t="s">
        <v>78</v>
      </c>
      <c r="G6" s="8">
        <v>76.0</v>
      </c>
      <c r="H6" s="12">
        <v>12.666666666666666</v>
      </c>
      <c r="I6" s="8">
        <v>3.0</v>
      </c>
      <c r="J6" s="8">
        <v>0.0</v>
      </c>
      <c r="K6" s="8">
        <v>2.0</v>
      </c>
      <c r="L6" s="8">
        <v>4.0</v>
      </c>
      <c r="M6" s="8">
        <v>0.0</v>
      </c>
      <c r="N6" s="13">
        <v>2.6666666666666665</v>
      </c>
      <c r="O6" s="13">
        <v>1.0</v>
      </c>
      <c r="P6" s="13">
        <v>0.0</v>
      </c>
      <c r="Q6" s="13">
        <v>0.6666666666666666</v>
      </c>
      <c r="R6" s="13">
        <v>2.0</v>
      </c>
      <c r="S6" s="13">
        <v>0.0</v>
      </c>
      <c r="T6" s="13">
        <v>1.3333333333333333</v>
      </c>
      <c r="U6" s="8">
        <v>3.0</v>
      </c>
      <c r="V6" s="8">
        <v>0.0</v>
      </c>
      <c r="W6" s="8">
        <v>2.0</v>
      </c>
      <c r="X6" s="8">
        <v>6.0</v>
      </c>
      <c r="Y6" s="8">
        <v>0.0</v>
      </c>
      <c r="Z6" s="8">
        <v>4.0</v>
      </c>
    </row>
    <row r="7">
      <c r="A7" s="8" t="s">
        <v>28</v>
      </c>
      <c r="B7" s="10" t="s">
        <v>4</v>
      </c>
      <c r="C7" s="8">
        <v>8.0</v>
      </c>
      <c r="D7" s="8">
        <v>24.0</v>
      </c>
      <c r="E7" s="8">
        <v>3.0</v>
      </c>
      <c r="F7" s="8">
        <v>8.0</v>
      </c>
      <c r="G7" s="8">
        <v>84.0</v>
      </c>
      <c r="H7" s="9">
        <v>10.5</v>
      </c>
      <c r="I7" s="8">
        <v>3.0</v>
      </c>
      <c r="J7" s="8">
        <v>0.0</v>
      </c>
      <c r="K7" s="8">
        <v>1.5</v>
      </c>
      <c r="L7" s="8">
        <v>10.0</v>
      </c>
      <c r="M7" s="8">
        <v>2.0</v>
      </c>
      <c r="N7" s="8">
        <v>4.0</v>
      </c>
      <c r="O7" s="8">
        <v>1.0</v>
      </c>
      <c r="P7" s="8">
        <v>0.0</v>
      </c>
      <c r="Q7" s="8">
        <v>0.5</v>
      </c>
      <c r="R7" s="8">
        <v>2.0</v>
      </c>
      <c r="S7" s="8">
        <v>0.0</v>
      </c>
      <c r="T7" s="8">
        <v>1.0</v>
      </c>
      <c r="U7" s="8">
        <v>0.0</v>
      </c>
      <c r="V7" s="8">
        <v>0.0</v>
      </c>
      <c r="W7" s="8">
        <v>0.0</v>
      </c>
      <c r="X7" s="8">
        <v>8.0</v>
      </c>
      <c r="Y7" s="8">
        <v>1.0</v>
      </c>
      <c r="Z7" s="8">
        <v>3.5</v>
      </c>
    </row>
    <row r="8">
      <c r="A8" s="8" t="s">
        <v>35</v>
      </c>
      <c r="B8" s="10" t="s">
        <v>5</v>
      </c>
      <c r="C8" s="8">
        <v>8.0</v>
      </c>
      <c r="D8" s="8">
        <v>29.0</v>
      </c>
      <c r="E8" s="8">
        <v>8.0</v>
      </c>
      <c r="F8" s="13">
        <v>3.625</v>
      </c>
      <c r="G8" s="8">
        <v>84.0</v>
      </c>
      <c r="H8" s="9">
        <v>10.5</v>
      </c>
      <c r="I8" s="8">
        <v>4.0</v>
      </c>
      <c r="J8" s="8">
        <v>0.0</v>
      </c>
      <c r="K8" s="8">
        <v>2.0</v>
      </c>
      <c r="L8" s="8">
        <v>3.0</v>
      </c>
      <c r="M8" s="8">
        <v>1.0</v>
      </c>
      <c r="N8" s="8">
        <v>1.0</v>
      </c>
      <c r="O8" s="8">
        <v>10.0</v>
      </c>
      <c r="P8" s="8">
        <v>6.0</v>
      </c>
      <c r="Q8" s="8">
        <v>2.0</v>
      </c>
      <c r="R8" s="8">
        <v>1.0</v>
      </c>
      <c r="S8" s="8">
        <v>0.0</v>
      </c>
      <c r="T8" s="8">
        <v>0.5</v>
      </c>
      <c r="U8" s="8">
        <v>2.0</v>
      </c>
      <c r="V8" s="8">
        <v>0.0</v>
      </c>
      <c r="W8" s="8">
        <v>1.0</v>
      </c>
      <c r="X8" s="8">
        <v>9.0</v>
      </c>
      <c r="Y8" s="8">
        <v>1.0</v>
      </c>
      <c r="Z8" s="8">
        <v>4.0</v>
      </c>
    </row>
    <row r="9">
      <c r="A9" s="8" t="s">
        <v>41</v>
      </c>
      <c r="B9" s="10" t="s">
        <v>6</v>
      </c>
      <c r="C9" s="8">
        <v>6.0</v>
      </c>
      <c r="D9" s="8">
        <v>16.0</v>
      </c>
      <c r="E9" s="8">
        <v>4.0</v>
      </c>
      <c r="F9" s="11">
        <v>4.0</v>
      </c>
      <c r="G9" s="8">
        <v>48.0</v>
      </c>
      <c r="H9" s="9">
        <v>8.0</v>
      </c>
      <c r="I9" s="8">
        <v>2.0</v>
      </c>
      <c r="J9" s="8">
        <v>1.0</v>
      </c>
      <c r="K9" s="13">
        <v>0.6666666666666666</v>
      </c>
      <c r="L9" s="8">
        <v>4.0</v>
      </c>
      <c r="M9" s="8">
        <v>1.0</v>
      </c>
      <c r="N9" s="8">
        <v>2.0</v>
      </c>
      <c r="O9" s="8">
        <v>3.0</v>
      </c>
      <c r="P9" s="8">
        <v>1.0</v>
      </c>
      <c r="Q9" s="13">
        <v>1.3333333333333333</v>
      </c>
      <c r="R9" s="13">
        <v>6.0</v>
      </c>
      <c r="S9" s="13">
        <v>1.0</v>
      </c>
      <c r="T9" s="13">
        <v>3.3333333333333335</v>
      </c>
      <c r="U9" s="8">
        <v>0.0</v>
      </c>
      <c r="V9" s="8">
        <v>0.0</v>
      </c>
      <c r="W9" s="8">
        <v>0.0</v>
      </c>
      <c r="X9" s="8">
        <v>1.0</v>
      </c>
      <c r="Y9" s="8">
        <v>0.0</v>
      </c>
      <c r="Z9" s="13">
        <v>0.6666666666666666</v>
      </c>
    </row>
    <row r="10">
      <c r="A10" s="8" t="s">
        <v>24</v>
      </c>
      <c r="B10" s="10" t="s">
        <v>3</v>
      </c>
      <c r="C10" s="8">
        <v>9.0</v>
      </c>
      <c r="D10" s="8">
        <v>19.0</v>
      </c>
      <c r="E10" s="8">
        <v>2.0</v>
      </c>
      <c r="F10" s="8">
        <v>9.5</v>
      </c>
      <c r="G10" s="8">
        <v>68.0</v>
      </c>
      <c r="H10" s="12">
        <v>7.555555555555555</v>
      </c>
      <c r="I10" s="13">
        <v>5.0</v>
      </c>
      <c r="J10" s="13">
        <v>0.0</v>
      </c>
      <c r="K10" s="13">
        <v>2.2222222222222223</v>
      </c>
      <c r="L10" s="13">
        <v>2.0</v>
      </c>
      <c r="M10" s="13">
        <v>0.0</v>
      </c>
      <c r="N10" s="13">
        <v>0.8888888888888888</v>
      </c>
      <c r="O10" s="13">
        <v>6.0</v>
      </c>
      <c r="P10" s="13">
        <v>1.0</v>
      </c>
      <c r="Q10" s="13">
        <v>2.2222222222222223</v>
      </c>
      <c r="R10" s="13">
        <v>4.0</v>
      </c>
      <c r="S10" s="13">
        <v>1.0</v>
      </c>
      <c r="T10" s="13">
        <v>1.3333333333333333</v>
      </c>
      <c r="U10" s="13">
        <v>1.0</v>
      </c>
      <c r="V10" s="13">
        <v>0.0</v>
      </c>
      <c r="W10" s="13">
        <v>0.4444444444444444</v>
      </c>
      <c r="X10" s="13">
        <v>1.0</v>
      </c>
      <c r="Y10" s="13">
        <v>0.0</v>
      </c>
      <c r="Z10" s="13">
        <v>0.4444444444444444</v>
      </c>
    </row>
    <row r="11">
      <c r="A11" s="8" t="s">
        <v>18</v>
      </c>
      <c r="B11" s="10" t="s">
        <v>1</v>
      </c>
      <c r="C11" s="8">
        <v>9.0</v>
      </c>
      <c r="D11" s="8">
        <v>24.0</v>
      </c>
      <c r="E11" s="8">
        <v>9.0</v>
      </c>
      <c r="F11" s="13">
        <v>2.6666666666666665</v>
      </c>
      <c r="G11" s="8">
        <v>60.0</v>
      </c>
      <c r="H11" s="12">
        <v>6.666666666666667</v>
      </c>
      <c r="I11" s="13">
        <v>5.0</v>
      </c>
      <c r="J11" s="13">
        <v>2.0</v>
      </c>
      <c r="K11" s="13">
        <v>1.3333333333333333</v>
      </c>
      <c r="L11" s="13">
        <v>0.0</v>
      </c>
      <c r="M11" s="13">
        <v>1.0</v>
      </c>
      <c r="N11" s="13">
        <v>-0.4444444444444444</v>
      </c>
      <c r="O11" s="8">
        <v>0.0</v>
      </c>
      <c r="P11" s="8">
        <v>0.0</v>
      </c>
      <c r="Q11" s="8">
        <v>0.0</v>
      </c>
      <c r="R11" s="8">
        <v>0.0</v>
      </c>
      <c r="S11" s="8">
        <v>0.0</v>
      </c>
      <c r="T11" s="8">
        <v>0.0</v>
      </c>
      <c r="U11" s="8">
        <v>16.0</v>
      </c>
      <c r="V11" s="8">
        <v>6.0</v>
      </c>
      <c r="W11" s="13">
        <v>4.444444444444445</v>
      </c>
      <c r="X11" s="13">
        <v>3.0</v>
      </c>
      <c r="Y11" s="13">
        <v>0.0</v>
      </c>
      <c r="Z11" s="13">
        <v>1.3333333333333333</v>
      </c>
    </row>
    <row r="12">
      <c r="A12" s="8" t="s">
        <v>22</v>
      </c>
      <c r="B12" s="10" t="s">
        <v>2</v>
      </c>
      <c r="C12" s="8">
        <v>7.0</v>
      </c>
      <c r="D12" s="8">
        <v>17.0</v>
      </c>
      <c r="E12" s="8">
        <v>6.0</v>
      </c>
      <c r="F12" s="13">
        <v>2.8333333333333335</v>
      </c>
      <c r="G12" s="8">
        <v>44.0</v>
      </c>
      <c r="H12" s="12">
        <v>6.285714285714286</v>
      </c>
      <c r="I12" s="13">
        <v>2.0</v>
      </c>
      <c r="J12" s="13">
        <v>1.0</v>
      </c>
      <c r="K12" s="13">
        <v>0.5714285714285714</v>
      </c>
      <c r="L12" s="13">
        <v>7.0</v>
      </c>
      <c r="M12" s="13">
        <v>1.0</v>
      </c>
      <c r="N12" s="13">
        <v>3.4285714285714284</v>
      </c>
      <c r="O12" s="13">
        <v>0.0</v>
      </c>
      <c r="P12" s="13">
        <v>1.0</v>
      </c>
      <c r="Q12" s="13">
        <v>-0.5714285714285714</v>
      </c>
      <c r="R12" s="8">
        <v>3.0</v>
      </c>
      <c r="S12" s="8">
        <v>3.0</v>
      </c>
      <c r="T12" s="8">
        <v>0.0</v>
      </c>
      <c r="U12" s="8">
        <v>4.0</v>
      </c>
      <c r="V12" s="8">
        <v>0.0</v>
      </c>
      <c r="W12" s="13">
        <v>2.2857142857142856</v>
      </c>
      <c r="X12" s="13">
        <v>1.0</v>
      </c>
      <c r="Y12" s="13">
        <v>0.0</v>
      </c>
      <c r="Z12" s="13">
        <v>0.5714285714285714</v>
      </c>
    </row>
    <row r="13">
      <c r="A13" s="8" t="s">
        <v>25</v>
      </c>
      <c r="B13" s="10" t="s">
        <v>3</v>
      </c>
      <c r="C13" s="8">
        <v>9.0</v>
      </c>
      <c r="D13" s="8">
        <v>15.0</v>
      </c>
      <c r="E13" s="8">
        <v>1.0</v>
      </c>
      <c r="F13" s="8">
        <v>15.0</v>
      </c>
      <c r="G13" s="8">
        <v>56.0</v>
      </c>
      <c r="H13" s="12">
        <v>6.222222222222222</v>
      </c>
      <c r="I13" s="13">
        <v>3.0</v>
      </c>
      <c r="J13" s="13">
        <v>0.0</v>
      </c>
      <c r="K13" s="13">
        <v>1.3333333333333333</v>
      </c>
      <c r="L13" s="8">
        <v>0.0</v>
      </c>
      <c r="M13" s="8">
        <v>0.0</v>
      </c>
      <c r="N13" s="8">
        <v>0.0</v>
      </c>
      <c r="O13" s="8">
        <v>0.0</v>
      </c>
      <c r="P13" s="8">
        <v>0.0</v>
      </c>
      <c r="Q13" s="8">
        <v>0.0</v>
      </c>
      <c r="R13" s="8">
        <v>6.0</v>
      </c>
      <c r="S13" s="8">
        <v>1.0</v>
      </c>
      <c r="T13" s="13">
        <v>2.2222222222222223</v>
      </c>
      <c r="U13" s="13">
        <v>1.0</v>
      </c>
      <c r="V13" s="13">
        <v>0.0</v>
      </c>
      <c r="W13" s="13">
        <v>0.4444444444444444</v>
      </c>
      <c r="X13" s="13">
        <v>5.0</v>
      </c>
      <c r="Y13" s="13">
        <v>0.0</v>
      </c>
      <c r="Z13" s="13">
        <v>2.2222222222222223</v>
      </c>
    </row>
    <row r="14">
      <c r="A14" s="8" t="s">
        <v>17</v>
      </c>
      <c r="B14" s="10" t="s">
        <v>1</v>
      </c>
      <c r="C14" s="8">
        <v>9.0</v>
      </c>
      <c r="D14" s="8">
        <v>19.0</v>
      </c>
      <c r="E14" s="8">
        <v>6.0</v>
      </c>
      <c r="F14" s="13">
        <v>3.1666666666666665</v>
      </c>
      <c r="G14" s="8">
        <v>52.0</v>
      </c>
      <c r="H14" s="12">
        <v>5.777777777777778</v>
      </c>
      <c r="I14" s="13">
        <v>3.0</v>
      </c>
      <c r="J14" s="13">
        <v>1.0</v>
      </c>
      <c r="K14" s="13">
        <v>0.8888888888888888</v>
      </c>
      <c r="L14" s="13">
        <v>1.0</v>
      </c>
      <c r="M14" s="13">
        <v>0.0</v>
      </c>
      <c r="N14" s="13">
        <v>0.4444444444444444</v>
      </c>
      <c r="O14" s="8">
        <v>1.0</v>
      </c>
      <c r="P14" s="8">
        <v>1.0</v>
      </c>
      <c r="Q14" s="8">
        <v>0.0</v>
      </c>
      <c r="R14" s="8">
        <v>9.0</v>
      </c>
      <c r="S14" s="8">
        <v>2.0</v>
      </c>
      <c r="T14" s="13">
        <v>3.111111111111111</v>
      </c>
      <c r="U14" s="13">
        <v>1.0</v>
      </c>
      <c r="V14" s="13">
        <v>0.0</v>
      </c>
      <c r="W14" s="13">
        <v>0.4444444444444444</v>
      </c>
      <c r="X14" s="13">
        <v>4.0</v>
      </c>
      <c r="Y14" s="13">
        <v>2.0</v>
      </c>
      <c r="Z14" s="13">
        <v>0.8888888888888888</v>
      </c>
    </row>
    <row r="15">
      <c r="A15" s="8" t="s">
        <v>36</v>
      </c>
      <c r="B15" s="10" t="s">
        <v>5</v>
      </c>
      <c r="C15" s="8">
        <v>8.0</v>
      </c>
      <c r="D15" s="8">
        <v>12.0</v>
      </c>
      <c r="E15" s="8">
        <v>1.0</v>
      </c>
      <c r="F15" s="8">
        <v>12.0</v>
      </c>
      <c r="G15" s="8">
        <v>44.0</v>
      </c>
      <c r="H15" s="9">
        <v>5.5</v>
      </c>
      <c r="I15" s="8">
        <v>0.0</v>
      </c>
      <c r="J15" s="8">
        <v>0.0</v>
      </c>
      <c r="K15" s="8">
        <v>0.0</v>
      </c>
      <c r="L15" s="8">
        <v>6.0</v>
      </c>
      <c r="M15" s="8">
        <v>1.0</v>
      </c>
      <c r="N15" s="8">
        <v>2.5</v>
      </c>
      <c r="O15" s="8">
        <v>0.0</v>
      </c>
      <c r="P15" s="8">
        <v>0.0</v>
      </c>
      <c r="Q15" s="8">
        <v>0.0</v>
      </c>
      <c r="R15" s="8">
        <v>2.0</v>
      </c>
      <c r="S15" s="8">
        <v>0.0</v>
      </c>
      <c r="T15" s="8">
        <v>1.0</v>
      </c>
      <c r="U15" s="8">
        <v>0.0</v>
      </c>
      <c r="V15" s="8">
        <v>0.0</v>
      </c>
      <c r="W15" s="8">
        <v>0.0</v>
      </c>
      <c r="X15" s="8">
        <v>4.0</v>
      </c>
      <c r="Y15" s="8">
        <v>0.0</v>
      </c>
      <c r="Z15" s="8">
        <v>2.0</v>
      </c>
    </row>
    <row r="16">
      <c r="A16" s="8" t="s">
        <v>45</v>
      </c>
      <c r="B16" s="10" t="s">
        <v>7</v>
      </c>
      <c r="C16" s="8">
        <v>8.0</v>
      </c>
      <c r="D16" s="8">
        <v>11.0</v>
      </c>
      <c r="E16" s="8">
        <v>0.0</v>
      </c>
      <c r="F16" s="8" t="s">
        <v>78</v>
      </c>
      <c r="G16" s="8">
        <v>44.0</v>
      </c>
      <c r="H16" s="9">
        <v>5.5</v>
      </c>
      <c r="I16" s="8">
        <v>3.0</v>
      </c>
      <c r="J16" s="8">
        <v>0.0</v>
      </c>
      <c r="K16" s="8">
        <v>1.5</v>
      </c>
      <c r="L16" s="8">
        <v>1.0</v>
      </c>
      <c r="M16" s="8">
        <v>0.0</v>
      </c>
      <c r="N16" s="8">
        <v>0.5</v>
      </c>
      <c r="O16" s="8">
        <v>0.0</v>
      </c>
      <c r="P16" s="8">
        <v>0.0</v>
      </c>
      <c r="Q16" s="8">
        <v>0.0</v>
      </c>
      <c r="R16" s="8">
        <v>3.0</v>
      </c>
      <c r="S16" s="8">
        <v>0.0</v>
      </c>
      <c r="T16" s="8">
        <v>1.5</v>
      </c>
      <c r="U16" s="8">
        <v>0.0</v>
      </c>
      <c r="V16" s="8">
        <v>0.0</v>
      </c>
      <c r="W16" s="8">
        <v>0.0</v>
      </c>
      <c r="X16" s="8">
        <v>4.0</v>
      </c>
      <c r="Y16" s="8">
        <v>0.0</v>
      </c>
      <c r="Z16" s="8">
        <v>2.0</v>
      </c>
    </row>
    <row r="17">
      <c r="A17" s="8" t="s">
        <v>39</v>
      </c>
      <c r="B17" s="10" t="s">
        <v>6</v>
      </c>
      <c r="C17" s="8">
        <v>6.0</v>
      </c>
      <c r="D17" s="8">
        <v>9.0</v>
      </c>
      <c r="E17" s="8">
        <v>1.0</v>
      </c>
      <c r="F17" s="8">
        <v>9.0</v>
      </c>
      <c r="G17" s="8">
        <v>32.0</v>
      </c>
      <c r="H17" s="12">
        <v>5.333333333333333</v>
      </c>
      <c r="I17" s="8">
        <v>3.0</v>
      </c>
      <c r="J17" s="8">
        <v>0.0</v>
      </c>
      <c r="K17" s="8">
        <v>2.0</v>
      </c>
      <c r="L17" s="8">
        <v>5.0</v>
      </c>
      <c r="M17" s="8">
        <v>0.0</v>
      </c>
      <c r="N17" s="13">
        <v>3.3333333333333335</v>
      </c>
      <c r="O17" s="8">
        <v>0.0</v>
      </c>
      <c r="P17" s="8">
        <v>0.0</v>
      </c>
      <c r="Q17" s="8">
        <v>0.0</v>
      </c>
      <c r="R17" s="8">
        <v>0.0</v>
      </c>
      <c r="S17" s="8">
        <v>0.0</v>
      </c>
      <c r="T17" s="8">
        <v>0.0</v>
      </c>
      <c r="U17" s="8">
        <v>0.0</v>
      </c>
      <c r="V17" s="8">
        <v>0.0</v>
      </c>
      <c r="W17" s="8">
        <v>0.0</v>
      </c>
      <c r="X17" s="8">
        <v>1.0</v>
      </c>
      <c r="Y17" s="8">
        <v>1.0</v>
      </c>
      <c r="Z17" s="8">
        <v>0.0</v>
      </c>
    </row>
    <row r="18">
      <c r="A18" s="8" t="s">
        <v>19</v>
      </c>
      <c r="B18" s="10" t="s">
        <v>2</v>
      </c>
      <c r="C18" s="8">
        <v>8.0</v>
      </c>
      <c r="D18" s="8">
        <v>9.0</v>
      </c>
      <c r="E18" s="8">
        <v>1.0</v>
      </c>
      <c r="F18" s="8">
        <v>9.0</v>
      </c>
      <c r="G18" s="8">
        <v>32.0</v>
      </c>
      <c r="H18" s="9">
        <v>4.0</v>
      </c>
      <c r="I18" s="8">
        <v>4.0</v>
      </c>
      <c r="J18" s="8">
        <v>0.0</v>
      </c>
      <c r="K18" s="8">
        <v>2.0</v>
      </c>
      <c r="L18" s="8">
        <v>0.0</v>
      </c>
      <c r="M18" s="8">
        <v>0.0</v>
      </c>
      <c r="N18" s="8">
        <v>0.0</v>
      </c>
      <c r="O18" s="8">
        <v>1.0</v>
      </c>
      <c r="P18" s="8">
        <v>0.0</v>
      </c>
      <c r="Q18" s="8">
        <v>0.5</v>
      </c>
      <c r="R18" s="8">
        <v>2.0</v>
      </c>
      <c r="S18" s="8">
        <v>1.0</v>
      </c>
      <c r="T18" s="8">
        <v>0.5</v>
      </c>
      <c r="U18" s="8">
        <v>0.0</v>
      </c>
      <c r="V18" s="8">
        <v>0.0</v>
      </c>
      <c r="W18" s="8">
        <v>0.0</v>
      </c>
      <c r="X18" s="8">
        <v>2.0</v>
      </c>
      <c r="Y18" s="8">
        <v>0.0</v>
      </c>
      <c r="Z18" s="8">
        <v>1.0</v>
      </c>
    </row>
    <row r="19">
      <c r="A19" s="8" t="s">
        <v>30</v>
      </c>
      <c r="B19" s="10" t="s">
        <v>4</v>
      </c>
      <c r="C19" s="8">
        <v>8.0</v>
      </c>
      <c r="D19" s="8">
        <v>10.0</v>
      </c>
      <c r="E19" s="8">
        <v>2.0</v>
      </c>
      <c r="F19" s="8">
        <v>5.0</v>
      </c>
      <c r="G19" s="8">
        <v>32.0</v>
      </c>
      <c r="H19" s="9">
        <v>4.0</v>
      </c>
      <c r="I19" s="8">
        <v>4.0</v>
      </c>
      <c r="J19" s="8">
        <v>1.0</v>
      </c>
      <c r="K19" s="8">
        <v>1.5</v>
      </c>
      <c r="L19" s="8">
        <v>0.0</v>
      </c>
      <c r="M19" s="8">
        <v>0.0</v>
      </c>
      <c r="N19" s="8">
        <v>0.0</v>
      </c>
      <c r="O19" s="8">
        <v>1.0</v>
      </c>
      <c r="P19" s="8">
        <v>0.0</v>
      </c>
      <c r="Q19" s="8">
        <v>0.5</v>
      </c>
      <c r="R19" s="8">
        <v>1.0</v>
      </c>
      <c r="S19" s="8">
        <v>0.0</v>
      </c>
      <c r="T19" s="8">
        <v>0.5</v>
      </c>
      <c r="U19" s="8">
        <v>4.0</v>
      </c>
      <c r="V19" s="8">
        <v>0.0</v>
      </c>
      <c r="W19" s="8">
        <v>2.0</v>
      </c>
      <c r="X19" s="8">
        <v>0.0</v>
      </c>
      <c r="Y19" s="8">
        <v>1.0</v>
      </c>
      <c r="Z19" s="8">
        <v>-0.5</v>
      </c>
    </row>
    <row r="20">
      <c r="A20" s="8" t="s">
        <v>13</v>
      </c>
      <c r="B20" s="7" t="s">
        <v>0</v>
      </c>
      <c r="C20" s="8">
        <v>6.0</v>
      </c>
      <c r="D20" s="8">
        <v>6.0</v>
      </c>
      <c r="E20" s="8">
        <v>0.0</v>
      </c>
      <c r="F20" s="8" t="s">
        <v>78</v>
      </c>
      <c r="G20" s="8">
        <v>24.0</v>
      </c>
      <c r="H20" s="9">
        <v>4.0</v>
      </c>
      <c r="I20" s="8">
        <v>1.0</v>
      </c>
      <c r="J20" s="8">
        <v>0.0</v>
      </c>
      <c r="K20" s="13">
        <v>0.6666666666666666</v>
      </c>
      <c r="L20" s="8">
        <v>0.0</v>
      </c>
      <c r="M20" s="8">
        <v>0.0</v>
      </c>
      <c r="N20" s="8">
        <v>0.0</v>
      </c>
      <c r="O20" s="8">
        <v>1.0</v>
      </c>
      <c r="P20" s="8">
        <v>0.0</v>
      </c>
      <c r="Q20" s="13">
        <v>0.6666666666666666</v>
      </c>
      <c r="R20" s="14">
        <v>1.0</v>
      </c>
      <c r="S20" s="14">
        <v>0.0</v>
      </c>
      <c r="T20" s="13">
        <v>0.6666666666666666</v>
      </c>
      <c r="U20" s="8">
        <v>3.0</v>
      </c>
      <c r="V20" s="8">
        <v>0.0</v>
      </c>
      <c r="W20" s="8">
        <v>2.0</v>
      </c>
      <c r="X20" s="8">
        <v>0.0</v>
      </c>
      <c r="Y20" s="8">
        <v>0.0</v>
      </c>
      <c r="Z20" s="8">
        <v>0.0</v>
      </c>
    </row>
    <row r="21">
      <c r="A21" s="8" t="s">
        <v>40</v>
      </c>
      <c r="B21" s="10" t="s">
        <v>6</v>
      </c>
      <c r="C21" s="8">
        <v>6.0</v>
      </c>
      <c r="D21" s="8">
        <v>6.0</v>
      </c>
      <c r="E21" s="8">
        <v>0.0</v>
      </c>
      <c r="F21" s="14" t="s">
        <v>78</v>
      </c>
      <c r="G21" s="8">
        <v>24.0</v>
      </c>
      <c r="H21" s="9">
        <v>4.0</v>
      </c>
      <c r="I21" s="8">
        <v>0.0</v>
      </c>
      <c r="J21" s="8">
        <v>0.0</v>
      </c>
      <c r="K21" s="8">
        <v>0.0</v>
      </c>
      <c r="L21" s="8">
        <v>0.0</v>
      </c>
      <c r="M21" s="8">
        <v>0.0</v>
      </c>
      <c r="N21" s="8">
        <v>0.0</v>
      </c>
      <c r="O21" s="8">
        <v>1.0</v>
      </c>
      <c r="P21" s="8">
        <v>0.0</v>
      </c>
      <c r="Q21" s="13">
        <v>0.6666666666666666</v>
      </c>
      <c r="R21" s="8">
        <v>0.0</v>
      </c>
      <c r="S21" s="8">
        <v>0.0</v>
      </c>
      <c r="T21" s="8">
        <v>0.0</v>
      </c>
      <c r="U21" s="8">
        <v>4.0</v>
      </c>
      <c r="V21" s="8">
        <v>0.0</v>
      </c>
      <c r="W21" s="13">
        <v>2.6666666666666665</v>
      </c>
      <c r="X21" s="14">
        <v>1.0</v>
      </c>
      <c r="Y21" s="14">
        <v>0.0</v>
      </c>
      <c r="Z21" s="13">
        <v>0.6666666666666666</v>
      </c>
    </row>
    <row r="22">
      <c r="A22" s="8" t="s">
        <v>33</v>
      </c>
      <c r="B22" s="10" t="s">
        <v>5</v>
      </c>
      <c r="C22" s="8">
        <v>8.0</v>
      </c>
      <c r="D22" s="8">
        <v>9.0</v>
      </c>
      <c r="E22" s="8">
        <v>1.0</v>
      </c>
      <c r="F22" s="8">
        <v>9.0</v>
      </c>
      <c r="G22" s="8">
        <v>32.0</v>
      </c>
      <c r="H22" s="9">
        <v>4.0</v>
      </c>
      <c r="I22" s="8">
        <v>0.0</v>
      </c>
      <c r="J22" s="8">
        <v>1.0</v>
      </c>
      <c r="K22" s="8">
        <v>-0.5</v>
      </c>
      <c r="L22" s="8">
        <v>0.0</v>
      </c>
      <c r="M22" s="8">
        <v>0.0</v>
      </c>
      <c r="N22" s="8">
        <v>0.0</v>
      </c>
      <c r="O22" s="8">
        <v>2.0</v>
      </c>
      <c r="P22" s="8">
        <v>0.0</v>
      </c>
      <c r="Q22" s="8">
        <v>1.0</v>
      </c>
      <c r="R22" s="8">
        <v>1.0</v>
      </c>
      <c r="S22" s="8">
        <v>0.0</v>
      </c>
      <c r="T22" s="8">
        <v>0.5</v>
      </c>
      <c r="U22" s="8">
        <v>6.0</v>
      </c>
      <c r="V22" s="8">
        <v>0.0</v>
      </c>
      <c r="W22" s="8">
        <v>3.0</v>
      </c>
      <c r="X22" s="8">
        <v>0.0</v>
      </c>
      <c r="Y22" s="8">
        <v>0.0</v>
      </c>
      <c r="Z22" s="8">
        <v>0.0</v>
      </c>
    </row>
    <row r="23">
      <c r="A23" s="8" t="s">
        <v>34</v>
      </c>
      <c r="B23" s="10" t="s">
        <v>5</v>
      </c>
      <c r="C23" s="8">
        <v>8.0</v>
      </c>
      <c r="D23" s="8">
        <v>9.0</v>
      </c>
      <c r="E23" s="8">
        <v>2.0</v>
      </c>
      <c r="F23" s="8">
        <v>4.5</v>
      </c>
      <c r="G23" s="8">
        <v>28.0</v>
      </c>
      <c r="H23" s="9">
        <v>3.5</v>
      </c>
      <c r="I23" s="8">
        <v>2.0</v>
      </c>
      <c r="J23" s="8">
        <v>1.0</v>
      </c>
      <c r="K23" s="8">
        <v>0.5</v>
      </c>
      <c r="L23" s="8">
        <v>0.0</v>
      </c>
      <c r="M23" s="8">
        <v>0.0</v>
      </c>
      <c r="N23" s="8">
        <v>0.0</v>
      </c>
      <c r="O23" s="8">
        <v>0.0</v>
      </c>
      <c r="P23" s="8">
        <v>0.0</v>
      </c>
      <c r="Q23" s="8">
        <v>0.0</v>
      </c>
      <c r="R23" s="8">
        <v>7.0</v>
      </c>
      <c r="S23" s="8">
        <v>1.0</v>
      </c>
      <c r="T23" s="8">
        <v>3.0</v>
      </c>
      <c r="U23" s="8">
        <v>0.0</v>
      </c>
      <c r="V23" s="8">
        <v>0.0</v>
      </c>
      <c r="W23" s="8">
        <v>0.0</v>
      </c>
      <c r="X23" s="8">
        <v>0.0</v>
      </c>
      <c r="Y23" s="8">
        <v>0.0</v>
      </c>
      <c r="Z23" s="8">
        <v>0.0</v>
      </c>
    </row>
    <row r="24">
      <c r="A24" s="8" t="s">
        <v>44</v>
      </c>
      <c r="B24" s="10" t="s">
        <v>7</v>
      </c>
      <c r="C24" s="8">
        <v>8.0</v>
      </c>
      <c r="D24" s="8">
        <v>6.0</v>
      </c>
      <c r="E24" s="8">
        <v>0.0</v>
      </c>
      <c r="F24" s="8" t="s">
        <v>78</v>
      </c>
      <c r="G24" s="8">
        <v>24.0</v>
      </c>
      <c r="H24" s="9">
        <v>3.0</v>
      </c>
      <c r="I24" s="8">
        <v>1.0</v>
      </c>
      <c r="J24" s="8">
        <v>0.0</v>
      </c>
      <c r="K24" s="8">
        <v>0.5</v>
      </c>
      <c r="L24" s="8">
        <v>0.0</v>
      </c>
      <c r="M24" s="8">
        <v>0.0</v>
      </c>
      <c r="N24" s="8">
        <v>0.0</v>
      </c>
      <c r="O24" s="8">
        <v>0.0</v>
      </c>
      <c r="P24" s="8">
        <v>0.0</v>
      </c>
      <c r="Q24" s="8">
        <v>0.0</v>
      </c>
      <c r="R24" s="8">
        <v>5.0</v>
      </c>
      <c r="S24" s="8">
        <v>0.0</v>
      </c>
      <c r="T24" s="8">
        <v>2.5</v>
      </c>
      <c r="U24" s="8">
        <v>0.0</v>
      </c>
      <c r="V24" s="8">
        <v>0.0</v>
      </c>
      <c r="W24" s="8">
        <v>0.0</v>
      </c>
      <c r="X24" s="8">
        <v>0.0</v>
      </c>
      <c r="Y24" s="8">
        <v>0.0</v>
      </c>
      <c r="Z24" s="8">
        <v>0.0</v>
      </c>
    </row>
    <row r="25">
      <c r="A25" s="8" t="s">
        <v>38</v>
      </c>
      <c r="B25" s="10" t="s">
        <v>6</v>
      </c>
      <c r="C25" s="8">
        <v>6.0</v>
      </c>
      <c r="D25" s="8">
        <v>4.0</v>
      </c>
      <c r="E25" s="8">
        <v>0.0</v>
      </c>
      <c r="F25" s="8" t="s">
        <v>78</v>
      </c>
      <c r="G25" s="8">
        <v>16.0</v>
      </c>
      <c r="H25" s="12">
        <v>2.6666666666666665</v>
      </c>
      <c r="I25" s="13">
        <v>1.0</v>
      </c>
      <c r="J25" s="13">
        <v>0.0</v>
      </c>
      <c r="K25" s="13">
        <v>0.6666666666666666</v>
      </c>
      <c r="L25" s="13">
        <v>1.0</v>
      </c>
      <c r="M25" s="13">
        <v>0.0</v>
      </c>
      <c r="N25" s="13">
        <v>0.6666666666666666</v>
      </c>
      <c r="O25" s="13">
        <v>1.0</v>
      </c>
      <c r="P25" s="13">
        <v>0.0</v>
      </c>
      <c r="Q25" s="13">
        <v>0.6666666666666666</v>
      </c>
      <c r="R25" s="13">
        <v>1.0</v>
      </c>
      <c r="S25" s="13">
        <v>0.0</v>
      </c>
      <c r="T25" s="13">
        <v>0.6666666666666666</v>
      </c>
      <c r="U25" s="8">
        <v>0.0</v>
      </c>
      <c r="V25" s="8">
        <v>0.0</v>
      </c>
      <c r="W25" s="8">
        <v>0.0</v>
      </c>
      <c r="X25" s="8">
        <v>0.0</v>
      </c>
      <c r="Y25" s="8">
        <v>0.0</v>
      </c>
      <c r="Z25" s="8">
        <v>0.0</v>
      </c>
    </row>
    <row r="26">
      <c r="A26" s="8" t="s">
        <v>16</v>
      </c>
      <c r="B26" s="10" t="s">
        <v>1</v>
      </c>
      <c r="C26" s="8">
        <v>9.0</v>
      </c>
      <c r="D26" s="8">
        <v>8.0</v>
      </c>
      <c r="E26" s="8">
        <v>2.0</v>
      </c>
      <c r="F26" s="11">
        <v>4.0</v>
      </c>
      <c r="G26" s="8">
        <v>24.0</v>
      </c>
      <c r="H26" s="12">
        <v>2.6666666666666665</v>
      </c>
      <c r="I26" s="13">
        <v>0.0</v>
      </c>
      <c r="J26" s="13">
        <v>1.0</v>
      </c>
      <c r="K26" s="13">
        <v>-0.4444444444444444</v>
      </c>
      <c r="L26" s="13">
        <v>3.0</v>
      </c>
      <c r="M26" s="13">
        <v>0.0</v>
      </c>
      <c r="N26" s="13">
        <v>1.3333333333333333</v>
      </c>
      <c r="O26" s="8">
        <v>0.0</v>
      </c>
      <c r="P26" s="8">
        <v>0.0</v>
      </c>
      <c r="Q26" s="8">
        <v>0.0</v>
      </c>
      <c r="R26" s="8">
        <v>3.0</v>
      </c>
      <c r="S26" s="8">
        <v>0.0</v>
      </c>
      <c r="T26" s="13">
        <v>1.3333333333333333</v>
      </c>
      <c r="U26" s="8">
        <v>0.0</v>
      </c>
      <c r="V26" s="8">
        <v>0.0</v>
      </c>
      <c r="W26" s="8">
        <v>0.0</v>
      </c>
      <c r="X26" s="8">
        <v>2.0</v>
      </c>
      <c r="Y26" s="8">
        <v>1.0</v>
      </c>
      <c r="Z26" s="13">
        <v>0.4444444444444444</v>
      </c>
    </row>
    <row r="27">
      <c r="A27" s="8" t="s">
        <v>37</v>
      </c>
      <c r="B27" s="10" t="s">
        <v>5</v>
      </c>
      <c r="C27" s="8">
        <v>8.0</v>
      </c>
      <c r="D27" s="8">
        <v>5.0</v>
      </c>
      <c r="E27" s="8">
        <v>0.0</v>
      </c>
      <c r="F27" s="8" t="s">
        <v>78</v>
      </c>
      <c r="G27" s="8">
        <v>20.0</v>
      </c>
      <c r="H27" s="9">
        <v>2.5</v>
      </c>
      <c r="I27" s="8">
        <v>2.0</v>
      </c>
      <c r="J27" s="8">
        <v>0.0</v>
      </c>
      <c r="K27" s="8">
        <v>1.0</v>
      </c>
      <c r="L27" s="8">
        <v>0.0</v>
      </c>
      <c r="M27" s="8">
        <v>0.0</v>
      </c>
      <c r="N27" s="8">
        <v>0.0</v>
      </c>
      <c r="O27" s="8">
        <v>0.0</v>
      </c>
      <c r="P27" s="8">
        <v>0.0</v>
      </c>
      <c r="Q27" s="8">
        <v>0.0</v>
      </c>
      <c r="R27" s="8">
        <v>1.0</v>
      </c>
      <c r="S27" s="8">
        <v>0.0</v>
      </c>
      <c r="T27" s="8">
        <v>0.5</v>
      </c>
      <c r="U27" s="8">
        <v>2.0</v>
      </c>
      <c r="V27" s="8">
        <v>0.0</v>
      </c>
      <c r="W27" s="8">
        <v>1.0</v>
      </c>
      <c r="X27" s="8">
        <v>0.0</v>
      </c>
      <c r="Y27" s="8">
        <v>0.0</v>
      </c>
      <c r="Z27" s="8">
        <v>0.0</v>
      </c>
    </row>
    <row r="28">
      <c r="A28" s="8" t="s">
        <v>26</v>
      </c>
      <c r="B28" s="10" t="s">
        <v>3</v>
      </c>
      <c r="C28" s="8">
        <v>9.0</v>
      </c>
      <c r="D28" s="8">
        <v>7.0</v>
      </c>
      <c r="E28" s="8">
        <v>2.0</v>
      </c>
      <c r="F28" s="8">
        <v>3.5</v>
      </c>
      <c r="G28" s="8">
        <v>20.0</v>
      </c>
      <c r="H28" s="12">
        <v>2.2222222222222223</v>
      </c>
      <c r="I28" s="13">
        <v>1.0</v>
      </c>
      <c r="J28" s="13">
        <v>0.0</v>
      </c>
      <c r="K28" s="13">
        <v>0.4444444444444444</v>
      </c>
      <c r="L28" s="13">
        <v>0.0</v>
      </c>
      <c r="M28" s="13">
        <v>1.0</v>
      </c>
      <c r="N28" s="13">
        <v>-0.4444444444444444</v>
      </c>
      <c r="O28" s="13">
        <v>2.0</v>
      </c>
      <c r="P28" s="13">
        <v>0.0</v>
      </c>
      <c r="Q28" s="13">
        <v>0.8888888888888888</v>
      </c>
      <c r="R28" s="13">
        <v>2.0</v>
      </c>
      <c r="S28" s="13">
        <v>0.0</v>
      </c>
      <c r="T28" s="13">
        <v>0.8888888888888888</v>
      </c>
      <c r="U28" s="13">
        <v>2.0</v>
      </c>
      <c r="V28" s="13">
        <v>1.0</v>
      </c>
      <c r="W28" s="13">
        <v>0.4444444444444444</v>
      </c>
      <c r="X28" s="8">
        <v>0.0</v>
      </c>
      <c r="Y28" s="8">
        <v>0.0</v>
      </c>
      <c r="Z28" s="8">
        <v>0.0</v>
      </c>
    </row>
    <row r="29">
      <c r="A29" s="8" t="s">
        <v>14</v>
      </c>
      <c r="B29" s="10" t="s">
        <v>0</v>
      </c>
      <c r="C29" s="8">
        <v>6.0</v>
      </c>
      <c r="D29" s="8">
        <v>3.0</v>
      </c>
      <c r="E29" s="8">
        <v>0.0</v>
      </c>
      <c r="F29" s="8" t="s">
        <v>78</v>
      </c>
      <c r="G29" s="8">
        <v>12.0</v>
      </c>
      <c r="H29" s="9">
        <v>2.0</v>
      </c>
      <c r="I29" s="8">
        <v>1.0</v>
      </c>
      <c r="J29" s="8">
        <v>0.0</v>
      </c>
      <c r="K29" s="13">
        <v>0.6666666666666666</v>
      </c>
      <c r="L29" s="8">
        <v>0.0</v>
      </c>
      <c r="M29" s="8">
        <v>0.0</v>
      </c>
      <c r="N29" s="8">
        <v>0.0</v>
      </c>
      <c r="O29" s="8">
        <v>0.0</v>
      </c>
      <c r="P29" s="8">
        <v>0.0</v>
      </c>
      <c r="Q29" s="8">
        <v>0.0</v>
      </c>
      <c r="R29" s="8">
        <v>1.0</v>
      </c>
      <c r="S29" s="8">
        <v>0.0</v>
      </c>
      <c r="T29" s="13">
        <v>0.6666666666666666</v>
      </c>
      <c r="U29" s="13">
        <v>1.0</v>
      </c>
      <c r="V29" s="13">
        <v>0.0</v>
      </c>
      <c r="W29" s="13">
        <v>0.6666666666666666</v>
      </c>
      <c r="X29" s="8">
        <v>0.0</v>
      </c>
      <c r="Y29" s="8">
        <v>0.0</v>
      </c>
      <c r="Z29" s="8">
        <v>0.0</v>
      </c>
    </row>
    <row r="30">
      <c r="A30" s="8" t="s">
        <v>43</v>
      </c>
      <c r="B30" s="10" t="s">
        <v>7</v>
      </c>
      <c r="C30" s="8">
        <v>8.0</v>
      </c>
      <c r="D30" s="8">
        <v>4.0</v>
      </c>
      <c r="E30" s="8">
        <v>0.0</v>
      </c>
      <c r="F30" s="8" t="s">
        <v>78</v>
      </c>
      <c r="G30" s="8">
        <v>16.0</v>
      </c>
      <c r="H30" s="9">
        <v>2.0</v>
      </c>
      <c r="I30" s="8">
        <v>1.0</v>
      </c>
      <c r="J30" s="8">
        <v>0.0</v>
      </c>
      <c r="K30" s="8">
        <v>0.5</v>
      </c>
      <c r="L30" s="8">
        <v>0.0</v>
      </c>
      <c r="M30" s="8">
        <v>0.0</v>
      </c>
      <c r="N30" s="8">
        <v>0.0</v>
      </c>
      <c r="O30" s="8">
        <v>0.0</v>
      </c>
      <c r="P30" s="8">
        <v>0.0</v>
      </c>
      <c r="Q30" s="8">
        <v>0.0</v>
      </c>
      <c r="R30" s="8">
        <v>1.0</v>
      </c>
      <c r="S30" s="8">
        <v>0.0</v>
      </c>
      <c r="T30" s="8">
        <v>0.5</v>
      </c>
      <c r="U30" s="8">
        <v>2.0</v>
      </c>
      <c r="V30" s="8">
        <v>0.0</v>
      </c>
      <c r="W30" s="8">
        <v>1.0</v>
      </c>
      <c r="X30" s="8">
        <v>0.0</v>
      </c>
      <c r="Y30" s="8">
        <v>0.0</v>
      </c>
      <c r="Z30" s="8">
        <v>0.0</v>
      </c>
    </row>
    <row r="31">
      <c r="A31" s="8" t="s">
        <v>13</v>
      </c>
      <c r="B31" s="15" t="s">
        <v>2</v>
      </c>
      <c r="C31" s="8">
        <v>8.0</v>
      </c>
      <c r="D31" s="8">
        <v>11.0</v>
      </c>
      <c r="E31" s="8">
        <v>8.0</v>
      </c>
      <c r="F31" s="13">
        <v>1.375</v>
      </c>
      <c r="G31" s="8">
        <v>12.0</v>
      </c>
      <c r="H31" s="9">
        <v>1.5</v>
      </c>
      <c r="I31" s="8">
        <v>1.0</v>
      </c>
      <c r="J31" s="8">
        <v>2.0</v>
      </c>
      <c r="K31" s="8">
        <v>-0.5</v>
      </c>
      <c r="L31" s="8">
        <v>2.0</v>
      </c>
      <c r="M31" s="8">
        <v>1.0</v>
      </c>
      <c r="N31" s="8">
        <v>0.5</v>
      </c>
      <c r="O31" s="8">
        <v>1.0</v>
      </c>
      <c r="P31" s="8">
        <v>1.0</v>
      </c>
      <c r="Q31" s="8">
        <v>0.0</v>
      </c>
      <c r="R31" s="8">
        <v>1.0</v>
      </c>
      <c r="S31" s="8">
        <v>1.0</v>
      </c>
      <c r="T31" s="8">
        <v>0.0</v>
      </c>
      <c r="U31" s="8">
        <v>3.0</v>
      </c>
      <c r="V31" s="8">
        <v>0.0</v>
      </c>
      <c r="W31" s="8">
        <v>1.5</v>
      </c>
      <c r="X31" s="8">
        <v>3.0</v>
      </c>
      <c r="Y31" s="8">
        <v>3.0</v>
      </c>
      <c r="Z31" s="8">
        <v>0.0</v>
      </c>
    </row>
    <row r="32">
      <c r="A32" s="8" t="s">
        <v>12</v>
      </c>
      <c r="B32" s="10" t="s">
        <v>0</v>
      </c>
      <c r="C32" s="8">
        <v>6.0</v>
      </c>
      <c r="D32" s="8">
        <v>2.0</v>
      </c>
      <c r="E32" s="8">
        <v>0.0</v>
      </c>
      <c r="F32" s="8" t="s">
        <v>78</v>
      </c>
      <c r="G32" s="8">
        <v>8.0</v>
      </c>
      <c r="H32" s="12">
        <v>1.3333333333333333</v>
      </c>
      <c r="I32" s="8">
        <v>0.0</v>
      </c>
      <c r="J32" s="8">
        <v>0.0</v>
      </c>
      <c r="K32" s="8">
        <v>0.0</v>
      </c>
      <c r="L32" s="8">
        <v>1.0</v>
      </c>
      <c r="M32" s="8">
        <v>0.0</v>
      </c>
      <c r="N32" s="13">
        <v>0.6666666666666666</v>
      </c>
      <c r="O32" s="13">
        <v>1.0</v>
      </c>
      <c r="P32" s="13">
        <v>0.0</v>
      </c>
      <c r="Q32" s="13">
        <v>0.6666666666666666</v>
      </c>
      <c r="R32" s="8">
        <v>0.0</v>
      </c>
      <c r="S32" s="8">
        <v>0.0</v>
      </c>
      <c r="T32" s="8">
        <v>0.0</v>
      </c>
      <c r="U32" s="8">
        <v>0.0</v>
      </c>
      <c r="V32" s="8">
        <v>0.0</v>
      </c>
      <c r="W32" s="8">
        <v>0.0</v>
      </c>
      <c r="X32" s="8">
        <v>0.0</v>
      </c>
      <c r="Y32" s="8">
        <v>0.0</v>
      </c>
      <c r="Z32" s="8">
        <v>0.0</v>
      </c>
    </row>
    <row r="33">
      <c r="A33" s="8" t="s">
        <v>31</v>
      </c>
      <c r="B33" s="10" t="s">
        <v>4</v>
      </c>
      <c r="C33" s="8">
        <v>8.0</v>
      </c>
      <c r="D33" s="8">
        <v>0.0</v>
      </c>
      <c r="E33" s="8">
        <v>0.0</v>
      </c>
      <c r="F33" s="8" t="s">
        <v>78</v>
      </c>
      <c r="G33" s="8">
        <v>0.0</v>
      </c>
      <c r="H33" s="9">
        <v>0.0</v>
      </c>
      <c r="I33" s="8">
        <v>0.0</v>
      </c>
      <c r="J33" s="8">
        <v>0.0</v>
      </c>
      <c r="K33" s="8">
        <v>0.0</v>
      </c>
      <c r="L33" s="8">
        <v>0.0</v>
      </c>
      <c r="M33" s="8">
        <v>0.0</v>
      </c>
      <c r="N33" s="8">
        <v>0.0</v>
      </c>
      <c r="O33" s="8">
        <v>0.0</v>
      </c>
      <c r="P33" s="8">
        <v>0.0</v>
      </c>
      <c r="Q33" s="8">
        <v>0.0</v>
      </c>
      <c r="R33" s="8">
        <v>0.0</v>
      </c>
      <c r="S33" s="8">
        <v>0.0</v>
      </c>
      <c r="T33" s="8">
        <v>0.0</v>
      </c>
      <c r="U33" s="8">
        <v>0.0</v>
      </c>
      <c r="V33" s="8">
        <v>0.0</v>
      </c>
      <c r="W33" s="8">
        <v>0.0</v>
      </c>
      <c r="X33" s="8">
        <v>0.0</v>
      </c>
      <c r="Y33" s="8">
        <v>0.0</v>
      </c>
      <c r="Z33" s="8">
        <v>0.0</v>
      </c>
    </row>
    <row r="34">
      <c r="A34" s="8" t="s">
        <v>10</v>
      </c>
      <c r="B34" s="10" t="s">
        <v>0</v>
      </c>
      <c r="C34" s="8">
        <v>6.0</v>
      </c>
      <c r="D34" s="8">
        <v>0.0</v>
      </c>
      <c r="E34" s="8">
        <v>0.0</v>
      </c>
      <c r="F34" s="14" t="s">
        <v>78</v>
      </c>
      <c r="G34" s="8">
        <v>0.0</v>
      </c>
      <c r="H34" s="9">
        <v>0.0</v>
      </c>
      <c r="I34" s="8">
        <v>0.0</v>
      </c>
      <c r="J34" s="8">
        <v>0.0</v>
      </c>
      <c r="K34" s="8">
        <v>0.0</v>
      </c>
      <c r="L34" s="8">
        <v>0.0</v>
      </c>
      <c r="M34" s="8">
        <v>0.0</v>
      </c>
      <c r="N34" s="8">
        <v>0.0</v>
      </c>
      <c r="O34" s="8">
        <v>0.0</v>
      </c>
      <c r="P34" s="8">
        <v>0.0</v>
      </c>
      <c r="Q34" s="8">
        <v>0.0</v>
      </c>
      <c r="R34" s="8">
        <v>0.0</v>
      </c>
      <c r="S34" s="8">
        <v>0.0</v>
      </c>
      <c r="T34" s="8">
        <v>0.0</v>
      </c>
      <c r="U34" s="8">
        <v>0.0</v>
      </c>
      <c r="V34" s="8">
        <v>0.0</v>
      </c>
      <c r="W34" s="8">
        <v>0.0</v>
      </c>
      <c r="X34" s="8">
        <v>0.0</v>
      </c>
      <c r="Y34" s="8">
        <v>0.0</v>
      </c>
      <c r="Z34" s="8">
        <v>0.0</v>
      </c>
    </row>
    <row r="35">
      <c r="A35" s="8" t="s">
        <v>32</v>
      </c>
      <c r="B35" s="10" t="s">
        <v>4</v>
      </c>
      <c r="C35" s="8">
        <v>8.0</v>
      </c>
      <c r="D35" s="8">
        <v>0.0</v>
      </c>
      <c r="E35" s="8">
        <v>0.0</v>
      </c>
      <c r="F35" s="8" t="s">
        <v>78</v>
      </c>
      <c r="G35" s="8">
        <v>0.0</v>
      </c>
      <c r="H35" s="9">
        <v>0.0</v>
      </c>
      <c r="I35" s="8">
        <v>0.0</v>
      </c>
      <c r="J35" s="8">
        <v>0.0</v>
      </c>
      <c r="K35" s="8">
        <v>0.0</v>
      </c>
      <c r="L35" s="8">
        <v>0.0</v>
      </c>
      <c r="M35" s="8">
        <v>0.0</v>
      </c>
      <c r="N35" s="8">
        <v>0.0</v>
      </c>
      <c r="O35" s="8">
        <v>0.0</v>
      </c>
      <c r="P35" s="8">
        <v>0.0</v>
      </c>
      <c r="Q35" s="8">
        <v>0.0</v>
      </c>
      <c r="R35" s="8">
        <v>0.0</v>
      </c>
      <c r="S35" s="8">
        <v>0.0</v>
      </c>
      <c r="T35" s="8">
        <v>0.0</v>
      </c>
      <c r="U35" s="8">
        <v>0.0</v>
      </c>
      <c r="V35" s="8">
        <v>0.0</v>
      </c>
      <c r="W35" s="8">
        <v>0.0</v>
      </c>
      <c r="X35" s="8">
        <v>0.0</v>
      </c>
      <c r="Y35" s="8">
        <v>0.0</v>
      </c>
      <c r="Z35" s="8">
        <v>0.0</v>
      </c>
    </row>
    <row r="36">
      <c r="A36" s="8" t="s">
        <v>27</v>
      </c>
      <c r="B36" s="10" t="s">
        <v>3</v>
      </c>
      <c r="C36" s="8">
        <v>9.0</v>
      </c>
      <c r="D36" s="8">
        <v>0.0</v>
      </c>
      <c r="E36" s="8">
        <v>0.0</v>
      </c>
      <c r="F36" s="8" t="s">
        <v>78</v>
      </c>
      <c r="G36" s="8">
        <v>0.0</v>
      </c>
      <c r="H36" s="9">
        <v>0.0</v>
      </c>
      <c r="I36" s="8">
        <v>0.0</v>
      </c>
      <c r="J36" s="8">
        <v>0.0</v>
      </c>
      <c r="K36" s="8">
        <v>0.0</v>
      </c>
      <c r="L36" s="8">
        <v>0.0</v>
      </c>
      <c r="M36" s="8">
        <v>0.0</v>
      </c>
      <c r="N36" s="8">
        <v>0.0</v>
      </c>
      <c r="O36" s="8">
        <v>0.0</v>
      </c>
      <c r="P36" s="8">
        <v>0.0</v>
      </c>
      <c r="Q36" s="8">
        <v>0.0</v>
      </c>
      <c r="R36" s="8">
        <v>0.0</v>
      </c>
      <c r="S36" s="8">
        <v>0.0</v>
      </c>
      <c r="T36" s="8">
        <v>0.0</v>
      </c>
      <c r="U36" s="8">
        <v>0.0</v>
      </c>
      <c r="V36" s="8">
        <v>0.0</v>
      </c>
      <c r="W36" s="8">
        <v>0.0</v>
      </c>
      <c r="X36" s="8">
        <v>0.0</v>
      </c>
      <c r="Y36" s="8">
        <v>0.0</v>
      </c>
      <c r="Z36" s="8">
        <v>0.0</v>
      </c>
    </row>
    <row r="37">
      <c r="A37" s="8" t="s">
        <v>20</v>
      </c>
      <c r="B37" s="10" t="s">
        <v>2</v>
      </c>
      <c r="C37" s="8">
        <v>8.0</v>
      </c>
      <c r="D37" s="8">
        <v>0.0</v>
      </c>
      <c r="E37" s="8">
        <v>1.0</v>
      </c>
      <c r="F37" s="8">
        <v>0.0</v>
      </c>
      <c r="G37" s="8">
        <v>-4.0</v>
      </c>
      <c r="H37" s="9">
        <v>-0.5</v>
      </c>
      <c r="I37" s="8">
        <v>0.0</v>
      </c>
      <c r="J37" s="8">
        <v>1.0</v>
      </c>
      <c r="K37" s="8">
        <v>-0.5</v>
      </c>
      <c r="L37" s="8">
        <v>0.0</v>
      </c>
      <c r="M37" s="8">
        <v>0.0</v>
      </c>
      <c r="N37" s="8">
        <v>0.0</v>
      </c>
      <c r="O37" s="8">
        <v>0.0</v>
      </c>
      <c r="P37" s="8">
        <v>0.0</v>
      </c>
      <c r="Q37" s="8">
        <v>0.0</v>
      </c>
      <c r="R37" s="8">
        <v>0.0</v>
      </c>
      <c r="S37" s="8">
        <v>0.0</v>
      </c>
      <c r="T37" s="8">
        <v>0.0</v>
      </c>
      <c r="U37" s="8">
        <v>0.0</v>
      </c>
      <c r="V37" s="8">
        <v>0.0</v>
      </c>
      <c r="W37" s="8">
        <v>0.0</v>
      </c>
      <c r="X37" s="8">
        <v>0.0</v>
      </c>
      <c r="Y37" s="8">
        <v>0.0</v>
      </c>
      <c r="Z37" s="8">
        <v>0.0</v>
      </c>
    </row>
    <row r="38">
      <c r="A38" s="8"/>
      <c r="B38" s="8"/>
      <c r="C38" s="8"/>
      <c r="D38" s="8"/>
      <c r="E38" s="8"/>
      <c r="F38" s="8"/>
      <c r="G38" s="8"/>
      <c r="H38" s="9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9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9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9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9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9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9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9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9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9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9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9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9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9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9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9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9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9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9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9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9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9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9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9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9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9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9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9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9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9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9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9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9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9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9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9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9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9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9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9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9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9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9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9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9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9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9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9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9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9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9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9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9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9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9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9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9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9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9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9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9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9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9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9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9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9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9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9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9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9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9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9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9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9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9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9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9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9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9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9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9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9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9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9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9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9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9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9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9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9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9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9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9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9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9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9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9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9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9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9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9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9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9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9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9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9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9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9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9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9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9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9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9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9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9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9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9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9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9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9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9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9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9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9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9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9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9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9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9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9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9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9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9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9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9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9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9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9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9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9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9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9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9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9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9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9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9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9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9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9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9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9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9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9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9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9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9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9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9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9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9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9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9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9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9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9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9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9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9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9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9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9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9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9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9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9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9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9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9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9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9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9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9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9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9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9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9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9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9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9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9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9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9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9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9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9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9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9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9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9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9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9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9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9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9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9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9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9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9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9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9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9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9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9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9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9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9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9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9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9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9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9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9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9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9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9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9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9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9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9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9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9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9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9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9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9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9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9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9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9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9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9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9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9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9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9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9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9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9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9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9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9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9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9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9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9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9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9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9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9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9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9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9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9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9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9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9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9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9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9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9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9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9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9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9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9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9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9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9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9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9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9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9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9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9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9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9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9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9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9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9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9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9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9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9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9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9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9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9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9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9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9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9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9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9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9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9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9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9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9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9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9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9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9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9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9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9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9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9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9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9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9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9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9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9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9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9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9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9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9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9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9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9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9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9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9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9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9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9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9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9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9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9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9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9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9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9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9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9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9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9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9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9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9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9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9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9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9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9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9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9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9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9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9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9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9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9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9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9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9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9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9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9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9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9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9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9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9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9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9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9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9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9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9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9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9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9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9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9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9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9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9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9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9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9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9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9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9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9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9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9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9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9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9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9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9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9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9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9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9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9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9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9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9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9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9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9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9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9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9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9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9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9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9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9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9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9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9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9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9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9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9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9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9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9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9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9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9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9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9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9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9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9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9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9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9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9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9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9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9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9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9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9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9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9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9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9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9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9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9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9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9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9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9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9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9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9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9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9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9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9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9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9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9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9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9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9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9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9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9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9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9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9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9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9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9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9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9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9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9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9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9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9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9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9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9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9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9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9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9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9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9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9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9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9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9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9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9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9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9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9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9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9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9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9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9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9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9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9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9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9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9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9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9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9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9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9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9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9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9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9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9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9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9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9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9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9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9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9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9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9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9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9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9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9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9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9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9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9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9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9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9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9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9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9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9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9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9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9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9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9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9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9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9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9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9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9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9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9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9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9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9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9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9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9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9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9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9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9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9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9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9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9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9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9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9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9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9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9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9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9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9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9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9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9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9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9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9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9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9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9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9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9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9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9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9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9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9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9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9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9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9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9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9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9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9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9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9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9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9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9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9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9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9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9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9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9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9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9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9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9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9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9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9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9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9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9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9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9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9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9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9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9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9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9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9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9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9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9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9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9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9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9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9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9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9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9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9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9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9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9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9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9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9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9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9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9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9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9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9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9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9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9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9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9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9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9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9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9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9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9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9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9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9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9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9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9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9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9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9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9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9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9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9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9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9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9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9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9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9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9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9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9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9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9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9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9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9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9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9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9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9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9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9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9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9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9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9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9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9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9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9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9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9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9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9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9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9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9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9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9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9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9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9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9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9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9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9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9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9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9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9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9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9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9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9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9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9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9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9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9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9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9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9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9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9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9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9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9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9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9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9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9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9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9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9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9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9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9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9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9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9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9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9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9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9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9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9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9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9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9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9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9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9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9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9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9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9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9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9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9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9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9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9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9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9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9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9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9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9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9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9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9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9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9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9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9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9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9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9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9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9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9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9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9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9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9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9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9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9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9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9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9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9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9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9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9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9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9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9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9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9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9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9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9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9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9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9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9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9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9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9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9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9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9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9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9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9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9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9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9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9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9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9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9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9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9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9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9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9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9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9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9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9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9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9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9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9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9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9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9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9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9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9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9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9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9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9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9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9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9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9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9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9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9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9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9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9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9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9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9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9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9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9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9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9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9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9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9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9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9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9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9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9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9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9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9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9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9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9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9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9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9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9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9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9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9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9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9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9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9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9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9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9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9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9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9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9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9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9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9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9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9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9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9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9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9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9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9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9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9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9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9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9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9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9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9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9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9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9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9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9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9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9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9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9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9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9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9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9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9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9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9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5" width="7.63"/>
    <col customWidth="1" min="6" max="18" width="10.13"/>
    <col customWidth="1" min="19" max="25" width="7.63"/>
  </cols>
  <sheetData>
    <row r="1">
      <c r="A1" s="7" t="s">
        <v>53</v>
      </c>
      <c r="B1" s="16" t="s">
        <v>59</v>
      </c>
      <c r="C1" s="16" t="s">
        <v>54</v>
      </c>
      <c r="D1" s="16" t="s">
        <v>8</v>
      </c>
      <c r="E1" s="16" t="s">
        <v>79</v>
      </c>
      <c r="F1" s="16" t="s">
        <v>80</v>
      </c>
      <c r="G1" s="16" t="s">
        <v>81</v>
      </c>
      <c r="H1" s="16" t="s">
        <v>82</v>
      </c>
      <c r="I1" s="16" t="s">
        <v>83</v>
      </c>
      <c r="J1" s="16" t="s">
        <v>84</v>
      </c>
      <c r="K1" s="16" t="s">
        <v>85</v>
      </c>
      <c r="L1" s="16" t="s">
        <v>86</v>
      </c>
      <c r="M1" s="16" t="s">
        <v>87</v>
      </c>
      <c r="N1" s="16" t="s">
        <v>88</v>
      </c>
      <c r="O1" s="16" t="s">
        <v>89</v>
      </c>
      <c r="P1" s="16" t="s">
        <v>90</v>
      </c>
      <c r="Q1" s="16" t="s">
        <v>91</v>
      </c>
      <c r="R1" s="16"/>
      <c r="S1" s="16"/>
      <c r="T1" s="16"/>
      <c r="U1" s="16"/>
      <c r="V1" s="16"/>
      <c r="W1" s="16"/>
      <c r="X1" s="16"/>
      <c r="Y1" s="16"/>
    </row>
    <row r="2">
      <c r="A2" s="7" t="s">
        <v>4</v>
      </c>
      <c r="B2" s="7">
        <v>152.75</v>
      </c>
      <c r="C2" s="16">
        <v>8.0</v>
      </c>
      <c r="D2" s="16">
        <v>77.0</v>
      </c>
      <c r="E2" s="17">
        <v>0.7264150943396226</v>
      </c>
      <c r="F2" s="16">
        <v>14.0</v>
      </c>
      <c r="G2" s="17">
        <v>0.875</v>
      </c>
      <c r="H2" s="16">
        <v>12.0</v>
      </c>
      <c r="I2" s="17">
        <v>0.6</v>
      </c>
      <c r="J2" s="16">
        <v>16.0</v>
      </c>
      <c r="K2" s="17">
        <v>0.8</v>
      </c>
      <c r="L2" s="16">
        <v>11.0</v>
      </c>
      <c r="M2" s="17">
        <v>0.7333333333333333</v>
      </c>
      <c r="N2" s="16">
        <v>9.0</v>
      </c>
      <c r="O2" s="17">
        <v>0.6</v>
      </c>
      <c r="P2" s="16">
        <v>15.0</v>
      </c>
      <c r="Q2" s="17">
        <v>0.75</v>
      </c>
      <c r="R2" s="16"/>
      <c r="S2" s="16"/>
      <c r="T2" s="16"/>
      <c r="U2" s="16"/>
      <c r="V2" s="16"/>
      <c r="W2" s="16"/>
      <c r="X2" s="16"/>
      <c r="Y2" s="16"/>
    </row>
    <row r="3">
      <c r="A3" s="16" t="s">
        <v>1</v>
      </c>
      <c r="B3" s="16">
        <v>136.0</v>
      </c>
      <c r="C3" s="16">
        <v>9.0</v>
      </c>
      <c r="D3" s="16">
        <v>76.0</v>
      </c>
      <c r="E3" s="17">
        <v>0.7378640776699029</v>
      </c>
      <c r="F3" s="16">
        <v>12.0</v>
      </c>
      <c r="G3" s="17">
        <v>0.75</v>
      </c>
      <c r="H3" s="16">
        <v>10.0</v>
      </c>
      <c r="I3" s="17">
        <v>0.6666666666666666</v>
      </c>
      <c r="J3" s="16">
        <v>15.0</v>
      </c>
      <c r="K3" s="17">
        <v>0.7894736842105263</v>
      </c>
      <c r="L3" s="16">
        <v>20.0</v>
      </c>
      <c r="M3" s="17">
        <v>0.8333333333333334</v>
      </c>
      <c r="N3" s="16">
        <v>14.0</v>
      </c>
      <c r="O3" s="17">
        <v>0.7777777777777778</v>
      </c>
      <c r="P3" s="16">
        <v>5.0</v>
      </c>
      <c r="Q3" s="17">
        <v>0.45454545454545453</v>
      </c>
      <c r="R3" s="16"/>
      <c r="S3" s="16"/>
      <c r="T3" s="16"/>
      <c r="U3" s="16"/>
      <c r="V3" s="16"/>
      <c r="W3" s="16"/>
      <c r="X3" s="16"/>
      <c r="Y3" s="16"/>
    </row>
    <row r="4">
      <c r="A4" s="16" t="s">
        <v>3</v>
      </c>
      <c r="B4" s="14">
        <v>77.11111111111111</v>
      </c>
      <c r="C4" s="16">
        <v>9.0</v>
      </c>
      <c r="D4" s="16">
        <v>33.0</v>
      </c>
      <c r="E4" s="17">
        <v>0.44594594594594594</v>
      </c>
      <c r="F4" s="16">
        <v>5.0</v>
      </c>
      <c r="G4" s="17">
        <v>0.45454545454545453</v>
      </c>
      <c r="H4" s="16">
        <v>13.0</v>
      </c>
      <c r="I4" s="17">
        <v>0.5909090909090909</v>
      </c>
      <c r="J4" s="16">
        <v>4.0</v>
      </c>
      <c r="K4" s="17">
        <v>0.4</v>
      </c>
      <c r="L4" s="16">
        <v>4.0</v>
      </c>
      <c r="M4" s="17">
        <v>0.2857142857142857</v>
      </c>
      <c r="N4" s="16">
        <v>2.0</v>
      </c>
      <c r="O4" s="17">
        <v>0.4</v>
      </c>
      <c r="P4" s="16">
        <v>5.0</v>
      </c>
      <c r="Q4" s="17">
        <v>0.4166666666666667</v>
      </c>
      <c r="R4" s="16"/>
      <c r="S4" s="16"/>
      <c r="T4" s="16"/>
      <c r="U4" s="16"/>
      <c r="V4" s="16"/>
      <c r="W4" s="16"/>
      <c r="X4" s="16"/>
      <c r="Y4" s="16"/>
    </row>
    <row r="5">
      <c r="A5" s="16" t="s">
        <v>5</v>
      </c>
      <c r="B5" s="16">
        <v>69.0</v>
      </c>
      <c r="C5" s="16">
        <v>8.0</v>
      </c>
      <c r="D5" s="16">
        <v>26.0</v>
      </c>
      <c r="E5" s="17">
        <v>0.40625</v>
      </c>
      <c r="F5" s="16">
        <v>5.0</v>
      </c>
      <c r="G5" s="17">
        <v>0.625</v>
      </c>
      <c r="H5" s="16">
        <v>2.0</v>
      </c>
      <c r="I5" s="17">
        <v>0.2222222222222222</v>
      </c>
      <c r="J5" s="16">
        <v>5.0</v>
      </c>
      <c r="K5" s="17">
        <v>0.4166666666666667</v>
      </c>
      <c r="L5" s="16">
        <v>6.0</v>
      </c>
      <c r="M5" s="17">
        <v>0.5</v>
      </c>
      <c r="N5" s="16">
        <v>5.0</v>
      </c>
      <c r="O5" s="17">
        <v>0.5</v>
      </c>
      <c r="P5" s="16">
        <v>3.0</v>
      </c>
      <c r="Q5" s="17">
        <v>0.23076923076923078</v>
      </c>
      <c r="R5" s="16"/>
      <c r="S5" s="16"/>
      <c r="T5" s="16"/>
      <c r="U5" s="16"/>
      <c r="V5" s="16"/>
      <c r="W5" s="16"/>
      <c r="X5" s="16"/>
      <c r="Y5" s="16"/>
    </row>
    <row r="6">
      <c r="A6" s="16" t="s">
        <v>6</v>
      </c>
      <c r="B6" s="14">
        <v>56.333333333333336</v>
      </c>
      <c r="C6" s="16">
        <v>6.0</v>
      </c>
      <c r="D6" s="16">
        <v>17.0</v>
      </c>
      <c r="E6" s="17">
        <v>0.4857142857142857</v>
      </c>
      <c r="F6" s="16">
        <v>2.0</v>
      </c>
      <c r="G6" s="17">
        <v>0.3333333333333333</v>
      </c>
      <c r="H6" s="16">
        <v>6.0</v>
      </c>
      <c r="I6" s="17">
        <v>0.6</v>
      </c>
      <c r="J6" s="16">
        <v>2.0</v>
      </c>
      <c r="K6" s="17">
        <v>0.4</v>
      </c>
      <c r="L6" s="16">
        <v>5.0</v>
      </c>
      <c r="M6" s="17">
        <v>0.7142857142857143</v>
      </c>
      <c r="N6" s="16">
        <v>1.0</v>
      </c>
      <c r="O6" s="17">
        <v>0.25</v>
      </c>
      <c r="P6" s="16">
        <v>1.0</v>
      </c>
      <c r="Q6" s="17">
        <v>0.3333333333333333</v>
      </c>
      <c r="R6" s="16"/>
      <c r="S6" s="16"/>
      <c r="T6" s="16"/>
      <c r="U6" s="16"/>
      <c r="V6" s="16"/>
      <c r="W6" s="16"/>
      <c r="X6" s="16"/>
      <c r="Y6" s="16"/>
    </row>
    <row r="7">
      <c r="A7" s="16" t="s">
        <v>7</v>
      </c>
      <c r="B7" s="16">
        <v>49.0</v>
      </c>
      <c r="C7" s="16">
        <v>8.0</v>
      </c>
      <c r="D7" s="16">
        <v>16.0</v>
      </c>
      <c r="E7" s="17">
        <v>0.3333333333333333</v>
      </c>
      <c r="F7" s="16">
        <v>2.0</v>
      </c>
      <c r="G7" s="17">
        <v>0.3333333333333333</v>
      </c>
      <c r="H7" s="16">
        <v>5.0</v>
      </c>
      <c r="I7" s="17">
        <v>0.45454545454545453</v>
      </c>
      <c r="J7" s="16">
        <v>2.0</v>
      </c>
      <c r="K7" s="17">
        <v>0.5</v>
      </c>
      <c r="L7" s="16">
        <v>5.0</v>
      </c>
      <c r="M7" s="17">
        <v>0.45454545454545453</v>
      </c>
      <c r="N7" s="16">
        <v>2.0</v>
      </c>
      <c r="O7" s="17">
        <v>0.2857142857142857</v>
      </c>
      <c r="P7" s="16">
        <v>0.0</v>
      </c>
      <c r="Q7" s="17">
        <v>0.0</v>
      </c>
      <c r="R7" s="16"/>
      <c r="S7" s="16"/>
      <c r="T7" s="16"/>
      <c r="U7" s="16"/>
      <c r="V7" s="16"/>
      <c r="W7" s="16"/>
      <c r="X7" s="16"/>
      <c r="Y7" s="16"/>
    </row>
    <row r="8">
      <c r="A8" s="16" t="s">
        <v>2</v>
      </c>
      <c r="B8" s="16">
        <v>38.0</v>
      </c>
      <c r="C8" s="16">
        <v>8.0</v>
      </c>
      <c r="D8" s="16">
        <v>12.0</v>
      </c>
      <c r="E8" s="17">
        <v>0.32432432432432434</v>
      </c>
      <c r="F8" s="16">
        <v>6.0</v>
      </c>
      <c r="G8" s="17">
        <v>0.8571428571428571</v>
      </c>
      <c r="H8" s="16">
        <v>1.0</v>
      </c>
      <c r="I8" s="17">
        <v>0.1111111111111111</v>
      </c>
      <c r="J8" s="16">
        <v>0.0</v>
      </c>
      <c r="K8" s="17">
        <v>0.0</v>
      </c>
      <c r="L8" s="16">
        <v>3.0</v>
      </c>
      <c r="M8" s="17">
        <v>0.5</v>
      </c>
      <c r="N8" s="16">
        <v>0.0</v>
      </c>
      <c r="O8" s="17">
        <v>0.0</v>
      </c>
      <c r="P8" s="16">
        <v>2.0</v>
      </c>
      <c r="Q8" s="17">
        <v>0.4</v>
      </c>
      <c r="R8" s="16"/>
      <c r="S8" s="16"/>
      <c r="T8" s="16"/>
      <c r="U8" s="16"/>
      <c r="V8" s="16"/>
      <c r="W8" s="16"/>
      <c r="X8" s="16"/>
      <c r="Y8" s="16"/>
    </row>
    <row r="9">
      <c r="A9" s="16" t="s">
        <v>0</v>
      </c>
      <c r="B9" s="14">
        <v>35.333333333333336</v>
      </c>
      <c r="C9" s="16">
        <v>6.0</v>
      </c>
      <c r="D9" s="16">
        <v>8.0</v>
      </c>
      <c r="E9" s="17">
        <v>0.27586206896551724</v>
      </c>
      <c r="F9" s="16">
        <v>4.0</v>
      </c>
      <c r="G9" s="17">
        <v>1.0</v>
      </c>
      <c r="H9" s="16">
        <v>0.0</v>
      </c>
      <c r="I9" s="17">
        <v>0.0</v>
      </c>
      <c r="J9" s="16">
        <v>1.0</v>
      </c>
      <c r="K9" s="17">
        <v>0.3333333333333333</v>
      </c>
      <c r="L9" s="16">
        <v>1.0</v>
      </c>
      <c r="M9" s="17">
        <v>0.25</v>
      </c>
      <c r="N9" s="16">
        <v>2.0</v>
      </c>
      <c r="O9" s="17">
        <v>0.3333333333333333</v>
      </c>
      <c r="P9" s="16">
        <v>0.0</v>
      </c>
      <c r="Q9" s="17">
        <v>0.0</v>
      </c>
      <c r="R9" s="16"/>
      <c r="S9" s="16"/>
      <c r="T9" s="16"/>
      <c r="U9" s="16"/>
      <c r="V9" s="16"/>
      <c r="W9" s="16"/>
      <c r="X9" s="16"/>
      <c r="Y9" s="16"/>
    </row>
    <row r="1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3" t="str">
        <f t="array" ref="A1:A1000">sort(Stats!A1:A1000,Stats!K1:K1000,false)</f>
        <v>Player</v>
      </c>
      <c r="B1" s="19" t="str">
        <f t="array" ref="B1:B1000">sort(Stats!C1:C1000,Stats!K1:K1000,false)</f>
        <v>GP</v>
      </c>
      <c r="C1" s="19" t="str">
        <f t="array" ref="C1:E1000">sort(Stats!I1:K1000,Stats!K1:K1000,false)</f>
        <v>X TU</v>
      </c>
      <c r="D1" s="19" t="s">
        <v>61</v>
      </c>
      <c r="E1" s="3" t="s">
        <v>62</v>
      </c>
    </row>
    <row r="2">
      <c r="A2" s="3" t="s">
        <v>15</v>
      </c>
      <c r="B2" s="19">
        <v>9.0</v>
      </c>
      <c r="C2" s="19">
        <v>8.0</v>
      </c>
      <c r="D2" s="19">
        <v>2.0</v>
      </c>
      <c r="E2" s="20">
        <v>2.6666666666666665</v>
      </c>
    </row>
    <row r="3">
      <c r="A3" s="3" t="s">
        <v>24</v>
      </c>
      <c r="B3" s="19">
        <v>9.0</v>
      </c>
      <c r="C3" s="19">
        <v>5.0</v>
      </c>
      <c r="D3" s="19">
        <v>0.0</v>
      </c>
      <c r="E3" s="20">
        <v>2.2222222222222223</v>
      </c>
    </row>
    <row r="4">
      <c r="A4" s="3" t="s">
        <v>29</v>
      </c>
      <c r="B4" s="19">
        <v>8.0</v>
      </c>
      <c r="C4" s="19">
        <v>9.0</v>
      </c>
      <c r="D4" s="19">
        <v>5.0</v>
      </c>
      <c r="E4" s="3">
        <v>2.0</v>
      </c>
    </row>
    <row r="5">
      <c r="A5" s="3" t="s">
        <v>11</v>
      </c>
      <c r="B5" s="19">
        <v>6.0</v>
      </c>
      <c r="C5" s="19">
        <v>3.0</v>
      </c>
      <c r="D5" s="19">
        <v>0.0</v>
      </c>
      <c r="E5" s="3">
        <v>2.0</v>
      </c>
    </row>
    <row r="6">
      <c r="A6" s="3" t="s">
        <v>35</v>
      </c>
      <c r="B6" s="19">
        <v>8.0</v>
      </c>
      <c r="C6" s="19">
        <v>4.0</v>
      </c>
      <c r="D6" s="19">
        <v>0.0</v>
      </c>
      <c r="E6" s="3">
        <v>2.0</v>
      </c>
    </row>
    <row r="7">
      <c r="A7" s="3" t="s">
        <v>39</v>
      </c>
      <c r="B7" s="19">
        <v>6.0</v>
      </c>
      <c r="C7" s="19">
        <v>3.0</v>
      </c>
      <c r="D7" s="19">
        <v>0.0</v>
      </c>
      <c r="E7" s="3">
        <v>2.0</v>
      </c>
    </row>
    <row r="8">
      <c r="A8" s="3" t="s">
        <v>19</v>
      </c>
      <c r="B8" s="19">
        <v>8.0</v>
      </c>
      <c r="C8" s="19">
        <v>4.0</v>
      </c>
      <c r="D8" s="19">
        <v>0.0</v>
      </c>
      <c r="E8" s="3">
        <v>2.0</v>
      </c>
    </row>
    <row r="9">
      <c r="A9" s="3" t="s">
        <v>28</v>
      </c>
      <c r="B9" s="19">
        <v>8.0</v>
      </c>
      <c r="C9" s="19">
        <v>3.0</v>
      </c>
      <c r="D9" s="19">
        <v>0.0</v>
      </c>
      <c r="E9" s="3">
        <v>1.5</v>
      </c>
    </row>
    <row r="10">
      <c r="A10" s="3" t="s">
        <v>45</v>
      </c>
      <c r="B10" s="19">
        <v>8.0</v>
      </c>
      <c r="C10" s="19">
        <v>3.0</v>
      </c>
      <c r="D10" s="19">
        <v>0.0</v>
      </c>
      <c r="E10" s="3">
        <v>1.5</v>
      </c>
    </row>
    <row r="11">
      <c r="A11" s="3" t="s">
        <v>30</v>
      </c>
      <c r="B11" s="19">
        <v>8.0</v>
      </c>
      <c r="C11" s="19">
        <v>4.0</v>
      </c>
      <c r="D11" s="19">
        <v>1.0</v>
      </c>
      <c r="E11" s="3">
        <v>1.5</v>
      </c>
    </row>
    <row r="12">
      <c r="A12" s="3" t="s">
        <v>18</v>
      </c>
      <c r="B12" s="19">
        <v>9.0</v>
      </c>
      <c r="C12" s="19">
        <v>5.0</v>
      </c>
      <c r="D12" s="19">
        <v>2.0</v>
      </c>
      <c r="E12" s="20">
        <v>1.3333333333333333</v>
      </c>
    </row>
    <row r="13">
      <c r="A13" s="3" t="s">
        <v>25</v>
      </c>
      <c r="B13" s="19">
        <v>9.0</v>
      </c>
      <c r="C13" s="19">
        <v>3.0</v>
      </c>
      <c r="D13" s="19">
        <v>0.0</v>
      </c>
      <c r="E13" s="20">
        <v>1.3333333333333333</v>
      </c>
    </row>
    <row r="14">
      <c r="A14" s="3" t="s">
        <v>37</v>
      </c>
      <c r="B14" s="19">
        <v>8.0</v>
      </c>
      <c r="C14" s="19">
        <v>2.0</v>
      </c>
      <c r="D14" s="19">
        <v>0.0</v>
      </c>
      <c r="E14" s="3">
        <v>1.0</v>
      </c>
    </row>
    <row r="15">
      <c r="A15" s="3" t="s">
        <v>23</v>
      </c>
      <c r="B15" s="19">
        <v>9.0</v>
      </c>
      <c r="C15" s="19">
        <v>2.0</v>
      </c>
      <c r="D15" s="19">
        <v>0.0</v>
      </c>
      <c r="E15" s="20">
        <v>0.8888888888888888</v>
      </c>
    </row>
    <row r="16">
      <c r="A16" s="3" t="s">
        <v>17</v>
      </c>
      <c r="B16" s="19">
        <v>9.0</v>
      </c>
      <c r="C16" s="19">
        <v>3.0</v>
      </c>
      <c r="D16" s="19">
        <v>1.0</v>
      </c>
      <c r="E16" s="20">
        <v>0.8888888888888888</v>
      </c>
    </row>
    <row r="17">
      <c r="A17" s="3" t="s">
        <v>41</v>
      </c>
      <c r="B17" s="19">
        <v>6.0</v>
      </c>
      <c r="C17" s="19">
        <v>2.0</v>
      </c>
      <c r="D17" s="19">
        <v>1.0</v>
      </c>
      <c r="E17" s="20">
        <v>0.6666666666666666</v>
      </c>
    </row>
    <row r="18">
      <c r="A18" s="3" t="s">
        <v>13</v>
      </c>
      <c r="B18" s="19">
        <v>6.0</v>
      </c>
      <c r="C18" s="19">
        <v>1.0</v>
      </c>
      <c r="D18" s="19">
        <v>0.0</v>
      </c>
      <c r="E18" s="20">
        <v>0.6666666666666666</v>
      </c>
    </row>
    <row r="19">
      <c r="A19" s="3" t="s">
        <v>38</v>
      </c>
      <c r="B19" s="19">
        <v>6.0</v>
      </c>
      <c r="C19" s="19">
        <v>1.0</v>
      </c>
      <c r="D19" s="19">
        <v>0.0</v>
      </c>
      <c r="E19" s="20">
        <v>0.6666666666666666</v>
      </c>
    </row>
    <row r="20">
      <c r="A20" s="3" t="s">
        <v>14</v>
      </c>
      <c r="B20" s="19">
        <v>6.0</v>
      </c>
      <c r="C20" s="19">
        <v>1.0</v>
      </c>
      <c r="D20" s="19">
        <v>0.0</v>
      </c>
      <c r="E20" s="20">
        <v>0.6666666666666666</v>
      </c>
    </row>
    <row r="21">
      <c r="A21" s="3" t="s">
        <v>22</v>
      </c>
      <c r="B21" s="19">
        <v>7.0</v>
      </c>
      <c r="C21" s="19">
        <v>2.0</v>
      </c>
      <c r="D21" s="19">
        <v>1.0</v>
      </c>
      <c r="E21" s="20">
        <v>0.5714285714285714</v>
      </c>
    </row>
    <row r="22">
      <c r="A22" s="3" t="s">
        <v>42</v>
      </c>
      <c r="B22" s="19">
        <v>8.0</v>
      </c>
      <c r="C22" s="19">
        <v>1.0</v>
      </c>
      <c r="D22" s="19">
        <v>0.0</v>
      </c>
      <c r="E22" s="3">
        <v>0.5</v>
      </c>
    </row>
    <row r="23">
      <c r="A23" s="3" t="s">
        <v>34</v>
      </c>
      <c r="B23" s="19">
        <v>8.0</v>
      </c>
      <c r="C23" s="19">
        <v>2.0</v>
      </c>
      <c r="D23" s="19">
        <v>1.0</v>
      </c>
      <c r="E23" s="3">
        <v>0.5</v>
      </c>
    </row>
    <row r="24">
      <c r="A24" s="3" t="s">
        <v>44</v>
      </c>
      <c r="B24" s="19">
        <v>8.0</v>
      </c>
      <c r="C24" s="19">
        <v>1.0</v>
      </c>
      <c r="D24" s="19">
        <v>0.0</v>
      </c>
      <c r="E24" s="3">
        <v>0.5</v>
      </c>
    </row>
    <row r="25">
      <c r="A25" s="3" t="s">
        <v>43</v>
      </c>
      <c r="B25" s="19">
        <v>8.0</v>
      </c>
      <c r="C25" s="19">
        <v>1.0</v>
      </c>
      <c r="D25" s="19">
        <v>0.0</v>
      </c>
      <c r="E25" s="3">
        <v>0.5</v>
      </c>
    </row>
    <row r="26">
      <c r="A26" s="3" t="s">
        <v>26</v>
      </c>
      <c r="B26" s="19">
        <v>9.0</v>
      </c>
      <c r="C26" s="19">
        <v>1.0</v>
      </c>
      <c r="D26" s="19">
        <v>0.0</v>
      </c>
      <c r="E26" s="20">
        <v>0.4444444444444444</v>
      </c>
    </row>
    <row r="27">
      <c r="A27" s="3" t="s">
        <v>36</v>
      </c>
      <c r="B27" s="19">
        <v>8.0</v>
      </c>
      <c r="C27" s="19">
        <v>0.0</v>
      </c>
      <c r="D27" s="19">
        <v>0.0</v>
      </c>
      <c r="E27" s="3">
        <v>0.0</v>
      </c>
    </row>
    <row r="28">
      <c r="A28" s="3" t="s">
        <v>40</v>
      </c>
      <c r="B28" s="19">
        <v>6.0</v>
      </c>
      <c r="C28" s="19">
        <v>0.0</v>
      </c>
      <c r="D28" s="19">
        <v>0.0</v>
      </c>
      <c r="E28" s="3">
        <v>0.0</v>
      </c>
    </row>
    <row r="29">
      <c r="A29" s="3" t="s">
        <v>12</v>
      </c>
      <c r="B29" s="19">
        <v>6.0</v>
      </c>
      <c r="C29" s="19">
        <v>0.0</v>
      </c>
      <c r="D29" s="19">
        <v>0.0</v>
      </c>
      <c r="E29" s="3">
        <v>0.0</v>
      </c>
    </row>
    <row r="30">
      <c r="A30" s="3" t="s">
        <v>31</v>
      </c>
      <c r="B30" s="19">
        <v>8.0</v>
      </c>
      <c r="C30" s="19">
        <v>0.0</v>
      </c>
      <c r="D30" s="19">
        <v>0.0</v>
      </c>
      <c r="E30" s="3">
        <v>0.0</v>
      </c>
    </row>
    <row r="31">
      <c r="A31" s="3" t="s">
        <v>10</v>
      </c>
      <c r="B31" s="19">
        <v>6.0</v>
      </c>
      <c r="C31" s="19">
        <v>0.0</v>
      </c>
      <c r="D31" s="19">
        <v>0.0</v>
      </c>
      <c r="E31" s="3">
        <v>0.0</v>
      </c>
    </row>
    <row r="32">
      <c r="A32" s="3" t="s">
        <v>32</v>
      </c>
      <c r="B32" s="19">
        <v>8.0</v>
      </c>
      <c r="C32" s="19">
        <v>0.0</v>
      </c>
      <c r="D32" s="19">
        <v>0.0</v>
      </c>
      <c r="E32" s="3">
        <v>0.0</v>
      </c>
    </row>
    <row r="33">
      <c r="A33" s="3" t="s">
        <v>27</v>
      </c>
      <c r="B33" s="19">
        <v>9.0</v>
      </c>
      <c r="C33" s="19">
        <v>0.0</v>
      </c>
      <c r="D33" s="19">
        <v>0.0</v>
      </c>
      <c r="E33" s="3">
        <v>0.0</v>
      </c>
    </row>
    <row r="34">
      <c r="A34" s="3" t="s">
        <v>16</v>
      </c>
      <c r="B34" s="19">
        <v>9.0</v>
      </c>
      <c r="C34" s="19">
        <v>0.0</v>
      </c>
      <c r="D34" s="19">
        <v>1.0</v>
      </c>
      <c r="E34" s="20">
        <v>-0.4444444444444444</v>
      </c>
    </row>
    <row r="35">
      <c r="A35" s="3" t="s">
        <v>33</v>
      </c>
      <c r="B35" s="19">
        <v>8.0</v>
      </c>
      <c r="C35" s="19">
        <v>0.0</v>
      </c>
      <c r="D35" s="19">
        <v>1.0</v>
      </c>
      <c r="E35" s="3">
        <v>-0.5</v>
      </c>
    </row>
    <row r="36">
      <c r="A36" s="3" t="s">
        <v>13</v>
      </c>
      <c r="B36" s="19">
        <v>8.0</v>
      </c>
      <c r="C36" s="19">
        <v>1.0</v>
      </c>
      <c r="D36" s="19">
        <v>2.0</v>
      </c>
      <c r="E36" s="3">
        <v>-0.5</v>
      </c>
    </row>
    <row r="37">
      <c r="A37" s="3" t="s">
        <v>20</v>
      </c>
      <c r="B37" s="19">
        <v>8.0</v>
      </c>
      <c r="C37" s="19">
        <v>0.0</v>
      </c>
      <c r="D37" s="19">
        <v>1.0</v>
      </c>
      <c r="E37" s="3">
        <v>-0.5</v>
      </c>
    </row>
    <row r="38">
      <c r="A38" s="3"/>
      <c r="B38" s="19"/>
      <c r="C38" s="19"/>
      <c r="D38" s="19"/>
      <c r="E38" s="3"/>
    </row>
    <row r="39">
      <c r="A39" s="3"/>
      <c r="B39" s="19"/>
      <c r="C39" s="19"/>
      <c r="D39" s="19"/>
      <c r="E39" s="3"/>
    </row>
    <row r="40">
      <c r="A40" s="3"/>
      <c r="B40" s="19"/>
      <c r="C40" s="19"/>
      <c r="D40" s="19"/>
      <c r="E40" s="3"/>
    </row>
    <row r="41">
      <c r="A41" s="3"/>
      <c r="B41" s="19"/>
      <c r="C41" s="19"/>
      <c r="D41" s="19"/>
      <c r="E41" s="3"/>
    </row>
    <row r="42">
      <c r="A42" s="3"/>
      <c r="B42" s="19"/>
      <c r="C42" s="19"/>
      <c r="D42" s="19"/>
      <c r="E42" s="3"/>
    </row>
    <row r="43">
      <c r="A43" s="3"/>
      <c r="B43" s="19"/>
      <c r="C43" s="19"/>
      <c r="D43" s="19"/>
      <c r="E43" s="3"/>
    </row>
    <row r="44">
      <c r="A44" s="3"/>
      <c r="B44" s="19"/>
      <c r="C44" s="19"/>
      <c r="D44" s="19"/>
      <c r="E44" s="3"/>
    </row>
    <row r="45">
      <c r="A45" s="3"/>
      <c r="B45" s="19"/>
      <c r="C45" s="19"/>
      <c r="D45" s="19"/>
      <c r="E45" s="3"/>
    </row>
    <row r="46">
      <c r="A46" s="3"/>
      <c r="B46" s="19"/>
      <c r="C46" s="19"/>
      <c r="D46" s="19"/>
      <c r="E46" s="3"/>
    </row>
    <row r="47">
      <c r="A47" s="3"/>
      <c r="B47" s="19"/>
      <c r="C47" s="19"/>
      <c r="D47" s="19"/>
      <c r="E47" s="3"/>
    </row>
    <row r="48">
      <c r="A48" s="3"/>
      <c r="B48" s="19"/>
      <c r="C48" s="19"/>
      <c r="D48" s="19"/>
      <c r="E48" s="3"/>
    </row>
    <row r="49">
      <c r="A49" s="3"/>
      <c r="B49" s="19"/>
      <c r="C49" s="19"/>
      <c r="D49" s="19"/>
      <c r="E49" s="3"/>
    </row>
    <row r="50">
      <c r="A50" s="3"/>
      <c r="B50" s="19"/>
      <c r="C50" s="19"/>
      <c r="D50" s="19"/>
      <c r="E50" s="3"/>
    </row>
    <row r="51">
      <c r="A51" s="3"/>
      <c r="B51" s="19"/>
      <c r="C51" s="19"/>
      <c r="D51" s="19"/>
      <c r="E51" s="3"/>
    </row>
    <row r="52">
      <c r="A52" s="3"/>
      <c r="B52" s="19"/>
      <c r="C52" s="19"/>
      <c r="D52" s="19"/>
      <c r="E52" s="3"/>
    </row>
    <row r="53">
      <c r="A53" s="3"/>
      <c r="B53" s="19"/>
      <c r="C53" s="19"/>
      <c r="D53" s="19"/>
      <c r="E53" s="3"/>
    </row>
    <row r="54">
      <c r="A54" s="3"/>
      <c r="B54" s="19"/>
      <c r="C54" s="19"/>
      <c r="D54" s="19"/>
      <c r="E54" s="3"/>
    </row>
    <row r="55">
      <c r="A55" s="3"/>
      <c r="B55" s="19"/>
      <c r="C55" s="19"/>
      <c r="D55" s="19"/>
      <c r="E55" s="3"/>
    </row>
    <row r="56">
      <c r="A56" s="3"/>
      <c r="B56" s="19"/>
      <c r="C56" s="19"/>
      <c r="D56" s="19"/>
      <c r="E56" s="3"/>
    </row>
    <row r="57">
      <c r="A57" s="3"/>
      <c r="B57" s="19"/>
      <c r="C57" s="19"/>
      <c r="D57" s="19"/>
      <c r="E57" s="3"/>
    </row>
    <row r="58">
      <c r="A58" s="3"/>
      <c r="B58" s="19"/>
      <c r="C58" s="19"/>
      <c r="D58" s="19"/>
      <c r="E58" s="3"/>
    </row>
    <row r="59">
      <c r="A59" s="3"/>
      <c r="B59" s="19"/>
      <c r="C59" s="19"/>
      <c r="D59" s="19"/>
      <c r="E59" s="3"/>
    </row>
    <row r="60">
      <c r="A60" s="3"/>
      <c r="B60" s="19"/>
      <c r="C60" s="19"/>
      <c r="D60" s="19"/>
      <c r="E60" s="3"/>
    </row>
    <row r="61">
      <c r="A61" s="3"/>
      <c r="B61" s="19"/>
      <c r="C61" s="19"/>
      <c r="D61" s="19"/>
      <c r="E61" s="3"/>
    </row>
    <row r="62">
      <c r="A62" s="3"/>
      <c r="B62" s="19"/>
      <c r="C62" s="19"/>
      <c r="D62" s="19"/>
      <c r="E62" s="3"/>
    </row>
    <row r="63">
      <c r="A63" s="3"/>
      <c r="B63" s="19"/>
      <c r="C63" s="19"/>
      <c r="D63" s="19"/>
      <c r="E63" s="3"/>
    </row>
    <row r="64">
      <c r="A64" s="3"/>
      <c r="B64" s="19"/>
      <c r="C64" s="19"/>
      <c r="D64" s="19"/>
      <c r="E64" s="3"/>
    </row>
    <row r="65">
      <c r="A65" s="3"/>
      <c r="B65" s="19"/>
      <c r="C65" s="19"/>
      <c r="D65" s="19"/>
      <c r="E65" s="3"/>
    </row>
    <row r="66">
      <c r="A66" s="3"/>
      <c r="B66" s="19"/>
      <c r="C66" s="19"/>
      <c r="D66" s="19"/>
      <c r="E66" s="3"/>
    </row>
    <row r="67">
      <c r="A67" s="3"/>
      <c r="B67" s="19"/>
      <c r="C67" s="19"/>
      <c r="D67" s="19"/>
      <c r="E67" s="3"/>
    </row>
    <row r="68">
      <c r="A68" s="3"/>
      <c r="B68" s="19"/>
      <c r="C68" s="19"/>
      <c r="D68" s="19"/>
      <c r="E68" s="3"/>
    </row>
    <row r="69">
      <c r="A69" s="3"/>
      <c r="B69" s="19"/>
      <c r="C69" s="19"/>
      <c r="D69" s="19"/>
      <c r="E69" s="3"/>
    </row>
    <row r="70">
      <c r="A70" s="3"/>
      <c r="B70" s="19"/>
      <c r="C70" s="19"/>
      <c r="D70" s="19"/>
      <c r="E70" s="3"/>
    </row>
    <row r="71">
      <c r="A71" s="3"/>
      <c r="B71" s="19"/>
      <c r="C71" s="19"/>
      <c r="D71" s="19"/>
      <c r="E71" s="3"/>
    </row>
    <row r="72">
      <c r="A72" s="3"/>
      <c r="B72" s="19"/>
      <c r="C72" s="19"/>
      <c r="D72" s="19"/>
      <c r="E72" s="3"/>
    </row>
    <row r="73">
      <c r="A73" s="3"/>
      <c r="B73" s="19"/>
      <c r="C73" s="19"/>
      <c r="D73" s="19"/>
      <c r="E73" s="3"/>
    </row>
    <row r="74">
      <c r="A74" s="3"/>
      <c r="B74" s="19"/>
      <c r="C74" s="19"/>
      <c r="D74" s="19"/>
      <c r="E74" s="3"/>
    </row>
    <row r="75">
      <c r="A75" s="3"/>
      <c r="B75" s="19"/>
      <c r="C75" s="19"/>
      <c r="D75" s="19"/>
      <c r="E75" s="3"/>
    </row>
    <row r="76">
      <c r="A76" s="3"/>
      <c r="B76" s="19"/>
      <c r="C76" s="19"/>
      <c r="D76" s="19"/>
      <c r="E76" s="3"/>
    </row>
    <row r="77">
      <c r="A77" s="3"/>
      <c r="B77" s="19"/>
      <c r="C77" s="19"/>
      <c r="D77" s="19"/>
      <c r="E77" s="3"/>
    </row>
    <row r="78">
      <c r="A78" s="3"/>
      <c r="B78" s="19"/>
      <c r="C78" s="19"/>
      <c r="D78" s="19"/>
      <c r="E78" s="3"/>
    </row>
    <row r="79">
      <c r="A79" s="3"/>
      <c r="B79" s="19"/>
      <c r="C79" s="19"/>
      <c r="D79" s="19"/>
      <c r="E79" s="3"/>
    </row>
    <row r="80">
      <c r="A80" s="3"/>
      <c r="B80" s="19"/>
      <c r="C80" s="19"/>
      <c r="D80" s="19"/>
      <c r="E80" s="3"/>
    </row>
    <row r="81">
      <c r="A81" s="3"/>
      <c r="B81" s="19"/>
      <c r="C81" s="19"/>
      <c r="D81" s="19"/>
      <c r="E81" s="3"/>
    </row>
    <row r="82">
      <c r="A82" s="3"/>
      <c r="B82" s="19"/>
      <c r="C82" s="19"/>
      <c r="D82" s="19"/>
      <c r="E82" s="3"/>
    </row>
    <row r="83">
      <c r="A83" s="3"/>
      <c r="B83" s="19"/>
      <c r="C83" s="19"/>
      <c r="D83" s="19"/>
      <c r="E83" s="3"/>
    </row>
    <row r="84">
      <c r="A84" s="3"/>
      <c r="B84" s="19"/>
      <c r="C84" s="19"/>
      <c r="D84" s="19"/>
      <c r="E84" s="3"/>
    </row>
    <row r="85">
      <c r="A85" s="3"/>
      <c r="B85" s="19"/>
      <c r="C85" s="19"/>
      <c r="D85" s="19"/>
      <c r="E85" s="3"/>
    </row>
    <row r="86">
      <c r="A86" s="3"/>
      <c r="B86" s="19"/>
      <c r="C86" s="19"/>
      <c r="D86" s="19"/>
      <c r="E86" s="3"/>
    </row>
    <row r="87">
      <c r="A87" s="3"/>
      <c r="B87" s="19"/>
      <c r="C87" s="19"/>
      <c r="D87" s="19"/>
      <c r="E87" s="3"/>
    </row>
    <row r="88">
      <c r="A88" s="3"/>
      <c r="B88" s="19"/>
      <c r="C88" s="19"/>
      <c r="D88" s="19"/>
      <c r="E88" s="3"/>
    </row>
    <row r="89">
      <c r="A89" s="3"/>
      <c r="B89" s="19"/>
      <c r="C89" s="19"/>
      <c r="D89" s="19"/>
      <c r="E89" s="3"/>
    </row>
    <row r="90">
      <c r="A90" s="3"/>
      <c r="B90" s="19"/>
      <c r="C90" s="19"/>
      <c r="D90" s="19"/>
      <c r="E90" s="3"/>
    </row>
    <row r="91">
      <c r="A91" s="3"/>
      <c r="B91" s="19"/>
      <c r="C91" s="19"/>
      <c r="D91" s="19"/>
      <c r="E91" s="3"/>
    </row>
    <row r="92">
      <c r="A92" s="3"/>
      <c r="B92" s="19"/>
      <c r="C92" s="19"/>
      <c r="D92" s="19"/>
      <c r="E92" s="3"/>
    </row>
    <row r="93">
      <c r="A93" s="3"/>
      <c r="B93" s="19"/>
      <c r="C93" s="19"/>
      <c r="D93" s="19"/>
      <c r="E93" s="3"/>
    </row>
    <row r="94">
      <c r="A94" s="3"/>
      <c r="B94" s="19"/>
      <c r="C94" s="19"/>
      <c r="D94" s="19"/>
      <c r="E94" s="3"/>
    </row>
    <row r="95">
      <c r="A95" s="3"/>
      <c r="B95" s="19"/>
      <c r="C95" s="19"/>
      <c r="D95" s="19"/>
      <c r="E95" s="3"/>
    </row>
    <row r="96">
      <c r="A96" s="3"/>
      <c r="B96" s="19"/>
      <c r="C96" s="19"/>
      <c r="D96" s="19"/>
      <c r="E96" s="3"/>
    </row>
    <row r="97">
      <c r="A97" s="3"/>
      <c r="B97" s="19"/>
      <c r="C97" s="19"/>
      <c r="D97" s="19"/>
      <c r="E97" s="3"/>
    </row>
    <row r="98">
      <c r="A98" s="3"/>
      <c r="B98" s="19"/>
      <c r="C98" s="19"/>
      <c r="D98" s="19"/>
      <c r="E98" s="3"/>
    </row>
    <row r="99">
      <c r="A99" s="3"/>
      <c r="B99" s="19"/>
      <c r="C99" s="19"/>
      <c r="D99" s="19"/>
      <c r="E99" s="3"/>
    </row>
    <row r="100">
      <c r="A100" s="3"/>
      <c r="B100" s="19"/>
      <c r="C100" s="19"/>
      <c r="D100" s="19"/>
      <c r="E100" s="3"/>
    </row>
    <row r="101">
      <c r="A101" s="3"/>
      <c r="B101" s="19"/>
      <c r="C101" s="19"/>
      <c r="D101" s="19"/>
      <c r="E101" s="3"/>
    </row>
    <row r="102">
      <c r="A102" s="3"/>
      <c r="B102" s="19"/>
      <c r="C102" s="19"/>
      <c r="D102" s="19"/>
      <c r="E102" s="3"/>
    </row>
    <row r="103">
      <c r="A103" s="3"/>
      <c r="B103" s="19"/>
      <c r="C103" s="19"/>
      <c r="D103" s="19"/>
      <c r="E103" s="3"/>
    </row>
    <row r="104">
      <c r="A104" s="3"/>
      <c r="B104" s="19"/>
      <c r="C104" s="19"/>
      <c r="D104" s="19"/>
      <c r="E104" s="3"/>
    </row>
    <row r="105">
      <c r="A105" s="3"/>
      <c r="B105" s="19"/>
      <c r="C105" s="19"/>
      <c r="D105" s="19"/>
      <c r="E105" s="3"/>
    </row>
    <row r="106">
      <c r="A106" s="3"/>
      <c r="B106" s="19"/>
      <c r="C106" s="19"/>
      <c r="D106" s="19"/>
      <c r="E106" s="3"/>
    </row>
    <row r="107">
      <c r="A107" s="3"/>
      <c r="B107" s="19"/>
      <c r="C107" s="19"/>
      <c r="D107" s="19"/>
      <c r="E107" s="3"/>
    </row>
    <row r="108">
      <c r="A108" s="3"/>
      <c r="B108" s="19"/>
      <c r="C108" s="19"/>
      <c r="D108" s="19"/>
      <c r="E108" s="3"/>
    </row>
    <row r="109">
      <c r="A109" s="3"/>
      <c r="B109" s="19"/>
      <c r="C109" s="19"/>
      <c r="D109" s="19"/>
      <c r="E109" s="3"/>
    </row>
    <row r="110">
      <c r="A110" s="3"/>
      <c r="B110" s="19"/>
      <c r="C110" s="19"/>
      <c r="D110" s="19"/>
      <c r="E110" s="3"/>
    </row>
    <row r="111">
      <c r="A111" s="3"/>
      <c r="B111" s="19"/>
      <c r="C111" s="19"/>
      <c r="D111" s="19"/>
      <c r="E111" s="3"/>
    </row>
    <row r="112">
      <c r="A112" s="3"/>
      <c r="B112" s="19"/>
      <c r="C112" s="19"/>
      <c r="D112" s="19"/>
      <c r="E112" s="3"/>
    </row>
    <row r="113">
      <c r="A113" s="3"/>
      <c r="B113" s="19"/>
      <c r="C113" s="19"/>
      <c r="D113" s="19"/>
      <c r="E113" s="3"/>
    </row>
    <row r="114">
      <c r="A114" s="3"/>
      <c r="B114" s="19"/>
      <c r="C114" s="19"/>
      <c r="D114" s="19"/>
      <c r="E114" s="3"/>
    </row>
    <row r="115">
      <c r="A115" s="3"/>
      <c r="B115" s="19"/>
      <c r="C115" s="19"/>
      <c r="D115" s="19"/>
      <c r="E115" s="3"/>
    </row>
    <row r="116">
      <c r="A116" s="3"/>
      <c r="B116" s="19"/>
      <c r="C116" s="19"/>
      <c r="D116" s="19"/>
      <c r="E116" s="3"/>
    </row>
    <row r="117">
      <c r="A117" s="3"/>
      <c r="B117" s="19"/>
      <c r="C117" s="19"/>
      <c r="D117" s="19"/>
      <c r="E117" s="3"/>
    </row>
    <row r="118">
      <c r="A118" s="3"/>
      <c r="B118" s="19"/>
      <c r="C118" s="19"/>
      <c r="D118" s="19"/>
      <c r="E118" s="3"/>
    </row>
    <row r="119">
      <c r="A119" s="3"/>
      <c r="B119" s="19"/>
      <c r="C119" s="19"/>
      <c r="D119" s="19"/>
      <c r="E119" s="3"/>
    </row>
    <row r="120">
      <c r="A120" s="3"/>
      <c r="B120" s="19"/>
      <c r="C120" s="19"/>
      <c r="D120" s="19"/>
      <c r="E120" s="3"/>
    </row>
    <row r="121">
      <c r="A121" s="3"/>
      <c r="B121" s="19"/>
      <c r="C121" s="19"/>
      <c r="D121" s="19"/>
      <c r="E121" s="3"/>
    </row>
    <row r="122">
      <c r="A122" s="3"/>
      <c r="B122" s="19"/>
      <c r="C122" s="19"/>
      <c r="D122" s="19"/>
      <c r="E122" s="3"/>
    </row>
    <row r="123">
      <c r="A123" s="3"/>
      <c r="B123" s="19"/>
      <c r="C123" s="19"/>
      <c r="D123" s="19"/>
      <c r="E123" s="3"/>
    </row>
    <row r="124">
      <c r="A124" s="3"/>
      <c r="B124" s="19"/>
      <c r="C124" s="19"/>
      <c r="D124" s="19"/>
      <c r="E124" s="3"/>
    </row>
    <row r="125">
      <c r="A125" s="3"/>
      <c r="B125" s="19"/>
      <c r="C125" s="19"/>
      <c r="D125" s="19"/>
      <c r="E125" s="3"/>
    </row>
    <row r="126">
      <c r="A126" s="3"/>
      <c r="B126" s="19"/>
      <c r="C126" s="19"/>
      <c r="D126" s="19"/>
      <c r="E126" s="3"/>
    </row>
    <row r="127">
      <c r="A127" s="3"/>
      <c r="B127" s="19"/>
      <c r="C127" s="19"/>
      <c r="D127" s="19"/>
      <c r="E127" s="3"/>
    </row>
    <row r="128">
      <c r="A128" s="3"/>
      <c r="B128" s="19"/>
      <c r="C128" s="19"/>
      <c r="D128" s="19"/>
      <c r="E128" s="3"/>
    </row>
    <row r="129">
      <c r="A129" s="3"/>
      <c r="B129" s="19"/>
      <c r="C129" s="19"/>
      <c r="D129" s="19"/>
      <c r="E129" s="3"/>
    </row>
    <row r="130">
      <c r="A130" s="3"/>
      <c r="B130" s="19"/>
      <c r="C130" s="19"/>
      <c r="D130" s="19"/>
      <c r="E130" s="3"/>
    </row>
    <row r="131">
      <c r="A131" s="3"/>
      <c r="B131" s="19"/>
      <c r="C131" s="19"/>
      <c r="D131" s="19"/>
      <c r="E131" s="3"/>
    </row>
    <row r="132">
      <c r="A132" s="3"/>
      <c r="B132" s="19"/>
      <c r="C132" s="19"/>
      <c r="D132" s="19"/>
      <c r="E132" s="3"/>
    </row>
    <row r="133">
      <c r="A133" s="3"/>
      <c r="B133" s="19"/>
      <c r="C133" s="19"/>
      <c r="D133" s="19"/>
      <c r="E133" s="3"/>
    </row>
    <row r="134">
      <c r="A134" s="3"/>
      <c r="B134" s="19"/>
      <c r="C134" s="19"/>
      <c r="D134" s="19"/>
      <c r="E134" s="3"/>
    </row>
    <row r="135">
      <c r="A135" s="3"/>
      <c r="B135" s="19"/>
      <c r="C135" s="19"/>
      <c r="D135" s="19"/>
      <c r="E135" s="3"/>
    </row>
    <row r="136">
      <c r="A136" s="3"/>
      <c r="B136" s="19"/>
      <c r="C136" s="19"/>
      <c r="D136" s="19"/>
      <c r="E136" s="3"/>
    </row>
    <row r="137">
      <c r="A137" s="3"/>
      <c r="B137" s="19"/>
      <c r="C137" s="19"/>
      <c r="D137" s="19"/>
      <c r="E137" s="3"/>
    </row>
    <row r="138">
      <c r="A138" s="3"/>
      <c r="B138" s="19"/>
      <c r="C138" s="19"/>
      <c r="D138" s="19"/>
      <c r="E138" s="3"/>
    </row>
    <row r="139">
      <c r="A139" s="3"/>
      <c r="B139" s="19"/>
      <c r="C139" s="19"/>
      <c r="D139" s="19"/>
      <c r="E139" s="3"/>
    </row>
    <row r="140">
      <c r="A140" s="3"/>
      <c r="B140" s="19"/>
      <c r="C140" s="19"/>
      <c r="D140" s="19"/>
      <c r="E140" s="3"/>
    </row>
    <row r="141">
      <c r="A141" s="3"/>
      <c r="B141" s="19"/>
      <c r="C141" s="19"/>
      <c r="D141" s="19"/>
      <c r="E141" s="3"/>
    </row>
    <row r="142">
      <c r="A142" s="3"/>
      <c r="B142" s="19"/>
      <c r="C142" s="19"/>
      <c r="D142" s="19"/>
      <c r="E142" s="3"/>
    </row>
    <row r="143">
      <c r="A143" s="3"/>
      <c r="B143" s="19"/>
      <c r="C143" s="19"/>
      <c r="D143" s="19"/>
      <c r="E143" s="3"/>
    </row>
    <row r="144">
      <c r="A144" s="3"/>
      <c r="B144" s="19"/>
      <c r="C144" s="19"/>
      <c r="D144" s="19"/>
      <c r="E144" s="3"/>
    </row>
    <row r="145">
      <c r="A145" s="3"/>
      <c r="B145" s="19"/>
      <c r="C145" s="19"/>
      <c r="D145" s="19"/>
      <c r="E145" s="3"/>
    </row>
    <row r="146">
      <c r="A146" s="3"/>
      <c r="B146" s="19"/>
      <c r="C146" s="19"/>
      <c r="D146" s="19"/>
      <c r="E146" s="3"/>
    </row>
    <row r="147">
      <c r="A147" s="3"/>
      <c r="B147" s="19"/>
      <c r="C147" s="19"/>
      <c r="D147" s="19"/>
      <c r="E147" s="3"/>
    </row>
    <row r="148">
      <c r="A148" s="3"/>
      <c r="B148" s="19"/>
      <c r="C148" s="19"/>
      <c r="D148" s="19"/>
      <c r="E148" s="3"/>
    </row>
    <row r="149">
      <c r="A149" s="3"/>
      <c r="B149" s="19"/>
      <c r="C149" s="19"/>
      <c r="D149" s="19"/>
      <c r="E149" s="3"/>
    </row>
    <row r="150">
      <c r="A150" s="3"/>
      <c r="B150" s="19"/>
      <c r="C150" s="19"/>
      <c r="D150" s="19"/>
      <c r="E150" s="3"/>
    </row>
    <row r="151">
      <c r="A151" s="3"/>
      <c r="B151" s="19"/>
      <c r="C151" s="19"/>
      <c r="D151" s="19"/>
      <c r="E151" s="3"/>
    </row>
    <row r="152">
      <c r="A152" s="3"/>
      <c r="B152" s="19"/>
      <c r="C152" s="19"/>
      <c r="D152" s="19"/>
      <c r="E152" s="3"/>
    </row>
    <row r="153">
      <c r="A153" s="3"/>
      <c r="B153" s="19"/>
      <c r="C153" s="19"/>
      <c r="D153" s="19"/>
      <c r="E153" s="3"/>
    </row>
    <row r="154">
      <c r="A154" s="3"/>
      <c r="B154" s="19"/>
      <c r="C154" s="19"/>
      <c r="D154" s="19"/>
      <c r="E154" s="3"/>
    </row>
    <row r="155">
      <c r="A155" s="3"/>
      <c r="B155" s="19"/>
      <c r="C155" s="19"/>
      <c r="D155" s="19"/>
      <c r="E155" s="3"/>
    </row>
    <row r="156">
      <c r="A156" s="3"/>
      <c r="B156" s="19"/>
      <c r="C156" s="19"/>
      <c r="D156" s="19"/>
      <c r="E156" s="3"/>
    </row>
    <row r="157">
      <c r="A157" s="3"/>
      <c r="B157" s="19"/>
      <c r="C157" s="19"/>
      <c r="D157" s="19"/>
      <c r="E157" s="3"/>
    </row>
    <row r="158">
      <c r="A158" s="3"/>
      <c r="B158" s="19"/>
      <c r="C158" s="19"/>
      <c r="D158" s="19"/>
      <c r="E158" s="3"/>
    </row>
    <row r="159">
      <c r="A159" s="3"/>
      <c r="B159" s="19"/>
      <c r="C159" s="19"/>
      <c r="D159" s="19"/>
      <c r="E159" s="3"/>
    </row>
    <row r="160">
      <c r="A160" s="3"/>
      <c r="B160" s="19"/>
      <c r="C160" s="19"/>
      <c r="D160" s="19"/>
      <c r="E160" s="3"/>
    </row>
    <row r="161">
      <c r="A161" s="3"/>
      <c r="B161" s="19"/>
      <c r="C161" s="19"/>
      <c r="D161" s="19"/>
      <c r="E161" s="3"/>
    </row>
    <row r="162">
      <c r="A162" s="3"/>
      <c r="B162" s="19"/>
      <c r="C162" s="19"/>
      <c r="D162" s="19"/>
      <c r="E162" s="3"/>
    </row>
    <row r="163">
      <c r="A163" s="3"/>
      <c r="B163" s="19"/>
      <c r="C163" s="19"/>
      <c r="D163" s="19"/>
      <c r="E163" s="3"/>
    </row>
    <row r="164">
      <c r="A164" s="3"/>
      <c r="B164" s="19"/>
      <c r="C164" s="19"/>
      <c r="D164" s="19"/>
      <c r="E164" s="3"/>
    </row>
    <row r="165">
      <c r="A165" s="3"/>
      <c r="B165" s="19"/>
      <c r="C165" s="19"/>
      <c r="D165" s="19"/>
      <c r="E165" s="3"/>
    </row>
    <row r="166">
      <c r="A166" s="3"/>
      <c r="B166" s="19"/>
      <c r="C166" s="19"/>
      <c r="D166" s="19"/>
      <c r="E166" s="3"/>
    </row>
    <row r="167">
      <c r="A167" s="3"/>
      <c r="B167" s="19"/>
      <c r="C167" s="19"/>
      <c r="D167" s="19"/>
      <c r="E167" s="3"/>
    </row>
    <row r="168">
      <c r="A168" s="3"/>
      <c r="B168" s="19"/>
      <c r="C168" s="19"/>
      <c r="D168" s="19"/>
      <c r="E168" s="3"/>
    </row>
    <row r="169">
      <c r="A169" s="3"/>
      <c r="B169" s="19"/>
      <c r="C169" s="19"/>
      <c r="D169" s="19"/>
      <c r="E169" s="3"/>
    </row>
    <row r="170">
      <c r="A170" s="3"/>
      <c r="B170" s="19"/>
      <c r="C170" s="19"/>
      <c r="D170" s="19"/>
      <c r="E170" s="3"/>
    </row>
    <row r="171">
      <c r="A171" s="3"/>
      <c r="B171" s="19"/>
      <c r="C171" s="19"/>
      <c r="D171" s="19"/>
      <c r="E171" s="3"/>
    </row>
    <row r="172">
      <c r="A172" s="3"/>
      <c r="B172" s="19"/>
      <c r="C172" s="19"/>
      <c r="D172" s="19"/>
      <c r="E172" s="3"/>
    </row>
    <row r="173">
      <c r="A173" s="3"/>
      <c r="B173" s="19"/>
      <c r="C173" s="19"/>
      <c r="D173" s="19"/>
      <c r="E173" s="3"/>
    </row>
    <row r="174">
      <c r="A174" s="3"/>
      <c r="B174" s="19"/>
      <c r="C174" s="19"/>
      <c r="D174" s="19"/>
      <c r="E174" s="3"/>
    </row>
    <row r="175">
      <c r="A175" s="3"/>
      <c r="B175" s="19"/>
      <c r="C175" s="19"/>
      <c r="D175" s="19"/>
      <c r="E175" s="3"/>
    </row>
    <row r="176">
      <c r="A176" s="3"/>
      <c r="B176" s="19"/>
      <c r="C176" s="19"/>
      <c r="D176" s="19"/>
      <c r="E176" s="3"/>
    </row>
    <row r="177">
      <c r="A177" s="3"/>
      <c r="B177" s="19"/>
      <c r="C177" s="19"/>
      <c r="D177" s="19"/>
      <c r="E177" s="3"/>
    </row>
    <row r="178">
      <c r="A178" s="3"/>
      <c r="B178" s="19"/>
      <c r="C178" s="19"/>
      <c r="D178" s="19"/>
      <c r="E178" s="3"/>
    </row>
    <row r="179">
      <c r="A179" s="3"/>
      <c r="B179" s="19"/>
      <c r="C179" s="19"/>
      <c r="D179" s="19"/>
      <c r="E179" s="3"/>
    </row>
    <row r="180">
      <c r="A180" s="3"/>
      <c r="B180" s="19"/>
      <c r="C180" s="19"/>
      <c r="D180" s="19"/>
      <c r="E180" s="3"/>
    </row>
    <row r="181">
      <c r="A181" s="3"/>
      <c r="B181" s="19"/>
      <c r="C181" s="19"/>
      <c r="D181" s="19"/>
      <c r="E181" s="3"/>
    </row>
    <row r="182">
      <c r="A182" s="3"/>
      <c r="B182" s="19"/>
      <c r="C182" s="19"/>
      <c r="D182" s="19"/>
      <c r="E182" s="3"/>
    </row>
    <row r="183">
      <c r="A183" s="3"/>
      <c r="B183" s="19"/>
      <c r="C183" s="19"/>
      <c r="D183" s="19"/>
      <c r="E183" s="3"/>
    </row>
    <row r="184">
      <c r="A184" s="3"/>
      <c r="B184" s="19"/>
      <c r="C184" s="19"/>
      <c r="D184" s="19"/>
      <c r="E184" s="3"/>
    </row>
    <row r="185">
      <c r="A185" s="3"/>
      <c r="B185" s="19"/>
      <c r="C185" s="19"/>
      <c r="D185" s="19"/>
      <c r="E185" s="3"/>
    </row>
    <row r="186">
      <c r="A186" s="3"/>
      <c r="B186" s="19"/>
      <c r="C186" s="19"/>
      <c r="D186" s="19"/>
      <c r="E186" s="3"/>
    </row>
    <row r="187">
      <c r="A187" s="3"/>
      <c r="B187" s="19"/>
      <c r="C187" s="19"/>
      <c r="D187" s="19"/>
      <c r="E187" s="3"/>
    </row>
    <row r="188">
      <c r="A188" s="3"/>
      <c r="B188" s="19"/>
      <c r="C188" s="19"/>
      <c r="D188" s="19"/>
      <c r="E188" s="3"/>
    </row>
    <row r="189">
      <c r="A189" s="3"/>
      <c r="B189" s="19"/>
      <c r="C189" s="19"/>
      <c r="D189" s="19"/>
      <c r="E189" s="3"/>
    </row>
    <row r="190">
      <c r="A190" s="3"/>
      <c r="B190" s="19"/>
      <c r="C190" s="19"/>
      <c r="D190" s="19"/>
      <c r="E190" s="3"/>
    </row>
    <row r="191">
      <c r="A191" s="3"/>
      <c r="B191" s="19"/>
      <c r="C191" s="19"/>
      <c r="D191" s="19"/>
      <c r="E191" s="3"/>
    </row>
    <row r="192">
      <c r="A192" s="3"/>
      <c r="B192" s="19"/>
      <c r="C192" s="19"/>
      <c r="D192" s="19"/>
      <c r="E192" s="3"/>
    </row>
    <row r="193">
      <c r="A193" s="3"/>
      <c r="B193" s="19"/>
      <c r="C193" s="19"/>
      <c r="D193" s="19"/>
      <c r="E193" s="3"/>
    </row>
    <row r="194">
      <c r="A194" s="3"/>
      <c r="B194" s="19"/>
      <c r="C194" s="19"/>
      <c r="D194" s="19"/>
      <c r="E194" s="3"/>
    </row>
    <row r="195">
      <c r="A195" s="3"/>
      <c r="B195" s="19"/>
      <c r="C195" s="19"/>
      <c r="D195" s="19"/>
      <c r="E195" s="3"/>
    </row>
    <row r="196">
      <c r="A196" s="3"/>
      <c r="B196" s="19"/>
      <c r="C196" s="19"/>
      <c r="D196" s="19"/>
      <c r="E196" s="3"/>
    </row>
    <row r="197">
      <c r="A197" s="3"/>
      <c r="B197" s="19"/>
      <c r="C197" s="19"/>
      <c r="D197" s="19"/>
      <c r="E197" s="3"/>
    </row>
    <row r="198">
      <c r="A198" s="3"/>
      <c r="B198" s="19"/>
      <c r="C198" s="19"/>
      <c r="D198" s="19"/>
      <c r="E198" s="3"/>
    </row>
    <row r="199">
      <c r="A199" s="3"/>
      <c r="B199" s="19"/>
      <c r="C199" s="19"/>
      <c r="D199" s="19"/>
      <c r="E199" s="3"/>
    </row>
    <row r="200">
      <c r="A200" s="3"/>
      <c r="B200" s="19"/>
      <c r="C200" s="19"/>
      <c r="D200" s="19"/>
      <c r="E200" s="3"/>
    </row>
    <row r="201">
      <c r="A201" s="3"/>
      <c r="B201" s="19"/>
      <c r="C201" s="19"/>
      <c r="D201" s="19"/>
      <c r="E201" s="3"/>
    </row>
    <row r="202">
      <c r="A202" s="3"/>
      <c r="B202" s="19"/>
      <c r="C202" s="19"/>
      <c r="D202" s="19"/>
      <c r="E202" s="3"/>
    </row>
    <row r="203">
      <c r="A203" s="3"/>
      <c r="B203" s="19"/>
      <c r="C203" s="19"/>
      <c r="D203" s="19"/>
      <c r="E203" s="3"/>
    </row>
    <row r="204">
      <c r="A204" s="3"/>
      <c r="B204" s="19"/>
      <c r="C204" s="19"/>
      <c r="D204" s="19"/>
      <c r="E204" s="3"/>
    </row>
    <row r="205">
      <c r="A205" s="3"/>
      <c r="B205" s="19"/>
      <c r="C205" s="19"/>
      <c r="D205" s="19"/>
      <c r="E205" s="3"/>
    </row>
    <row r="206">
      <c r="A206" s="3"/>
      <c r="B206" s="19"/>
      <c r="C206" s="19"/>
      <c r="D206" s="19"/>
      <c r="E206" s="3"/>
    </row>
    <row r="207">
      <c r="A207" s="3"/>
      <c r="B207" s="19"/>
      <c r="C207" s="19"/>
      <c r="D207" s="19"/>
      <c r="E207" s="3"/>
    </row>
    <row r="208">
      <c r="A208" s="3"/>
      <c r="B208" s="19"/>
      <c r="C208" s="19"/>
      <c r="D208" s="19"/>
      <c r="E208" s="3"/>
    </row>
    <row r="209">
      <c r="A209" s="3"/>
      <c r="B209" s="19"/>
      <c r="C209" s="19"/>
      <c r="D209" s="19"/>
      <c r="E209" s="3"/>
    </row>
    <row r="210">
      <c r="A210" s="3"/>
      <c r="B210" s="19"/>
      <c r="C210" s="19"/>
      <c r="D210" s="19"/>
      <c r="E210" s="3"/>
    </row>
    <row r="211">
      <c r="A211" s="3"/>
      <c r="B211" s="19"/>
      <c r="C211" s="19"/>
      <c r="D211" s="19"/>
      <c r="E211" s="3"/>
    </row>
    <row r="212">
      <c r="A212" s="3"/>
      <c r="B212" s="19"/>
      <c r="C212" s="19"/>
      <c r="D212" s="19"/>
      <c r="E212" s="3"/>
    </row>
    <row r="213">
      <c r="A213" s="3"/>
      <c r="B213" s="19"/>
      <c r="C213" s="19"/>
      <c r="D213" s="19"/>
      <c r="E213" s="3"/>
    </row>
    <row r="214">
      <c r="A214" s="3"/>
      <c r="B214" s="19"/>
      <c r="C214" s="19"/>
      <c r="D214" s="19"/>
      <c r="E214" s="3"/>
    </row>
    <row r="215">
      <c r="A215" s="3"/>
      <c r="B215" s="19"/>
      <c r="C215" s="19"/>
      <c r="D215" s="19"/>
      <c r="E215" s="3"/>
    </row>
    <row r="216">
      <c r="A216" s="3"/>
      <c r="B216" s="19"/>
      <c r="C216" s="19"/>
      <c r="D216" s="19"/>
      <c r="E216" s="3"/>
    </row>
    <row r="217">
      <c r="A217" s="3"/>
      <c r="B217" s="19"/>
      <c r="C217" s="19"/>
      <c r="D217" s="19"/>
      <c r="E217" s="3"/>
    </row>
    <row r="218">
      <c r="A218" s="3"/>
      <c r="B218" s="19"/>
      <c r="C218" s="19"/>
      <c r="D218" s="19"/>
      <c r="E218" s="3"/>
    </row>
    <row r="219">
      <c r="A219" s="3"/>
      <c r="B219" s="19"/>
      <c r="C219" s="19"/>
      <c r="D219" s="19"/>
      <c r="E219" s="3"/>
    </row>
    <row r="220">
      <c r="A220" s="3"/>
      <c r="B220" s="19"/>
      <c r="C220" s="19"/>
      <c r="D220" s="19"/>
      <c r="E220" s="3"/>
    </row>
    <row r="221">
      <c r="A221" s="3"/>
      <c r="B221" s="19"/>
      <c r="C221" s="19"/>
      <c r="D221" s="19"/>
      <c r="E221" s="3"/>
    </row>
    <row r="222">
      <c r="A222" s="3"/>
      <c r="B222" s="19"/>
      <c r="C222" s="19"/>
      <c r="D222" s="19"/>
      <c r="E222" s="3"/>
    </row>
    <row r="223">
      <c r="A223" s="3"/>
      <c r="B223" s="19"/>
      <c r="C223" s="19"/>
      <c r="D223" s="19"/>
      <c r="E223" s="3"/>
    </row>
    <row r="224">
      <c r="A224" s="3"/>
      <c r="B224" s="19"/>
      <c r="C224" s="19"/>
      <c r="D224" s="19"/>
      <c r="E224" s="3"/>
    </row>
    <row r="225">
      <c r="A225" s="3"/>
      <c r="B225" s="19"/>
      <c r="C225" s="19"/>
      <c r="D225" s="19"/>
      <c r="E225" s="3"/>
    </row>
    <row r="226">
      <c r="A226" s="3"/>
      <c r="B226" s="19"/>
      <c r="C226" s="19"/>
      <c r="D226" s="19"/>
      <c r="E226" s="3"/>
    </row>
    <row r="227">
      <c r="A227" s="3"/>
      <c r="B227" s="19"/>
      <c r="C227" s="19"/>
      <c r="D227" s="19"/>
      <c r="E227" s="3"/>
    </row>
    <row r="228">
      <c r="A228" s="3"/>
      <c r="B228" s="19"/>
      <c r="C228" s="19"/>
      <c r="D228" s="19"/>
      <c r="E228" s="3"/>
    </row>
    <row r="229">
      <c r="A229" s="3"/>
      <c r="B229" s="19"/>
      <c r="C229" s="19"/>
      <c r="D229" s="19"/>
      <c r="E229" s="3"/>
    </row>
    <row r="230">
      <c r="A230" s="3"/>
      <c r="B230" s="19"/>
      <c r="C230" s="19"/>
      <c r="D230" s="19"/>
      <c r="E230" s="3"/>
    </row>
    <row r="231">
      <c r="A231" s="3"/>
      <c r="B231" s="19"/>
      <c r="C231" s="19"/>
      <c r="D231" s="19"/>
      <c r="E231" s="3"/>
    </row>
    <row r="232">
      <c r="A232" s="3"/>
      <c r="B232" s="19"/>
      <c r="C232" s="19"/>
      <c r="D232" s="19"/>
      <c r="E232" s="3"/>
    </row>
    <row r="233">
      <c r="A233" s="3"/>
      <c r="B233" s="19"/>
      <c r="C233" s="19"/>
      <c r="D233" s="19"/>
      <c r="E233" s="3"/>
    </row>
    <row r="234">
      <c r="A234" s="3"/>
      <c r="B234" s="19"/>
      <c r="C234" s="19"/>
      <c r="D234" s="19"/>
      <c r="E234" s="3"/>
    </row>
    <row r="235">
      <c r="A235" s="3"/>
      <c r="B235" s="19"/>
      <c r="C235" s="19"/>
      <c r="D235" s="19"/>
      <c r="E235" s="3"/>
    </row>
    <row r="236">
      <c r="A236" s="3"/>
      <c r="B236" s="19"/>
      <c r="C236" s="19"/>
      <c r="D236" s="19"/>
      <c r="E236" s="3"/>
    </row>
    <row r="237">
      <c r="A237" s="3"/>
      <c r="B237" s="19"/>
      <c r="C237" s="19"/>
      <c r="D237" s="19"/>
      <c r="E237" s="3"/>
    </row>
    <row r="238">
      <c r="A238" s="3"/>
      <c r="B238" s="19"/>
      <c r="C238" s="19"/>
      <c r="D238" s="19"/>
      <c r="E238" s="3"/>
    </row>
    <row r="239">
      <c r="A239" s="3"/>
      <c r="B239" s="19"/>
      <c r="C239" s="19"/>
      <c r="D239" s="19"/>
      <c r="E239" s="3"/>
    </row>
    <row r="240">
      <c r="A240" s="3"/>
      <c r="B240" s="19"/>
      <c r="C240" s="19"/>
      <c r="D240" s="19"/>
      <c r="E240" s="3"/>
    </row>
    <row r="241">
      <c r="A241" s="3"/>
      <c r="B241" s="19"/>
      <c r="C241" s="19"/>
      <c r="D241" s="19"/>
      <c r="E241" s="3"/>
    </row>
    <row r="242">
      <c r="A242" s="3"/>
      <c r="B242" s="19"/>
      <c r="C242" s="19"/>
      <c r="D242" s="19"/>
      <c r="E242" s="3"/>
    </row>
    <row r="243">
      <c r="A243" s="3"/>
      <c r="B243" s="19"/>
      <c r="C243" s="19"/>
      <c r="D243" s="19"/>
      <c r="E243" s="3"/>
    </row>
    <row r="244">
      <c r="A244" s="3"/>
      <c r="B244" s="19"/>
      <c r="C244" s="19"/>
      <c r="D244" s="19"/>
      <c r="E244" s="3"/>
    </row>
    <row r="245">
      <c r="A245" s="3"/>
      <c r="B245" s="19"/>
      <c r="C245" s="19"/>
      <c r="D245" s="19"/>
      <c r="E245" s="3"/>
    </row>
    <row r="246">
      <c r="A246" s="3"/>
      <c r="B246" s="19"/>
      <c r="C246" s="19"/>
      <c r="D246" s="19"/>
      <c r="E246" s="3"/>
    </row>
    <row r="247">
      <c r="A247" s="3"/>
      <c r="B247" s="19"/>
      <c r="C247" s="19"/>
      <c r="D247" s="19"/>
      <c r="E247" s="3"/>
    </row>
    <row r="248">
      <c r="A248" s="3"/>
      <c r="B248" s="19"/>
      <c r="C248" s="19"/>
      <c r="D248" s="19"/>
      <c r="E248" s="3"/>
    </row>
    <row r="249">
      <c r="A249" s="3"/>
      <c r="B249" s="19"/>
      <c r="C249" s="19"/>
      <c r="D249" s="19"/>
      <c r="E249" s="3"/>
    </row>
    <row r="250">
      <c r="A250" s="3"/>
      <c r="B250" s="19"/>
      <c r="C250" s="19"/>
      <c r="D250" s="19"/>
      <c r="E250" s="3"/>
    </row>
    <row r="251">
      <c r="A251" s="3"/>
      <c r="B251" s="19"/>
      <c r="C251" s="19"/>
      <c r="D251" s="19"/>
      <c r="E251" s="3"/>
    </row>
    <row r="252">
      <c r="A252" s="3"/>
      <c r="B252" s="19"/>
      <c r="C252" s="19"/>
      <c r="D252" s="19"/>
      <c r="E252" s="3"/>
    </row>
    <row r="253">
      <c r="A253" s="3"/>
      <c r="B253" s="19"/>
      <c r="C253" s="19"/>
      <c r="D253" s="19"/>
      <c r="E253" s="3"/>
    </row>
    <row r="254">
      <c r="A254" s="3"/>
      <c r="B254" s="19"/>
      <c r="C254" s="19"/>
      <c r="D254" s="19"/>
      <c r="E254" s="3"/>
    </row>
    <row r="255">
      <c r="A255" s="3"/>
      <c r="B255" s="19"/>
      <c r="C255" s="19"/>
      <c r="D255" s="19"/>
      <c r="E255" s="3"/>
    </row>
    <row r="256">
      <c r="A256" s="3"/>
      <c r="B256" s="19"/>
      <c r="C256" s="19"/>
      <c r="D256" s="19"/>
      <c r="E256" s="3"/>
    </row>
    <row r="257">
      <c r="A257" s="3"/>
      <c r="B257" s="19"/>
      <c r="C257" s="19"/>
      <c r="D257" s="19"/>
      <c r="E257" s="3"/>
    </row>
    <row r="258">
      <c r="A258" s="3"/>
      <c r="B258" s="19"/>
      <c r="C258" s="19"/>
      <c r="D258" s="19"/>
      <c r="E258" s="3"/>
    </row>
    <row r="259">
      <c r="A259" s="3"/>
      <c r="B259" s="19"/>
      <c r="C259" s="19"/>
      <c r="D259" s="19"/>
      <c r="E259" s="3"/>
    </row>
    <row r="260">
      <c r="A260" s="3"/>
      <c r="B260" s="19"/>
      <c r="C260" s="19"/>
      <c r="D260" s="19"/>
      <c r="E260" s="3"/>
    </row>
    <row r="261">
      <c r="A261" s="3"/>
      <c r="B261" s="19"/>
      <c r="C261" s="19"/>
      <c r="D261" s="19"/>
      <c r="E261" s="3"/>
    </row>
    <row r="262">
      <c r="A262" s="3"/>
      <c r="B262" s="19"/>
      <c r="C262" s="19"/>
      <c r="D262" s="19"/>
      <c r="E262" s="3"/>
    </row>
    <row r="263">
      <c r="A263" s="3"/>
      <c r="B263" s="19"/>
      <c r="C263" s="19"/>
      <c r="D263" s="19"/>
      <c r="E263" s="3"/>
    </row>
    <row r="264">
      <c r="A264" s="3"/>
      <c r="B264" s="19"/>
      <c r="C264" s="19"/>
      <c r="D264" s="19"/>
      <c r="E264" s="3"/>
    </row>
    <row r="265">
      <c r="A265" s="3"/>
      <c r="B265" s="19"/>
      <c r="C265" s="19"/>
      <c r="D265" s="19"/>
      <c r="E265" s="3"/>
    </row>
    <row r="266">
      <c r="A266" s="3"/>
      <c r="B266" s="19"/>
      <c r="C266" s="19"/>
      <c r="D266" s="19"/>
      <c r="E266" s="3"/>
    </row>
    <row r="267">
      <c r="A267" s="3"/>
      <c r="B267" s="19"/>
      <c r="C267" s="19"/>
      <c r="D267" s="19"/>
      <c r="E267" s="3"/>
    </row>
    <row r="268">
      <c r="A268" s="3"/>
      <c r="B268" s="19"/>
      <c r="C268" s="19"/>
      <c r="D268" s="19"/>
      <c r="E268" s="3"/>
    </row>
    <row r="269">
      <c r="A269" s="3"/>
      <c r="B269" s="19"/>
      <c r="C269" s="19"/>
      <c r="D269" s="19"/>
      <c r="E269" s="3"/>
    </row>
    <row r="270">
      <c r="A270" s="3"/>
      <c r="B270" s="19"/>
      <c r="C270" s="19"/>
      <c r="D270" s="19"/>
      <c r="E270" s="3"/>
    </row>
    <row r="271">
      <c r="A271" s="3"/>
      <c r="B271" s="19"/>
      <c r="C271" s="19"/>
      <c r="D271" s="19"/>
      <c r="E271" s="3"/>
    </row>
    <row r="272">
      <c r="A272" s="3"/>
      <c r="B272" s="19"/>
      <c r="C272" s="19"/>
      <c r="D272" s="19"/>
      <c r="E272" s="3"/>
    </row>
    <row r="273">
      <c r="A273" s="3"/>
      <c r="B273" s="19"/>
      <c r="C273" s="19"/>
      <c r="D273" s="19"/>
      <c r="E273" s="3"/>
    </row>
    <row r="274">
      <c r="A274" s="3"/>
      <c r="B274" s="19"/>
      <c r="C274" s="19"/>
      <c r="D274" s="19"/>
      <c r="E274" s="3"/>
    </row>
    <row r="275">
      <c r="A275" s="3"/>
      <c r="B275" s="19"/>
      <c r="C275" s="19"/>
      <c r="D275" s="19"/>
      <c r="E275" s="3"/>
    </row>
    <row r="276">
      <c r="A276" s="3"/>
      <c r="B276" s="19"/>
      <c r="C276" s="19"/>
      <c r="D276" s="19"/>
      <c r="E276" s="3"/>
    </row>
    <row r="277">
      <c r="A277" s="3"/>
      <c r="B277" s="19"/>
      <c r="C277" s="19"/>
      <c r="D277" s="19"/>
      <c r="E277" s="3"/>
    </row>
    <row r="278">
      <c r="A278" s="3"/>
      <c r="B278" s="19"/>
      <c r="C278" s="19"/>
      <c r="D278" s="19"/>
      <c r="E278" s="3"/>
    </row>
    <row r="279">
      <c r="A279" s="3"/>
      <c r="B279" s="19"/>
      <c r="C279" s="19"/>
      <c r="D279" s="19"/>
      <c r="E279" s="3"/>
    </row>
    <row r="280">
      <c r="A280" s="3"/>
      <c r="B280" s="19"/>
      <c r="C280" s="19"/>
      <c r="D280" s="19"/>
      <c r="E280" s="3"/>
    </row>
    <row r="281">
      <c r="A281" s="3"/>
      <c r="B281" s="19"/>
      <c r="C281" s="19"/>
      <c r="D281" s="19"/>
      <c r="E281" s="3"/>
    </row>
    <row r="282">
      <c r="A282" s="3"/>
      <c r="B282" s="19"/>
      <c r="C282" s="19"/>
      <c r="D282" s="19"/>
      <c r="E282" s="3"/>
    </row>
    <row r="283">
      <c r="A283" s="3"/>
      <c r="B283" s="19"/>
      <c r="C283" s="19"/>
      <c r="D283" s="19"/>
      <c r="E283" s="3"/>
    </row>
    <row r="284">
      <c r="A284" s="3"/>
      <c r="B284" s="19"/>
      <c r="C284" s="19"/>
      <c r="D284" s="19"/>
      <c r="E284" s="3"/>
    </row>
    <row r="285">
      <c r="A285" s="3"/>
      <c r="B285" s="19"/>
      <c r="C285" s="19"/>
      <c r="D285" s="19"/>
      <c r="E285" s="3"/>
    </row>
    <row r="286">
      <c r="A286" s="3"/>
      <c r="B286" s="19"/>
      <c r="C286" s="19"/>
      <c r="D286" s="19"/>
      <c r="E286" s="3"/>
    </row>
    <row r="287">
      <c r="A287" s="3"/>
      <c r="B287" s="19"/>
      <c r="C287" s="19"/>
      <c r="D287" s="19"/>
      <c r="E287" s="3"/>
    </row>
    <row r="288">
      <c r="A288" s="3"/>
      <c r="B288" s="19"/>
      <c r="C288" s="19"/>
      <c r="D288" s="19"/>
      <c r="E288" s="3"/>
    </row>
    <row r="289">
      <c r="A289" s="3"/>
      <c r="B289" s="19"/>
      <c r="C289" s="19"/>
      <c r="D289" s="19"/>
      <c r="E289" s="3"/>
    </row>
    <row r="290">
      <c r="A290" s="3"/>
      <c r="B290" s="19"/>
      <c r="C290" s="19"/>
      <c r="D290" s="19"/>
      <c r="E290" s="3"/>
    </row>
    <row r="291">
      <c r="A291" s="3"/>
      <c r="B291" s="19"/>
      <c r="C291" s="19"/>
      <c r="D291" s="19"/>
      <c r="E291" s="3"/>
    </row>
    <row r="292">
      <c r="A292" s="3"/>
      <c r="B292" s="19"/>
      <c r="C292" s="19"/>
      <c r="D292" s="19"/>
      <c r="E292" s="3"/>
    </row>
    <row r="293">
      <c r="A293" s="3"/>
      <c r="B293" s="19"/>
      <c r="C293" s="19"/>
      <c r="D293" s="19"/>
      <c r="E293" s="3"/>
    </row>
    <row r="294">
      <c r="A294" s="3"/>
      <c r="B294" s="19"/>
      <c r="C294" s="19"/>
      <c r="D294" s="19"/>
      <c r="E294" s="3"/>
    </row>
    <row r="295">
      <c r="A295" s="3"/>
      <c r="B295" s="19"/>
      <c r="C295" s="19"/>
      <c r="D295" s="19"/>
      <c r="E295" s="3"/>
    </row>
    <row r="296">
      <c r="A296" s="3"/>
      <c r="B296" s="19"/>
      <c r="C296" s="19"/>
      <c r="D296" s="19"/>
      <c r="E296" s="3"/>
    </row>
    <row r="297">
      <c r="A297" s="3"/>
      <c r="B297" s="19"/>
      <c r="C297" s="19"/>
      <c r="D297" s="19"/>
      <c r="E297" s="3"/>
    </row>
    <row r="298">
      <c r="A298" s="3"/>
      <c r="B298" s="19"/>
      <c r="C298" s="19"/>
      <c r="D298" s="19"/>
      <c r="E298" s="3"/>
    </row>
    <row r="299">
      <c r="A299" s="3"/>
      <c r="B299" s="19"/>
      <c r="C299" s="19"/>
      <c r="D299" s="19"/>
      <c r="E299" s="3"/>
    </row>
    <row r="300">
      <c r="A300" s="3"/>
      <c r="B300" s="19"/>
      <c r="C300" s="19"/>
      <c r="D300" s="19"/>
      <c r="E300" s="3"/>
    </row>
    <row r="301">
      <c r="A301" s="3"/>
      <c r="B301" s="19"/>
      <c r="C301" s="19"/>
      <c r="D301" s="19"/>
      <c r="E301" s="3"/>
    </row>
    <row r="302">
      <c r="A302" s="3"/>
      <c r="B302" s="19"/>
      <c r="C302" s="19"/>
      <c r="D302" s="19"/>
      <c r="E302" s="3"/>
    </row>
    <row r="303">
      <c r="A303" s="3"/>
      <c r="B303" s="19"/>
      <c r="C303" s="19"/>
      <c r="D303" s="19"/>
      <c r="E303" s="3"/>
    </row>
    <row r="304">
      <c r="A304" s="3"/>
      <c r="B304" s="19"/>
      <c r="C304" s="19"/>
      <c r="D304" s="19"/>
      <c r="E304" s="3"/>
    </row>
    <row r="305">
      <c r="A305" s="3"/>
      <c r="B305" s="19"/>
      <c r="C305" s="19"/>
      <c r="D305" s="19"/>
      <c r="E305" s="3"/>
    </row>
    <row r="306">
      <c r="A306" s="3"/>
      <c r="B306" s="19"/>
      <c r="C306" s="19"/>
      <c r="D306" s="19"/>
      <c r="E306" s="3"/>
    </row>
    <row r="307">
      <c r="A307" s="3"/>
      <c r="B307" s="19"/>
      <c r="C307" s="19"/>
      <c r="D307" s="19"/>
      <c r="E307" s="3"/>
    </row>
    <row r="308">
      <c r="A308" s="3"/>
      <c r="B308" s="19"/>
      <c r="C308" s="19"/>
      <c r="D308" s="19"/>
      <c r="E308" s="3"/>
    </row>
    <row r="309">
      <c r="A309" s="3"/>
      <c r="B309" s="19"/>
      <c r="C309" s="19"/>
      <c r="D309" s="19"/>
      <c r="E309" s="3"/>
    </row>
    <row r="310">
      <c r="A310" s="3"/>
      <c r="B310" s="19"/>
      <c r="C310" s="19"/>
      <c r="D310" s="19"/>
      <c r="E310" s="3"/>
    </row>
    <row r="311">
      <c r="A311" s="3"/>
      <c r="B311" s="19"/>
      <c r="C311" s="19"/>
      <c r="D311" s="19"/>
      <c r="E311" s="3"/>
    </row>
    <row r="312">
      <c r="A312" s="3"/>
      <c r="B312" s="19"/>
      <c r="C312" s="19"/>
      <c r="D312" s="19"/>
      <c r="E312" s="3"/>
    </row>
    <row r="313">
      <c r="A313" s="3"/>
      <c r="B313" s="19"/>
      <c r="C313" s="19"/>
      <c r="D313" s="19"/>
      <c r="E313" s="3"/>
    </row>
    <row r="314">
      <c r="A314" s="3"/>
      <c r="B314" s="19"/>
      <c r="C314" s="19"/>
      <c r="D314" s="19"/>
      <c r="E314" s="3"/>
    </row>
    <row r="315">
      <c r="A315" s="3"/>
      <c r="B315" s="19"/>
      <c r="C315" s="19"/>
      <c r="D315" s="19"/>
      <c r="E315" s="3"/>
    </row>
    <row r="316">
      <c r="A316" s="3"/>
      <c r="B316" s="19"/>
      <c r="C316" s="19"/>
      <c r="D316" s="19"/>
      <c r="E316" s="3"/>
    </row>
    <row r="317">
      <c r="A317" s="3"/>
      <c r="B317" s="19"/>
      <c r="C317" s="19"/>
      <c r="D317" s="19"/>
      <c r="E317" s="3"/>
    </row>
    <row r="318">
      <c r="A318" s="3"/>
      <c r="B318" s="19"/>
      <c r="C318" s="19"/>
      <c r="D318" s="19"/>
      <c r="E318" s="3"/>
    </row>
    <row r="319">
      <c r="A319" s="3"/>
      <c r="B319" s="19"/>
      <c r="C319" s="19"/>
      <c r="D319" s="19"/>
      <c r="E319" s="3"/>
    </row>
    <row r="320">
      <c r="A320" s="3"/>
      <c r="B320" s="19"/>
      <c r="C320" s="19"/>
      <c r="D320" s="19"/>
      <c r="E320" s="3"/>
    </row>
    <row r="321">
      <c r="A321" s="3"/>
      <c r="B321" s="19"/>
      <c r="C321" s="19"/>
      <c r="D321" s="19"/>
      <c r="E321" s="3"/>
    </row>
    <row r="322">
      <c r="A322" s="3"/>
      <c r="B322" s="19"/>
      <c r="C322" s="19"/>
      <c r="D322" s="19"/>
      <c r="E322" s="3"/>
    </row>
    <row r="323">
      <c r="A323" s="3"/>
      <c r="B323" s="19"/>
      <c r="C323" s="19"/>
      <c r="D323" s="19"/>
      <c r="E323" s="3"/>
    </row>
    <row r="324">
      <c r="A324" s="3"/>
      <c r="B324" s="19"/>
      <c r="C324" s="19"/>
      <c r="D324" s="19"/>
      <c r="E324" s="3"/>
    </row>
    <row r="325">
      <c r="A325" s="3"/>
      <c r="B325" s="19"/>
      <c r="C325" s="19"/>
      <c r="D325" s="19"/>
      <c r="E325" s="3"/>
    </row>
    <row r="326">
      <c r="A326" s="3"/>
      <c r="B326" s="19"/>
      <c r="C326" s="19"/>
      <c r="D326" s="19"/>
      <c r="E326" s="3"/>
    </row>
    <row r="327">
      <c r="A327" s="3"/>
      <c r="B327" s="19"/>
      <c r="C327" s="19"/>
      <c r="D327" s="19"/>
      <c r="E327" s="3"/>
    </row>
    <row r="328">
      <c r="A328" s="3"/>
      <c r="B328" s="19"/>
      <c r="C328" s="19"/>
      <c r="D328" s="19"/>
      <c r="E328" s="3"/>
    </row>
    <row r="329">
      <c r="A329" s="3"/>
      <c r="B329" s="19"/>
      <c r="C329" s="19"/>
      <c r="D329" s="19"/>
      <c r="E329" s="3"/>
    </row>
    <row r="330">
      <c r="A330" s="3"/>
      <c r="B330" s="19"/>
      <c r="C330" s="19"/>
      <c r="D330" s="19"/>
      <c r="E330" s="3"/>
    </row>
    <row r="331">
      <c r="A331" s="3"/>
      <c r="B331" s="19"/>
      <c r="C331" s="19"/>
      <c r="D331" s="19"/>
      <c r="E331" s="3"/>
    </row>
    <row r="332">
      <c r="A332" s="3"/>
      <c r="B332" s="19"/>
      <c r="C332" s="19"/>
      <c r="D332" s="19"/>
      <c r="E332" s="3"/>
    </row>
    <row r="333">
      <c r="A333" s="3"/>
      <c r="B333" s="19"/>
      <c r="C333" s="19"/>
      <c r="D333" s="19"/>
      <c r="E333" s="3"/>
    </row>
    <row r="334">
      <c r="A334" s="3"/>
      <c r="B334" s="19"/>
      <c r="C334" s="19"/>
      <c r="D334" s="19"/>
      <c r="E334" s="3"/>
    </row>
    <row r="335">
      <c r="A335" s="3"/>
      <c r="B335" s="19"/>
      <c r="C335" s="19"/>
      <c r="D335" s="19"/>
      <c r="E335" s="3"/>
    </row>
    <row r="336">
      <c r="A336" s="3"/>
      <c r="B336" s="19"/>
      <c r="C336" s="19"/>
      <c r="D336" s="19"/>
      <c r="E336" s="3"/>
    </row>
    <row r="337">
      <c r="A337" s="3"/>
      <c r="B337" s="19"/>
      <c r="C337" s="19"/>
      <c r="D337" s="19"/>
      <c r="E337" s="3"/>
    </row>
    <row r="338">
      <c r="A338" s="3"/>
      <c r="B338" s="19"/>
      <c r="C338" s="19"/>
      <c r="D338" s="19"/>
      <c r="E338" s="3"/>
    </row>
    <row r="339">
      <c r="A339" s="3"/>
      <c r="B339" s="19"/>
      <c r="C339" s="19"/>
      <c r="D339" s="19"/>
      <c r="E339" s="3"/>
    </row>
    <row r="340">
      <c r="A340" s="3"/>
      <c r="B340" s="19"/>
      <c r="C340" s="19"/>
      <c r="D340" s="19"/>
      <c r="E340" s="3"/>
    </row>
    <row r="341">
      <c r="A341" s="3"/>
      <c r="B341" s="19"/>
      <c r="C341" s="19"/>
      <c r="D341" s="19"/>
      <c r="E341" s="3"/>
    </row>
    <row r="342">
      <c r="A342" s="3"/>
      <c r="B342" s="19"/>
      <c r="C342" s="19"/>
      <c r="D342" s="19"/>
      <c r="E342" s="3"/>
    </row>
    <row r="343">
      <c r="A343" s="3"/>
      <c r="B343" s="19"/>
      <c r="C343" s="19"/>
      <c r="D343" s="19"/>
      <c r="E343" s="3"/>
    </row>
    <row r="344">
      <c r="A344" s="3"/>
      <c r="B344" s="19"/>
      <c r="C344" s="19"/>
      <c r="D344" s="19"/>
      <c r="E344" s="3"/>
    </row>
    <row r="345">
      <c r="A345" s="3"/>
      <c r="B345" s="19"/>
      <c r="C345" s="19"/>
      <c r="D345" s="19"/>
      <c r="E345" s="3"/>
    </row>
    <row r="346">
      <c r="A346" s="3"/>
      <c r="B346" s="19"/>
      <c r="C346" s="19"/>
      <c r="D346" s="19"/>
      <c r="E346" s="3"/>
    </row>
    <row r="347">
      <c r="A347" s="3"/>
      <c r="B347" s="19"/>
      <c r="C347" s="19"/>
      <c r="D347" s="19"/>
      <c r="E347" s="3"/>
    </row>
    <row r="348">
      <c r="A348" s="3"/>
      <c r="B348" s="19"/>
      <c r="C348" s="19"/>
      <c r="D348" s="19"/>
      <c r="E348" s="3"/>
    </row>
    <row r="349">
      <c r="A349" s="3"/>
      <c r="B349" s="19"/>
      <c r="C349" s="19"/>
      <c r="D349" s="19"/>
      <c r="E349" s="3"/>
    </row>
    <row r="350">
      <c r="A350" s="3"/>
      <c r="B350" s="19"/>
      <c r="C350" s="19"/>
      <c r="D350" s="19"/>
      <c r="E350" s="3"/>
    </row>
    <row r="351">
      <c r="A351" s="3"/>
      <c r="B351" s="19"/>
      <c r="C351" s="19"/>
      <c r="D351" s="19"/>
      <c r="E351" s="3"/>
    </row>
    <row r="352">
      <c r="A352" s="3"/>
      <c r="B352" s="19"/>
      <c r="C352" s="19"/>
      <c r="D352" s="19"/>
      <c r="E352" s="3"/>
    </row>
    <row r="353">
      <c r="A353" s="3"/>
      <c r="B353" s="19"/>
      <c r="C353" s="19"/>
      <c r="D353" s="19"/>
      <c r="E353" s="3"/>
    </row>
    <row r="354">
      <c r="A354" s="3"/>
      <c r="B354" s="19"/>
      <c r="C354" s="19"/>
      <c r="D354" s="19"/>
      <c r="E354" s="3"/>
    </row>
    <row r="355">
      <c r="A355" s="3"/>
      <c r="B355" s="19"/>
      <c r="C355" s="19"/>
      <c r="D355" s="19"/>
      <c r="E355" s="3"/>
    </row>
    <row r="356">
      <c r="A356" s="3"/>
      <c r="B356" s="19"/>
      <c r="C356" s="19"/>
      <c r="D356" s="19"/>
      <c r="E356" s="3"/>
    </row>
    <row r="357">
      <c r="A357" s="3"/>
      <c r="B357" s="19"/>
      <c r="C357" s="19"/>
      <c r="D357" s="19"/>
      <c r="E357" s="3"/>
    </row>
    <row r="358">
      <c r="A358" s="3"/>
      <c r="B358" s="19"/>
      <c r="C358" s="19"/>
      <c r="D358" s="19"/>
      <c r="E358" s="3"/>
    </row>
    <row r="359">
      <c r="A359" s="3"/>
      <c r="B359" s="19"/>
      <c r="C359" s="19"/>
      <c r="D359" s="19"/>
      <c r="E359" s="3"/>
    </row>
    <row r="360">
      <c r="A360" s="3"/>
      <c r="B360" s="19"/>
      <c r="C360" s="19"/>
      <c r="D360" s="19"/>
      <c r="E360" s="3"/>
    </row>
    <row r="361">
      <c r="A361" s="3"/>
      <c r="B361" s="19"/>
      <c r="C361" s="19"/>
      <c r="D361" s="19"/>
      <c r="E361" s="3"/>
    </row>
    <row r="362">
      <c r="A362" s="3"/>
      <c r="B362" s="19"/>
      <c r="C362" s="19"/>
      <c r="D362" s="19"/>
      <c r="E362" s="3"/>
    </row>
    <row r="363">
      <c r="A363" s="3"/>
      <c r="B363" s="19"/>
      <c r="C363" s="19"/>
      <c r="D363" s="19"/>
      <c r="E363" s="3"/>
    </row>
    <row r="364">
      <c r="A364" s="3"/>
      <c r="B364" s="19"/>
      <c r="C364" s="19"/>
      <c r="D364" s="19"/>
      <c r="E364" s="3"/>
    </row>
    <row r="365">
      <c r="A365" s="3"/>
      <c r="B365" s="19"/>
      <c r="C365" s="19"/>
      <c r="D365" s="19"/>
      <c r="E365" s="3"/>
    </row>
    <row r="366">
      <c r="A366" s="3"/>
      <c r="B366" s="19"/>
      <c r="C366" s="19"/>
      <c r="D366" s="19"/>
      <c r="E366" s="3"/>
    </row>
    <row r="367">
      <c r="A367" s="3"/>
      <c r="B367" s="19"/>
      <c r="C367" s="19"/>
      <c r="D367" s="19"/>
      <c r="E367" s="3"/>
    </row>
    <row r="368">
      <c r="A368" s="3"/>
      <c r="B368" s="19"/>
      <c r="C368" s="19"/>
      <c r="D368" s="19"/>
      <c r="E368" s="3"/>
    </row>
    <row r="369">
      <c r="A369" s="3"/>
      <c r="B369" s="19"/>
      <c r="C369" s="19"/>
      <c r="D369" s="19"/>
      <c r="E369" s="3"/>
    </row>
    <row r="370">
      <c r="A370" s="3"/>
      <c r="B370" s="19"/>
      <c r="C370" s="19"/>
      <c r="D370" s="19"/>
      <c r="E370" s="3"/>
    </row>
    <row r="371">
      <c r="A371" s="3"/>
      <c r="B371" s="19"/>
      <c r="C371" s="19"/>
      <c r="D371" s="19"/>
      <c r="E371" s="3"/>
    </row>
    <row r="372">
      <c r="A372" s="3"/>
      <c r="B372" s="19"/>
      <c r="C372" s="19"/>
      <c r="D372" s="19"/>
      <c r="E372" s="3"/>
    </row>
    <row r="373">
      <c r="A373" s="3"/>
      <c r="B373" s="19"/>
      <c r="C373" s="19"/>
      <c r="D373" s="19"/>
      <c r="E373" s="3"/>
    </row>
    <row r="374">
      <c r="A374" s="3"/>
      <c r="B374" s="19"/>
      <c r="C374" s="19"/>
      <c r="D374" s="19"/>
      <c r="E374" s="3"/>
    </row>
    <row r="375">
      <c r="A375" s="3"/>
      <c r="B375" s="19"/>
      <c r="C375" s="19"/>
      <c r="D375" s="19"/>
      <c r="E375" s="3"/>
    </row>
    <row r="376">
      <c r="A376" s="3"/>
      <c r="B376" s="19"/>
      <c r="C376" s="19"/>
      <c r="D376" s="19"/>
      <c r="E376" s="3"/>
    </row>
    <row r="377">
      <c r="A377" s="3"/>
      <c r="B377" s="19"/>
      <c r="C377" s="19"/>
      <c r="D377" s="19"/>
      <c r="E377" s="3"/>
    </row>
    <row r="378">
      <c r="A378" s="3"/>
      <c r="B378" s="19"/>
      <c r="C378" s="19"/>
      <c r="D378" s="19"/>
      <c r="E378" s="3"/>
    </row>
    <row r="379">
      <c r="A379" s="3"/>
      <c r="B379" s="19"/>
      <c r="C379" s="19"/>
      <c r="D379" s="19"/>
      <c r="E379" s="3"/>
    </row>
    <row r="380">
      <c r="A380" s="3"/>
      <c r="B380" s="19"/>
      <c r="C380" s="19"/>
      <c r="D380" s="19"/>
      <c r="E380" s="3"/>
    </row>
    <row r="381">
      <c r="A381" s="3"/>
      <c r="B381" s="19"/>
      <c r="C381" s="19"/>
      <c r="D381" s="19"/>
      <c r="E381" s="3"/>
    </row>
    <row r="382">
      <c r="A382" s="3"/>
      <c r="B382" s="19"/>
      <c r="C382" s="19"/>
      <c r="D382" s="19"/>
      <c r="E382" s="3"/>
    </row>
    <row r="383">
      <c r="A383" s="3"/>
      <c r="B383" s="19"/>
      <c r="C383" s="19"/>
      <c r="D383" s="19"/>
      <c r="E383" s="3"/>
    </row>
    <row r="384">
      <c r="A384" s="3"/>
      <c r="B384" s="19"/>
      <c r="C384" s="19"/>
      <c r="D384" s="19"/>
      <c r="E384" s="3"/>
    </row>
    <row r="385">
      <c r="A385" s="3"/>
      <c r="B385" s="19"/>
      <c r="C385" s="19"/>
      <c r="D385" s="19"/>
      <c r="E385" s="3"/>
    </row>
    <row r="386">
      <c r="A386" s="3"/>
      <c r="B386" s="19"/>
      <c r="C386" s="19"/>
      <c r="D386" s="19"/>
      <c r="E386" s="3"/>
    </row>
    <row r="387">
      <c r="A387" s="3"/>
      <c r="B387" s="19"/>
      <c r="C387" s="19"/>
      <c r="D387" s="19"/>
      <c r="E387" s="3"/>
    </row>
    <row r="388">
      <c r="A388" s="3"/>
      <c r="B388" s="19"/>
      <c r="C388" s="19"/>
      <c r="D388" s="19"/>
      <c r="E388" s="3"/>
    </row>
    <row r="389">
      <c r="A389" s="3"/>
      <c r="B389" s="19"/>
      <c r="C389" s="19"/>
      <c r="D389" s="19"/>
      <c r="E389" s="3"/>
    </row>
    <row r="390">
      <c r="A390" s="3"/>
      <c r="B390" s="19"/>
      <c r="C390" s="19"/>
      <c r="D390" s="19"/>
      <c r="E390" s="3"/>
    </row>
    <row r="391">
      <c r="A391" s="3"/>
      <c r="B391" s="19"/>
      <c r="C391" s="19"/>
      <c r="D391" s="19"/>
      <c r="E391" s="3"/>
    </row>
    <row r="392">
      <c r="A392" s="3"/>
      <c r="B392" s="19"/>
      <c r="C392" s="19"/>
      <c r="D392" s="19"/>
      <c r="E392" s="3"/>
    </row>
    <row r="393">
      <c r="A393" s="3"/>
      <c r="B393" s="19"/>
      <c r="C393" s="19"/>
      <c r="D393" s="19"/>
      <c r="E393" s="3"/>
    </row>
    <row r="394">
      <c r="A394" s="3"/>
      <c r="B394" s="19"/>
      <c r="C394" s="19"/>
      <c r="D394" s="19"/>
      <c r="E394" s="3"/>
    </row>
    <row r="395">
      <c r="A395" s="3"/>
      <c r="B395" s="19"/>
      <c r="C395" s="19"/>
      <c r="D395" s="19"/>
      <c r="E395" s="3"/>
    </row>
    <row r="396">
      <c r="A396" s="3"/>
      <c r="B396" s="19"/>
      <c r="C396" s="19"/>
      <c r="D396" s="19"/>
      <c r="E396" s="3"/>
    </row>
    <row r="397">
      <c r="A397" s="3"/>
      <c r="B397" s="19"/>
      <c r="C397" s="19"/>
      <c r="D397" s="19"/>
      <c r="E397" s="3"/>
    </row>
    <row r="398">
      <c r="A398" s="3"/>
      <c r="B398" s="19"/>
      <c r="C398" s="19"/>
      <c r="D398" s="19"/>
      <c r="E398" s="3"/>
    </row>
    <row r="399">
      <c r="A399" s="3"/>
      <c r="B399" s="19"/>
      <c r="C399" s="19"/>
      <c r="D399" s="19"/>
      <c r="E399" s="3"/>
    </row>
    <row r="400">
      <c r="A400" s="3"/>
      <c r="B400" s="19"/>
      <c r="C400" s="19"/>
      <c r="D400" s="19"/>
      <c r="E400" s="3"/>
    </row>
    <row r="401">
      <c r="A401" s="3"/>
      <c r="B401" s="19"/>
      <c r="C401" s="19"/>
      <c r="D401" s="19"/>
      <c r="E401" s="3"/>
    </row>
    <row r="402">
      <c r="A402" s="3"/>
      <c r="B402" s="19"/>
      <c r="C402" s="19"/>
      <c r="D402" s="19"/>
      <c r="E402" s="3"/>
    </row>
    <row r="403">
      <c r="A403" s="3"/>
      <c r="B403" s="19"/>
      <c r="C403" s="19"/>
      <c r="D403" s="19"/>
      <c r="E403" s="3"/>
    </row>
    <row r="404">
      <c r="A404" s="3"/>
      <c r="B404" s="19"/>
      <c r="C404" s="19"/>
      <c r="D404" s="19"/>
      <c r="E404" s="3"/>
    </row>
    <row r="405">
      <c r="A405" s="3"/>
      <c r="B405" s="19"/>
      <c r="C405" s="19"/>
      <c r="D405" s="19"/>
      <c r="E405" s="3"/>
    </row>
    <row r="406">
      <c r="A406" s="3"/>
      <c r="B406" s="19"/>
      <c r="C406" s="19"/>
      <c r="D406" s="19"/>
      <c r="E406" s="3"/>
    </row>
    <row r="407">
      <c r="A407" s="3"/>
      <c r="B407" s="19"/>
      <c r="C407" s="19"/>
      <c r="D407" s="19"/>
      <c r="E407" s="3"/>
    </row>
    <row r="408">
      <c r="A408" s="3"/>
      <c r="B408" s="19"/>
      <c r="C408" s="19"/>
      <c r="D408" s="19"/>
      <c r="E408" s="3"/>
    </row>
    <row r="409">
      <c r="A409" s="3"/>
      <c r="B409" s="19"/>
      <c r="C409" s="19"/>
      <c r="D409" s="19"/>
      <c r="E409" s="3"/>
    </row>
    <row r="410">
      <c r="A410" s="3"/>
      <c r="B410" s="19"/>
      <c r="C410" s="19"/>
      <c r="D410" s="19"/>
      <c r="E410" s="3"/>
    </row>
    <row r="411">
      <c r="A411" s="3"/>
      <c r="B411" s="19"/>
      <c r="C411" s="19"/>
      <c r="D411" s="19"/>
      <c r="E411" s="3"/>
    </row>
    <row r="412">
      <c r="A412" s="3"/>
      <c r="B412" s="19"/>
      <c r="C412" s="19"/>
      <c r="D412" s="19"/>
      <c r="E412" s="3"/>
    </row>
    <row r="413">
      <c r="A413" s="3"/>
      <c r="B413" s="19"/>
      <c r="C413" s="19"/>
      <c r="D413" s="19"/>
      <c r="E413" s="3"/>
    </row>
    <row r="414">
      <c r="A414" s="3"/>
      <c r="B414" s="19"/>
      <c r="C414" s="19"/>
      <c r="D414" s="19"/>
      <c r="E414" s="3"/>
    </row>
    <row r="415">
      <c r="A415" s="3"/>
      <c r="B415" s="19"/>
      <c r="C415" s="19"/>
      <c r="D415" s="19"/>
      <c r="E415" s="3"/>
    </row>
    <row r="416">
      <c r="A416" s="3"/>
      <c r="B416" s="19"/>
      <c r="C416" s="19"/>
      <c r="D416" s="19"/>
      <c r="E416" s="3"/>
    </row>
    <row r="417">
      <c r="A417" s="3"/>
      <c r="B417" s="19"/>
      <c r="C417" s="19"/>
      <c r="D417" s="19"/>
      <c r="E417" s="3"/>
    </row>
    <row r="418">
      <c r="A418" s="3"/>
      <c r="B418" s="19"/>
      <c r="C418" s="19"/>
      <c r="D418" s="19"/>
      <c r="E418" s="3"/>
    </row>
    <row r="419">
      <c r="A419" s="3"/>
      <c r="B419" s="19"/>
      <c r="C419" s="19"/>
      <c r="D419" s="19"/>
      <c r="E419" s="3"/>
    </row>
    <row r="420">
      <c r="A420" s="3"/>
      <c r="B420" s="19"/>
      <c r="C420" s="19"/>
      <c r="D420" s="19"/>
      <c r="E420" s="3"/>
    </row>
    <row r="421">
      <c r="A421" s="3"/>
      <c r="B421" s="19"/>
      <c r="C421" s="19"/>
      <c r="D421" s="19"/>
      <c r="E421" s="3"/>
    </row>
    <row r="422">
      <c r="A422" s="3"/>
      <c r="B422" s="19"/>
      <c r="C422" s="19"/>
      <c r="D422" s="19"/>
      <c r="E422" s="3"/>
    </row>
    <row r="423">
      <c r="A423" s="3"/>
      <c r="B423" s="19"/>
      <c r="C423" s="19"/>
      <c r="D423" s="19"/>
      <c r="E423" s="3"/>
    </row>
    <row r="424">
      <c r="A424" s="3"/>
      <c r="B424" s="19"/>
      <c r="C424" s="19"/>
      <c r="D424" s="19"/>
      <c r="E424" s="3"/>
    </row>
    <row r="425">
      <c r="A425" s="3"/>
      <c r="B425" s="19"/>
      <c r="C425" s="19"/>
      <c r="D425" s="19"/>
      <c r="E425" s="3"/>
    </row>
    <row r="426">
      <c r="A426" s="3"/>
      <c r="B426" s="19"/>
      <c r="C426" s="19"/>
      <c r="D426" s="19"/>
      <c r="E426" s="3"/>
    </row>
    <row r="427">
      <c r="A427" s="3"/>
      <c r="B427" s="19"/>
      <c r="C427" s="19"/>
      <c r="D427" s="19"/>
      <c r="E427" s="3"/>
    </row>
    <row r="428">
      <c r="A428" s="3"/>
      <c r="B428" s="19"/>
      <c r="C428" s="19"/>
      <c r="D428" s="19"/>
      <c r="E428" s="3"/>
    </row>
    <row r="429">
      <c r="A429" s="3"/>
      <c r="B429" s="19"/>
      <c r="C429" s="19"/>
      <c r="D429" s="19"/>
      <c r="E429" s="3"/>
    </row>
    <row r="430">
      <c r="A430" s="3"/>
      <c r="B430" s="19"/>
      <c r="C430" s="19"/>
      <c r="D430" s="19"/>
      <c r="E430" s="3"/>
    </row>
    <row r="431">
      <c r="A431" s="3"/>
      <c r="B431" s="19"/>
      <c r="C431" s="19"/>
      <c r="D431" s="19"/>
      <c r="E431" s="3"/>
    </row>
    <row r="432">
      <c r="A432" s="3"/>
      <c r="B432" s="19"/>
      <c r="C432" s="19"/>
      <c r="D432" s="19"/>
      <c r="E432" s="3"/>
    </row>
    <row r="433">
      <c r="A433" s="3"/>
      <c r="B433" s="19"/>
      <c r="C433" s="19"/>
      <c r="D433" s="19"/>
      <c r="E433" s="3"/>
    </row>
    <row r="434">
      <c r="A434" s="3"/>
      <c r="B434" s="19"/>
      <c r="C434" s="19"/>
      <c r="D434" s="19"/>
      <c r="E434" s="3"/>
    </row>
    <row r="435">
      <c r="A435" s="3"/>
      <c r="B435" s="19"/>
      <c r="C435" s="19"/>
      <c r="D435" s="19"/>
      <c r="E435" s="3"/>
    </row>
    <row r="436">
      <c r="A436" s="3"/>
      <c r="B436" s="19"/>
      <c r="C436" s="19"/>
      <c r="D436" s="19"/>
      <c r="E436" s="3"/>
    </row>
    <row r="437">
      <c r="A437" s="3"/>
      <c r="B437" s="19"/>
      <c r="C437" s="19"/>
      <c r="D437" s="19"/>
      <c r="E437" s="3"/>
    </row>
    <row r="438">
      <c r="A438" s="3"/>
      <c r="B438" s="19"/>
      <c r="C438" s="19"/>
      <c r="D438" s="19"/>
      <c r="E438" s="3"/>
    </row>
    <row r="439">
      <c r="A439" s="3"/>
      <c r="B439" s="19"/>
      <c r="C439" s="19"/>
      <c r="D439" s="19"/>
      <c r="E439" s="3"/>
    </row>
    <row r="440">
      <c r="A440" s="3"/>
      <c r="B440" s="19"/>
      <c r="C440" s="19"/>
      <c r="D440" s="19"/>
      <c r="E440" s="3"/>
    </row>
    <row r="441">
      <c r="A441" s="3"/>
      <c r="B441" s="19"/>
      <c r="C441" s="19"/>
      <c r="D441" s="19"/>
      <c r="E441" s="3"/>
    </row>
    <row r="442">
      <c r="A442" s="3"/>
      <c r="B442" s="19"/>
      <c r="C442" s="19"/>
      <c r="D442" s="19"/>
      <c r="E442" s="3"/>
    </row>
    <row r="443">
      <c r="A443" s="3"/>
      <c r="B443" s="19"/>
      <c r="C443" s="19"/>
      <c r="D443" s="19"/>
      <c r="E443" s="3"/>
    </row>
    <row r="444">
      <c r="A444" s="3"/>
      <c r="B444" s="19"/>
      <c r="C444" s="19"/>
      <c r="D444" s="19"/>
      <c r="E444" s="3"/>
    </row>
    <row r="445">
      <c r="A445" s="3"/>
      <c r="B445" s="19"/>
      <c r="C445" s="19"/>
      <c r="D445" s="19"/>
      <c r="E445" s="3"/>
    </row>
    <row r="446">
      <c r="A446" s="3"/>
      <c r="B446" s="19"/>
      <c r="C446" s="19"/>
      <c r="D446" s="19"/>
      <c r="E446" s="3"/>
    </row>
    <row r="447">
      <c r="A447" s="3"/>
      <c r="B447" s="19"/>
      <c r="C447" s="19"/>
      <c r="D447" s="19"/>
      <c r="E447" s="3"/>
    </row>
    <row r="448">
      <c r="A448" s="3"/>
      <c r="B448" s="19"/>
      <c r="C448" s="19"/>
      <c r="D448" s="19"/>
      <c r="E448" s="3"/>
    </row>
    <row r="449">
      <c r="A449" s="3"/>
      <c r="B449" s="19"/>
      <c r="C449" s="19"/>
      <c r="D449" s="19"/>
      <c r="E449" s="3"/>
    </row>
    <row r="450">
      <c r="A450" s="3"/>
      <c r="B450" s="19"/>
      <c r="C450" s="19"/>
      <c r="D450" s="19"/>
      <c r="E450" s="3"/>
    </row>
    <row r="451">
      <c r="A451" s="3"/>
      <c r="B451" s="19"/>
      <c r="C451" s="19"/>
      <c r="D451" s="19"/>
      <c r="E451" s="3"/>
    </row>
    <row r="452">
      <c r="A452" s="3"/>
      <c r="B452" s="19"/>
      <c r="C452" s="19"/>
      <c r="D452" s="19"/>
      <c r="E452" s="3"/>
    </row>
    <row r="453">
      <c r="A453" s="3"/>
      <c r="B453" s="19"/>
      <c r="C453" s="19"/>
      <c r="D453" s="19"/>
      <c r="E453" s="3"/>
    </row>
    <row r="454">
      <c r="A454" s="3"/>
      <c r="B454" s="19"/>
      <c r="C454" s="19"/>
      <c r="D454" s="19"/>
      <c r="E454" s="3"/>
    </row>
    <row r="455">
      <c r="A455" s="3"/>
      <c r="B455" s="19"/>
      <c r="C455" s="19"/>
      <c r="D455" s="19"/>
      <c r="E455" s="3"/>
    </row>
    <row r="456">
      <c r="A456" s="3"/>
      <c r="B456" s="19"/>
      <c r="C456" s="19"/>
      <c r="D456" s="19"/>
      <c r="E456" s="3"/>
    </row>
    <row r="457">
      <c r="A457" s="3"/>
      <c r="B457" s="19"/>
      <c r="C457" s="19"/>
      <c r="D457" s="19"/>
      <c r="E457" s="3"/>
    </row>
    <row r="458">
      <c r="A458" s="3"/>
      <c r="B458" s="19"/>
      <c r="C458" s="19"/>
      <c r="D458" s="19"/>
      <c r="E458" s="3"/>
    </row>
    <row r="459">
      <c r="A459" s="3"/>
      <c r="B459" s="19"/>
      <c r="C459" s="19"/>
      <c r="D459" s="19"/>
      <c r="E459" s="3"/>
    </row>
    <row r="460">
      <c r="A460" s="3"/>
      <c r="B460" s="19"/>
      <c r="C460" s="19"/>
      <c r="D460" s="19"/>
      <c r="E460" s="3"/>
    </row>
    <row r="461">
      <c r="A461" s="3"/>
      <c r="B461" s="19"/>
      <c r="C461" s="19"/>
      <c r="D461" s="19"/>
      <c r="E461" s="3"/>
    </row>
    <row r="462">
      <c r="A462" s="3"/>
      <c r="B462" s="19"/>
      <c r="C462" s="19"/>
      <c r="D462" s="19"/>
      <c r="E462" s="3"/>
    </row>
    <row r="463">
      <c r="A463" s="3"/>
      <c r="B463" s="19"/>
      <c r="C463" s="19"/>
      <c r="D463" s="19"/>
      <c r="E463" s="3"/>
    </row>
    <row r="464">
      <c r="A464" s="3"/>
      <c r="B464" s="19"/>
      <c r="C464" s="19"/>
      <c r="D464" s="19"/>
      <c r="E464" s="3"/>
    </row>
    <row r="465">
      <c r="A465" s="3"/>
      <c r="B465" s="19"/>
      <c r="C465" s="19"/>
      <c r="D465" s="19"/>
      <c r="E465" s="3"/>
    </row>
    <row r="466">
      <c r="A466" s="3"/>
      <c r="B466" s="19"/>
      <c r="C466" s="19"/>
      <c r="D466" s="19"/>
      <c r="E466" s="3"/>
    </row>
    <row r="467">
      <c r="A467" s="3"/>
      <c r="B467" s="19"/>
      <c r="C467" s="19"/>
      <c r="D467" s="19"/>
      <c r="E467" s="3"/>
    </row>
    <row r="468">
      <c r="A468" s="3"/>
      <c r="B468" s="19"/>
      <c r="C468" s="19"/>
      <c r="D468" s="19"/>
      <c r="E468" s="3"/>
    </row>
    <row r="469">
      <c r="A469" s="3"/>
      <c r="B469" s="19"/>
      <c r="C469" s="19"/>
      <c r="D469" s="19"/>
      <c r="E469" s="3"/>
    </row>
    <row r="470">
      <c r="A470" s="3"/>
      <c r="B470" s="19"/>
      <c r="C470" s="19"/>
      <c r="D470" s="19"/>
      <c r="E470" s="3"/>
    </row>
    <row r="471">
      <c r="A471" s="3"/>
      <c r="B471" s="19"/>
      <c r="C471" s="19"/>
      <c r="D471" s="19"/>
      <c r="E471" s="3"/>
    </row>
    <row r="472">
      <c r="A472" s="3"/>
      <c r="B472" s="19"/>
      <c r="C472" s="19"/>
      <c r="D472" s="19"/>
      <c r="E472" s="3"/>
    </row>
    <row r="473">
      <c r="A473" s="3"/>
      <c r="B473" s="19"/>
      <c r="C473" s="19"/>
      <c r="D473" s="19"/>
      <c r="E473" s="3"/>
    </row>
    <row r="474">
      <c r="A474" s="3"/>
      <c r="B474" s="19"/>
      <c r="C474" s="19"/>
      <c r="D474" s="19"/>
      <c r="E474" s="3"/>
    </row>
    <row r="475">
      <c r="A475" s="3"/>
      <c r="B475" s="19"/>
      <c r="C475" s="19"/>
      <c r="D475" s="19"/>
      <c r="E475" s="3"/>
    </row>
    <row r="476">
      <c r="A476" s="3"/>
      <c r="B476" s="19"/>
      <c r="C476" s="19"/>
      <c r="D476" s="19"/>
      <c r="E476" s="3"/>
    </row>
    <row r="477">
      <c r="A477" s="3"/>
      <c r="B477" s="19"/>
      <c r="C477" s="19"/>
      <c r="D477" s="19"/>
      <c r="E477" s="3"/>
    </row>
    <row r="478">
      <c r="A478" s="3"/>
      <c r="B478" s="19"/>
      <c r="C478" s="19"/>
      <c r="D478" s="19"/>
      <c r="E478" s="3"/>
    </row>
    <row r="479">
      <c r="A479" s="3"/>
      <c r="B479" s="19"/>
      <c r="C479" s="19"/>
      <c r="D479" s="19"/>
      <c r="E479" s="3"/>
    </row>
    <row r="480">
      <c r="A480" s="3"/>
      <c r="B480" s="19"/>
      <c r="C480" s="19"/>
      <c r="D480" s="19"/>
      <c r="E480" s="3"/>
    </row>
    <row r="481">
      <c r="A481" s="3"/>
      <c r="B481" s="19"/>
      <c r="C481" s="19"/>
      <c r="D481" s="19"/>
      <c r="E481" s="3"/>
    </row>
    <row r="482">
      <c r="A482" s="3"/>
      <c r="B482" s="19"/>
      <c r="C482" s="19"/>
      <c r="D482" s="19"/>
      <c r="E482" s="3"/>
    </row>
    <row r="483">
      <c r="A483" s="3"/>
      <c r="B483" s="19"/>
      <c r="C483" s="19"/>
      <c r="D483" s="19"/>
      <c r="E483" s="3"/>
    </row>
    <row r="484">
      <c r="A484" s="3"/>
      <c r="B484" s="19"/>
      <c r="C484" s="19"/>
      <c r="D484" s="19"/>
      <c r="E484" s="3"/>
    </row>
    <row r="485">
      <c r="A485" s="3"/>
      <c r="B485" s="19"/>
      <c r="C485" s="19"/>
      <c r="D485" s="19"/>
      <c r="E485" s="3"/>
    </row>
    <row r="486">
      <c r="A486" s="3"/>
      <c r="B486" s="19"/>
      <c r="C486" s="19"/>
      <c r="D486" s="19"/>
      <c r="E486" s="3"/>
    </row>
    <row r="487">
      <c r="A487" s="3"/>
      <c r="B487" s="19"/>
      <c r="C487" s="19"/>
      <c r="D487" s="19"/>
      <c r="E487" s="3"/>
    </row>
    <row r="488">
      <c r="A488" s="3"/>
      <c r="B488" s="19"/>
      <c r="C488" s="19"/>
      <c r="D488" s="19"/>
      <c r="E488" s="3"/>
    </row>
    <row r="489">
      <c r="A489" s="3"/>
      <c r="B489" s="19"/>
      <c r="C489" s="19"/>
      <c r="D489" s="19"/>
      <c r="E489" s="3"/>
    </row>
    <row r="490">
      <c r="A490" s="3"/>
      <c r="B490" s="19"/>
      <c r="C490" s="19"/>
      <c r="D490" s="19"/>
      <c r="E490" s="3"/>
    </row>
    <row r="491">
      <c r="A491" s="3"/>
      <c r="B491" s="19"/>
      <c r="C491" s="19"/>
      <c r="D491" s="19"/>
      <c r="E491" s="3"/>
    </row>
    <row r="492">
      <c r="A492" s="3"/>
      <c r="B492" s="19"/>
      <c r="C492" s="19"/>
      <c r="D492" s="19"/>
      <c r="E492" s="3"/>
    </row>
    <row r="493">
      <c r="A493" s="3"/>
      <c r="B493" s="19"/>
      <c r="C493" s="19"/>
      <c r="D493" s="19"/>
      <c r="E493" s="3"/>
    </row>
    <row r="494">
      <c r="A494" s="3"/>
      <c r="B494" s="19"/>
      <c r="C494" s="19"/>
      <c r="D494" s="19"/>
      <c r="E494" s="3"/>
    </row>
    <row r="495">
      <c r="A495" s="3"/>
      <c r="B495" s="19"/>
      <c r="C495" s="19"/>
      <c r="D495" s="19"/>
      <c r="E495" s="3"/>
    </row>
    <row r="496">
      <c r="A496" s="3"/>
      <c r="B496" s="19"/>
      <c r="C496" s="19"/>
      <c r="D496" s="19"/>
      <c r="E496" s="3"/>
    </row>
    <row r="497">
      <c r="A497" s="3"/>
      <c r="B497" s="19"/>
      <c r="C497" s="19"/>
      <c r="D497" s="19"/>
      <c r="E497" s="3"/>
    </row>
    <row r="498">
      <c r="A498" s="3"/>
      <c r="B498" s="19"/>
      <c r="C498" s="19"/>
      <c r="D498" s="19"/>
      <c r="E498" s="3"/>
    </row>
    <row r="499">
      <c r="A499" s="3"/>
      <c r="B499" s="19"/>
      <c r="C499" s="19"/>
      <c r="D499" s="19"/>
      <c r="E499" s="3"/>
    </row>
    <row r="500">
      <c r="A500" s="3"/>
      <c r="B500" s="19"/>
      <c r="C500" s="19"/>
      <c r="D500" s="19"/>
      <c r="E500" s="3"/>
    </row>
    <row r="501">
      <c r="A501" s="3"/>
      <c r="B501" s="19"/>
      <c r="C501" s="19"/>
      <c r="D501" s="19"/>
      <c r="E501" s="3"/>
    </row>
    <row r="502">
      <c r="A502" s="3"/>
      <c r="B502" s="19"/>
      <c r="C502" s="19"/>
      <c r="D502" s="19"/>
      <c r="E502" s="3"/>
    </row>
    <row r="503">
      <c r="A503" s="3"/>
      <c r="B503" s="19"/>
      <c r="C503" s="19"/>
      <c r="D503" s="19"/>
      <c r="E503" s="3"/>
    </row>
    <row r="504">
      <c r="A504" s="3"/>
      <c r="B504" s="19"/>
      <c r="C504" s="19"/>
      <c r="D504" s="19"/>
      <c r="E504" s="3"/>
    </row>
    <row r="505">
      <c r="A505" s="3"/>
      <c r="B505" s="19"/>
      <c r="C505" s="19"/>
      <c r="D505" s="19"/>
      <c r="E505" s="3"/>
    </row>
    <row r="506">
      <c r="A506" s="3"/>
      <c r="B506" s="19"/>
      <c r="C506" s="19"/>
      <c r="D506" s="19"/>
      <c r="E506" s="3"/>
    </row>
    <row r="507">
      <c r="A507" s="3"/>
      <c r="B507" s="19"/>
      <c r="C507" s="19"/>
      <c r="D507" s="19"/>
      <c r="E507" s="3"/>
    </row>
    <row r="508">
      <c r="A508" s="3"/>
      <c r="B508" s="19"/>
      <c r="C508" s="19"/>
      <c r="D508" s="19"/>
      <c r="E508" s="3"/>
    </row>
    <row r="509">
      <c r="A509" s="3"/>
      <c r="B509" s="19"/>
      <c r="C509" s="19"/>
      <c r="D509" s="19"/>
      <c r="E509" s="3"/>
    </row>
    <row r="510">
      <c r="A510" s="3"/>
      <c r="B510" s="19"/>
      <c r="C510" s="19"/>
      <c r="D510" s="19"/>
      <c r="E510" s="3"/>
    </row>
    <row r="511">
      <c r="A511" s="3"/>
      <c r="B511" s="19"/>
      <c r="C511" s="19"/>
      <c r="D511" s="19"/>
      <c r="E511" s="3"/>
    </row>
    <row r="512">
      <c r="A512" s="3"/>
      <c r="B512" s="19"/>
      <c r="C512" s="19"/>
      <c r="D512" s="19"/>
      <c r="E512" s="3"/>
    </row>
    <row r="513">
      <c r="A513" s="3"/>
      <c r="B513" s="19"/>
      <c r="C513" s="19"/>
      <c r="D513" s="19"/>
      <c r="E513" s="3"/>
    </row>
    <row r="514">
      <c r="A514" s="3"/>
      <c r="B514" s="19"/>
      <c r="C514" s="19"/>
      <c r="D514" s="19"/>
      <c r="E514" s="3"/>
    </row>
    <row r="515">
      <c r="A515" s="3"/>
      <c r="B515" s="19"/>
      <c r="C515" s="19"/>
      <c r="D515" s="19"/>
      <c r="E515" s="3"/>
    </row>
    <row r="516">
      <c r="A516" s="3"/>
      <c r="B516" s="19"/>
      <c r="C516" s="19"/>
      <c r="D516" s="19"/>
      <c r="E516" s="3"/>
    </row>
    <row r="517">
      <c r="A517" s="3"/>
      <c r="B517" s="19"/>
      <c r="C517" s="19"/>
      <c r="D517" s="19"/>
      <c r="E517" s="3"/>
    </row>
    <row r="518">
      <c r="A518" s="3"/>
      <c r="B518" s="19"/>
      <c r="C518" s="19"/>
      <c r="D518" s="19"/>
      <c r="E518" s="3"/>
    </row>
    <row r="519">
      <c r="A519" s="3"/>
      <c r="B519" s="19"/>
      <c r="C519" s="19"/>
      <c r="D519" s="19"/>
      <c r="E519" s="3"/>
    </row>
    <row r="520">
      <c r="A520" s="3"/>
      <c r="B520" s="19"/>
      <c r="C520" s="19"/>
      <c r="D520" s="19"/>
      <c r="E520" s="3"/>
    </row>
    <row r="521">
      <c r="A521" s="3"/>
      <c r="B521" s="19"/>
      <c r="C521" s="19"/>
      <c r="D521" s="19"/>
      <c r="E521" s="3"/>
    </row>
    <row r="522">
      <c r="A522" s="3"/>
      <c r="B522" s="19"/>
      <c r="C522" s="19"/>
      <c r="D522" s="19"/>
      <c r="E522" s="3"/>
    </row>
    <row r="523">
      <c r="A523" s="3"/>
      <c r="B523" s="19"/>
      <c r="C523" s="19"/>
      <c r="D523" s="19"/>
      <c r="E523" s="3"/>
    </row>
    <row r="524">
      <c r="A524" s="3"/>
      <c r="B524" s="19"/>
      <c r="C524" s="19"/>
      <c r="D524" s="19"/>
      <c r="E524" s="3"/>
    </row>
    <row r="525">
      <c r="A525" s="3"/>
      <c r="B525" s="19"/>
      <c r="C525" s="19"/>
      <c r="D525" s="19"/>
      <c r="E525" s="3"/>
    </row>
    <row r="526">
      <c r="A526" s="3"/>
      <c r="B526" s="19"/>
      <c r="C526" s="19"/>
      <c r="D526" s="19"/>
      <c r="E526" s="3"/>
    </row>
    <row r="527">
      <c r="A527" s="3"/>
      <c r="B527" s="19"/>
      <c r="C527" s="19"/>
      <c r="D527" s="19"/>
      <c r="E527" s="3"/>
    </row>
    <row r="528">
      <c r="A528" s="3"/>
      <c r="B528" s="19"/>
      <c r="C528" s="19"/>
      <c r="D528" s="19"/>
      <c r="E528" s="3"/>
    </row>
    <row r="529">
      <c r="A529" s="3"/>
      <c r="B529" s="19"/>
      <c r="C529" s="19"/>
      <c r="D529" s="19"/>
      <c r="E529" s="3"/>
    </row>
    <row r="530">
      <c r="A530" s="3"/>
      <c r="B530" s="19"/>
      <c r="C530" s="19"/>
      <c r="D530" s="19"/>
      <c r="E530" s="3"/>
    </row>
    <row r="531">
      <c r="A531" s="3"/>
      <c r="B531" s="19"/>
      <c r="C531" s="19"/>
      <c r="D531" s="19"/>
      <c r="E531" s="3"/>
    </row>
    <row r="532">
      <c r="A532" s="3"/>
      <c r="B532" s="19"/>
      <c r="C532" s="19"/>
      <c r="D532" s="19"/>
      <c r="E532" s="3"/>
    </row>
    <row r="533">
      <c r="A533" s="3"/>
      <c r="B533" s="19"/>
      <c r="C533" s="19"/>
      <c r="D533" s="19"/>
      <c r="E533" s="3"/>
    </row>
    <row r="534">
      <c r="A534" s="3"/>
      <c r="B534" s="19"/>
      <c r="C534" s="19"/>
      <c r="D534" s="19"/>
      <c r="E534" s="3"/>
    </row>
    <row r="535">
      <c r="A535" s="3"/>
      <c r="B535" s="19"/>
      <c r="C535" s="19"/>
      <c r="D535" s="19"/>
      <c r="E535" s="3"/>
    </row>
    <row r="536">
      <c r="A536" s="3"/>
      <c r="B536" s="19"/>
      <c r="C536" s="19"/>
      <c r="D536" s="19"/>
      <c r="E536" s="3"/>
    </row>
    <row r="537">
      <c r="A537" s="3"/>
      <c r="B537" s="19"/>
      <c r="C537" s="19"/>
      <c r="D537" s="19"/>
      <c r="E537" s="3"/>
    </row>
    <row r="538">
      <c r="A538" s="3"/>
      <c r="B538" s="19"/>
      <c r="C538" s="19"/>
      <c r="D538" s="19"/>
      <c r="E538" s="3"/>
    </row>
    <row r="539">
      <c r="A539" s="3"/>
      <c r="B539" s="19"/>
      <c r="C539" s="19"/>
      <c r="D539" s="19"/>
      <c r="E539" s="3"/>
    </row>
    <row r="540">
      <c r="A540" s="3"/>
      <c r="B540" s="19"/>
      <c r="C540" s="19"/>
      <c r="D540" s="19"/>
      <c r="E540" s="3"/>
    </row>
    <row r="541">
      <c r="A541" s="3"/>
      <c r="B541" s="19"/>
      <c r="C541" s="19"/>
      <c r="D541" s="19"/>
      <c r="E541" s="3"/>
    </row>
    <row r="542">
      <c r="A542" s="3"/>
      <c r="B542" s="19"/>
      <c r="C542" s="19"/>
      <c r="D542" s="19"/>
      <c r="E542" s="3"/>
    </row>
    <row r="543">
      <c r="A543" s="3"/>
      <c r="B543" s="19"/>
      <c r="C543" s="19"/>
      <c r="D543" s="19"/>
      <c r="E543" s="3"/>
    </row>
    <row r="544">
      <c r="A544" s="3"/>
      <c r="B544" s="19"/>
      <c r="C544" s="19"/>
      <c r="D544" s="19"/>
      <c r="E544" s="3"/>
    </row>
    <row r="545">
      <c r="A545" s="3"/>
      <c r="B545" s="19"/>
      <c r="C545" s="19"/>
      <c r="D545" s="19"/>
      <c r="E545" s="3"/>
    </row>
    <row r="546">
      <c r="A546" s="3"/>
      <c r="B546" s="19"/>
      <c r="C546" s="19"/>
      <c r="D546" s="19"/>
      <c r="E546" s="3"/>
    </row>
    <row r="547">
      <c r="A547" s="3"/>
      <c r="B547" s="19"/>
      <c r="C547" s="19"/>
      <c r="D547" s="19"/>
      <c r="E547" s="3"/>
    </row>
    <row r="548">
      <c r="A548" s="3"/>
      <c r="B548" s="19"/>
      <c r="C548" s="19"/>
      <c r="D548" s="19"/>
      <c r="E548" s="3"/>
    </row>
    <row r="549">
      <c r="A549" s="3"/>
      <c r="B549" s="19"/>
      <c r="C549" s="19"/>
      <c r="D549" s="19"/>
      <c r="E549" s="3"/>
    </row>
    <row r="550">
      <c r="A550" s="3"/>
      <c r="B550" s="19"/>
      <c r="C550" s="19"/>
      <c r="D550" s="19"/>
      <c r="E550" s="3"/>
    </row>
    <row r="551">
      <c r="A551" s="3"/>
      <c r="B551" s="19"/>
      <c r="C551" s="19"/>
      <c r="D551" s="19"/>
      <c r="E551" s="3"/>
    </row>
    <row r="552">
      <c r="A552" s="3"/>
      <c r="B552" s="19"/>
      <c r="C552" s="19"/>
      <c r="D552" s="19"/>
      <c r="E552" s="3"/>
    </row>
    <row r="553">
      <c r="A553" s="3"/>
      <c r="B553" s="19"/>
      <c r="C553" s="19"/>
      <c r="D553" s="19"/>
      <c r="E553" s="3"/>
    </row>
    <row r="554">
      <c r="A554" s="3"/>
      <c r="B554" s="19"/>
      <c r="C554" s="19"/>
      <c r="D554" s="19"/>
      <c r="E554" s="3"/>
    </row>
    <row r="555">
      <c r="A555" s="3"/>
      <c r="B555" s="19"/>
      <c r="C555" s="19"/>
      <c r="D555" s="19"/>
      <c r="E555" s="3"/>
    </row>
    <row r="556">
      <c r="A556" s="3"/>
      <c r="B556" s="19"/>
      <c r="C556" s="19"/>
      <c r="D556" s="19"/>
      <c r="E556" s="3"/>
    </row>
    <row r="557">
      <c r="A557" s="3"/>
      <c r="B557" s="19"/>
      <c r="C557" s="19"/>
      <c r="D557" s="19"/>
      <c r="E557" s="3"/>
    </row>
    <row r="558">
      <c r="A558" s="3"/>
      <c r="B558" s="19"/>
      <c r="C558" s="19"/>
      <c r="D558" s="19"/>
      <c r="E558" s="3"/>
    </row>
    <row r="559">
      <c r="A559" s="3"/>
      <c r="B559" s="19"/>
      <c r="C559" s="19"/>
      <c r="D559" s="19"/>
      <c r="E559" s="3"/>
    </row>
    <row r="560">
      <c r="A560" s="3"/>
      <c r="B560" s="19"/>
      <c r="C560" s="19"/>
      <c r="D560" s="19"/>
      <c r="E560" s="3"/>
    </row>
    <row r="561">
      <c r="A561" s="3"/>
      <c r="B561" s="19"/>
      <c r="C561" s="19"/>
      <c r="D561" s="19"/>
      <c r="E561" s="3"/>
    </row>
    <row r="562">
      <c r="A562" s="3"/>
      <c r="B562" s="19"/>
      <c r="C562" s="19"/>
      <c r="D562" s="19"/>
      <c r="E562" s="3"/>
    </row>
    <row r="563">
      <c r="A563" s="3"/>
      <c r="B563" s="19"/>
      <c r="C563" s="19"/>
      <c r="D563" s="19"/>
      <c r="E563" s="3"/>
    </row>
    <row r="564">
      <c r="A564" s="3"/>
      <c r="B564" s="19"/>
      <c r="C564" s="19"/>
      <c r="D564" s="19"/>
      <c r="E564" s="3"/>
    </row>
    <row r="565">
      <c r="A565" s="3"/>
      <c r="B565" s="19"/>
      <c r="C565" s="19"/>
      <c r="D565" s="19"/>
      <c r="E565" s="3"/>
    </row>
    <row r="566">
      <c r="A566" s="3"/>
      <c r="B566" s="19"/>
      <c r="C566" s="19"/>
      <c r="D566" s="19"/>
      <c r="E566" s="3"/>
    </row>
    <row r="567">
      <c r="A567" s="3"/>
      <c r="B567" s="19"/>
      <c r="C567" s="19"/>
      <c r="D567" s="19"/>
      <c r="E567" s="3"/>
    </row>
    <row r="568">
      <c r="A568" s="3"/>
      <c r="B568" s="19"/>
      <c r="C568" s="19"/>
      <c r="D568" s="19"/>
      <c r="E568" s="3"/>
    </row>
    <row r="569">
      <c r="A569" s="3"/>
      <c r="B569" s="19"/>
      <c r="C569" s="19"/>
      <c r="D569" s="19"/>
      <c r="E569" s="3"/>
    </row>
    <row r="570">
      <c r="A570" s="3"/>
      <c r="B570" s="19"/>
      <c r="C570" s="19"/>
      <c r="D570" s="19"/>
      <c r="E570" s="3"/>
    </row>
    <row r="571">
      <c r="A571" s="3"/>
      <c r="B571" s="19"/>
      <c r="C571" s="19"/>
      <c r="D571" s="19"/>
      <c r="E571" s="3"/>
    </row>
    <row r="572">
      <c r="A572" s="3"/>
      <c r="B572" s="19"/>
      <c r="C572" s="19"/>
      <c r="D572" s="19"/>
      <c r="E572" s="3"/>
    </row>
    <row r="573">
      <c r="A573" s="3"/>
      <c r="B573" s="19"/>
      <c r="C573" s="19"/>
      <c r="D573" s="19"/>
      <c r="E573" s="3"/>
    </row>
    <row r="574">
      <c r="A574" s="3"/>
      <c r="B574" s="19"/>
      <c r="C574" s="19"/>
      <c r="D574" s="19"/>
      <c r="E574" s="3"/>
    </row>
    <row r="575">
      <c r="A575" s="3"/>
      <c r="B575" s="19"/>
      <c r="C575" s="19"/>
      <c r="D575" s="19"/>
      <c r="E575" s="3"/>
    </row>
    <row r="576">
      <c r="A576" s="3"/>
      <c r="B576" s="19"/>
      <c r="C576" s="19"/>
      <c r="D576" s="19"/>
      <c r="E576" s="3"/>
    </row>
    <row r="577">
      <c r="A577" s="3"/>
      <c r="B577" s="19"/>
      <c r="C577" s="19"/>
      <c r="D577" s="19"/>
      <c r="E577" s="3"/>
    </row>
    <row r="578">
      <c r="A578" s="3"/>
      <c r="B578" s="19"/>
      <c r="C578" s="19"/>
      <c r="D578" s="19"/>
      <c r="E578" s="3"/>
    </row>
    <row r="579">
      <c r="A579" s="3"/>
      <c r="B579" s="19"/>
      <c r="C579" s="19"/>
      <c r="D579" s="19"/>
      <c r="E579" s="3"/>
    </row>
    <row r="580">
      <c r="A580" s="3"/>
      <c r="B580" s="19"/>
      <c r="C580" s="19"/>
      <c r="D580" s="19"/>
      <c r="E580" s="3"/>
    </row>
    <row r="581">
      <c r="A581" s="3"/>
      <c r="B581" s="19"/>
      <c r="C581" s="19"/>
      <c r="D581" s="19"/>
      <c r="E581" s="3"/>
    </row>
    <row r="582">
      <c r="A582" s="3"/>
      <c r="B582" s="19"/>
      <c r="C582" s="19"/>
      <c r="D582" s="19"/>
      <c r="E582" s="3"/>
    </row>
    <row r="583">
      <c r="A583" s="3"/>
      <c r="B583" s="19"/>
      <c r="C583" s="19"/>
      <c r="D583" s="19"/>
      <c r="E583" s="3"/>
    </row>
    <row r="584">
      <c r="A584" s="3"/>
      <c r="B584" s="19"/>
      <c r="C584" s="19"/>
      <c r="D584" s="19"/>
      <c r="E584" s="3"/>
    </row>
    <row r="585">
      <c r="A585" s="3"/>
      <c r="B585" s="19"/>
      <c r="C585" s="19"/>
      <c r="D585" s="19"/>
      <c r="E585" s="3"/>
    </row>
    <row r="586">
      <c r="A586" s="3"/>
      <c r="B586" s="19"/>
      <c r="C586" s="19"/>
      <c r="D586" s="19"/>
      <c r="E586" s="3"/>
    </row>
    <row r="587">
      <c r="A587" s="3"/>
      <c r="B587" s="19"/>
      <c r="C587" s="19"/>
      <c r="D587" s="19"/>
      <c r="E587" s="3"/>
    </row>
    <row r="588">
      <c r="A588" s="3"/>
      <c r="B588" s="19"/>
      <c r="C588" s="19"/>
      <c r="D588" s="19"/>
      <c r="E588" s="3"/>
    </row>
    <row r="589">
      <c r="A589" s="3"/>
      <c r="B589" s="19"/>
      <c r="C589" s="19"/>
      <c r="D589" s="19"/>
      <c r="E589" s="3"/>
    </row>
    <row r="590">
      <c r="A590" s="3"/>
      <c r="B590" s="19"/>
      <c r="C590" s="19"/>
      <c r="D590" s="19"/>
      <c r="E590" s="3"/>
    </row>
    <row r="591">
      <c r="A591" s="3"/>
      <c r="B591" s="19"/>
      <c r="C591" s="19"/>
      <c r="D591" s="19"/>
      <c r="E591" s="3"/>
    </row>
    <row r="592">
      <c r="A592" s="3"/>
      <c r="B592" s="19"/>
      <c r="C592" s="19"/>
      <c r="D592" s="19"/>
      <c r="E592" s="3"/>
    </row>
    <row r="593">
      <c r="A593" s="3"/>
      <c r="B593" s="19"/>
      <c r="C593" s="19"/>
      <c r="D593" s="19"/>
      <c r="E593" s="3"/>
    </row>
    <row r="594">
      <c r="A594" s="3"/>
      <c r="B594" s="19"/>
      <c r="C594" s="19"/>
      <c r="D594" s="19"/>
      <c r="E594" s="3"/>
    </row>
    <row r="595">
      <c r="A595" s="3"/>
      <c r="B595" s="19"/>
      <c r="C595" s="19"/>
      <c r="D595" s="19"/>
      <c r="E595" s="3"/>
    </row>
    <row r="596">
      <c r="A596" s="3"/>
      <c r="B596" s="19"/>
      <c r="C596" s="19"/>
      <c r="D596" s="19"/>
      <c r="E596" s="3"/>
    </row>
    <row r="597">
      <c r="A597" s="3"/>
      <c r="B597" s="19"/>
      <c r="C597" s="19"/>
      <c r="D597" s="19"/>
      <c r="E597" s="3"/>
    </row>
    <row r="598">
      <c r="A598" s="3"/>
      <c r="B598" s="19"/>
      <c r="C598" s="19"/>
      <c r="D598" s="19"/>
      <c r="E598" s="3"/>
    </row>
    <row r="599">
      <c r="A599" s="3"/>
      <c r="B599" s="19"/>
      <c r="C599" s="19"/>
      <c r="D599" s="19"/>
      <c r="E599" s="3"/>
    </row>
    <row r="600">
      <c r="A600" s="3"/>
      <c r="B600" s="19"/>
      <c r="C600" s="19"/>
      <c r="D600" s="19"/>
      <c r="E600" s="3"/>
    </row>
    <row r="601">
      <c r="A601" s="3"/>
      <c r="B601" s="19"/>
      <c r="C601" s="19"/>
      <c r="D601" s="19"/>
      <c r="E601" s="3"/>
    </row>
    <row r="602">
      <c r="A602" s="3"/>
      <c r="B602" s="19"/>
      <c r="C602" s="19"/>
      <c r="D602" s="19"/>
      <c r="E602" s="3"/>
    </row>
    <row r="603">
      <c r="A603" s="3"/>
      <c r="B603" s="19"/>
      <c r="C603" s="19"/>
      <c r="D603" s="19"/>
      <c r="E603" s="3"/>
    </row>
    <row r="604">
      <c r="A604" s="3"/>
      <c r="B604" s="19"/>
      <c r="C604" s="19"/>
      <c r="D604" s="19"/>
      <c r="E604" s="3"/>
    </row>
    <row r="605">
      <c r="A605" s="3"/>
      <c r="B605" s="19"/>
      <c r="C605" s="19"/>
      <c r="D605" s="19"/>
      <c r="E605" s="3"/>
    </row>
    <row r="606">
      <c r="A606" s="3"/>
      <c r="B606" s="19"/>
      <c r="C606" s="19"/>
      <c r="D606" s="19"/>
      <c r="E606" s="3"/>
    </row>
    <row r="607">
      <c r="A607" s="3"/>
      <c r="B607" s="19"/>
      <c r="C607" s="19"/>
      <c r="D607" s="19"/>
      <c r="E607" s="3"/>
    </row>
    <row r="608">
      <c r="A608" s="3"/>
      <c r="B608" s="19"/>
      <c r="C608" s="19"/>
      <c r="D608" s="19"/>
      <c r="E608" s="3"/>
    </row>
    <row r="609">
      <c r="A609" s="3"/>
      <c r="B609" s="19"/>
      <c r="C609" s="19"/>
      <c r="D609" s="19"/>
      <c r="E609" s="3"/>
    </row>
    <row r="610">
      <c r="A610" s="3"/>
      <c r="B610" s="19"/>
      <c r="C610" s="19"/>
      <c r="D610" s="19"/>
      <c r="E610" s="3"/>
    </row>
    <row r="611">
      <c r="A611" s="3"/>
      <c r="B611" s="19"/>
      <c r="C611" s="19"/>
      <c r="D611" s="19"/>
      <c r="E611" s="3"/>
    </row>
    <row r="612">
      <c r="A612" s="3"/>
      <c r="B612" s="19"/>
      <c r="C612" s="19"/>
      <c r="D612" s="19"/>
      <c r="E612" s="3"/>
    </row>
    <row r="613">
      <c r="A613" s="3"/>
      <c r="B613" s="19"/>
      <c r="C613" s="19"/>
      <c r="D613" s="19"/>
      <c r="E613" s="3"/>
    </row>
    <row r="614">
      <c r="A614" s="3"/>
      <c r="B614" s="19"/>
      <c r="C614" s="19"/>
      <c r="D614" s="19"/>
      <c r="E614" s="3"/>
    </row>
    <row r="615">
      <c r="A615" s="3"/>
      <c r="B615" s="19"/>
      <c r="C615" s="19"/>
      <c r="D615" s="19"/>
      <c r="E615" s="3"/>
    </row>
    <row r="616">
      <c r="A616" s="3"/>
      <c r="B616" s="19"/>
      <c r="C616" s="19"/>
      <c r="D616" s="19"/>
      <c r="E616" s="3"/>
    </row>
    <row r="617">
      <c r="A617" s="3"/>
      <c r="B617" s="19"/>
      <c r="C617" s="19"/>
      <c r="D617" s="19"/>
      <c r="E617" s="3"/>
    </row>
    <row r="618">
      <c r="A618" s="3"/>
      <c r="B618" s="19"/>
      <c r="C618" s="19"/>
      <c r="D618" s="19"/>
      <c r="E618" s="3"/>
    </row>
    <row r="619">
      <c r="A619" s="3"/>
      <c r="B619" s="19"/>
      <c r="C619" s="19"/>
      <c r="D619" s="19"/>
      <c r="E619" s="3"/>
    </row>
    <row r="620">
      <c r="A620" s="3"/>
      <c r="B620" s="19"/>
      <c r="C620" s="19"/>
      <c r="D620" s="19"/>
      <c r="E620" s="3"/>
    </row>
    <row r="621">
      <c r="A621" s="3"/>
      <c r="B621" s="19"/>
      <c r="C621" s="19"/>
      <c r="D621" s="19"/>
      <c r="E621" s="3"/>
    </row>
    <row r="622">
      <c r="A622" s="3"/>
      <c r="B622" s="19"/>
      <c r="C622" s="19"/>
      <c r="D622" s="19"/>
      <c r="E622" s="3"/>
    </row>
    <row r="623">
      <c r="A623" s="3"/>
      <c r="B623" s="19"/>
      <c r="C623" s="19"/>
      <c r="D623" s="19"/>
      <c r="E623" s="3"/>
    </row>
    <row r="624">
      <c r="A624" s="3"/>
      <c r="B624" s="19"/>
      <c r="C624" s="19"/>
      <c r="D624" s="19"/>
      <c r="E624" s="3"/>
    </row>
    <row r="625">
      <c r="A625" s="3"/>
      <c r="B625" s="19"/>
      <c r="C625" s="19"/>
      <c r="D625" s="19"/>
      <c r="E625" s="3"/>
    </row>
    <row r="626">
      <c r="A626" s="3"/>
      <c r="B626" s="19"/>
      <c r="C626" s="19"/>
      <c r="D626" s="19"/>
      <c r="E626" s="3"/>
    </row>
    <row r="627">
      <c r="A627" s="3"/>
      <c r="B627" s="19"/>
      <c r="C627" s="19"/>
      <c r="D627" s="19"/>
      <c r="E627" s="3"/>
    </row>
    <row r="628">
      <c r="A628" s="3"/>
      <c r="B628" s="19"/>
      <c r="C628" s="19"/>
      <c r="D628" s="19"/>
      <c r="E628" s="3"/>
    </row>
    <row r="629">
      <c r="A629" s="3"/>
      <c r="B629" s="19"/>
      <c r="C629" s="19"/>
      <c r="D629" s="19"/>
      <c r="E629" s="3"/>
    </row>
    <row r="630">
      <c r="A630" s="3"/>
      <c r="B630" s="19"/>
      <c r="C630" s="19"/>
      <c r="D630" s="19"/>
      <c r="E630" s="3"/>
    </row>
    <row r="631">
      <c r="A631" s="3"/>
      <c r="B631" s="19"/>
      <c r="C631" s="19"/>
      <c r="D631" s="19"/>
      <c r="E631" s="3"/>
    </row>
    <row r="632">
      <c r="A632" s="3"/>
      <c r="B632" s="19"/>
      <c r="C632" s="19"/>
      <c r="D632" s="19"/>
      <c r="E632" s="3"/>
    </row>
    <row r="633">
      <c r="A633" s="3"/>
      <c r="B633" s="19"/>
      <c r="C633" s="19"/>
      <c r="D633" s="19"/>
      <c r="E633" s="3"/>
    </row>
    <row r="634">
      <c r="A634" s="3"/>
      <c r="B634" s="19"/>
      <c r="C634" s="19"/>
      <c r="D634" s="19"/>
      <c r="E634" s="3"/>
    </row>
    <row r="635">
      <c r="A635" s="3"/>
      <c r="B635" s="19"/>
      <c r="C635" s="19"/>
      <c r="D635" s="19"/>
      <c r="E635" s="3"/>
    </row>
    <row r="636">
      <c r="A636" s="3"/>
      <c r="B636" s="19"/>
      <c r="C636" s="19"/>
      <c r="D636" s="19"/>
      <c r="E636" s="3"/>
    </row>
    <row r="637">
      <c r="A637" s="3"/>
      <c r="B637" s="19"/>
      <c r="C637" s="19"/>
      <c r="D637" s="19"/>
      <c r="E637" s="3"/>
    </row>
    <row r="638">
      <c r="A638" s="3"/>
      <c r="B638" s="19"/>
      <c r="C638" s="19"/>
      <c r="D638" s="19"/>
      <c r="E638" s="3"/>
    </row>
    <row r="639">
      <c r="A639" s="3"/>
      <c r="B639" s="19"/>
      <c r="C639" s="19"/>
      <c r="D639" s="19"/>
      <c r="E639" s="3"/>
    </row>
    <row r="640">
      <c r="A640" s="3"/>
      <c r="B640" s="19"/>
      <c r="C640" s="19"/>
      <c r="D640" s="19"/>
      <c r="E640" s="3"/>
    </row>
    <row r="641">
      <c r="A641" s="3"/>
      <c r="B641" s="19"/>
      <c r="C641" s="19"/>
      <c r="D641" s="19"/>
      <c r="E641" s="3"/>
    </row>
    <row r="642">
      <c r="A642" s="3"/>
      <c r="B642" s="19"/>
      <c r="C642" s="19"/>
      <c r="D642" s="19"/>
      <c r="E642" s="3"/>
    </row>
    <row r="643">
      <c r="A643" s="3"/>
      <c r="B643" s="19"/>
      <c r="C643" s="19"/>
      <c r="D643" s="19"/>
      <c r="E643" s="3"/>
    </row>
    <row r="644">
      <c r="A644" s="3"/>
      <c r="B644" s="19"/>
      <c r="C644" s="19"/>
      <c r="D644" s="19"/>
      <c r="E644" s="3"/>
    </row>
    <row r="645">
      <c r="A645" s="3"/>
      <c r="B645" s="19"/>
      <c r="C645" s="19"/>
      <c r="D645" s="19"/>
      <c r="E645" s="3"/>
    </row>
    <row r="646">
      <c r="A646" s="3"/>
      <c r="B646" s="19"/>
      <c r="C646" s="19"/>
      <c r="D646" s="19"/>
      <c r="E646" s="3"/>
    </row>
    <row r="647">
      <c r="A647" s="3"/>
      <c r="B647" s="19"/>
      <c r="C647" s="19"/>
      <c r="D647" s="19"/>
      <c r="E647" s="3"/>
    </row>
    <row r="648">
      <c r="A648" s="3"/>
      <c r="B648" s="19"/>
      <c r="C648" s="19"/>
      <c r="D648" s="19"/>
      <c r="E648" s="3"/>
    </row>
    <row r="649">
      <c r="A649" s="3"/>
      <c r="B649" s="19"/>
      <c r="C649" s="19"/>
      <c r="D649" s="19"/>
      <c r="E649" s="3"/>
    </row>
    <row r="650">
      <c r="A650" s="3"/>
      <c r="B650" s="19"/>
      <c r="C650" s="19"/>
      <c r="D650" s="19"/>
      <c r="E650" s="3"/>
    </row>
    <row r="651">
      <c r="A651" s="3"/>
      <c r="B651" s="19"/>
      <c r="C651" s="19"/>
      <c r="D651" s="19"/>
      <c r="E651" s="3"/>
    </row>
    <row r="652">
      <c r="A652" s="3"/>
      <c r="B652" s="19"/>
      <c r="C652" s="19"/>
      <c r="D652" s="19"/>
      <c r="E652" s="3"/>
    </row>
    <row r="653">
      <c r="A653" s="3"/>
      <c r="B653" s="19"/>
      <c r="C653" s="19"/>
      <c r="D653" s="19"/>
      <c r="E653" s="3"/>
    </row>
    <row r="654">
      <c r="A654" s="3"/>
      <c r="B654" s="19"/>
      <c r="C654" s="19"/>
      <c r="D654" s="19"/>
      <c r="E654" s="3"/>
    </row>
    <row r="655">
      <c r="A655" s="3"/>
      <c r="B655" s="19"/>
      <c r="C655" s="19"/>
      <c r="D655" s="19"/>
      <c r="E655" s="3"/>
    </row>
    <row r="656">
      <c r="A656" s="3"/>
      <c r="B656" s="19"/>
      <c r="C656" s="19"/>
      <c r="D656" s="19"/>
      <c r="E656" s="3"/>
    </row>
    <row r="657">
      <c r="A657" s="3"/>
      <c r="B657" s="19"/>
      <c r="C657" s="19"/>
      <c r="D657" s="19"/>
      <c r="E657" s="3"/>
    </row>
    <row r="658">
      <c r="A658" s="3"/>
      <c r="B658" s="19"/>
      <c r="C658" s="19"/>
      <c r="D658" s="19"/>
      <c r="E658" s="3"/>
    </row>
    <row r="659">
      <c r="A659" s="3"/>
      <c r="B659" s="19"/>
      <c r="C659" s="19"/>
      <c r="D659" s="19"/>
      <c r="E659" s="3"/>
    </row>
    <row r="660">
      <c r="A660" s="3"/>
      <c r="B660" s="19"/>
      <c r="C660" s="19"/>
      <c r="D660" s="19"/>
      <c r="E660" s="3"/>
    </row>
    <row r="661">
      <c r="A661" s="3"/>
      <c r="B661" s="19"/>
      <c r="C661" s="19"/>
      <c r="D661" s="19"/>
      <c r="E661" s="3"/>
    </row>
    <row r="662">
      <c r="A662" s="3"/>
      <c r="B662" s="19"/>
      <c r="C662" s="19"/>
      <c r="D662" s="19"/>
      <c r="E662" s="3"/>
    </row>
    <row r="663">
      <c r="A663" s="3"/>
      <c r="B663" s="19"/>
      <c r="C663" s="19"/>
      <c r="D663" s="19"/>
      <c r="E663" s="3"/>
    </row>
    <row r="664">
      <c r="A664" s="3"/>
      <c r="B664" s="19"/>
      <c r="C664" s="19"/>
      <c r="D664" s="19"/>
      <c r="E664" s="3"/>
    </row>
    <row r="665">
      <c r="A665" s="3"/>
      <c r="B665" s="19"/>
      <c r="C665" s="19"/>
      <c r="D665" s="19"/>
      <c r="E665" s="3"/>
    </row>
    <row r="666">
      <c r="A666" s="3"/>
      <c r="B666" s="19"/>
      <c r="C666" s="19"/>
      <c r="D666" s="19"/>
      <c r="E666" s="3"/>
    </row>
    <row r="667">
      <c r="A667" s="3"/>
      <c r="B667" s="19"/>
      <c r="C667" s="19"/>
      <c r="D667" s="19"/>
      <c r="E667" s="3"/>
    </row>
    <row r="668">
      <c r="A668" s="3"/>
      <c r="B668" s="19"/>
      <c r="C668" s="19"/>
      <c r="D668" s="19"/>
      <c r="E668" s="3"/>
    </row>
    <row r="669">
      <c r="A669" s="3"/>
      <c r="B669" s="19"/>
      <c r="C669" s="19"/>
      <c r="D669" s="19"/>
      <c r="E669" s="3"/>
    </row>
    <row r="670">
      <c r="A670" s="3"/>
      <c r="B670" s="19"/>
      <c r="C670" s="19"/>
      <c r="D670" s="19"/>
      <c r="E670" s="3"/>
    </row>
    <row r="671">
      <c r="A671" s="3"/>
      <c r="B671" s="19"/>
      <c r="C671" s="19"/>
      <c r="D671" s="19"/>
      <c r="E671" s="3"/>
    </row>
    <row r="672">
      <c r="A672" s="3"/>
      <c r="B672" s="19"/>
      <c r="C672" s="19"/>
      <c r="D672" s="19"/>
      <c r="E672" s="3"/>
    </row>
    <row r="673">
      <c r="A673" s="3"/>
      <c r="B673" s="19"/>
      <c r="C673" s="19"/>
      <c r="D673" s="19"/>
      <c r="E673" s="3"/>
    </row>
    <row r="674">
      <c r="A674" s="3"/>
      <c r="B674" s="19"/>
      <c r="C674" s="19"/>
      <c r="D674" s="19"/>
      <c r="E674" s="3"/>
    </row>
    <row r="675">
      <c r="A675" s="3"/>
      <c r="B675" s="19"/>
      <c r="C675" s="19"/>
      <c r="D675" s="19"/>
      <c r="E675" s="3"/>
    </row>
    <row r="676">
      <c r="A676" s="3"/>
      <c r="B676" s="19"/>
      <c r="C676" s="19"/>
      <c r="D676" s="19"/>
      <c r="E676" s="3"/>
    </row>
    <row r="677">
      <c r="A677" s="3"/>
      <c r="B677" s="19"/>
      <c r="C677" s="19"/>
      <c r="D677" s="19"/>
      <c r="E677" s="3"/>
    </row>
    <row r="678">
      <c r="A678" s="3"/>
      <c r="B678" s="19"/>
      <c r="C678" s="19"/>
      <c r="D678" s="19"/>
      <c r="E678" s="3"/>
    </row>
    <row r="679">
      <c r="A679" s="3"/>
      <c r="B679" s="19"/>
      <c r="C679" s="19"/>
      <c r="D679" s="19"/>
      <c r="E679" s="3"/>
    </row>
    <row r="680">
      <c r="A680" s="3"/>
      <c r="B680" s="19"/>
      <c r="C680" s="19"/>
      <c r="D680" s="19"/>
      <c r="E680" s="3"/>
    </row>
    <row r="681">
      <c r="A681" s="3"/>
      <c r="B681" s="19"/>
      <c r="C681" s="19"/>
      <c r="D681" s="19"/>
      <c r="E681" s="3"/>
    </row>
    <row r="682">
      <c r="A682" s="3"/>
      <c r="B682" s="19"/>
      <c r="C682" s="19"/>
      <c r="D682" s="19"/>
      <c r="E682" s="3"/>
    </row>
    <row r="683">
      <c r="A683" s="3"/>
      <c r="B683" s="19"/>
      <c r="C683" s="19"/>
      <c r="D683" s="19"/>
      <c r="E683" s="3"/>
    </row>
    <row r="684">
      <c r="A684" s="3"/>
      <c r="B684" s="19"/>
      <c r="C684" s="19"/>
      <c r="D684" s="19"/>
      <c r="E684" s="3"/>
    </row>
    <row r="685">
      <c r="A685" s="3"/>
      <c r="B685" s="19"/>
      <c r="C685" s="19"/>
      <c r="D685" s="19"/>
      <c r="E685" s="3"/>
    </row>
    <row r="686">
      <c r="A686" s="3"/>
      <c r="B686" s="19"/>
      <c r="C686" s="19"/>
      <c r="D686" s="19"/>
      <c r="E686" s="3"/>
    </row>
    <row r="687">
      <c r="A687" s="3"/>
      <c r="B687" s="19"/>
      <c r="C687" s="19"/>
      <c r="D687" s="19"/>
      <c r="E687" s="3"/>
    </row>
    <row r="688">
      <c r="A688" s="3"/>
      <c r="B688" s="19"/>
      <c r="C688" s="19"/>
      <c r="D688" s="19"/>
      <c r="E688" s="3"/>
    </row>
    <row r="689">
      <c r="A689" s="3"/>
      <c r="B689" s="19"/>
      <c r="C689" s="19"/>
      <c r="D689" s="19"/>
      <c r="E689" s="3"/>
    </row>
    <row r="690">
      <c r="A690" s="3"/>
      <c r="B690" s="19"/>
      <c r="C690" s="19"/>
      <c r="D690" s="19"/>
      <c r="E690" s="3"/>
    </row>
    <row r="691">
      <c r="A691" s="3"/>
      <c r="B691" s="19"/>
      <c r="C691" s="19"/>
      <c r="D691" s="19"/>
      <c r="E691" s="3"/>
    </row>
    <row r="692">
      <c r="A692" s="3"/>
      <c r="B692" s="19"/>
      <c r="C692" s="19"/>
      <c r="D692" s="19"/>
      <c r="E692" s="3"/>
    </row>
    <row r="693">
      <c r="A693" s="3"/>
      <c r="B693" s="19"/>
      <c r="C693" s="19"/>
      <c r="D693" s="19"/>
      <c r="E693" s="3"/>
    </row>
    <row r="694">
      <c r="A694" s="3"/>
      <c r="B694" s="19"/>
      <c r="C694" s="19"/>
      <c r="D694" s="19"/>
      <c r="E694" s="3"/>
    </row>
    <row r="695">
      <c r="A695" s="3"/>
      <c r="B695" s="19"/>
      <c r="C695" s="19"/>
      <c r="D695" s="19"/>
      <c r="E695" s="3"/>
    </row>
    <row r="696">
      <c r="A696" s="3"/>
      <c r="B696" s="19"/>
      <c r="C696" s="19"/>
      <c r="D696" s="19"/>
      <c r="E696" s="3"/>
    </row>
    <row r="697">
      <c r="A697" s="3"/>
      <c r="B697" s="19"/>
      <c r="C697" s="19"/>
      <c r="D697" s="19"/>
      <c r="E697" s="3"/>
    </row>
    <row r="698">
      <c r="A698" s="3"/>
      <c r="B698" s="19"/>
      <c r="C698" s="19"/>
      <c r="D698" s="19"/>
      <c r="E698" s="3"/>
    </row>
    <row r="699">
      <c r="A699" s="3"/>
      <c r="B699" s="19"/>
      <c r="C699" s="19"/>
      <c r="D699" s="19"/>
      <c r="E699" s="3"/>
    </row>
    <row r="700">
      <c r="A700" s="3"/>
      <c r="B700" s="19"/>
      <c r="C700" s="19"/>
      <c r="D700" s="19"/>
      <c r="E700" s="3"/>
    </row>
    <row r="701">
      <c r="A701" s="3"/>
      <c r="B701" s="19"/>
      <c r="C701" s="19"/>
      <c r="D701" s="19"/>
      <c r="E701" s="3"/>
    </row>
    <row r="702">
      <c r="A702" s="3"/>
      <c r="B702" s="19"/>
      <c r="C702" s="19"/>
      <c r="D702" s="19"/>
      <c r="E702" s="3"/>
    </row>
    <row r="703">
      <c r="A703" s="3"/>
      <c r="B703" s="19"/>
      <c r="C703" s="19"/>
      <c r="D703" s="19"/>
      <c r="E703" s="3"/>
    </row>
    <row r="704">
      <c r="A704" s="3"/>
      <c r="B704" s="19"/>
      <c r="C704" s="19"/>
      <c r="D704" s="19"/>
      <c r="E704" s="3"/>
    </row>
    <row r="705">
      <c r="A705" s="3"/>
      <c r="B705" s="19"/>
      <c r="C705" s="19"/>
      <c r="D705" s="19"/>
      <c r="E705" s="3"/>
    </row>
    <row r="706">
      <c r="A706" s="3"/>
      <c r="B706" s="19"/>
      <c r="C706" s="19"/>
      <c r="D706" s="19"/>
      <c r="E706" s="3"/>
    </row>
    <row r="707">
      <c r="A707" s="3"/>
      <c r="B707" s="19"/>
      <c r="C707" s="19"/>
      <c r="D707" s="19"/>
      <c r="E707" s="3"/>
    </row>
    <row r="708">
      <c r="A708" s="3"/>
      <c r="B708" s="19"/>
      <c r="C708" s="19"/>
      <c r="D708" s="19"/>
      <c r="E708" s="3"/>
    </row>
    <row r="709">
      <c r="A709" s="3"/>
      <c r="B709" s="19"/>
      <c r="C709" s="19"/>
      <c r="D709" s="19"/>
      <c r="E709" s="3"/>
    </row>
    <row r="710">
      <c r="A710" s="3"/>
      <c r="B710" s="19"/>
      <c r="C710" s="19"/>
      <c r="D710" s="19"/>
      <c r="E710" s="3"/>
    </row>
    <row r="711">
      <c r="A711" s="3"/>
      <c r="B711" s="19"/>
      <c r="C711" s="19"/>
      <c r="D711" s="19"/>
      <c r="E711" s="3"/>
    </row>
    <row r="712">
      <c r="A712" s="3"/>
      <c r="B712" s="19"/>
      <c r="C712" s="19"/>
      <c r="D712" s="19"/>
      <c r="E712" s="3"/>
    </row>
    <row r="713">
      <c r="A713" s="3"/>
      <c r="B713" s="19"/>
      <c r="C713" s="19"/>
      <c r="D713" s="19"/>
      <c r="E713" s="3"/>
    </row>
    <row r="714">
      <c r="A714" s="3"/>
      <c r="B714" s="19"/>
      <c r="C714" s="19"/>
      <c r="D714" s="19"/>
      <c r="E714" s="3"/>
    </row>
    <row r="715">
      <c r="A715" s="3"/>
      <c r="B715" s="19"/>
      <c r="C715" s="19"/>
      <c r="D715" s="19"/>
      <c r="E715" s="3"/>
    </row>
    <row r="716">
      <c r="A716" s="3"/>
      <c r="B716" s="19"/>
      <c r="C716" s="19"/>
      <c r="D716" s="19"/>
      <c r="E716" s="3"/>
    </row>
    <row r="717">
      <c r="A717" s="3"/>
      <c r="B717" s="19"/>
      <c r="C717" s="19"/>
      <c r="D717" s="19"/>
      <c r="E717" s="3"/>
    </row>
    <row r="718">
      <c r="A718" s="3"/>
      <c r="B718" s="19"/>
      <c r="C718" s="19"/>
      <c r="D718" s="19"/>
      <c r="E718" s="3"/>
    </row>
    <row r="719">
      <c r="A719" s="3"/>
      <c r="B719" s="19"/>
      <c r="C719" s="19"/>
      <c r="D719" s="19"/>
      <c r="E719" s="3"/>
    </row>
    <row r="720">
      <c r="A720" s="3"/>
      <c r="B720" s="19"/>
      <c r="C720" s="19"/>
      <c r="D720" s="19"/>
      <c r="E720" s="3"/>
    </row>
    <row r="721">
      <c r="A721" s="3"/>
      <c r="B721" s="19"/>
      <c r="C721" s="19"/>
      <c r="D721" s="19"/>
      <c r="E721" s="3"/>
    </row>
    <row r="722">
      <c r="A722" s="3"/>
      <c r="B722" s="19"/>
      <c r="C722" s="19"/>
      <c r="D722" s="19"/>
      <c r="E722" s="3"/>
    </row>
    <row r="723">
      <c r="A723" s="3"/>
      <c r="B723" s="19"/>
      <c r="C723" s="19"/>
      <c r="D723" s="19"/>
      <c r="E723" s="3"/>
    </row>
    <row r="724">
      <c r="A724" s="3"/>
      <c r="B724" s="19"/>
      <c r="C724" s="19"/>
      <c r="D724" s="19"/>
      <c r="E724" s="3"/>
    </row>
    <row r="725">
      <c r="A725" s="3"/>
      <c r="B725" s="19"/>
      <c r="C725" s="19"/>
      <c r="D725" s="19"/>
      <c r="E725" s="3"/>
    </row>
    <row r="726">
      <c r="A726" s="3"/>
      <c r="B726" s="19"/>
      <c r="C726" s="19"/>
      <c r="D726" s="19"/>
      <c r="E726" s="3"/>
    </row>
    <row r="727">
      <c r="A727" s="3"/>
      <c r="B727" s="19"/>
      <c r="C727" s="19"/>
      <c r="D727" s="19"/>
      <c r="E727" s="3"/>
    </row>
    <row r="728">
      <c r="A728" s="3"/>
      <c r="B728" s="19"/>
      <c r="C728" s="19"/>
      <c r="D728" s="19"/>
      <c r="E728" s="3"/>
    </row>
    <row r="729">
      <c r="A729" s="3"/>
      <c r="B729" s="19"/>
      <c r="C729" s="19"/>
      <c r="D729" s="19"/>
      <c r="E729" s="3"/>
    </row>
    <row r="730">
      <c r="A730" s="3"/>
      <c r="B730" s="19"/>
      <c r="C730" s="19"/>
      <c r="D730" s="19"/>
      <c r="E730" s="3"/>
    </row>
    <row r="731">
      <c r="A731" s="3"/>
      <c r="B731" s="19"/>
      <c r="C731" s="19"/>
      <c r="D731" s="19"/>
      <c r="E731" s="3"/>
    </row>
    <row r="732">
      <c r="A732" s="3"/>
      <c r="B732" s="19"/>
      <c r="C732" s="19"/>
      <c r="D732" s="19"/>
      <c r="E732" s="3"/>
    </row>
    <row r="733">
      <c r="A733" s="3"/>
      <c r="B733" s="19"/>
      <c r="C733" s="19"/>
      <c r="D733" s="19"/>
      <c r="E733" s="3"/>
    </row>
    <row r="734">
      <c r="A734" s="3"/>
      <c r="B734" s="19"/>
      <c r="C734" s="19"/>
      <c r="D734" s="19"/>
      <c r="E734" s="3"/>
    </row>
    <row r="735">
      <c r="A735" s="3"/>
      <c r="B735" s="19"/>
      <c r="C735" s="19"/>
      <c r="D735" s="19"/>
      <c r="E735" s="3"/>
    </row>
    <row r="736">
      <c r="A736" s="3"/>
      <c r="B736" s="19"/>
      <c r="C736" s="19"/>
      <c r="D736" s="19"/>
      <c r="E736" s="3"/>
    </row>
    <row r="737">
      <c r="A737" s="3"/>
      <c r="B737" s="19"/>
      <c r="C737" s="19"/>
      <c r="D737" s="19"/>
      <c r="E737" s="3"/>
    </row>
    <row r="738">
      <c r="A738" s="3"/>
      <c r="B738" s="19"/>
      <c r="C738" s="19"/>
      <c r="D738" s="19"/>
      <c r="E738" s="3"/>
    </row>
    <row r="739">
      <c r="A739" s="3"/>
      <c r="B739" s="19"/>
      <c r="C739" s="19"/>
      <c r="D739" s="19"/>
      <c r="E739" s="3"/>
    </row>
    <row r="740">
      <c r="A740" s="3"/>
      <c r="B740" s="19"/>
      <c r="C740" s="19"/>
      <c r="D740" s="19"/>
      <c r="E740" s="3"/>
    </row>
    <row r="741">
      <c r="A741" s="3"/>
      <c r="B741" s="19"/>
      <c r="C741" s="19"/>
      <c r="D741" s="19"/>
      <c r="E741" s="3"/>
    </row>
    <row r="742">
      <c r="A742" s="3"/>
      <c r="B742" s="19"/>
      <c r="C742" s="19"/>
      <c r="D742" s="19"/>
      <c r="E742" s="3"/>
    </row>
    <row r="743">
      <c r="A743" s="3"/>
      <c r="B743" s="19"/>
      <c r="C743" s="19"/>
      <c r="D743" s="19"/>
      <c r="E743" s="3"/>
    </row>
    <row r="744">
      <c r="A744" s="3"/>
      <c r="B744" s="19"/>
      <c r="C744" s="19"/>
      <c r="D744" s="19"/>
      <c r="E744" s="3"/>
    </row>
    <row r="745">
      <c r="A745" s="3"/>
      <c r="B745" s="19"/>
      <c r="C745" s="19"/>
      <c r="D745" s="19"/>
      <c r="E745" s="3"/>
    </row>
    <row r="746">
      <c r="A746" s="3"/>
      <c r="B746" s="19"/>
      <c r="C746" s="19"/>
      <c r="D746" s="19"/>
      <c r="E746" s="3"/>
    </row>
    <row r="747">
      <c r="A747" s="3"/>
      <c r="B747" s="19"/>
      <c r="C747" s="19"/>
      <c r="D747" s="19"/>
      <c r="E747" s="3"/>
    </row>
    <row r="748">
      <c r="A748" s="3"/>
      <c r="B748" s="19"/>
      <c r="C748" s="19"/>
      <c r="D748" s="19"/>
      <c r="E748" s="3"/>
    </row>
    <row r="749">
      <c r="A749" s="3"/>
      <c r="B749" s="19"/>
      <c r="C749" s="19"/>
      <c r="D749" s="19"/>
      <c r="E749" s="3"/>
    </row>
    <row r="750">
      <c r="A750" s="3"/>
      <c r="B750" s="19"/>
      <c r="C750" s="19"/>
      <c r="D750" s="19"/>
      <c r="E750" s="3"/>
    </row>
    <row r="751">
      <c r="A751" s="3"/>
      <c r="B751" s="19"/>
      <c r="C751" s="19"/>
      <c r="D751" s="19"/>
      <c r="E751" s="3"/>
    </row>
    <row r="752">
      <c r="A752" s="3"/>
      <c r="B752" s="19"/>
      <c r="C752" s="19"/>
      <c r="D752" s="19"/>
      <c r="E752" s="3"/>
    </row>
    <row r="753">
      <c r="A753" s="3"/>
      <c r="B753" s="19"/>
      <c r="C753" s="19"/>
      <c r="D753" s="19"/>
      <c r="E753" s="3"/>
    </row>
    <row r="754">
      <c r="A754" s="3"/>
      <c r="B754" s="19"/>
      <c r="C754" s="19"/>
      <c r="D754" s="19"/>
      <c r="E754" s="3"/>
    </row>
    <row r="755">
      <c r="A755" s="3"/>
      <c r="B755" s="19"/>
      <c r="C755" s="19"/>
      <c r="D755" s="19"/>
      <c r="E755" s="3"/>
    </row>
    <row r="756">
      <c r="A756" s="3"/>
      <c r="B756" s="19"/>
      <c r="C756" s="19"/>
      <c r="D756" s="19"/>
      <c r="E756" s="3"/>
    </row>
    <row r="757">
      <c r="A757" s="3"/>
      <c r="B757" s="19"/>
      <c r="C757" s="19"/>
      <c r="D757" s="19"/>
      <c r="E757" s="3"/>
    </row>
    <row r="758">
      <c r="A758" s="3"/>
      <c r="B758" s="19"/>
      <c r="C758" s="19"/>
      <c r="D758" s="19"/>
      <c r="E758" s="3"/>
    </row>
    <row r="759">
      <c r="A759" s="3"/>
      <c r="B759" s="19"/>
      <c r="C759" s="19"/>
      <c r="D759" s="19"/>
      <c r="E759" s="3"/>
    </row>
    <row r="760">
      <c r="A760" s="3"/>
      <c r="B760" s="19"/>
      <c r="C760" s="19"/>
      <c r="D760" s="19"/>
      <c r="E760" s="3"/>
    </row>
    <row r="761">
      <c r="A761" s="3"/>
      <c r="B761" s="19"/>
      <c r="C761" s="19"/>
      <c r="D761" s="19"/>
      <c r="E761" s="3"/>
    </row>
    <row r="762">
      <c r="A762" s="3"/>
      <c r="B762" s="19"/>
      <c r="C762" s="19"/>
      <c r="D762" s="19"/>
      <c r="E762" s="3"/>
    </row>
    <row r="763">
      <c r="A763" s="3"/>
      <c r="B763" s="19"/>
      <c r="C763" s="19"/>
      <c r="D763" s="19"/>
      <c r="E763" s="3"/>
    </row>
    <row r="764">
      <c r="A764" s="3"/>
      <c r="B764" s="19"/>
      <c r="C764" s="19"/>
      <c r="D764" s="19"/>
      <c r="E764" s="3"/>
    </row>
    <row r="765">
      <c r="A765" s="3"/>
      <c r="B765" s="19"/>
      <c r="C765" s="19"/>
      <c r="D765" s="19"/>
      <c r="E765" s="3"/>
    </row>
    <row r="766">
      <c r="A766" s="3"/>
      <c r="B766" s="19"/>
      <c r="C766" s="19"/>
      <c r="D766" s="19"/>
      <c r="E766" s="3"/>
    </row>
    <row r="767">
      <c r="A767" s="3"/>
      <c r="B767" s="19"/>
      <c r="C767" s="19"/>
      <c r="D767" s="19"/>
      <c r="E767" s="3"/>
    </row>
    <row r="768">
      <c r="A768" s="3"/>
      <c r="B768" s="19"/>
      <c r="C768" s="19"/>
      <c r="D768" s="19"/>
      <c r="E768" s="3"/>
    </row>
    <row r="769">
      <c r="A769" s="3"/>
      <c r="B769" s="19"/>
      <c r="C769" s="19"/>
      <c r="D769" s="19"/>
      <c r="E769" s="3"/>
    </row>
    <row r="770">
      <c r="A770" s="3"/>
      <c r="B770" s="19"/>
      <c r="C770" s="19"/>
      <c r="D770" s="19"/>
      <c r="E770" s="3"/>
    </row>
    <row r="771">
      <c r="A771" s="3"/>
      <c r="B771" s="19"/>
      <c r="C771" s="19"/>
      <c r="D771" s="19"/>
      <c r="E771" s="3"/>
    </row>
    <row r="772">
      <c r="A772" s="3"/>
      <c r="B772" s="19"/>
      <c r="C772" s="19"/>
      <c r="D772" s="19"/>
      <c r="E772" s="3"/>
    </row>
    <row r="773">
      <c r="A773" s="3"/>
      <c r="B773" s="19"/>
      <c r="C773" s="19"/>
      <c r="D773" s="19"/>
      <c r="E773" s="3"/>
    </row>
    <row r="774">
      <c r="A774" s="3"/>
      <c r="B774" s="19"/>
      <c r="C774" s="19"/>
      <c r="D774" s="19"/>
      <c r="E774" s="3"/>
    </row>
    <row r="775">
      <c r="A775" s="3"/>
      <c r="B775" s="19"/>
      <c r="C775" s="19"/>
      <c r="D775" s="19"/>
      <c r="E775" s="3"/>
    </row>
    <row r="776">
      <c r="A776" s="3"/>
      <c r="B776" s="19"/>
      <c r="C776" s="19"/>
      <c r="D776" s="19"/>
      <c r="E776" s="3"/>
    </row>
    <row r="777">
      <c r="A777" s="3"/>
      <c r="B777" s="19"/>
      <c r="C777" s="19"/>
      <c r="D777" s="19"/>
      <c r="E777" s="3"/>
    </row>
    <row r="778">
      <c r="A778" s="3"/>
      <c r="B778" s="19"/>
      <c r="C778" s="19"/>
      <c r="D778" s="19"/>
      <c r="E778" s="3"/>
    </row>
    <row r="779">
      <c r="A779" s="3"/>
      <c r="B779" s="19"/>
      <c r="C779" s="19"/>
      <c r="D779" s="19"/>
      <c r="E779" s="3"/>
    </row>
    <row r="780">
      <c r="A780" s="3"/>
      <c r="B780" s="19"/>
      <c r="C780" s="19"/>
      <c r="D780" s="19"/>
      <c r="E780" s="3"/>
    </row>
    <row r="781">
      <c r="A781" s="3"/>
      <c r="B781" s="19"/>
      <c r="C781" s="19"/>
      <c r="D781" s="19"/>
      <c r="E781" s="3"/>
    </row>
    <row r="782">
      <c r="A782" s="3"/>
      <c r="B782" s="19"/>
      <c r="C782" s="19"/>
      <c r="D782" s="19"/>
      <c r="E782" s="3"/>
    </row>
    <row r="783">
      <c r="A783" s="3"/>
      <c r="B783" s="19"/>
      <c r="C783" s="19"/>
      <c r="D783" s="19"/>
      <c r="E783" s="3"/>
    </row>
    <row r="784">
      <c r="A784" s="3"/>
      <c r="B784" s="19"/>
      <c r="C784" s="19"/>
      <c r="D784" s="19"/>
      <c r="E784" s="3"/>
    </row>
    <row r="785">
      <c r="A785" s="3"/>
      <c r="B785" s="19"/>
      <c r="C785" s="19"/>
      <c r="D785" s="19"/>
      <c r="E785" s="3"/>
    </row>
    <row r="786">
      <c r="A786" s="3"/>
      <c r="B786" s="19"/>
      <c r="C786" s="19"/>
      <c r="D786" s="19"/>
      <c r="E786" s="3"/>
    </row>
    <row r="787">
      <c r="A787" s="3"/>
      <c r="B787" s="19"/>
      <c r="C787" s="19"/>
      <c r="D787" s="19"/>
      <c r="E787" s="3"/>
    </row>
    <row r="788">
      <c r="A788" s="3"/>
      <c r="B788" s="19"/>
      <c r="C788" s="19"/>
      <c r="D788" s="19"/>
      <c r="E788" s="3"/>
    </row>
    <row r="789">
      <c r="A789" s="3"/>
      <c r="B789" s="19"/>
      <c r="C789" s="19"/>
      <c r="D789" s="19"/>
      <c r="E789" s="3"/>
    </row>
    <row r="790">
      <c r="A790" s="3"/>
      <c r="B790" s="19"/>
      <c r="C790" s="19"/>
      <c r="D790" s="19"/>
      <c r="E790" s="3"/>
    </row>
    <row r="791">
      <c r="A791" s="3"/>
      <c r="B791" s="19"/>
      <c r="C791" s="19"/>
      <c r="D791" s="19"/>
      <c r="E791" s="3"/>
    </row>
    <row r="792">
      <c r="A792" s="3"/>
      <c r="B792" s="19"/>
      <c r="C792" s="19"/>
      <c r="D792" s="19"/>
      <c r="E792" s="3"/>
    </row>
    <row r="793">
      <c r="A793" s="3"/>
      <c r="B793" s="19"/>
      <c r="C793" s="19"/>
      <c r="D793" s="19"/>
      <c r="E793" s="3"/>
    </row>
    <row r="794">
      <c r="A794" s="3"/>
      <c r="B794" s="19"/>
      <c r="C794" s="19"/>
      <c r="D794" s="19"/>
      <c r="E794" s="3"/>
    </row>
    <row r="795">
      <c r="A795" s="3"/>
      <c r="B795" s="19"/>
      <c r="C795" s="19"/>
      <c r="D795" s="19"/>
      <c r="E795" s="3"/>
    </row>
    <row r="796">
      <c r="A796" s="3"/>
      <c r="B796" s="19"/>
      <c r="C796" s="19"/>
      <c r="D796" s="19"/>
      <c r="E796" s="3"/>
    </row>
    <row r="797">
      <c r="A797" s="3"/>
      <c r="B797" s="19"/>
      <c r="C797" s="19"/>
      <c r="D797" s="19"/>
      <c r="E797" s="3"/>
    </row>
    <row r="798">
      <c r="A798" s="3"/>
      <c r="B798" s="19"/>
      <c r="C798" s="19"/>
      <c r="D798" s="19"/>
      <c r="E798" s="3"/>
    </row>
    <row r="799">
      <c r="A799" s="3"/>
      <c r="B799" s="19"/>
      <c r="C799" s="19"/>
      <c r="D799" s="19"/>
      <c r="E799" s="3"/>
    </row>
    <row r="800">
      <c r="A800" s="3"/>
      <c r="B800" s="19"/>
      <c r="C800" s="19"/>
      <c r="D800" s="19"/>
      <c r="E800" s="3"/>
    </row>
    <row r="801">
      <c r="A801" s="3"/>
      <c r="B801" s="19"/>
      <c r="C801" s="19"/>
      <c r="D801" s="19"/>
      <c r="E801" s="3"/>
    </row>
    <row r="802">
      <c r="A802" s="3"/>
      <c r="B802" s="19"/>
      <c r="C802" s="19"/>
      <c r="D802" s="19"/>
      <c r="E802" s="3"/>
    </row>
    <row r="803">
      <c r="A803" s="3"/>
      <c r="B803" s="19"/>
      <c r="C803" s="19"/>
      <c r="D803" s="19"/>
      <c r="E803" s="3"/>
    </row>
    <row r="804">
      <c r="A804" s="3"/>
      <c r="B804" s="19"/>
      <c r="C804" s="19"/>
      <c r="D804" s="19"/>
      <c r="E804" s="3"/>
    </row>
    <row r="805">
      <c r="A805" s="3"/>
      <c r="B805" s="19"/>
      <c r="C805" s="19"/>
      <c r="D805" s="19"/>
      <c r="E805" s="3"/>
    </row>
    <row r="806">
      <c r="A806" s="3"/>
      <c r="B806" s="19"/>
      <c r="C806" s="19"/>
      <c r="D806" s="19"/>
      <c r="E806" s="3"/>
    </row>
    <row r="807">
      <c r="A807" s="3"/>
      <c r="B807" s="19"/>
      <c r="C807" s="19"/>
      <c r="D807" s="19"/>
      <c r="E807" s="3"/>
    </row>
    <row r="808">
      <c r="A808" s="3"/>
      <c r="B808" s="19"/>
      <c r="C808" s="19"/>
      <c r="D808" s="19"/>
      <c r="E808" s="3"/>
    </row>
    <row r="809">
      <c r="A809" s="3"/>
      <c r="B809" s="19"/>
      <c r="C809" s="19"/>
      <c r="D809" s="19"/>
      <c r="E809" s="3"/>
    </row>
    <row r="810">
      <c r="A810" s="3"/>
      <c r="B810" s="19"/>
      <c r="C810" s="19"/>
      <c r="D810" s="19"/>
      <c r="E810" s="3"/>
    </row>
    <row r="811">
      <c r="A811" s="3"/>
      <c r="B811" s="19"/>
      <c r="C811" s="19"/>
      <c r="D811" s="19"/>
      <c r="E811" s="3"/>
    </row>
    <row r="812">
      <c r="A812" s="3"/>
      <c r="B812" s="19"/>
      <c r="C812" s="19"/>
      <c r="D812" s="19"/>
      <c r="E812" s="3"/>
    </row>
    <row r="813">
      <c r="A813" s="3"/>
      <c r="B813" s="19"/>
      <c r="C813" s="19"/>
      <c r="D813" s="19"/>
      <c r="E813" s="3"/>
    </row>
    <row r="814">
      <c r="A814" s="3"/>
      <c r="B814" s="19"/>
      <c r="C814" s="19"/>
      <c r="D814" s="19"/>
      <c r="E814" s="3"/>
    </row>
    <row r="815">
      <c r="A815" s="3"/>
      <c r="B815" s="19"/>
      <c r="C815" s="19"/>
      <c r="D815" s="19"/>
      <c r="E815" s="3"/>
    </row>
    <row r="816">
      <c r="A816" s="3"/>
      <c r="B816" s="19"/>
      <c r="C816" s="19"/>
      <c r="D816" s="19"/>
      <c r="E816" s="3"/>
    </row>
    <row r="817">
      <c r="A817" s="3"/>
      <c r="B817" s="19"/>
      <c r="C817" s="19"/>
      <c r="D817" s="19"/>
      <c r="E817" s="3"/>
    </row>
    <row r="818">
      <c r="A818" s="3"/>
      <c r="B818" s="19"/>
      <c r="C818" s="19"/>
      <c r="D818" s="19"/>
      <c r="E818" s="3"/>
    </row>
    <row r="819">
      <c r="A819" s="3"/>
      <c r="B819" s="19"/>
      <c r="C819" s="19"/>
      <c r="D819" s="19"/>
      <c r="E819" s="3"/>
    </row>
    <row r="820">
      <c r="A820" s="3"/>
      <c r="B820" s="19"/>
      <c r="C820" s="19"/>
      <c r="D820" s="19"/>
      <c r="E820" s="3"/>
    </row>
    <row r="821">
      <c r="A821" s="3"/>
      <c r="B821" s="19"/>
      <c r="C821" s="19"/>
      <c r="D821" s="19"/>
      <c r="E821" s="3"/>
    </row>
    <row r="822">
      <c r="A822" s="3"/>
      <c r="B822" s="19"/>
      <c r="C822" s="19"/>
      <c r="D822" s="19"/>
      <c r="E822" s="3"/>
    </row>
    <row r="823">
      <c r="A823" s="3"/>
      <c r="B823" s="19"/>
      <c r="C823" s="19"/>
      <c r="D823" s="19"/>
      <c r="E823" s="3"/>
    </row>
    <row r="824">
      <c r="A824" s="3"/>
      <c r="B824" s="19"/>
      <c r="C824" s="19"/>
      <c r="D824" s="19"/>
      <c r="E824" s="3"/>
    </row>
    <row r="825">
      <c r="A825" s="3"/>
      <c r="B825" s="19"/>
      <c r="C825" s="19"/>
      <c r="D825" s="19"/>
      <c r="E825" s="3"/>
    </row>
    <row r="826">
      <c r="A826" s="3"/>
      <c r="B826" s="19"/>
      <c r="C826" s="19"/>
      <c r="D826" s="19"/>
      <c r="E826" s="3"/>
    </row>
    <row r="827">
      <c r="A827" s="3"/>
      <c r="B827" s="19"/>
      <c r="C827" s="19"/>
      <c r="D827" s="19"/>
      <c r="E827" s="3"/>
    </row>
    <row r="828">
      <c r="A828" s="3"/>
      <c r="B828" s="19"/>
      <c r="C828" s="19"/>
      <c r="D828" s="19"/>
      <c r="E828" s="3"/>
    </row>
    <row r="829">
      <c r="A829" s="3"/>
      <c r="B829" s="19"/>
      <c r="C829" s="19"/>
      <c r="D829" s="19"/>
      <c r="E829" s="3"/>
    </row>
    <row r="830">
      <c r="A830" s="3"/>
      <c r="B830" s="19"/>
      <c r="C830" s="19"/>
      <c r="D830" s="19"/>
      <c r="E830" s="3"/>
    </row>
    <row r="831">
      <c r="A831" s="3"/>
      <c r="B831" s="19"/>
      <c r="C831" s="19"/>
      <c r="D831" s="19"/>
      <c r="E831" s="3"/>
    </row>
    <row r="832">
      <c r="A832" s="3"/>
      <c r="B832" s="19"/>
      <c r="C832" s="19"/>
      <c r="D832" s="19"/>
      <c r="E832" s="3"/>
    </row>
    <row r="833">
      <c r="A833" s="3"/>
      <c r="B833" s="19"/>
      <c r="C833" s="19"/>
      <c r="D833" s="19"/>
      <c r="E833" s="3"/>
    </row>
    <row r="834">
      <c r="A834" s="3"/>
      <c r="B834" s="19"/>
      <c r="C834" s="19"/>
      <c r="D834" s="19"/>
      <c r="E834" s="3"/>
    </row>
    <row r="835">
      <c r="A835" s="3"/>
      <c r="B835" s="19"/>
      <c r="C835" s="19"/>
      <c r="D835" s="19"/>
      <c r="E835" s="3"/>
    </row>
    <row r="836">
      <c r="A836" s="3"/>
      <c r="B836" s="19"/>
      <c r="C836" s="19"/>
      <c r="D836" s="19"/>
      <c r="E836" s="3"/>
    </row>
    <row r="837">
      <c r="A837" s="3"/>
      <c r="B837" s="19"/>
      <c r="C837" s="19"/>
      <c r="D837" s="19"/>
      <c r="E837" s="3"/>
    </row>
    <row r="838">
      <c r="A838" s="3"/>
      <c r="B838" s="19"/>
      <c r="C838" s="19"/>
      <c r="D838" s="19"/>
      <c r="E838" s="3"/>
    </row>
    <row r="839">
      <c r="A839" s="3"/>
      <c r="B839" s="19"/>
      <c r="C839" s="19"/>
      <c r="D839" s="19"/>
      <c r="E839" s="3"/>
    </row>
    <row r="840">
      <c r="A840" s="3"/>
      <c r="B840" s="19"/>
      <c r="C840" s="19"/>
      <c r="D840" s="19"/>
      <c r="E840" s="3"/>
    </row>
    <row r="841">
      <c r="A841" s="3"/>
      <c r="B841" s="19"/>
      <c r="C841" s="19"/>
      <c r="D841" s="19"/>
      <c r="E841" s="3"/>
    </row>
    <row r="842">
      <c r="A842" s="3"/>
      <c r="B842" s="19"/>
      <c r="C842" s="19"/>
      <c r="D842" s="19"/>
      <c r="E842" s="3"/>
    </row>
    <row r="843">
      <c r="A843" s="3"/>
      <c r="B843" s="19"/>
      <c r="C843" s="19"/>
      <c r="D843" s="19"/>
      <c r="E843" s="3"/>
    </row>
    <row r="844">
      <c r="A844" s="3"/>
      <c r="B844" s="19"/>
      <c r="C844" s="19"/>
      <c r="D844" s="19"/>
      <c r="E844" s="3"/>
    </row>
    <row r="845">
      <c r="A845" s="3"/>
      <c r="B845" s="19"/>
      <c r="C845" s="19"/>
      <c r="D845" s="19"/>
      <c r="E845" s="3"/>
    </row>
    <row r="846">
      <c r="A846" s="3"/>
      <c r="B846" s="19"/>
      <c r="C846" s="19"/>
      <c r="D846" s="19"/>
      <c r="E846" s="3"/>
    </row>
    <row r="847">
      <c r="A847" s="3"/>
      <c r="B847" s="19"/>
      <c r="C847" s="19"/>
      <c r="D847" s="19"/>
      <c r="E847" s="3"/>
    </row>
    <row r="848">
      <c r="A848" s="3"/>
      <c r="B848" s="19"/>
      <c r="C848" s="19"/>
      <c r="D848" s="19"/>
      <c r="E848" s="3"/>
    </row>
    <row r="849">
      <c r="A849" s="3"/>
      <c r="B849" s="19"/>
      <c r="C849" s="19"/>
      <c r="D849" s="19"/>
      <c r="E849" s="3"/>
    </row>
    <row r="850">
      <c r="A850" s="3"/>
      <c r="B850" s="19"/>
      <c r="C850" s="19"/>
      <c r="D850" s="19"/>
      <c r="E850" s="3"/>
    </row>
    <row r="851">
      <c r="A851" s="3"/>
      <c r="B851" s="19"/>
      <c r="C851" s="19"/>
      <c r="D851" s="19"/>
      <c r="E851" s="3"/>
    </row>
    <row r="852">
      <c r="A852" s="3"/>
      <c r="B852" s="19"/>
      <c r="C852" s="19"/>
      <c r="D852" s="19"/>
      <c r="E852" s="3"/>
    </row>
    <row r="853">
      <c r="A853" s="3"/>
      <c r="B853" s="19"/>
      <c r="C853" s="19"/>
      <c r="D853" s="19"/>
      <c r="E853" s="3"/>
    </row>
    <row r="854">
      <c r="A854" s="3"/>
      <c r="B854" s="19"/>
      <c r="C854" s="19"/>
      <c r="D854" s="19"/>
      <c r="E854" s="3"/>
    </row>
    <row r="855">
      <c r="A855" s="3"/>
      <c r="B855" s="19"/>
      <c r="C855" s="19"/>
      <c r="D855" s="19"/>
      <c r="E855" s="3"/>
    </row>
    <row r="856">
      <c r="A856" s="3"/>
      <c r="B856" s="19"/>
      <c r="C856" s="19"/>
      <c r="D856" s="19"/>
      <c r="E856" s="3"/>
    </row>
    <row r="857">
      <c r="A857" s="3"/>
      <c r="B857" s="19"/>
      <c r="C857" s="19"/>
      <c r="D857" s="19"/>
      <c r="E857" s="3"/>
    </row>
    <row r="858">
      <c r="A858" s="3"/>
      <c r="B858" s="19"/>
      <c r="C858" s="19"/>
      <c r="D858" s="19"/>
      <c r="E858" s="3"/>
    </row>
    <row r="859">
      <c r="A859" s="3"/>
      <c r="B859" s="19"/>
      <c r="C859" s="19"/>
      <c r="D859" s="19"/>
      <c r="E859" s="3"/>
    </row>
    <row r="860">
      <c r="A860" s="3"/>
      <c r="B860" s="19"/>
      <c r="C860" s="19"/>
      <c r="D860" s="19"/>
      <c r="E860" s="3"/>
    </row>
    <row r="861">
      <c r="A861" s="3"/>
      <c r="B861" s="19"/>
      <c r="C861" s="19"/>
      <c r="D861" s="19"/>
      <c r="E861" s="3"/>
    </row>
    <row r="862">
      <c r="A862" s="3"/>
      <c r="B862" s="19"/>
      <c r="C862" s="19"/>
      <c r="D862" s="19"/>
      <c r="E862" s="3"/>
    </row>
    <row r="863">
      <c r="A863" s="3"/>
      <c r="B863" s="19"/>
      <c r="C863" s="19"/>
      <c r="D863" s="19"/>
      <c r="E863" s="3"/>
    </row>
    <row r="864">
      <c r="A864" s="3"/>
      <c r="B864" s="19"/>
      <c r="C864" s="19"/>
      <c r="D864" s="19"/>
      <c r="E864" s="3"/>
    </row>
    <row r="865">
      <c r="A865" s="3"/>
      <c r="B865" s="19"/>
      <c r="C865" s="19"/>
      <c r="D865" s="19"/>
      <c r="E865" s="3"/>
    </row>
    <row r="866">
      <c r="A866" s="3"/>
      <c r="B866" s="19"/>
      <c r="C866" s="19"/>
      <c r="D866" s="19"/>
      <c r="E866" s="3"/>
    </row>
    <row r="867">
      <c r="A867" s="3"/>
      <c r="B867" s="19"/>
      <c r="C867" s="19"/>
      <c r="D867" s="19"/>
      <c r="E867" s="3"/>
    </row>
    <row r="868">
      <c r="A868" s="3"/>
      <c r="B868" s="19"/>
      <c r="C868" s="19"/>
      <c r="D868" s="19"/>
      <c r="E868" s="3"/>
    </row>
    <row r="869">
      <c r="A869" s="3"/>
      <c r="B869" s="19"/>
      <c r="C869" s="19"/>
      <c r="D869" s="19"/>
      <c r="E869" s="3"/>
    </row>
    <row r="870">
      <c r="A870" s="3"/>
      <c r="B870" s="19"/>
      <c r="C870" s="19"/>
      <c r="D870" s="19"/>
      <c r="E870" s="3"/>
    </row>
    <row r="871">
      <c r="A871" s="3"/>
      <c r="B871" s="19"/>
      <c r="C871" s="19"/>
      <c r="D871" s="19"/>
      <c r="E871" s="3"/>
    </row>
    <row r="872">
      <c r="A872" s="3"/>
      <c r="B872" s="19"/>
      <c r="C872" s="19"/>
      <c r="D872" s="19"/>
      <c r="E872" s="3"/>
    </row>
    <row r="873">
      <c r="A873" s="3"/>
      <c r="B873" s="19"/>
      <c r="C873" s="19"/>
      <c r="D873" s="19"/>
      <c r="E873" s="3"/>
    </row>
    <row r="874">
      <c r="A874" s="3"/>
      <c r="B874" s="19"/>
      <c r="C874" s="19"/>
      <c r="D874" s="19"/>
      <c r="E874" s="3"/>
    </row>
    <row r="875">
      <c r="A875" s="3"/>
      <c r="B875" s="19"/>
      <c r="C875" s="19"/>
      <c r="D875" s="19"/>
      <c r="E875" s="3"/>
    </row>
    <row r="876">
      <c r="A876" s="3"/>
      <c r="B876" s="19"/>
      <c r="C876" s="19"/>
      <c r="D876" s="19"/>
      <c r="E876" s="3"/>
    </row>
    <row r="877">
      <c r="A877" s="3"/>
      <c r="B877" s="19"/>
      <c r="C877" s="19"/>
      <c r="D877" s="19"/>
      <c r="E877" s="3"/>
    </row>
    <row r="878">
      <c r="A878" s="3"/>
      <c r="B878" s="19"/>
      <c r="C878" s="19"/>
      <c r="D878" s="19"/>
      <c r="E878" s="3"/>
    </row>
    <row r="879">
      <c r="A879" s="3"/>
      <c r="B879" s="19"/>
      <c r="C879" s="19"/>
      <c r="D879" s="19"/>
      <c r="E879" s="3"/>
    </row>
    <row r="880">
      <c r="A880" s="3"/>
      <c r="B880" s="19"/>
      <c r="C880" s="19"/>
      <c r="D880" s="19"/>
      <c r="E880" s="3"/>
    </row>
    <row r="881">
      <c r="A881" s="3"/>
      <c r="B881" s="19"/>
      <c r="C881" s="19"/>
      <c r="D881" s="19"/>
      <c r="E881" s="3"/>
    </row>
    <row r="882">
      <c r="A882" s="3"/>
      <c r="B882" s="19"/>
      <c r="C882" s="19"/>
      <c r="D882" s="19"/>
      <c r="E882" s="3"/>
    </row>
    <row r="883">
      <c r="A883" s="3"/>
      <c r="B883" s="19"/>
      <c r="C883" s="19"/>
      <c r="D883" s="19"/>
      <c r="E883" s="3"/>
    </row>
    <row r="884">
      <c r="A884" s="3"/>
      <c r="B884" s="19"/>
      <c r="C884" s="19"/>
      <c r="D884" s="19"/>
      <c r="E884" s="3"/>
    </row>
    <row r="885">
      <c r="A885" s="3"/>
      <c r="B885" s="19"/>
      <c r="C885" s="19"/>
      <c r="D885" s="19"/>
      <c r="E885" s="3"/>
    </row>
    <row r="886">
      <c r="A886" s="3"/>
      <c r="B886" s="19"/>
      <c r="C886" s="19"/>
      <c r="D886" s="19"/>
      <c r="E886" s="3"/>
    </row>
    <row r="887">
      <c r="A887" s="3"/>
      <c r="B887" s="19"/>
      <c r="C887" s="19"/>
      <c r="D887" s="19"/>
      <c r="E887" s="3"/>
    </row>
    <row r="888">
      <c r="A888" s="3"/>
      <c r="B888" s="19"/>
      <c r="C888" s="19"/>
      <c r="D888" s="19"/>
      <c r="E888" s="3"/>
    </row>
    <row r="889">
      <c r="A889" s="3"/>
      <c r="B889" s="19"/>
      <c r="C889" s="19"/>
      <c r="D889" s="19"/>
      <c r="E889" s="3"/>
    </row>
    <row r="890">
      <c r="A890" s="3"/>
      <c r="B890" s="19"/>
      <c r="C890" s="19"/>
      <c r="D890" s="19"/>
      <c r="E890" s="3"/>
    </row>
    <row r="891">
      <c r="A891" s="3"/>
      <c r="B891" s="19"/>
      <c r="C891" s="19"/>
      <c r="D891" s="19"/>
      <c r="E891" s="3"/>
    </row>
    <row r="892">
      <c r="A892" s="3"/>
      <c r="B892" s="19"/>
      <c r="C892" s="19"/>
      <c r="D892" s="19"/>
      <c r="E892" s="3"/>
    </row>
    <row r="893">
      <c r="A893" s="3"/>
      <c r="B893" s="19"/>
      <c r="C893" s="19"/>
      <c r="D893" s="19"/>
      <c r="E893" s="3"/>
    </row>
    <row r="894">
      <c r="A894" s="3"/>
      <c r="B894" s="19"/>
      <c r="C894" s="19"/>
      <c r="D894" s="19"/>
      <c r="E894" s="3"/>
    </row>
    <row r="895">
      <c r="A895" s="3"/>
      <c r="B895" s="19"/>
      <c r="C895" s="19"/>
      <c r="D895" s="19"/>
      <c r="E895" s="3"/>
    </row>
    <row r="896">
      <c r="A896" s="3"/>
      <c r="B896" s="19"/>
      <c r="C896" s="19"/>
      <c r="D896" s="19"/>
      <c r="E896" s="3"/>
    </row>
    <row r="897">
      <c r="A897" s="3"/>
      <c r="B897" s="19"/>
      <c r="C897" s="19"/>
      <c r="D897" s="19"/>
      <c r="E897" s="3"/>
    </row>
    <row r="898">
      <c r="A898" s="3"/>
      <c r="B898" s="19"/>
      <c r="C898" s="19"/>
      <c r="D898" s="19"/>
      <c r="E898" s="3"/>
    </row>
    <row r="899">
      <c r="A899" s="3"/>
      <c r="B899" s="19"/>
      <c r="C899" s="19"/>
      <c r="D899" s="19"/>
      <c r="E899" s="3"/>
    </row>
    <row r="900">
      <c r="A900" s="3"/>
      <c r="B900" s="19"/>
      <c r="C900" s="19"/>
      <c r="D900" s="19"/>
      <c r="E900" s="3"/>
    </row>
    <row r="901">
      <c r="A901" s="3"/>
      <c r="B901" s="19"/>
      <c r="C901" s="19"/>
      <c r="D901" s="19"/>
      <c r="E901" s="3"/>
    </row>
    <row r="902">
      <c r="A902" s="3"/>
      <c r="B902" s="19"/>
      <c r="C902" s="19"/>
      <c r="D902" s="19"/>
      <c r="E902" s="3"/>
    </row>
    <row r="903">
      <c r="A903" s="3"/>
      <c r="B903" s="19"/>
      <c r="C903" s="19"/>
      <c r="D903" s="19"/>
      <c r="E903" s="3"/>
    </row>
    <row r="904">
      <c r="A904" s="3"/>
      <c r="B904" s="19"/>
      <c r="C904" s="19"/>
      <c r="D904" s="19"/>
      <c r="E904" s="3"/>
    </row>
    <row r="905">
      <c r="A905" s="3"/>
      <c r="B905" s="19"/>
      <c r="C905" s="19"/>
      <c r="D905" s="19"/>
      <c r="E905" s="3"/>
    </row>
    <row r="906">
      <c r="A906" s="3"/>
      <c r="B906" s="19"/>
      <c r="C906" s="19"/>
      <c r="D906" s="19"/>
      <c r="E906" s="3"/>
    </row>
    <row r="907">
      <c r="A907" s="3"/>
      <c r="B907" s="19"/>
      <c r="C907" s="19"/>
      <c r="D907" s="19"/>
      <c r="E907" s="3"/>
    </row>
    <row r="908">
      <c r="A908" s="3"/>
      <c r="B908" s="19"/>
      <c r="C908" s="19"/>
      <c r="D908" s="19"/>
      <c r="E908" s="3"/>
    </row>
    <row r="909">
      <c r="A909" s="3"/>
      <c r="B909" s="19"/>
      <c r="C909" s="19"/>
      <c r="D909" s="19"/>
      <c r="E909" s="3"/>
    </row>
    <row r="910">
      <c r="A910" s="3"/>
      <c r="B910" s="19"/>
      <c r="C910" s="19"/>
      <c r="D910" s="19"/>
      <c r="E910" s="3"/>
    </row>
    <row r="911">
      <c r="A911" s="3"/>
      <c r="B911" s="19"/>
      <c r="C911" s="19"/>
      <c r="D911" s="19"/>
      <c r="E911" s="3"/>
    </row>
    <row r="912">
      <c r="A912" s="3"/>
      <c r="B912" s="19"/>
      <c r="C912" s="19"/>
      <c r="D912" s="19"/>
      <c r="E912" s="3"/>
    </row>
    <row r="913">
      <c r="A913" s="3"/>
      <c r="B913" s="19"/>
      <c r="C913" s="19"/>
      <c r="D913" s="19"/>
      <c r="E913" s="3"/>
    </row>
    <row r="914">
      <c r="A914" s="3"/>
      <c r="B914" s="19"/>
      <c r="C914" s="19"/>
      <c r="D914" s="19"/>
      <c r="E914" s="3"/>
    </row>
    <row r="915">
      <c r="A915" s="3"/>
      <c r="B915" s="19"/>
      <c r="C915" s="19"/>
      <c r="D915" s="19"/>
      <c r="E915" s="3"/>
    </row>
    <row r="916">
      <c r="A916" s="3"/>
      <c r="B916" s="19"/>
      <c r="C916" s="19"/>
      <c r="D916" s="19"/>
      <c r="E916" s="3"/>
    </row>
    <row r="917">
      <c r="A917" s="3"/>
      <c r="B917" s="19"/>
      <c r="C917" s="19"/>
      <c r="D917" s="19"/>
      <c r="E917" s="3"/>
    </row>
    <row r="918">
      <c r="A918" s="3"/>
      <c r="B918" s="19"/>
      <c r="C918" s="19"/>
      <c r="D918" s="19"/>
      <c r="E918" s="3"/>
    </row>
    <row r="919">
      <c r="A919" s="3"/>
      <c r="B919" s="19"/>
      <c r="C919" s="19"/>
      <c r="D919" s="19"/>
      <c r="E919" s="3"/>
    </row>
    <row r="920">
      <c r="A920" s="3"/>
      <c r="B920" s="19"/>
      <c r="C920" s="19"/>
      <c r="D920" s="19"/>
      <c r="E920" s="3"/>
    </row>
    <row r="921">
      <c r="A921" s="3"/>
      <c r="B921" s="19"/>
      <c r="C921" s="19"/>
      <c r="D921" s="19"/>
      <c r="E921" s="3"/>
    </row>
    <row r="922">
      <c r="A922" s="3"/>
      <c r="B922" s="19"/>
      <c r="C922" s="19"/>
      <c r="D922" s="19"/>
      <c r="E922" s="3"/>
    </row>
    <row r="923">
      <c r="A923" s="3"/>
      <c r="B923" s="19"/>
      <c r="C923" s="19"/>
      <c r="D923" s="19"/>
      <c r="E923" s="3"/>
    </row>
    <row r="924">
      <c r="A924" s="3"/>
      <c r="B924" s="19"/>
      <c r="C924" s="19"/>
      <c r="D924" s="19"/>
      <c r="E924" s="3"/>
    </row>
    <row r="925">
      <c r="A925" s="3"/>
      <c r="B925" s="19"/>
      <c r="C925" s="19"/>
      <c r="D925" s="19"/>
      <c r="E925" s="3"/>
    </row>
    <row r="926">
      <c r="A926" s="3"/>
      <c r="B926" s="19"/>
      <c r="C926" s="19"/>
      <c r="D926" s="19"/>
      <c r="E926" s="3"/>
    </row>
    <row r="927">
      <c r="A927" s="3"/>
      <c r="B927" s="19"/>
      <c r="C927" s="19"/>
      <c r="D927" s="19"/>
      <c r="E927" s="3"/>
    </row>
    <row r="928">
      <c r="A928" s="3"/>
      <c r="B928" s="19"/>
      <c r="C928" s="19"/>
      <c r="D928" s="19"/>
      <c r="E928" s="3"/>
    </row>
    <row r="929">
      <c r="A929" s="3"/>
      <c r="B929" s="19"/>
      <c r="C929" s="19"/>
      <c r="D929" s="19"/>
      <c r="E929" s="3"/>
    </row>
    <row r="930">
      <c r="A930" s="3"/>
      <c r="B930" s="19"/>
      <c r="C930" s="19"/>
      <c r="D930" s="19"/>
      <c r="E930" s="3"/>
    </row>
    <row r="931">
      <c r="A931" s="3"/>
      <c r="B931" s="19"/>
      <c r="C931" s="19"/>
      <c r="D931" s="19"/>
      <c r="E931" s="3"/>
    </row>
    <row r="932">
      <c r="A932" s="3"/>
      <c r="B932" s="19"/>
      <c r="C932" s="19"/>
      <c r="D932" s="19"/>
      <c r="E932" s="3"/>
    </row>
    <row r="933">
      <c r="A933" s="3"/>
      <c r="B933" s="19"/>
      <c r="C933" s="19"/>
      <c r="D933" s="19"/>
      <c r="E933" s="3"/>
    </row>
    <row r="934">
      <c r="A934" s="3"/>
      <c r="B934" s="19"/>
      <c r="C934" s="19"/>
      <c r="D934" s="19"/>
      <c r="E934" s="3"/>
    </row>
    <row r="935">
      <c r="A935" s="3"/>
      <c r="B935" s="19"/>
      <c r="C935" s="19"/>
      <c r="D935" s="19"/>
      <c r="E935" s="3"/>
    </row>
    <row r="936">
      <c r="A936" s="3"/>
      <c r="B936" s="19"/>
      <c r="C936" s="19"/>
      <c r="D936" s="19"/>
      <c r="E936" s="3"/>
    </row>
    <row r="937">
      <c r="A937" s="3"/>
      <c r="B937" s="19"/>
      <c r="C937" s="19"/>
      <c r="D937" s="19"/>
      <c r="E937" s="3"/>
    </row>
    <row r="938">
      <c r="A938" s="3"/>
      <c r="B938" s="19"/>
      <c r="C938" s="19"/>
      <c r="D938" s="19"/>
      <c r="E938" s="3"/>
    </row>
    <row r="939">
      <c r="A939" s="3"/>
      <c r="B939" s="19"/>
      <c r="C939" s="19"/>
      <c r="D939" s="19"/>
      <c r="E939" s="3"/>
    </row>
    <row r="940">
      <c r="A940" s="3"/>
      <c r="B940" s="19"/>
      <c r="C940" s="19"/>
      <c r="D940" s="19"/>
      <c r="E940" s="3"/>
    </row>
    <row r="941">
      <c r="A941" s="3"/>
      <c r="B941" s="19"/>
      <c r="C941" s="19"/>
      <c r="D941" s="19"/>
      <c r="E941" s="3"/>
    </row>
    <row r="942">
      <c r="A942" s="3"/>
      <c r="B942" s="19"/>
      <c r="C942" s="19"/>
      <c r="D942" s="19"/>
      <c r="E942" s="3"/>
    </row>
    <row r="943">
      <c r="A943" s="3"/>
      <c r="B943" s="19"/>
      <c r="C943" s="19"/>
      <c r="D943" s="19"/>
      <c r="E943" s="3"/>
    </row>
    <row r="944">
      <c r="A944" s="3"/>
      <c r="B944" s="19"/>
      <c r="C944" s="19"/>
      <c r="D944" s="19"/>
      <c r="E944" s="3"/>
    </row>
    <row r="945">
      <c r="A945" s="3"/>
      <c r="B945" s="19"/>
      <c r="C945" s="19"/>
      <c r="D945" s="19"/>
      <c r="E945" s="3"/>
    </row>
    <row r="946">
      <c r="A946" s="3"/>
      <c r="B946" s="19"/>
      <c r="C946" s="19"/>
      <c r="D946" s="19"/>
      <c r="E946" s="3"/>
    </row>
    <row r="947">
      <c r="A947" s="3"/>
      <c r="B947" s="19"/>
      <c r="C947" s="19"/>
      <c r="D947" s="19"/>
      <c r="E947" s="3"/>
    </row>
    <row r="948">
      <c r="A948" s="3"/>
      <c r="B948" s="19"/>
      <c r="C948" s="19"/>
      <c r="D948" s="19"/>
      <c r="E948" s="3"/>
    </row>
    <row r="949">
      <c r="A949" s="3"/>
      <c r="B949" s="19"/>
      <c r="C949" s="19"/>
      <c r="D949" s="19"/>
      <c r="E949" s="3"/>
    </row>
    <row r="950">
      <c r="A950" s="3"/>
      <c r="B950" s="19"/>
      <c r="C950" s="19"/>
      <c r="D950" s="19"/>
      <c r="E950" s="3"/>
    </row>
    <row r="951">
      <c r="A951" s="3"/>
      <c r="B951" s="19"/>
      <c r="C951" s="19"/>
      <c r="D951" s="19"/>
      <c r="E951" s="3"/>
    </row>
    <row r="952">
      <c r="A952" s="3"/>
      <c r="B952" s="19"/>
      <c r="C952" s="19"/>
      <c r="D952" s="19"/>
      <c r="E952" s="3"/>
    </row>
    <row r="953">
      <c r="A953" s="3"/>
      <c r="B953" s="19"/>
      <c r="C953" s="19"/>
      <c r="D953" s="19"/>
      <c r="E953" s="3"/>
    </row>
    <row r="954">
      <c r="A954" s="3"/>
      <c r="B954" s="19"/>
      <c r="C954" s="19"/>
      <c r="D954" s="19"/>
      <c r="E954" s="3"/>
    </row>
    <row r="955">
      <c r="A955" s="3"/>
      <c r="B955" s="19"/>
      <c r="C955" s="19"/>
      <c r="D955" s="19"/>
      <c r="E955" s="3"/>
    </row>
    <row r="956">
      <c r="A956" s="3"/>
      <c r="B956" s="19"/>
      <c r="C956" s="19"/>
      <c r="D956" s="19"/>
      <c r="E956" s="3"/>
    </row>
    <row r="957">
      <c r="A957" s="3"/>
      <c r="B957" s="19"/>
      <c r="C957" s="19"/>
      <c r="D957" s="19"/>
      <c r="E957" s="3"/>
    </row>
    <row r="958">
      <c r="A958" s="3"/>
      <c r="B958" s="19"/>
      <c r="C958" s="19"/>
      <c r="D958" s="19"/>
      <c r="E958" s="3"/>
    </row>
    <row r="959">
      <c r="A959" s="3"/>
      <c r="B959" s="19"/>
      <c r="C959" s="19"/>
      <c r="D959" s="19"/>
      <c r="E959" s="3"/>
    </row>
    <row r="960">
      <c r="A960" s="3"/>
      <c r="B960" s="19"/>
      <c r="C960" s="19"/>
      <c r="D960" s="19"/>
      <c r="E960" s="3"/>
    </row>
    <row r="961">
      <c r="A961" s="3"/>
      <c r="B961" s="19"/>
      <c r="C961" s="19"/>
      <c r="D961" s="19"/>
      <c r="E961" s="3"/>
    </row>
    <row r="962">
      <c r="A962" s="3"/>
      <c r="B962" s="19"/>
      <c r="C962" s="19"/>
      <c r="D962" s="19"/>
      <c r="E962" s="3"/>
    </row>
    <row r="963">
      <c r="A963" s="3"/>
      <c r="B963" s="19"/>
      <c r="C963" s="19"/>
      <c r="D963" s="19"/>
      <c r="E963" s="3"/>
    </row>
    <row r="964">
      <c r="A964" s="3"/>
      <c r="B964" s="19"/>
      <c r="C964" s="19"/>
      <c r="D964" s="19"/>
      <c r="E964" s="3"/>
    </row>
    <row r="965">
      <c r="A965" s="3"/>
      <c r="B965" s="19"/>
      <c r="C965" s="19"/>
      <c r="D965" s="19"/>
      <c r="E965" s="3"/>
    </row>
    <row r="966">
      <c r="A966" s="3"/>
      <c r="B966" s="19"/>
      <c r="C966" s="19"/>
      <c r="D966" s="19"/>
      <c r="E966" s="3"/>
    </row>
    <row r="967">
      <c r="A967" s="3"/>
      <c r="B967" s="19"/>
      <c r="C967" s="19"/>
      <c r="D967" s="19"/>
      <c r="E967" s="3"/>
    </row>
    <row r="968">
      <c r="A968" s="3"/>
      <c r="B968" s="19"/>
      <c r="C968" s="19"/>
      <c r="D968" s="19"/>
      <c r="E968" s="3"/>
    </row>
    <row r="969">
      <c r="A969" s="3"/>
      <c r="B969" s="19"/>
      <c r="C969" s="19"/>
      <c r="D969" s="19"/>
      <c r="E969" s="3"/>
    </row>
    <row r="970">
      <c r="A970" s="3"/>
      <c r="B970" s="19"/>
      <c r="C970" s="19"/>
      <c r="D970" s="19"/>
      <c r="E970" s="3"/>
    </row>
    <row r="971">
      <c r="A971" s="3"/>
      <c r="B971" s="19"/>
      <c r="C971" s="19"/>
      <c r="D971" s="19"/>
      <c r="E971" s="3"/>
    </row>
    <row r="972">
      <c r="A972" s="3"/>
      <c r="B972" s="19"/>
      <c r="C972" s="19"/>
      <c r="D972" s="19"/>
      <c r="E972" s="3"/>
    </row>
    <row r="973">
      <c r="A973" s="3"/>
      <c r="B973" s="19"/>
      <c r="C973" s="19"/>
      <c r="D973" s="19"/>
      <c r="E973" s="3"/>
    </row>
    <row r="974">
      <c r="A974" s="3"/>
      <c r="B974" s="19"/>
      <c r="C974" s="19"/>
      <c r="D974" s="19"/>
      <c r="E974" s="3"/>
    </row>
    <row r="975">
      <c r="A975" s="3"/>
      <c r="B975" s="19"/>
      <c r="C975" s="19"/>
      <c r="D975" s="19"/>
      <c r="E975" s="3"/>
    </row>
    <row r="976">
      <c r="A976" s="3"/>
      <c r="B976" s="19"/>
      <c r="C976" s="19"/>
      <c r="D976" s="19"/>
      <c r="E976" s="3"/>
    </row>
    <row r="977">
      <c r="A977" s="3"/>
      <c r="B977" s="19"/>
      <c r="C977" s="19"/>
      <c r="D977" s="19"/>
      <c r="E977" s="3"/>
    </row>
    <row r="978">
      <c r="A978" s="3"/>
      <c r="B978" s="19"/>
      <c r="C978" s="19"/>
      <c r="D978" s="19"/>
      <c r="E978" s="3"/>
    </row>
    <row r="979">
      <c r="A979" s="3"/>
      <c r="B979" s="19"/>
      <c r="C979" s="19"/>
      <c r="D979" s="19"/>
      <c r="E979" s="3"/>
    </row>
    <row r="980">
      <c r="A980" s="3"/>
      <c r="B980" s="19"/>
      <c r="C980" s="19"/>
      <c r="D980" s="19"/>
      <c r="E980" s="3"/>
    </row>
    <row r="981">
      <c r="A981" s="3"/>
      <c r="B981" s="19"/>
      <c r="C981" s="19"/>
      <c r="D981" s="19"/>
      <c r="E981" s="3"/>
    </row>
    <row r="982">
      <c r="A982" s="3"/>
      <c r="B982" s="19"/>
      <c r="C982" s="19"/>
      <c r="D982" s="19"/>
      <c r="E982" s="3"/>
    </row>
    <row r="983">
      <c r="A983" s="3"/>
      <c r="B983" s="19"/>
      <c r="C983" s="19"/>
      <c r="D983" s="19"/>
      <c r="E983" s="3"/>
    </row>
    <row r="984">
      <c r="A984" s="3"/>
      <c r="B984" s="19"/>
      <c r="C984" s="19"/>
      <c r="D984" s="19"/>
      <c r="E984" s="3"/>
    </row>
    <row r="985">
      <c r="A985" s="3"/>
      <c r="B985" s="19"/>
      <c r="C985" s="19"/>
      <c r="D985" s="19"/>
      <c r="E985" s="3"/>
    </row>
    <row r="986">
      <c r="A986" s="3"/>
      <c r="B986" s="19"/>
      <c r="C986" s="19"/>
      <c r="D986" s="19"/>
      <c r="E986" s="3"/>
    </row>
    <row r="987">
      <c r="A987" s="3"/>
      <c r="B987" s="19"/>
      <c r="C987" s="19"/>
      <c r="D987" s="19"/>
      <c r="E987" s="3"/>
    </row>
    <row r="988">
      <c r="A988" s="3"/>
      <c r="B988" s="19"/>
      <c r="C988" s="19"/>
      <c r="D988" s="19"/>
      <c r="E988" s="3"/>
    </row>
    <row r="989">
      <c r="A989" s="3"/>
      <c r="B989" s="19"/>
      <c r="C989" s="19"/>
      <c r="D989" s="19"/>
      <c r="E989" s="3"/>
    </row>
    <row r="990">
      <c r="A990" s="3"/>
      <c r="B990" s="19"/>
      <c r="C990" s="19"/>
      <c r="D990" s="19"/>
      <c r="E990" s="3"/>
    </row>
    <row r="991">
      <c r="A991" s="3"/>
      <c r="B991" s="19"/>
      <c r="C991" s="19"/>
      <c r="D991" s="19"/>
      <c r="E991" s="3"/>
    </row>
    <row r="992">
      <c r="A992" s="3"/>
      <c r="B992" s="19"/>
      <c r="C992" s="19"/>
      <c r="D992" s="19"/>
      <c r="E992" s="3"/>
    </row>
    <row r="993">
      <c r="A993" s="3"/>
      <c r="B993" s="19"/>
      <c r="C993" s="19"/>
      <c r="D993" s="19"/>
      <c r="E993" s="3"/>
    </row>
    <row r="994">
      <c r="A994" s="3"/>
      <c r="B994" s="19"/>
      <c r="C994" s="19"/>
      <c r="D994" s="19"/>
      <c r="E994" s="3"/>
    </row>
    <row r="995">
      <c r="A995" s="3"/>
      <c r="B995" s="19"/>
      <c r="C995" s="19"/>
      <c r="D995" s="19"/>
      <c r="E995" s="3"/>
    </row>
    <row r="996">
      <c r="A996" s="3"/>
      <c r="B996" s="19"/>
      <c r="C996" s="19"/>
      <c r="D996" s="19"/>
      <c r="E996" s="3"/>
    </row>
    <row r="997">
      <c r="A997" s="3"/>
      <c r="B997" s="19"/>
      <c r="C997" s="19"/>
      <c r="D997" s="19"/>
      <c r="E997" s="3"/>
    </row>
    <row r="998">
      <c r="A998" s="3"/>
      <c r="B998" s="19"/>
      <c r="C998" s="19"/>
      <c r="D998" s="19"/>
      <c r="E998" s="3"/>
    </row>
    <row r="999">
      <c r="A999" s="3"/>
      <c r="B999" s="19"/>
      <c r="C999" s="19"/>
      <c r="D999" s="19"/>
      <c r="E999" s="3"/>
    </row>
    <row r="1000">
      <c r="A1000" s="3"/>
      <c r="B1000" s="19"/>
      <c r="C1000" s="19"/>
      <c r="D1000" s="19"/>
      <c r="E1000" s="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3" t="str">
        <f t="array" ref="A1:A1000">sort(Stats!A1:A1000,Stats!N1:N1000,false)</f>
        <v>Player</v>
      </c>
      <c r="B1" s="19" t="str">
        <f t="array" ref="B1:B1000">sort(Stats!C1:C1000,Stats!N1:N1000,false)</f>
        <v>GP</v>
      </c>
      <c r="C1" s="19" t="str">
        <f t="array" ref="C1:E1000">sort(Stats!L1:N1000,Stats!N1:N1000,false)</f>
        <v>M TU</v>
      </c>
      <c r="D1" s="19" t="s">
        <v>64</v>
      </c>
      <c r="E1" s="3" t="s">
        <v>65</v>
      </c>
    </row>
    <row r="2">
      <c r="A2" s="3" t="s">
        <v>23</v>
      </c>
      <c r="B2" s="19">
        <v>9.0</v>
      </c>
      <c r="C2" s="19">
        <v>20.0</v>
      </c>
      <c r="D2" s="19">
        <v>0.0</v>
      </c>
      <c r="E2" s="20">
        <v>8.88888888888889</v>
      </c>
    </row>
    <row r="3">
      <c r="A3" s="3" t="s">
        <v>29</v>
      </c>
      <c r="B3" s="19">
        <v>8.0</v>
      </c>
      <c r="C3" s="19">
        <v>10.0</v>
      </c>
      <c r="D3" s="19">
        <v>0.0</v>
      </c>
      <c r="E3" s="3">
        <v>5.0</v>
      </c>
    </row>
    <row r="4">
      <c r="A4" s="3" t="s">
        <v>42</v>
      </c>
      <c r="B4" s="19">
        <v>8.0</v>
      </c>
      <c r="C4" s="19">
        <v>10.0</v>
      </c>
      <c r="D4" s="19">
        <v>0.0</v>
      </c>
      <c r="E4" s="3">
        <v>5.0</v>
      </c>
    </row>
    <row r="5">
      <c r="A5" s="3" t="s">
        <v>15</v>
      </c>
      <c r="B5" s="19">
        <v>9.0</v>
      </c>
      <c r="C5" s="19">
        <v>11.0</v>
      </c>
      <c r="D5" s="19">
        <v>1.0</v>
      </c>
      <c r="E5" s="20">
        <v>4.444444444444445</v>
      </c>
    </row>
    <row r="6">
      <c r="A6" s="3" t="s">
        <v>28</v>
      </c>
      <c r="B6" s="19">
        <v>8.0</v>
      </c>
      <c r="C6" s="19">
        <v>10.0</v>
      </c>
      <c r="D6" s="19">
        <v>2.0</v>
      </c>
      <c r="E6" s="3">
        <v>4.0</v>
      </c>
    </row>
    <row r="7">
      <c r="A7" s="3" t="s">
        <v>22</v>
      </c>
      <c r="B7" s="19">
        <v>7.0</v>
      </c>
      <c r="C7" s="19">
        <v>7.0</v>
      </c>
      <c r="D7" s="19">
        <v>1.0</v>
      </c>
      <c r="E7" s="20">
        <v>3.4285714285714284</v>
      </c>
    </row>
    <row r="8">
      <c r="A8" s="3" t="s">
        <v>39</v>
      </c>
      <c r="B8" s="19">
        <v>6.0</v>
      </c>
      <c r="C8" s="19">
        <v>5.0</v>
      </c>
      <c r="D8" s="19">
        <v>0.0</v>
      </c>
      <c r="E8" s="20">
        <v>3.3333333333333335</v>
      </c>
    </row>
    <row r="9">
      <c r="A9" s="3" t="s">
        <v>11</v>
      </c>
      <c r="B9" s="19">
        <v>6.0</v>
      </c>
      <c r="C9" s="19">
        <v>4.0</v>
      </c>
      <c r="D9" s="19">
        <v>0.0</v>
      </c>
      <c r="E9" s="20">
        <v>2.6666666666666665</v>
      </c>
    </row>
    <row r="10">
      <c r="A10" s="3" t="s">
        <v>36</v>
      </c>
      <c r="B10" s="19">
        <v>8.0</v>
      </c>
      <c r="C10" s="19">
        <v>6.0</v>
      </c>
      <c r="D10" s="19">
        <v>1.0</v>
      </c>
      <c r="E10" s="3">
        <v>2.5</v>
      </c>
    </row>
    <row r="11">
      <c r="A11" s="3" t="s">
        <v>41</v>
      </c>
      <c r="B11" s="19">
        <v>6.0</v>
      </c>
      <c r="C11" s="19">
        <v>4.0</v>
      </c>
      <c r="D11" s="19">
        <v>1.0</v>
      </c>
      <c r="E11" s="3">
        <v>2.0</v>
      </c>
    </row>
    <row r="12">
      <c r="A12" s="3" t="s">
        <v>16</v>
      </c>
      <c r="B12" s="19">
        <v>9.0</v>
      </c>
      <c r="C12" s="19">
        <v>3.0</v>
      </c>
      <c r="D12" s="19">
        <v>0.0</v>
      </c>
      <c r="E12" s="20">
        <v>1.3333333333333333</v>
      </c>
    </row>
    <row r="13">
      <c r="A13" s="3" t="s">
        <v>35</v>
      </c>
      <c r="B13" s="19">
        <v>8.0</v>
      </c>
      <c r="C13" s="19">
        <v>3.0</v>
      </c>
      <c r="D13" s="19">
        <v>1.0</v>
      </c>
      <c r="E13" s="3">
        <v>1.0</v>
      </c>
    </row>
    <row r="14">
      <c r="A14" s="3" t="s">
        <v>24</v>
      </c>
      <c r="B14" s="19">
        <v>9.0</v>
      </c>
      <c r="C14" s="19">
        <v>2.0</v>
      </c>
      <c r="D14" s="19">
        <v>0.0</v>
      </c>
      <c r="E14" s="20">
        <v>0.8888888888888888</v>
      </c>
    </row>
    <row r="15">
      <c r="A15" s="3" t="s">
        <v>38</v>
      </c>
      <c r="B15" s="19">
        <v>6.0</v>
      </c>
      <c r="C15" s="19">
        <v>1.0</v>
      </c>
      <c r="D15" s="19">
        <v>0.0</v>
      </c>
      <c r="E15" s="20">
        <v>0.6666666666666666</v>
      </c>
    </row>
    <row r="16">
      <c r="A16" s="3" t="s">
        <v>12</v>
      </c>
      <c r="B16" s="19">
        <v>6.0</v>
      </c>
      <c r="C16" s="19">
        <v>1.0</v>
      </c>
      <c r="D16" s="19">
        <v>0.0</v>
      </c>
      <c r="E16" s="20">
        <v>0.6666666666666666</v>
      </c>
    </row>
    <row r="17">
      <c r="A17" s="3" t="s">
        <v>45</v>
      </c>
      <c r="B17" s="19">
        <v>8.0</v>
      </c>
      <c r="C17" s="19">
        <v>1.0</v>
      </c>
      <c r="D17" s="19">
        <v>0.0</v>
      </c>
      <c r="E17" s="3">
        <v>0.5</v>
      </c>
    </row>
    <row r="18">
      <c r="A18" s="3" t="s">
        <v>13</v>
      </c>
      <c r="B18" s="19">
        <v>8.0</v>
      </c>
      <c r="C18" s="19">
        <v>2.0</v>
      </c>
      <c r="D18" s="19">
        <v>1.0</v>
      </c>
      <c r="E18" s="3">
        <v>0.5</v>
      </c>
    </row>
    <row r="19">
      <c r="A19" s="3" t="s">
        <v>17</v>
      </c>
      <c r="B19" s="19">
        <v>9.0</v>
      </c>
      <c r="C19" s="19">
        <v>1.0</v>
      </c>
      <c r="D19" s="19">
        <v>0.0</v>
      </c>
      <c r="E19" s="20">
        <v>0.4444444444444444</v>
      </c>
    </row>
    <row r="20">
      <c r="A20" s="3" t="s">
        <v>25</v>
      </c>
      <c r="B20" s="19">
        <v>9.0</v>
      </c>
      <c r="C20" s="19">
        <v>0.0</v>
      </c>
      <c r="D20" s="19">
        <v>0.0</v>
      </c>
      <c r="E20" s="3">
        <v>0.0</v>
      </c>
    </row>
    <row r="21">
      <c r="A21" s="3" t="s">
        <v>19</v>
      </c>
      <c r="B21" s="19">
        <v>8.0</v>
      </c>
      <c r="C21" s="19">
        <v>0.0</v>
      </c>
      <c r="D21" s="19">
        <v>0.0</v>
      </c>
      <c r="E21" s="3">
        <v>0.0</v>
      </c>
    </row>
    <row r="22">
      <c r="A22" s="3" t="s">
        <v>30</v>
      </c>
      <c r="B22" s="19">
        <v>8.0</v>
      </c>
      <c r="C22" s="19">
        <v>0.0</v>
      </c>
      <c r="D22" s="19">
        <v>0.0</v>
      </c>
      <c r="E22" s="3">
        <v>0.0</v>
      </c>
    </row>
    <row r="23">
      <c r="A23" s="3" t="s">
        <v>13</v>
      </c>
      <c r="B23" s="19">
        <v>6.0</v>
      </c>
      <c r="C23" s="19">
        <v>0.0</v>
      </c>
      <c r="D23" s="19">
        <v>0.0</v>
      </c>
      <c r="E23" s="3">
        <v>0.0</v>
      </c>
    </row>
    <row r="24">
      <c r="A24" s="3" t="s">
        <v>40</v>
      </c>
      <c r="B24" s="19">
        <v>6.0</v>
      </c>
      <c r="C24" s="19">
        <v>0.0</v>
      </c>
      <c r="D24" s="19">
        <v>0.0</v>
      </c>
      <c r="E24" s="3">
        <v>0.0</v>
      </c>
    </row>
    <row r="25">
      <c r="A25" s="3" t="s">
        <v>33</v>
      </c>
      <c r="B25" s="19">
        <v>8.0</v>
      </c>
      <c r="C25" s="19">
        <v>0.0</v>
      </c>
      <c r="D25" s="19">
        <v>0.0</v>
      </c>
      <c r="E25" s="3">
        <v>0.0</v>
      </c>
    </row>
    <row r="26">
      <c r="A26" s="3" t="s">
        <v>34</v>
      </c>
      <c r="B26" s="19">
        <v>8.0</v>
      </c>
      <c r="C26" s="19">
        <v>0.0</v>
      </c>
      <c r="D26" s="19">
        <v>0.0</v>
      </c>
      <c r="E26" s="3">
        <v>0.0</v>
      </c>
    </row>
    <row r="27">
      <c r="A27" s="3" t="s">
        <v>44</v>
      </c>
      <c r="B27" s="19">
        <v>8.0</v>
      </c>
      <c r="C27" s="19">
        <v>0.0</v>
      </c>
      <c r="D27" s="19">
        <v>0.0</v>
      </c>
      <c r="E27" s="3">
        <v>0.0</v>
      </c>
    </row>
    <row r="28">
      <c r="A28" s="3" t="s">
        <v>37</v>
      </c>
      <c r="B28" s="19">
        <v>8.0</v>
      </c>
      <c r="C28" s="19">
        <v>0.0</v>
      </c>
      <c r="D28" s="19">
        <v>0.0</v>
      </c>
      <c r="E28" s="3">
        <v>0.0</v>
      </c>
    </row>
    <row r="29">
      <c r="A29" s="3" t="s">
        <v>14</v>
      </c>
      <c r="B29" s="19">
        <v>6.0</v>
      </c>
      <c r="C29" s="19">
        <v>0.0</v>
      </c>
      <c r="D29" s="19">
        <v>0.0</v>
      </c>
      <c r="E29" s="3">
        <v>0.0</v>
      </c>
    </row>
    <row r="30">
      <c r="A30" s="3" t="s">
        <v>43</v>
      </c>
      <c r="B30" s="19">
        <v>8.0</v>
      </c>
      <c r="C30" s="19">
        <v>0.0</v>
      </c>
      <c r="D30" s="19">
        <v>0.0</v>
      </c>
      <c r="E30" s="3">
        <v>0.0</v>
      </c>
    </row>
    <row r="31">
      <c r="A31" s="3" t="s">
        <v>31</v>
      </c>
      <c r="B31" s="19">
        <v>8.0</v>
      </c>
      <c r="C31" s="19">
        <v>0.0</v>
      </c>
      <c r="D31" s="19">
        <v>0.0</v>
      </c>
      <c r="E31" s="3">
        <v>0.0</v>
      </c>
    </row>
    <row r="32">
      <c r="A32" s="3" t="s">
        <v>10</v>
      </c>
      <c r="B32" s="19">
        <v>6.0</v>
      </c>
      <c r="C32" s="19">
        <v>0.0</v>
      </c>
      <c r="D32" s="19">
        <v>0.0</v>
      </c>
      <c r="E32" s="3">
        <v>0.0</v>
      </c>
    </row>
    <row r="33">
      <c r="A33" s="3" t="s">
        <v>32</v>
      </c>
      <c r="B33" s="19">
        <v>8.0</v>
      </c>
      <c r="C33" s="19">
        <v>0.0</v>
      </c>
      <c r="D33" s="19">
        <v>0.0</v>
      </c>
      <c r="E33" s="3">
        <v>0.0</v>
      </c>
    </row>
    <row r="34">
      <c r="A34" s="3" t="s">
        <v>27</v>
      </c>
      <c r="B34" s="19">
        <v>9.0</v>
      </c>
      <c r="C34" s="19">
        <v>0.0</v>
      </c>
      <c r="D34" s="19">
        <v>0.0</v>
      </c>
      <c r="E34" s="3">
        <v>0.0</v>
      </c>
    </row>
    <row r="35">
      <c r="A35" s="3" t="s">
        <v>20</v>
      </c>
      <c r="B35" s="19">
        <v>8.0</v>
      </c>
      <c r="C35" s="19">
        <v>0.0</v>
      </c>
      <c r="D35" s="19">
        <v>0.0</v>
      </c>
      <c r="E35" s="3">
        <v>0.0</v>
      </c>
    </row>
    <row r="36">
      <c r="A36" s="3" t="s">
        <v>18</v>
      </c>
      <c r="B36" s="19">
        <v>9.0</v>
      </c>
      <c r="C36" s="19">
        <v>0.0</v>
      </c>
      <c r="D36" s="19">
        <v>1.0</v>
      </c>
      <c r="E36" s="20">
        <v>-0.4444444444444444</v>
      </c>
    </row>
    <row r="37">
      <c r="A37" s="3" t="s">
        <v>26</v>
      </c>
      <c r="B37" s="19">
        <v>9.0</v>
      </c>
      <c r="C37" s="19">
        <v>0.0</v>
      </c>
      <c r="D37" s="19">
        <v>1.0</v>
      </c>
      <c r="E37" s="20">
        <v>-0.4444444444444444</v>
      </c>
    </row>
    <row r="38">
      <c r="A38" s="3"/>
      <c r="B38" s="19"/>
      <c r="C38" s="19"/>
      <c r="D38" s="19"/>
      <c r="E38" s="3"/>
    </row>
    <row r="39">
      <c r="A39" s="3"/>
      <c r="B39" s="19"/>
      <c r="C39" s="19"/>
      <c r="D39" s="19"/>
      <c r="E39" s="3"/>
    </row>
    <row r="40">
      <c r="A40" s="3"/>
      <c r="B40" s="19"/>
      <c r="C40" s="19"/>
      <c r="D40" s="19"/>
      <c r="E40" s="3"/>
    </row>
    <row r="41">
      <c r="A41" s="3"/>
      <c r="B41" s="19"/>
      <c r="C41" s="19"/>
      <c r="D41" s="19"/>
      <c r="E41" s="3"/>
    </row>
    <row r="42">
      <c r="A42" s="3"/>
      <c r="B42" s="19"/>
      <c r="C42" s="19"/>
      <c r="D42" s="19"/>
      <c r="E42" s="3"/>
    </row>
    <row r="43">
      <c r="A43" s="3"/>
      <c r="B43" s="19"/>
      <c r="C43" s="19"/>
      <c r="D43" s="19"/>
      <c r="E43" s="3"/>
    </row>
    <row r="44">
      <c r="A44" s="3"/>
      <c r="B44" s="19"/>
      <c r="C44" s="19"/>
      <c r="D44" s="19"/>
      <c r="E44" s="3"/>
    </row>
    <row r="45">
      <c r="A45" s="3"/>
      <c r="B45" s="19"/>
      <c r="C45" s="19"/>
      <c r="D45" s="19"/>
      <c r="E45" s="3"/>
    </row>
    <row r="46">
      <c r="A46" s="3"/>
      <c r="B46" s="19"/>
      <c r="C46" s="19"/>
      <c r="D46" s="19"/>
      <c r="E46" s="3"/>
    </row>
    <row r="47">
      <c r="A47" s="3"/>
      <c r="B47" s="19"/>
      <c r="C47" s="19"/>
      <c r="D47" s="19"/>
      <c r="E47" s="3"/>
    </row>
    <row r="48">
      <c r="A48" s="3"/>
      <c r="B48" s="19"/>
      <c r="C48" s="19"/>
      <c r="D48" s="19"/>
      <c r="E48" s="3"/>
    </row>
    <row r="49">
      <c r="A49" s="3"/>
      <c r="B49" s="19"/>
      <c r="C49" s="19"/>
      <c r="D49" s="19"/>
      <c r="E49" s="3"/>
    </row>
    <row r="50">
      <c r="A50" s="3"/>
      <c r="B50" s="19"/>
      <c r="C50" s="19"/>
      <c r="D50" s="19"/>
      <c r="E50" s="3"/>
    </row>
    <row r="51">
      <c r="A51" s="3"/>
      <c r="B51" s="19"/>
      <c r="C51" s="19"/>
      <c r="D51" s="19"/>
      <c r="E51" s="3"/>
    </row>
    <row r="52">
      <c r="A52" s="3"/>
      <c r="B52" s="19"/>
      <c r="C52" s="19"/>
      <c r="D52" s="19"/>
      <c r="E52" s="3"/>
    </row>
    <row r="53">
      <c r="A53" s="3"/>
      <c r="B53" s="19"/>
      <c r="C53" s="19"/>
      <c r="D53" s="19"/>
      <c r="E53" s="3"/>
    </row>
    <row r="54">
      <c r="A54" s="3"/>
      <c r="B54" s="19"/>
      <c r="C54" s="19"/>
      <c r="D54" s="19"/>
      <c r="E54" s="3"/>
    </row>
    <row r="55">
      <c r="A55" s="3"/>
      <c r="B55" s="19"/>
      <c r="C55" s="19"/>
      <c r="D55" s="19"/>
      <c r="E55" s="3"/>
    </row>
    <row r="56">
      <c r="A56" s="3"/>
      <c r="B56" s="19"/>
      <c r="C56" s="19"/>
      <c r="D56" s="19"/>
      <c r="E56" s="3"/>
    </row>
    <row r="57">
      <c r="A57" s="3"/>
      <c r="B57" s="19"/>
      <c r="C57" s="19"/>
      <c r="D57" s="19"/>
      <c r="E57" s="3"/>
    </row>
    <row r="58">
      <c r="A58" s="3"/>
      <c r="B58" s="19"/>
      <c r="C58" s="19"/>
      <c r="D58" s="19"/>
      <c r="E58" s="3"/>
    </row>
    <row r="59">
      <c r="A59" s="3"/>
      <c r="B59" s="19"/>
      <c r="C59" s="19"/>
      <c r="D59" s="19"/>
      <c r="E59" s="3"/>
    </row>
    <row r="60">
      <c r="A60" s="3"/>
      <c r="B60" s="19"/>
      <c r="C60" s="19"/>
      <c r="D60" s="19"/>
      <c r="E60" s="3"/>
    </row>
    <row r="61">
      <c r="A61" s="3"/>
      <c r="B61" s="19"/>
      <c r="C61" s="19"/>
      <c r="D61" s="19"/>
      <c r="E61" s="3"/>
    </row>
    <row r="62">
      <c r="A62" s="3"/>
      <c r="B62" s="19"/>
      <c r="C62" s="19"/>
      <c r="D62" s="19"/>
      <c r="E62" s="3"/>
    </row>
    <row r="63">
      <c r="A63" s="3"/>
      <c r="B63" s="19"/>
      <c r="C63" s="19"/>
      <c r="D63" s="19"/>
      <c r="E63" s="3"/>
    </row>
    <row r="64">
      <c r="A64" s="3"/>
      <c r="B64" s="19"/>
      <c r="C64" s="19"/>
      <c r="D64" s="19"/>
      <c r="E64" s="3"/>
    </row>
    <row r="65">
      <c r="A65" s="3"/>
      <c r="B65" s="19"/>
      <c r="C65" s="19"/>
      <c r="D65" s="19"/>
      <c r="E65" s="3"/>
    </row>
    <row r="66">
      <c r="A66" s="3"/>
      <c r="B66" s="19"/>
      <c r="C66" s="19"/>
      <c r="D66" s="19"/>
      <c r="E66" s="3"/>
    </row>
    <row r="67">
      <c r="A67" s="3"/>
      <c r="B67" s="19"/>
      <c r="C67" s="19"/>
      <c r="D67" s="19"/>
      <c r="E67" s="3"/>
    </row>
    <row r="68">
      <c r="A68" s="3"/>
      <c r="B68" s="19"/>
      <c r="C68" s="19"/>
      <c r="D68" s="19"/>
      <c r="E68" s="3"/>
    </row>
    <row r="69">
      <c r="A69" s="3"/>
      <c r="B69" s="19"/>
      <c r="C69" s="19"/>
      <c r="D69" s="19"/>
      <c r="E69" s="3"/>
    </row>
    <row r="70">
      <c r="A70" s="3"/>
      <c r="B70" s="19"/>
      <c r="C70" s="19"/>
      <c r="D70" s="19"/>
      <c r="E70" s="3"/>
    </row>
    <row r="71">
      <c r="A71" s="3"/>
      <c r="B71" s="19"/>
      <c r="C71" s="19"/>
      <c r="D71" s="19"/>
      <c r="E71" s="3"/>
    </row>
    <row r="72">
      <c r="A72" s="3"/>
      <c r="B72" s="19"/>
      <c r="C72" s="19"/>
      <c r="D72" s="19"/>
      <c r="E72" s="3"/>
    </row>
    <row r="73">
      <c r="A73" s="3"/>
      <c r="B73" s="19"/>
      <c r="C73" s="19"/>
      <c r="D73" s="19"/>
      <c r="E73" s="3"/>
    </row>
    <row r="74">
      <c r="A74" s="3"/>
      <c r="B74" s="19"/>
      <c r="C74" s="19"/>
      <c r="D74" s="19"/>
      <c r="E74" s="3"/>
    </row>
    <row r="75">
      <c r="A75" s="3"/>
      <c r="B75" s="19"/>
      <c r="C75" s="19"/>
      <c r="D75" s="19"/>
      <c r="E75" s="3"/>
    </row>
    <row r="76">
      <c r="A76" s="3"/>
      <c r="B76" s="19"/>
      <c r="C76" s="19"/>
      <c r="D76" s="19"/>
      <c r="E76" s="3"/>
    </row>
    <row r="77">
      <c r="A77" s="3"/>
      <c r="B77" s="19"/>
      <c r="C77" s="19"/>
      <c r="D77" s="19"/>
      <c r="E77" s="3"/>
    </row>
    <row r="78">
      <c r="A78" s="3"/>
      <c r="B78" s="19"/>
      <c r="C78" s="19"/>
      <c r="D78" s="19"/>
      <c r="E78" s="3"/>
    </row>
    <row r="79">
      <c r="A79" s="3"/>
      <c r="B79" s="19"/>
      <c r="C79" s="19"/>
      <c r="D79" s="19"/>
      <c r="E79" s="3"/>
    </row>
    <row r="80">
      <c r="A80" s="3"/>
      <c r="B80" s="19"/>
      <c r="C80" s="19"/>
      <c r="D80" s="19"/>
      <c r="E80" s="3"/>
    </row>
    <row r="81">
      <c r="A81" s="3"/>
      <c r="B81" s="19"/>
      <c r="C81" s="19"/>
      <c r="D81" s="19"/>
      <c r="E81" s="3"/>
    </row>
    <row r="82">
      <c r="A82" s="3"/>
      <c r="B82" s="19"/>
      <c r="C82" s="19"/>
      <c r="D82" s="19"/>
      <c r="E82" s="3"/>
    </row>
    <row r="83">
      <c r="A83" s="3"/>
      <c r="B83" s="19"/>
      <c r="C83" s="19"/>
      <c r="D83" s="19"/>
      <c r="E83" s="3"/>
    </row>
    <row r="84">
      <c r="A84" s="3"/>
      <c r="B84" s="19"/>
      <c r="C84" s="19"/>
      <c r="D84" s="19"/>
      <c r="E84" s="3"/>
    </row>
    <row r="85">
      <c r="A85" s="3"/>
      <c r="B85" s="19"/>
      <c r="C85" s="19"/>
      <c r="D85" s="19"/>
      <c r="E85" s="3"/>
    </row>
    <row r="86">
      <c r="A86" s="3"/>
      <c r="B86" s="19"/>
      <c r="C86" s="19"/>
      <c r="D86" s="19"/>
      <c r="E86" s="3"/>
    </row>
    <row r="87">
      <c r="A87" s="3"/>
      <c r="B87" s="19"/>
      <c r="C87" s="19"/>
      <c r="D87" s="19"/>
      <c r="E87" s="3"/>
    </row>
    <row r="88">
      <c r="A88" s="3"/>
      <c r="B88" s="19"/>
      <c r="C88" s="19"/>
      <c r="D88" s="19"/>
      <c r="E88" s="3"/>
    </row>
    <row r="89">
      <c r="A89" s="3"/>
      <c r="B89" s="19"/>
      <c r="C89" s="19"/>
      <c r="D89" s="19"/>
      <c r="E89" s="3"/>
    </row>
    <row r="90">
      <c r="A90" s="3"/>
      <c r="B90" s="19"/>
      <c r="C90" s="19"/>
      <c r="D90" s="19"/>
      <c r="E90" s="3"/>
    </row>
    <row r="91">
      <c r="A91" s="3"/>
      <c r="B91" s="19"/>
      <c r="C91" s="19"/>
      <c r="D91" s="19"/>
      <c r="E91" s="3"/>
    </row>
    <row r="92">
      <c r="A92" s="3"/>
      <c r="B92" s="19"/>
      <c r="C92" s="19"/>
      <c r="D92" s="19"/>
      <c r="E92" s="3"/>
    </row>
    <row r="93">
      <c r="A93" s="3"/>
      <c r="B93" s="19"/>
      <c r="C93" s="19"/>
      <c r="D93" s="19"/>
      <c r="E93" s="3"/>
    </row>
    <row r="94">
      <c r="A94" s="3"/>
      <c r="B94" s="19"/>
      <c r="C94" s="19"/>
      <c r="D94" s="19"/>
      <c r="E94" s="3"/>
    </row>
    <row r="95">
      <c r="A95" s="3"/>
      <c r="B95" s="19"/>
      <c r="C95" s="19"/>
      <c r="D95" s="19"/>
      <c r="E95" s="3"/>
    </row>
    <row r="96">
      <c r="A96" s="3"/>
      <c r="B96" s="19"/>
      <c r="C96" s="19"/>
      <c r="D96" s="19"/>
      <c r="E96" s="3"/>
    </row>
    <row r="97">
      <c r="A97" s="3"/>
      <c r="B97" s="19"/>
      <c r="C97" s="19"/>
      <c r="D97" s="19"/>
      <c r="E97" s="3"/>
    </row>
    <row r="98">
      <c r="A98" s="3"/>
      <c r="B98" s="19"/>
      <c r="C98" s="19"/>
      <c r="D98" s="19"/>
      <c r="E98" s="3"/>
    </row>
    <row r="99">
      <c r="A99" s="3"/>
      <c r="B99" s="19"/>
      <c r="C99" s="19"/>
      <c r="D99" s="19"/>
      <c r="E99" s="3"/>
    </row>
    <row r="100">
      <c r="A100" s="3"/>
      <c r="B100" s="19"/>
      <c r="C100" s="19"/>
      <c r="D100" s="19"/>
      <c r="E100" s="3"/>
    </row>
    <row r="101">
      <c r="A101" s="3"/>
      <c r="B101" s="19"/>
      <c r="C101" s="19"/>
      <c r="D101" s="19"/>
      <c r="E101" s="3"/>
    </row>
    <row r="102">
      <c r="A102" s="3"/>
      <c r="B102" s="19"/>
      <c r="C102" s="19"/>
      <c r="D102" s="19"/>
      <c r="E102" s="3"/>
    </row>
    <row r="103">
      <c r="A103" s="3"/>
      <c r="B103" s="19"/>
      <c r="C103" s="19"/>
      <c r="D103" s="19"/>
      <c r="E103" s="3"/>
    </row>
    <row r="104">
      <c r="A104" s="3"/>
      <c r="B104" s="19"/>
      <c r="C104" s="19"/>
      <c r="D104" s="19"/>
      <c r="E104" s="3"/>
    </row>
    <row r="105">
      <c r="A105" s="3"/>
      <c r="B105" s="19"/>
      <c r="C105" s="19"/>
      <c r="D105" s="19"/>
      <c r="E105" s="3"/>
    </row>
    <row r="106">
      <c r="A106" s="3"/>
      <c r="B106" s="19"/>
      <c r="C106" s="19"/>
      <c r="D106" s="19"/>
      <c r="E106" s="3"/>
    </row>
    <row r="107">
      <c r="A107" s="3"/>
      <c r="B107" s="19"/>
      <c r="C107" s="19"/>
      <c r="D107" s="19"/>
      <c r="E107" s="3"/>
    </row>
    <row r="108">
      <c r="A108" s="3"/>
      <c r="B108" s="19"/>
      <c r="C108" s="19"/>
      <c r="D108" s="19"/>
      <c r="E108" s="3"/>
    </row>
    <row r="109">
      <c r="A109" s="3"/>
      <c r="B109" s="19"/>
      <c r="C109" s="19"/>
      <c r="D109" s="19"/>
      <c r="E109" s="3"/>
    </row>
    <row r="110">
      <c r="A110" s="3"/>
      <c r="B110" s="19"/>
      <c r="C110" s="19"/>
      <c r="D110" s="19"/>
      <c r="E110" s="3"/>
    </row>
    <row r="111">
      <c r="A111" s="3"/>
      <c r="B111" s="19"/>
      <c r="C111" s="19"/>
      <c r="D111" s="19"/>
      <c r="E111" s="3"/>
    </row>
    <row r="112">
      <c r="A112" s="3"/>
      <c r="B112" s="19"/>
      <c r="C112" s="19"/>
      <c r="D112" s="19"/>
      <c r="E112" s="3"/>
    </row>
    <row r="113">
      <c r="A113" s="3"/>
      <c r="B113" s="19"/>
      <c r="C113" s="19"/>
      <c r="D113" s="19"/>
      <c r="E113" s="3"/>
    </row>
    <row r="114">
      <c r="A114" s="3"/>
      <c r="B114" s="19"/>
      <c r="C114" s="19"/>
      <c r="D114" s="19"/>
      <c r="E114" s="3"/>
    </row>
    <row r="115">
      <c r="A115" s="3"/>
      <c r="B115" s="19"/>
      <c r="C115" s="19"/>
      <c r="D115" s="19"/>
      <c r="E115" s="3"/>
    </row>
    <row r="116">
      <c r="A116" s="3"/>
      <c r="B116" s="19"/>
      <c r="C116" s="19"/>
      <c r="D116" s="19"/>
      <c r="E116" s="3"/>
    </row>
    <row r="117">
      <c r="A117" s="3"/>
      <c r="B117" s="19"/>
      <c r="C117" s="19"/>
      <c r="D117" s="19"/>
      <c r="E117" s="3"/>
    </row>
    <row r="118">
      <c r="A118" s="3"/>
      <c r="B118" s="19"/>
      <c r="C118" s="19"/>
      <c r="D118" s="19"/>
      <c r="E118" s="3"/>
    </row>
    <row r="119">
      <c r="A119" s="3"/>
      <c r="B119" s="19"/>
      <c r="C119" s="19"/>
      <c r="D119" s="19"/>
      <c r="E119" s="3"/>
    </row>
    <row r="120">
      <c r="A120" s="3"/>
      <c r="B120" s="19"/>
      <c r="C120" s="19"/>
      <c r="D120" s="19"/>
      <c r="E120" s="3"/>
    </row>
    <row r="121">
      <c r="A121" s="3"/>
      <c r="B121" s="19"/>
      <c r="C121" s="19"/>
      <c r="D121" s="19"/>
      <c r="E121" s="3"/>
    </row>
    <row r="122">
      <c r="A122" s="3"/>
      <c r="B122" s="19"/>
      <c r="C122" s="19"/>
      <c r="D122" s="19"/>
      <c r="E122" s="3"/>
    </row>
    <row r="123">
      <c r="A123" s="3"/>
      <c r="B123" s="19"/>
      <c r="C123" s="19"/>
      <c r="D123" s="19"/>
      <c r="E123" s="3"/>
    </row>
    <row r="124">
      <c r="A124" s="3"/>
      <c r="B124" s="19"/>
      <c r="C124" s="19"/>
      <c r="D124" s="19"/>
      <c r="E124" s="3"/>
    </row>
    <row r="125">
      <c r="A125" s="3"/>
      <c r="B125" s="19"/>
      <c r="C125" s="19"/>
      <c r="D125" s="19"/>
      <c r="E125" s="3"/>
    </row>
    <row r="126">
      <c r="A126" s="3"/>
      <c r="B126" s="19"/>
      <c r="C126" s="19"/>
      <c r="D126" s="19"/>
      <c r="E126" s="3"/>
    </row>
    <row r="127">
      <c r="A127" s="3"/>
      <c r="B127" s="19"/>
      <c r="C127" s="19"/>
      <c r="D127" s="19"/>
      <c r="E127" s="3"/>
    </row>
    <row r="128">
      <c r="A128" s="3"/>
      <c r="B128" s="19"/>
      <c r="C128" s="19"/>
      <c r="D128" s="19"/>
      <c r="E128" s="3"/>
    </row>
    <row r="129">
      <c r="A129" s="3"/>
      <c r="B129" s="19"/>
      <c r="C129" s="19"/>
      <c r="D129" s="19"/>
      <c r="E129" s="3"/>
    </row>
    <row r="130">
      <c r="A130" s="3"/>
      <c r="B130" s="19"/>
      <c r="C130" s="19"/>
      <c r="D130" s="19"/>
      <c r="E130" s="3"/>
    </row>
    <row r="131">
      <c r="A131" s="3"/>
      <c r="B131" s="19"/>
      <c r="C131" s="19"/>
      <c r="D131" s="19"/>
      <c r="E131" s="3"/>
    </row>
    <row r="132">
      <c r="A132" s="3"/>
      <c r="B132" s="19"/>
      <c r="C132" s="19"/>
      <c r="D132" s="19"/>
      <c r="E132" s="3"/>
    </row>
    <row r="133">
      <c r="A133" s="3"/>
      <c r="B133" s="19"/>
      <c r="C133" s="19"/>
      <c r="D133" s="19"/>
      <c r="E133" s="3"/>
    </row>
    <row r="134">
      <c r="A134" s="3"/>
      <c r="B134" s="19"/>
      <c r="C134" s="19"/>
      <c r="D134" s="19"/>
      <c r="E134" s="3"/>
    </row>
    <row r="135">
      <c r="A135" s="3"/>
      <c r="B135" s="19"/>
      <c r="C135" s="19"/>
      <c r="D135" s="19"/>
      <c r="E135" s="3"/>
    </row>
    <row r="136">
      <c r="A136" s="3"/>
      <c r="B136" s="19"/>
      <c r="C136" s="19"/>
      <c r="D136" s="19"/>
      <c r="E136" s="3"/>
    </row>
    <row r="137">
      <c r="A137" s="3"/>
      <c r="B137" s="19"/>
      <c r="C137" s="19"/>
      <c r="D137" s="19"/>
      <c r="E137" s="3"/>
    </row>
    <row r="138">
      <c r="A138" s="3"/>
      <c r="B138" s="19"/>
      <c r="C138" s="19"/>
      <c r="D138" s="19"/>
      <c r="E138" s="3"/>
    </row>
    <row r="139">
      <c r="A139" s="3"/>
      <c r="B139" s="19"/>
      <c r="C139" s="19"/>
      <c r="D139" s="19"/>
      <c r="E139" s="3"/>
    </row>
    <row r="140">
      <c r="A140" s="3"/>
      <c r="B140" s="19"/>
      <c r="C140" s="19"/>
      <c r="D140" s="19"/>
      <c r="E140" s="3"/>
    </row>
    <row r="141">
      <c r="A141" s="3"/>
      <c r="B141" s="19"/>
      <c r="C141" s="19"/>
      <c r="D141" s="19"/>
      <c r="E141" s="3"/>
    </row>
    <row r="142">
      <c r="A142" s="3"/>
      <c r="B142" s="19"/>
      <c r="C142" s="19"/>
      <c r="D142" s="19"/>
      <c r="E142" s="3"/>
    </row>
    <row r="143">
      <c r="A143" s="3"/>
      <c r="B143" s="19"/>
      <c r="C143" s="19"/>
      <c r="D143" s="19"/>
      <c r="E143" s="3"/>
    </row>
    <row r="144">
      <c r="A144" s="3"/>
      <c r="B144" s="19"/>
      <c r="C144" s="19"/>
      <c r="D144" s="19"/>
      <c r="E144" s="3"/>
    </row>
    <row r="145">
      <c r="A145" s="3"/>
      <c r="B145" s="19"/>
      <c r="C145" s="19"/>
      <c r="D145" s="19"/>
      <c r="E145" s="3"/>
    </row>
    <row r="146">
      <c r="A146" s="3"/>
      <c r="B146" s="19"/>
      <c r="C146" s="19"/>
      <c r="D146" s="19"/>
      <c r="E146" s="3"/>
    </row>
    <row r="147">
      <c r="A147" s="3"/>
      <c r="B147" s="19"/>
      <c r="C147" s="19"/>
      <c r="D147" s="19"/>
      <c r="E147" s="3"/>
    </row>
    <row r="148">
      <c r="A148" s="3"/>
      <c r="B148" s="19"/>
      <c r="C148" s="19"/>
      <c r="D148" s="19"/>
      <c r="E148" s="3"/>
    </row>
    <row r="149">
      <c r="A149" s="3"/>
      <c r="B149" s="19"/>
      <c r="C149" s="19"/>
      <c r="D149" s="19"/>
      <c r="E149" s="3"/>
    </row>
    <row r="150">
      <c r="A150" s="3"/>
      <c r="B150" s="19"/>
      <c r="C150" s="19"/>
      <c r="D150" s="19"/>
      <c r="E150" s="3"/>
    </row>
    <row r="151">
      <c r="A151" s="3"/>
      <c r="B151" s="19"/>
      <c r="C151" s="19"/>
      <c r="D151" s="19"/>
      <c r="E151" s="3"/>
    </row>
    <row r="152">
      <c r="A152" s="3"/>
      <c r="B152" s="19"/>
      <c r="C152" s="19"/>
      <c r="D152" s="19"/>
      <c r="E152" s="3"/>
    </row>
    <row r="153">
      <c r="A153" s="3"/>
      <c r="B153" s="19"/>
      <c r="C153" s="19"/>
      <c r="D153" s="19"/>
      <c r="E153" s="3"/>
    </row>
    <row r="154">
      <c r="A154" s="3"/>
      <c r="B154" s="19"/>
      <c r="C154" s="19"/>
      <c r="D154" s="19"/>
      <c r="E154" s="3"/>
    </row>
    <row r="155">
      <c r="A155" s="3"/>
      <c r="B155" s="19"/>
      <c r="C155" s="19"/>
      <c r="D155" s="19"/>
      <c r="E155" s="3"/>
    </row>
    <row r="156">
      <c r="A156" s="3"/>
      <c r="B156" s="19"/>
      <c r="C156" s="19"/>
      <c r="D156" s="19"/>
      <c r="E156" s="3"/>
    </row>
    <row r="157">
      <c r="A157" s="3"/>
      <c r="B157" s="19"/>
      <c r="C157" s="19"/>
      <c r="D157" s="19"/>
      <c r="E157" s="3"/>
    </row>
    <row r="158">
      <c r="A158" s="3"/>
      <c r="B158" s="19"/>
      <c r="C158" s="19"/>
      <c r="D158" s="19"/>
      <c r="E158" s="3"/>
    </row>
    <row r="159">
      <c r="A159" s="3"/>
      <c r="B159" s="19"/>
      <c r="C159" s="19"/>
      <c r="D159" s="19"/>
      <c r="E159" s="3"/>
    </row>
    <row r="160">
      <c r="A160" s="3"/>
      <c r="B160" s="19"/>
      <c r="C160" s="19"/>
      <c r="D160" s="19"/>
      <c r="E160" s="3"/>
    </row>
    <row r="161">
      <c r="A161" s="3"/>
      <c r="B161" s="19"/>
      <c r="C161" s="19"/>
      <c r="D161" s="19"/>
      <c r="E161" s="3"/>
    </row>
    <row r="162">
      <c r="A162" s="3"/>
      <c r="B162" s="19"/>
      <c r="C162" s="19"/>
      <c r="D162" s="19"/>
      <c r="E162" s="3"/>
    </row>
    <row r="163">
      <c r="A163" s="3"/>
      <c r="B163" s="19"/>
      <c r="C163" s="19"/>
      <c r="D163" s="19"/>
      <c r="E163" s="3"/>
    </row>
    <row r="164">
      <c r="A164" s="3"/>
      <c r="B164" s="19"/>
      <c r="C164" s="19"/>
      <c r="D164" s="19"/>
      <c r="E164" s="3"/>
    </row>
    <row r="165">
      <c r="A165" s="3"/>
      <c r="B165" s="19"/>
      <c r="C165" s="19"/>
      <c r="D165" s="19"/>
      <c r="E165" s="3"/>
    </row>
    <row r="166">
      <c r="A166" s="3"/>
      <c r="B166" s="19"/>
      <c r="C166" s="19"/>
      <c r="D166" s="19"/>
      <c r="E166" s="3"/>
    </row>
    <row r="167">
      <c r="A167" s="3"/>
      <c r="B167" s="19"/>
      <c r="C167" s="19"/>
      <c r="D167" s="19"/>
      <c r="E167" s="3"/>
    </row>
    <row r="168">
      <c r="A168" s="3"/>
      <c r="B168" s="19"/>
      <c r="C168" s="19"/>
      <c r="D168" s="19"/>
      <c r="E168" s="3"/>
    </row>
    <row r="169">
      <c r="A169" s="3"/>
      <c r="B169" s="19"/>
      <c r="C169" s="19"/>
      <c r="D169" s="19"/>
      <c r="E169" s="3"/>
    </row>
    <row r="170">
      <c r="A170" s="3"/>
      <c r="B170" s="19"/>
      <c r="C170" s="19"/>
      <c r="D170" s="19"/>
      <c r="E170" s="3"/>
    </row>
    <row r="171">
      <c r="A171" s="3"/>
      <c r="B171" s="19"/>
      <c r="C171" s="19"/>
      <c r="D171" s="19"/>
      <c r="E171" s="3"/>
    </row>
    <row r="172">
      <c r="A172" s="3"/>
      <c r="B172" s="19"/>
      <c r="C172" s="19"/>
      <c r="D172" s="19"/>
      <c r="E172" s="3"/>
    </row>
    <row r="173">
      <c r="A173" s="3"/>
      <c r="B173" s="19"/>
      <c r="C173" s="19"/>
      <c r="D173" s="19"/>
      <c r="E173" s="3"/>
    </row>
    <row r="174">
      <c r="A174" s="3"/>
      <c r="B174" s="19"/>
      <c r="C174" s="19"/>
      <c r="D174" s="19"/>
      <c r="E174" s="3"/>
    </row>
    <row r="175">
      <c r="A175" s="3"/>
      <c r="B175" s="19"/>
      <c r="C175" s="19"/>
      <c r="D175" s="19"/>
      <c r="E175" s="3"/>
    </row>
    <row r="176">
      <c r="A176" s="3"/>
      <c r="B176" s="19"/>
      <c r="C176" s="19"/>
      <c r="D176" s="19"/>
      <c r="E176" s="3"/>
    </row>
    <row r="177">
      <c r="A177" s="3"/>
      <c r="B177" s="19"/>
      <c r="C177" s="19"/>
      <c r="D177" s="19"/>
      <c r="E177" s="3"/>
    </row>
    <row r="178">
      <c r="A178" s="3"/>
      <c r="B178" s="19"/>
      <c r="C178" s="19"/>
      <c r="D178" s="19"/>
      <c r="E178" s="3"/>
    </row>
    <row r="179">
      <c r="A179" s="3"/>
      <c r="B179" s="19"/>
      <c r="C179" s="19"/>
      <c r="D179" s="19"/>
      <c r="E179" s="3"/>
    </row>
    <row r="180">
      <c r="A180" s="3"/>
      <c r="B180" s="19"/>
      <c r="C180" s="19"/>
      <c r="D180" s="19"/>
      <c r="E180" s="3"/>
    </row>
    <row r="181">
      <c r="A181" s="3"/>
      <c r="B181" s="19"/>
      <c r="C181" s="19"/>
      <c r="D181" s="19"/>
      <c r="E181" s="3"/>
    </row>
    <row r="182">
      <c r="A182" s="3"/>
      <c r="B182" s="19"/>
      <c r="C182" s="19"/>
      <c r="D182" s="19"/>
      <c r="E182" s="3"/>
    </row>
    <row r="183">
      <c r="A183" s="3"/>
      <c r="B183" s="19"/>
      <c r="C183" s="19"/>
      <c r="D183" s="19"/>
      <c r="E183" s="3"/>
    </row>
    <row r="184">
      <c r="A184" s="3"/>
      <c r="B184" s="19"/>
      <c r="C184" s="19"/>
      <c r="D184" s="19"/>
      <c r="E184" s="3"/>
    </row>
    <row r="185">
      <c r="A185" s="3"/>
      <c r="B185" s="19"/>
      <c r="C185" s="19"/>
      <c r="D185" s="19"/>
      <c r="E185" s="3"/>
    </row>
    <row r="186">
      <c r="A186" s="3"/>
      <c r="B186" s="19"/>
      <c r="C186" s="19"/>
      <c r="D186" s="19"/>
      <c r="E186" s="3"/>
    </row>
    <row r="187">
      <c r="A187" s="3"/>
      <c r="B187" s="19"/>
      <c r="C187" s="19"/>
      <c r="D187" s="19"/>
      <c r="E187" s="3"/>
    </row>
    <row r="188">
      <c r="A188" s="3"/>
      <c r="B188" s="19"/>
      <c r="C188" s="19"/>
      <c r="D188" s="19"/>
      <c r="E188" s="3"/>
    </row>
    <row r="189">
      <c r="A189" s="3"/>
      <c r="B189" s="19"/>
      <c r="C189" s="19"/>
      <c r="D189" s="19"/>
      <c r="E189" s="3"/>
    </row>
    <row r="190">
      <c r="A190" s="3"/>
      <c r="B190" s="19"/>
      <c r="C190" s="19"/>
      <c r="D190" s="19"/>
      <c r="E190" s="3"/>
    </row>
    <row r="191">
      <c r="A191" s="3"/>
      <c r="B191" s="19"/>
      <c r="C191" s="19"/>
      <c r="D191" s="19"/>
      <c r="E191" s="3"/>
    </row>
    <row r="192">
      <c r="A192" s="3"/>
      <c r="B192" s="19"/>
      <c r="C192" s="19"/>
      <c r="D192" s="19"/>
      <c r="E192" s="3"/>
    </row>
    <row r="193">
      <c r="A193" s="3"/>
      <c r="B193" s="19"/>
      <c r="C193" s="19"/>
      <c r="D193" s="19"/>
      <c r="E193" s="3"/>
    </row>
    <row r="194">
      <c r="A194" s="3"/>
      <c r="B194" s="19"/>
      <c r="C194" s="19"/>
      <c r="D194" s="19"/>
      <c r="E194" s="3"/>
    </row>
    <row r="195">
      <c r="A195" s="3"/>
      <c r="B195" s="19"/>
      <c r="C195" s="19"/>
      <c r="D195" s="19"/>
      <c r="E195" s="3"/>
    </row>
    <row r="196">
      <c r="A196" s="3"/>
      <c r="B196" s="19"/>
      <c r="C196" s="19"/>
      <c r="D196" s="19"/>
      <c r="E196" s="3"/>
    </row>
    <row r="197">
      <c r="A197" s="3"/>
      <c r="B197" s="19"/>
      <c r="C197" s="19"/>
      <c r="D197" s="19"/>
      <c r="E197" s="3"/>
    </row>
    <row r="198">
      <c r="A198" s="3"/>
      <c r="B198" s="19"/>
      <c r="C198" s="19"/>
      <c r="D198" s="19"/>
      <c r="E198" s="3"/>
    </row>
    <row r="199">
      <c r="A199" s="3"/>
      <c r="B199" s="19"/>
      <c r="C199" s="19"/>
      <c r="D199" s="19"/>
      <c r="E199" s="3"/>
    </row>
    <row r="200">
      <c r="A200" s="3"/>
      <c r="B200" s="19"/>
      <c r="C200" s="19"/>
      <c r="D200" s="19"/>
      <c r="E200" s="3"/>
    </row>
    <row r="201">
      <c r="A201" s="3"/>
      <c r="B201" s="19"/>
      <c r="C201" s="19"/>
      <c r="D201" s="19"/>
      <c r="E201" s="3"/>
    </row>
    <row r="202">
      <c r="A202" s="3"/>
      <c r="B202" s="19"/>
      <c r="C202" s="19"/>
      <c r="D202" s="19"/>
      <c r="E202" s="3"/>
    </row>
    <row r="203">
      <c r="A203" s="3"/>
      <c r="B203" s="19"/>
      <c r="C203" s="19"/>
      <c r="D203" s="19"/>
      <c r="E203" s="3"/>
    </row>
    <row r="204">
      <c r="A204" s="3"/>
      <c r="B204" s="19"/>
      <c r="C204" s="19"/>
      <c r="D204" s="19"/>
      <c r="E204" s="3"/>
    </row>
    <row r="205">
      <c r="A205" s="3"/>
      <c r="B205" s="19"/>
      <c r="C205" s="19"/>
      <c r="D205" s="19"/>
      <c r="E205" s="3"/>
    </row>
    <row r="206">
      <c r="A206" s="3"/>
      <c r="B206" s="19"/>
      <c r="C206" s="19"/>
      <c r="D206" s="19"/>
      <c r="E206" s="3"/>
    </row>
    <row r="207">
      <c r="A207" s="3"/>
      <c r="B207" s="19"/>
      <c r="C207" s="19"/>
      <c r="D207" s="19"/>
      <c r="E207" s="3"/>
    </row>
    <row r="208">
      <c r="A208" s="3"/>
      <c r="B208" s="19"/>
      <c r="C208" s="19"/>
      <c r="D208" s="19"/>
      <c r="E208" s="3"/>
    </row>
    <row r="209">
      <c r="A209" s="3"/>
      <c r="B209" s="19"/>
      <c r="C209" s="19"/>
      <c r="D209" s="19"/>
      <c r="E209" s="3"/>
    </row>
    <row r="210">
      <c r="A210" s="3"/>
      <c r="B210" s="19"/>
      <c r="C210" s="19"/>
      <c r="D210" s="19"/>
      <c r="E210" s="3"/>
    </row>
    <row r="211">
      <c r="A211" s="3"/>
      <c r="B211" s="19"/>
      <c r="C211" s="19"/>
      <c r="D211" s="19"/>
      <c r="E211" s="3"/>
    </row>
    <row r="212">
      <c r="A212" s="3"/>
      <c r="B212" s="19"/>
      <c r="C212" s="19"/>
      <c r="D212" s="19"/>
      <c r="E212" s="3"/>
    </row>
    <row r="213">
      <c r="A213" s="3"/>
      <c r="B213" s="19"/>
      <c r="C213" s="19"/>
      <c r="D213" s="19"/>
      <c r="E213" s="3"/>
    </row>
    <row r="214">
      <c r="A214" s="3"/>
      <c r="B214" s="19"/>
      <c r="C214" s="19"/>
      <c r="D214" s="19"/>
      <c r="E214" s="3"/>
    </row>
    <row r="215">
      <c r="A215" s="3"/>
      <c r="B215" s="19"/>
      <c r="C215" s="19"/>
      <c r="D215" s="19"/>
      <c r="E215" s="3"/>
    </row>
    <row r="216">
      <c r="A216" s="3"/>
      <c r="B216" s="19"/>
      <c r="C216" s="19"/>
      <c r="D216" s="19"/>
      <c r="E216" s="3"/>
    </row>
    <row r="217">
      <c r="A217" s="3"/>
      <c r="B217" s="19"/>
      <c r="C217" s="19"/>
      <c r="D217" s="19"/>
      <c r="E217" s="3"/>
    </row>
    <row r="218">
      <c r="A218" s="3"/>
      <c r="B218" s="19"/>
      <c r="C218" s="19"/>
      <c r="D218" s="19"/>
      <c r="E218" s="3"/>
    </row>
    <row r="219">
      <c r="A219" s="3"/>
      <c r="B219" s="19"/>
      <c r="C219" s="19"/>
      <c r="D219" s="19"/>
      <c r="E219" s="3"/>
    </row>
    <row r="220">
      <c r="A220" s="3"/>
      <c r="B220" s="19"/>
      <c r="C220" s="19"/>
      <c r="D220" s="19"/>
      <c r="E220" s="3"/>
    </row>
    <row r="221">
      <c r="A221" s="3"/>
      <c r="B221" s="19"/>
      <c r="C221" s="19"/>
      <c r="D221" s="19"/>
      <c r="E221" s="3"/>
    </row>
    <row r="222">
      <c r="A222" s="3"/>
      <c r="B222" s="19"/>
      <c r="C222" s="19"/>
      <c r="D222" s="19"/>
      <c r="E222" s="3"/>
    </row>
    <row r="223">
      <c r="A223" s="3"/>
      <c r="B223" s="19"/>
      <c r="C223" s="19"/>
      <c r="D223" s="19"/>
      <c r="E223" s="3"/>
    </row>
    <row r="224">
      <c r="A224" s="3"/>
      <c r="B224" s="19"/>
      <c r="C224" s="19"/>
      <c r="D224" s="19"/>
      <c r="E224" s="3"/>
    </row>
    <row r="225">
      <c r="A225" s="3"/>
      <c r="B225" s="19"/>
      <c r="C225" s="19"/>
      <c r="D225" s="19"/>
      <c r="E225" s="3"/>
    </row>
    <row r="226">
      <c r="A226" s="3"/>
      <c r="B226" s="19"/>
      <c r="C226" s="19"/>
      <c r="D226" s="19"/>
      <c r="E226" s="3"/>
    </row>
    <row r="227">
      <c r="A227" s="3"/>
      <c r="B227" s="19"/>
      <c r="C227" s="19"/>
      <c r="D227" s="19"/>
      <c r="E227" s="3"/>
    </row>
    <row r="228">
      <c r="A228" s="3"/>
      <c r="B228" s="19"/>
      <c r="C228" s="19"/>
      <c r="D228" s="19"/>
      <c r="E228" s="3"/>
    </row>
    <row r="229">
      <c r="A229" s="3"/>
      <c r="B229" s="19"/>
      <c r="C229" s="19"/>
      <c r="D229" s="19"/>
      <c r="E229" s="3"/>
    </row>
    <row r="230">
      <c r="A230" s="3"/>
      <c r="B230" s="19"/>
      <c r="C230" s="19"/>
      <c r="D230" s="19"/>
      <c r="E230" s="3"/>
    </row>
    <row r="231">
      <c r="A231" s="3"/>
      <c r="B231" s="19"/>
      <c r="C231" s="19"/>
      <c r="D231" s="19"/>
      <c r="E231" s="3"/>
    </row>
    <row r="232">
      <c r="A232" s="3"/>
      <c r="B232" s="19"/>
      <c r="C232" s="19"/>
      <c r="D232" s="19"/>
      <c r="E232" s="3"/>
    </row>
    <row r="233">
      <c r="A233" s="3"/>
      <c r="B233" s="19"/>
      <c r="C233" s="19"/>
      <c r="D233" s="19"/>
      <c r="E233" s="3"/>
    </row>
    <row r="234">
      <c r="A234" s="3"/>
      <c r="B234" s="19"/>
      <c r="C234" s="19"/>
      <c r="D234" s="19"/>
      <c r="E234" s="3"/>
    </row>
    <row r="235">
      <c r="A235" s="3"/>
      <c r="B235" s="19"/>
      <c r="C235" s="19"/>
      <c r="D235" s="19"/>
      <c r="E235" s="3"/>
    </row>
    <row r="236">
      <c r="A236" s="3"/>
      <c r="B236" s="19"/>
      <c r="C236" s="19"/>
      <c r="D236" s="19"/>
      <c r="E236" s="3"/>
    </row>
    <row r="237">
      <c r="A237" s="3"/>
      <c r="B237" s="19"/>
      <c r="C237" s="19"/>
      <c r="D237" s="19"/>
      <c r="E237" s="3"/>
    </row>
    <row r="238">
      <c r="A238" s="3"/>
      <c r="B238" s="19"/>
      <c r="C238" s="19"/>
      <c r="D238" s="19"/>
      <c r="E238" s="3"/>
    </row>
    <row r="239">
      <c r="A239" s="3"/>
      <c r="B239" s="19"/>
      <c r="C239" s="19"/>
      <c r="D239" s="19"/>
      <c r="E239" s="3"/>
    </row>
    <row r="240">
      <c r="A240" s="3"/>
      <c r="B240" s="19"/>
      <c r="C240" s="19"/>
      <c r="D240" s="19"/>
      <c r="E240" s="3"/>
    </row>
    <row r="241">
      <c r="A241" s="3"/>
      <c r="B241" s="19"/>
      <c r="C241" s="19"/>
      <c r="D241" s="19"/>
      <c r="E241" s="3"/>
    </row>
    <row r="242">
      <c r="A242" s="3"/>
      <c r="B242" s="19"/>
      <c r="C242" s="19"/>
      <c r="D242" s="19"/>
      <c r="E242" s="3"/>
    </row>
    <row r="243">
      <c r="A243" s="3"/>
      <c r="B243" s="19"/>
      <c r="C243" s="19"/>
      <c r="D243" s="19"/>
      <c r="E243" s="3"/>
    </row>
    <row r="244">
      <c r="A244" s="3"/>
      <c r="B244" s="19"/>
      <c r="C244" s="19"/>
      <c r="D244" s="19"/>
      <c r="E244" s="3"/>
    </row>
    <row r="245">
      <c r="A245" s="3"/>
      <c r="B245" s="19"/>
      <c r="C245" s="19"/>
      <c r="D245" s="19"/>
      <c r="E245" s="3"/>
    </row>
    <row r="246">
      <c r="A246" s="3"/>
      <c r="B246" s="19"/>
      <c r="C246" s="19"/>
      <c r="D246" s="19"/>
      <c r="E246" s="3"/>
    </row>
    <row r="247">
      <c r="A247" s="3"/>
      <c r="B247" s="19"/>
      <c r="C247" s="19"/>
      <c r="D247" s="19"/>
      <c r="E247" s="3"/>
    </row>
    <row r="248">
      <c r="A248" s="3"/>
      <c r="B248" s="19"/>
      <c r="C248" s="19"/>
      <c r="D248" s="19"/>
      <c r="E248" s="3"/>
    </row>
    <row r="249">
      <c r="A249" s="3"/>
      <c r="B249" s="19"/>
      <c r="C249" s="19"/>
      <c r="D249" s="19"/>
      <c r="E249" s="3"/>
    </row>
    <row r="250">
      <c r="A250" s="3"/>
      <c r="B250" s="19"/>
      <c r="C250" s="19"/>
      <c r="D250" s="19"/>
      <c r="E250" s="3"/>
    </row>
    <row r="251">
      <c r="A251" s="3"/>
      <c r="B251" s="19"/>
      <c r="C251" s="19"/>
      <c r="D251" s="19"/>
      <c r="E251" s="3"/>
    </row>
    <row r="252">
      <c r="A252" s="3"/>
      <c r="B252" s="19"/>
      <c r="C252" s="19"/>
      <c r="D252" s="19"/>
      <c r="E252" s="3"/>
    </row>
    <row r="253">
      <c r="A253" s="3"/>
      <c r="B253" s="19"/>
      <c r="C253" s="19"/>
      <c r="D253" s="19"/>
      <c r="E253" s="3"/>
    </row>
    <row r="254">
      <c r="A254" s="3"/>
      <c r="B254" s="19"/>
      <c r="C254" s="19"/>
      <c r="D254" s="19"/>
      <c r="E254" s="3"/>
    </row>
    <row r="255">
      <c r="A255" s="3"/>
      <c r="B255" s="19"/>
      <c r="C255" s="19"/>
      <c r="D255" s="19"/>
      <c r="E255" s="3"/>
    </row>
    <row r="256">
      <c r="A256" s="3"/>
      <c r="B256" s="19"/>
      <c r="C256" s="19"/>
      <c r="D256" s="19"/>
      <c r="E256" s="3"/>
    </row>
    <row r="257">
      <c r="A257" s="3"/>
      <c r="B257" s="19"/>
      <c r="C257" s="19"/>
      <c r="D257" s="19"/>
      <c r="E257" s="3"/>
    </row>
    <row r="258">
      <c r="A258" s="3"/>
      <c r="B258" s="19"/>
      <c r="C258" s="19"/>
      <c r="D258" s="19"/>
      <c r="E258" s="3"/>
    </row>
    <row r="259">
      <c r="A259" s="3"/>
      <c r="B259" s="19"/>
      <c r="C259" s="19"/>
      <c r="D259" s="19"/>
      <c r="E259" s="3"/>
    </row>
    <row r="260">
      <c r="A260" s="3"/>
      <c r="B260" s="19"/>
      <c r="C260" s="19"/>
      <c r="D260" s="19"/>
      <c r="E260" s="3"/>
    </row>
    <row r="261">
      <c r="A261" s="3"/>
      <c r="B261" s="19"/>
      <c r="C261" s="19"/>
      <c r="D261" s="19"/>
      <c r="E261" s="3"/>
    </row>
    <row r="262">
      <c r="A262" s="3"/>
      <c r="B262" s="19"/>
      <c r="C262" s="19"/>
      <c r="D262" s="19"/>
      <c r="E262" s="3"/>
    </row>
    <row r="263">
      <c r="A263" s="3"/>
      <c r="B263" s="19"/>
      <c r="C263" s="19"/>
      <c r="D263" s="19"/>
      <c r="E263" s="3"/>
    </row>
    <row r="264">
      <c r="A264" s="3"/>
      <c r="B264" s="19"/>
      <c r="C264" s="19"/>
      <c r="D264" s="19"/>
      <c r="E264" s="3"/>
    </row>
    <row r="265">
      <c r="A265" s="3"/>
      <c r="B265" s="19"/>
      <c r="C265" s="19"/>
      <c r="D265" s="19"/>
      <c r="E265" s="3"/>
    </row>
    <row r="266">
      <c r="A266" s="3"/>
      <c r="B266" s="19"/>
      <c r="C266" s="19"/>
      <c r="D266" s="19"/>
      <c r="E266" s="3"/>
    </row>
    <row r="267">
      <c r="A267" s="3"/>
      <c r="B267" s="19"/>
      <c r="C267" s="19"/>
      <c r="D267" s="19"/>
      <c r="E267" s="3"/>
    </row>
    <row r="268">
      <c r="A268" s="3"/>
      <c r="B268" s="19"/>
      <c r="C268" s="19"/>
      <c r="D268" s="19"/>
      <c r="E268" s="3"/>
    </row>
    <row r="269">
      <c r="A269" s="3"/>
      <c r="B269" s="19"/>
      <c r="C269" s="19"/>
      <c r="D269" s="19"/>
      <c r="E269" s="3"/>
    </row>
    <row r="270">
      <c r="A270" s="3"/>
      <c r="B270" s="19"/>
      <c r="C270" s="19"/>
      <c r="D270" s="19"/>
      <c r="E270" s="3"/>
    </row>
    <row r="271">
      <c r="A271" s="3"/>
      <c r="B271" s="19"/>
      <c r="C271" s="19"/>
      <c r="D271" s="19"/>
      <c r="E271" s="3"/>
    </row>
    <row r="272">
      <c r="A272" s="3"/>
      <c r="B272" s="19"/>
      <c r="C272" s="19"/>
      <c r="D272" s="19"/>
      <c r="E272" s="3"/>
    </row>
    <row r="273">
      <c r="A273" s="3"/>
      <c r="B273" s="19"/>
      <c r="C273" s="19"/>
      <c r="D273" s="19"/>
      <c r="E273" s="3"/>
    </row>
    <row r="274">
      <c r="A274" s="3"/>
      <c r="B274" s="19"/>
      <c r="C274" s="19"/>
      <c r="D274" s="19"/>
      <c r="E274" s="3"/>
    </row>
    <row r="275">
      <c r="A275" s="3"/>
      <c r="B275" s="19"/>
      <c r="C275" s="19"/>
      <c r="D275" s="19"/>
      <c r="E275" s="3"/>
    </row>
    <row r="276">
      <c r="A276" s="3"/>
      <c r="B276" s="19"/>
      <c r="C276" s="19"/>
      <c r="D276" s="19"/>
      <c r="E276" s="3"/>
    </row>
    <row r="277">
      <c r="A277" s="3"/>
      <c r="B277" s="19"/>
      <c r="C277" s="19"/>
      <c r="D277" s="19"/>
      <c r="E277" s="3"/>
    </row>
    <row r="278">
      <c r="A278" s="3"/>
      <c r="B278" s="19"/>
      <c r="C278" s="19"/>
      <c r="D278" s="19"/>
      <c r="E278" s="3"/>
    </row>
    <row r="279">
      <c r="A279" s="3"/>
      <c r="B279" s="19"/>
      <c r="C279" s="19"/>
      <c r="D279" s="19"/>
      <c r="E279" s="3"/>
    </row>
    <row r="280">
      <c r="A280" s="3"/>
      <c r="B280" s="19"/>
      <c r="C280" s="19"/>
      <c r="D280" s="19"/>
      <c r="E280" s="3"/>
    </row>
    <row r="281">
      <c r="A281" s="3"/>
      <c r="B281" s="19"/>
      <c r="C281" s="19"/>
      <c r="D281" s="19"/>
      <c r="E281" s="3"/>
    </row>
    <row r="282">
      <c r="A282" s="3"/>
      <c r="B282" s="19"/>
      <c r="C282" s="19"/>
      <c r="D282" s="19"/>
      <c r="E282" s="3"/>
    </row>
    <row r="283">
      <c r="A283" s="3"/>
      <c r="B283" s="19"/>
      <c r="C283" s="19"/>
      <c r="D283" s="19"/>
      <c r="E283" s="3"/>
    </row>
    <row r="284">
      <c r="A284" s="3"/>
      <c r="B284" s="19"/>
      <c r="C284" s="19"/>
      <c r="D284" s="19"/>
      <c r="E284" s="3"/>
    </row>
    <row r="285">
      <c r="A285" s="3"/>
      <c r="B285" s="19"/>
      <c r="C285" s="19"/>
      <c r="D285" s="19"/>
      <c r="E285" s="3"/>
    </row>
    <row r="286">
      <c r="A286" s="3"/>
      <c r="B286" s="19"/>
      <c r="C286" s="19"/>
      <c r="D286" s="19"/>
      <c r="E286" s="3"/>
    </row>
    <row r="287">
      <c r="A287" s="3"/>
      <c r="B287" s="19"/>
      <c r="C287" s="19"/>
      <c r="D287" s="19"/>
      <c r="E287" s="3"/>
    </row>
    <row r="288">
      <c r="A288" s="3"/>
      <c r="B288" s="19"/>
      <c r="C288" s="19"/>
      <c r="D288" s="19"/>
      <c r="E288" s="3"/>
    </row>
    <row r="289">
      <c r="A289" s="3"/>
      <c r="B289" s="19"/>
      <c r="C289" s="19"/>
      <c r="D289" s="19"/>
      <c r="E289" s="3"/>
    </row>
    <row r="290">
      <c r="A290" s="3"/>
      <c r="B290" s="19"/>
      <c r="C290" s="19"/>
      <c r="D290" s="19"/>
      <c r="E290" s="3"/>
    </row>
    <row r="291">
      <c r="A291" s="3"/>
      <c r="B291" s="19"/>
      <c r="C291" s="19"/>
      <c r="D291" s="19"/>
      <c r="E291" s="3"/>
    </row>
    <row r="292">
      <c r="A292" s="3"/>
      <c r="B292" s="19"/>
      <c r="C292" s="19"/>
      <c r="D292" s="19"/>
      <c r="E292" s="3"/>
    </row>
    <row r="293">
      <c r="A293" s="3"/>
      <c r="B293" s="19"/>
      <c r="C293" s="19"/>
      <c r="D293" s="19"/>
      <c r="E293" s="3"/>
    </row>
    <row r="294">
      <c r="A294" s="3"/>
      <c r="B294" s="19"/>
      <c r="C294" s="19"/>
      <c r="D294" s="19"/>
      <c r="E294" s="3"/>
    </row>
    <row r="295">
      <c r="A295" s="3"/>
      <c r="B295" s="19"/>
      <c r="C295" s="19"/>
      <c r="D295" s="19"/>
      <c r="E295" s="3"/>
    </row>
    <row r="296">
      <c r="A296" s="3"/>
      <c r="B296" s="19"/>
      <c r="C296" s="19"/>
      <c r="D296" s="19"/>
      <c r="E296" s="3"/>
    </row>
    <row r="297">
      <c r="A297" s="3"/>
      <c r="B297" s="19"/>
      <c r="C297" s="19"/>
      <c r="D297" s="19"/>
      <c r="E297" s="3"/>
    </row>
    <row r="298">
      <c r="A298" s="3"/>
      <c r="B298" s="19"/>
      <c r="C298" s="19"/>
      <c r="D298" s="19"/>
      <c r="E298" s="3"/>
    </row>
    <row r="299">
      <c r="A299" s="3"/>
      <c r="B299" s="19"/>
      <c r="C299" s="19"/>
      <c r="D299" s="19"/>
      <c r="E299" s="3"/>
    </row>
    <row r="300">
      <c r="A300" s="3"/>
      <c r="B300" s="19"/>
      <c r="C300" s="19"/>
      <c r="D300" s="19"/>
      <c r="E300" s="3"/>
    </row>
    <row r="301">
      <c r="A301" s="3"/>
      <c r="B301" s="19"/>
      <c r="C301" s="19"/>
      <c r="D301" s="19"/>
      <c r="E301" s="3"/>
    </row>
    <row r="302">
      <c r="A302" s="3"/>
      <c r="B302" s="19"/>
      <c r="C302" s="19"/>
      <c r="D302" s="19"/>
      <c r="E302" s="3"/>
    </row>
    <row r="303">
      <c r="A303" s="3"/>
      <c r="B303" s="19"/>
      <c r="C303" s="19"/>
      <c r="D303" s="19"/>
      <c r="E303" s="3"/>
    </row>
    <row r="304">
      <c r="A304" s="3"/>
      <c r="B304" s="19"/>
      <c r="C304" s="19"/>
      <c r="D304" s="19"/>
      <c r="E304" s="3"/>
    </row>
    <row r="305">
      <c r="A305" s="3"/>
      <c r="B305" s="19"/>
      <c r="C305" s="19"/>
      <c r="D305" s="19"/>
      <c r="E305" s="3"/>
    </row>
    <row r="306">
      <c r="A306" s="3"/>
      <c r="B306" s="19"/>
      <c r="C306" s="19"/>
      <c r="D306" s="19"/>
      <c r="E306" s="3"/>
    </row>
    <row r="307">
      <c r="A307" s="3"/>
      <c r="B307" s="19"/>
      <c r="C307" s="19"/>
      <c r="D307" s="19"/>
      <c r="E307" s="3"/>
    </row>
    <row r="308">
      <c r="A308" s="3"/>
      <c r="B308" s="19"/>
      <c r="C308" s="19"/>
      <c r="D308" s="19"/>
      <c r="E308" s="3"/>
    </row>
    <row r="309">
      <c r="A309" s="3"/>
      <c r="B309" s="19"/>
      <c r="C309" s="19"/>
      <c r="D309" s="19"/>
      <c r="E309" s="3"/>
    </row>
    <row r="310">
      <c r="A310" s="3"/>
      <c r="B310" s="19"/>
      <c r="C310" s="19"/>
      <c r="D310" s="19"/>
      <c r="E310" s="3"/>
    </row>
    <row r="311">
      <c r="A311" s="3"/>
      <c r="B311" s="19"/>
      <c r="C311" s="19"/>
      <c r="D311" s="19"/>
      <c r="E311" s="3"/>
    </row>
    <row r="312">
      <c r="A312" s="3"/>
      <c r="B312" s="19"/>
      <c r="C312" s="19"/>
      <c r="D312" s="19"/>
      <c r="E312" s="3"/>
    </row>
    <row r="313">
      <c r="A313" s="3"/>
      <c r="B313" s="19"/>
      <c r="C313" s="19"/>
      <c r="D313" s="19"/>
      <c r="E313" s="3"/>
    </row>
    <row r="314">
      <c r="A314" s="3"/>
      <c r="B314" s="19"/>
      <c r="C314" s="19"/>
      <c r="D314" s="19"/>
      <c r="E314" s="3"/>
    </row>
    <row r="315">
      <c r="A315" s="3"/>
      <c r="B315" s="19"/>
      <c r="C315" s="19"/>
      <c r="D315" s="19"/>
      <c r="E315" s="3"/>
    </row>
    <row r="316">
      <c r="A316" s="3"/>
      <c r="B316" s="19"/>
      <c r="C316" s="19"/>
      <c r="D316" s="19"/>
      <c r="E316" s="3"/>
    </row>
    <row r="317">
      <c r="A317" s="3"/>
      <c r="B317" s="19"/>
      <c r="C317" s="19"/>
      <c r="D317" s="19"/>
      <c r="E317" s="3"/>
    </row>
    <row r="318">
      <c r="A318" s="3"/>
      <c r="B318" s="19"/>
      <c r="C318" s="19"/>
      <c r="D318" s="19"/>
      <c r="E318" s="3"/>
    </row>
    <row r="319">
      <c r="A319" s="3"/>
      <c r="B319" s="19"/>
      <c r="C319" s="19"/>
      <c r="D319" s="19"/>
      <c r="E319" s="3"/>
    </row>
    <row r="320">
      <c r="A320" s="3"/>
      <c r="B320" s="19"/>
      <c r="C320" s="19"/>
      <c r="D320" s="19"/>
      <c r="E320" s="3"/>
    </row>
    <row r="321">
      <c r="A321" s="3"/>
      <c r="B321" s="19"/>
      <c r="C321" s="19"/>
      <c r="D321" s="19"/>
      <c r="E321" s="3"/>
    </row>
    <row r="322">
      <c r="A322" s="3"/>
      <c r="B322" s="19"/>
      <c r="C322" s="19"/>
      <c r="D322" s="19"/>
      <c r="E322" s="3"/>
    </row>
    <row r="323">
      <c r="A323" s="3"/>
      <c r="B323" s="19"/>
      <c r="C323" s="19"/>
      <c r="D323" s="19"/>
      <c r="E323" s="3"/>
    </row>
    <row r="324">
      <c r="A324" s="3"/>
      <c r="B324" s="19"/>
      <c r="C324" s="19"/>
      <c r="D324" s="19"/>
      <c r="E324" s="3"/>
    </row>
    <row r="325">
      <c r="A325" s="3"/>
      <c r="B325" s="19"/>
      <c r="C325" s="19"/>
      <c r="D325" s="19"/>
      <c r="E325" s="3"/>
    </row>
    <row r="326">
      <c r="A326" s="3"/>
      <c r="B326" s="19"/>
      <c r="C326" s="19"/>
      <c r="D326" s="19"/>
      <c r="E326" s="3"/>
    </row>
    <row r="327">
      <c r="A327" s="3"/>
      <c r="B327" s="19"/>
      <c r="C327" s="19"/>
      <c r="D327" s="19"/>
      <c r="E327" s="3"/>
    </row>
    <row r="328">
      <c r="A328" s="3"/>
      <c r="B328" s="19"/>
      <c r="C328" s="19"/>
      <c r="D328" s="19"/>
      <c r="E328" s="3"/>
    </row>
    <row r="329">
      <c r="A329" s="3"/>
      <c r="B329" s="19"/>
      <c r="C329" s="19"/>
      <c r="D329" s="19"/>
      <c r="E329" s="3"/>
    </row>
    <row r="330">
      <c r="A330" s="3"/>
      <c r="B330" s="19"/>
      <c r="C330" s="19"/>
      <c r="D330" s="19"/>
      <c r="E330" s="3"/>
    </row>
    <row r="331">
      <c r="A331" s="3"/>
      <c r="B331" s="19"/>
      <c r="C331" s="19"/>
      <c r="D331" s="19"/>
      <c r="E331" s="3"/>
    </row>
    <row r="332">
      <c r="A332" s="3"/>
      <c r="B332" s="19"/>
      <c r="C332" s="19"/>
      <c r="D332" s="19"/>
      <c r="E332" s="3"/>
    </row>
    <row r="333">
      <c r="A333" s="3"/>
      <c r="B333" s="19"/>
      <c r="C333" s="19"/>
      <c r="D333" s="19"/>
      <c r="E333" s="3"/>
    </row>
    <row r="334">
      <c r="A334" s="3"/>
      <c r="B334" s="19"/>
      <c r="C334" s="19"/>
      <c r="D334" s="19"/>
      <c r="E334" s="3"/>
    </row>
    <row r="335">
      <c r="A335" s="3"/>
      <c r="B335" s="19"/>
      <c r="C335" s="19"/>
      <c r="D335" s="19"/>
      <c r="E335" s="3"/>
    </row>
    <row r="336">
      <c r="A336" s="3"/>
      <c r="B336" s="19"/>
      <c r="C336" s="19"/>
      <c r="D336" s="19"/>
      <c r="E336" s="3"/>
    </row>
    <row r="337">
      <c r="A337" s="3"/>
      <c r="B337" s="19"/>
      <c r="C337" s="19"/>
      <c r="D337" s="19"/>
      <c r="E337" s="3"/>
    </row>
    <row r="338">
      <c r="A338" s="3"/>
      <c r="B338" s="19"/>
      <c r="C338" s="19"/>
      <c r="D338" s="19"/>
      <c r="E338" s="3"/>
    </row>
    <row r="339">
      <c r="A339" s="3"/>
      <c r="B339" s="19"/>
      <c r="C339" s="19"/>
      <c r="D339" s="19"/>
      <c r="E339" s="3"/>
    </row>
    <row r="340">
      <c r="A340" s="3"/>
      <c r="B340" s="19"/>
      <c r="C340" s="19"/>
      <c r="D340" s="19"/>
      <c r="E340" s="3"/>
    </row>
    <row r="341">
      <c r="A341" s="3"/>
      <c r="B341" s="19"/>
      <c r="C341" s="19"/>
      <c r="D341" s="19"/>
      <c r="E341" s="3"/>
    </row>
    <row r="342">
      <c r="A342" s="3"/>
      <c r="B342" s="19"/>
      <c r="C342" s="19"/>
      <c r="D342" s="19"/>
      <c r="E342" s="3"/>
    </row>
    <row r="343">
      <c r="A343" s="3"/>
      <c r="B343" s="19"/>
      <c r="C343" s="19"/>
      <c r="D343" s="19"/>
      <c r="E343" s="3"/>
    </row>
    <row r="344">
      <c r="A344" s="3"/>
      <c r="B344" s="19"/>
      <c r="C344" s="19"/>
      <c r="D344" s="19"/>
      <c r="E344" s="3"/>
    </row>
    <row r="345">
      <c r="A345" s="3"/>
      <c r="B345" s="19"/>
      <c r="C345" s="19"/>
      <c r="D345" s="19"/>
      <c r="E345" s="3"/>
    </row>
    <row r="346">
      <c r="A346" s="3"/>
      <c r="B346" s="19"/>
      <c r="C346" s="19"/>
      <c r="D346" s="19"/>
      <c r="E346" s="3"/>
    </row>
    <row r="347">
      <c r="A347" s="3"/>
      <c r="B347" s="19"/>
      <c r="C347" s="19"/>
      <c r="D347" s="19"/>
      <c r="E347" s="3"/>
    </row>
    <row r="348">
      <c r="A348" s="3"/>
      <c r="B348" s="19"/>
      <c r="C348" s="19"/>
      <c r="D348" s="19"/>
      <c r="E348" s="3"/>
    </row>
    <row r="349">
      <c r="A349" s="3"/>
      <c r="B349" s="19"/>
      <c r="C349" s="19"/>
      <c r="D349" s="19"/>
      <c r="E349" s="3"/>
    </row>
    <row r="350">
      <c r="A350" s="3"/>
      <c r="B350" s="19"/>
      <c r="C350" s="19"/>
      <c r="D350" s="19"/>
      <c r="E350" s="3"/>
    </row>
    <row r="351">
      <c r="A351" s="3"/>
      <c r="B351" s="19"/>
      <c r="C351" s="19"/>
      <c r="D351" s="19"/>
      <c r="E351" s="3"/>
    </row>
    <row r="352">
      <c r="A352" s="3"/>
      <c r="B352" s="19"/>
      <c r="C352" s="19"/>
      <c r="D352" s="19"/>
      <c r="E352" s="3"/>
    </row>
    <row r="353">
      <c r="A353" s="3"/>
      <c r="B353" s="19"/>
      <c r="C353" s="19"/>
      <c r="D353" s="19"/>
      <c r="E353" s="3"/>
    </row>
    <row r="354">
      <c r="A354" s="3"/>
      <c r="B354" s="19"/>
      <c r="C354" s="19"/>
      <c r="D354" s="19"/>
      <c r="E354" s="3"/>
    </row>
    <row r="355">
      <c r="A355" s="3"/>
      <c r="B355" s="19"/>
      <c r="C355" s="19"/>
      <c r="D355" s="19"/>
      <c r="E355" s="3"/>
    </row>
    <row r="356">
      <c r="A356" s="3"/>
      <c r="B356" s="19"/>
      <c r="C356" s="19"/>
      <c r="D356" s="19"/>
      <c r="E356" s="3"/>
    </row>
    <row r="357">
      <c r="A357" s="3"/>
      <c r="B357" s="19"/>
      <c r="C357" s="19"/>
      <c r="D357" s="19"/>
      <c r="E357" s="3"/>
    </row>
    <row r="358">
      <c r="A358" s="3"/>
      <c r="B358" s="19"/>
      <c r="C358" s="19"/>
      <c r="D358" s="19"/>
      <c r="E358" s="3"/>
    </row>
    <row r="359">
      <c r="A359" s="3"/>
      <c r="B359" s="19"/>
      <c r="C359" s="19"/>
      <c r="D359" s="19"/>
      <c r="E359" s="3"/>
    </row>
    <row r="360">
      <c r="A360" s="3"/>
      <c r="B360" s="19"/>
      <c r="C360" s="19"/>
      <c r="D360" s="19"/>
      <c r="E360" s="3"/>
    </row>
    <row r="361">
      <c r="A361" s="3"/>
      <c r="B361" s="19"/>
      <c r="C361" s="19"/>
      <c r="D361" s="19"/>
      <c r="E361" s="3"/>
    </row>
    <row r="362">
      <c r="A362" s="3"/>
      <c r="B362" s="19"/>
      <c r="C362" s="19"/>
      <c r="D362" s="19"/>
      <c r="E362" s="3"/>
    </row>
    <row r="363">
      <c r="A363" s="3"/>
      <c r="B363" s="19"/>
      <c r="C363" s="19"/>
      <c r="D363" s="19"/>
      <c r="E363" s="3"/>
    </row>
    <row r="364">
      <c r="A364" s="3"/>
      <c r="B364" s="19"/>
      <c r="C364" s="19"/>
      <c r="D364" s="19"/>
      <c r="E364" s="3"/>
    </row>
    <row r="365">
      <c r="A365" s="3"/>
      <c r="B365" s="19"/>
      <c r="C365" s="19"/>
      <c r="D365" s="19"/>
      <c r="E365" s="3"/>
    </row>
    <row r="366">
      <c r="A366" s="3"/>
      <c r="B366" s="19"/>
      <c r="C366" s="19"/>
      <c r="D366" s="19"/>
      <c r="E366" s="3"/>
    </row>
    <row r="367">
      <c r="A367" s="3"/>
      <c r="B367" s="19"/>
      <c r="C367" s="19"/>
      <c r="D367" s="19"/>
      <c r="E367" s="3"/>
    </row>
    <row r="368">
      <c r="A368" s="3"/>
      <c r="B368" s="19"/>
      <c r="C368" s="19"/>
      <c r="D368" s="19"/>
      <c r="E368" s="3"/>
    </row>
    <row r="369">
      <c r="A369" s="3"/>
      <c r="B369" s="19"/>
      <c r="C369" s="19"/>
      <c r="D369" s="19"/>
      <c r="E369" s="3"/>
    </row>
    <row r="370">
      <c r="A370" s="3"/>
      <c r="B370" s="19"/>
      <c r="C370" s="19"/>
      <c r="D370" s="19"/>
      <c r="E370" s="3"/>
    </row>
    <row r="371">
      <c r="A371" s="3"/>
      <c r="B371" s="19"/>
      <c r="C371" s="19"/>
      <c r="D371" s="19"/>
      <c r="E371" s="3"/>
    </row>
    <row r="372">
      <c r="A372" s="3"/>
      <c r="B372" s="19"/>
      <c r="C372" s="19"/>
      <c r="D372" s="19"/>
      <c r="E372" s="3"/>
    </row>
    <row r="373">
      <c r="A373" s="3"/>
      <c r="B373" s="19"/>
      <c r="C373" s="19"/>
      <c r="D373" s="19"/>
      <c r="E373" s="3"/>
    </row>
    <row r="374">
      <c r="A374" s="3"/>
      <c r="B374" s="19"/>
      <c r="C374" s="19"/>
      <c r="D374" s="19"/>
      <c r="E374" s="3"/>
    </row>
    <row r="375">
      <c r="A375" s="3"/>
      <c r="B375" s="19"/>
      <c r="C375" s="19"/>
      <c r="D375" s="19"/>
      <c r="E375" s="3"/>
    </row>
    <row r="376">
      <c r="A376" s="3"/>
      <c r="B376" s="19"/>
      <c r="C376" s="19"/>
      <c r="D376" s="19"/>
      <c r="E376" s="3"/>
    </row>
    <row r="377">
      <c r="A377" s="3"/>
      <c r="B377" s="19"/>
      <c r="C377" s="19"/>
      <c r="D377" s="19"/>
      <c r="E377" s="3"/>
    </row>
    <row r="378">
      <c r="A378" s="3"/>
      <c r="B378" s="19"/>
      <c r="C378" s="19"/>
      <c r="D378" s="19"/>
      <c r="E378" s="3"/>
    </row>
    <row r="379">
      <c r="A379" s="3"/>
      <c r="B379" s="19"/>
      <c r="C379" s="19"/>
      <c r="D379" s="19"/>
      <c r="E379" s="3"/>
    </row>
    <row r="380">
      <c r="A380" s="3"/>
      <c r="B380" s="19"/>
      <c r="C380" s="19"/>
      <c r="D380" s="19"/>
      <c r="E380" s="3"/>
    </row>
    <row r="381">
      <c r="A381" s="3"/>
      <c r="B381" s="19"/>
      <c r="C381" s="19"/>
      <c r="D381" s="19"/>
      <c r="E381" s="3"/>
    </row>
    <row r="382">
      <c r="A382" s="3"/>
      <c r="B382" s="19"/>
      <c r="C382" s="19"/>
      <c r="D382" s="19"/>
      <c r="E382" s="3"/>
    </row>
    <row r="383">
      <c r="A383" s="3"/>
      <c r="B383" s="19"/>
      <c r="C383" s="19"/>
      <c r="D383" s="19"/>
      <c r="E383" s="3"/>
    </row>
    <row r="384">
      <c r="A384" s="3"/>
      <c r="B384" s="19"/>
      <c r="C384" s="19"/>
      <c r="D384" s="19"/>
      <c r="E384" s="3"/>
    </row>
    <row r="385">
      <c r="A385" s="3"/>
      <c r="B385" s="19"/>
      <c r="C385" s="19"/>
      <c r="D385" s="19"/>
      <c r="E385" s="3"/>
    </row>
    <row r="386">
      <c r="A386" s="3"/>
      <c r="B386" s="19"/>
      <c r="C386" s="19"/>
      <c r="D386" s="19"/>
      <c r="E386" s="3"/>
    </row>
    <row r="387">
      <c r="A387" s="3"/>
      <c r="B387" s="19"/>
      <c r="C387" s="19"/>
      <c r="D387" s="19"/>
      <c r="E387" s="3"/>
    </row>
    <row r="388">
      <c r="A388" s="3"/>
      <c r="B388" s="19"/>
      <c r="C388" s="19"/>
      <c r="D388" s="19"/>
      <c r="E388" s="3"/>
    </row>
    <row r="389">
      <c r="A389" s="3"/>
      <c r="B389" s="19"/>
      <c r="C389" s="19"/>
      <c r="D389" s="19"/>
      <c r="E389" s="3"/>
    </row>
    <row r="390">
      <c r="A390" s="3"/>
      <c r="B390" s="19"/>
      <c r="C390" s="19"/>
      <c r="D390" s="19"/>
      <c r="E390" s="3"/>
    </row>
    <row r="391">
      <c r="A391" s="3"/>
      <c r="B391" s="19"/>
      <c r="C391" s="19"/>
      <c r="D391" s="19"/>
      <c r="E391" s="3"/>
    </row>
    <row r="392">
      <c r="A392" s="3"/>
      <c r="B392" s="19"/>
      <c r="C392" s="19"/>
      <c r="D392" s="19"/>
      <c r="E392" s="3"/>
    </row>
    <row r="393">
      <c r="A393" s="3"/>
      <c r="B393" s="19"/>
      <c r="C393" s="19"/>
      <c r="D393" s="19"/>
      <c r="E393" s="3"/>
    </row>
    <row r="394">
      <c r="A394" s="3"/>
      <c r="B394" s="19"/>
      <c r="C394" s="19"/>
      <c r="D394" s="19"/>
      <c r="E394" s="3"/>
    </row>
    <row r="395">
      <c r="A395" s="3"/>
      <c r="B395" s="19"/>
      <c r="C395" s="19"/>
      <c r="D395" s="19"/>
      <c r="E395" s="3"/>
    </row>
    <row r="396">
      <c r="A396" s="3"/>
      <c r="B396" s="19"/>
      <c r="C396" s="19"/>
      <c r="D396" s="19"/>
      <c r="E396" s="3"/>
    </row>
    <row r="397">
      <c r="A397" s="3"/>
      <c r="B397" s="19"/>
      <c r="C397" s="19"/>
      <c r="D397" s="19"/>
      <c r="E397" s="3"/>
    </row>
    <row r="398">
      <c r="A398" s="3"/>
      <c r="B398" s="19"/>
      <c r="C398" s="19"/>
      <c r="D398" s="19"/>
      <c r="E398" s="3"/>
    </row>
    <row r="399">
      <c r="A399" s="3"/>
      <c r="B399" s="19"/>
      <c r="C399" s="19"/>
      <c r="D399" s="19"/>
      <c r="E399" s="3"/>
    </row>
    <row r="400">
      <c r="A400" s="3"/>
      <c r="B400" s="19"/>
      <c r="C400" s="19"/>
      <c r="D400" s="19"/>
      <c r="E400" s="3"/>
    </row>
    <row r="401">
      <c r="A401" s="3"/>
      <c r="B401" s="19"/>
      <c r="C401" s="19"/>
      <c r="D401" s="19"/>
      <c r="E401" s="3"/>
    </row>
    <row r="402">
      <c r="A402" s="3"/>
      <c r="B402" s="19"/>
      <c r="C402" s="19"/>
      <c r="D402" s="19"/>
      <c r="E402" s="3"/>
    </row>
    <row r="403">
      <c r="A403" s="3"/>
      <c r="B403" s="19"/>
      <c r="C403" s="19"/>
      <c r="D403" s="19"/>
      <c r="E403" s="3"/>
    </row>
    <row r="404">
      <c r="A404" s="3"/>
      <c r="B404" s="19"/>
      <c r="C404" s="19"/>
      <c r="D404" s="19"/>
      <c r="E404" s="3"/>
    </row>
    <row r="405">
      <c r="A405" s="3"/>
      <c r="B405" s="19"/>
      <c r="C405" s="19"/>
      <c r="D405" s="19"/>
      <c r="E405" s="3"/>
    </row>
    <row r="406">
      <c r="A406" s="3"/>
      <c r="B406" s="19"/>
      <c r="C406" s="19"/>
      <c r="D406" s="19"/>
      <c r="E406" s="3"/>
    </row>
    <row r="407">
      <c r="A407" s="3"/>
      <c r="B407" s="19"/>
      <c r="C407" s="19"/>
      <c r="D407" s="19"/>
      <c r="E407" s="3"/>
    </row>
    <row r="408">
      <c r="A408" s="3"/>
      <c r="B408" s="19"/>
      <c r="C408" s="19"/>
      <c r="D408" s="19"/>
      <c r="E408" s="3"/>
    </row>
    <row r="409">
      <c r="A409" s="3"/>
      <c r="B409" s="19"/>
      <c r="C409" s="19"/>
      <c r="D409" s="19"/>
      <c r="E409" s="3"/>
    </row>
    <row r="410">
      <c r="A410" s="3"/>
      <c r="B410" s="19"/>
      <c r="C410" s="19"/>
      <c r="D410" s="19"/>
      <c r="E410" s="3"/>
    </row>
    <row r="411">
      <c r="A411" s="3"/>
      <c r="B411" s="19"/>
      <c r="C411" s="19"/>
      <c r="D411" s="19"/>
      <c r="E411" s="3"/>
    </row>
    <row r="412">
      <c r="A412" s="3"/>
      <c r="B412" s="19"/>
      <c r="C412" s="19"/>
      <c r="D412" s="19"/>
      <c r="E412" s="3"/>
    </row>
    <row r="413">
      <c r="A413" s="3"/>
      <c r="B413" s="19"/>
      <c r="C413" s="19"/>
      <c r="D413" s="19"/>
      <c r="E413" s="3"/>
    </row>
    <row r="414">
      <c r="A414" s="3"/>
      <c r="B414" s="19"/>
      <c r="C414" s="19"/>
      <c r="D414" s="19"/>
      <c r="E414" s="3"/>
    </row>
    <row r="415">
      <c r="A415" s="3"/>
      <c r="B415" s="19"/>
      <c r="C415" s="19"/>
      <c r="D415" s="19"/>
      <c r="E415" s="3"/>
    </row>
    <row r="416">
      <c r="A416" s="3"/>
      <c r="B416" s="19"/>
      <c r="C416" s="19"/>
      <c r="D416" s="19"/>
      <c r="E416" s="3"/>
    </row>
    <row r="417">
      <c r="A417" s="3"/>
      <c r="B417" s="19"/>
      <c r="C417" s="19"/>
      <c r="D417" s="19"/>
      <c r="E417" s="3"/>
    </row>
    <row r="418">
      <c r="A418" s="3"/>
      <c r="B418" s="19"/>
      <c r="C418" s="19"/>
      <c r="D418" s="19"/>
      <c r="E418" s="3"/>
    </row>
    <row r="419">
      <c r="A419" s="3"/>
      <c r="B419" s="19"/>
      <c r="C419" s="19"/>
      <c r="D419" s="19"/>
      <c r="E419" s="3"/>
    </row>
    <row r="420">
      <c r="A420" s="3"/>
      <c r="B420" s="19"/>
      <c r="C420" s="19"/>
      <c r="D420" s="19"/>
      <c r="E420" s="3"/>
    </row>
    <row r="421">
      <c r="A421" s="3"/>
      <c r="B421" s="19"/>
      <c r="C421" s="19"/>
      <c r="D421" s="19"/>
      <c r="E421" s="3"/>
    </row>
    <row r="422">
      <c r="A422" s="3"/>
      <c r="B422" s="19"/>
      <c r="C422" s="19"/>
      <c r="D422" s="19"/>
      <c r="E422" s="3"/>
    </row>
    <row r="423">
      <c r="A423" s="3"/>
      <c r="B423" s="19"/>
      <c r="C423" s="19"/>
      <c r="D423" s="19"/>
      <c r="E423" s="3"/>
    </row>
    <row r="424">
      <c r="A424" s="3"/>
      <c r="B424" s="19"/>
      <c r="C424" s="19"/>
      <c r="D424" s="19"/>
      <c r="E424" s="3"/>
    </row>
    <row r="425">
      <c r="A425" s="3"/>
      <c r="B425" s="19"/>
      <c r="C425" s="19"/>
      <c r="D425" s="19"/>
      <c r="E425" s="3"/>
    </row>
    <row r="426">
      <c r="A426" s="3"/>
      <c r="B426" s="19"/>
      <c r="C426" s="19"/>
      <c r="D426" s="19"/>
      <c r="E426" s="3"/>
    </row>
    <row r="427">
      <c r="A427" s="3"/>
      <c r="B427" s="19"/>
      <c r="C427" s="19"/>
      <c r="D427" s="19"/>
      <c r="E427" s="3"/>
    </row>
    <row r="428">
      <c r="A428" s="3"/>
      <c r="B428" s="19"/>
      <c r="C428" s="19"/>
      <c r="D428" s="19"/>
      <c r="E428" s="3"/>
    </row>
    <row r="429">
      <c r="A429" s="3"/>
      <c r="B429" s="19"/>
      <c r="C429" s="19"/>
      <c r="D429" s="19"/>
      <c r="E429" s="3"/>
    </row>
    <row r="430">
      <c r="A430" s="3"/>
      <c r="B430" s="19"/>
      <c r="C430" s="19"/>
      <c r="D430" s="19"/>
      <c r="E430" s="3"/>
    </row>
    <row r="431">
      <c r="A431" s="3"/>
      <c r="B431" s="19"/>
      <c r="C431" s="19"/>
      <c r="D431" s="19"/>
      <c r="E431" s="3"/>
    </row>
    <row r="432">
      <c r="A432" s="3"/>
      <c r="B432" s="19"/>
      <c r="C432" s="19"/>
      <c r="D432" s="19"/>
      <c r="E432" s="3"/>
    </row>
    <row r="433">
      <c r="A433" s="3"/>
      <c r="B433" s="19"/>
      <c r="C433" s="19"/>
      <c r="D433" s="19"/>
      <c r="E433" s="3"/>
    </row>
    <row r="434">
      <c r="A434" s="3"/>
      <c r="B434" s="19"/>
      <c r="C434" s="19"/>
      <c r="D434" s="19"/>
      <c r="E434" s="3"/>
    </row>
    <row r="435">
      <c r="A435" s="3"/>
      <c r="B435" s="19"/>
      <c r="C435" s="19"/>
      <c r="D435" s="19"/>
      <c r="E435" s="3"/>
    </row>
    <row r="436">
      <c r="A436" s="3"/>
      <c r="B436" s="19"/>
      <c r="C436" s="19"/>
      <c r="D436" s="19"/>
      <c r="E436" s="3"/>
    </row>
    <row r="437">
      <c r="A437" s="3"/>
      <c r="B437" s="19"/>
      <c r="C437" s="19"/>
      <c r="D437" s="19"/>
      <c r="E437" s="3"/>
    </row>
    <row r="438">
      <c r="A438" s="3"/>
      <c r="B438" s="19"/>
      <c r="C438" s="19"/>
      <c r="D438" s="19"/>
      <c r="E438" s="3"/>
    </row>
    <row r="439">
      <c r="A439" s="3"/>
      <c r="B439" s="19"/>
      <c r="C439" s="19"/>
      <c r="D439" s="19"/>
      <c r="E439" s="3"/>
    </row>
    <row r="440">
      <c r="A440" s="3"/>
      <c r="B440" s="19"/>
      <c r="C440" s="19"/>
      <c r="D440" s="19"/>
      <c r="E440" s="3"/>
    </row>
    <row r="441">
      <c r="A441" s="3"/>
      <c r="B441" s="19"/>
      <c r="C441" s="19"/>
      <c r="D441" s="19"/>
      <c r="E441" s="3"/>
    </row>
    <row r="442">
      <c r="A442" s="3"/>
      <c r="B442" s="19"/>
      <c r="C442" s="19"/>
      <c r="D442" s="19"/>
      <c r="E442" s="3"/>
    </row>
    <row r="443">
      <c r="A443" s="3"/>
      <c r="B443" s="19"/>
      <c r="C443" s="19"/>
      <c r="D443" s="19"/>
      <c r="E443" s="3"/>
    </row>
    <row r="444">
      <c r="A444" s="3"/>
      <c r="B444" s="19"/>
      <c r="C444" s="19"/>
      <c r="D444" s="19"/>
      <c r="E444" s="3"/>
    </row>
    <row r="445">
      <c r="A445" s="3"/>
      <c r="B445" s="19"/>
      <c r="C445" s="19"/>
      <c r="D445" s="19"/>
      <c r="E445" s="3"/>
    </row>
    <row r="446">
      <c r="A446" s="3"/>
      <c r="B446" s="19"/>
      <c r="C446" s="19"/>
      <c r="D446" s="19"/>
      <c r="E446" s="3"/>
    </row>
    <row r="447">
      <c r="A447" s="3"/>
      <c r="B447" s="19"/>
      <c r="C447" s="19"/>
      <c r="D447" s="19"/>
      <c r="E447" s="3"/>
    </row>
    <row r="448">
      <c r="A448" s="3"/>
      <c r="B448" s="19"/>
      <c r="C448" s="19"/>
      <c r="D448" s="19"/>
      <c r="E448" s="3"/>
    </row>
    <row r="449">
      <c r="A449" s="3"/>
      <c r="B449" s="19"/>
      <c r="C449" s="19"/>
      <c r="D449" s="19"/>
      <c r="E449" s="3"/>
    </row>
    <row r="450">
      <c r="A450" s="3"/>
      <c r="B450" s="19"/>
      <c r="C450" s="19"/>
      <c r="D450" s="19"/>
      <c r="E450" s="3"/>
    </row>
    <row r="451">
      <c r="A451" s="3"/>
      <c r="B451" s="19"/>
      <c r="C451" s="19"/>
      <c r="D451" s="19"/>
      <c r="E451" s="3"/>
    </row>
    <row r="452">
      <c r="A452" s="3"/>
      <c r="B452" s="19"/>
      <c r="C452" s="19"/>
      <c r="D452" s="19"/>
      <c r="E452" s="3"/>
    </row>
    <row r="453">
      <c r="A453" s="3"/>
      <c r="B453" s="19"/>
      <c r="C453" s="19"/>
      <c r="D453" s="19"/>
      <c r="E453" s="3"/>
    </row>
    <row r="454">
      <c r="A454" s="3"/>
      <c r="B454" s="19"/>
      <c r="C454" s="19"/>
      <c r="D454" s="19"/>
      <c r="E454" s="3"/>
    </row>
    <row r="455">
      <c r="A455" s="3"/>
      <c r="B455" s="19"/>
      <c r="C455" s="19"/>
      <c r="D455" s="19"/>
      <c r="E455" s="3"/>
    </row>
    <row r="456">
      <c r="A456" s="3"/>
      <c r="B456" s="19"/>
      <c r="C456" s="19"/>
      <c r="D456" s="19"/>
      <c r="E456" s="3"/>
    </row>
    <row r="457">
      <c r="A457" s="3"/>
      <c r="B457" s="19"/>
      <c r="C457" s="19"/>
      <c r="D457" s="19"/>
      <c r="E457" s="3"/>
    </row>
    <row r="458">
      <c r="A458" s="3"/>
      <c r="B458" s="19"/>
      <c r="C458" s="19"/>
      <c r="D458" s="19"/>
      <c r="E458" s="3"/>
    </row>
    <row r="459">
      <c r="A459" s="3"/>
      <c r="B459" s="19"/>
      <c r="C459" s="19"/>
      <c r="D459" s="19"/>
      <c r="E459" s="3"/>
    </row>
    <row r="460">
      <c r="A460" s="3"/>
      <c r="B460" s="19"/>
      <c r="C460" s="19"/>
      <c r="D460" s="19"/>
      <c r="E460" s="3"/>
    </row>
    <row r="461">
      <c r="A461" s="3"/>
      <c r="B461" s="19"/>
      <c r="C461" s="19"/>
      <c r="D461" s="19"/>
      <c r="E461" s="3"/>
    </row>
    <row r="462">
      <c r="A462" s="3"/>
      <c r="B462" s="19"/>
      <c r="C462" s="19"/>
      <c r="D462" s="19"/>
      <c r="E462" s="3"/>
    </row>
    <row r="463">
      <c r="A463" s="3"/>
      <c r="B463" s="19"/>
      <c r="C463" s="19"/>
      <c r="D463" s="19"/>
      <c r="E463" s="3"/>
    </row>
    <row r="464">
      <c r="A464" s="3"/>
      <c r="B464" s="19"/>
      <c r="C464" s="19"/>
      <c r="D464" s="19"/>
      <c r="E464" s="3"/>
    </row>
    <row r="465">
      <c r="A465" s="3"/>
      <c r="B465" s="19"/>
      <c r="C465" s="19"/>
      <c r="D465" s="19"/>
      <c r="E465" s="3"/>
    </row>
    <row r="466">
      <c r="A466" s="3"/>
      <c r="B466" s="19"/>
      <c r="C466" s="19"/>
      <c r="D466" s="19"/>
      <c r="E466" s="3"/>
    </row>
    <row r="467">
      <c r="A467" s="3"/>
      <c r="B467" s="19"/>
      <c r="C467" s="19"/>
      <c r="D467" s="19"/>
      <c r="E467" s="3"/>
    </row>
    <row r="468">
      <c r="A468" s="3"/>
      <c r="B468" s="19"/>
      <c r="C468" s="19"/>
      <c r="D468" s="19"/>
      <c r="E468" s="3"/>
    </row>
    <row r="469">
      <c r="A469" s="3"/>
      <c r="B469" s="19"/>
      <c r="C469" s="19"/>
      <c r="D469" s="19"/>
      <c r="E469" s="3"/>
    </row>
    <row r="470">
      <c r="A470" s="3"/>
      <c r="B470" s="19"/>
      <c r="C470" s="19"/>
      <c r="D470" s="19"/>
      <c r="E470" s="3"/>
    </row>
    <row r="471">
      <c r="A471" s="3"/>
      <c r="B471" s="19"/>
      <c r="C471" s="19"/>
      <c r="D471" s="19"/>
      <c r="E471" s="3"/>
    </row>
    <row r="472">
      <c r="A472" s="3"/>
      <c r="B472" s="19"/>
      <c r="C472" s="19"/>
      <c r="D472" s="19"/>
      <c r="E472" s="3"/>
    </row>
    <row r="473">
      <c r="A473" s="3"/>
      <c r="B473" s="19"/>
      <c r="C473" s="19"/>
      <c r="D473" s="19"/>
      <c r="E473" s="3"/>
    </row>
    <row r="474">
      <c r="A474" s="3"/>
      <c r="B474" s="19"/>
      <c r="C474" s="19"/>
      <c r="D474" s="19"/>
      <c r="E474" s="3"/>
    </row>
    <row r="475">
      <c r="A475" s="3"/>
      <c r="B475" s="19"/>
      <c r="C475" s="19"/>
      <c r="D475" s="19"/>
      <c r="E475" s="3"/>
    </row>
    <row r="476">
      <c r="A476" s="3"/>
      <c r="B476" s="19"/>
      <c r="C476" s="19"/>
      <c r="D476" s="19"/>
      <c r="E476" s="3"/>
    </row>
    <row r="477">
      <c r="A477" s="3"/>
      <c r="B477" s="19"/>
      <c r="C477" s="19"/>
      <c r="D477" s="19"/>
      <c r="E477" s="3"/>
    </row>
    <row r="478">
      <c r="A478" s="3"/>
      <c r="B478" s="19"/>
      <c r="C478" s="19"/>
      <c r="D478" s="19"/>
      <c r="E478" s="3"/>
    </row>
    <row r="479">
      <c r="A479" s="3"/>
      <c r="B479" s="19"/>
      <c r="C479" s="19"/>
      <c r="D479" s="19"/>
      <c r="E479" s="3"/>
    </row>
    <row r="480">
      <c r="A480" s="3"/>
      <c r="B480" s="19"/>
      <c r="C480" s="19"/>
      <c r="D480" s="19"/>
      <c r="E480" s="3"/>
    </row>
    <row r="481">
      <c r="A481" s="3"/>
      <c r="B481" s="19"/>
      <c r="C481" s="19"/>
      <c r="D481" s="19"/>
      <c r="E481" s="3"/>
    </row>
    <row r="482">
      <c r="A482" s="3"/>
      <c r="B482" s="19"/>
      <c r="C482" s="19"/>
      <c r="D482" s="19"/>
      <c r="E482" s="3"/>
    </row>
    <row r="483">
      <c r="A483" s="3"/>
      <c r="B483" s="19"/>
      <c r="C483" s="19"/>
      <c r="D483" s="19"/>
      <c r="E483" s="3"/>
    </row>
    <row r="484">
      <c r="A484" s="3"/>
      <c r="B484" s="19"/>
      <c r="C484" s="19"/>
      <c r="D484" s="19"/>
      <c r="E484" s="3"/>
    </row>
    <row r="485">
      <c r="A485" s="3"/>
      <c r="B485" s="19"/>
      <c r="C485" s="19"/>
      <c r="D485" s="19"/>
      <c r="E485" s="3"/>
    </row>
    <row r="486">
      <c r="A486" s="3"/>
      <c r="B486" s="19"/>
      <c r="C486" s="19"/>
      <c r="D486" s="19"/>
      <c r="E486" s="3"/>
    </row>
    <row r="487">
      <c r="A487" s="3"/>
      <c r="B487" s="19"/>
      <c r="C487" s="19"/>
      <c r="D487" s="19"/>
      <c r="E487" s="3"/>
    </row>
    <row r="488">
      <c r="A488" s="3"/>
      <c r="B488" s="19"/>
      <c r="C488" s="19"/>
      <c r="D488" s="19"/>
      <c r="E488" s="3"/>
    </row>
    <row r="489">
      <c r="A489" s="3"/>
      <c r="B489" s="19"/>
      <c r="C489" s="19"/>
      <c r="D489" s="19"/>
      <c r="E489" s="3"/>
    </row>
    <row r="490">
      <c r="A490" s="3"/>
      <c r="B490" s="19"/>
      <c r="C490" s="19"/>
      <c r="D490" s="19"/>
      <c r="E490" s="3"/>
    </row>
    <row r="491">
      <c r="A491" s="3"/>
      <c r="B491" s="19"/>
      <c r="C491" s="19"/>
      <c r="D491" s="19"/>
      <c r="E491" s="3"/>
    </row>
    <row r="492">
      <c r="A492" s="3"/>
      <c r="B492" s="19"/>
      <c r="C492" s="19"/>
      <c r="D492" s="19"/>
      <c r="E492" s="3"/>
    </row>
    <row r="493">
      <c r="A493" s="3"/>
      <c r="B493" s="19"/>
      <c r="C493" s="19"/>
      <c r="D493" s="19"/>
      <c r="E493" s="3"/>
    </row>
    <row r="494">
      <c r="A494" s="3"/>
      <c r="B494" s="19"/>
      <c r="C494" s="19"/>
      <c r="D494" s="19"/>
      <c r="E494" s="3"/>
    </row>
    <row r="495">
      <c r="A495" s="3"/>
      <c r="B495" s="19"/>
      <c r="C495" s="19"/>
      <c r="D495" s="19"/>
      <c r="E495" s="3"/>
    </row>
    <row r="496">
      <c r="A496" s="3"/>
      <c r="B496" s="19"/>
      <c r="C496" s="19"/>
      <c r="D496" s="19"/>
      <c r="E496" s="3"/>
    </row>
    <row r="497">
      <c r="A497" s="3"/>
      <c r="B497" s="19"/>
      <c r="C497" s="19"/>
      <c r="D497" s="19"/>
      <c r="E497" s="3"/>
    </row>
    <row r="498">
      <c r="A498" s="3"/>
      <c r="B498" s="19"/>
      <c r="C498" s="19"/>
      <c r="D498" s="19"/>
      <c r="E498" s="3"/>
    </row>
    <row r="499">
      <c r="A499" s="3"/>
      <c r="B499" s="19"/>
      <c r="C499" s="19"/>
      <c r="D499" s="19"/>
      <c r="E499" s="3"/>
    </row>
    <row r="500">
      <c r="A500" s="3"/>
      <c r="B500" s="19"/>
      <c r="C500" s="19"/>
      <c r="D500" s="19"/>
      <c r="E500" s="3"/>
    </row>
    <row r="501">
      <c r="A501" s="3"/>
      <c r="B501" s="19"/>
      <c r="C501" s="19"/>
      <c r="D501" s="19"/>
      <c r="E501" s="3"/>
    </row>
    <row r="502">
      <c r="A502" s="3"/>
      <c r="B502" s="19"/>
      <c r="C502" s="19"/>
      <c r="D502" s="19"/>
      <c r="E502" s="3"/>
    </row>
    <row r="503">
      <c r="A503" s="3"/>
      <c r="B503" s="19"/>
      <c r="C503" s="19"/>
      <c r="D503" s="19"/>
      <c r="E503" s="3"/>
    </row>
    <row r="504">
      <c r="A504" s="3"/>
      <c r="B504" s="19"/>
      <c r="C504" s="19"/>
      <c r="D504" s="19"/>
      <c r="E504" s="3"/>
    </row>
    <row r="505">
      <c r="A505" s="3"/>
      <c r="B505" s="19"/>
      <c r="C505" s="19"/>
      <c r="D505" s="19"/>
      <c r="E505" s="3"/>
    </row>
    <row r="506">
      <c r="A506" s="3"/>
      <c r="B506" s="19"/>
      <c r="C506" s="19"/>
      <c r="D506" s="19"/>
      <c r="E506" s="3"/>
    </row>
    <row r="507">
      <c r="A507" s="3"/>
      <c r="B507" s="19"/>
      <c r="C507" s="19"/>
      <c r="D507" s="19"/>
      <c r="E507" s="3"/>
    </row>
    <row r="508">
      <c r="A508" s="3"/>
      <c r="B508" s="19"/>
      <c r="C508" s="19"/>
      <c r="D508" s="19"/>
      <c r="E508" s="3"/>
    </row>
    <row r="509">
      <c r="A509" s="3"/>
      <c r="B509" s="19"/>
      <c r="C509" s="19"/>
      <c r="D509" s="19"/>
      <c r="E509" s="3"/>
    </row>
    <row r="510">
      <c r="A510" s="3"/>
      <c r="B510" s="19"/>
      <c r="C510" s="19"/>
      <c r="D510" s="19"/>
      <c r="E510" s="3"/>
    </row>
    <row r="511">
      <c r="A511" s="3"/>
      <c r="B511" s="19"/>
      <c r="C511" s="19"/>
      <c r="D511" s="19"/>
      <c r="E511" s="3"/>
    </row>
    <row r="512">
      <c r="A512" s="3"/>
      <c r="B512" s="19"/>
      <c r="C512" s="19"/>
      <c r="D512" s="19"/>
      <c r="E512" s="3"/>
    </row>
    <row r="513">
      <c r="A513" s="3"/>
      <c r="B513" s="19"/>
      <c r="C513" s="19"/>
      <c r="D513" s="19"/>
      <c r="E513" s="3"/>
    </row>
    <row r="514">
      <c r="A514" s="3"/>
      <c r="B514" s="19"/>
      <c r="C514" s="19"/>
      <c r="D514" s="19"/>
      <c r="E514" s="3"/>
    </row>
    <row r="515">
      <c r="A515" s="3"/>
      <c r="B515" s="19"/>
      <c r="C515" s="19"/>
      <c r="D515" s="19"/>
      <c r="E515" s="3"/>
    </row>
    <row r="516">
      <c r="A516" s="3"/>
      <c r="B516" s="19"/>
      <c r="C516" s="19"/>
      <c r="D516" s="19"/>
      <c r="E516" s="3"/>
    </row>
    <row r="517">
      <c r="A517" s="3"/>
      <c r="B517" s="19"/>
      <c r="C517" s="19"/>
      <c r="D517" s="19"/>
      <c r="E517" s="3"/>
    </row>
    <row r="518">
      <c r="A518" s="3"/>
      <c r="B518" s="19"/>
      <c r="C518" s="19"/>
      <c r="D518" s="19"/>
      <c r="E518" s="3"/>
    </row>
    <row r="519">
      <c r="A519" s="3"/>
      <c r="B519" s="19"/>
      <c r="C519" s="19"/>
      <c r="D519" s="19"/>
      <c r="E519" s="3"/>
    </row>
    <row r="520">
      <c r="A520" s="3"/>
      <c r="B520" s="19"/>
      <c r="C520" s="19"/>
      <c r="D520" s="19"/>
      <c r="E520" s="3"/>
    </row>
    <row r="521">
      <c r="A521" s="3"/>
      <c r="B521" s="19"/>
      <c r="C521" s="19"/>
      <c r="D521" s="19"/>
      <c r="E521" s="3"/>
    </row>
    <row r="522">
      <c r="A522" s="3"/>
      <c r="B522" s="19"/>
      <c r="C522" s="19"/>
      <c r="D522" s="19"/>
      <c r="E522" s="3"/>
    </row>
    <row r="523">
      <c r="A523" s="3"/>
      <c r="B523" s="19"/>
      <c r="C523" s="19"/>
      <c r="D523" s="19"/>
      <c r="E523" s="3"/>
    </row>
    <row r="524">
      <c r="A524" s="3"/>
      <c r="B524" s="19"/>
      <c r="C524" s="19"/>
      <c r="D524" s="19"/>
      <c r="E524" s="3"/>
    </row>
    <row r="525">
      <c r="A525" s="3"/>
      <c r="B525" s="19"/>
      <c r="C525" s="19"/>
      <c r="D525" s="19"/>
      <c r="E525" s="3"/>
    </row>
    <row r="526">
      <c r="A526" s="3"/>
      <c r="B526" s="19"/>
      <c r="C526" s="19"/>
      <c r="D526" s="19"/>
      <c r="E526" s="3"/>
    </row>
    <row r="527">
      <c r="A527" s="3"/>
      <c r="B527" s="19"/>
      <c r="C527" s="19"/>
      <c r="D527" s="19"/>
      <c r="E527" s="3"/>
    </row>
    <row r="528">
      <c r="A528" s="3"/>
      <c r="B528" s="19"/>
      <c r="C528" s="19"/>
      <c r="D528" s="19"/>
      <c r="E528" s="3"/>
    </row>
    <row r="529">
      <c r="A529" s="3"/>
      <c r="B529" s="19"/>
      <c r="C529" s="19"/>
      <c r="D529" s="19"/>
      <c r="E529" s="3"/>
    </row>
    <row r="530">
      <c r="A530" s="3"/>
      <c r="B530" s="19"/>
      <c r="C530" s="19"/>
      <c r="D530" s="19"/>
      <c r="E530" s="3"/>
    </row>
    <row r="531">
      <c r="A531" s="3"/>
      <c r="B531" s="19"/>
      <c r="C531" s="19"/>
      <c r="D531" s="19"/>
      <c r="E531" s="3"/>
    </row>
    <row r="532">
      <c r="A532" s="3"/>
      <c r="B532" s="19"/>
      <c r="C532" s="19"/>
      <c r="D532" s="19"/>
      <c r="E532" s="3"/>
    </row>
    <row r="533">
      <c r="A533" s="3"/>
      <c r="B533" s="19"/>
      <c r="C533" s="19"/>
      <c r="D533" s="19"/>
      <c r="E533" s="3"/>
    </row>
    <row r="534">
      <c r="A534" s="3"/>
      <c r="B534" s="19"/>
      <c r="C534" s="19"/>
      <c r="D534" s="19"/>
      <c r="E534" s="3"/>
    </row>
    <row r="535">
      <c r="A535" s="3"/>
      <c r="B535" s="19"/>
      <c r="C535" s="19"/>
      <c r="D535" s="19"/>
      <c r="E535" s="3"/>
    </row>
    <row r="536">
      <c r="A536" s="3"/>
      <c r="B536" s="19"/>
      <c r="C536" s="19"/>
      <c r="D536" s="19"/>
      <c r="E536" s="3"/>
    </row>
    <row r="537">
      <c r="A537" s="3"/>
      <c r="B537" s="19"/>
      <c r="C537" s="19"/>
      <c r="D537" s="19"/>
      <c r="E537" s="3"/>
    </row>
    <row r="538">
      <c r="A538" s="3"/>
      <c r="B538" s="19"/>
      <c r="C538" s="19"/>
      <c r="D538" s="19"/>
      <c r="E538" s="3"/>
    </row>
    <row r="539">
      <c r="A539" s="3"/>
      <c r="B539" s="19"/>
      <c r="C539" s="19"/>
      <c r="D539" s="19"/>
      <c r="E539" s="3"/>
    </row>
    <row r="540">
      <c r="A540" s="3"/>
      <c r="B540" s="19"/>
      <c r="C540" s="19"/>
      <c r="D540" s="19"/>
      <c r="E540" s="3"/>
    </row>
    <row r="541">
      <c r="A541" s="3"/>
      <c r="B541" s="19"/>
      <c r="C541" s="19"/>
      <c r="D541" s="19"/>
      <c r="E541" s="3"/>
    </row>
    <row r="542">
      <c r="A542" s="3"/>
      <c r="B542" s="19"/>
      <c r="C542" s="19"/>
      <c r="D542" s="19"/>
      <c r="E542" s="3"/>
    </row>
    <row r="543">
      <c r="A543" s="3"/>
      <c r="B543" s="19"/>
      <c r="C543" s="19"/>
      <c r="D543" s="19"/>
      <c r="E543" s="3"/>
    </row>
    <row r="544">
      <c r="A544" s="3"/>
      <c r="B544" s="19"/>
      <c r="C544" s="19"/>
      <c r="D544" s="19"/>
      <c r="E544" s="3"/>
    </row>
    <row r="545">
      <c r="A545" s="3"/>
      <c r="B545" s="19"/>
      <c r="C545" s="19"/>
      <c r="D545" s="19"/>
      <c r="E545" s="3"/>
    </row>
    <row r="546">
      <c r="A546" s="3"/>
      <c r="B546" s="19"/>
      <c r="C546" s="19"/>
      <c r="D546" s="19"/>
      <c r="E546" s="3"/>
    </row>
    <row r="547">
      <c r="A547" s="3"/>
      <c r="B547" s="19"/>
      <c r="C547" s="19"/>
      <c r="D547" s="19"/>
      <c r="E547" s="3"/>
    </row>
    <row r="548">
      <c r="A548" s="3"/>
      <c r="B548" s="19"/>
      <c r="C548" s="19"/>
      <c r="D548" s="19"/>
      <c r="E548" s="3"/>
    </row>
    <row r="549">
      <c r="A549" s="3"/>
      <c r="B549" s="19"/>
      <c r="C549" s="19"/>
      <c r="D549" s="19"/>
      <c r="E549" s="3"/>
    </row>
    <row r="550">
      <c r="A550" s="3"/>
      <c r="B550" s="19"/>
      <c r="C550" s="19"/>
      <c r="D550" s="19"/>
      <c r="E550" s="3"/>
    </row>
    <row r="551">
      <c r="A551" s="3"/>
      <c r="B551" s="19"/>
      <c r="C551" s="19"/>
      <c r="D551" s="19"/>
      <c r="E551" s="3"/>
    </row>
    <row r="552">
      <c r="A552" s="3"/>
      <c r="B552" s="19"/>
      <c r="C552" s="19"/>
      <c r="D552" s="19"/>
      <c r="E552" s="3"/>
    </row>
    <row r="553">
      <c r="A553" s="3"/>
      <c r="B553" s="19"/>
      <c r="C553" s="19"/>
      <c r="D553" s="19"/>
      <c r="E553" s="3"/>
    </row>
    <row r="554">
      <c r="A554" s="3"/>
      <c r="B554" s="19"/>
      <c r="C554" s="19"/>
      <c r="D554" s="19"/>
      <c r="E554" s="3"/>
    </row>
    <row r="555">
      <c r="A555" s="3"/>
      <c r="B555" s="19"/>
      <c r="C555" s="19"/>
      <c r="D555" s="19"/>
      <c r="E555" s="3"/>
    </row>
    <row r="556">
      <c r="A556" s="3"/>
      <c r="B556" s="19"/>
      <c r="C556" s="19"/>
      <c r="D556" s="19"/>
      <c r="E556" s="3"/>
    </row>
    <row r="557">
      <c r="A557" s="3"/>
      <c r="B557" s="19"/>
      <c r="C557" s="19"/>
      <c r="D557" s="19"/>
      <c r="E557" s="3"/>
    </row>
    <row r="558">
      <c r="A558" s="3"/>
      <c r="B558" s="19"/>
      <c r="C558" s="19"/>
      <c r="D558" s="19"/>
      <c r="E558" s="3"/>
    </row>
    <row r="559">
      <c r="A559" s="3"/>
      <c r="B559" s="19"/>
      <c r="C559" s="19"/>
      <c r="D559" s="19"/>
      <c r="E559" s="3"/>
    </row>
    <row r="560">
      <c r="A560" s="3"/>
      <c r="B560" s="19"/>
      <c r="C560" s="19"/>
      <c r="D560" s="19"/>
      <c r="E560" s="3"/>
    </row>
    <row r="561">
      <c r="A561" s="3"/>
      <c r="B561" s="19"/>
      <c r="C561" s="19"/>
      <c r="D561" s="19"/>
      <c r="E561" s="3"/>
    </row>
    <row r="562">
      <c r="A562" s="3"/>
      <c r="B562" s="19"/>
      <c r="C562" s="19"/>
      <c r="D562" s="19"/>
      <c r="E562" s="3"/>
    </row>
    <row r="563">
      <c r="A563" s="3"/>
      <c r="B563" s="19"/>
      <c r="C563" s="19"/>
      <c r="D563" s="19"/>
      <c r="E563" s="3"/>
    </row>
    <row r="564">
      <c r="A564" s="3"/>
      <c r="B564" s="19"/>
      <c r="C564" s="19"/>
      <c r="D564" s="19"/>
      <c r="E564" s="3"/>
    </row>
    <row r="565">
      <c r="A565" s="3"/>
      <c r="B565" s="19"/>
      <c r="C565" s="19"/>
      <c r="D565" s="19"/>
      <c r="E565" s="3"/>
    </row>
    <row r="566">
      <c r="A566" s="3"/>
      <c r="B566" s="19"/>
      <c r="C566" s="19"/>
      <c r="D566" s="19"/>
      <c r="E566" s="3"/>
    </row>
    <row r="567">
      <c r="A567" s="3"/>
      <c r="B567" s="19"/>
      <c r="C567" s="19"/>
      <c r="D567" s="19"/>
      <c r="E567" s="3"/>
    </row>
    <row r="568">
      <c r="A568" s="3"/>
      <c r="B568" s="19"/>
      <c r="C568" s="19"/>
      <c r="D568" s="19"/>
      <c r="E568" s="3"/>
    </row>
    <row r="569">
      <c r="A569" s="3"/>
      <c r="B569" s="19"/>
      <c r="C569" s="19"/>
      <c r="D569" s="19"/>
      <c r="E569" s="3"/>
    </row>
    <row r="570">
      <c r="A570" s="3"/>
      <c r="B570" s="19"/>
      <c r="C570" s="19"/>
      <c r="D570" s="19"/>
      <c r="E570" s="3"/>
    </row>
    <row r="571">
      <c r="A571" s="3"/>
      <c r="B571" s="19"/>
      <c r="C571" s="19"/>
      <c r="D571" s="19"/>
      <c r="E571" s="3"/>
    </row>
    <row r="572">
      <c r="A572" s="3"/>
      <c r="B572" s="19"/>
      <c r="C572" s="19"/>
      <c r="D572" s="19"/>
      <c r="E572" s="3"/>
    </row>
    <row r="573">
      <c r="A573" s="3"/>
      <c r="B573" s="19"/>
      <c r="C573" s="19"/>
      <c r="D573" s="19"/>
      <c r="E573" s="3"/>
    </row>
    <row r="574">
      <c r="A574" s="3"/>
      <c r="B574" s="19"/>
      <c r="C574" s="19"/>
      <c r="D574" s="19"/>
      <c r="E574" s="3"/>
    </row>
    <row r="575">
      <c r="A575" s="3"/>
      <c r="B575" s="19"/>
      <c r="C575" s="19"/>
      <c r="D575" s="19"/>
      <c r="E575" s="3"/>
    </row>
    <row r="576">
      <c r="A576" s="3"/>
      <c r="B576" s="19"/>
      <c r="C576" s="19"/>
      <c r="D576" s="19"/>
      <c r="E576" s="3"/>
    </row>
    <row r="577">
      <c r="A577" s="3"/>
      <c r="B577" s="19"/>
      <c r="C577" s="19"/>
      <c r="D577" s="19"/>
      <c r="E577" s="3"/>
    </row>
    <row r="578">
      <c r="A578" s="3"/>
      <c r="B578" s="19"/>
      <c r="C578" s="19"/>
      <c r="D578" s="19"/>
      <c r="E578" s="3"/>
    </row>
    <row r="579">
      <c r="A579" s="3"/>
      <c r="B579" s="19"/>
      <c r="C579" s="19"/>
      <c r="D579" s="19"/>
      <c r="E579" s="3"/>
    </row>
    <row r="580">
      <c r="A580" s="3"/>
      <c r="B580" s="19"/>
      <c r="C580" s="19"/>
      <c r="D580" s="19"/>
      <c r="E580" s="3"/>
    </row>
    <row r="581">
      <c r="A581" s="3"/>
      <c r="B581" s="19"/>
      <c r="C581" s="19"/>
      <c r="D581" s="19"/>
      <c r="E581" s="3"/>
    </row>
    <row r="582">
      <c r="A582" s="3"/>
      <c r="B582" s="19"/>
      <c r="C582" s="19"/>
      <c r="D582" s="19"/>
      <c r="E582" s="3"/>
    </row>
    <row r="583">
      <c r="A583" s="3"/>
      <c r="B583" s="19"/>
      <c r="C583" s="19"/>
      <c r="D583" s="19"/>
      <c r="E583" s="3"/>
    </row>
    <row r="584">
      <c r="A584" s="3"/>
      <c r="B584" s="19"/>
      <c r="C584" s="19"/>
      <c r="D584" s="19"/>
      <c r="E584" s="3"/>
    </row>
    <row r="585">
      <c r="A585" s="3"/>
      <c r="B585" s="19"/>
      <c r="C585" s="19"/>
      <c r="D585" s="19"/>
      <c r="E585" s="3"/>
    </row>
    <row r="586">
      <c r="A586" s="3"/>
      <c r="B586" s="19"/>
      <c r="C586" s="19"/>
      <c r="D586" s="19"/>
      <c r="E586" s="3"/>
    </row>
    <row r="587">
      <c r="A587" s="3"/>
      <c r="B587" s="19"/>
      <c r="C587" s="19"/>
      <c r="D587" s="19"/>
      <c r="E587" s="3"/>
    </row>
    <row r="588">
      <c r="A588" s="3"/>
      <c r="B588" s="19"/>
      <c r="C588" s="19"/>
      <c r="D588" s="19"/>
      <c r="E588" s="3"/>
    </row>
    <row r="589">
      <c r="A589" s="3"/>
      <c r="B589" s="19"/>
      <c r="C589" s="19"/>
      <c r="D589" s="19"/>
      <c r="E589" s="3"/>
    </row>
    <row r="590">
      <c r="A590" s="3"/>
      <c r="B590" s="19"/>
      <c r="C590" s="19"/>
      <c r="D590" s="19"/>
      <c r="E590" s="3"/>
    </row>
    <row r="591">
      <c r="A591" s="3"/>
      <c r="B591" s="19"/>
      <c r="C591" s="19"/>
      <c r="D591" s="19"/>
      <c r="E591" s="3"/>
    </row>
    <row r="592">
      <c r="A592" s="3"/>
      <c r="B592" s="19"/>
      <c r="C592" s="19"/>
      <c r="D592" s="19"/>
      <c r="E592" s="3"/>
    </row>
    <row r="593">
      <c r="A593" s="3"/>
      <c r="B593" s="19"/>
      <c r="C593" s="19"/>
      <c r="D593" s="19"/>
      <c r="E593" s="3"/>
    </row>
    <row r="594">
      <c r="A594" s="3"/>
      <c r="B594" s="19"/>
      <c r="C594" s="19"/>
      <c r="D594" s="19"/>
      <c r="E594" s="3"/>
    </row>
    <row r="595">
      <c r="A595" s="3"/>
      <c r="B595" s="19"/>
      <c r="C595" s="19"/>
      <c r="D595" s="19"/>
      <c r="E595" s="3"/>
    </row>
    <row r="596">
      <c r="A596" s="3"/>
      <c r="B596" s="19"/>
      <c r="C596" s="19"/>
      <c r="D596" s="19"/>
      <c r="E596" s="3"/>
    </row>
    <row r="597">
      <c r="A597" s="3"/>
      <c r="B597" s="19"/>
      <c r="C597" s="19"/>
      <c r="D597" s="19"/>
      <c r="E597" s="3"/>
    </row>
    <row r="598">
      <c r="A598" s="3"/>
      <c r="B598" s="19"/>
      <c r="C598" s="19"/>
      <c r="D598" s="19"/>
      <c r="E598" s="3"/>
    </row>
    <row r="599">
      <c r="A599" s="3"/>
      <c r="B599" s="19"/>
      <c r="C599" s="19"/>
      <c r="D599" s="19"/>
      <c r="E599" s="3"/>
    </row>
    <row r="600">
      <c r="A600" s="3"/>
      <c r="B600" s="19"/>
      <c r="C600" s="19"/>
      <c r="D600" s="19"/>
      <c r="E600" s="3"/>
    </row>
    <row r="601">
      <c r="A601" s="3"/>
      <c r="B601" s="19"/>
      <c r="C601" s="19"/>
      <c r="D601" s="19"/>
      <c r="E601" s="3"/>
    </row>
    <row r="602">
      <c r="A602" s="3"/>
      <c r="B602" s="19"/>
      <c r="C602" s="19"/>
      <c r="D602" s="19"/>
      <c r="E602" s="3"/>
    </row>
    <row r="603">
      <c r="A603" s="3"/>
      <c r="B603" s="19"/>
      <c r="C603" s="19"/>
      <c r="D603" s="19"/>
      <c r="E603" s="3"/>
    </row>
    <row r="604">
      <c r="A604" s="3"/>
      <c r="B604" s="19"/>
      <c r="C604" s="19"/>
      <c r="D604" s="19"/>
      <c r="E604" s="3"/>
    </row>
    <row r="605">
      <c r="A605" s="3"/>
      <c r="B605" s="19"/>
      <c r="C605" s="19"/>
      <c r="D605" s="19"/>
      <c r="E605" s="3"/>
    </row>
    <row r="606">
      <c r="A606" s="3"/>
      <c r="B606" s="19"/>
      <c r="C606" s="19"/>
      <c r="D606" s="19"/>
      <c r="E606" s="3"/>
    </row>
    <row r="607">
      <c r="A607" s="3"/>
      <c r="B607" s="19"/>
      <c r="C607" s="19"/>
      <c r="D607" s="19"/>
      <c r="E607" s="3"/>
    </row>
    <row r="608">
      <c r="A608" s="3"/>
      <c r="B608" s="19"/>
      <c r="C608" s="19"/>
      <c r="D608" s="19"/>
      <c r="E608" s="3"/>
    </row>
    <row r="609">
      <c r="A609" s="3"/>
      <c r="B609" s="19"/>
      <c r="C609" s="19"/>
      <c r="D609" s="19"/>
      <c r="E609" s="3"/>
    </row>
    <row r="610">
      <c r="A610" s="3"/>
      <c r="B610" s="19"/>
      <c r="C610" s="19"/>
      <c r="D610" s="19"/>
      <c r="E610" s="3"/>
    </row>
    <row r="611">
      <c r="A611" s="3"/>
      <c r="B611" s="19"/>
      <c r="C611" s="19"/>
      <c r="D611" s="19"/>
      <c r="E611" s="3"/>
    </row>
    <row r="612">
      <c r="A612" s="3"/>
      <c r="B612" s="19"/>
      <c r="C612" s="19"/>
      <c r="D612" s="19"/>
      <c r="E612" s="3"/>
    </row>
    <row r="613">
      <c r="A613" s="3"/>
      <c r="B613" s="19"/>
      <c r="C613" s="19"/>
      <c r="D613" s="19"/>
      <c r="E613" s="3"/>
    </row>
    <row r="614">
      <c r="A614" s="3"/>
      <c r="B614" s="19"/>
      <c r="C614" s="19"/>
      <c r="D614" s="19"/>
      <c r="E614" s="3"/>
    </row>
    <row r="615">
      <c r="A615" s="3"/>
      <c r="B615" s="19"/>
      <c r="C615" s="19"/>
      <c r="D615" s="19"/>
      <c r="E615" s="3"/>
    </row>
    <row r="616">
      <c r="A616" s="3"/>
      <c r="B616" s="19"/>
      <c r="C616" s="19"/>
      <c r="D616" s="19"/>
      <c r="E616" s="3"/>
    </row>
    <row r="617">
      <c r="A617" s="3"/>
      <c r="B617" s="19"/>
      <c r="C617" s="19"/>
      <c r="D617" s="19"/>
      <c r="E617" s="3"/>
    </row>
    <row r="618">
      <c r="A618" s="3"/>
      <c r="B618" s="19"/>
      <c r="C618" s="19"/>
      <c r="D618" s="19"/>
      <c r="E618" s="3"/>
    </row>
    <row r="619">
      <c r="A619" s="3"/>
      <c r="B619" s="19"/>
      <c r="C619" s="19"/>
      <c r="D619" s="19"/>
      <c r="E619" s="3"/>
    </row>
    <row r="620">
      <c r="A620" s="3"/>
      <c r="B620" s="19"/>
      <c r="C620" s="19"/>
      <c r="D620" s="19"/>
      <c r="E620" s="3"/>
    </row>
    <row r="621">
      <c r="A621" s="3"/>
      <c r="B621" s="19"/>
      <c r="C621" s="19"/>
      <c r="D621" s="19"/>
      <c r="E621" s="3"/>
    </row>
    <row r="622">
      <c r="A622" s="3"/>
      <c r="B622" s="19"/>
      <c r="C622" s="19"/>
      <c r="D622" s="19"/>
      <c r="E622" s="3"/>
    </row>
    <row r="623">
      <c r="A623" s="3"/>
      <c r="B623" s="19"/>
      <c r="C623" s="19"/>
      <c r="D623" s="19"/>
      <c r="E623" s="3"/>
    </row>
    <row r="624">
      <c r="A624" s="3"/>
      <c r="B624" s="19"/>
      <c r="C624" s="19"/>
      <c r="D624" s="19"/>
      <c r="E624" s="3"/>
    </row>
    <row r="625">
      <c r="A625" s="3"/>
      <c r="B625" s="19"/>
      <c r="C625" s="19"/>
      <c r="D625" s="19"/>
      <c r="E625" s="3"/>
    </row>
    <row r="626">
      <c r="A626" s="3"/>
      <c r="B626" s="19"/>
      <c r="C626" s="19"/>
      <c r="D626" s="19"/>
      <c r="E626" s="3"/>
    </row>
    <row r="627">
      <c r="A627" s="3"/>
      <c r="B627" s="19"/>
      <c r="C627" s="19"/>
      <c r="D627" s="19"/>
      <c r="E627" s="3"/>
    </row>
    <row r="628">
      <c r="A628" s="3"/>
      <c r="B628" s="19"/>
      <c r="C628" s="19"/>
      <c r="D628" s="19"/>
      <c r="E628" s="3"/>
    </row>
    <row r="629">
      <c r="A629" s="3"/>
      <c r="B629" s="19"/>
      <c r="C629" s="19"/>
      <c r="D629" s="19"/>
      <c r="E629" s="3"/>
    </row>
    <row r="630">
      <c r="A630" s="3"/>
      <c r="B630" s="19"/>
      <c r="C630" s="19"/>
      <c r="D630" s="19"/>
      <c r="E630" s="3"/>
    </row>
    <row r="631">
      <c r="A631" s="3"/>
      <c r="B631" s="19"/>
      <c r="C631" s="19"/>
      <c r="D631" s="19"/>
      <c r="E631" s="3"/>
    </row>
    <row r="632">
      <c r="A632" s="3"/>
      <c r="B632" s="19"/>
      <c r="C632" s="19"/>
      <c r="D632" s="19"/>
      <c r="E632" s="3"/>
    </row>
    <row r="633">
      <c r="A633" s="3"/>
      <c r="B633" s="19"/>
      <c r="C633" s="19"/>
      <c r="D633" s="19"/>
      <c r="E633" s="3"/>
    </row>
    <row r="634">
      <c r="A634" s="3"/>
      <c r="B634" s="19"/>
      <c r="C634" s="19"/>
      <c r="D634" s="19"/>
      <c r="E634" s="3"/>
    </row>
    <row r="635">
      <c r="A635" s="3"/>
      <c r="B635" s="19"/>
      <c r="C635" s="19"/>
      <c r="D635" s="19"/>
      <c r="E635" s="3"/>
    </row>
    <row r="636">
      <c r="A636" s="3"/>
      <c r="B636" s="19"/>
      <c r="C636" s="19"/>
      <c r="D636" s="19"/>
      <c r="E636" s="3"/>
    </row>
    <row r="637">
      <c r="A637" s="3"/>
      <c r="B637" s="19"/>
      <c r="C637" s="19"/>
      <c r="D637" s="19"/>
      <c r="E637" s="3"/>
    </row>
    <row r="638">
      <c r="A638" s="3"/>
      <c r="B638" s="19"/>
      <c r="C638" s="19"/>
      <c r="D638" s="19"/>
      <c r="E638" s="3"/>
    </row>
    <row r="639">
      <c r="A639" s="3"/>
      <c r="B639" s="19"/>
      <c r="C639" s="19"/>
      <c r="D639" s="19"/>
      <c r="E639" s="3"/>
    </row>
    <row r="640">
      <c r="A640" s="3"/>
      <c r="B640" s="19"/>
      <c r="C640" s="19"/>
      <c r="D640" s="19"/>
      <c r="E640" s="3"/>
    </row>
    <row r="641">
      <c r="A641" s="3"/>
      <c r="B641" s="19"/>
      <c r="C641" s="19"/>
      <c r="D641" s="19"/>
      <c r="E641" s="3"/>
    </row>
    <row r="642">
      <c r="A642" s="3"/>
      <c r="B642" s="19"/>
      <c r="C642" s="19"/>
      <c r="D642" s="19"/>
      <c r="E642" s="3"/>
    </row>
    <row r="643">
      <c r="A643" s="3"/>
      <c r="B643" s="19"/>
      <c r="C643" s="19"/>
      <c r="D643" s="19"/>
      <c r="E643" s="3"/>
    </row>
    <row r="644">
      <c r="A644" s="3"/>
      <c r="B644" s="19"/>
      <c r="C644" s="19"/>
      <c r="D644" s="19"/>
      <c r="E644" s="3"/>
    </row>
    <row r="645">
      <c r="A645" s="3"/>
      <c r="B645" s="19"/>
      <c r="C645" s="19"/>
      <c r="D645" s="19"/>
      <c r="E645" s="3"/>
    </row>
    <row r="646">
      <c r="A646" s="3"/>
      <c r="B646" s="19"/>
      <c r="C646" s="19"/>
      <c r="D646" s="19"/>
      <c r="E646" s="3"/>
    </row>
    <row r="647">
      <c r="A647" s="3"/>
      <c r="B647" s="19"/>
      <c r="C647" s="19"/>
      <c r="D647" s="19"/>
      <c r="E647" s="3"/>
    </row>
    <row r="648">
      <c r="A648" s="3"/>
      <c r="B648" s="19"/>
      <c r="C648" s="19"/>
      <c r="D648" s="19"/>
      <c r="E648" s="3"/>
    </row>
    <row r="649">
      <c r="A649" s="3"/>
      <c r="B649" s="19"/>
      <c r="C649" s="19"/>
      <c r="D649" s="19"/>
      <c r="E649" s="3"/>
    </row>
    <row r="650">
      <c r="A650" s="3"/>
      <c r="B650" s="19"/>
      <c r="C650" s="19"/>
      <c r="D650" s="19"/>
      <c r="E650" s="3"/>
    </row>
    <row r="651">
      <c r="A651" s="3"/>
      <c r="B651" s="19"/>
      <c r="C651" s="19"/>
      <c r="D651" s="19"/>
      <c r="E651" s="3"/>
    </row>
    <row r="652">
      <c r="A652" s="3"/>
      <c r="B652" s="19"/>
      <c r="C652" s="19"/>
      <c r="D652" s="19"/>
      <c r="E652" s="3"/>
    </row>
    <row r="653">
      <c r="A653" s="3"/>
      <c r="B653" s="19"/>
      <c r="C653" s="19"/>
      <c r="D653" s="19"/>
      <c r="E653" s="3"/>
    </row>
    <row r="654">
      <c r="A654" s="3"/>
      <c r="B654" s="19"/>
      <c r="C654" s="19"/>
      <c r="D654" s="19"/>
      <c r="E654" s="3"/>
    </row>
    <row r="655">
      <c r="A655" s="3"/>
      <c r="B655" s="19"/>
      <c r="C655" s="19"/>
      <c r="D655" s="19"/>
      <c r="E655" s="3"/>
    </row>
    <row r="656">
      <c r="A656" s="3"/>
      <c r="B656" s="19"/>
      <c r="C656" s="19"/>
      <c r="D656" s="19"/>
      <c r="E656" s="3"/>
    </row>
    <row r="657">
      <c r="A657" s="3"/>
      <c r="B657" s="19"/>
      <c r="C657" s="19"/>
      <c r="D657" s="19"/>
      <c r="E657" s="3"/>
    </row>
    <row r="658">
      <c r="A658" s="3"/>
      <c r="B658" s="19"/>
      <c r="C658" s="19"/>
      <c r="D658" s="19"/>
      <c r="E658" s="3"/>
    </row>
    <row r="659">
      <c r="A659" s="3"/>
      <c r="B659" s="19"/>
      <c r="C659" s="19"/>
      <c r="D659" s="19"/>
      <c r="E659" s="3"/>
    </row>
    <row r="660">
      <c r="A660" s="3"/>
      <c r="B660" s="19"/>
      <c r="C660" s="19"/>
      <c r="D660" s="19"/>
      <c r="E660" s="3"/>
    </row>
    <row r="661">
      <c r="A661" s="3"/>
      <c r="B661" s="19"/>
      <c r="C661" s="19"/>
      <c r="D661" s="19"/>
      <c r="E661" s="3"/>
    </row>
    <row r="662">
      <c r="A662" s="3"/>
      <c r="B662" s="19"/>
      <c r="C662" s="19"/>
      <c r="D662" s="19"/>
      <c r="E662" s="3"/>
    </row>
    <row r="663">
      <c r="A663" s="3"/>
      <c r="B663" s="19"/>
      <c r="C663" s="19"/>
      <c r="D663" s="19"/>
      <c r="E663" s="3"/>
    </row>
    <row r="664">
      <c r="A664" s="3"/>
      <c r="B664" s="19"/>
      <c r="C664" s="19"/>
      <c r="D664" s="19"/>
      <c r="E664" s="3"/>
    </row>
    <row r="665">
      <c r="A665" s="3"/>
      <c r="B665" s="19"/>
      <c r="C665" s="19"/>
      <c r="D665" s="19"/>
      <c r="E665" s="3"/>
    </row>
    <row r="666">
      <c r="A666" s="3"/>
      <c r="B666" s="19"/>
      <c r="C666" s="19"/>
      <c r="D666" s="19"/>
      <c r="E666" s="3"/>
    </row>
    <row r="667">
      <c r="A667" s="3"/>
      <c r="B667" s="19"/>
      <c r="C667" s="19"/>
      <c r="D667" s="19"/>
      <c r="E667" s="3"/>
    </row>
    <row r="668">
      <c r="A668" s="3"/>
      <c r="B668" s="19"/>
      <c r="C668" s="19"/>
      <c r="D668" s="19"/>
      <c r="E668" s="3"/>
    </row>
    <row r="669">
      <c r="A669" s="3"/>
      <c r="B669" s="19"/>
      <c r="C669" s="19"/>
      <c r="D669" s="19"/>
      <c r="E669" s="3"/>
    </row>
    <row r="670">
      <c r="A670" s="3"/>
      <c r="B670" s="19"/>
      <c r="C670" s="19"/>
      <c r="D670" s="19"/>
      <c r="E670" s="3"/>
    </row>
    <row r="671">
      <c r="A671" s="3"/>
      <c r="B671" s="19"/>
      <c r="C671" s="19"/>
      <c r="D671" s="19"/>
      <c r="E671" s="3"/>
    </row>
    <row r="672">
      <c r="A672" s="3"/>
      <c r="B672" s="19"/>
      <c r="C672" s="19"/>
      <c r="D672" s="19"/>
      <c r="E672" s="3"/>
    </row>
    <row r="673">
      <c r="A673" s="3"/>
      <c r="B673" s="19"/>
      <c r="C673" s="19"/>
      <c r="D673" s="19"/>
      <c r="E673" s="3"/>
    </row>
    <row r="674">
      <c r="A674" s="3"/>
      <c r="B674" s="19"/>
      <c r="C674" s="19"/>
      <c r="D674" s="19"/>
      <c r="E674" s="3"/>
    </row>
    <row r="675">
      <c r="A675" s="3"/>
      <c r="B675" s="19"/>
      <c r="C675" s="19"/>
      <c r="D675" s="19"/>
      <c r="E675" s="3"/>
    </row>
    <row r="676">
      <c r="A676" s="3"/>
      <c r="B676" s="19"/>
      <c r="C676" s="19"/>
      <c r="D676" s="19"/>
      <c r="E676" s="3"/>
    </row>
    <row r="677">
      <c r="A677" s="3"/>
      <c r="B677" s="19"/>
      <c r="C677" s="19"/>
      <c r="D677" s="19"/>
      <c r="E677" s="3"/>
    </row>
    <row r="678">
      <c r="A678" s="3"/>
      <c r="B678" s="19"/>
      <c r="C678" s="19"/>
      <c r="D678" s="19"/>
      <c r="E678" s="3"/>
    </row>
    <row r="679">
      <c r="A679" s="3"/>
      <c r="B679" s="19"/>
      <c r="C679" s="19"/>
      <c r="D679" s="19"/>
      <c r="E679" s="3"/>
    </row>
    <row r="680">
      <c r="A680" s="3"/>
      <c r="B680" s="19"/>
      <c r="C680" s="19"/>
      <c r="D680" s="19"/>
      <c r="E680" s="3"/>
    </row>
    <row r="681">
      <c r="A681" s="3"/>
      <c r="B681" s="19"/>
      <c r="C681" s="19"/>
      <c r="D681" s="19"/>
      <c r="E681" s="3"/>
    </row>
    <row r="682">
      <c r="A682" s="3"/>
      <c r="B682" s="19"/>
      <c r="C682" s="19"/>
      <c r="D682" s="19"/>
      <c r="E682" s="3"/>
    </row>
    <row r="683">
      <c r="A683" s="3"/>
      <c r="B683" s="19"/>
      <c r="C683" s="19"/>
      <c r="D683" s="19"/>
      <c r="E683" s="3"/>
    </row>
    <row r="684">
      <c r="A684" s="3"/>
      <c r="B684" s="19"/>
      <c r="C684" s="19"/>
      <c r="D684" s="19"/>
      <c r="E684" s="3"/>
    </row>
    <row r="685">
      <c r="A685" s="3"/>
      <c r="B685" s="19"/>
      <c r="C685" s="19"/>
      <c r="D685" s="19"/>
      <c r="E685" s="3"/>
    </row>
    <row r="686">
      <c r="A686" s="3"/>
      <c r="B686" s="19"/>
      <c r="C686" s="19"/>
      <c r="D686" s="19"/>
      <c r="E686" s="3"/>
    </row>
    <row r="687">
      <c r="A687" s="3"/>
      <c r="B687" s="19"/>
      <c r="C687" s="19"/>
      <c r="D687" s="19"/>
      <c r="E687" s="3"/>
    </row>
    <row r="688">
      <c r="A688" s="3"/>
      <c r="B688" s="19"/>
      <c r="C688" s="19"/>
      <c r="D688" s="19"/>
      <c r="E688" s="3"/>
    </row>
    <row r="689">
      <c r="A689" s="3"/>
      <c r="B689" s="19"/>
      <c r="C689" s="19"/>
      <c r="D689" s="19"/>
      <c r="E689" s="3"/>
    </row>
    <row r="690">
      <c r="A690" s="3"/>
      <c r="B690" s="19"/>
      <c r="C690" s="19"/>
      <c r="D690" s="19"/>
      <c r="E690" s="3"/>
    </row>
    <row r="691">
      <c r="A691" s="3"/>
      <c r="B691" s="19"/>
      <c r="C691" s="19"/>
      <c r="D691" s="19"/>
      <c r="E691" s="3"/>
    </row>
    <row r="692">
      <c r="A692" s="3"/>
      <c r="B692" s="19"/>
      <c r="C692" s="19"/>
      <c r="D692" s="19"/>
      <c r="E692" s="3"/>
    </row>
    <row r="693">
      <c r="A693" s="3"/>
      <c r="B693" s="19"/>
      <c r="C693" s="19"/>
      <c r="D693" s="19"/>
      <c r="E693" s="3"/>
    </row>
    <row r="694">
      <c r="A694" s="3"/>
      <c r="B694" s="19"/>
      <c r="C694" s="19"/>
      <c r="D694" s="19"/>
      <c r="E694" s="3"/>
    </row>
    <row r="695">
      <c r="A695" s="3"/>
      <c r="B695" s="19"/>
      <c r="C695" s="19"/>
      <c r="D695" s="19"/>
      <c r="E695" s="3"/>
    </row>
    <row r="696">
      <c r="A696" s="3"/>
      <c r="B696" s="19"/>
      <c r="C696" s="19"/>
      <c r="D696" s="19"/>
      <c r="E696" s="3"/>
    </row>
    <row r="697">
      <c r="A697" s="3"/>
      <c r="B697" s="19"/>
      <c r="C697" s="19"/>
      <c r="D697" s="19"/>
      <c r="E697" s="3"/>
    </row>
    <row r="698">
      <c r="A698" s="3"/>
      <c r="B698" s="19"/>
      <c r="C698" s="19"/>
      <c r="D698" s="19"/>
      <c r="E698" s="3"/>
    </row>
    <row r="699">
      <c r="A699" s="3"/>
      <c r="B699" s="19"/>
      <c r="C699" s="19"/>
      <c r="D699" s="19"/>
      <c r="E699" s="3"/>
    </row>
    <row r="700">
      <c r="A700" s="3"/>
      <c r="B700" s="19"/>
      <c r="C700" s="19"/>
      <c r="D700" s="19"/>
      <c r="E700" s="3"/>
    </row>
    <row r="701">
      <c r="A701" s="3"/>
      <c r="B701" s="19"/>
      <c r="C701" s="19"/>
      <c r="D701" s="19"/>
      <c r="E701" s="3"/>
    </row>
    <row r="702">
      <c r="A702" s="3"/>
      <c r="B702" s="19"/>
      <c r="C702" s="19"/>
      <c r="D702" s="19"/>
      <c r="E702" s="3"/>
    </row>
    <row r="703">
      <c r="A703" s="3"/>
      <c r="B703" s="19"/>
      <c r="C703" s="19"/>
      <c r="D703" s="19"/>
      <c r="E703" s="3"/>
    </row>
    <row r="704">
      <c r="A704" s="3"/>
      <c r="B704" s="19"/>
      <c r="C704" s="19"/>
      <c r="D704" s="19"/>
      <c r="E704" s="3"/>
    </row>
    <row r="705">
      <c r="A705" s="3"/>
      <c r="B705" s="19"/>
      <c r="C705" s="19"/>
      <c r="D705" s="19"/>
      <c r="E705" s="3"/>
    </row>
    <row r="706">
      <c r="A706" s="3"/>
      <c r="B706" s="19"/>
      <c r="C706" s="19"/>
      <c r="D706" s="19"/>
      <c r="E706" s="3"/>
    </row>
    <row r="707">
      <c r="A707" s="3"/>
      <c r="B707" s="19"/>
      <c r="C707" s="19"/>
      <c r="D707" s="19"/>
      <c r="E707" s="3"/>
    </row>
    <row r="708">
      <c r="A708" s="3"/>
      <c r="B708" s="19"/>
      <c r="C708" s="19"/>
      <c r="D708" s="19"/>
      <c r="E708" s="3"/>
    </row>
    <row r="709">
      <c r="A709" s="3"/>
      <c r="B709" s="19"/>
      <c r="C709" s="19"/>
      <c r="D709" s="19"/>
      <c r="E709" s="3"/>
    </row>
    <row r="710">
      <c r="A710" s="3"/>
      <c r="B710" s="19"/>
      <c r="C710" s="19"/>
      <c r="D710" s="19"/>
      <c r="E710" s="3"/>
    </row>
    <row r="711">
      <c r="A711" s="3"/>
      <c r="B711" s="19"/>
      <c r="C711" s="19"/>
      <c r="D711" s="19"/>
      <c r="E711" s="3"/>
    </row>
    <row r="712">
      <c r="A712" s="3"/>
      <c r="B712" s="19"/>
      <c r="C712" s="19"/>
      <c r="D712" s="19"/>
      <c r="E712" s="3"/>
    </row>
    <row r="713">
      <c r="A713" s="3"/>
      <c r="B713" s="19"/>
      <c r="C713" s="19"/>
      <c r="D713" s="19"/>
      <c r="E713" s="3"/>
    </row>
    <row r="714">
      <c r="A714" s="3"/>
      <c r="B714" s="19"/>
      <c r="C714" s="19"/>
      <c r="D714" s="19"/>
      <c r="E714" s="3"/>
    </row>
    <row r="715">
      <c r="A715" s="3"/>
      <c r="B715" s="19"/>
      <c r="C715" s="19"/>
      <c r="D715" s="19"/>
      <c r="E715" s="3"/>
    </row>
    <row r="716">
      <c r="A716" s="3"/>
      <c r="B716" s="19"/>
      <c r="C716" s="19"/>
      <c r="D716" s="19"/>
      <c r="E716" s="3"/>
    </row>
    <row r="717">
      <c r="A717" s="3"/>
      <c r="B717" s="19"/>
      <c r="C717" s="19"/>
      <c r="D717" s="19"/>
      <c r="E717" s="3"/>
    </row>
    <row r="718">
      <c r="A718" s="3"/>
      <c r="B718" s="19"/>
      <c r="C718" s="19"/>
      <c r="D718" s="19"/>
      <c r="E718" s="3"/>
    </row>
    <row r="719">
      <c r="A719" s="3"/>
      <c r="B719" s="19"/>
      <c r="C719" s="19"/>
      <c r="D719" s="19"/>
      <c r="E719" s="3"/>
    </row>
    <row r="720">
      <c r="A720" s="3"/>
      <c r="B720" s="19"/>
      <c r="C720" s="19"/>
      <c r="D720" s="19"/>
      <c r="E720" s="3"/>
    </row>
    <row r="721">
      <c r="A721" s="3"/>
      <c r="B721" s="19"/>
      <c r="C721" s="19"/>
      <c r="D721" s="19"/>
      <c r="E721" s="3"/>
    </row>
    <row r="722">
      <c r="A722" s="3"/>
      <c r="B722" s="19"/>
      <c r="C722" s="19"/>
      <c r="D722" s="19"/>
      <c r="E722" s="3"/>
    </row>
    <row r="723">
      <c r="A723" s="3"/>
      <c r="B723" s="19"/>
      <c r="C723" s="19"/>
      <c r="D723" s="19"/>
      <c r="E723" s="3"/>
    </row>
    <row r="724">
      <c r="A724" s="3"/>
      <c r="B724" s="19"/>
      <c r="C724" s="19"/>
      <c r="D724" s="19"/>
      <c r="E724" s="3"/>
    </row>
    <row r="725">
      <c r="A725" s="3"/>
      <c r="B725" s="19"/>
      <c r="C725" s="19"/>
      <c r="D725" s="19"/>
      <c r="E725" s="3"/>
    </row>
    <row r="726">
      <c r="A726" s="3"/>
      <c r="B726" s="19"/>
      <c r="C726" s="19"/>
      <c r="D726" s="19"/>
      <c r="E726" s="3"/>
    </row>
    <row r="727">
      <c r="A727" s="3"/>
      <c r="B727" s="19"/>
      <c r="C727" s="19"/>
      <c r="D727" s="19"/>
      <c r="E727" s="3"/>
    </row>
    <row r="728">
      <c r="A728" s="3"/>
      <c r="B728" s="19"/>
      <c r="C728" s="19"/>
      <c r="D728" s="19"/>
      <c r="E728" s="3"/>
    </row>
    <row r="729">
      <c r="A729" s="3"/>
      <c r="B729" s="19"/>
      <c r="C729" s="19"/>
      <c r="D729" s="19"/>
      <c r="E729" s="3"/>
    </row>
    <row r="730">
      <c r="A730" s="3"/>
      <c r="B730" s="19"/>
      <c r="C730" s="19"/>
      <c r="D730" s="19"/>
      <c r="E730" s="3"/>
    </row>
    <row r="731">
      <c r="A731" s="3"/>
      <c r="B731" s="19"/>
      <c r="C731" s="19"/>
      <c r="D731" s="19"/>
      <c r="E731" s="3"/>
    </row>
    <row r="732">
      <c r="A732" s="3"/>
      <c r="B732" s="19"/>
      <c r="C732" s="19"/>
      <c r="D732" s="19"/>
      <c r="E732" s="3"/>
    </row>
    <row r="733">
      <c r="A733" s="3"/>
      <c r="B733" s="19"/>
      <c r="C733" s="19"/>
      <c r="D733" s="19"/>
      <c r="E733" s="3"/>
    </row>
    <row r="734">
      <c r="A734" s="3"/>
      <c r="B734" s="19"/>
      <c r="C734" s="19"/>
      <c r="D734" s="19"/>
      <c r="E734" s="3"/>
    </row>
    <row r="735">
      <c r="A735" s="3"/>
      <c r="B735" s="19"/>
      <c r="C735" s="19"/>
      <c r="D735" s="19"/>
      <c r="E735" s="3"/>
    </row>
    <row r="736">
      <c r="A736" s="3"/>
      <c r="B736" s="19"/>
      <c r="C736" s="19"/>
      <c r="D736" s="19"/>
      <c r="E736" s="3"/>
    </row>
    <row r="737">
      <c r="A737" s="3"/>
      <c r="B737" s="19"/>
      <c r="C737" s="19"/>
      <c r="D737" s="19"/>
      <c r="E737" s="3"/>
    </row>
    <row r="738">
      <c r="A738" s="3"/>
      <c r="B738" s="19"/>
      <c r="C738" s="19"/>
      <c r="D738" s="19"/>
      <c r="E738" s="3"/>
    </row>
    <row r="739">
      <c r="A739" s="3"/>
      <c r="B739" s="19"/>
      <c r="C739" s="19"/>
      <c r="D739" s="19"/>
      <c r="E739" s="3"/>
    </row>
    <row r="740">
      <c r="A740" s="3"/>
      <c r="B740" s="19"/>
      <c r="C740" s="19"/>
      <c r="D740" s="19"/>
      <c r="E740" s="3"/>
    </row>
    <row r="741">
      <c r="A741" s="3"/>
      <c r="B741" s="19"/>
      <c r="C741" s="19"/>
      <c r="D741" s="19"/>
      <c r="E741" s="3"/>
    </row>
    <row r="742">
      <c r="A742" s="3"/>
      <c r="B742" s="19"/>
      <c r="C742" s="19"/>
      <c r="D742" s="19"/>
      <c r="E742" s="3"/>
    </row>
    <row r="743">
      <c r="A743" s="3"/>
      <c r="B743" s="19"/>
      <c r="C743" s="19"/>
      <c r="D743" s="19"/>
      <c r="E743" s="3"/>
    </row>
    <row r="744">
      <c r="A744" s="3"/>
      <c r="B744" s="19"/>
      <c r="C744" s="19"/>
      <c r="D744" s="19"/>
      <c r="E744" s="3"/>
    </row>
    <row r="745">
      <c r="A745" s="3"/>
      <c r="B745" s="19"/>
      <c r="C745" s="19"/>
      <c r="D745" s="19"/>
      <c r="E745" s="3"/>
    </row>
    <row r="746">
      <c r="A746" s="3"/>
      <c r="B746" s="19"/>
      <c r="C746" s="19"/>
      <c r="D746" s="19"/>
      <c r="E746" s="3"/>
    </row>
    <row r="747">
      <c r="A747" s="3"/>
      <c r="B747" s="19"/>
      <c r="C747" s="19"/>
      <c r="D747" s="19"/>
      <c r="E747" s="3"/>
    </row>
    <row r="748">
      <c r="A748" s="3"/>
      <c r="B748" s="19"/>
      <c r="C748" s="19"/>
      <c r="D748" s="19"/>
      <c r="E748" s="3"/>
    </row>
    <row r="749">
      <c r="A749" s="3"/>
      <c r="B749" s="19"/>
      <c r="C749" s="19"/>
      <c r="D749" s="19"/>
      <c r="E749" s="3"/>
    </row>
    <row r="750">
      <c r="A750" s="3"/>
      <c r="B750" s="19"/>
      <c r="C750" s="19"/>
      <c r="D750" s="19"/>
      <c r="E750" s="3"/>
    </row>
    <row r="751">
      <c r="A751" s="3"/>
      <c r="B751" s="19"/>
      <c r="C751" s="19"/>
      <c r="D751" s="19"/>
      <c r="E751" s="3"/>
    </row>
    <row r="752">
      <c r="A752" s="3"/>
      <c r="B752" s="19"/>
      <c r="C752" s="19"/>
      <c r="D752" s="19"/>
      <c r="E752" s="3"/>
    </row>
    <row r="753">
      <c r="A753" s="3"/>
      <c r="B753" s="19"/>
      <c r="C753" s="19"/>
      <c r="D753" s="19"/>
      <c r="E753" s="3"/>
    </row>
    <row r="754">
      <c r="A754" s="3"/>
      <c r="B754" s="19"/>
      <c r="C754" s="19"/>
      <c r="D754" s="19"/>
      <c r="E754" s="3"/>
    </row>
    <row r="755">
      <c r="A755" s="3"/>
      <c r="B755" s="19"/>
      <c r="C755" s="19"/>
      <c r="D755" s="19"/>
      <c r="E755" s="3"/>
    </row>
    <row r="756">
      <c r="A756" s="3"/>
      <c r="B756" s="19"/>
      <c r="C756" s="19"/>
      <c r="D756" s="19"/>
      <c r="E756" s="3"/>
    </row>
    <row r="757">
      <c r="A757" s="3"/>
      <c r="B757" s="19"/>
      <c r="C757" s="19"/>
      <c r="D757" s="19"/>
      <c r="E757" s="3"/>
    </row>
    <row r="758">
      <c r="A758" s="3"/>
      <c r="B758" s="19"/>
      <c r="C758" s="19"/>
      <c r="D758" s="19"/>
      <c r="E758" s="3"/>
    </row>
    <row r="759">
      <c r="A759" s="3"/>
      <c r="B759" s="19"/>
      <c r="C759" s="19"/>
      <c r="D759" s="19"/>
      <c r="E759" s="3"/>
    </row>
    <row r="760">
      <c r="A760" s="3"/>
      <c r="B760" s="19"/>
      <c r="C760" s="19"/>
      <c r="D760" s="19"/>
      <c r="E760" s="3"/>
    </row>
    <row r="761">
      <c r="A761" s="3"/>
      <c r="B761" s="19"/>
      <c r="C761" s="19"/>
      <c r="D761" s="19"/>
      <c r="E761" s="3"/>
    </row>
    <row r="762">
      <c r="A762" s="3"/>
      <c r="B762" s="19"/>
      <c r="C762" s="19"/>
      <c r="D762" s="19"/>
      <c r="E762" s="3"/>
    </row>
    <row r="763">
      <c r="A763" s="3"/>
      <c r="B763" s="19"/>
      <c r="C763" s="19"/>
      <c r="D763" s="19"/>
      <c r="E763" s="3"/>
    </row>
    <row r="764">
      <c r="A764" s="3"/>
      <c r="B764" s="19"/>
      <c r="C764" s="19"/>
      <c r="D764" s="19"/>
      <c r="E764" s="3"/>
    </row>
    <row r="765">
      <c r="A765" s="3"/>
      <c r="B765" s="19"/>
      <c r="C765" s="19"/>
      <c r="D765" s="19"/>
      <c r="E765" s="3"/>
    </row>
    <row r="766">
      <c r="A766" s="3"/>
      <c r="B766" s="19"/>
      <c r="C766" s="19"/>
      <c r="D766" s="19"/>
      <c r="E766" s="3"/>
    </row>
    <row r="767">
      <c r="A767" s="3"/>
      <c r="B767" s="19"/>
      <c r="C767" s="19"/>
      <c r="D767" s="19"/>
      <c r="E767" s="3"/>
    </row>
    <row r="768">
      <c r="A768" s="3"/>
      <c r="B768" s="19"/>
      <c r="C768" s="19"/>
      <c r="D768" s="19"/>
      <c r="E768" s="3"/>
    </row>
    <row r="769">
      <c r="A769" s="3"/>
      <c r="B769" s="19"/>
      <c r="C769" s="19"/>
      <c r="D769" s="19"/>
      <c r="E769" s="3"/>
    </row>
    <row r="770">
      <c r="A770" s="3"/>
      <c r="B770" s="19"/>
      <c r="C770" s="19"/>
      <c r="D770" s="19"/>
      <c r="E770" s="3"/>
    </row>
    <row r="771">
      <c r="A771" s="3"/>
      <c r="B771" s="19"/>
      <c r="C771" s="19"/>
      <c r="D771" s="19"/>
      <c r="E771" s="3"/>
    </row>
    <row r="772">
      <c r="A772" s="3"/>
      <c r="B772" s="19"/>
      <c r="C772" s="19"/>
      <c r="D772" s="19"/>
      <c r="E772" s="3"/>
    </row>
    <row r="773">
      <c r="A773" s="3"/>
      <c r="B773" s="19"/>
      <c r="C773" s="19"/>
      <c r="D773" s="19"/>
      <c r="E773" s="3"/>
    </row>
    <row r="774">
      <c r="A774" s="3"/>
      <c r="B774" s="19"/>
      <c r="C774" s="19"/>
      <c r="D774" s="19"/>
      <c r="E774" s="3"/>
    </row>
    <row r="775">
      <c r="A775" s="3"/>
      <c r="B775" s="19"/>
      <c r="C775" s="19"/>
      <c r="D775" s="19"/>
      <c r="E775" s="3"/>
    </row>
    <row r="776">
      <c r="A776" s="3"/>
      <c r="B776" s="19"/>
      <c r="C776" s="19"/>
      <c r="D776" s="19"/>
      <c r="E776" s="3"/>
    </row>
    <row r="777">
      <c r="A777" s="3"/>
      <c r="B777" s="19"/>
      <c r="C777" s="19"/>
      <c r="D777" s="19"/>
      <c r="E777" s="3"/>
    </row>
    <row r="778">
      <c r="A778" s="3"/>
      <c r="B778" s="19"/>
      <c r="C778" s="19"/>
      <c r="D778" s="19"/>
      <c r="E778" s="3"/>
    </row>
    <row r="779">
      <c r="A779" s="3"/>
      <c r="B779" s="19"/>
      <c r="C779" s="19"/>
      <c r="D779" s="19"/>
      <c r="E779" s="3"/>
    </row>
    <row r="780">
      <c r="A780" s="3"/>
      <c r="B780" s="19"/>
      <c r="C780" s="19"/>
      <c r="D780" s="19"/>
      <c r="E780" s="3"/>
    </row>
    <row r="781">
      <c r="A781" s="3"/>
      <c r="B781" s="19"/>
      <c r="C781" s="19"/>
      <c r="D781" s="19"/>
      <c r="E781" s="3"/>
    </row>
    <row r="782">
      <c r="A782" s="3"/>
      <c r="B782" s="19"/>
      <c r="C782" s="19"/>
      <c r="D782" s="19"/>
      <c r="E782" s="3"/>
    </row>
    <row r="783">
      <c r="A783" s="3"/>
      <c r="B783" s="19"/>
      <c r="C783" s="19"/>
      <c r="D783" s="19"/>
      <c r="E783" s="3"/>
    </row>
    <row r="784">
      <c r="A784" s="3"/>
      <c r="B784" s="19"/>
      <c r="C784" s="19"/>
      <c r="D784" s="19"/>
      <c r="E784" s="3"/>
    </row>
    <row r="785">
      <c r="A785" s="3"/>
      <c r="B785" s="19"/>
      <c r="C785" s="19"/>
      <c r="D785" s="19"/>
      <c r="E785" s="3"/>
    </row>
    <row r="786">
      <c r="A786" s="3"/>
      <c r="B786" s="19"/>
      <c r="C786" s="19"/>
      <c r="D786" s="19"/>
      <c r="E786" s="3"/>
    </row>
    <row r="787">
      <c r="A787" s="3"/>
      <c r="B787" s="19"/>
      <c r="C787" s="19"/>
      <c r="D787" s="19"/>
      <c r="E787" s="3"/>
    </row>
    <row r="788">
      <c r="A788" s="3"/>
      <c r="B788" s="19"/>
      <c r="C788" s="19"/>
      <c r="D788" s="19"/>
      <c r="E788" s="3"/>
    </row>
    <row r="789">
      <c r="A789" s="3"/>
      <c r="B789" s="19"/>
      <c r="C789" s="19"/>
      <c r="D789" s="19"/>
      <c r="E789" s="3"/>
    </row>
    <row r="790">
      <c r="A790" s="3"/>
      <c r="B790" s="19"/>
      <c r="C790" s="19"/>
      <c r="D790" s="19"/>
      <c r="E790" s="3"/>
    </row>
    <row r="791">
      <c r="A791" s="3"/>
      <c r="B791" s="19"/>
      <c r="C791" s="19"/>
      <c r="D791" s="19"/>
      <c r="E791" s="3"/>
    </row>
    <row r="792">
      <c r="A792" s="3"/>
      <c r="B792" s="19"/>
      <c r="C792" s="19"/>
      <c r="D792" s="19"/>
      <c r="E792" s="3"/>
    </row>
    <row r="793">
      <c r="A793" s="3"/>
      <c r="B793" s="19"/>
      <c r="C793" s="19"/>
      <c r="D793" s="19"/>
      <c r="E793" s="3"/>
    </row>
    <row r="794">
      <c r="A794" s="3"/>
      <c r="B794" s="19"/>
      <c r="C794" s="19"/>
      <c r="D794" s="19"/>
      <c r="E794" s="3"/>
    </row>
    <row r="795">
      <c r="A795" s="3"/>
      <c r="B795" s="19"/>
      <c r="C795" s="19"/>
      <c r="D795" s="19"/>
      <c r="E795" s="3"/>
    </row>
    <row r="796">
      <c r="A796" s="3"/>
      <c r="B796" s="19"/>
      <c r="C796" s="19"/>
      <c r="D796" s="19"/>
      <c r="E796" s="3"/>
    </row>
    <row r="797">
      <c r="A797" s="3"/>
      <c r="B797" s="19"/>
      <c r="C797" s="19"/>
      <c r="D797" s="19"/>
      <c r="E797" s="3"/>
    </row>
    <row r="798">
      <c r="A798" s="3"/>
      <c r="B798" s="19"/>
      <c r="C798" s="19"/>
      <c r="D798" s="19"/>
      <c r="E798" s="3"/>
    </row>
    <row r="799">
      <c r="A799" s="3"/>
      <c r="B799" s="19"/>
      <c r="C799" s="19"/>
      <c r="D799" s="19"/>
      <c r="E799" s="3"/>
    </row>
    <row r="800">
      <c r="A800" s="3"/>
      <c r="B800" s="19"/>
      <c r="C800" s="19"/>
      <c r="D800" s="19"/>
      <c r="E800" s="3"/>
    </row>
    <row r="801">
      <c r="A801" s="3"/>
      <c r="B801" s="19"/>
      <c r="C801" s="19"/>
      <c r="D801" s="19"/>
      <c r="E801" s="3"/>
    </row>
    <row r="802">
      <c r="A802" s="3"/>
      <c r="B802" s="19"/>
      <c r="C802" s="19"/>
      <c r="D802" s="19"/>
      <c r="E802" s="3"/>
    </row>
    <row r="803">
      <c r="A803" s="3"/>
      <c r="B803" s="19"/>
      <c r="C803" s="19"/>
      <c r="D803" s="19"/>
      <c r="E803" s="3"/>
    </row>
    <row r="804">
      <c r="A804" s="3"/>
      <c r="B804" s="19"/>
      <c r="C804" s="19"/>
      <c r="D804" s="19"/>
      <c r="E804" s="3"/>
    </row>
    <row r="805">
      <c r="A805" s="3"/>
      <c r="B805" s="19"/>
      <c r="C805" s="19"/>
      <c r="D805" s="19"/>
      <c r="E805" s="3"/>
    </row>
    <row r="806">
      <c r="A806" s="3"/>
      <c r="B806" s="19"/>
      <c r="C806" s="19"/>
      <c r="D806" s="19"/>
      <c r="E806" s="3"/>
    </row>
    <row r="807">
      <c r="A807" s="3"/>
      <c r="B807" s="19"/>
      <c r="C807" s="19"/>
      <c r="D807" s="19"/>
      <c r="E807" s="3"/>
    </row>
    <row r="808">
      <c r="A808" s="3"/>
      <c r="B808" s="19"/>
      <c r="C808" s="19"/>
      <c r="D808" s="19"/>
      <c r="E808" s="3"/>
    </row>
    <row r="809">
      <c r="A809" s="3"/>
      <c r="B809" s="19"/>
      <c r="C809" s="19"/>
      <c r="D809" s="19"/>
      <c r="E809" s="3"/>
    </row>
    <row r="810">
      <c r="A810" s="3"/>
      <c r="B810" s="19"/>
      <c r="C810" s="19"/>
      <c r="D810" s="19"/>
      <c r="E810" s="3"/>
    </row>
    <row r="811">
      <c r="A811" s="3"/>
      <c r="B811" s="19"/>
      <c r="C811" s="19"/>
      <c r="D811" s="19"/>
      <c r="E811" s="3"/>
    </row>
    <row r="812">
      <c r="A812" s="3"/>
      <c r="B812" s="19"/>
      <c r="C812" s="19"/>
      <c r="D812" s="19"/>
      <c r="E812" s="3"/>
    </row>
    <row r="813">
      <c r="A813" s="3"/>
      <c r="B813" s="19"/>
      <c r="C813" s="19"/>
      <c r="D813" s="19"/>
      <c r="E813" s="3"/>
    </row>
    <row r="814">
      <c r="A814" s="3"/>
      <c r="B814" s="19"/>
      <c r="C814" s="19"/>
      <c r="D814" s="19"/>
      <c r="E814" s="3"/>
    </row>
    <row r="815">
      <c r="A815" s="3"/>
      <c r="B815" s="19"/>
      <c r="C815" s="19"/>
      <c r="D815" s="19"/>
      <c r="E815" s="3"/>
    </row>
    <row r="816">
      <c r="A816" s="3"/>
      <c r="B816" s="19"/>
      <c r="C816" s="19"/>
      <c r="D816" s="19"/>
      <c r="E816" s="3"/>
    </row>
    <row r="817">
      <c r="A817" s="3"/>
      <c r="B817" s="19"/>
      <c r="C817" s="19"/>
      <c r="D817" s="19"/>
      <c r="E817" s="3"/>
    </row>
    <row r="818">
      <c r="A818" s="3"/>
      <c r="B818" s="19"/>
      <c r="C818" s="19"/>
      <c r="D818" s="19"/>
      <c r="E818" s="3"/>
    </row>
    <row r="819">
      <c r="A819" s="3"/>
      <c r="B819" s="19"/>
      <c r="C819" s="19"/>
      <c r="D819" s="19"/>
      <c r="E819" s="3"/>
    </row>
    <row r="820">
      <c r="A820" s="3"/>
      <c r="B820" s="19"/>
      <c r="C820" s="19"/>
      <c r="D820" s="19"/>
      <c r="E820" s="3"/>
    </row>
    <row r="821">
      <c r="A821" s="3"/>
      <c r="B821" s="19"/>
      <c r="C821" s="19"/>
      <c r="D821" s="19"/>
      <c r="E821" s="3"/>
    </row>
    <row r="822">
      <c r="A822" s="3"/>
      <c r="B822" s="19"/>
      <c r="C822" s="19"/>
      <c r="D822" s="19"/>
      <c r="E822" s="3"/>
    </row>
    <row r="823">
      <c r="A823" s="3"/>
      <c r="B823" s="19"/>
      <c r="C823" s="19"/>
      <c r="D823" s="19"/>
      <c r="E823" s="3"/>
    </row>
    <row r="824">
      <c r="A824" s="3"/>
      <c r="B824" s="19"/>
      <c r="C824" s="19"/>
      <c r="D824" s="19"/>
      <c r="E824" s="3"/>
    </row>
    <row r="825">
      <c r="A825" s="3"/>
      <c r="B825" s="19"/>
      <c r="C825" s="19"/>
      <c r="D825" s="19"/>
      <c r="E825" s="3"/>
    </row>
    <row r="826">
      <c r="A826" s="3"/>
      <c r="B826" s="19"/>
      <c r="C826" s="19"/>
      <c r="D826" s="19"/>
      <c r="E826" s="3"/>
    </row>
    <row r="827">
      <c r="A827" s="3"/>
      <c r="B827" s="19"/>
      <c r="C827" s="19"/>
      <c r="D827" s="19"/>
      <c r="E827" s="3"/>
    </row>
    <row r="828">
      <c r="A828" s="3"/>
      <c r="B828" s="19"/>
      <c r="C828" s="19"/>
      <c r="D828" s="19"/>
      <c r="E828" s="3"/>
    </row>
    <row r="829">
      <c r="A829" s="3"/>
      <c r="B829" s="19"/>
      <c r="C829" s="19"/>
      <c r="D829" s="19"/>
      <c r="E829" s="3"/>
    </row>
    <row r="830">
      <c r="A830" s="3"/>
      <c r="B830" s="19"/>
      <c r="C830" s="19"/>
      <c r="D830" s="19"/>
      <c r="E830" s="3"/>
    </row>
    <row r="831">
      <c r="A831" s="3"/>
      <c r="B831" s="19"/>
      <c r="C831" s="19"/>
      <c r="D831" s="19"/>
      <c r="E831" s="3"/>
    </row>
    <row r="832">
      <c r="A832" s="3"/>
      <c r="B832" s="19"/>
      <c r="C832" s="19"/>
      <c r="D832" s="19"/>
      <c r="E832" s="3"/>
    </row>
    <row r="833">
      <c r="A833" s="3"/>
      <c r="B833" s="19"/>
      <c r="C833" s="19"/>
      <c r="D833" s="19"/>
      <c r="E833" s="3"/>
    </row>
    <row r="834">
      <c r="A834" s="3"/>
      <c r="B834" s="19"/>
      <c r="C834" s="19"/>
      <c r="D834" s="19"/>
      <c r="E834" s="3"/>
    </row>
    <row r="835">
      <c r="A835" s="3"/>
      <c r="B835" s="19"/>
      <c r="C835" s="19"/>
      <c r="D835" s="19"/>
      <c r="E835" s="3"/>
    </row>
    <row r="836">
      <c r="A836" s="3"/>
      <c r="B836" s="19"/>
      <c r="C836" s="19"/>
      <c r="D836" s="19"/>
      <c r="E836" s="3"/>
    </row>
    <row r="837">
      <c r="A837" s="3"/>
      <c r="B837" s="19"/>
      <c r="C837" s="19"/>
      <c r="D837" s="19"/>
      <c r="E837" s="3"/>
    </row>
    <row r="838">
      <c r="A838" s="3"/>
      <c r="B838" s="19"/>
      <c r="C838" s="19"/>
      <c r="D838" s="19"/>
      <c r="E838" s="3"/>
    </row>
    <row r="839">
      <c r="A839" s="3"/>
      <c r="B839" s="19"/>
      <c r="C839" s="19"/>
      <c r="D839" s="19"/>
      <c r="E839" s="3"/>
    </row>
    <row r="840">
      <c r="A840" s="3"/>
      <c r="B840" s="19"/>
      <c r="C840" s="19"/>
      <c r="D840" s="19"/>
      <c r="E840" s="3"/>
    </row>
    <row r="841">
      <c r="A841" s="3"/>
      <c r="B841" s="19"/>
      <c r="C841" s="19"/>
      <c r="D841" s="19"/>
      <c r="E841" s="3"/>
    </row>
    <row r="842">
      <c r="A842" s="3"/>
      <c r="B842" s="19"/>
      <c r="C842" s="19"/>
      <c r="D842" s="19"/>
      <c r="E842" s="3"/>
    </row>
    <row r="843">
      <c r="A843" s="3"/>
      <c r="B843" s="19"/>
      <c r="C843" s="19"/>
      <c r="D843" s="19"/>
      <c r="E843" s="3"/>
    </row>
    <row r="844">
      <c r="A844" s="3"/>
      <c r="B844" s="19"/>
      <c r="C844" s="19"/>
      <c r="D844" s="19"/>
      <c r="E844" s="3"/>
    </row>
    <row r="845">
      <c r="A845" s="3"/>
      <c r="B845" s="19"/>
      <c r="C845" s="19"/>
      <c r="D845" s="19"/>
      <c r="E845" s="3"/>
    </row>
    <row r="846">
      <c r="A846" s="3"/>
      <c r="B846" s="19"/>
      <c r="C846" s="19"/>
      <c r="D846" s="19"/>
      <c r="E846" s="3"/>
    </row>
    <row r="847">
      <c r="A847" s="3"/>
      <c r="B847" s="19"/>
      <c r="C847" s="19"/>
      <c r="D847" s="19"/>
      <c r="E847" s="3"/>
    </row>
    <row r="848">
      <c r="A848" s="3"/>
      <c r="B848" s="19"/>
      <c r="C848" s="19"/>
      <c r="D848" s="19"/>
      <c r="E848" s="3"/>
    </row>
    <row r="849">
      <c r="A849" s="3"/>
      <c r="B849" s="19"/>
      <c r="C849" s="19"/>
      <c r="D849" s="19"/>
      <c r="E849" s="3"/>
    </row>
    <row r="850">
      <c r="A850" s="3"/>
      <c r="B850" s="19"/>
      <c r="C850" s="19"/>
      <c r="D850" s="19"/>
      <c r="E850" s="3"/>
    </row>
    <row r="851">
      <c r="A851" s="3"/>
      <c r="B851" s="19"/>
      <c r="C851" s="19"/>
      <c r="D851" s="19"/>
      <c r="E851" s="3"/>
    </row>
    <row r="852">
      <c r="A852" s="3"/>
      <c r="B852" s="19"/>
      <c r="C852" s="19"/>
      <c r="D852" s="19"/>
      <c r="E852" s="3"/>
    </row>
    <row r="853">
      <c r="A853" s="3"/>
      <c r="B853" s="19"/>
      <c r="C853" s="19"/>
      <c r="D853" s="19"/>
      <c r="E853" s="3"/>
    </row>
    <row r="854">
      <c r="A854" s="3"/>
      <c r="B854" s="19"/>
      <c r="C854" s="19"/>
      <c r="D854" s="19"/>
      <c r="E854" s="3"/>
    </row>
    <row r="855">
      <c r="A855" s="3"/>
      <c r="B855" s="19"/>
      <c r="C855" s="19"/>
      <c r="D855" s="19"/>
      <c r="E855" s="3"/>
    </row>
    <row r="856">
      <c r="A856" s="3"/>
      <c r="B856" s="19"/>
      <c r="C856" s="19"/>
      <c r="D856" s="19"/>
      <c r="E856" s="3"/>
    </row>
    <row r="857">
      <c r="A857" s="3"/>
      <c r="B857" s="19"/>
      <c r="C857" s="19"/>
      <c r="D857" s="19"/>
      <c r="E857" s="3"/>
    </row>
    <row r="858">
      <c r="A858" s="3"/>
      <c r="B858" s="19"/>
      <c r="C858" s="19"/>
      <c r="D858" s="19"/>
      <c r="E858" s="3"/>
    </row>
    <row r="859">
      <c r="A859" s="3"/>
      <c r="B859" s="19"/>
      <c r="C859" s="19"/>
      <c r="D859" s="19"/>
      <c r="E859" s="3"/>
    </row>
    <row r="860">
      <c r="A860" s="3"/>
      <c r="B860" s="19"/>
      <c r="C860" s="19"/>
      <c r="D860" s="19"/>
      <c r="E860" s="3"/>
    </row>
    <row r="861">
      <c r="A861" s="3"/>
      <c r="B861" s="19"/>
      <c r="C861" s="19"/>
      <c r="D861" s="19"/>
      <c r="E861" s="3"/>
    </row>
    <row r="862">
      <c r="A862" s="3"/>
      <c r="B862" s="19"/>
      <c r="C862" s="19"/>
      <c r="D862" s="19"/>
      <c r="E862" s="3"/>
    </row>
    <row r="863">
      <c r="A863" s="3"/>
      <c r="B863" s="19"/>
      <c r="C863" s="19"/>
      <c r="D863" s="19"/>
      <c r="E863" s="3"/>
    </row>
    <row r="864">
      <c r="A864" s="3"/>
      <c r="B864" s="19"/>
      <c r="C864" s="19"/>
      <c r="D864" s="19"/>
      <c r="E864" s="3"/>
    </row>
    <row r="865">
      <c r="A865" s="3"/>
      <c r="B865" s="19"/>
      <c r="C865" s="19"/>
      <c r="D865" s="19"/>
      <c r="E865" s="3"/>
    </row>
    <row r="866">
      <c r="A866" s="3"/>
      <c r="B866" s="19"/>
      <c r="C866" s="19"/>
      <c r="D866" s="19"/>
      <c r="E866" s="3"/>
    </row>
    <row r="867">
      <c r="A867" s="3"/>
      <c r="B867" s="19"/>
      <c r="C867" s="19"/>
      <c r="D867" s="19"/>
      <c r="E867" s="3"/>
    </row>
    <row r="868">
      <c r="A868" s="3"/>
      <c r="B868" s="19"/>
      <c r="C868" s="19"/>
      <c r="D868" s="19"/>
      <c r="E868" s="3"/>
    </row>
    <row r="869">
      <c r="A869" s="3"/>
      <c r="B869" s="19"/>
      <c r="C869" s="19"/>
      <c r="D869" s="19"/>
      <c r="E869" s="3"/>
    </row>
    <row r="870">
      <c r="A870" s="3"/>
      <c r="B870" s="19"/>
      <c r="C870" s="19"/>
      <c r="D870" s="19"/>
      <c r="E870" s="3"/>
    </row>
    <row r="871">
      <c r="A871" s="3"/>
      <c r="B871" s="19"/>
      <c r="C871" s="19"/>
      <c r="D871" s="19"/>
      <c r="E871" s="3"/>
    </row>
    <row r="872">
      <c r="A872" s="3"/>
      <c r="B872" s="19"/>
      <c r="C872" s="19"/>
      <c r="D872" s="19"/>
      <c r="E872" s="3"/>
    </row>
    <row r="873">
      <c r="A873" s="3"/>
      <c r="B873" s="19"/>
      <c r="C873" s="19"/>
      <c r="D873" s="19"/>
      <c r="E873" s="3"/>
    </row>
    <row r="874">
      <c r="A874" s="3"/>
      <c r="B874" s="19"/>
      <c r="C874" s="19"/>
      <c r="D874" s="19"/>
      <c r="E874" s="3"/>
    </row>
    <row r="875">
      <c r="A875" s="3"/>
      <c r="B875" s="19"/>
      <c r="C875" s="19"/>
      <c r="D875" s="19"/>
      <c r="E875" s="3"/>
    </row>
    <row r="876">
      <c r="A876" s="3"/>
      <c r="B876" s="19"/>
      <c r="C876" s="19"/>
      <c r="D876" s="19"/>
      <c r="E876" s="3"/>
    </row>
    <row r="877">
      <c r="A877" s="3"/>
      <c r="B877" s="19"/>
      <c r="C877" s="19"/>
      <c r="D877" s="19"/>
      <c r="E877" s="3"/>
    </row>
    <row r="878">
      <c r="A878" s="3"/>
      <c r="B878" s="19"/>
      <c r="C878" s="19"/>
      <c r="D878" s="19"/>
      <c r="E878" s="3"/>
    </row>
    <row r="879">
      <c r="A879" s="3"/>
      <c r="B879" s="19"/>
      <c r="C879" s="19"/>
      <c r="D879" s="19"/>
      <c r="E879" s="3"/>
    </row>
    <row r="880">
      <c r="A880" s="3"/>
      <c r="B880" s="19"/>
      <c r="C880" s="19"/>
      <c r="D880" s="19"/>
      <c r="E880" s="3"/>
    </row>
    <row r="881">
      <c r="A881" s="3"/>
      <c r="B881" s="19"/>
      <c r="C881" s="19"/>
      <c r="D881" s="19"/>
      <c r="E881" s="3"/>
    </row>
    <row r="882">
      <c r="A882" s="3"/>
      <c r="B882" s="19"/>
      <c r="C882" s="19"/>
      <c r="D882" s="19"/>
      <c r="E882" s="3"/>
    </row>
    <row r="883">
      <c r="A883" s="3"/>
      <c r="B883" s="19"/>
      <c r="C883" s="19"/>
      <c r="D883" s="19"/>
      <c r="E883" s="3"/>
    </row>
    <row r="884">
      <c r="A884" s="3"/>
      <c r="B884" s="19"/>
      <c r="C884" s="19"/>
      <c r="D884" s="19"/>
      <c r="E884" s="3"/>
    </row>
    <row r="885">
      <c r="A885" s="3"/>
      <c r="B885" s="19"/>
      <c r="C885" s="19"/>
      <c r="D885" s="19"/>
      <c r="E885" s="3"/>
    </row>
    <row r="886">
      <c r="A886" s="3"/>
      <c r="B886" s="19"/>
      <c r="C886" s="19"/>
      <c r="D886" s="19"/>
      <c r="E886" s="3"/>
    </row>
    <row r="887">
      <c r="A887" s="3"/>
      <c r="B887" s="19"/>
      <c r="C887" s="19"/>
      <c r="D887" s="19"/>
      <c r="E887" s="3"/>
    </row>
    <row r="888">
      <c r="A888" s="3"/>
      <c r="B888" s="19"/>
      <c r="C888" s="19"/>
      <c r="D888" s="19"/>
      <c r="E888" s="3"/>
    </row>
    <row r="889">
      <c r="A889" s="3"/>
      <c r="B889" s="19"/>
      <c r="C889" s="19"/>
      <c r="D889" s="19"/>
      <c r="E889" s="3"/>
    </row>
    <row r="890">
      <c r="A890" s="3"/>
      <c r="B890" s="19"/>
      <c r="C890" s="19"/>
      <c r="D890" s="19"/>
      <c r="E890" s="3"/>
    </row>
    <row r="891">
      <c r="A891" s="3"/>
      <c r="B891" s="19"/>
      <c r="C891" s="19"/>
      <c r="D891" s="19"/>
      <c r="E891" s="3"/>
    </row>
    <row r="892">
      <c r="A892" s="3"/>
      <c r="B892" s="19"/>
      <c r="C892" s="19"/>
      <c r="D892" s="19"/>
      <c r="E892" s="3"/>
    </row>
    <row r="893">
      <c r="A893" s="3"/>
      <c r="B893" s="19"/>
      <c r="C893" s="19"/>
      <c r="D893" s="19"/>
      <c r="E893" s="3"/>
    </row>
    <row r="894">
      <c r="A894" s="3"/>
      <c r="B894" s="19"/>
      <c r="C894" s="19"/>
      <c r="D894" s="19"/>
      <c r="E894" s="3"/>
    </row>
    <row r="895">
      <c r="A895" s="3"/>
      <c r="B895" s="19"/>
      <c r="C895" s="19"/>
      <c r="D895" s="19"/>
      <c r="E895" s="3"/>
    </row>
    <row r="896">
      <c r="A896" s="3"/>
      <c r="B896" s="19"/>
      <c r="C896" s="19"/>
      <c r="D896" s="19"/>
      <c r="E896" s="3"/>
    </row>
    <row r="897">
      <c r="A897" s="3"/>
      <c r="B897" s="19"/>
      <c r="C897" s="19"/>
      <c r="D897" s="19"/>
      <c r="E897" s="3"/>
    </row>
    <row r="898">
      <c r="A898" s="3"/>
      <c r="B898" s="19"/>
      <c r="C898" s="19"/>
      <c r="D898" s="19"/>
      <c r="E898" s="3"/>
    </row>
    <row r="899">
      <c r="A899" s="3"/>
      <c r="B899" s="19"/>
      <c r="C899" s="19"/>
      <c r="D899" s="19"/>
      <c r="E899" s="3"/>
    </row>
    <row r="900">
      <c r="A900" s="3"/>
      <c r="B900" s="19"/>
      <c r="C900" s="19"/>
      <c r="D900" s="19"/>
      <c r="E900" s="3"/>
    </row>
    <row r="901">
      <c r="A901" s="3"/>
      <c r="B901" s="19"/>
      <c r="C901" s="19"/>
      <c r="D901" s="19"/>
      <c r="E901" s="3"/>
    </row>
    <row r="902">
      <c r="A902" s="3"/>
      <c r="B902" s="19"/>
      <c r="C902" s="19"/>
      <c r="D902" s="19"/>
      <c r="E902" s="3"/>
    </row>
    <row r="903">
      <c r="A903" s="3"/>
      <c r="B903" s="19"/>
      <c r="C903" s="19"/>
      <c r="D903" s="19"/>
      <c r="E903" s="3"/>
    </row>
    <row r="904">
      <c r="A904" s="3"/>
      <c r="B904" s="19"/>
      <c r="C904" s="19"/>
      <c r="D904" s="19"/>
      <c r="E904" s="3"/>
    </row>
    <row r="905">
      <c r="A905" s="3"/>
      <c r="B905" s="19"/>
      <c r="C905" s="19"/>
      <c r="D905" s="19"/>
      <c r="E905" s="3"/>
    </row>
    <row r="906">
      <c r="A906" s="3"/>
      <c r="B906" s="19"/>
      <c r="C906" s="19"/>
      <c r="D906" s="19"/>
      <c r="E906" s="3"/>
    </row>
    <row r="907">
      <c r="A907" s="3"/>
      <c r="B907" s="19"/>
      <c r="C907" s="19"/>
      <c r="D907" s="19"/>
      <c r="E907" s="3"/>
    </row>
    <row r="908">
      <c r="A908" s="3"/>
      <c r="B908" s="19"/>
      <c r="C908" s="19"/>
      <c r="D908" s="19"/>
      <c r="E908" s="3"/>
    </row>
    <row r="909">
      <c r="A909" s="3"/>
      <c r="B909" s="19"/>
      <c r="C909" s="19"/>
      <c r="D909" s="19"/>
      <c r="E909" s="3"/>
    </row>
    <row r="910">
      <c r="A910" s="3"/>
      <c r="B910" s="19"/>
      <c r="C910" s="19"/>
      <c r="D910" s="19"/>
      <c r="E910" s="3"/>
    </row>
    <row r="911">
      <c r="A911" s="3"/>
      <c r="B911" s="19"/>
      <c r="C911" s="19"/>
      <c r="D911" s="19"/>
      <c r="E911" s="3"/>
    </row>
    <row r="912">
      <c r="A912" s="3"/>
      <c r="B912" s="19"/>
      <c r="C912" s="19"/>
      <c r="D912" s="19"/>
      <c r="E912" s="3"/>
    </row>
    <row r="913">
      <c r="A913" s="3"/>
      <c r="B913" s="19"/>
      <c r="C913" s="19"/>
      <c r="D913" s="19"/>
      <c r="E913" s="3"/>
    </row>
    <row r="914">
      <c r="A914" s="3"/>
      <c r="B914" s="19"/>
      <c r="C914" s="19"/>
      <c r="D914" s="19"/>
      <c r="E914" s="3"/>
    </row>
    <row r="915">
      <c r="A915" s="3"/>
      <c r="B915" s="19"/>
      <c r="C915" s="19"/>
      <c r="D915" s="19"/>
      <c r="E915" s="3"/>
    </row>
    <row r="916">
      <c r="A916" s="3"/>
      <c r="B916" s="19"/>
      <c r="C916" s="19"/>
      <c r="D916" s="19"/>
      <c r="E916" s="3"/>
    </row>
    <row r="917">
      <c r="A917" s="3"/>
      <c r="B917" s="19"/>
      <c r="C917" s="19"/>
      <c r="D917" s="19"/>
      <c r="E917" s="3"/>
    </row>
    <row r="918">
      <c r="A918" s="3"/>
      <c r="B918" s="19"/>
      <c r="C918" s="19"/>
      <c r="D918" s="19"/>
      <c r="E918" s="3"/>
    </row>
    <row r="919">
      <c r="A919" s="3"/>
      <c r="B919" s="19"/>
      <c r="C919" s="19"/>
      <c r="D919" s="19"/>
      <c r="E919" s="3"/>
    </row>
    <row r="920">
      <c r="A920" s="3"/>
      <c r="B920" s="19"/>
      <c r="C920" s="19"/>
      <c r="D920" s="19"/>
      <c r="E920" s="3"/>
    </row>
    <row r="921">
      <c r="A921" s="3"/>
      <c r="B921" s="19"/>
      <c r="C921" s="19"/>
      <c r="D921" s="19"/>
      <c r="E921" s="3"/>
    </row>
    <row r="922">
      <c r="A922" s="3"/>
      <c r="B922" s="19"/>
      <c r="C922" s="19"/>
      <c r="D922" s="19"/>
      <c r="E922" s="3"/>
    </row>
    <row r="923">
      <c r="A923" s="3"/>
      <c r="B923" s="19"/>
      <c r="C923" s="19"/>
      <c r="D923" s="19"/>
      <c r="E923" s="3"/>
    </row>
    <row r="924">
      <c r="A924" s="3"/>
      <c r="B924" s="19"/>
      <c r="C924" s="19"/>
      <c r="D924" s="19"/>
      <c r="E924" s="3"/>
    </row>
    <row r="925">
      <c r="A925" s="3"/>
      <c r="B925" s="19"/>
      <c r="C925" s="19"/>
      <c r="D925" s="19"/>
      <c r="E925" s="3"/>
    </row>
    <row r="926">
      <c r="A926" s="3"/>
      <c r="B926" s="19"/>
      <c r="C926" s="19"/>
      <c r="D926" s="19"/>
      <c r="E926" s="3"/>
    </row>
    <row r="927">
      <c r="A927" s="3"/>
      <c r="B927" s="19"/>
      <c r="C927" s="19"/>
      <c r="D927" s="19"/>
      <c r="E927" s="3"/>
    </row>
    <row r="928">
      <c r="A928" s="3"/>
      <c r="B928" s="19"/>
      <c r="C928" s="19"/>
      <c r="D928" s="19"/>
      <c r="E928" s="3"/>
    </row>
    <row r="929">
      <c r="A929" s="3"/>
      <c r="B929" s="19"/>
      <c r="C929" s="19"/>
      <c r="D929" s="19"/>
      <c r="E929" s="3"/>
    </row>
    <row r="930">
      <c r="A930" s="3"/>
      <c r="B930" s="19"/>
      <c r="C930" s="19"/>
      <c r="D930" s="19"/>
      <c r="E930" s="3"/>
    </row>
    <row r="931">
      <c r="A931" s="3"/>
      <c r="B931" s="19"/>
      <c r="C931" s="19"/>
      <c r="D931" s="19"/>
      <c r="E931" s="3"/>
    </row>
    <row r="932">
      <c r="A932" s="3"/>
      <c r="B932" s="19"/>
      <c r="C932" s="19"/>
      <c r="D932" s="19"/>
      <c r="E932" s="3"/>
    </row>
    <row r="933">
      <c r="A933" s="3"/>
      <c r="B933" s="19"/>
      <c r="C933" s="19"/>
      <c r="D933" s="19"/>
      <c r="E933" s="3"/>
    </row>
    <row r="934">
      <c r="A934" s="3"/>
      <c r="B934" s="19"/>
      <c r="C934" s="19"/>
      <c r="D934" s="19"/>
      <c r="E934" s="3"/>
    </row>
    <row r="935">
      <c r="A935" s="3"/>
      <c r="B935" s="19"/>
      <c r="C935" s="19"/>
      <c r="D935" s="19"/>
      <c r="E935" s="3"/>
    </row>
    <row r="936">
      <c r="A936" s="3"/>
      <c r="B936" s="19"/>
      <c r="C936" s="19"/>
      <c r="D936" s="19"/>
      <c r="E936" s="3"/>
    </row>
    <row r="937">
      <c r="A937" s="3"/>
      <c r="B937" s="19"/>
      <c r="C937" s="19"/>
      <c r="D937" s="19"/>
      <c r="E937" s="3"/>
    </row>
    <row r="938">
      <c r="A938" s="3"/>
      <c r="B938" s="19"/>
      <c r="C938" s="19"/>
      <c r="D938" s="19"/>
      <c r="E938" s="3"/>
    </row>
    <row r="939">
      <c r="A939" s="3"/>
      <c r="B939" s="19"/>
      <c r="C939" s="19"/>
      <c r="D939" s="19"/>
      <c r="E939" s="3"/>
    </row>
    <row r="940">
      <c r="A940" s="3"/>
      <c r="B940" s="19"/>
      <c r="C940" s="19"/>
      <c r="D940" s="19"/>
      <c r="E940" s="3"/>
    </row>
    <row r="941">
      <c r="A941" s="3"/>
      <c r="B941" s="19"/>
      <c r="C941" s="19"/>
      <c r="D941" s="19"/>
      <c r="E941" s="3"/>
    </row>
    <row r="942">
      <c r="A942" s="3"/>
      <c r="B942" s="19"/>
      <c r="C942" s="19"/>
      <c r="D942" s="19"/>
      <c r="E942" s="3"/>
    </row>
    <row r="943">
      <c r="A943" s="3"/>
      <c r="B943" s="19"/>
      <c r="C943" s="19"/>
      <c r="D943" s="19"/>
      <c r="E943" s="3"/>
    </row>
    <row r="944">
      <c r="A944" s="3"/>
      <c r="B944" s="19"/>
      <c r="C944" s="19"/>
      <c r="D944" s="19"/>
      <c r="E944" s="3"/>
    </row>
    <row r="945">
      <c r="A945" s="3"/>
      <c r="B945" s="19"/>
      <c r="C945" s="19"/>
      <c r="D945" s="19"/>
      <c r="E945" s="3"/>
    </row>
    <row r="946">
      <c r="A946" s="3"/>
      <c r="B946" s="19"/>
      <c r="C946" s="19"/>
      <c r="D946" s="19"/>
      <c r="E946" s="3"/>
    </row>
    <row r="947">
      <c r="A947" s="3"/>
      <c r="B947" s="19"/>
      <c r="C947" s="19"/>
      <c r="D947" s="19"/>
      <c r="E947" s="3"/>
    </row>
    <row r="948">
      <c r="A948" s="3"/>
      <c r="B948" s="19"/>
      <c r="C948" s="19"/>
      <c r="D948" s="19"/>
      <c r="E948" s="3"/>
    </row>
    <row r="949">
      <c r="A949" s="3"/>
      <c r="B949" s="19"/>
      <c r="C949" s="19"/>
      <c r="D949" s="19"/>
      <c r="E949" s="3"/>
    </row>
    <row r="950">
      <c r="A950" s="3"/>
      <c r="B950" s="19"/>
      <c r="C950" s="19"/>
      <c r="D950" s="19"/>
      <c r="E950" s="3"/>
    </row>
    <row r="951">
      <c r="A951" s="3"/>
      <c r="B951" s="19"/>
      <c r="C951" s="19"/>
      <c r="D951" s="19"/>
      <c r="E951" s="3"/>
    </row>
    <row r="952">
      <c r="A952" s="3"/>
      <c r="B952" s="19"/>
      <c r="C952" s="19"/>
      <c r="D952" s="19"/>
      <c r="E952" s="3"/>
    </row>
    <row r="953">
      <c r="A953" s="3"/>
      <c r="B953" s="19"/>
      <c r="C953" s="19"/>
      <c r="D953" s="19"/>
      <c r="E953" s="3"/>
    </row>
    <row r="954">
      <c r="A954" s="3"/>
      <c r="B954" s="19"/>
      <c r="C954" s="19"/>
      <c r="D954" s="19"/>
      <c r="E954" s="3"/>
    </row>
    <row r="955">
      <c r="A955" s="3"/>
      <c r="B955" s="19"/>
      <c r="C955" s="19"/>
      <c r="D955" s="19"/>
      <c r="E955" s="3"/>
    </row>
    <row r="956">
      <c r="A956" s="3"/>
      <c r="B956" s="19"/>
      <c r="C956" s="19"/>
      <c r="D956" s="19"/>
      <c r="E956" s="3"/>
    </row>
    <row r="957">
      <c r="A957" s="3"/>
      <c r="B957" s="19"/>
      <c r="C957" s="19"/>
      <c r="D957" s="19"/>
      <c r="E957" s="3"/>
    </row>
    <row r="958">
      <c r="A958" s="3"/>
      <c r="B958" s="19"/>
      <c r="C958" s="19"/>
      <c r="D958" s="19"/>
      <c r="E958" s="3"/>
    </row>
    <row r="959">
      <c r="A959" s="3"/>
      <c r="B959" s="19"/>
      <c r="C959" s="19"/>
      <c r="D959" s="19"/>
      <c r="E959" s="3"/>
    </row>
    <row r="960">
      <c r="A960" s="3"/>
      <c r="B960" s="19"/>
      <c r="C960" s="19"/>
      <c r="D960" s="19"/>
      <c r="E960" s="3"/>
    </row>
    <row r="961">
      <c r="A961" s="3"/>
      <c r="B961" s="19"/>
      <c r="C961" s="19"/>
      <c r="D961" s="19"/>
      <c r="E961" s="3"/>
    </row>
    <row r="962">
      <c r="A962" s="3"/>
      <c r="B962" s="19"/>
      <c r="C962" s="19"/>
      <c r="D962" s="19"/>
      <c r="E962" s="3"/>
    </row>
    <row r="963">
      <c r="A963" s="3"/>
      <c r="B963" s="19"/>
      <c r="C963" s="19"/>
      <c r="D963" s="19"/>
      <c r="E963" s="3"/>
    </row>
    <row r="964">
      <c r="A964" s="3"/>
      <c r="B964" s="19"/>
      <c r="C964" s="19"/>
      <c r="D964" s="19"/>
      <c r="E964" s="3"/>
    </row>
    <row r="965">
      <c r="A965" s="3"/>
      <c r="B965" s="19"/>
      <c r="C965" s="19"/>
      <c r="D965" s="19"/>
      <c r="E965" s="3"/>
    </row>
    <row r="966">
      <c r="A966" s="3"/>
      <c r="B966" s="19"/>
      <c r="C966" s="19"/>
      <c r="D966" s="19"/>
      <c r="E966" s="3"/>
    </row>
    <row r="967">
      <c r="A967" s="3"/>
      <c r="B967" s="19"/>
      <c r="C967" s="19"/>
      <c r="D967" s="19"/>
      <c r="E967" s="3"/>
    </row>
    <row r="968">
      <c r="A968" s="3"/>
      <c r="B968" s="19"/>
      <c r="C968" s="19"/>
      <c r="D968" s="19"/>
      <c r="E968" s="3"/>
    </row>
    <row r="969">
      <c r="A969" s="3"/>
      <c r="B969" s="19"/>
      <c r="C969" s="19"/>
      <c r="D969" s="19"/>
      <c r="E969" s="3"/>
    </row>
    <row r="970">
      <c r="A970" s="3"/>
      <c r="B970" s="19"/>
      <c r="C970" s="19"/>
      <c r="D970" s="19"/>
      <c r="E970" s="3"/>
    </row>
    <row r="971">
      <c r="A971" s="3"/>
      <c r="B971" s="19"/>
      <c r="C971" s="19"/>
      <c r="D971" s="19"/>
      <c r="E971" s="3"/>
    </row>
    <row r="972">
      <c r="A972" s="3"/>
      <c r="B972" s="19"/>
      <c r="C972" s="19"/>
      <c r="D972" s="19"/>
      <c r="E972" s="3"/>
    </row>
    <row r="973">
      <c r="A973" s="3"/>
      <c r="B973" s="19"/>
      <c r="C973" s="19"/>
      <c r="D973" s="19"/>
      <c r="E973" s="3"/>
    </row>
    <row r="974">
      <c r="A974" s="3"/>
      <c r="B974" s="19"/>
      <c r="C974" s="19"/>
      <c r="D974" s="19"/>
      <c r="E974" s="3"/>
    </row>
    <row r="975">
      <c r="A975" s="3"/>
      <c r="B975" s="19"/>
      <c r="C975" s="19"/>
      <c r="D975" s="19"/>
      <c r="E975" s="3"/>
    </row>
    <row r="976">
      <c r="A976" s="3"/>
      <c r="B976" s="19"/>
      <c r="C976" s="19"/>
      <c r="D976" s="19"/>
      <c r="E976" s="3"/>
    </row>
    <row r="977">
      <c r="A977" s="3"/>
      <c r="B977" s="19"/>
      <c r="C977" s="19"/>
      <c r="D977" s="19"/>
      <c r="E977" s="3"/>
    </row>
    <row r="978">
      <c r="A978" s="3"/>
      <c r="B978" s="19"/>
      <c r="C978" s="19"/>
      <c r="D978" s="19"/>
      <c r="E978" s="3"/>
    </row>
    <row r="979">
      <c r="A979" s="3"/>
      <c r="B979" s="19"/>
      <c r="C979" s="19"/>
      <c r="D979" s="19"/>
      <c r="E979" s="3"/>
    </row>
    <row r="980">
      <c r="A980" s="3"/>
      <c r="B980" s="19"/>
      <c r="C980" s="19"/>
      <c r="D980" s="19"/>
      <c r="E980" s="3"/>
    </row>
    <row r="981">
      <c r="A981" s="3"/>
      <c r="B981" s="19"/>
      <c r="C981" s="19"/>
      <c r="D981" s="19"/>
      <c r="E981" s="3"/>
    </row>
    <row r="982">
      <c r="A982" s="3"/>
      <c r="B982" s="19"/>
      <c r="C982" s="19"/>
      <c r="D982" s="19"/>
      <c r="E982" s="3"/>
    </row>
    <row r="983">
      <c r="A983" s="3"/>
      <c r="B983" s="19"/>
      <c r="C983" s="19"/>
      <c r="D983" s="19"/>
      <c r="E983" s="3"/>
    </row>
    <row r="984">
      <c r="A984" s="3"/>
      <c r="B984" s="19"/>
      <c r="C984" s="19"/>
      <c r="D984" s="19"/>
      <c r="E984" s="3"/>
    </row>
    <row r="985">
      <c r="A985" s="3"/>
      <c r="B985" s="19"/>
      <c r="C985" s="19"/>
      <c r="D985" s="19"/>
      <c r="E985" s="3"/>
    </row>
    <row r="986">
      <c r="A986" s="3"/>
      <c r="B986" s="19"/>
      <c r="C986" s="19"/>
      <c r="D986" s="19"/>
      <c r="E986" s="3"/>
    </row>
    <row r="987">
      <c r="A987" s="3"/>
      <c r="B987" s="19"/>
      <c r="C987" s="19"/>
      <c r="D987" s="19"/>
      <c r="E987" s="3"/>
    </row>
    <row r="988">
      <c r="A988" s="3"/>
      <c r="B988" s="19"/>
      <c r="C988" s="19"/>
      <c r="D988" s="19"/>
      <c r="E988" s="3"/>
    </row>
    <row r="989">
      <c r="A989" s="3"/>
      <c r="B989" s="19"/>
      <c r="C989" s="19"/>
      <c r="D989" s="19"/>
      <c r="E989" s="3"/>
    </row>
    <row r="990">
      <c r="A990" s="3"/>
      <c r="B990" s="19"/>
      <c r="C990" s="19"/>
      <c r="D990" s="19"/>
      <c r="E990" s="3"/>
    </row>
    <row r="991">
      <c r="A991" s="3"/>
      <c r="B991" s="19"/>
      <c r="C991" s="19"/>
      <c r="D991" s="19"/>
      <c r="E991" s="3"/>
    </row>
    <row r="992">
      <c r="A992" s="3"/>
      <c r="B992" s="19"/>
      <c r="C992" s="19"/>
      <c r="D992" s="19"/>
      <c r="E992" s="3"/>
    </row>
    <row r="993">
      <c r="A993" s="3"/>
      <c r="B993" s="19"/>
      <c r="C993" s="19"/>
      <c r="D993" s="19"/>
      <c r="E993" s="3"/>
    </row>
    <row r="994">
      <c r="A994" s="3"/>
      <c r="B994" s="19"/>
      <c r="C994" s="19"/>
      <c r="D994" s="19"/>
      <c r="E994" s="3"/>
    </row>
    <row r="995">
      <c r="A995" s="3"/>
      <c r="B995" s="19"/>
      <c r="C995" s="19"/>
      <c r="D995" s="19"/>
      <c r="E995" s="3"/>
    </row>
    <row r="996">
      <c r="A996" s="3"/>
      <c r="B996" s="19"/>
      <c r="C996" s="19"/>
      <c r="D996" s="19"/>
      <c r="E996" s="3"/>
    </row>
    <row r="997">
      <c r="A997" s="3"/>
      <c r="B997" s="19"/>
      <c r="C997" s="19"/>
      <c r="D997" s="19"/>
      <c r="E997" s="3"/>
    </row>
    <row r="998">
      <c r="A998" s="3"/>
      <c r="B998" s="19"/>
      <c r="C998" s="19"/>
      <c r="D998" s="19"/>
      <c r="E998" s="3"/>
    </row>
    <row r="999">
      <c r="A999" s="3"/>
      <c r="B999" s="19"/>
      <c r="C999" s="19"/>
      <c r="D999" s="19"/>
      <c r="E999" s="3"/>
    </row>
    <row r="1000">
      <c r="A1000" s="3"/>
      <c r="B1000" s="19"/>
      <c r="C1000" s="19"/>
      <c r="D1000" s="19"/>
      <c r="E1000" s="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3" t="str">
        <f t="array" ref="A1:A1000">sort(Stats!A1:A1000,Stats!Q1:Q1000,false)</f>
        <v>Player</v>
      </c>
      <c r="B1" s="19" t="str">
        <f t="array" ref="B1:B1000">sort(Stats!C1:C1000,Stats!Q1:Q1000,false)</f>
        <v>GP</v>
      </c>
      <c r="C1" s="19" t="str">
        <f t="array" ref="C1:E1000">sort(Stats!O1:Q1000,Stats!Q1:Q1000,false)</f>
        <v>C TU</v>
      </c>
      <c r="D1" s="19" t="s">
        <v>67</v>
      </c>
      <c r="E1" s="3" t="s">
        <v>68</v>
      </c>
    </row>
    <row r="2">
      <c r="A2" s="3" t="s">
        <v>29</v>
      </c>
      <c r="B2" s="19">
        <v>8.0</v>
      </c>
      <c r="C2" s="19">
        <v>18.0</v>
      </c>
      <c r="D2" s="19">
        <v>1.0</v>
      </c>
      <c r="E2" s="3">
        <v>8.5</v>
      </c>
    </row>
    <row r="3">
      <c r="A3" s="3" t="s">
        <v>15</v>
      </c>
      <c r="B3" s="19">
        <v>9.0</v>
      </c>
      <c r="C3" s="19">
        <v>18.0</v>
      </c>
      <c r="D3" s="19">
        <v>1.0</v>
      </c>
      <c r="E3" s="20">
        <v>7.555555555555555</v>
      </c>
    </row>
    <row r="4">
      <c r="A4" s="3" t="s">
        <v>24</v>
      </c>
      <c r="B4" s="19">
        <v>9.0</v>
      </c>
      <c r="C4" s="19">
        <v>6.0</v>
      </c>
      <c r="D4" s="19">
        <v>1.0</v>
      </c>
      <c r="E4" s="20">
        <v>2.2222222222222223</v>
      </c>
    </row>
    <row r="5">
      <c r="A5" s="3" t="s">
        <v>42</v>
      </c>
      <c r="B5" s="19">
        <v>8.0</v>
      </c>
      <c r="C5" s="19">
        <v>4.0</v>
      </c>
      <c r="D5" s="19">
        <v>0.0</v>
      </c>
      <c r="E5" s="3">
        <v>2.0</v>
      </c>
    </row>
    <row r="6">
      <c r="A6" s="3" t="s">
        <v>35</v>
      </c>
      <c r="B6" s="19">
        <v>8.0</v>
      </c>
      <c r="C6" s="19">
        <v>10.0</v>
      </c>
      <c r="D6" s="19">
        <v>6.0</v>
      </c>
      <c r="E6" s="3">
        <v>2.0</v>
      </c>
    </row>
    <row r="7">
      <c r="A7" s="3" t="s">
        <v>41</v>
      </c>
      <c r="B7" s="19">
        <v>6.0</v>
      </c>
      <c r="C7" s="19">
        <v>3.0</v>
      </c>
      <c r="D7" s="19">
        <v>1.0</v>
      </c>
      <c r="E7" s="20">
        <v>1.3333333333333333</v>
      </c>
    </row>
    <row r="8">
      <c r="A8" s="3" t="s">
        <v>33</v>
      </c>
      <c r="B8" s="19">
        <v>8.0</v>
      </c>
      <c r="C8" s="19">
        <v>2.0</v>
      </c>
      <c r="D8" s="19">
        <v>0.0</v>
      </c>
      <c r="E8" s="3">
        <v>1.0</v>
      </c>
    </row>
    <row r="9">
      <c r="A9" s="3" t="s">
        <v>23</v>
      </c>
      <c r="B9" s="19">
        <v>9.0</v>
      </c>
      <c r="C9" s="19">
        <v>2.0</v>
      </c>
      <c r="D9" s="19">
        <v>0.0</v>
      </c>
      <c r="E9" s="20">
        <v>0.8888888888888888</v>
      </c>
    </row>
    <row r="10">
      <c r="A10" s="3" t="s">
        <v>26</v>
      </c>
      <c r="B10" s="19">
        <v>9.0</v>
      </c>
      <c r="C10" s="19">
        <v>2.0</v>
      </c>
      <c r="D10" s="19">
        <v>0.0</v>
      </c>
      <c r="E10" s="20">
        <v>0.8888888888888888</v>
      </c>
    </row>
    <row r="11">
      <c r="A11" s="3" t="s">
        <v>11</v>
      </c>
      <c r="B11" s="19">
        <v>6.0</v>
      </c>
      <c r="C11" s="19">
        <v>1.0</v>
      </c>
      <c r="D11" s="19">
        <v>0.0</v>
      </c>
      <c r="E11" s="20">
        <v>0.6666666666666666</v>
      </c>
    </row>
    <row r="12">
      <c r="A12" s="3" t="s">
        <v>13</v>
      </c>
      <c r="B12" s="19">
        <v>6.0</v>
      </c>
      <c r="C12" s="19">
        <v>1.0</v>
      </c>
      <c r="D12" s="19">
        <v>0.0</v>
      </c>
      <c r="E12" s="20">
        <v>0.6666666666666666</v>
      </c>
    </row>
    <row r="13">
      <c r="A13" s="3" t="s">
        <v>40</v>
      </c>
      <c r="B13" s="19">
        <v>6.0</v>
      </c>
      <c r="C13" s="19">
        <v>1.0</v>
      </c>
      <c r="D13" s="19">
        <v>0.0</v>
      </c>
      <c r="E13" s="20">
        <v>0.6666666666666666</v>
      </c>
    </row>
    <row r="14">
      <c r="A14" s="3" t="s">
        <v>38</v>
      </c>
      <c r="B14" s="19">
        <v>6.0</v>
      </c>
      <c r="C14" s="19">
        <v>1.0</v>
      </c>
      <c r="D14" s="19">
        <v>0.0</v>
      </c>
      <c r="E14" s="20">
        <v>0.6666666666666666</v>
      </c>
    </row>
    <row r="15">
      <c r="A15" s="3" t="s">
        <v>12</v>
      </c>
      <c r="B15" s="19">
        <v>6.0</v>
      </c>
      <c r="C15" s="19">
        <v>1.0</v>
      </c>
      <c r="D15" s="19">
        <v>0.0</v>
      </c>
      <c r="E15" s="20">
        <v>0.6666666666666666</v>
      </c>
    </row>
    <row r="16">
      <c r="A16" s="3" t="s">
        <v>28</v>
      </c>
      <c r="B16" s="19">
        <v>8.0</v>
      </c>
      <c r="C16" s="19">
        <v>1.0</v>
      </c>
      <c r="D16" s="19">
        <v>0.0</v>
      </c>
      <c r="E16" s="3">
        <v>0.5</v>
      </c>
    </row>
    <row r="17">
      <c r="A17" s="3" t="s">
        <v>19</v>
      </c>
      <c r="B17" s="19">
        <v>8.0</v>
      </c>
      <c r="C17" s="19">
        <v>1.0</v>
      </c>
      <c r="D17" s="19">
        <v>0.0</v>
      </c>
      <c r="E17" s="3">
        <v>0.5</v>
      </c>
    </row>
    <row r="18">
      <c r="A18" s="3" t="s">
        <v>30</v>
      </c>
      <c r="B18" s="19">
        <v>8.0</v>
      </c>
      <c r="C18" s="19">
        <v>1.0</v>
      </c>
      <c r="D18" s="19">
        <v>0.0</v>
      </c>
      <c r="E18" s="3">
        <v>0.5</v>
      </c>
    </row>
    <row r="19">
      <c r="A19" s="3" t="s">
        <v>18</v>
      </c>
      <c r="B19" s="19">
        <v>9.0</v>
      </c>
      <c r="C19" s="19">
        <v>0.0</v>
      </c>
      <c r="D19" s="19">
        <v>0.0</v>
      </c>
      <c r="E19" s="3">
        <v>0.0</v>
      </c>
    </row>
    <row r="20">
      <c r="A20" s="3" t="s">
        <v>25</v>
      </c>
      <c r="B20" s="19">
        <v>9.0</v>
      </c>
      <c r="C20" s="19">
        <v>0.0</v>
      </c>
      <c r="D20" s="19">
        <v>0.0</v>
      </c>
      <c r="E20" s="3">
        <v>0.0</v>
      </c>
    </row>
    <row r="21">
      <c r="A21" s="3" t="s">
        <v>17</v>
      </c>
      <c r="B21" s="19">
        <v>9.0</v>
      </c>
      <c r="C21" s="19">
        <v>1.0</v>
      </c>
      <c r="D21" s="19">
        <v>1.0</v>
      </c>
      <c r="E21" s="3">
        <v>0.0</v>
      </c>
    </row>
    <row r="22">
      <c r="A22" s="3" t="s">
        <v>36</v>
      </c>
      <c r="B22" s="19">
        <v>8.0</v>
      </c>
      <c r="C22" s="19">
        <v>0.0</v>
      </c>
      <c r="D22" s="19">
        <v>0.0</v>
      </c>
      <c r="E22" s="3">
        <v>0.0</v>
      </c>
    </row>
    <row r="23">
      <c r="A23" s="3" t="s">
        <v>45</v>
      </c>
      <c r="B23" s="19">
        <v>8.0</v>
      </c>
      <c r="C23" s="19">
        <v>0.0</v>
      </c>
      <c r="D23" s="19">
        <v>0.0</v>
      </c>
      <c r="E23" s="3">
        <v>0.0</v>
      </c>
    </row>
    <row r="24">
      <c r="A24" s="3" t="s">
        <v>39</v>
      </c>
      <c r="B24" s="19">
        <v>6.0</v>
      </c>
      <c r="C24" s="19">
        <v>0.0</v>
      </c>
      <c r="D24" s="19">
        <v>0.0</v>
      </c>
      <c r="E24" s="3">
        <v>0.0</v>
      </c>
    </row>
    <row r="25">
      <c r="A25" s="3" t="s">
        <v>34</v>
      </c>
      <c r="B25" s="19">
        <v>8.0</v>
      </c>
      <c r="C25" s="19">
        <v>0.0</v>
      </c>
      <c r="D25" s="19">
        <v>0.0</v>
      </c>
      <c r="E25" s="3">
        <v>0.0</v>
      </c>
    </row>
    <row r="26">
      <c r="A26" s="3" t="s">
        <v>44</v>
      </c>
      <c r="B26" s="19">
        <v>8.0</v>
      </c>
      <c r="C26" s="19">
        <v>0.0</v>
      </c>
      <c r="D26" s="19">
        <v>0.0</v>
      </c>
      <c r="E26" s="3">
        <v>0.0</v>
      </c>
    </row>
    <row r="27">
      <c r="A27" s="3" t="s">
        <v>16</v>
      </c>
      <c r="B27" s="19">
        <v>9.0</v>
      </c>
      <c r="C27" s="19">
        <v>0.0</v>
      </c>
      <c r="D27" s="19">
        <v>0.0</v>
      </c>
      <c r="E27" s="3">
        <v>0.0</v>
      </c>
    </row>
    <row r="28">
      <c r="A28" s="3" t="s">
        <v>37</v>
      </c>
      <c r="B28" s="19">
        <v>8.0</v>
      </c>
      <c r="C28" s="19">
        <v>0.0</v>
      </c>
      <c r="D28" s="19">
        <v>0.0</v>
      </c>
      <c r="E28" s="3">
        <v>0.0</v>
      </c>
    </row>
    <row r="29">
      <c r="A29" s="3" t="s">
        <v>14</v>
      </c>
      <c r="B29" s="19">
        <v>6.0</v>
      </c>
      <c r="C29" s="19">
        <v>0.0</v>
      </c>
      <c r="D29" s="19">
        <v>0.0</v>
      </c>
      <c r="E29" s="3">
        <v>0.0</v>
      </c>
    </row>
    <row r="30">
      <c r="A30" s="3" t="s">
        <v>43</v>
      </c>
      <c r="B30" s="19">
        <v>8.0</v>
      </c>
      <c r="C30" s="19">
        <v>0.0</v>
      </c>
      <c r="D30" s="19">
        <v>0.0</v>
      </c>
      <c r="E30" s="3">
        <v>0.0</v>
      </c>
    </row>
    <row r="31">
      <c r="A31" s="3" t="s">
        <v>13</v>
      </c>
      <c r="B31" s="19">
        <v>8.0</v>
      </c>
      <c r="C31" s="19">
        <v>1.0</v>
      </c>
      <c r="D31" s="19">
        <v>1.0</v>
      </c>
      <c r="E31" s="3">
        <v>0.0</v>
      </c>
    </row>
    <row r="32">
      <c r="A32" s="3" t="s">
        <v>31</v>
      </c>
      <c r="B32" s="19">
        <v>8.0</v>
      </c>
      <c r="C32" s="19">
        <v>0.0</v>
      </c>
      <c r="D32" s="19">
        <v>0.0</v>
      </c>
      <c r="E32" s="3">
        <v>0.0</v>
      </c>
    </row>
    <row r="33">
      <c r="A33" s="3" t="s">
        <v>10</v>
      </c>
      <c r="B33" s="19">
        <v>6.0</v>
      </c>
      <c r="C33" s="19">
        <v>0.0</v>
      </c>
      <c r="D33" s="19">
        <v>0.0</v>
      </c>
      <c r="E33" s="3">
        <v>0.0</v>
      </c>
    </row>
    <row r="34">
      <c r="A34" s="3" t="s">
        <v>32</v>
      </c>
      <c r="B34" s="19">
        <v>8.0</v>
      </c>
      <c r="C34" s="19">
        <v>0.0</v>
      </c>
      <c r="D34" s="19">
        <v>0.0</v>
      </c>
      <c r="E34" s="3">
        <v>0.0</v>
      </c>
    </row>
    <row r="35">
      <c r="A35" s="3" t="s">
        <v>27</v>
      </c>
      <c r="B35" s="19">
        <v>9.0</v>
      </c>
      <c r="C35" s="19">
        <v>0.0</v>
      </c>
      <c r="D35" s="19">
        <v>0.0</v>
      </c>
      <c r="E35" s="3">
        <v>0.0</v>
      </c>
    </row>
    <row r="36">
      <c r="A36" s="3" t="s">
        <v>20</v>
      </c>
      <c r="B36" s="19">
        <v>8.0</v>
      </c>
      <c r="C36" s="19">
        <v>0.0</v>
      </c>
      <c r="D36" s="19">
        <v>0.0</v>
      </c>
      <c r="E36" s="3">
        <v>0.0</v>
      </c>
    </row>
    <row r="37">
      <c r="A37" s="3" t="s">
        <v>22</v>
      </c>
      <c r="B37" s="19">
        <v>7.0</v>
      </c>
      <c r="C37" s="19">
        <v>0.0</v>
      </c>
      <c r="D37" s="19">
        <v>1.0</v>
      </c>
      <c r="E37" s="20">
        <v>-0.5714285714285714</v>
      </c>
    </row>
    <row r="38">
      <c r="A38" s="3"/>
      <c r="B38" s="19"/>
      <c r="C38" s="19"/>
      <c r="D38" s="19"/>
      <c r="E38" s="3"/>
    </row>
    <row r="39">
      <c r="A39" s="3"/>
      <c r="B39" s="19"/>
      <c r="C39" s="19"/>
      <c r="D39" s="19"/>
      <c r="E39" s="3"/>
    </row>
    <row r="40">
      <c r="A40" s="3"/>
      <c r="B40" s="19"/>
      <c r="C40" s="19"/>
      <c r="D40" s="19"/>
      <c r="E40" s="3"/>
    </row>
    <row r="41">
      <c r="A41" s="3"/>
      <c r="B41" s="19"/>
      <c r="C41" s="19"/>
      <c r="D41" s="19"/>
      <c r="E41" s="3"/>
    </row>
    <row r="42">
      <c r="A42" s="3"/>
      <c r="B42" s="19"/>
      <c r="C42" s="19"/>
      <c r="D42" s="19"/>
      <c r="E42" s="3"/>
    </row>
    <row r="43">
      <c r="A43" s="3"/>
      <c r="B43" s="19"/>
      <c r="C43" s="19"/>
      <c r="D43" s="19"/>
      <c r="E43" s="3"/>
    </row>
    <row r="44">
      <c r="A44" s="3"/>
      <c r="B44" s="19"/>
      <c r="C44" s="19"/>
      <c r="D44" s="19"/>
      <c r="E44" s="3"/>
    </row>
    <row r="45">
      <c r="A45" s="3"/>
      <c r="B45" s="19"/>
      <c r="C45" s="19"/>
      <c r="D45" s="19"/>
      <c r="E45" s="3"/>
    </row>
    <row r="46">
      <c r="A46" s="3"/>
      <c r="B46" s="19"/>
      <c r="C46" s="19"/>
      <c r="D46" s="19"/>
      <c r="E46" s="3"/>
    </row>
    <row r="47">
      <c r="A47" s="3"/>
      <c r="B47" s="19"/>
      <c r="C47" s="19"/>
      <c r="D47" s="19"/>
      <c r="E47" s="3"/>
    </row>
    <row r="48">
      <c r="A48" s="3"/>
      <c r="B48" s="19"/>
      <c r="C48" s="19"/>
      <c r="D48" s="19"/>
      <c r="E48" s="3"/>
    </row>
    <row r="49">
      <c r="A49" s="3"/>
      <c r="B49" s="19"/>
      <c r="C49" s="19"/>
      <c r="D49" s="19"/>
      <c r="E49" s="3"/>
    </row>
    <row r="50">
      <c r="A50" s="3"/>
      <c r="B50" s="19"/>
      <c r="C50" s="19"/>
      <c r="D50" s="19"/>
      <c r="E50" s="3"/>
    </row>
    <row r="51">
      <c r="A51" s="3"/>
      <c r="B51" s="19"/>
      <c r="C51" s="19"/>
      <c r="D51" s="19"/>
      <c r="E51" s="3"/>
    </row>
    <row r="52">
      <c r="A52" s="3"/>
      <c r="B52" s="19"/>
      <c r="C52" s="19"/>
      <c r="D52" s="19"/>
      <c r="E52" s="3"/>
    </row>
    <row r="53">
      <c r="A53" s="3"/>
      <c r="B53" s="19"/>
      <c r="C53" s="19"/>
      <c r="D53" s="19"/>
      <c r="E53" s="3"/>
    </row>
    <row r="54">
      <c r="A54" s="3"/>
      <c r="B54" s="19"/>
      <c r="C54" s="19"/>
      <c r="D54" s="19"/>
      <c r="E54" s="3"/>
    </row>
    <row r="55">
      <c r="A55" s="3"/>
      <c r="B55" s="19"/>
      <c r="C55" s="19"/>
      <c r="D55" s="19"/>
      <c r="E55" s="3"/>
    </row>
    <row r="56">
      <c r="A56" s="3"/>
      <c r="B56" s="19"/>
      <c r="C56" s="19"/>
      <c r="D56" s="19"/>
      <c r="E56" s="3"/>
    </row>
    <row r="57">
      <c r="A57" s="3"/>
      <c r="B57" s="19"/>
      <c r="C57" s="19"/>
      <c r="D57" s="19"/>
      <c r="E57" s="3"/>
    </row>
    <row r="58">
      <c r="A58" s="3"/>
      <c r="B58" s="19"/>
      <c r="C58" s="19"/>
      <c r="D58" s="19"/>
      <c r="E58" s="3"/>
    </row>
    <row r="59">
      <c r="A59" s="3"/>
      <c r="B59" s="19"/>
      <c r="C59" s="19"/>
      <c r="D59" s="19"/>
      <c r="E59" s="3"/>
    </row>
    <row r="60">
      <c r="A60" s="3"/>
      <c r="B60" s="19"/>
      <c r="C60" s="19"/>
      <c r="D60" s="19"/>
      <c r="E60" s="3"/>
    </row>
    <row r="61">
      <c r="A61" s="3"/>
      <c r="B61" s="19"/>
      <c r="C61" s="19"/>
      <c r="D61" s="19"/>
      <c r="E61" s="3"/>
    </row>
    <row r="62">
      <c r="A62" s="3"/>
      <c r="B62" s="19"/>
      <c r="C62" s="19"/>
      <c r="D62" s="19"/>
      <c r="E62" s="3"/>
    </row>
    <row r="63">
      <c r="A63" s="3"/>
      <c r="B63" s="19"/>
      <c r="C63" s="19"/>
      <c r="D63" s="19"/>
      <c r="E63" s="3"/>
    </row>
    <row r="64">
      <c r="A64" s="3"/>
      <c r="B64" s="19"/>
      <c r="C64" s="19"/>
      <c r="D64" s="19"/>
      <c r="E64" s="3"/>
    </row>
    <row r="65">
      <c r="A65" s="3"/>
      <c r="B65" s="19"/>
      <c r="C65" s="19"/>
      <c r="D65" s="19"/>
      <c r="E65" s="3"/>
    </row>
    <row r="66">
      <c r="A66" s="3"/>
      <c r="B66" s="19"/>
      <c r="C66" s="19"/>
      <c r="D66" s="19"/>
      <c r="E66" s="3"/>
    </row>
    <row r="67">
      <c r="A67" s="3"/>
      <c r="B67" s="19"/>
      <c r="C67" s="19"/>
      <c r="D67" s="19"/>
      <c r="E67" s="3"/>
    </row>
    <row r="68">
      <c r="A68" s="3"/>
      <c r="B68" s="19"/>
      <c r="C68" s="19"/>
      <c r="D68" s="19"/>
      <c r="E68" s="3"/>
    </row>
    <row r="69">
      <c r="A69" s="3"/>
      <c r="B69" s="19"/>
      <c r="C69" s="19"/>
      <c r="D69" s="19"/>
      <c r="E69" s="3"/>
    </row>
    <row r="70">
      <c r="A70" s="3"/>
      <c r="B70" s="19"/>
      <c r="C70" s="19"/>
      <c r="D70" s="19"/>
      <c r="E70" s="3"/>
    </row>
    <row r="71">
      <c r="A71" s="3"/>
      <c r="B71" s="19"/>
      <c r="C71" s="19"/>
      <c r="D71" s="19"/>
      <c r="E71" s="3"/>
    </row>
    <row r="72">
      <c r="A72" s="3"/>
      <c r="B72" s="19"/>
      <c r="C72" s="19"/>
      <c r="D72" s="19"/>
      <c r="E72" s="3"/>
    </row>
    <row r="73">
      <c r="A73" s="3"/>
      <c r="B73" s="19"/>
      <c r="C73" s="19"/>
      <c r="D73" s="19"/>
      <c r="E73" s="3"/>
    </row>
    <row r="74">
      <c r="A74" s="3"/>
      <c r="B74" s="19"/>
      <c r="C74" s="19"/>
      <c r="D74" s="19"/>
      <c r="E74" s="3"/>
    </row>
    <row r="75">
      <c r="A75" s="3"/>
      <c r="B75" s="19"/>
      <c r="C75" s="19"/>
      <c r="D75" s="19"/>
      <c r="E75" s="3"/>
    </row>
    <row r="76">
      <c r="A76" s="3"/>
      <c r="B76" s="19"/>
      <c r="C76" s="19"/>
      <c r="D76" s="19"/>
      <c r="E76" s="3"/>
    </row>
    <row r="77">
      <c r="A77" s="3"/>
      <c r="B77" s="19"/>
      <c r="C77" s="19"/>
      <c r="D77" s="19"/>
      <c r="E77" s="3"/>
    </row>
    <row r="78">
      <c r="A78" s="3"/>
      <c r="B78" s="19"/>
      <c r="C78" s="19"/>
      <c r="D78" s="19"/>
      <c r="E78" s="3"/>
    </row>
    <row r="79">
      <c r="A79" s="3"/>
      <c r="B79" s="19"/>
      <c r="C79" s="19"/>
      <c r="D79" s="19"/>
      <c r="E79" s="3"/>
    </row>
    <row r="80">
      <c r="A80" s="3"/>
      <c r="B80" s="19"/>
      <c r="C80" s="19"/>
      <c r="D80" s="19"/>
      <c r="E80" s="3"/>
    </row>
    <row r="81">
      <c r="A81" s="3"/>
      <c r="B81" s="19"/>
      <c r="C81" s="19"/>
      <c r="D81" s="19"/>
      <c r="E81" s="3"/>
    </row>
    <row r="82">
      <c r="A82" s="3"/>
      <c r="B82" s="19"/>
      <c r="C82" s="19"/>
      <c r="D82" s="19"/>
      <c r="E82" s="3"/>
    </row>
    <row r="83">
      <c r="A83" s="3"/>
      <c r="B83" s="19"/>
      <c r="C83" s="19"/>
      <c r="D83" s="19"/>
      <c r="E83" s="3"/>
    </row>
    <row r="84">
      <c r="A84" s="3"/>
      <c r="B84" s="19"/>
      <c r="C84" s="19"/>
      <c r="D84" s="19"/>
      <c r="E84" s="3"/>
    </row>
    <row r="85">
      <c r="A85" s="3"/>
      <c r="B85" s="19"/>
      <c r="C85" s="19"/>
      <c r="D85" s="19"/>
      <c r="E85" s="3"/>
    </row>
    <row r="86">
      <c r="A86" s="3"/>
      <c r="B86" s="19"/>
      <c r="C86" s="19"/>
      <c r="D86" s="19"/>
      <c r="E86" s="3"/>
    </row>
    <row r="87">
      <c r="A87" s="3"/>
      <c r="B87" s="19"/>
      <c r="C87" s="19"/>
      <c r="D87" s="19"/>
      <c r="E87" s="3"/>
    </row>
    <row r="88">
      <c r="A88" s="3"/>
      <c r="B88" s="19"/>
      <c r="C88" s="19"/>
      <c r="D88" s="19"/>
      <c r="E88" s="3"/>
    </row>
    <row r="89">
      <c r="A89" s="3"/>
      <c r="B89" s="19"/>
      <c r="C89" s="19"/>
      <c r="D89" s="19"/>
      <c r="E89" s="3"/>
    </row>
    <row r="90">
      <c r="A90" s="3"/>
      <c r="B90" s="19"/>
      <c r="C90" s="19"/>
      <c r="D90" s="19"/>
      <c r="E90" s="3"/>
    </row>
    <row r="91">
      <c r="A91" s="3"/>
      <c r="B91" s="19"/>
      <c r="C91" s="19"/>
      <c r="D91" s="19"/>
      <c r="E91" s="3"/>
    </row>
    <row r="92">
      <c r="A92" s="3"/>
      <c r="B92" s="19"/>
      <c r="C92" s="19"/>
      <c r="D92" s="19"/>
      <c r="E92" s="3"/>
    </row>
    <row r="93">
      <c r="A93" s="3"/>
      <c r="B93" s="19"/>
      <c r="C93" s="19"/>
      <c r="D93" s="19"/>
      <c r="E93" s="3"/>
    </row>
    <row r="94">
      <c r="A94" s="3"/>
      <c r="B94" s="19"/>
      <c r="C94" s="19"/>
      <c r="D94" s="19"/>
      <c r="E94" s="3"/>
    </row>
    <row r="95">
      <c r="A95" s="3"/>
      <c r="B95" s="19"/>
      <c r="C95" s="19"/>
      <c r="D95" s="19"/>
      <c r="E95" s="3"/>
    </row>
    <row r="96">
      <c r="A96" s="3"/>
      <c r="B96" s="19"/>
      <c r="C96" s="19"/>
      <c r="D96" s="19"/>
      <c r="E96" s="3"/>
    </row>
    <row r="97">
      <c r="A97" s="3"/>
      <c r="B97" s="19"/>
      <c r="C97" s="19"/>
      <c r="D97" s="19"/>
      <c r="E97" s="3"/>
    </row>
    <row r="98">
      <c r="A98" s="3"/>
      <c r="B98" s="19"/>
      <c r="C98" s="19"/>
      <c r="D98" s="19"/>
      <c r="E98" s="3"/>
    </row>
    <row r="99">
      <c r="A99" s="3"/>
      <c r="B99" s="19"/>
      <c r="C99" s="19"/>
      <c r="D99" s="19"/>
      <c r="E99" s="3"/>
    </row>
    <row r="100">
      <c r="A100" s="3"/>
      <c r="B100" s="19"/>
      <c r="C100" s="19"/>
      <c r="D100" s="19"/>
      <c r="E100" s="3"/>
    </row>
    <row r="101">
      <c r="A101" s="3"/>
      <c r="B101" s="19"/>
      <c r="C101" s="19"/>
      <c r="D101" s="19"/>
      <c r="E101" s="3"/>
    </row>
    <row r="102">
      <c r="A102" s="3"/>
      <c r="B102" s="19"/>
      <c r="C102" s="19"/>
      <c r="D102" s="19"/>
      <c r="E102" s="3"/>
    </row>
    <row r="103">
      <c r="A103" s="3"/>
      <c r="B103" s="19"/>
      <c r="C103" s="19"/>
      <c r="D103" s="19"/>
      <c r="E103" s="3"/>
    </row>
    <row r="104">
      <c r="A104" s="3"/>
      <c r="B104" s="19"/>
      <c r="C104" s="19"/>
      <c r="D104" s="19"/>
      <c r="E104" s="3"/>
    </row>
    <row r="105">
      <c r="A105" s="3"/>
      <c r="B105" s="19"/>
      <c r="C105" s="19"/>
      <c r="D105" s="19"/>
      <c r="E105" s="3"/>
    </row>
    <row r="106">
      <c r="A106" s="3"/>
      <c r="B106" s="19"/>
      <c r="C106" s="19"/>
      <c r="D106" s="19"/>
      <c r="E106" s="3"/>
    </row>
    <row r="107">
      <c r="A107" s="3"/>
      <c r="B107" s="19"/>
      <c r="C107" s="19"/>
      <c r="D107" s="19"/>
      <c r="E107" s="3"/>
    </row>
    <row r="108">
      <c r="A108" s="3"/>
      <c r="B108" s="19"/>
      <c r="C108" s="19"/>
      <c r="D108" s="19"/>
      <c r="E108" s="3"/>
    </row>
    <row r="109">
      <c r="A109" s="3"/>
      <c r="B109" s="19"/>
      <c r="C109" s="19"/>
      <c r="D109" s="19"/>
      <c r="E109" s="3"/>
    </row>
    <row r="110">
      <c r="A110" s="3"/>
      <c r="B110" s="19"/>
      <c r="C110" s="19"/>
      <c r="D110" s="19"/>
      <c r="E110" s="3"/>
    </row>
    <row r="111">
      <c r="A111" s="3"/>
      <c r="B111" s="19"/>
      <c r="C111" s="19"/>
      <c r="D111" s="19"/>
      <c r="E111" s="3"/>
    </row>
    <row r="112">
      <c r="A112" s="3"/>
      <c r="B112" s="19"/>
      <c r="C112" s="19"/>
      <c r="D112" s="19"/>
      <c r="E112" s="3"/>
    </row>
    <row r="113">
      <c r="A113" s="3"/>
      <c r="B113" s="19"/>
      <c r="C113" s="19"/>
      <c r="D113" s="19"/>
      <c r="E113" s="3"/>
    </row>
    <row r="114">
      <c r="A114" s="3"/>
      <c r="B114" s="19"/>
      <c r="C114" s="19"/>
      <c r="D114" s="19"/>
      <c r="E114" s="3"/>
    </row>
    <row r="115">
      <c r="A115" s="3"/>
      <c r="B115" s="19"/>
      <c r="C115" s="19"/>
      <c r="D115" s="19"/>
      <c r="E115" s="3"/>
    </row>
    <row r="116">
      <c r="A116" s="3"/>
      <c r="B116" s="19"/>
      <c r="C116" s="19"/>
      <c r="D116" s="19"/>
      <c r="E116" s="3"/>
    </row>
    <row r="117">
      <c r="A117" s="3"/>
      <c r="B117" s="19"/>
      <c r="C117" s="19"/>
      <c r="D117" s="19"/>
      <c r="E117" s="3"/>
    </row>
    <row r="118">
      <c r="A118" s="3"/>
      <c r="B118" s="19"/>
      <c r="C118" s="19"/>
      <c r="D118" s="19"/>
      <c r="E118" s="3"/>
    </row>
    <row r="119">
      <c r="A119" s="3"/>
      <c r="B119" s="19"/>
      <c r="C119" s="19"/>
      <c r="D119" s="19"/>
      <c r="E119" s="3"/>
    </row>
    <row r="120">
      <c r="A120" s="3"/>
      <c r="B120" s="19"/>
      <c r="C120" s="19"/>
      <c r="D120" s="19"/>
      <c r="E120" s="3"/>
    </row>
    <row r="121">
      <c r="A121" s="3"/>
      <c r="B121" s="19"/>
      <c r="C121" s="19"/>
      <c r="D121" s="19"/>
      <c r="E121" s="3"/>
    </row>
    <row r="122">
      <c r="A122" s="3"/>
      <c r="B122" s="19"/>
      <c r="C122" s="19"/>
      <c r="D122" s="19"/>
      <c r="E122" s="3"/>
    </row>
    <row r="123">
      <c r="A123" s="3"/>
      <c r="B123" s="19"/>
      <c r="C123" s="19"/>
      <c r="D123" s="19"/>
      <c r="E123" s="3"/>
    </row>
    <row r="124">
      <c r="A124" s="3"/>
      <c r="B124" s="19"/>
      <c r="C124" s="19"/>
      <c r="D124" s="19"/>
      <c r="E124" s="3"/>
    </row>
    <row r="125">
      <c r="A125" s="3"/>
      <c r="B125" s="19"/>
      <c r="C125" s="19"/>
      <c r="D125" s="19"/>
      <c r="E125" s="3"/>
    </row>
    <row r="126">
      <c r="A126" s="3"/>
      <c r="B126" s="19"/>
      <c r="C126" s="19"/>
      <c r="D126" s="19"/>
      <c r="E126" s="3"/>
    </row>
    <row r="127">
      <c r="A127" s="3"/>
      <c r="B127" s="19"/>
      <c r="C127" s="19"/>
      <c r="D127" s="19"/>
      <c r="E127" s="3"/>
    </row>
    <row r="128">
      <c r="A128" s="3"/>
      <c r="B128" s="19"/>
      <c r="C128" s="19"/>
      <c r="D128" s="19"/>
      <c r="E128" s="3"/>
    </row>
    <row r="129">
      <c r="A129" s="3"/>
      <c r="B129" s="19"/>
      <c r="C129" s="19"/>
      <c r="D129" s="19"/>
      <c r="E129" s="3"/>
    </row>
    <row r="130">
      <c r="A130" s="3"/>
      <c r="B130" s="19"/>
      <c r="C130" s="19"/>
      <c r="D130" s="19"/>
      <c r="E130" s="3"/>
    </row>
    <row r="131">
      <c r="A131" s="3"/>
      <c r="B131" s="19"/>
      <c r="C131" s="19"/>
      <c r="D131" s="19"/>
      <c r="E131" s="3"/>
    </row>
    <row r="132">
      <c r="A132" s="3"/>
      <c r="B132" s="19"/>
      <c r="C132" s="19"/>
      <c r="D132" s="19"/>
      <c r="E132" s="3"/>
    </row>
    <row r="133">
      <c r="A133" s="3"/>
      <c r="B133" s="19"/>
      <c r="C133" s="19"/>
      <c r="D133" s="19"/>
      <c r="E133" s="3"/>
    </row>
    <row r="134">
      <c r="A134" s="3"/>
      <c r="B134" s="19"/>
      <c r="C134" s="19"/>
      <c r="D134" s="19"/>
      <c r="E134" s="3"/>
    </row>
    <row r="135">
      <c r="A135" s="3"/>
      <c r="B135" s="19"/>
      <c r="C135" s="19"/>
      <c r="D135" s="19"/>
      <c r="E135" s="3"/>
    </row>
    <row r="136">
      <c r="A136" s="3"/>
      <c r="B136" s="19"/>
      <c r="C136" s="19"/>
      <c r="D136" s="19"/>
      <c r="E136" s="3"/>
    </row>
    <row r="137">
      <c r="A137" s="3"/>
      <c r="B137" s="19"/>
      <c r="C137" s="19"/>
      <c r="D137" s="19"/>
      <c r="E137" s="3"/>
    </row>
    <row r="138">
      <c r="A138" s="3"/>
      <c r="B138" s="19"/>
      <c r="C138" s="19"/>
      <c r="D138" s="19"/>
      <c r="E138" s="3"/>
    </row>
    <row r="139">
      <c r="A139" s="3"/>
      <c r="B139" s="19"/>
      <c r="C139" s="19"/>
      <c r="D139" s="19"/>
      <c r="E139" s="3"/>
    </row>
    <row r="140">
      <c r="A140" s="3"/>
      <c r="B140" s="19"/>
      <c r="C140" s="19"/>
      <c r="D140" s="19"/>
      <c r="E140" s="3"/>
    </row>
    <row r="141">
      <c r="A141" s="3"/>
      <c r="B141" s="19"/>
      <c r="C141" s="19"/>
      <c r="D141" s="19"/>
      <c r="E141" s="3"/>
    </row>
    <row r="142">
      <c r="A142" s="3"/>
      <c r="B142" s="19"/>
      <c r="C142" s="19"/>
      <c r="D142" s="19"/>
      <c r="E142" s="3"/>
    </row>
    <row r="143">
      <c r="A143" s="3"/>
      <c r="B143" s="19"/>
      <c r="C143" s="19"/>
      <c r="D143" s="19"/>
      <c r="E143" s="3"/>
    </row>
    <row r="144">
      <c r="A144" s="3"/>
      <c r="B144" s="19"/>
      <c r="C144" s="19"/>
      <c r="D144" s="19"/>
      <c r="E144" s="3"/>
    </row>
    <row r="145">
      <c r="A145" s="3"/>
      <c r="B145" s="19"/>
      <c r="C145" s="19"/>
      <c r="D145" s="19"/>
      <c r="E145" s="3"/>
    </row>
    <row r="146">
      <c r="A146" s="3"/>
      <c r="B146" s="19"/>
      <c r="C146" s="19"/>
      <c r="D146" s="19"/>
      <c r="E146" s="3"/>
    </row>
    <row r="147">
      <c r="A147" s="3"/>
      <c r="B147" s="19"/>
      <c r="C147" s="19"/>
      <c r="D147" s="19"/>
      <c r="E147" s="3"/>
    </row>
    <row r="148">
      <c r="A148" s="3"/>
      <c r="B148" s="19"/>
      <c r="C148" s="19"/>
      <c r="D148" s="19"/>
      <c r="E148" s="3"/>
    </row>
    <row r="149">
      <c r="A149" s="3"/>
      <c r="B149" s="19"/>
      <c r="C149" s="19"/>
      <c r="D149" s="19"/>
      <c r="E149" s="3"/>
    </row>
    <row r="150">
      <c r="A150" s="3"/>
      <c r="B150" s="19"/>
      <c r="C150" s="19"/>
      <c r="D150" s="19"/>
      <c r="E150" s="3"/>
    </row>
    <row r="151">
      <c r="A151" s="3"/>
      <c r="B151" s="19"/>
      <c r="C151" s="19"/>
      <c r="D151" s="19"/>
      <c r="E151" s="3"/>
    </row>
    <row r="152">
      <c r="A152" s="3"/>
      <c r="B152" s="19"/>
      <c r="C152" s="19"/>
      <c r="D152" s="19"/>
      <c r="E152" s="3"/>
    </row>
    <row r="153">
      <c r="A153" s="3"/>
      <c r="B153" s="19"/>
      <c r="C153" s="19"/>
      <c r="D153" s="19"/>
      <c r="E153" s="3"/>
    </row>
    <row r="154">
      <c r="A154" s="3"/>
      <c r="B154" s="19"/>
      <c r="C154" s="19"/>
      <c r="D154" s="19"/>
      <c r="E154" s="3"/>
    </row>
    <row r="155">
      <c r="A155" s="3"/>
      <c r="B155" s="19"/>
      <c r="C155" s="19"/>
      <c r="D155" s="19"/>
      <c r="E155" s="3"/>
    </row>
    <row r="156">
      <c r="A156" s="3"/>
      <c r="B156" s="19"/>
      <c r="C156" s="19"/>
      <c r="D156" s="19"/>
      <c r="E156" s="3"/>
    </row>
    <row r="157">
      <c r="A157" s="3"/>
      <c r="B157" s="19"/>
      <c r="C157" s="19"/>
      <c r="D157" s="19"/>
      <c r="E157" s="3"/>
    </row>
    <row r="158">
      <c r="A158" s="3"/>
      <c r="B158" s="19"/>
      <c r="C158" s="19"/>
      <c r="D158" s="19"/>
      <c r="E158" s="3"/>
    </row>
    <row r="159">
      <c r="A159" s="3"/>
      <c r="B159" s="19"/>
      <c r="C159" s="19"/>
      <c r="D159" s="19"/>
      <c r="E159" s="3"/>
    </row>
    <row r="160">
      <c r="A160" s="3"/>
      <c r="B160" s="19"/>
      <c r="C160" s="19"/>
      <c r="D160" s="19"/>
      <c r="E160" s="3"/>
    </row>
    <row r="161">
      <c r="A161" s="3"/>
      <c r="B161" s="19"/>
      <c r="C161" s="19"/>
      <c r="D161" s="19"/>
      <c r="E161" s="3"/>
    </row>
    <row r="162">
      <c r="A162" s="3"/>
      <c r="B162" s="19"/>
      <c r="C162" s="19"/>
      <c r="D162" s="19"/>
      <c r="E162" s="3"/>
    </row>
    <row r="163">
      <c r="A163" s="3"/>
      <c r="B163" s="19"/>
      <c r="C163" s="19"/>
      <c r="D163" s="19"/>
      <c r="E163" s="3"/>
    </row>
    <row r="164">
      <c r="A164" s="3"/>
      <c r="B164" s="19"/>
      <c r="C164" s="19"/>
      <c r="D164" s="19"/>
      <c r="E164" s="3"/>
    </row>
    <row r="165">
      <c r="A165" s="3"/>
      <c r="B165" s="19"/>
      <c r="C165" s="19"/>
      <c r="D165" s="19"/>
      <c r="E165" s="3"/>
    </row>
    <row r="166">
      <c r="A166" s="3"/>
      <c r="B166" s="19"/>
      <c r="C166" s="19"/>
      <c r="D166" s="19"/>
      <c r="E166" s="3"/>
    </row>
    <row r="167">
      <c r="A167" s="3"/>
      <c r="B167" s="19"/>
      <c r="C167" s="19"/>
      <c r="D167" s="19"/>
      <c r="E167" s="3"/>
    </row>
    <row r="168">
      <c r="A168" s="3"/>
      <c r="B168" s="19"/>
      <c r="C168" s="19"/>
      <c r="D168" s="19"/>
      <c r="E168" s="3"/>
    </row>
    <row r="169">
      <c r="A169" s="3"/>
      <c r="B169" s="19"/>
      <c r="C169" s="19"/>
      <c r="D169" s="19"/>
      <c r="E169" s="3"/>
    </row>
    <row r="170">
      <c r="A170" s="3"/>
      <c r="B170" s="19"/>
      <c r="C170" s="19"/>
      <c r="D170" s="19"/>
      <c r="E170" s="3"/>
    </row>
    <row r="171">
      <c r="A171" s="3"/>
      <c r="B171" s="19"/>
      <c r="C171" s="19"/>
      <c r="D171" s="19"/>
      <c r="E171" s="3"/>
    </row>
    <row r="172">
      <c r="A172" s="3"/>
      <c r="B172" s="19"/>
      <c r="C172" s="19"/>
      <c r="D172" s="19"/>
      <c r="E172" s="3"/>
    </row>
    <row r="173">
      <c r="A173" s="3"/>
      <c r="B173" s="19"/>
      <c r="C173" s="19"/>
      <c r="D173" s="19"/>
      <c r="E173" s="3"/>
    </row>
    <row r="174">
      <c r="A174" s="3"/>
      <c r="B174" s="19"/>
      <c r="C174" s="19"/>
      <c r="D174" s="19"/>
      <c r="E174" s="3"/>
    </row>
    <row r="175">
      <c r="A175" s="3"/>
      <c r="B175" s="19"/>
      <c r="C175" s="19"/>
      <c r="D175" s="19"/>
      <c r="E175" s="3"/>
    </row>
    <row r="176">
      <c r="A176" s="3"/>
      <c r="B176" s="19"/>
      <c r="C176" s="19"/>
      <c r="D176" s="19"/>
      <c r="E176" s="3"/>
    </row>
    <row r="177">
      <c r="A177" s="3"/>
      <c r="B177" s="19"/>
      <c r="C177" s="19"/>
      <c r="D177" s="19"/>
      <c r="E177" s="3"/>
    </row>
    <row r="178">
      <c r="A178" s="3"/>
      <c r="B178" s="19"/>
      <c r="C178" s="19"/>
      <c r="D178" s="19"/>
      <c r="E178" s="3"/>
    </row>
    <row r="179">
      <c r="A179" s="3"/>
      <c r="B179" s="19"/>
      <c r="C179" s="19"/>
      <c r="D179" s="19"/>
      <c r="E179" s="3"/>
    </row>
    <row r="180">
      <c r="A180" s="3"/>
      <c r="B180" s="19"/>
      <c r="C180" s="19"/>
      <c r="D180" s="19"/>
      <c r="E180" s="3"/>
    </row>
    <row r="181">
      <c r="A181" s="3"/>
      <c r="B181" s="19"/>
      <c r="C181" s="19"/>
      <c r="D181" s="19"/>
      <c r="E181" s="3"/>
    </row>
    <row r="182">
      <c r="A182" s="3"/>
      <c r="B182" s="19"/>
      <c r="C182" s="19"/>
      <c r="D182" s="19"/>
      <c r="E182" s="3"/>
    </row>
    <row r="183">
      <c r="A183" s="3"/>
      <c r="B183" s="19"/>
      <c r="C183" s="19"/>
      <c r="D183" s="19"/>
      <c r="E183" s="3"/>
    </row>
    <row r="184">
      <c r="A184" s="3"/>
      <c r="B184" s="19"/>
      <c r="C184" s="19"/>
      <c r="D184" s="19"/>
      <c r="E184" s="3"/>
    </row>
    <row r="185">
      <c r="A185" s="3"/>
      <c r="B185" s="19"/>
      <c r="C185" s="19"/>
      <c r="D185" s="19"/>
      <c r="E185" s="3"/>
    </row>
    <row r="186">
      <c r="A186" s="3"/>
      <c r="B186" s="19"/>
      <c r="C186" s="19"/>
      <c r="D186" s="19"/>
      <c r="E186" s="3"/>
    </row>
    <row r="187">
      <c r="A187" s="3"/>
      <c r="B187" s="19"/>
      <c r="C187" s="19"/>
      <c r="D187" s="19"/>
      <c r="E187" s="3"/>
    </row>
    <row r="188">
      <c r="A188" s="3"/>
      <c r="B188" s="19"/>
      <c r="C188" s="19"/>
      <c r="D188" s="19"/>
      <c r="E188" s="3"/>
    </row>
    <row r="189">
      <c r="A189" s="3"/>
      <c r="B189" s="19"/>
      <c r="C189" s="19"/>
      <c r="D189" s="19"/>
      <c r="E189" s="3"/>
    </row>
    <row r="190">
      <c r="A190" s="3"/>
      <c r="B190" s="19"/>
      <c r="C190" s="19"/>
      <c r="D190" s="19"/>
      <c r="E190" s="3"/>
    </row>
    <row r="191">
      <c r="A191" s="3"/>
      <c r="B191" s="19"/>
      <c r="C191" s="19"/>
      <c r="D191" s="19"/>
      <c r="E191" s="3"/>
    </row>
    <row r="192">
      <c r="A192" s="3"/>
      <c r="B192" s="19"/>
      <c r="C192" s="19"/>
      <c r="D192" s="19"/>
      <c r="E192" s="3"/>
    </row>
    <row r="193">
      <c r="A193" s="3"/>
      <c r="B193" s="19"/>
      <c r="C193" s="19"/>
      <c r="D193" s="19"/>
      <c r="E193" s="3"/>
    </row>
    <row r="194">
      <c r="A194" s="3"/>
      <c r="B194" s="19"/>
      <c r="C194" s="19"/>
      <c r="D194" s="19"/>
      <c r="E194" s="3"/>
    </row>
    <row r="195">
      <c r="A195" s="3"/>
      <c r="B195" s="19"/>
      <c r="C195" s="19"/>
      <c r="D195" s="19"/>
      <c r="E195" s="3"/>
    </row>
    <row r="196">
      <c r="A196" s="3"/>
      <c r="B196" s="19"/>
      <c r="C196" s="19"/>
      <c r="D196" s="19"/>
      <c r="E196" s="3"/>
    </row>
    <row r="197">
      <c r="A197" s="3"/>
      <c r="B197" s="19"/>
      <c r="C197" s="19"/>
      <c r="D197" s="19"/>
      <c r="E197" s="3"/>
    </row>
    <row r="198">
      <c r="A198" s="3"/>
      <c r="B198" s="19"/>
      <c r="C198" s="19"/>
      <c r="D198" s="19"/>
      <c r="E198" s="3"/>
    </row>
    <row r="199">
      <c r="A199" s="3"/>
      <c r="B199" s="19"/>
      <c r="C199" s="19"/>
      <c r="D199" s="19"/>
      <c r="E199" s="3"/>
    </row>
    <row r="200">
      <c r="A200" s="3"/>
      <c r="B200" s="19"/>
      <c r="C200" s="19"/>
      <c r="D200" s="19"/>
      <c r="E200" s="3"/>
    </row>
    <row r="201">
      <c r="A201" s="3"/>
      <c r="B201" s="19"/>
      <c r="C201" s="19"/>
      <c r="D201" s="19"/>
      <c r="E201" s="3"/>
    </row>
    <row r="202">
      <c r="A202" s="3"/>
      <c r="B202" s="19"/>
      <c r="C202" s="19"/>
      <c r="D202" s="19"/>
      <c r="E202" s="3"/>
    </row>
    <row r="203">
      <c r="A203" s="3"/>
      <c r="B203" s="19"/>
      <c r="C203" s="19"/>
      <c r="D203" s="19"/>
      <c r="E203" s="3"/>
    </row>
    <row r="204">
      <c r="A204" s="3"/>
      <c r="B204" s="19"/>
      <c r="C204" s="19"/>
      <c r="D204" s="19"/>
      <c r="E204" s="3"/>
    </row>
    <row r="205">
      <c r="A205" s="3"/>
      <c r="B205" s="19"/>
      <c r="C205" s="19"/>
      <c r="D205" s="19"/>
      <c r="E205" s="3"/>
    </row>
    <row r="206">
      <c r="A206" s="3"/>
      <c r="B206" s="19"/>
      <c r="C206" s="19"/>
      <c r="D206" s="19"/>
      <c r="E206" s="3"/>
    </row>
    <row r="207">
      <c r="A207" s="3"/>
      <c r="B207" s="19"/>
      <c r="C207" s="19"/>
      <c r="D207" s="19"/>
      <c r="E207" s="3"/>
    </row>
    <row r="208">
      <c r="A208" s="3"/>
      <c r="B208" s="19"/>
      <c r="C208" s="19"/>
      <c r="D208" s="19"/>
      <c r="E208" s="3"/>
    </row>
    <row r="209">
      <c r="A209" s="3"/>
      <c r="B209" s="19"/>
      <c r="C209" s="19"/>
      <c r="D209" s="19"/>
      <c r="E209" s="3"/>
    </row>
    <row r="210">
      <c r="A210" s="3"/>
      <c r="B210" s="19"/>
      <c r="C210" s="19"/>
      <c r="D210" s="19"/>
      <c r="E210" s="3"/>
    </row>
    <row r="211">
      <c r="A211" s="3"/>
      <c r="B211" s="19"/>
      <c r="C211" s="19"/>
      <c r="D211" s="19"/>
      <c r="E211" s="3"/>
    </row>
    <row r="212">
      <c r="A212" s="3"/>
      <c r="B212" s="19"/>
      <c r="C212" s="19"/>
      <c r="D212" s="19"/>
      <c r="E212" s="3"/>
    </row>
    <row r="213">
      <c r="A213" s="3"/>
      <c r="B213" s="19"/>
      <c r="C213" s="19"/>
      <c r="D213" s="19"/>
      <c r="E213" s="3"/>
    </row>
    <row r="214">
      <c r="A214" s="3"/>
      <c r="B214" s="19"/>
      <c r="C214" s="19"/>
      <c r="D214" s="19"/>
      <c r="E214" s="3"/>
    </row>
    <row r="215">
      <c r="A215" s="3"/>
      <c r="B215" s="19"/>
      <c r="C215" s="19"/>
      <c r="D215" s="19"/>
      <c r="E215" s="3"/>
    </row>
    <row r="216">
      <c r="A216" s="3"/>
      <c r="B216" s="19"/>
      <c r="C216" s="19"/>
      <c r="D216" s="19"/>
      <c r="E216" s="3"/>
    </row>
    <row r="217">
      <c r="A217" s="3"/>
      <c r="B217" s="19"/>
      <c r="C217" s="19"/>
      <c r="D217" s="19"/>
      <c r="E217" s="3"/>
    </row>
    <row r="218">
      <c r="A218" s="3"/>
      <c r="B218" s="19"/>
      <c r="C218" s="19"/>
      <c r="D218" s="19"/>
      <c r="E218" s="3"/>
    </row>
    <row r="219">
      <c r="A219" s="3"/>
      <c r="B219" s="19"/>
      <c r="C219" s="19"/>
      <c r="D219" s="19"/>
      <c r="E219" s="3"/>
    </row>
    <row r="220">
      <c r="A220" s="3"/>
      <c r="B220" s="19"/>
      <c r="C220" s="19"/>
      <c r="D220" s="19"/>
      <c r="E220" s="3"/>
    </row>
    <row r="221">
      <c r="A221" s="3"/>
      <c r="B221" s="19"/>
      <c r="C221" s="19"/>
      <c r="D221" s="19"/>
      <c r="E221" s="3"/>
    </row>
    <row r="222">
      <c r="A222" s="3"/>
      <c r="B222" s="19"/>
      <c r="C222" s="19"/>
      <c r="D222" s="19"/>
      <c r="E222" s="3"/>
    </row>
    <row r="223">
      <c r="A223" s="3"/>
      <c r="B223" s="19"/>
      <c r="C223" s="19"/>
      <c r="D223" s="19"/>
      <c r="E223" s="3"/>
    </row>
    <row r="224">
      <c r="A224" s="3"/>
      <c r="B224" s="19"/>
      <c r="C224" s="19"/>
      <c r="D224" s="19"/>
      <c r="E224" s="3"/>
    </row>
    <row r="225">
      <c r="A225" s="3"/>
      <c r="B225" s="19"/>
      <c r="C225" s="19"/>
      <c r="D225" s="19"/>
      <c r="E225" s="3"/>
    </row>
    <row r="226">
      <c r="A226" s="3"/>
      <c r="B226" s="19"/>
      <c r="C226" s="19"/>
      <c r="D226" s="19"/>
      <c r="E226" s="3"/>
    </row>
    <row r="227">
      <c r="A227" s="3"/>
      <c r="B227" s="19"/>
      <c r="C227" s="19"/>
      <c r="D227" s="19"/>
      <c r="E227" s="3"/>
    </row>
    <row r="228">
      <c r="A228" s="3"/>
      <c r="B228" s="19"/>
      <c r="C228" s="19"/>
      <c r="D228" s="19"/>
      <c r="E228" s="3"/>
    </row>
    <row r="229">
      <c r="A229" s="3"/>
      <c r="B229" s="19"/>
      <c r="C229" s="19"/>
      <c r="D229" s="19"/>
      <c r="E229" s="3"/>
    </row>
    <row r="230">
      <c r="A230" s="3"/>
      <c r="B230" s="19"/>
      <c r="C230" s="19"/>
      <c r="D230" s="19"/>
      <c r="E230" s="3"/>
    </row>
    <row r="231">
      <c r="A231" s="3"/>
      <c r="B231" s="19"/>
      <c r="C231" s="19"/>
      <c r="D231" s="19"/>
      <c r="E231" s="3"/>
    </row>
    <row r="232">
      <c r="A232" s="3"/>
      <c r="B232" s="19"/>
      <c r="C232" s="19"/>
      <c r="D232" s="19"/>
      <c r="E232" s="3"/>
    </row>
    <row r="233">
      <c r="A233" s="3"/>
      <c r="B233" s="19"/>
      <c r="C233" s="19"/>
      <c r="D233" s="19"/>
      <c r="E233" s="3"/>
    </row>
    <row r="234">
      <c r="A234" s="3"/>
      <c r="B234" s="19"/>
      <c r="C234" s="19"/>
      <c r="D234" s="19"/>
      <c r="E234" s="3"/>
    </row>
    <row r="235">
      <c r="A235" s="3"/>
      <c r="B235" s="19"/>
      <c r="C235" s="19"/>
      <c r="D235" s="19"/>
      <c r="E235" s="3"/>
    </row>
    <row r="236">
      <c r="A236" s="3"/>
      <c r="B236" s="19"/>
      <c r="C236" s="19"/>
      <c r="D236" s="19"/>
      <c r="E236" s="3"/>
    </row>
    <row r="237">
      <c r="A237" s="3"/>
      <c r="B237" s="19"/>
      <c r="C237" s="19"/>
      <c r="D237" s="19"/>
      <c r="E237" s="3"/>
    </row>
    <row r="238">
      <c r="A238" s="3"/>
      <c r="B238" s="19"/>
      <c r="C238" s="19"/>
      <c r="D238" s="19"/>
      <c r="E238" s="3"/>
    </row>
    <row r="239">
      <c r="A239" s="3"/>
      <c r="B239" s="19"/>
      <c r="C239" s="19"/>
      <c r="D239" s="19"/>
      <c r="E239" s="3"/>
    </row>
    <row r="240">
      <c r="A240" s="3"/>
      <c r="B240" s="19"/>
      <c r="C240" s="19"/>
      <c r="D240" s="19"/>
      <c r="E240" s="3"/>
    </row>
    <row r="241">
      <c r="A241" s="3"/>
      <c r="B241" s="19"/>
      <c r="C241" s="19"/>
      <c r="D241" s="19"/>
      <c r="E241" s="3"/>
    </row>
    <row r="242">
      <c r="A242" s="3"/>
      <c r="B242" s="19"/>
      <c r="C242" s="19"/>
      <c r="D242" s="19"/>
      <c r="E242" s="3"/>
    </row>
    <row r="243">
      <c r="A243" s="3"/>
      <c r="B243" s="19"/>
      <c r="C243" s="19"/>
      <c r="D243" s="19"/>
      <c r="E243" s="3"/>
    </row>
    <row r="244">
      <c r="A244" s="3"/>
      <c r="B244" s="19"/>
      <c r="C244" s="19"/>
      <c r="D244" s="19"/>
      <c r="E244" s="3"/>
    </row>
    <row r="245">
      <c r="A245" s="3"/>
      <c r="B245" s="19"/>
      <c r="C245" s="19"/>
      <c r="D245" s="19"/>
      <c r="E245" s="3"/>
    </row>
    <row r="246">
      <c r="A246" s="3"/>
      <c r="B246" s="19"/>
      <c r="C246" s="19"/>
      <c r="D246" s="19"/>
      <c r="E246" s="3"/>
    </row>
    <row r="247">
      <c r="A247" s="3"/>
      <c r="B247" s="19"/>
      <c r="C247" s="19"/>
      <c r="D247" s="19"/>
      <c r="E247" s="3"/>
    </row>
    <row r="248">
      <c r="A248" s="3"/>
      <c r="B248" s="19"/>
      <c r="C248" s="19"/>
      <c r="D248" s="19"/>
      <c r="E248" s="3"/>
    </row>
    <row r="249">
      <c r="A249" s="3"/>
      <c r="B249" s="19"/>
      <c r="C249" s="19"/>
      <c r="D249" s="19"/>
      <c r="E249" s="3"/>
    </row>
    <row r="250">
      <c r="A250" s="3"/>
      <c r="B250" s="19"/>
      <c r="C250" s="19"/>
      <c r="D250" s="19"/>
      <c r="E250" s="3"/>
    </row>
    <row r="251">
      <c r="A251" s="3"/>
      <c r="B251" s="19"/>
      <c r="C251" s="19"/>
      <c r="D251" s="19"/>
      <c r="E251" s="3"/>
    </row>
    <row r="252">
      <c r="A252" s="3"/>
      <c r="B252" s="19"/>
      <c r="C252" s="19"/>
      <c r="D252" s="19"/>
      <c r="E252" s="3"/>
    </row>
    <row r="253">
      <c r="A253" s="3"/>
      <c r="B253" s="19"/>
      <c r="C253" s="19"/>
      <c r="D253" s="19"/>
      <c r="E253" s="3"/>
    </row>
    <row r="254">
      <c r="A254" s="3"/>
      <c r="B254" s="19"/>
      <c r="C254" s="19"/>
      <c r="D254" s="19"/>
      <c r="E254" s="3"/>
    </row>
    <row r="255">
      <c r="A255" s="3"/>
      <c r="B255" s="19"/>
      <c r="C255" s="19"/>
      <c r="D255" s="19"/>
      <c r="E255" s="3"/>
    </row>
    <row r="256">
      <c r="A256" s="3"/>
      <c r="B256" s="19"/>
      <c r="C256" s="19"/>
      <c r="D256" s="19"/>
      <c r="E256" s="3"/>
    </row>
    <row r="257">
      <c r="A257" s="3"/>
      <c r="B257" s="19"/>
      <c r="C257" s="19"/>
      <c r="D257" s="19"/>
      <c r="E257" s="3"/>
    </row>
    <row r="258">
      <c r="A258" s="3"/>
      <c r="B258" s="19"/>
      <c r="C258" s="19"/>
      <c r="D258" s="19"/>
      <c r="E258" s="3"/>
    </row>
    <row r="259">
      <c r="A259" s="3"/>
      <c r="B259" s="19"/>
      <c r="C259" s="19"/>
      <c r="D259" s="19"/>
      <c r="E259" s="3"/>
    </row>
    <row r="260">
      <c r="A260" s="3"/>
      <c r="B260" s="19"/>
      <c r="C260" s="19"/>
      <c r="D260" s="19"/>
      <c r="E260" s="3"/>
    </row>
    <row r="261">
      <c r="A261" s="3"/>
      <c r="B261" s="19"/>
      <c r="C261" s="19"/>
      <c r="D261" s="19"/>
      <c r="E261" s="3"/>
    </row>
    <row r="262">
      <c r="A262" s="3"/>
      <c r="B262" s="19"/>
      <c r="C262" s="19"/>
      <c r="D262" s="19"/>
      <c r="E262" s="3"/>
    </row>
    <row r="263">
      <c r="A263" s="3"/>
      <c r="B263" s="19"/>
      <c r="C263" s="19"/>
      <c r="D263" s="19"/>
      <c r="E263" s="3"/>
    </row>
    <row r="264">
      <c r="A264" s="3"/>
      <c r="B264" s="19"/>
      <c r="C264" s="19"/>
      <c r="D264" s="19"/>
      <c r="E264" s="3"/>
    </row>
    <row r="265">
      <c r="A265" s="3"/>
      <c r="B265" s="19"/>
      <c r="C265" s="19"/>
      <c r="D265" s="19"/>
      <c r="E265" s="3"/>
    </row>
    <row r="266">
      <c r="A266" s="3"/>
      <c r="B266" s="19"/>
      <c r="C266" s="19"/>
      <c r="D266" s="19"/>
      <c r="E266" s="3"/>
    </row>
    <row r="267">
      <c r="A267" s="3"/>
      <c r="B267" s="19"/>
      <c r="C267" s="19"/>
      <c r="D267" s="19"/>
      <c r="E267" s="3"/>
    </row>
    <row r="268">
      <c r="A268" s="3"/>
      <c r="B268" s="19"/>
      <c r="C268" s="19"/>
      <c r="D268" s="19"/>
      <c r="E268" s="3"/>
    </row>
    <row r="269">
      <c r="A269" s="3"/>
      <c r="B269" s="19"/>
      <c r="C269" s="19"/>
      <c r="D269" s="19"/>
      <c r="E269" s="3"/>
    </row>
    <row r="270">
      <c r="A270" s="3"/>
      <c r="B270" s="19"/>
      <c r="C270" s="19"/>
      <c r="D270" s="19"/>
      <c r="E270" s="3"/>
    </row>
    <row r="271">
      <c r="A271" s="3"/>
      <c r="B271" s="19"/>
      <c r="C271" s="19"/>
      <c r="D271" s="19"/>
      <c r="E271" s="3"/>
    </row>
    <row r="272">
      <c r="A272" s="3"/>
      <c r="B272" s="19"/>
      <c r="C272" s="19"/>
      <c r="D272" s="19"/>
      <c r="E272" s="3"/>
    </row>
    <row r="273">
      <c r="A273" s="3"/>
      <c r="B273" s="19"/>
      <c r="C273" s="19"/>
      <c r="D273" s="19"/>
      <c r="E273" s="3"/>
    </row>
    <row r="274">
      <c r="A274" s="3"/>
      <c r="B274" s="19"/>
      <c r="C274" s="19"/>
      <c r="D274" s="19"/>
      <c r="E274" s="3"/>
    </row>
    <row r="275">
      <c r="A275" s="3"/>
      <c r="B275" s="19"/>
      <c r="C275" s="19"/>
      <c r="D275" s="19"/>
      <c r="E275" s="3"/>
    </row>
    <row r="276">
      <c r="A276" s="3"/>
      <c r="B276" s="19"/>
      <c r="C276" s="19"/>
      <c r="D276" s="19"/>
      <c r="E276" s="3"/>
    </row>
    <row r="277">
      <c r="A277" s="3"/>
      <c r="B277" s="19"/>
      <c r="C277" s="19"/>
      <c r="D277" s="19"/>
      <c r="E277" s="3"/>
    </row>
    <row r="278">
      <c r="A278" s="3"/>
      <c r="B278" s="19"/>
      <c r="C278" s="19"/>
      <c r="D278" s="19"/>
      <c r="E278" s="3"/>
    </row>
    <row r="279">
      <c r="A279" s="3"/>
      <c r="B279" s="19"/>
      <c r="C279" s="19"/>
      <c r="D279" s="19"/>
      <c r="E279" s="3"/>
    </row>
    <row r="280">
      <c r="A280" s="3"/>
      <c r="B280" s="19"/>
      <c r="C280" s="19"/>
      <c r="D280" s="19"/>
      <c r="E280" s="3"/>
    </row>
    <row r="281">
      <c r="A281" s="3"/>
      <c r="B281" s="19"/>
      <c r="C281" s="19"/>
      <c r="D281" s="19"/>
      <c r="E281" s="3"/>
    </row>
    <row r="282">
      <c r="A282" s="3"/>
      <c r="B282" s="19"/>
      <c r="C282" s="19"/>
      <c r="D282" s="19"/>
      <c r="E282" s="3"/>
    </row>
    <row r="283">
      <c r="A283" s="3"/>
      <c r="B283" s="19"/>
      <c r="C283" s="19"/>
      <c r="D283" s="19"/>
      <c r="E283" s="3"/>
    </row>
    <row r="284">
      <c r="A284" s="3"/>
      <c r="B284" s="19"/>
      <c r="C284" s="19"/>
      <c r="D284" s="19"/>
      <c r="E284" s="3"/>
    </row>
    <row r="285">
      <c r="A285" s="3"/>
      <c r="B285" s="19"/>
      <c r="C285" s="19"/>
      <c r="D285" s="19"/>
      <c r="E285" s="3"/>
    </row>
    <row r="286">
      <c r="A286" s="3"/>
      <c r="B286" s="19"/>
      <c r="C286" s="19"/>
      <c r="D286" s="19"/>
      <c r="E286" s="3"/>
    </row>
    <row r="287">
      <c r="A287" s="3"/>
      <c r="B287" s="19"/>
      <c r="C287" s="19"/>
      <c r="D287" s="19"/>
      <c r="E287" s="3"/>
    </row>
    <row r="288">
      <c r="A288" s="3"/>
      <c r="B288" s="19"/>
      <c r="C288" s="19"/>
      <c r="D288" s="19"/>
      <c r="E288" s="3"/>
    </row>
    <row r="289">
      <c r="A289" s="3"/>
      <c r="B289" s="19"/>
      <c r="C289" s="19"/>
      <c r="D289" s="19"/>
      <c r="E289" s="3"/>
    </row>
    <row r="290">
      <c r="A290" s="3"/>
      <c r="B290" s="19"/>
      <c r="C290" s="19"/>
      <c r="D290" s="19"/>
      <c r="E290" s="3"/>
    </row>
    <row r="291">
      <c r="A291" s="3"/>
      <c r="B291" s="19"/>
      <c r="C291" s="19"/>
      <c r="D291" s="19"/>
      <c r="E291" s="3"/>
    </row>
    <row r="292">
      <c r="A292" s="3"/>
      <c r="B292" s="19"/>
      <c r="C292" s="19"/>
      <c r="D292" s="19"/>
      <c r="E292" s="3"/>
    </row>
    <row r="293">
      <c r="A293" s="3"/>
      <c r="B293" s="19"/>
      <c r="C293" s="19"/>
      <c r="D293" s="19"/>
      <c r="E293" s="3"/>
    </row>
    <row r="294">
      <c r="A294" s="3"/>
      <c r="B294" s="19"/>
      <c r="C294" s="19"/>
      <c r="D294" s="19"/>
      <c r="E294" s="3"/>
    </row>
    <row r="295">
      <c r="A295" s="3"/>
      <c r="B295" s="19"/>
      <c r="C295" s="19"/>
      <c r="D295" s="19"/>
      <c r="E295" s="3"/>
    </row>
    <row r="296">
      <c r="A296" s="3"/>
      <c r="B296" s="19"/>
      <c r="C296" s="19"/>
      <c r="D296" s="19"/>
      <c r="E296" s="3"/>
    </row>
    <row r="297">
      <c r="A297" s="3"/>
      <c r="B297" s="19"/>
      <c r="C297" s="19"/>
      <c r="D297" s="19"/>
      <c r="E297" s="3"/>
    </row>
    <row r="298">
      <c r="A298" s="3"/>
      <c r="B298" s="19"/>
      <c r="C298" s="19"/>
      <c r="D298" s="19"/>
      <c r="E298" s="3"/>
    </row>
    <row r="299">
      <c r="A299" s="3"/>
      <c r="B299" s="19"/>
      <c r="C299" s="19"/>
      <c r="D299" s="19"/>
      <c r="E299" s="3"/>
    </row>
    <row r="300">
      <c r="A300" s="3"/>
      <c r="B300" s="19"/>
      <c r="C300" s="19"/>
      <c r="D300" s="19"/>
      <c r="E300" s="3"/>
    </row>
    <row r="301">
      <c r="A301" s="3"/>
      <c r="B301" s="19"/>
      <c r="C301" s="19"/>
      <c r="D301" s="19"/>
      <c r="E301" s="3"/>
    </row>
    <row r="302">
      <c r="A302" s="3"/>
      <c r="B302" s="19"/>
      <c r="C302" s="19"/>
      <c r="D302" s="19"/>
      <c r="E302" s="3"/>
    </row>
    <row r="303">
      <c r="A303" s="3"/>
      <c r="B303" s="19"/>
      <c r="C303" s="19"/>
      <c r="D303" s="19"/>
      <c r="E303" s="3"/>
    </row>
    <row r="304">
      <c r="A304" s="3"/>
      <c r="B304" s="19"/>
      <c r="C304" s="19"/>
      <c r="D304" s="19"/>
      <c r="E304" s="3"/>
    </row>
    <row r="305">
      <c r="A305" s="3"/>
      <c r="B305" s="19"/>
      <c r="C305" s="19"/>
      <c r="D305" s="19"/>
      <c r="E305" s="3"/>
    </row>
    <row r="306">
      <c r="A306" s="3"/>
      <c r="B306" s="19"/>
      <c r="C306" s="19"/>
      <c r="D306" s="19"/>
      <c r="E306" s="3"/>
    </row>
    <row r="307">
      <c r="A307" s="3"/>
      <c r="B307" s="19"/>
      <c r="C307" s="19"/>
      <c r="D307" s="19"/>
      <c r="E307" s="3"/>
    </row>
    <row r="308">
      <c r="A308" s="3"/>
      <c r="B308" s="19"/>
      <c r="C308" s="19"/>
      <c r="D308" s="19"/>
      <c r="E308" s="3"/>
    </row>
    <row r="309">
      <c r="A309" s="3"/>
      <c r="B309" s="19"/>
      <c r="C309" s="19"/>
      <c r="D309" s="19"/>
      <c r="E309" s="3"/>
    </row>
    <row r="310">
      <c r="A310" s="3"/>
      <c r="B310" s="19"/>
      <c r="C310" s="19"/>
      <c r="D310" s="19"/>
      <c r="E310" s="3"/>
    </row>
    <row r="311">
      <c r="A311" s="3"/>
      <c r="B311" s="19"/>
      <c r="C311" s="19"/>
      <c r="D311" s="19"/>
      <c r="E311" s="3"/>
    </row>
    <row r="312">
      <c r="A312" s="3"/>
      <c r="B312" s="19"/>
      <c r="C312" s="19"/>
      <c r="D312" s="19"/>
      <c r="E312" s="3"/>
    </row>
    <row r="313">
      <c r="A313" s="3"/>
      <c r="B313" s="19"/>
      <c r="C313" s="19"/>
      <c r="D313" s="19"/>
      <c r="E313" s="3"/>
    </row>
    <row r="314">
      <c r="A314" s="3"/>
      <c r="B314" s="19"/>
      <c r="C314" s="19"/>
      <c r="D314" s="19"/>
      <c r="E314" s="3"/>
    </row>
    <row r="315">
      <c r="A315" s="3"/>
      <c r="B315" s="19"/>
      <c r="C315" s="19"/>
      <c r="D315" s="19"/>
      <c r="E315" s="3"/>
    </row>
    <row r="316">
      <c r="A316" s="3"/>
      <c r="B316" s="19"/>
      <c r="C316" s="19"/>
      <c r="D316" s="19"/>
      <c r="E316" s="3"/>
    </row>
    <row r="317">
      <c r="A317" s="3"/>
      <c r="B317" s="19"/>
      <c r="C317" s="19"/>
      <c r="D317" s="19"/>
      <c r="E317" s="3"/>
    </row>
    <row r="318">
      <c r="A318" s="3"/>
      <c r="B318" s="19"/>
      <c r="C318" s="19"/>
      <c r="D318" s="19"/>
      <c r="E318" s="3"/>
    </row>
    <row r="319">
      <c r="A319" s="3"/>
      <c r="B319" s="19"/>
      <c r="C319" s="19"/>
      <c r="D319" s="19"/>
      <c r="E319" s="3"/>
    </row>
    <row r="320">
      <c r="A320" s="3"/>
      <c r="B320" s="19"/>
      <c r="C320" s="19"/>
      <c r="D320" s="19"/>
      <c r="E320" s="3"/>
    </row>
    <row r="321">
      <c r="A321" s="3"/>
      <c r="B321" s="19"/>
      <c r="C321" s="19"/>
      <c r="D321" s="19"/>
      <c r="E321" s="3"/>
    </row>
    <row r="322">
      <c r="A322" s="3"/>
      <c r="B322" s="19"/>
      <c r="C322" s="19"/>
      <c r="D322" s="19"/>
      <c r="E322" s="3"/>
    </row>
    <row r="323">
      <c r="A323" s="3"/>
      <c r="B323" s="19"/>
      <c r="C323" s="19"/>
      <c r="D323" s="19"/>
      <c r="E323" s="3"/>
    </row>
    <row r="324">
      <c r="A324" s="3"/>
      <c r="B324" s="19"/>
      <c r="C324" s="19"/>
      <c r="D324" s="19"/>
      <c r="E324" s="3"/>
    </row>
    <row r="325">
      <c r="A325" s="3"/>
      <c r="B325" s="19"/>
      <c r="C325" s="19"/>
      <c r="D325" s="19"/>
      <c r="E325" s="3"/>
    </row>
    <row r="326">
      <c r="A326" s="3"/>
      <c r="B326" s="19"/>
      <c r="C326" s="19"/>
      <c r="D326" s="19"/>
      <c r="E326" s="3"/>
    </row>
    <row r="327">
      <c r="A327" s="3"/>
      <c r="B327" s="19"/>
      <c r="C327" s="19"/>
      <c r="D327" s="19"/>
      <c r="E327" s="3"/>
    </row>
    <row r="328">
      <c r="A328" s="3"/>
      <c r="B328" s="19"/>
      <c r="C328" s="19"/>
      <c r="D328" s="19"/>
      <c r="E328" s="3"/>
    </row>
    <row r="329">
      <c r="A329" s="3"/>
      <c r="B329" s="19"/>
      <c r="C329" s="19"/>
      <c r="D329" s="19"/>
      <c r="E329" s="3"/>
    </row>
    <row r="330">
      <c r="A330" s="3"/>
      <c r="B330" s="19"/>
      <c r="C330" s="19"/>
      <c r="D330" s="19"/>
      <c r="E330" s="3"/>
    </row>
    <row r="331">
      <c r="A331" s="3"/>
      <c r="B331" s="19"/>
      <c r="C331" s="19"/>
      <c r="D331" s="19"/>
      <c r="E331" s="3"/>
    </row>
    <row r="332">
      <c r="A332" s="3"/>
      <c r="B332" s="19"/>
      <c r="C332" s="19"/>
      <c r="D332" s="19"/>
      <c r="E332" s="3"/>
    </row>
    <row r="333">
      <c r="A333" s="3"/>
      <c r="B333" s="19"/>
      <c r="C333" s="19"/>
      <c r="D333" s="19"/>
      <c r="E333" s="3"/>
    </row>
    <row r="334">
      <c r="A334" s="3"/>
      <c r="B334" s="19"/>
      <c r="C334" s="19"/>
      <c r="D334" s="19"/>
      <c r="E334" s="3"/>
    </row>
    <row r="335">
      <c r="A335" s="3"/>
      <c r="B335" s="19"/>
      <c r="C335" s="19"/>
      <c r="D335" s="19"/>
      <c r="E335" s="3"/>
    </row>
    <row r="336">
      <c r="A336" s="3"/>
      <c r="B336" s="19"/>
      <c r="C336" s="19"/>
      <c r="D336" s="19"/>
      <c r="E336" s="3"/>
    </row>
    <row r="337">
      <c r="A337" s="3"/>
      <c r="B337" s="19"/>
      <c r="C337" s="19"/>
      <c r="D337" s="19"/>
      <c r="E337" s="3"/>
    </row>
    <row r="338">
      <c r="A338" s="3"/>
      <c r="B338" s="19"/>
      <c r="C338" s="19"/>
      <c r="D338" s="19"/>
      <c r="E338" s="3"/>
    </row>
    <row r="339">
      <c r="A339" s="3"/>
      <c r="B339" s="19"/>
      <c r="C339" s="19"/>
      <c r="D339" s="19"/>
      <c r="E339" s="3"/>
    </row>
    <row r="340">
      <c r="A340" s="3"/>
      <c r="B340" s="19"/>
      <c r="C340" s="19"/>
      <c r="D340" s="19"/>
      <c r="E340" s="3"/>
    </row>
    <row r="341">
      <c r="A341" s="3"/>
      <c r="B341" s="19"/>
      <c r="C341" s="19"/>
      <c r="D341" s="19"/>
      <c r="E341" s="3"/>
    </row>
    <row r="342">
      <c r="A342" s="3"/>
      <c r="B342" s="19"/>
      <c r="C342" s="19"/>
      <c r="D342" s="19"/>
      <c r="E342" s="3"/>
    </row>
    <row r="343">
      <c r="A343" s="3"/>
      <c r="B343" s="19"/>
      <c r="C343" s="19"/>
      <c r="D343" s="19"/>
      <c r="E343" s="3"/>
    </row>
    <row r="344">
      <c r="A344" s="3"/>
      <c r="B344" s="19"/>
      <c r="C344" s="19"/>
      <c r="D344" s="19"/>
      <c r="E344" s="3"/>
    </row>
    <row r="345">
      <c r="A345" s="3"/>
      <c r="B345" s="19"/>
      <c r="C345" s="19"/>
      <c r="D345" s="19"/>
      <c r="E345" s="3"/>
    </row>
    <row r="346">
      <c r="A346" s="3"/>
      <c r="B346" s="19"/>
      <c r="C346" s="19"/>
      <c r="D346" s="19"/>
      <c r="E346" s="3"/>
    </row>
    <row r="347">
      <c r="A347" s="3"/>
      <c r="B347" s="19"/>
      <c r="C347" s="19"/>
      <c r="D347" s="19"/>
      <c r="E347" s="3"/>
    </row>
    <row r="348">
      <c r="A348" s="3"/>
      <c r="B348" s="19"/>
      <c r="C348" s="19"/>
      <c r="D348" s="19"/>
      <c r="E348" s="3"/>
    </row>
    <row r="349">
      <c r="A349" s="3"/>
      <c r="B349" s="19"/>
      <c r="C349" s="19"/>
      <c r="D349" s="19"/>
      <c r="E349" s="3"/>
    </row>
    <row r="350">
      <c r="A350" s="3"/>
      <c r="B350" s="19"/>
      <c r="C350" s="19"/>
      <c r="D350" s="19"/>
      <c r="E350" s="3"/>
    </row>
    <row r="351">
      <c r="A351" s="3"/>
      <c r="B351" s="19"/>
      <c r="C351" s="19"/>
      <c r="D351" s="19"/>
      <c r="E351" s="3"/>
    </row>
    <row r="352">
      <c r="A352" s="3"/>
      <c r="B352" s="19"/>
      <c r="C352" s="19"/>
      <c r="D352" s="19"/>
      <c r="E352" s="3"/>
    </row>
    <row r="353">
      <c r="A353" s="3"/>
      <c r="B353" s="19"/>
      <c r="C353" s="19"/>
      <c r="D353" s="19"/>
      <c r="E353" s="3"/>
    </row>
    <row r="354">
      <c r="A354" s="3"/>
      <c r="B354" s="19"/>
      <c r="C354" s="19"/>
      <c r="D354" s="19"/>
      <c r="E354" s="3"/>
    </row>
    <row r="355">
      <c r="A355" s="3"/>
      <c r="B355" s="19"/>
      <c r="C355" s="19"/>
      <c r="D355" s="19"/>
      <c r="E355" s="3"/>
    </row>
    <row r="356">
      <c r="A356" s="3"/>
      <c r="B356" s="19"/>
      <c r="C356" s="19"/>
      <c r="D356" s="19"/>
      <c r="E356" s="3"/>
    </row>
    <row r="357">
      <c r="A357" s="3"/>
      <c r="B357" s="19"/>
      <c r="C357" s="19"/>
      <c r="D357" s="19"/>
      <c r="E357" s="3"/>
    </row>
    <row r="358">
      <c r="A358" s="3"/>
      <c r="B358" s="19"/>
      <c r="C358" s="19"/>
      <c r="D358" s="19"/>
      <c r="E358" s="3"/>
    </row>
    <row r="359">
      <c r="A359" s="3"/>
      <c r="B359" s="19"/>
      <c r="C359" s="19"/>
      <c r="D359" s="19"/>
      <c r="E359" s="3"/>
    </row>
    <row r="360">
      <c r="A360" s="3"/>
      <c r="B360" s="19"/>
      <c r="C360" s="19"/>
      <c r="D360" s="19"/>
      <c r="E360" s="3"/>
    </row>
    <row r="361">
      <c r="A361" s="3"/>
      <c r="B361" s="19"/>
      <c r="C361" s="19"/>
      <c r="D361" s="19"/>
      <c r="E361" s="3"/>
    </row>
    <row r="362">
      <c r="A362" s="3"/>
      <c r="B362" s="19"/>
      <c r="C362" s="19"/>
      <c r="D362" s="19"/>
      <c r="E362" s="3"/>
    </row>
    <row r="363">
      <c r="A363" s="3"/>
      <c r="B363" s="19"/>
      <c r="C363" s="19"/>
      <c r="D363" s="19"/>
      <c r="E363" s="3"/>
    </row>
    <row r="364">
      <c r="A364" s="3"/>
      <c r="B364" s="19"/>
      <c r="C364" s="19"/>
      <c r="D364" s="19"/>
      <c r="E364" s="3"/>
    </row>
    <row r="365">
      <c r="A365" s="3"/>
      <c r="B365" s="19"/>
      <c r="C365" s="19"/>
      <c r="D365" s="19"/>
      <c r="E365" s="3"/>
    </row>
    <row r="366">
      <c r="A366" s="3"/>
      <c r="B366" s="19"/>
      <c r="C366" s="19"/>
      <c r="D366" s="19"/>
      <c r="E366" s="3"/>
    </row>
    <row r="367">
      <c r="A367" s="3"/>
      <c r="B367" s="19"/>
      <c r="C367" s="19"/>
      <c r="D367" s="19"/>
      <c r="E367" s="3"/>
    </row>
    <row r="368">
      <c r="A368" s="3"/>
      <c r="B368" s="19"/>
      <c r="C368" s="19"/>
      <c r="D368" s="19"/>
      <c r="E368" s="3"/>
    </row>
    <row r="369">
      <c r="A369" s="3"/>
      <c r="B369" s="19"/>
      <c r="C369" s="19"/>
      <c r="D369" s="19"/>
      <c r="E369" s="3"/>
    </row>
    <row r="370">
      <c r="A370" s="3"/>
      <c r="B370" s="19"/>
      <c r="C370" s="19"/>
      <c r="D370" s="19"/>
      <c r="E370" s="3"/>
    </row>
    <row r="371">
      <c r="A371" s="3"/>
      <c r="B371" s="19"/>
      <c r="C371" s="19"/>
      <c r="D371" s="19"/>
      <c r="E371" s="3"/>
    </row>
    <row r="372">
      <c r="A372" s="3"/>
      <c r="B372" s="19"/>
      <c r="C372" s="19"/>
      <c r="D372" s="19"/>
      <c r="E372" s="3"/>
    </row>
    <row r="373">
      <c r="A373" s="3"/>
      <c r="B373" s="19"/>
      <c r="C373" s="19"/>
      <c r="D373" s="19"/>
      <c r="E373" s="3"/>
    </row>
    <row r="374">
      <c r="A374" s="3"/>
      <c r="B374" s="19"/>
      <c r="C374" s="19"/>
      <c r="D374" s="19"/>
      <c r="E374" s="3"/>
    </row>
    <row r="375">
      <c r="A375" s="3"/>
      <c r="B375" s="19"/>
      <c r="C375" s="19"/>
      <c r="D375" s="19"/>
      <c r="E375" s="3"/>
    </row>
    <row r="376">
      <c r="A376" s="3"/>
      <c r="B376" s="19"/>
      <c r="C376" s="19"/>
      <c r="D376" s="19"/>
      <c r="E376" s="3"/>
    </row>
    <row r="377">
      <c r="A377" s="3"/>
      <c r="B377" s="19"/>
      <c r="C377" s="19"/>
      <c r="D377" s="19"/>
      <c r="E377" s="3"/>
    </row>
    <row r="378">
      <c r="A378" s="3"/>
      <c r="B378" s="19"/>
      <c r="C378" s="19"/>
      <c r="D378" s="19"/>
      <c r="E378" s="3"/>
    </row>
    <row r="379">
      <c r="A379" s="3"/>
      <c r="B379" s="19"/>
      <c r="C379" s="19"/>
      <c r="D379" s="19"/>
      <c r="E379" s="3"/>
    </row>
    <row r="380">
      <c r="A380" s="3"/>
      <c r="B380" s="19"/>
      <c r="C380" s="19"/>
      <c r="D380" s="19"/>
      <c r="E380" s="3"/>
    </row>
    <row r="381">
      <c r="A381" s="3"/>
      <c r="B381" s="19"/>
      <c r="C381" s="19"/>
      <c r="D381" s="19"/>
      <c r="E381" s="3"/>
    </row>
    <row r="382">
      <c r="A382" s="3"/>
      <c r="B382" s="19"/>
      <c r="C382" s="19"/>
      <c r="D382" s="19"/>
      <c r="E382" s="3"/>
    </row>
    <row r="383">
      <c r="A383" s="3"/>
      <c r="B383" s="19"/>
      <c r="C383" s="19"/>
      <c r="D383" s="19"/>
      <c r="E383" s="3"/>
    </row>
    <row r="384">
      <c r="A384" s="3"/>
      <c r="B384" s="19"/>
      <c r="C384" s="19"/>
      <c r="D384" s="19"/>
      <c r="E384" s="3"/>
    </row>
    <row r="385">
      <c r="A385" s="3"/>
      <c r="B385" s="19"/>
      <c r="C385" s="19"/>
      <c r="D385" s="19"/>
      <c r="E385" s="3"/>
    </row>
    <row r="386">
      <c r="A386" s="3"/>
      <c r="B386" s="19"/>
      <c r="C386" s="19"/>
      <c r="D386" s="19"/>
      <c r="E386" s="3"/>
    </row>
    <row r="387">
      <c r="A387" s="3"/>
      <c r="B387" s="19"/>
      <c r="C387" s="19"/>
      <c r="D387" s="19"/>
      <c r="E387" s="3"/>
    </row>
    <row r="388">
      <c r="A388" s="3"/>
      <c r="B388" s="19"/>
      <c r="C388" s="19"/>
      <c r="D388" s="19"/>
      <c r="E388" s="3"/>
    </row>
    <row r="389">
      <c r="A389" s="3"/>
      <c r="B389" s="19"/>
      <c r="C389" s="19"/>
      <c r="D389" s="19"/>
      <c r="E389" s="3"/>
    </row>
    <row r="390">
      <c r="A390" s="3"/>
      <c r="B390" s="19"/>
      <c r="C390" s="19"/>
      <c r="D390" s="19"/>
      <c r="E390" s="3"/>
    </row>
    <row r="391">
      <c r="A391" s="3"/>
      <c r="B391" s="19"/>
      <c r="C391" s="19"/>
      <c r="D391" s="19"/>
      <c r="E391" s="3"/>
    </row>
    <row r="392">
      <c r="A392" s="3"/>
      <c r="B392" s="19"/>
      <c r="C392" s="19"/>
      <c r="D392" s="19"/>
      <c r="E392" s="3"/>
    </row>
    <row r="393">
      <c r="A393" s="3"/>
      <c r="B393" s="19"/>
      <c r="C393" s="19"/>
      <c r="D393" s="19"/>
      <c r="E393" s="3"/>
    </row>
    <row r="394">
      <c r="A394" s="3"/>
      <c r="B394" s="19"/>
      <c r="C394" s="19"/>
      <c r="D394" s="19"/>
      <c r="E394" s="3"/>
    </row>
    <row r="395">
      <c r="A395" s="3"/>
      <c r="B395" s="19"/>
      <c r="C395" s="19"/>
      <c r="D395" s="19"/>
      <c r="E395" s="3"/>
    </row>
    <row r="396">
      <c r="A396" s="3"/>
      <c r="B396" s="19"/>
      <c r="C396" s="19"/>
      <c r="D396" s="19"/>
      <c r="E396" s="3"/>
    </row>
    <row r="397">
      <c r="A397" s="3"/>
      <c r="B397" s="19"/>
      <c r="C397" s="19"/>
      <c r="D397" s="19"/>
      <c r="E397" s="3"/>
    </row>
    <row r="398">
      <c r="A398" s="3"/>
      <c r="B398" s="19"/>
      <c r="C398" s="19"/>
      <c r="D398" s="19"/>
      <c r="E398" s="3"/>
    </row>
    <row r="399">
      <c r="A399" s="3"/>
      <c r="B399" s="19"/>
      <c r="C399" s="19"/>
      <c r="D399" s="19"/>
      <c r="E399" s="3"/>
    </row>
    <row r="400">
      <c r="A400" s="3"/>
      <c r="B400" s="19"/>
      <c r="C400" s="19"/>
      <c r="D400" s="19"/>
      <c r="E400" s="3"/>
    </row>
    <row r="401">
      <c r="A401" s="3"/>
      <c r="B401" s="19"/>
      <c r="C401" s="19"/>
      <c r="D401" s="19"/>
      <c r="E401" s="3"/>
    </row>
    <row r="402">
      <c r="A402" s="3"/>
      <c r="B402" s="19"/>
      <c r="C402" s="19"/>
      <c r="D402" s="19"/>
      <c r="E402" s="3"/>
    </row>
    <row r="403">
      <c r="A403" s="3"/>
      <c r="B403" s="19"/>
      <c r="C403" s="19"/>
      <c r="D403" s="19"/>
      <c r="E403" s="3"/>
    </row>
    <row r="404">
      <c r="A404" s="3"/>
      <c r="B404" s="19"/>
      <c r="C404" s="19"/>
      <c r="D404" s="19"/>
      <c r="E404" s="3"/>
    </row>
    <row r="405">
      <c r="A405" s="3"/>
      <c r="B405" s="19"/>
      <c r="C405" s="19"/>
      <c r="D405" s="19"/>
      <c r="E405" s="3"/>
    </row>
    <row r="406">
      <c r="A406" s="3"/>
      <c r="B406" s="19"/>
      <c r="C406" s="19"/>
      <c r="D406" s="19"/>
      <c r="E406" s="3"/>
    </row>
    <row r="407">
      <c r="A407" s="3"/>
      <c r="B407" s="19"/>
      <c r="C407" s="19"/>
      <c r="D407" s="19"/>
      <c r="E407" s="3"/>
    </row>
    <row r="408">
      <c r="A408" s="3"/>
      <c r="B408" s="19"/>
      <c r="C408" s="19"/>
      <c r="D408" s="19"/>
      <c r="E408" s="3"/>
    </row>
    <row r="409">
      <c r="A409" s="3"/>
      <c r="B409" s="19"/>
      <c r="C409" s="19"/>
      <c r="D409" s="19"/>
      <c r="E409" s="3"/>
    </row>
    <row r="410">
      <c r="A410" s="3"/>
      <c r="B410" s="19"/>
      <c r="C410" s="19"/>
      <c r="D410" s="19"/>
      <c r="E410" s="3"/>
    </row>
    <row r="411">
      <c r="A411" s="3"/>
      <c r="B411" s="19"/>
      <c r="C411" s="19"/>
      <c r="D411" s="19"/>
      <c r="E411" s="3"/>
    </row>
    <row r="412">
      <c r="A412" s="3"/>
      <c r="B412" s="19"/>
      <c r="C412" s="19"/>
      <c r="D412" s="19"/>
      <c r="E412" s="3"/>
    </row>
    <row r="413">
      <c r="A413" s="3"/>
      <c r="B413" s="19"/>
      <c r="C413" s="19"/>
      <c r="D413" s="19"/>
      <c r="E413" s="3"/>
    </row>
    <row r="414">
      <c r="A414" s="3"/>
      <c r="B414" s="19"/>
      <c r="C414" s="19"/>
      <c r="D414" s="19"/>
      <c r="E414" s="3"/>
    </row>
    <row r="415">
      <c r="A415" s="3"/>
      <c r="B415" s="19"/>
      <c r="C415" s="19"/>
      <c r="D415" s="19"/>
      <c r="E415" s="3"/>
    </row>
    <row r="416">
      <c r="A416" s="3"/>
      <c r="B416" s="19"/>
      <c r="C416" s="19"/>
      <c r="D416" s="19"/>
      <c r="E416" s="3"/>
    </row>
    <row r="417">
      <c r="A417" s="3"/>
      <c r="B417" s="19"/>
      <c r="C417" s="19"/>
      <c r="D417" s="19"/>
      <c r="E417" s="3"/>
    </row>
    <row r="418">
      <c r="A418" s="3"/>
      <c r="B418" s="19"/>
      <c r="C418" s="19"/>
      <c r="D418" s="19"/>
      <c r="E418" s="3"/>
    </row>
    <row r="419">
      <c r="A419" s="3"/>
      <c r="B419" s="19"/>
      <c r="C419" s="19"/>
      <c r="D419" s="19"/>
      <c r="E419" s="3"/>
    </row>
    <row r="420">
      <c r="A420" s="3"/>
      <c r="B420" s="19"/>
      <c r="C420" s="19"/>
      <c r="D420" s="19"/>
      <c r="E420" s="3"/>
    </row>
    <row r="421">
      <c r="A421" s="3"/>
      <c r="B421" s="19"/>
      <c r="C421" s="19"/>
      <c r="D421" s="19"/>
      <c r="E421" s="3"/>
    </row>
    <row r="422">
      <c r="A422" s="3"/>
      <c r="B422" s="19"/>
      <c r="C422" s="19"/>
      <c r="D422" s="19"/>
      <c r="E422" s="3"/>
    </row>
    <row r="423">
      <c r="A423" s="3"/>
      <c r="B423" s="19"/>
      <c r="C423" s="19"/>
      <c r="D423" s="19"/>
      <c r="E423" s="3"/>
    </row>
    <row r="424">
      <c r="A424" s="3"/>
      <c r="B424" s="19"/>
      <c r="C424" s="19"/>
      <c r="D424" s="19"/>
      <c r="E424" s="3"/>
    </row>
    <row r="425">
      <c r="A425" s="3"/>
      <c r="B425" s="19"/>
      <c r="C425" s="19"/>
      <c r="D425" s="19"/>
      <c r="E425" s="3"/>
    </row>
    <row r="426">
      <c r="A426" s="3"/>
      <c r="B426" s="19"/>
      <c r="C426" s="19"/>
      <c r="D426" s="19"/>
      <c r="E426" s="3"/>
    </row>
    <row r="427">
      <c r="A427" s="3"/>
      <c r="B427" s="19"/>
      <c r="C427" s="19"/>
      <c r="D427" s="19"/>
      <c r="E427" s="3"/>
    </row>
    <row r="428">
      <c r="A428" s="3"/>
      <c r="B428" s="19"/>
      <c r="C428" s="19"/>
      <c r="D428" s="19"/>
      <c r="E428" s="3"/>
    </row>
    <row r="429">
      <c r="A429" s="3"/>
      <c r="B429" s="19"/>
      <c r="C429" s="19"/>
      <c r="D429" s="19"/>
      <c r="E429" s="3"/>
    </row>
    <row r="430">
      <c r="A430" s="3"/>
      <c r="B430" s="19"/>
      <c r="C430" s="19"/>
      <c r="D430" s="19"/>
      <c r="E430" s="3"/>
    </row>
    <row r="431">
      <c r="A431" s="3"/>
      <c r="B431" s="19"/>
      <c r="C431" s="19"/>
      <c r="D431" s="19"/>
      <c r="E431" s="3"/>
    </row>
    <row r="432">
      <c r="A432" s="3"/>
      <c r="B432" s="19"/>
      <c r="C432" s="19"/>
      <c r="D432" s="19"/>
      <c r="E432" s="3"/>
    </row>
    <row r="433">
      <c r="A433" s="3"/>
      <c r="B433" s="19"/>
      <c r="C433" s="19"/>
      <c r="D433" s="19"/>
      <c r="E433" s="3"/>
    </row>
    <row r="434">
      <c r="A434" s="3"/>
      <c r="B434" s="19"/>
      <c r="C434" s="19"/>
      <c r="D434" s="19"/>
      <c r="E434" s="3"/>
    </row>
    <row r="435">
      <c r="A435" s="3"/>
      <c r="B435" s="19"/>
      <c r="C435" s="19"/>
      <c r="D435" s="19"/>
      <c r="E435" s="3"/>
    </row>
    <row r="436">
      <c r="A436" s="3"/>
      <c r="B436" s="19"/>
      <c r="C436" s="19"/>
      <c r="D436" s="19"/>
      <c r="E436" s="3"/>
    </row>
    <row r="437">
      <c r="A437" s="3"/>
      <c r="B437" s="19"/>
      <c r="C437" s="19"/>
      <c r="D437" s="19"/>
      <c r="E437" s="3"/>
    </row>
    <row r="438">
      <c r="A438" s="3"/>
      <c r="B438" s="19"/>
      <c r="C438" s="19"/>
      <c r="D438" s="19"/>
      <c r="E438" s="3"/>
    </row>
    <row r="439">
      <c r="A439" s="3"/>
      <c r="B439" s="19"/>
      <c r="C439" s="19"/>
      <c r="D439" s="19"/>
      <c r="E439" s="3"/>
    </row>
    <row r="440">
      <c r="A440" s="3"/>
      <c r="B440" s="19"/>
      <c r="C440" s="19"/>
      <c r="D440" s="19"/>
      <c r="E440" s="3"/>
    </row>
    <row r="441">
      <c r="A441" s="3"/>
      <c r="B441" s="19"/>
      <c r="C441" s="19"/>
      <c r="D441" s="19"/>
      <c r="E441" s="3"/>
    </row>
    <row r="442">
      <c r="A442" s="3"/>
      <c r="B442" s="19"/>
      <c r="C442" s="19"/>
      <c r="D442" s="19"/>
      <c r="E442" s="3"/>
    </row>
    <row r="443">
      <c r="A443" s="3"/>
      <c r="B443" s="19"/>
      <c r="C443" s="19"/>
      <c r="D443" s="19"/>
      <c r="E443" s="3"/>
    </row>
    <row r="444">
      <c r="A444" s="3"/>
      <c r="B444" s="19"/>
      <c r="C444" s="19"/>
      <c r="D444" s="19"/>
      <c r="E444" s="3"/>
    </row>
    <row r="445">
      <c r="A445" s="3"/>
      <c r="B445" s="19"/>
      <c r="C445" s="19"/>
      <c r="D445" s="19"/>
      <c r="E445" s="3"/>
    </row>
    <row r="446">
      <c r="A446" s="3"/>
      <c r="B446" s="19"/>
      <c r="C446" s="19"/>
      <c r="D446" s="19"/>
      <c r="E446" s="3"/>
    </row>
    <row r="447">
      <c r="A447" s="3"/>
      <c r="B447" s="19"/>
      <c r="C447" s="19"/>
      <c r="D447" s="19"/>
      <c r="E447" s="3"/>
    </row>
    <row r="448">
      <c r="A448" s="3"/>
      <c r="B448" s="19"/>
      <c r="C448" s="19"/>
      <c r="D448" s="19"/>
      <c r="E448" s="3"/>
    </row>
    <row r="449">
      <c r="A449" s="3"/>
      <c r="B449" s="19"/>
      <c r="C449" s="19"/>
      <c r="D449" s="19"/>
      <c r="E449" s="3"/>
    </row>
    <row r="450">
      <c r="A450" s="3"/>
      <c r="B450" s="19"/>
      <c r="C450" s="19"/>
      <c r="D450" s="19"/>
      <c r="E450" s="3"/>
    </row>
    <row r="451">
      <c r="A451" s="3"/>
      <c r="B451" s="19"/>
      <c r="C451" s="19"/>
      <c r="D451" s="19"/>
      <c r="E451" s="3"/>
    </row>
    <row r="452">
      <c r="A452" s="3"/>
      <c r="B452" s="19"/>
      <c r="C452" s="19"/>
      <c r="D452" s="19"/>
      <c r="E452" s="3"/>
    </row>
    <row r="453">
      <c r="A453" s="3"/>
      <c r="B453" s="19"/>
      <c r="C453" s="19"/>
      <c r="D453" s="19"/>
      <c r="E453" s="3"/>
    </row>
    <row r="454">
      <c r="A454" s="3"/>
      <c r="B454" s="19"/>
      <c r="C454" s="19"/>
      <c r="D454" s="19"/>
      <c r="E454" s="3"/>
    </row>
    <row r="455">
      <c r="A455" s="3"/>
      <c r="B455" s="19"/>
      <c r="C455" s="19"/>
      <c r="D455" s="19"/>
      <c r="E455" s="3"/>
    </row>
    <row r="456">
      <c r="A456" s="3"/>
      <c r="B456" s="19"/>
      <c r="C456" s="19"/>
      <c r="D456" s="19"/>
      <c r="E456" s="3"/>
    </row>
    <row r="457">
      <c r="A457" s="3"/>
      <c r="B457" s="19"/>
      <c r="C457" s="19"/>
      <c r="D457" s="19"/>
      <c r="E457" s="3"/>
    </row>
    <row r="458">
      <c r="A458" s="3"/>
      <c r="B458" s="19"/>
      <c r="C458" s="19"/>
      <c r="D458" s="19"/>
      <c r="E458" s="3"/>
    </row>
    <row r="459">
      <c r="A459" s="3"/>
      <c r="B459" s="19"/>
      <c r="C459" s="19"/>
      <c r="D459" s="19"/>
      <c r="E459" s="3"/>
    </row>
    <row r="460">
      <c r="A460" s="3"/>
      <c r="B460" s="19"/>
      <c r="C460" s="19"/>
      <c r="D460" s="19"/>
      <c r="E460" s="3"/>
    </row>
    <row r="461">
      <c r="A461" s="3"/>
      <c r="B461" s="19"/>
      <c r="C461" s="19"/>
      <c r="D461" s="19"/>
      <c r="E461" s="3"/>
    </row>
    <row r="462">
      <c r="A462" s="3"/>
      <c r="B462" s="19"/>
      <c r="C462" s="19"/>
      <c r="D462" s="19"/>
      <c r="E462" s="3"/>
    </row>
    <row r="463">
      <c r="A463" s="3"/>
      <c r="B463" s="19"/>
      <c r="C463" s="19"/>
      <c r="D463" s="19"/>
      <c r="E463" s="3"/>
    </row>
    <row r="464">
      <c r="A464" s="3"/>
      <c r="B464" s="19"/>
      <c r="C464" s="19"/>
      <c r="D464" s="19"/>
      <c r="E464" s="3"/>
    </row>
    <row r="465">
      <c r="A465" s="3"/>
      <c r="B465" s="19"/>
      <c r="C465" s="19"/>
      <c r="D465" s="19"/>
      <c r="E465" s="3"/>
    </row>
    <row r="466">
      <c r="A466" s="3"/>
      <c r="B466" s="19"/>
      <c r="C466" s="19"/>
      <c r="D466" s="19"/>
      <c r="E466" s="3"/>
    </row>
    <row r="467">
      <c r="A467" s="3"/>
      <c r="B467" s="19"/>
      <c r="C467" s="19"/>
      <c r="D467" s="19"/>
      <c r="E467" s="3"/>
    </row>
    <row r="468">
      <c r="A468" s="3"/>
      <c r="B468" s="19"/>
      <c r="C468" s="19"/>
      <c r="D468" s="19"/>
      <c r="E468" s="3"/>
    </row>
    <row r="469">
      <c r="A469" s="3"/>
      <c r="B469" s="19"/>
      <c r="C469" s="19"/>
      <c r="D469" s="19"/>
      <c r="E469" s="3"/>
    </row>
    <row r="470">
      <c r="A470" s="3"/>
      <c r="B470" s="19"/>
      <c r="C470" s="19"/>
      <c r="D470" s="19"/>
      <c r="E470" s="3"/>
    </row>
    <row r="471">
      <c r="A471" s="3"/>
      <c r="B471" s="19"/>
      <c r="C471" s="19"/>
      <c r="D471" s="19"/>
      <c r="E471" s="3"/>
    </row>
    <row r="472">
      <c r="A472" s="3"/>
      <c r="B472" s="19"/>
      <c r="C472" s="19"/>
      <c r="D472" s="19"/>
      <c r="E472" s="3"/>
    </row>
    <row r="473">
      <c r="A473" s="3"/>
      <c r="B473" s="19"/>
      <c r="C473" s="19"/>
      <c r="D473" s="19"/>
      <c r="E473" s="3"/>
    </row>
    <row r="474">
      <c r="A474" s="3"/>
      <c r="B474" s="19"/>
      <c r="C474" s="19"/>
      <c r="D474" s="19"/>
      <c r="E474" s="3"/>
    </row>
    <row r="475">
      <c r="A475" s="3"/>
      <c r="B475" s="19"/>
      <c r="C475" s="19"/>
      <c r="D475" s="19"/>
      <c r="E475" s="3"/>
    </row>
    <row r="476">
      <c r="A476" s="3"/>
      <c r="B476" s="19"/>
      <c r="C476" s="19"/>
      <c r="D476" s="19"/>
      <c r="E476" s="3"/>
    </row>
    <row r="477">
      <c r="A477" s="3"/>
      <c r="B477" s="19"/>
      <c r="C477" s="19"/>
      <c r="D477" s="19"/>
      <c r="E477" s="3"/>
    </row>
    <row r="478">
      <c r="A478" s="3"/>
      <c r="B478" s="19"/>
      <c r="C478" s="19"/>
      <c r="D478" s="19"/>
      <c r="E478" s="3"/>
    </row>
    <row r="479">
      <c r="A479" s="3"/>
      <c r="B479" s="19"/>
      <c r="C479" s="19"/>
      <c r="D479" s="19"/>
      <c r="E479" s="3"/>
    </row>
    <row r="480">
      <c r="A480" s="3"/>
      <c r="B480" s="19"/>
      <c r="C480" s="19"/>
      <c r="D480" s="19"/>
      <c r="E480" s="3"/>
    </row>
    <row r="481">
      <c r="A481" s="3"/>
      <c r="B481" s="19"/>
      <c r="C481" s="19"/>
      <c r="D481" s="19"/>
      <c r="E481" s="3"/>
    </row>
    <row r="482">
      <c r="A482" s="3"/>
      <c r="B482" s="19"/>
      <c r="C482" s="19"/>
      <c r="D482" s="19"/>
      <c r="E482" s="3"/>
    </row>
    <row r="483">
      <c r="A483" s="3"/>
      <c r="B483" s="19"/>
      <c r="C483" s="19"/>
      <c r="D483" s="19"/>
      <c r="E483" s="3"/>
    </row>
    <row r="484">
      <c r="A484" s="3"/>
      <c r="B484" s="19"/>
      <c r="C484" s="19"/>
      <c r="D484" s="19"/>
      <c r="E484" s="3"/>
    </row>
    <row r="485">
      <c r="A485" s="3"/>
      <c r="B485" s="19"/>
      <c r="C485" s="19"/>
      <c r="D485" s="19"/>
      <c r="E485" s="3"/>
    </row>
    <row r="486">
      <c r="A486" s="3"/>
      <c r="B486" s="19"/>
      <c r="C486" s="19"/>
      <c r="D486" s="19"/>
      <c r="E486" s="3"/>
    </row>
    <row r="487">
      <c r="A487" s="3"/>
      <c r="B487" s="19"/>
      <c r="C487" s="19"/>
      <c r="D487" s="19"/>
      <c r="E487" s="3"/>
    </row>
    <row r="488">
      <c r="A488" s="3"/>
      <c r="B488" s="19"/>
      <c r="C488" s="19"/>
      <c r="D488" s="19"/>
      <c r="E488" s="3"/>
    </row>
    <row r="489">
      <c r="A489" s="3"/>
      <c r="B489" s="19"/>
      <c r="C489" s="19"/>
      <c r="D489" s="19"/>
      <c r="E489" s="3"/>
    </row>
    <row r="490">
      <c r="A490" s="3"/>
      <c r="B490" s="19"/>
      <c r="C490" s="19"/>
      <c r="D490" s="19"/>
      <c r="E490" s="3"/>
    </row>
    <row r="491">
      <c r="A491" s="3"/>
      <c r="B491" s="19"/>
      <c r="C491" s="19"/>
      <c r="D491" s="19"/>
      <c r="E491" s="3"/>
    </row>
    <row r="492">
      <c r="A492" s="3"/>
      <c r="B492" s="19"/>
      <c r="C492" s="19"/>
      <c r="D492" s="19"/>
      <c r="E492" s="3"/>
    </row>
    <row r="493">
      <c r="A493" s="3"/>
      <c r="B493" s="19"/>
      <c r="C493" s="19"/>
      <c r="D493" s="19"/>
      <c r="E493" s="3"/>
    </row>
    <row r="494">
      <c r="A494" s="3"/>
      <c r="B494" s="19"/>
      <c r="C494" s="19"/>
      <c r="D494" s="19"/>
      <c r="E494" s="3"/>
    </row>
    <row r="495">
      <c r="A495" s="3"/>
      <c r="B495" s="19"/>
      <c r="C495" s="19"/>
      <c r="D495" s="19"/>
      <c r="E495" s="3"/>
    </row>
    <row r="496">
      <c r="A496" s="3"/>
      <c r="B496" s="19"/>
      <c r="C496" s="19"/>
      <c r="D496" s="19"/>
      <c r="E496" s="3"/>
    </row>
    <row r="497">
      <c r="A497" s="3"/>
      <c r="B497" s="19"/>
      <c r="C497" s="19"/>
      <c r="D497" s="19"/>
      <c r="E497" s="3"/>
    </row>
    <row r="498">
      <c r="A498" s="3"/>
      <c r="B498" s="19"/>
      <c r="C498" s="19"/>
      <c r="D498" s="19"/>
      <c r="E498" s="3"/>
    </row>
    <row r="499">
      <c r="A499" s="3"/>
      <c r="B499" s="19"/>
      <c r="C499" s="19"/>
      <c r="D499" s="19"/>
      <c r="E499" s="3"/>
    </row>
    <row r="500">
      <c r="A500" s="3"/>
      <c r="B500" s="19"/>
      <c r="C500" s="19"/>
      <c r="D500" s="19"/>
      <c r="E500" s="3"/>
    </row>
    <row r="501">
      <c r="A501" s="3"/>
      <c r="B501" s="19"/>
      <c r="C501" s="19"/>
      <c r="D501" s="19"/>
      <c r="E501" s="3"/>
    </row>
    <row r="502">
      <c r="A502" s="3"/>
      <c r="B502" s="19"/>
      <c r="C502" s="19"/>
      <c r="D502" s="19"/>
      <c r="E502" s="3"/>
    </row>
    <row r="503">
      <c r="A503" s="3"/>
      <c r="B503" s="19"/>
      <c r="C503" s="19"/>
      <c r="D503" s="19"/>
      <c r="E503" s="3"/>
    </row>
    <row r="504">
      <c r="A504" s="3"/>
      <c r="B504" s="19"/>
      <c r="C504" s="19"/>
      <c r="D504" s="19"/>
      <c r="E504" s="3"/>
    </row>
    <row r="505">
      <c r="A505" s="3"/>
      <c r="B505" s="19"/>
      <c r="C505" s="19"/>
      <c r="D505" s="19"/>
      <c r="E505" s="3"/>
    </row>
    <row r="506">
      <c r="A506" s="3"/>
      <c r="B506" s="19"/>
      <c r="C506" s="19"/>
      <c r="D506" s="19"/>
      <c r="E506" s="3"/>
    </row>
    <row r="507">
      <c r="A507" s="3"/>
      <c r="B507" s="19"/>
      <c r="C507" s="19"/>
      <c r="D507" s="19"/>
      <c r="E507" s="3"/>
    </row>
    <row r="508">
      <c r="A508" s="3"/>
      <c r="B508" s="19"/>
      <c r="C508" s="19"/>
      <c r="D508" s="19"/>
      <c r="E508" s="3"/>
    </row>
    <row r="509">
      <c r="A509" s="3"/>
      <c r="B509" s="19"/>
      <c r="C509" s="19"/>
      <c r="D509" s="19"/>
      <c r="E509" s="3"/>
    </row>
    <row r="510">
      <c r="A510" s="3"/>
      <c r="B510" s="19"/>
      <c r="C510" s="19"/>
      <c r="D510" s="19"/>
      <c r="E510" s="3"/>
    </row>
    <row r="511">
      <c r="A511" s="3"/>
      <c r="B511" s="19"/>
      <c r="C511" s="19"/>
      <c r="D511" s="19"/>
      <c r="E511" s="3"/>
    </row>
    <row r="512">
      <c r="A512" s="3"/>
      <c r="B512" s="19"/>
      <c r="C512" s="19"/>
      <c r="D512" s="19"/>
      <c r="E512" s="3"/>
    </row>
    <row r="513">
      <c r="A513" s="3"/>
      <c r="B513" s="19"/>
      <c r="C513" s="19"/>
      <c r="D513" s="19"/>
      <c r="E513" s="3"/>
    </row>
    <row r="514">
      <c r="A514" s="3"/>
      <c r="B514" s="19"/>
      <c r="C514" s="19"/>
      <c r="D514" s="19"/>
      <c r="E514" s="3"/>
    </row>
    <row r="515">
      <c r="A515" s="3"/>
      <c r="B515" s="19"/>
      <c r="C515" s="19"/>
      <c r="D515" s="19"/>
      <c r="E515" s="3"/>
    </row>
    <row r="516">
      <c r="A516" s="3"/>
      <c r="B516" s="19"/>
      <c r="C516" s="19"/>
      <c r="D516" s="19"/>
      <c r="E516" s="3"/>
    </row>
    <row r="517">
      <c r="A517" s="3"/>
      <c r="B517" s="19"/>
      <c r="C517" s="19"/>
      <c r="D517" s="19"/>
      <c r="E517" s="3"/>
    </row>
    <row r="518">
      <c r="A518" s="3"/>
      <c r="B518" s="19"/>
      <c r="C518" s="19"/>
      <c r="D518" s="19"/>
      <c r="E518" s="3"/>
    </row>
    <row r="519">
      <c r="A519" s="3"/>
      <c r="B519" s="19"/>
      <c r="C519" s="19"/>
      <c r="D519" s="19"/>
      <c r="E519" s="3"/>
    </row>
    <row r="520">
      <c r="A520" s="3"/>
      <c r="B520" s="19"/>
      <c r="C520" s="19"/>
      <c r="D520" s="19"/>
      <c r="E520" s="3"/>
    </row>
    <row r="521">
      <c r="A521" s="3"/>
      <c r="B521" s="19"/>
      <c r="C521" s="19"/>
      <c r="D521" s="19"/>
      <c r="E521" s="3"/>
    </row>
    <row r="522">
      <c r="A522" s="3"/>
      <c r="B522" s="19"/>
      <c r="C522" s="19"/>
      <c r="D522" s="19"/>
      <c r="E522" s="3"/>
    </row>
    <row r="523">
      <c r="A523" s="3"/>
      <c r="B523" s="19"/>
      <c r="C523" s="19"/>
      <c r="D523" s="19"/>
      <c r="E523" s="3"/>
    </row>
    <row r="524">
      <c r="A524" s="3"/>
      <c r="B524" s="19"/>
      <c r="C524" s="19"/>
      <c r="D524" s="19"/>
      <c r="E524" s="3"/>
    </row>
    <row r="525">
      <c r="A525" s="3"/>
      <c r="B525" s="19"/>
      <c r="C525" s="19"/>
      <c r="D525" s="19"/>
      <c r="E525" s="3"/>
    </row>
    <row r="526">
      <c r="A526" s="3"/>
      <c r="B526" s="19"/>
      <c r="C526" s="19"/>
      <c r="D526" s="19"/>
      <c r="E526" s="3"/>
    </row>
    <row r="527">
      <c r="A527" s="3"/>
      <c r="B527" s="19"/>
      <c r="C527" s="19"/>
      <c r="D527" s="19"/>
      <c r="E527" s="3"/>
    </row>
    <row r="528">
      <c r="A528" s="3"/>
      <c r="B528" s="19"/>
      <c r="C528" s="19"/>
      <c r="D528" s="19"/>
      <c r="E528" s="3"/>
    </row>
    <row r="529">
      <c r="A529" s="3"/>
      <c r="B529" s="19"/>
      <c r="C529" s="19"/>
      <c r="D529" s="19"/>
      <c r="E529" s="3"/>
    </row>
    <row r="530">
      <c r="A530" s="3"/>
      <c r="B530" s="19"/>
      <c r="C530" s="19"/>
      <c r="D530" s="19"/>
      <c r="E530" s="3"/>
    </row>
    <row r="531">
      <c r="A531" s="3"/>
      <c r="B531" s="19"/>
      <c r="C531" s="19"/>
      <c r="D531" s="19"/>
      <c r="E531" s="3"/>
    </row>
    <row r="532">
      <c r="A532" s="3"/>
      <c r="B532" s="19"/>
      <c r="C532" s="19"/>
      <c r="D532" s="19"/>
      <c r="E532" s="3"/>
    </row>
    <row r="533">
      <c r="A533" s="3"/>
      <c r="B533" s="19"/>
      <c r="C533" s="19"/>
      <c r="D533" s="19"/>
      <c r="E533" s="3"/>
    </row>
    <row r="534">
      <c r="A534" s="3"/>
      <c r="B534" s="19"/>
      <c r="C534" s="19"/>
      <c r="D534" s="19"/>
      <c r="E534" s="3"/>
    </row>
    <row r="535">
      <c r="A535" s="3"/>
      <c r="B535" s="19"/>
      <c r="C535" s="19"/>
      <c r="D535" s="19"/>
      <c r="E535" s="3"/>
    </row>
    <row r="536">
      <c r="A536" s="3"/>
      <c r="B536" s="19"/>
      <c r="C536" s="19"/>
      <c r="D536" s="19"/>
      <c r="E536" s="3"/>
    </row>
    <row r="537">
      <c r="A537" s="3"/>
      <c r="B537" s="19"/>
      <c r="C537" s="19"/>
      <c r="D537" s="19"/>
      <c r="E537" s="3"/>
    </row>
    <row r="538">
      <c r="A538" s="3"/>
      <c r="B538" s="19"/>
      <c r="C538" s="19"/>
      <c r="D538" s="19"/>
      <c r="E538" s="3"/>
    </row>
    <row r="539">
      <c r="A539" s="3"/>
      <c r="B539" s="19"/>
      <c r="C539" s="19"/>
      <c r="D539" s="19"/>
      <c r="E539" s="3"/>
    </row>
    <row r="540">
      <c r="A540" s="3"/>
      <c r="B540" s="19"/>
      <c r="C540" s="19"/>
      <c r="D540" s="19"/>
      <c r="E540" s="3"/>
    </row>
    <row r="541">
      <c r="A541" s="3"/>
      <c r="B541" s="19"/>
      <c r="C541" s="19"/>
      <c r="D541" s="19"/>
      <c r="E541" s="3"/>
    </row>
    <row r="542">
      <c r="A542" s="3"/>
      <c r="B542" s="19"/>
      <c r="C542" s="19"/>
      <c r="D542" s="19"/>
      <c r="E542" s="3"/>
    </row>
    <row r="543">
      <c r="A543" s="3"/>
      <c r="B543" s="19"/>
      <c r="C543" s="19"/>
      <c r="D543" s="19"/>
      <c r="E543" s="3"/>
    </row>
    <row r="544">
      <c r="A544" s="3"/>
      <c r="B544" s="19"/>
      <c r="C544" s="19"/>
      <c r="D544" s="19"/>
      <c r="E544" s="3"/>
    </row>
    <row r="545">
      <c r="A545" s="3"/>
      <c r="B545" s="19"/>
      <c r="C545" s="19"/>
      <c r="D545" s="19"/>
      <c r="E545" s="3"/>
    </row>
    <row r="546">
      <c r="A546" s="3"/>
      <c r="B546" s="19"/>
      <c r="C546" s="19"/>
      <c r="D546" s="19"/>
      <c r="E546" s="3"/>
    </row>
    <row r="547">
      <c r="A547" s="3"/>
      <c r="B547" s="19"/>
      <c r="C547" s="19"/>
      <c r="D547" s="19"/>
      <c r="E547" s="3"/>
    </row>
    <row r="548">
      <c r="A548" s="3"/>
      <c r="B548" s="19"/>
      <c r="C548" s="19"/>
      <c r="D548" s="19"/>
      <c r="E548" s="3"/>
    </row>
    <row r="549">
      <c r="A549" s="3"/>
      <c r="B549" s="19"/>
      <c r="C549" s="19"/>
      <c r="D549" s="19"/>
      <c r="E549" s="3"/>
    </row>
    <row r="550">
      <c r="A550" s="3"/>
      <c r="B550" s="19"/>
      <c r="C550" s="19"/>
      <c r="D550" s="19"/>
      <c r="E550" s="3"/>
    </row>
    <row r="551">
      <c r="A551" s="3"/>
      <c r="B551" s="19"/>
      <c r="C551" s="19"/>
      <c r="D551" s="19"/>
      <c r="E551" s="3"/>
    </row>
    <row r="552">
      <c r="A552" s="3"/>
      <c r="B552" s="19"/>
      <c r="C552" s="19"/>
      <c r="D552" s="19"/>
      <c r="E552" s="3"/>
    </row>
    <row r="553">
      <c r="A553" s="3"/>
      <c r="B553" s="19"/>
      <c r="C553" s="19"/>
      <c r="D553" s="19"/>
      <c r="E553" s="3"/>
    </row>
    <row r="554">
      <c r="A554" s="3"/>
      <c r="B554" s="19"/>
      <c r="C554" s="19"/>
      <c r="D554" s="19"/>
      <c r="E554" s="3"/>
    </row>
    <row r="555">
      <c r="A555" s="3"/>
      <c r="B555" s="19"/>
      <c r="C555" s="19"/>
      <c r="D555" s="19"/>
      <c r="E555" s="3"/>
    </row>
    <row r="556">
      <c r="A556" s="3"/>
      <c r="B556" s="19"/>
      <c r="C556" s="19"/>
      <c r="D556" s="19"/>
      <c r="E556" s="3"/>
    </row>
    <row r="557">
      <c r="A557" s="3"/>
      <c r="B557" s="19"/>
      <c r="C557" s="19"/>
      <c r="D557" s="19"/>
      <c r="E557" s="3"/>
    </row>
    <row r="558">
      <c r="A558" s="3"/>
      <c r="B558" s="19"/>
      <c r="C558" s="19"/>
      <c r="D558" s="19"/>
      <c r="E558" s="3"/>
    </row>
    <row r="559">
      <c r="A559" s="3"/>
      <c r="B559" s="19"/>
      <c r="C559" s="19"/>
      <c r="D559" s="19"/>
      <c r="E559" s="3"/>
    </row>
    <row r="560">
      <c r="A560" s="3"/>
      <c r="B560" s="19"/>
      <c r="C560" s="19"/>
      <c r="D560" s="19"/>
      <c r="E560" s="3"/>
    </row>
    <row r="561">
      <c r="A561" s="3"/>
      <c r="B561" s="19"/>
      <c r="C561" s="19"/>
      <c r="D561" s="19"/>
      <c r="E561" s="3"/>
    </row>
    <row r="562">
      <c r="A562" s="3"/>
      <c r="B562" s="19"/>
      <c r="C562" s="19"/>
      <c r="D562" s="19"/>
      <c r="E562" s="3"/>
    </row>
    <row r="563">
      <c r="A563" s="3"/>
      <c r="B563" s="19"/>
      <c r="C563" s="19"/>
      <c r="D563" s="19"/>
      <c r="E563" s="3"/>
    </row>
    <row r="564">
      <c r="A564" s="3"/>
      <c r="B564" s="19"/>
      <c r="C564" s="19"/>
      <c r="D564" s="19"/>
      <c r="E564" s="3"/>
    </row>
    <row r="565">
      <c r="A565" s="3"/>
      <c r="B565" s="19"/>
      <c r="C565" s="19"/>
      <c r="D565" s="19"/>
      <c r="E565" s="3"/>
    </row>
    <row r="566">
      <c r="A566" s="3"/>
      <c r="B566" s="19"/>
      <c r="C566" s="19"/>
      <c r="D566" s="19"/>
      <c r="E566" s="3"/>
    </row>
    <row r="567">
      <c r="A567" s="3"/>
      <c r="B567" s="19"/>
      <c r="C567" s="19"/>
      <c r="D567" s="19"/>
      <c r="E567" s="3"/>
    </row>
    <row r="568">
      <c r="A568" s="3"/>
      <c r="B568" s="19"/>
      <c r="C568" s="19"/>
      <c r="D568" s="19"/>
      <c r="E568" s="3"/>
    </row>
    <row r="569">
      <c r="A569" s="3"/>
      <c r="B569" s="19"/>
      <c r="C569" s="19"/>
      <c r="D569" s="19"/>
      <c r="E569" s="3"/>
    </row>
    <row r="570">
      <c r="A570" s="3"/>
      <c r="B570" s="19"/>
      <c r="C570" s="19"/>
      <c r="D570" s="19"/>
      <c r="E570" s="3"/>
    </row>
    <row r="571">
      <c r="A571" s="3"/>
      <c r="B571" s="19"/>
      <c r="C571" s="19"/>
      <c r="D571" s="19"/>
      <c r="E571" s="3"/>
    </row>
    <row r="572">
      <c r="A572" s="3"/>
      <c r="B572" s="19"/>
      <c r="C572" s="19"/>
      <c r="D572" s="19"/>
      <c r="E572" s="3"/>
    </row>
    <row r="573">
      <c r="A573" s="3"/>
      <c r="B573" s="19"/>
      <c r="C573" s="19"/>
      <c r="D573" s="19"/>
      <c r="E573" s="3"/>
    </row>
    <row r="574">
      <c r="A574" s="3"/>
      <c r="B574" s="19"/>
      <c r="C574" s="19"/>
      <c r="D574" s="19"/>
      <c r="E574" s="3"/>
    </row>
    <row r="575">
      <c r="A575" s="3"/>
      <c r="B575" s="19"/>
      <c r="C575" s="19"/>
      <c r="D575" s="19"/>
      <c r="E575" s="3"/>
    </row>
    <row r="576">
      <c r="A576" s="3"/>
      <c r="B576" s="19"/>
      <c r="C576" s="19"/>
      <c r="D576" s="19"/>
      <c r="E576" s="3"/>
    </row>
    <row r="577">
      <c r="A577" s="3"/>
      <c r="B577" s="19"/>
      <c r="C577" s="19"/>
      <c r="D577" s="19"/>
      <c r="E577" s="3"/>
    </row>
    <row r="578">
      <c r="A578" s="3"/>
      <c r="B578" s="19"/>
      <c r="C578" s="19"/>
      <c r="D578" s="19"/>
      <c r="E578" s="3"/>
    </row>
    <row r="579">
      <c r="A579" s="3"/>
      <c r="B579" s="19"/>
      <c r="C579" s="19"/>
      <c r="D579" s="19"/>
      <c r="E579" s="3"/>
    </row>
    <row r="580">
      <c r="A580" s="3"/>
      <c r="B580" s="19"/>
      <c r="C580" s="19"/>
      <c r="D580" s="19"/>
      <c r="E580" s="3"/>
    </row>
    <row r="581">
      <c r="A581" s="3"/>
      <c r="B581" s="19"/>
      <c r="C581" s="19"/>
      <c r="D581" s="19"/>
      <c r="E581" s="3"/>
    </row>
    <row r="582">
      <c r="A582" s="3"/>
      <c r="B582" s="19"/>
      <c r="C582" s="19"/>
      <c r="D582" s="19"/>
      <c r="E582" s="3"/>
    </row>
    <row r="583">
      <c r="A583" s="3"/>
      <c r="B583" s="19"/>
      <c r="C583" s="19"/>
      <c r="D583" s="19"/>
      <c r="E583" s="3"/>
    </row>
    <row r="584">
      <c r="A584" s="3"/>
      <c r="B584" s="19"/>
      <c r="C584" s="19"/>
      <c r="D584" s="19"/>
      <c r="E584" s="3"/>
    </row>
    <row r="585">
      <c r="A585" s="3"/>
      <c r="B585" s="19"/>
      <c r="C585" s="19"/>
      <c r="D585" s="19"/>
      <c r="E585" s="3"/>
    </row>
    <row r="586">
      <c r="A586" s="3"/>
      <c r="B586" s="19"/>
      <c r="C586" s="19"/>
      <c r="D586" s="19"/>
      <c r="E586" s="3"/>
    </row>
    <row r="587">
      <c r="A587" s="3"/>
      <c r="B587" s="19"/>
      <c r="C587" s="19"/>
      <c r="D587" s="19"/>
      <c r="E587" s="3"/>
    </row>
    <row r="588">
      <c r="A588" s="3"/>
      <c r="B588" s="19"/>
      <c r="C588" s="19"/>
      <c r="D588" s="19"/>
      <c r="E588" s="3"/>
    </row>
    <row r="589">
      <c r="A589" s="3"/>
      <c r="B589" s="19"/>
      <c r="C589" s="19"/>
      <c r="D589" s="19"/>
      <c r="E589" s="3"/>
    </row>
    <row r="590">
      <c r="A590" s="3"/>
      <c r="B590" s="19"/>
      <c r="C590" s="19"/>
      <c r="D590" s="19"/>
      <c r="E590" s="3"/>
    </row>
    <row r="591">
      <c r="A591" s="3"/>
      <c r="B591" s="19"/>
      <c r="C591" s="19"/>
      <c r="D591" s="19"/>
      <c r="E591" s="3"/>
    </row>
    <row r="592">
      <c r="A592" s="3"/>
      <c r="B592" s="19"/>
      <c r="C592" s="19"/>
      <c r="D592" s="19"/>
      <c r="E592" s="3"/>
    </row>
    <row r="593">
      <c r="A593" s="3"/>
      <c r="B593" s="19"/>
      <c r="C593" s="19"/>
      <c r="D593" s="19"/>
      <c r="E593" s="3"/>
    </row>
    <row r="594">
      <c r="A594" s="3"/>
      <c r="B594" s="19"/>
      <c r="C594" s="19"/>
      <c r="D594" s="19"/>
      <c r="E594" s="3"/>
    </row>
    <row r="595">
      <c r="A595" s="3"/>
      <c r="B595" s="19"/>
      <c r="C595" s="19"/>
      <c r="D595" s="19"/>
      <c r="E595" s="3"/>
    </row>
    <row r="596">
      <c r="A596" s="3"/>
      <c r="B596" s="19"/>
      <c r="C596" s="19"/>
      <c r="D596" s="19"/>
      <c r="E596" s="3"/>
    </row>
    <row r="597">
      <c r="A597" s="3"/>
      <c r="B597" s="19"/>
      <c r="C597" s="19"/>
      <c r="D597" s="19"/>
      <c r="E597" s="3"/>
    </row>
    <row r="598">
      <c r="A598" s="3"/>
      <c r="B598" s="19"/>
      <c r="C598" s="19"/>
      <c r="D598" s="19"/>
      <c r="E598" s="3"/>
    </row>
    <row r="599">
      <c r="A599" s="3"/>
      <c r="B599" s="19"/>
      <c r="C599" s="19"/>
      <c r="D599" s="19"/>
      <c r="E599" s="3"/>
    </row>
    <row r="600">
      <c r="A600" s="3"/>
      <c r="B600" s="19"/>
      <c r="C600" s="19"/>
      <c r="D600" s="19"/>
      <c r="E600" s="3"/>
    </row>
    <row r="601">
      <c r="A601" s="3"/>
      <c r="B601" s="19"/>
      <c r="C601" s="19"/>
      <c r="D601" s="19"/>
      <c r="E601" s="3"/>
    </row>
    <row r="602">
      <c r="A602" s="3"/>
      <c r="B602" s="19"/>
      <c r="C602" s="19"/>
      <c r="D602" s="19"/>
      <c r="E602" s="3"/>
    </row>
    <row r="603">
      <c r="A603" s="3"/>
      <c r="B603" s="19"/>
      <c r="C603" s="19"/>
      <c r="D603" s="19"/>
      <c r="E603" s="3"/>
    </row>
    <row r="604">
      <c r="A604" s="3"/>
      <c r="B604" s="19"/>
      <c r="C604" s="19"/>
      <c r="D604" s="19"/>
      <c r="E604" s="3"/>
    </row>
    <row r="605">
      <c r="A605" s="3"/>
      <c r="B605" s="19"/>
      <c r="C605" s="19"/>
      <c r="D605" s="19"/>
      <c r="E605" s="3"/>
    </row>
    <row r="606">
      <c r="A606" s="3"/>
      <c r="B606" s="19"/>
      <c r="C606" s="19"/>
      <c r="D606" s="19"/>
      <c r="E606" s="3"/>
    </row>
    <row r="607">
      <c r="A607" s="3"/>
      <c r="B607" s="19"/>
      <c r="C607" s="19"/>
      <c r="D607" s="19"/>
      <c r="E607" s="3"/>
    </row>
    <row r="608">
      <c r="A608" s="3"/>
      <c r="B608" s="19"/>
      <c r="C608" s="19"/>
      <c r="D608" s="19"/>
      <c r="E608" s="3"/>
    </row>
    <row r="609">
      <c r="A609" s="3"/>
      <c r="B609" s="19"/>
      <c r="C609" s="19"/>
      <c r="D609" s="19"/>
      <c r="E609" s="3"/>
    </row>
    <row r="610">
      <c r="A610" s="3"/>
      <c r="B610" s="19"/>
      <c r="C610" s="19"/>
      <c r="D610" s="19"/>
      <c r="E610" s="3"/>
    </row>
    <row r="611">
      <c r="A611" s="3"/>
      <c r="B611" s="19"/>
      <c r="C611" s="19"/>
      <c r="D611" s="19"/>
      <c r="E611" s="3"/>
    </row>
    <row r="612">
      <c r="A612" s="3"/>
      <c r="B612" s="19"/>
      <c r="C612" s="19"/>
      <c r="D612" s="19"/>
      <c r="E612" s="3"/>
    </row>
    <row r="613">
      <c r="A613" s="3"/>
      <c r="B613" s="19"/>
      <c r="C613" s="19"/>
      <c r="D613" s="19"/>
      <c r="E613" s="3"/>
    </row>
    <row r="614">
      <c r="A614" s="3"/>
      <c r="B614" s="19"/>
      <c r="C614" s="19"/>
      <c r="D614" s="19"/>
      <c r="E614" s="3"/>
    </row>
    <row r="615">
      <c r="A615" s="3"/>
      <c r="B615" s="19"/>
      <c r="C615" s="19"/>
      <c r="D615" s="19"/>
      <c r="E615" s="3"/>
    </row>
    <row r="616">
      <c r="A616" s="3"/>
      <c r="B616" s="19"/>
      <c r="C616" s="19"/>
      <c r="D616" s="19"/>
      <c r="E616" s="3"/>
    </row>
    <row r="617">
      <c r="A617" s="3"/>
      <c r="B617" s="19"/>
      <c r="C617" s="19"/>
      <c r="D617" s="19"/>
      <c r="E617" s="3"/>
    </row>
    <row r="618">
      <c r="A618" s="3"/>
      <c r="B618" s="19"/>
      <c r="C618" s="19"/>
      <c r="D618" s="19"/>
      <c r="E618" s="3"/>
    </row>
    <row r="619">
      <c r="A619" s="3"/>
      <c r="B619" s="19"/>
      <c r="C619" s="19"/>
      <c r="D619" s="19"/>
      <c r="E619" s="3"/>
    </row>
    <row r="620">
      <c r="A620" s="3"/>
      <c r="B620" s="19"/>
      <c r="C620" s="19"/>
      <c r="D620" s="19"/>
      <c r="E620" s="3"/>
    </row>
    <row r="621">
      <c r="A621" s="3"/>
      <c r="B621" s="19"/>
      <c r="C621" s="19"/>
      <c r="D621" s="19"/>
      <c r="E621" s="3"/>
    </row>
    <row r="622">
      <c r="A622" s="3"/>
      <c r="B622" s="19"/>
      <c r="C622" s="19"/>
      <c r="D622" s="19"/>
      <c r="E622" s="3"/>
    </row>
    <row r="623">
      <c r="A623" s="3"/>
      <c r="B623" s="19"/>
      <c r="C623" s="19"/>
      <c r="D623" s="19"/>
      <c r="E623" s="3"/>
    </row>
    <row r="624">
      <c r="A624" s="3"/>
      <c r="B624" s="19"/>
      <c r="C624" s="19"/>
      <c r="D624" s="19"/>
      <c r="E624" s="3"/>
    </row>
    <row r="625">
      <c r="A625" s="3"/>
      <c r="B625" s="19"/>
      <c r="C625" s="19"/>
      <c r="D625" s="19"/>
      <c r="E625" s="3"/>
    </row>
    <row r="626">
      <c r="A626" s="3"/>
      <c r="B626" s="19"/>
      <c r="C626" s="19"/>
      <c r="D626" s="19"/>
      <c r="E626" s="3"/>
    </row>
    <row r="627">
      <c r="A627" s="3"/>
      <c r="B627" s="19"/>
      <c r="C627" s="19"/>
      <c r="D627" s="19"/>
      <c r="E627" s="3"/>
    </row>
    <row r="628">
      <c r="A628" s="3"/>
      <c r="B628" s="19"/>
      <c r="C628" s="19"/>
      <c r="D628" s="19"/>
      <c r="E628" s="3"/>
    </row>
    <row r="629">
      <c r="A629" s="3"/>
      <c r="B629" s="19"/>
      <c r="C629" s="19"/>
      <c r="D629" s="19"/>
      <c r="E629" s="3"/>
    </row>
    <row r="630">
      <c r="A630" s="3"/>
      <c r="B630" s="19"/>
      <c r="C630" s="19"/>
      <c r="D630" s="19"/>
      <c r="E630" s="3"/>
    </row>
    <row r="631">
      <c r="A631" s="3"/>
      <c r="B631" s="19"/>
      <c r="C631" s="19"/>
      <c r="D631" s="19"/>
      <c r="E631" s="3"/>
    </row>
    <row r="632">
      <c r="A632" s="3"/>
      <c r="B632" s="19"/>
      <c r="C632" s="19"/>
      <c r="D632" s="19"/>
      <c r="E632" s="3"/>
    </row>
    <row r="633">
      <c r="A633" s="3"/>
      <c r="B633" s="19"/>
      <c r="C633" s="19"/>
      <c r="D633" s="19"/>
      <c r="E633" s="3"/>
    </row>
    <row r="634">
      <c r="A634" s="3"/>
      <c r="B634" s="19"/>
      <c r="C634" s="19"/>
      <c r="D634" s="19"/>
      <c r="E634" s="3"/>
    </row>
    <row r="635">
      <c r="A635" s="3"/>
      <c r="B635" s="19"/>
      <c r="C635" s="19"/>
      <c r="D635" s="19"/>
      <c r="E635" s="3"/>
    </row>
    <row r="636">
      <c r="A636" s="3"/>
      <c r="B636" s="19"/>
      <c r="C636" s="19"/>
      <c r="D636" s="19"/>
      <c r="E636" s="3"/>
    </row>
    <row r="637">
      <c r="A637" s="3"/>
      <c r="B637" s="19"/>
      <c r="C637" s="19"/>
      <c r="D637" s="19"/>
      <c r="E637" s="3"/>
    </row>
    <row r="638">
      <c r="A638" s="3"/>
      <c r="B638" s="19"/>
      <c r="C638" s="19"/>
      <c r="D638" s="19"/>
      <c r="E638" s="3"/>
    </row>
    <row r="639">
      <c r="A639" s="3"/>
      <c r="B639" s="19"/>
      <c r="C639" s="19"/>
      <c r="D639" s="19"/>
      <c r="E639" s="3"/>
    </row>
    <row r="640">
      <c r="A640" s="3"/>
      <c r="B640" s="19"/>
      <c r="C640" s="19"/>
      <c r="D640" s="19"/>
      <c r="E640" s="3"/>
    </row>
    <row r="641">
      <c r="A641" s="3"/>
      <c r="B641" s="19"/>
      <c r="C641" s="19"/>
      <c r="D641" s="19"/>
      <c r="E641" s="3"/>
    </row>
    <row r="642">
      <c r="A642" s="3"/>
      <c r="B642" s="19"/>
      <c r="C642" s="19"/>
      <c r="D642" s="19"/>
      <c r="E642" s="3"/>
    </row>
    <row r="643">
      <c r="A643" s="3"/>
      <c r="B643" s="19"/>
      <c r="C643" s="19"/>
      <c r="D643" s="19"/>
      <c r="E643" s="3"/>
    </row>
    <row r="644">
      <c r="A644" s="3"/>
      <c r="B644" s="19"/>
      <c r="C644" s="19"/>
      <c r="D644" s="19"/>
      <c r="E644" s="3"/>
    </row>
    <row r="645">
      <c r="A645" s="3"/>
      <c r="B645" s="19"/>
      <c r="C645" s="19"/>
      <c r="D645" s="19"/>
      <c r="E645" s="3"/>
    </row>
    <row r="646">
      <c r="A646" s="3"/>
      <c r="B646" s="19"/>
      <c r="C646" s="19"/>
      <c r="D646" s="19"/>
      <c r="E646" s="3"/>
    </row>
    <row r="647">
      <c r="A647" s="3"/>
      <c r="B647" s="19"/>
      <c r="C647" s="19"/>
      <c r="D647" s="19"/>
      <c r="E647" s="3"/>
    </row>
    <row r="648">
      <c r="A648" s="3"/>
      <c r="B648" s="19"/>
      <c r="C648" s="19"/>
      <c r="D648" s="19"/>
      <c r="E648" s="3"/>
    </row>
    <row r="649">
      <c r="A649" s="3"/>
      <c r="B649" s="19"/>
      <c r="C649" s="19"/>
      <c r="D649" s="19"/>
      <c r="E649" s="3"/>
    </row>
    <row r="650">
      <c r="A650" s="3"/>
      <c r="B650" s="19"/>
      <c r="C650" s="19"/>
      <c r="D650" s="19"/>
      <c r="E650" s="3"/>
    </row>
    <row r="651">
      <c r="A651" s="3"/>
      <c r="B651" s="19"/>
      <c r="C651" s="19"/>
      <c r="D651" s="19"/>
      <c r="E651" s="3"/>
    </row>
    <row r="652">
      <c r="A652" s="3"/>
      <c r="B652" s="19"/>
      <c r="C652" s="19"/>
      <c r="D652" s="19"/>
      <c r="E652" s="3"/>
    </row>
    <row r="653">
      <c r="A653" s="3"/>
      <c r="B653" s="19"/>
      <c r="C653" s="19"/>
      <c r="D653" s="19"/>
      <c r="E653" s="3"/>
    </row>
    <row r="654">
      <c r="A654" s="3"/>
      <c r="B654" s="19"/>
      <c r="C654" s="19"/>
      <c r="D654" s="19"/>
      <c r="E654" s="3"/>
    </row>
    <row r="655">
      <c r="A655" s="3"/>
      <c r="B655" s="19"/>
      <c r="C655" s="19"/>
      <c r="D655" s="19"/>
      <c r="E655" s="3"/>
    </row>
    <row r="656">
      <c r="A656" s="3"/>
      <c r="B656" s="19"/>
      <c r="C656" s="19"/>
      <c r="D656" s="19"/>
      <c r="E656" s="3"/>
    </row>
    <row r="657">
      <c r="A657" s="3"/>
      <c r="B657" s="19"/>
      <c r="C657" s="19"/>
      <c r="D657" s="19"/>
      <c r="E657" s="3"/>
    </row>
    <row r="658">
      <c r="A658" s="3"/>
      <c r="B658" s="19"/>
      <c r="C658" s="19"/>
      <c r="D658" s="19"/>
      <c r="E658" s="3"/>
    </row>
    <row r="659">
      <c r="A659" s="3"/>
      <c r="B659" s="19"/>
      <c r="C659" s="19"/>
      <c r="D659" s="19"/>
      <c r="E659" s="3"/>
    </row>
    <row r="660">
      <c r="A660" s="3"/>
      <c r="B660" s="19"/>
      <c r="C660" s="19"/>
      <c r="D660" s="19"/>
      <c r="E660" s="3"/>
    </row>
    <row r="661">
      <c r="A661" s="3"/>
      <c r="B661" s="19"/>
      <c r="C661" s="19"/>
      <c r="D661" s="19"/>
      <c r="E661" s="3"/>
    </row>
    <row r="662">
      <c r="A662" s="3"/>
      <c r="B662" s="19"/>
      <c r="C662" s="19"/>
      <c r="D662" s="19"/>
      <c r="E662" s="3"/>
    </row>
    <row r="663">
      <c r="A663" s="3"/>
      <c r="B663" s="19"/>
      <c r="C663" s="19"/>
      <c r="D663" s="19"/>
      <c r="E663" s="3"/>
    </row>
    <row r="664">
      <c r="A664" s="3"/>
      <c r="B664" s="19"/>
      <c r="C664" s="19"/>
      <c r="D664" s="19"/>
      <c r="E664" s="3"/>
    </row>
    <row r="665">
      <c r="A665" s="3"/>
      <c r="B665" s="19"/>
      <c r="C665" s="19"/>
      <c r="D665" s="19"/>
      <c r="E665" s="3"/>
    </row>
    <row r="666">
      <c r="A666" s="3"/>
      <c r="B666" s="19"/>
      <c r="C666" s="19"/>
      <c r="D666" s="19"/>
      <c r="E666" s="3"/>
    </row>
    <row r="667">
      <c r="A667" s="3"/>
      <c r="B667" s="19"/>
      <c r="C667" s="19"/>
      <c r="D667" s="19"/>
      <c r="E667" s="3"/>
    </row>
    <row r="668">
      <c r="A668" s="3"/>
      <c r="B668" s="19"/>
      <c r="C668" s="19"/>
      <c r="D668" s="19"/>
      <c r="E668" s="3"/>
    </row>
    <row r="669">
      <c r="A669" s="3"/>
      <c r="B669" s="19"/>
      <c r="C669" s="19"/>
      <c r="D669" s="19"/>
      <c r="E669" s="3"/>
    </row>
    <row r="670">
      <c r="A670" s="3"/>
      <c r="B670" s="19"/>
      <c r="C670" s="19"/>
      <c r="D670" s="19"/>
      <c r="E670" s="3"/>
    </row>
    <row r="671">
      <c r="A671" s="3"/>
      <c r="B671" s="19"/>
      <c r="C671" s="19"/>
      <c r="D671" s="19"/>
      <c r="E671" s="3"/>
    </row>
    <row r="672">
      <c r="A672" s="3"/>
      <c r="B672" s="19"/>
      <c r="C672" s="19"/>
      <c r="D672" s="19"/>
      <c r="E672" s="3"/>
    </row>
    <row r="673">
      <c r="A673" s="3"/>
      <c r="B673" s="19"/>
      <c r="C673" s="19"/>
      <c r="D673" s="19"/>
      <c r="E673" s="3"/>
    </row>
    <row r="674">
      <c r="A674" s="3"/>
      <c r="B674" s="19"/>
      <c r="C674" s="19"/>
      <c r="D674" s="19"/>
      <c r="E674" s="3"/>
    </row>
    <row r="675">
      <c r="A675" s="3"/>
      <c r="B675" s="19"/>
      <c r="C675" s="19"/>
      <c r="D675" s="19"/>
      <c r="E675" s="3"/>
    </row>
    <row r="676">
      <c r="A676" s="3"/>
      <c r="B676" s="19"/>
      <c r="C676" s="19"/>
      <c r="D676" s="19"/>
      <c r="E676" s="3"/>
    </row>
    <row r="677">
      <c r="A677" s="3"/>
      <c r="B677" s="19"/>
      <c r="C677" s="19"/>
      <c r="D677" s="19"/>
      <c r="E677" s="3"/>
    </row>
    <row r="678">
      <c r="A678" s="3"/>
      <c r="B678" s="19"/>
      <c r="C678" s="19"/>
      <c r="D678" s="19"/>
      <c r="E678" s="3"/>
    </row>
    <row r="679">
      <c r="A679" s="3"/>
      <c r="B679" s="19"/>
      <c r="C679" s="19"/>
      <c r="D679" s="19"/>
      <c r="E679" s="3"/>
    </row>
    <row r="680">
      <c r="A680" s="3"/>
      <c r="B680" s="19"/>
      <c r="C680" s="19"/>
      <c r="D680" s="19"/>
      <c r="E680" s="3"/>
    </row>
    <row r="681">
      <c r="A681" s="3"/>
      <c r="B681" s="19"/>
      <c r="C681" s="19"/>
      <c r="D681" s="19"/>
      <c r="E681" s="3"/>
    </row>
    <row r="682">
      <c r="A682" s="3"/>
      <c r="B682" s="19"/>
      <c r="C682" s="19"/>
      <c r="D682" s="19"/>
      <c r="E682" s="3"/>
    </row>
    <row r="683">
      <c r="A683" s="3"/>
      <c r="B683" s="19"/>
      <c r="C683" s="19"/>
      <c r="D683" s="19"/>
      <c r="E683" s="3"/>
    </row>
    <row r="684">
      <c r="A684" s="3"/>
      <c r="B684" s="19"/>
      <c r="C684" s="19"/>
      <c r="D684" s="19"/>
      <c r="E684" s="3"/>
    </row>
    <row r="685">
      <c r="A685" s="3"/>
      <c r="B685" s="19"/>
      <c r="C685" s="19"/>
      <c r="D685" s="19"/>
      <c r="E685" s="3"/>
    </row>
    <row r="686">
      <c r="A686" s="3"/>
      <c r="B686" s="19"/>
      <c r="C686" s="19"/>
      <c r="D686" s="19"/>
      <c r="E686" s="3"/>
    </row>
    <row r="687">
      <c r="A687" s="3"/>
      <c r="B687" s="19"/>
      <c r="C687" s="19"/>
      <c r="D687" s="19"/>
      <c r="E687" s="3"/>
    </row>
    <row r="688">
      <c r="A688" s="3"/>
      <c r="B688" s="19"/>
      <c r="C688" s="19"/>
      <c r="D688" s="19"/>
      <c r="E688" s="3"/>
    </row>
    <row r="689">
      <c r="A689" s="3"/>
      <c r="B689" s="19"/>
      <c r="C689" s="19"/>
      <c r="D689" s="19"/>
      <c r="E689" s="3"/>
    </row>
    <row r="690">
      <c r="A690" s="3"/>
      <c r="B690" s="19"/>
      <c r="C690" s="19"/>
      <c r="D690" s="19"/>
      <c r="E690" s="3"/>
    </row>
    <row r="691">
      <c r="A691" s="3"/>
      <c r="B691" s="19"/>
      <c r="C691" s="19"/>
      <c r="D691" s="19"/>
      <c r="E691" s="3"/>
    </row>
    <row r="692">
      <c r="A692" s="3"/>
      <c r="B692" s="19"/>
      <c r="C692" s="19"/>
      <c r="D692" s="19"/>
      <c r="E692" s="3"/>
    </row>
    <row r="693">
      <c r="A693" s="3"/>
      <c r="B693" s="19"/>
      <c r="C693" s="19"/>
      <c r="D693" s="19"/>
      <c r="E693" s="3"/>
    </row>
    <row r="694">
      <c r="A694" s="3"/>
      <c r="B694" s="19"/>
      <c r="C694" s="19"/>
      <c r="D694" s="19"/>
      <c r="E694" s="3"/>
    </row>
    <row r="695">
      <c r="A695" s="3"/>
      <c r="B695" s="19"/>
      <c r="C695" s="19"/>
      <c r="D695" s="19"/>
      <c r="E695" s="3"/>
    </row>
    <row r="696">
      <c r="A696" s="3"/>
      <c r="B696" s="19"/>
      <c r="C696" s="19"/>
      <c r="D696" s="19"/>
      <c r="E696" s="3"/>
    </row>
    <row r="697">
      <c r="A697" s="3"/>
      <c r="B697" s="19"/>
      <c r="C697" s="19"/>
      <c r="D697" s="19"/>
      <c r="E697" s="3"/>
    </row>
    <row r="698">
      <c r="A698" s="3"/>
      <c r="B698" s="19"/>
      <c r="C698" s="19"/>
      <c r="D698" s="19"/>
      <c r="E698" s="3"/>
    </row>
    <row r="699">
      <c r="A699" s="3"/>
      <c r="B699" s="19"/>
      <c r="C699" s="19"/>
      <c r="D699" s="19"/>
      <c r="E699" s="3"/>
    </row>
    <row r="700">
      <c r="A700" s="3"/>
      <c r="B700" s="19"/>
      <c r="C700" s="19"/>
      <c r="D700" s="19"/>
      <c r="E700" s="3"/>
    </row>
    <row r="701">
      <c r="A701" s="3"/>
      <c r="B701" s="19"/>
      <c r="C701" s="19"/>
      <c r="D701" s="19"/>
      <c r="E701" s="3"/>
    </row>
    <row r="702">
      <c r="A702" s="3"/>
      <c r="B702" s="19"/>
      <c r="C702" s="19"/>
      <c r="D702" s="19"/>
      <c r="E702" s="3"/>
    </row>
    <row r="703">
      <c r="A703" s="3"/>
      <c r="B703" s="19"/>
      <c r="C703" s="19"/>
      <c r="D703" s="19"/>
      <c r="E703" s="3"/>
    </row>
    <row r="704">
      <c r="A704" s="3"/>
      <c r="B704" s="19"/>
      <c r="C704" s="19"/>
      <c r="D704" s="19"/>
      <c r="E704" s="3"/>
    </row>
    <row r="705">
      <c r="A705" s="3"/>
      <c r="B705" s="19"/>
      <c r="C705" s="19"/>
      <c r="D705" s="19"/>
      <c r="E705" s="3"/>
    </row>
    <row r="706">
      <c r="A706" s="3"/>
      <c r="B706" s="19"/>
      <c r="C706" s="19"/>
      <c r="D706" s="19"/>
      <c r="E706" s="3"/>
    </row>
    <row r="707">
      <c r="A707" s="3"/>
      <c r="B707" s="19"/>
      <c r="C707" s="19"/>
      <c r="D707" s="19"/>
      <c r="E707" s="3"/>
    </row>
    <row r="708">
      <c r="A708" s="3"/>
      <c r="B708" s="19"/>
      <c r="C708" s="19"/>
      <c r="D708" s="19"/>
      <c r="E708" s="3"/>
    </row>
    <row r="709">
      <c r="A709" s="3"/>
      <c r="B709" s="19"/>
      <c r="C709" s="19"/>
      <c r="D709" s="19"/>
      <c r="E709" s="3"/>
    </row>
    <row r="710">
      <c r="A710" s="3"/>
      <c r="B710" s="19"/>
      <c r="C710" s="19"/>
      <c r="D710" s="19"/>
      <c r="E710" s="3"/>
    </row>
    <row r="711">
      <c r="A711" s="3"/>
      <c r="B711" s="19"/>
      <c r="C711" s="19"/>
      <c r="D711" s="19"/>
      <c r="E711" s="3"/>
    </row>
    <row r="712">
      <c r="A712" s="3"/>
      <c r="B712" s="19"/>
      <c r="C712" s="19"/>
      <c r="D712" s="19"/>
      <c r="E712" s="3"/>
    </row>
    <row r="713">
      <c r="A713" s="3"/>
      <c r="B713" s="19"/>
      <c r="C713" s="19"/>
      <c r="D713" s="19"/>
      <c r="E713" s="3"/>
    </row>
    <row r="714">
      <c r="A714" s="3"/>
      <c r="B714" s="19"/>
      <c r="C714" s="19"/>
      <c r="D714" s="19"/>
      <c r="E714" s="3"/>
    </row>
    <row r="715">
      <c r="A715" s="3"/>
      <c r="B715" s="19"/>
      <c r="C715" s="19"/>
      <c r="D715" s="19"/>
      <c r="E715" s="3"/>
    </row>
    <row r="716">
      <c r="A716" s="3"/>
      <c r="B716" s="19"/>
      <c r="C716" s="19"/>
      <c r="D716" s="19"/>
      <c r="E716" s="3"/>
    </row>
    <row r="717">
      <c r="A717" s="3"/>
      <c r="B717" s="19"/>
      <c r="C717" s="19"/>
      <c r="D717" s="19"/>
      <c r="E717" s="3"/>
    </row>
    <row r="718">
      <c r="A718" s="3"/>
      <c r="B718" s="19"/>
      <c r="C718" s="19"/>
      <c r="D718" s="19"/>
      <c r="E718" s="3"/>
    </row>
    <row r="719">
      <c r="A719" s="3"/>
      <c r="B719" s="19"/>
      <c r="C719" s="19"/>
      <c r="D719" s="19"/>
      <c r="E719" s="3"/>
    </row>
    <row r="720">
      <c r="A720" s="3"/>
      <c r="B720" s="19"/>
      <c r="C720" s="19"/>
      <c r="D720" s="19"/>
      <c r="E720" s="3"/>
    </row>
    <row r="721">
      <c r="A721" s="3"/>
      <c r="B721" s="19"/>
      <c r="C721" s="19"/>
      <c r="D721" s="19"/>
      <c r="E721" s="3"/>
    </row>
    <row r="722">
      <c r="A722" s="3"/>
      <c r="B722" s="19"/>
      <c r="C722" s="19"/>
      <c r="D722" s="19"/>
      <c r="E722" s="3"/>
    </row>
    <row r="723">
      <c r="A723" s="3"/>
      <c r="B723" s="19"/>
      <c r="C723" s="19"/>
      <c r="D723" s="19"/>
      <c r="E723" s="3"/>
    </row>
    <row r="724">
      <c r="A724" s="3"/>
      <c r="B724" s="19"/>
      <c r="C724" s="19"/>
      <c r="D724" s="19"/>
      <c r="E724" s="3"/>
    </row>
    <row r="725">
      <c r="A725" s="3"/>
      <c r="B725" s="19"/>
      <c r="C725" s="19"/>
      <c r="D725" s="19"/>
      <c r="E725" s="3"/>
    </row>
    <row r="726">
      <c r="A726" s="3"/>
      <c r="B726" s="19"/>
      <c r="C726" s="19"/>
      <c r="D726" s="19"/>
      <c r="E726" s="3"/>
    </row>
    <row r="727">
      <c r="A727" s="3"/>
      <c r="B727" s="19"/>
      <c r="C727" s="19"/>
      <c r="D727" s="19"/>
      <c r="E727" s="3"/>
    </row>
    <row r="728">
      <c r="A728" s="3"/>
      <c r="B728" s="19"/>
      <c r="C728" s="19"/>
      <c r="D728" s="19"/>
      <c r="E728" s="3"/>
    </row>
    <row r="729">
      <c r="A729" s="3"/>
      <c r="B729" s="19"/>
      <c r="C729" s="19"/>
      <c r="D729" s="19"/>
      <c r="E729" s="3"/>
    </row>
    <row r="730">
      <c r="A730" s="3"/>
      <c r="B730" s="19"/>
      <c r="C730" s="19"/>
      <c r="D730" s="19"/>
      <c r="E730" s="3"/>
    </row>
    <row r="731">
      <c r="A731" s="3"/>
      <c r="B731" s="19"/>
      <c r="C731" s="19"/>
      <c r="D731" s="19"/>
      <c r="E731" s="3"/>
    </row>
    <row r="732">
      <c r="A732" s="3"/>
      <c r="B732" s="19"/>
      <c r="C732" s="19"/>
      <c r="D732" s="19"/>
      <c r="E732" s="3"/>
    </row>
    <row r="733">
      <c r="A733" s="3"/>
      <c r="B733" s="19"/>
      <c r="C733" s="19"/>
      <c r="D733" s="19"/>
      <c r="E733" s="3"/>
    </row>
    <row r="734">
      <c r="A734" s="3"/>
      <c r="B734" s="19"/>
      <c r="C734" s="19"/>
      <c r="D734" s="19"/>
      <c r="E734" s="3"/>
    </row>
    <row r="735">
      <c r="A735" s="3"/>
      <c r="B735" s="19"/>
      <c r="C735" s="19"/>
      <c r="D735" s="19"/>
      <c r="E735" s="3"/>
    </row>
    <row r="736">
      <c r="A736" s="3"/>
      <c r="B736" s="19"/>
      <c r="C736" s="19"/>
      <c r="D736" s="19"/>
      <c r="E736" s="3"/>
    </row>
    <row r="737">
      <c r="A737" s="3"/>
      <c r="B737" s="19"/>
      <c r="C737" s="19"/>
      <c r="D737" s="19"/>
      <c r="E737" s="3"/>
    </row>
    <row r="738">
      <c r="A738" s="3"/>
      <c r="B738" s="19"/>
      <c r="C738" s="19"/>
      <c r="D738" s="19"/>
      <c r="E738" s="3"/>
    </row>
    <row r="739">
      <c r="A739" s="3"/>
      <c r="B739" s="19"/>
      <c r="C739" s="19"/>
      <c r="D739" s="19"/>
      <c r="E739" s="3"/>
    </row>
    <row r="740">
      <c r="A740" s="3"/>
      <c r="B740" s="19"/>
      <c r="C740" s="19"/>
      <c r="D740" s="19"/>
      <c r="E740" s="3"/>
    </row>
    <row r="741">
      <c r="A741" s="3"/>
      <c r="B741" s="19"/>
      <c r="C741" s="19"/>
      <c r="D741" s="19"/>
      <c r="E741" s="3"/>
    </row>
    <row r="742">
      <c r="A742" s="3"/>
      <c r="B742" s="19"/>
      <c r="C742" s="19"/>
      <c r="D742" s="19"/>
      <c r="E742" s="3"/>
    </row>
    <row r="743">
      <c r="A743" s="3"/>
      <c r="B743" s="19"/>
      <c r="C743" s="19"/>
      <c r="D743" s="19"/>
      <c r="E743" s="3"/>
    </row>
    <row r="744">
      <c r="A744" s="3"/>
      <c r="B744" s="19"/>
      <c r="C744" s="19"/>
      <c r="D744" s="19"/>
      <c r="E744" s="3"/>
    </row>
    <row r="745">
      <c r="A745" s="3"/>
      <c r="B745" s="19"/>
      <c r="C745" s="19"/>
      <c r="D745" s="19"/>
      <c r="E745" s="3"/>
    </row>
    <row r="746">
      <c r="A746" s="3"/>
      <c r="B746" s="19"/>
      <c r="C746" s="19"/>
      <c r="D746" s="19"/>
      <c r="E746" s="3"/>
    </row>
    <row r="747">
      <c r="A747" s="3"/>
      <c r="B747" s="19"/>
      <c r="C747" s="19"/>
      <c r="D747" s="19"/>
      <c r="E747" s="3"/>
    </row>
    <row r="748">
      <c r="A748" s="3"/>
      <c r="B748" s="19"/>
      <c r="C748" s="19"/>
      <c r="D748" s="19"/>
      <c r="E748" s="3"/>
    </row>
    <row r="749">
      <c r="A749" s="3"/>
      <c r="B749" s="19"/>
      <c r="C749" s="19"/>
      <c r="D749" s="19"/>
      <c r="E749" s="3"/>
    </row>
    <row r="750">
      <c r="A750" s="3"/>
      <c r="B750" s="19"/>
      <c r="C750" s="19"/>
      <c r="D750" s="19"/>
      <c r="E750" s="3"/>
    </row>
    <row r="751">
      <c r="A751" s="3"/>
      <c r="B751" s="19"/>
      <c r="C751" s="19"/>
      <c r="D751" s="19"/>
      <c r="E751" s="3"/>
    </row>
    <row r="752">
      <c r="A752" s="3"/>
      <c r="B752" s="19"/>
      <c r="C752" s="19"/>
      <c r="D752" s="19"/>
      <c r="E752" s="3"/>
    </row>
    <row r="753">
      <c r="A753" s="3"/>
      <c r="B753" s="19"/>
      <c r="C753" s="19"/>
      <c r="D753" s="19"/>
      <c r="E753" s="3"/>
    </row>
    <row r="754">
      <c r="A754" s="3"/>
      <c r="B754" s="19"/>
      <c r="C754" s="19"/>
      <c r="D754" s="19"/>
      <c r="E754" s="3"/>
    </row>
    <row r="755">
      <c r="A755" s="3"/>
      <c r="B755" s="19"/>
      <c r="C755" s="19"/>
      <c r="D755" s="19"/>
      <c r="E755" s="3"/>
    </row>
    <row r="756">
      <c r="A756" s="3"/>
      <c r="B756" s="19"/>
      <c r="C756" s="19"/>
      <c r="D756" s="19"/>
      <c r="E756" s="3"/>
    </row>
    <row r="757">
      <c r="A757" s="3"/>
      <c r="B757" s="19"/>
      <c r="C757" s="19"/>
      <c r="D757" s="19"/>
      <c r="E757" s="3"/>
    </row>
    <row r="758">
      <c r="A758" s="3"/>
      <c r="B758" s="19"/>
      <c r="C758" s="19"/>
      <c r="D758" s="19"/>
      <c r="E758" s="3"/>
    </row>
    <row r="759">
      <c r="A759" s="3"/>
      <c r="B759" s="19"/>
      <c r="C759" s="19"/>
      <c r="D759" s="19"/>
      <c r="E759" s="3"/>
    </row>
    <row r="760">
      <c r="A760" s="3"/>
      <c r="B760" s="19"/>
      <c r="C760" s="19"/>
      <c r="D760" s="19"/>
      <c r="E760" s="3"/>
    </row>
    <row r="761">
      <c r="A761" s="3"/>
      <c r="B761" s="19"/>
      <c r="C761" s="19"/>
      <c r="D761" s="19"/>
      <c r="E761" s="3"/>
    </row>
    <row r="762">
      <c r="A762" s="3"/>
      <c r="B762" s="19"/>
      <c r="C762" s="19"/>
      <c r="D762" s="19"/>
      <c r="E762" s="3"/>
    </row>
    <row r="763">
      <c r="A763" s="3"/>
      <c r="B763" s="19"/>
      <c r="C763" s="19"/>
      <c r="D763" s="19"/>
      <c r="E763" s="3"/>
    </row>
    <row r="764">
      <c r="A764" s="3"/>
      <c r="B764" s="19"/>
      <c r="C764" s="19"/>
      <c r="D764" s="19"/>
      <c r="E764" s="3"/>
    </row>
    <row r="765">
      <c r="A765" s="3"/>
      <c r="B765" s="19"/>
      <c r="C765" s="19"/>
      <c r="D765" s="19"/>
      <c r="E765" s="3"/>
    </row>
    <row r="766">
      <c r="A766" s="3"/>
      <c r="B766" s="19"/>
      <c r="C766" s="19"/>
      <c r="D766" s="19"/>
      <c r="E766" s="3"/>
    </row>
    <row r="767">
      <c r="A767" s="3"/>
      <c r="B767" s="19"/>
      <c r="C767" s="19"/>
      <c r="D767" s="19"/>
      <c r="E767" s="3"/>
    </row>
    <row r="768">
      <c r="A768" s="3"/>
      <c r="B768" s="19"/>
      <c r="C768" s="19"/>
      <c r="D768" s="19"/>
      <c r="E768" s="3"/>
    </row>
    <row r="769">
      <c r="A769" s="3"/>
      <c r="B769" s="19"/>
      <c r="C769" s="19"/>
      <c r="D769" s="19"/>
      <c r="E769" s="3"/>
    </row>
    <row r="770">
      <c r="A770" s="3"/>
      <c r="B770" s="19"/>
      <c r="C770" s="19"/>
      <c r="D770" s="19"/>
      <c r="E770" s="3"/>
    </row>
    <row r="771">
      <c r="A771" s="3"/>
      <c r="B771" s="19"/>
      <c r="C771" s="19"/>
      <c r="D771" s="19"/>
      <c r="E771" s="3"/>
    </row>
    <row r="772">
      <c r="A772" s="3"/>
      <c r="B772" s="19"/>
      <c r="C772" s="19"/>
      <c r="D772" s="19"/>
      <c r="E772" s="3"/>
    </row>
    <row r="773">
      <c r="A773" s="3"/>
      <c r="B773" s="19"/>
      <c r="C773" s="19"/>
      <c r="D773" s="19"/>
      <c r="E773" s="3"/>
    </row>
    <row r="774">
      <c r="A774" s="3"/>
      <c r="B774" s="19"/>
      <c r="C774" s="19"/>
      <c r="D774" s="19"/>
      <c r="E774" s="3"/>
    </row>
    <row r="775">
      <c r="A775" s="3"/>
      <c r="B775" s="19"/>
      <c r="C775" s="19"/>
      <c r="D775" s="19"/>
      <c r="E775" s="3"/>
    </row>
    <row r="776">
      <c r="A776" s="3"/>
      <c r="B776" s="19"/>
      <c r="C776" s="19"/>
      <c r="D776" s="19"/>
      <c r="E776" s="3"/>
    </row>
    <row r="777">
      <c r="A777" s="3"/>
      <c r="B777" s="19"/>
      <c r="C777" s="19"/>
      <c r="D777" s="19"/>
      <c r="E777" s="3"/>
    </row>
    <row r="778">
      <c r="A778" s="3"/>
      <c r="B778" s="19"/>
      <c r="C778" s="19"/>
      <c r="D778" s="19"/>
      <c r="E778" s="3"/>
    </row>
    <row r="779">
      <c r="A779" s="3"/>
      <c r="B779" s="19"/>
      <c r="C779" s="19"/>
      <c r="D779" s="19"/>
      <c r="E779" s="3"/>
    </row>
    <row r="780">
      <c r="A780" s="3"/>
      <c r="B780" s="19"/>
      <c r="C780" s="19"/>
      <c r="D780" s="19"/>
      <c r="E780" s="3"/>
    </row>
    <row r="781">
      <c r="A781" s="3"/>
      <c r="B781" s="19"/>
      <c r="C781" s="19"/>
      <c r="D781" s="19"/>
      <c r="E781" s="3"/>
    </row>
    <row r="782">
      <c r="A782" s="3"/>
      <c r="B782" s="19"/>
      <c r="C782" s="19"/>
      <c r="D782" s="19"/>
      <c r="E782" s="3"/>
    </row>
    <row r="783">
      <c r="A783" s="3"/>
      <c r="B783" s="19"/>
      <c r="C783" s="19"/>
      <c r="D783" s="19"/>
      <c r="E783" s="3"/>
    </row>
    <row r="784">
      <c r="A784" s="3"/>
      <c r="B784" s="19"/>
      <c r="C784" s="19"/>
      <c r="D784" s="19"/>
      <c r="E784" s="3"/>
    </row>
    <row r="785">
      <c r="A785" s="3"/>
      <c r="B785" s="19"/>
      <c r="C785" s="19"/>
      <c r="D785" s="19"/>
      <c r="E785" s="3"/>
    </row>
    <row r="786">
      <c r="A786" s="3"/>
      <c r="B786" s="19"/>
      <c r="C786" s="19"/>
      <c r="D786" s="19"/>
      <c r="E786" s="3"/>
    </row>
    <row r="787">
      <c r="A787" s="3"/>
      <c r="B787" s="19"/>
      <c r="C787" s="19"/>
      <c r="D787" s="19"/>
      <c r="E787" s="3"/>
    </row>
    <row r="788">
      <c r="A788" s="3"/>
      <c r="B788" s="19"/>
      <c r="C788" s="19"/>
      <c r="D788" s="19"/>
      <c r="E788" s="3"/>
    </row>
    <row r="789">
      <c r="A789" s="3"/>
      <c r="B789" s="19"/>
      <c r="C789" s="19"/>
      <c r="D789" s="19"/>
      <c r="E789" s="3"/>
    </row>
    <row r="790">
      <c r="A790" s="3"/>
      <c r="B790" s="19"/>
      <c r="C790" s="19"/>
      <c r="D790" s="19"/>
      <c r="E790" s="3"/>
    </row>
    <row r="791">
      <c r="A791" s="3"/>
      <c r="B791" s="19"/>
      <c r="C791" s="19"/>
      <c r="D791" s="19"/>
      <c r="E791" s="3"/>
    </row>
    <row r="792">
      <c r="A792" s="3"/>
      <c r="B792" s="19"/>
      <c r="C792" s="19"/>
      <c r="D792" s="19"/>
      <c r="E792" s="3"/>
    </row>
    <row r="793">
      <c r="A793" s="3"/>
      <c r="B793" s="19"/>
      <c r="C793" s="19"/>
      <c r="D793" s="19"/>
      <c r="E793" s="3"/>
    </row>
    <row r="794">
      <c r="A794" s="3"/>
      <c r="B794" s="19"/>
      <c r="C794" s="19"/>
      <c r="D794" s="19"/>
      <c r="E794" s="3"/>
    </row>
    <row r="795">
      <c r="A795" s="3"/>
      <c r="B795" s="19"/>
      <c r="C795" s="19"/>
      <c r="D795" s="19"/>
      <c r="E795" s="3"/>
    </row>
    <row r="796">
      <c r="A796" s="3"/>
      <c r="B796" s="19"/>
      <c r="C796" s="19"/>
      <c r="D796" s="19"/>
      <c r="E796" s="3"/>
    </row>
    <row r="797">
      <c r="A797" s="3"/>
      <c r="B797" s="19"/>
      <c r="C797" s="19"/>
      <c r="D797" s="19"/>
      <c r="E797" s="3"/>
    </row>
    <row r="798">
      <c r="A798" s="3"/>
      <c r="B798" s="19"/>
      <c r="C798" s="19"/>
      <c r="D798" s="19"/>
      <c r="E798" s="3"/>
    </row>
    <row r="799">
      <c r="A799" s="3"/>
      <c r="B799" s="19"/>
      <c r="C799" s="19"/>
      <c r="D799" s="19"/>
      <c r="E799" s="3"/>
    </row>
    <row r="800">
      <c r="A800" s="3"/>
      <c r="B800" s="19"/>
      <c r="C800" s="19"/>
      <c r="D800" s="19"/>
      <c r="E800" s="3"/>
    </row>
    <row r="801">
      <c r="A801" s="3"/>
      <c r="B801" s="19"/>
      <c r="C801" s="19"/>
      <c r="D801" s="19"/>
      <c r="E801" s="3"/>
    </row>
    <row r="802">
      <c r="A802" s="3"/>
      <c r="B802" s="19"/>
      <c r="C802" s="19"/>
      <c r="D802" s="19"/>
      <c r="E802" s="3"/>
    </row>
    <row r="803">
      <c r="A803" s="3"/>
      <c r="B803" s="19"/>
      <c r="C803" s="19"/>
      <c r="D803" s="19"/>
      <c r="E803" s="3"/>
    </row>
    <row r="804">
      <c r="A804" s="3"/>
      <c r="B804" s="19"/>
      <c r="C804" s="19"/>
      <c r="D804" s="19"/>
      <c r="E804" s="3"/>
    </row>
    <row r="805">
      <c r="A805" s="3"/>
      <c r="B805" s="19"/>
      <c r="C805" s="19"/>
      <c r="D805" s="19"/>
      <c r="E805" s="3"/>
    </row>
    <row r="806">
      <c r="A806" s="3"/>
      <c r="B806" s="19"/>
      <c r="C806" s="19"/>
      <c r="D806" s="19"/>
      <c r="E806" s="3"/>
    </row>
    <row r="807">
      <c r="A807" s="3"/>
      <c r="B807" s="19"/>
      <c r="C807" s="19"/>
      <c r="D807" s="19"/>
      <c r="E807" s="3"/>
    </row>
    <row r="808">
      <c r="A808" s="3"/>
      <c r="B808" s="19"/>
      <c r="C808" s="19"/>
      <c r="D808" s="19"/>
      <c r="E808" s="3"/>
    </row>
    <row r="809">
      <c r="A809" s="3"/>
      <c r="B809" s="19"/>
      <c r="C809" s="19"/>
      <c r="D809" s="19"/>
      <c r="E809" s="3"/>
    </row>
    <row r="810">
      <c r="A810" s="3"/>
      <c r="B810" s="19"/>
      <c r="C810" s="19"/>
      <c r="D810" s="19"/>
      <c r="E810" s="3"/>
    </row>
    <row r="811">
      <c r="A811" s="3"/>
      <c r="B811" s="19"/>
      <c r="C811" s="19"/>
      <c r="D811" s="19"/>
      <c r="E811" s="3"/>
    </row>
    <row r="812">
      <c r="A812" s="3"/>
      <c r="B812" s="19"/>
      <c r="C812" s="19"/>
      <c r="D812" s="19"/>
      <c r="E812" s="3"/>
    </row>
    <row r="813">
      <c r="A813" s="3"/>
      <c r="B813" s="19"/>
      <c r="C813" s="19"/>
      <c r="D813" s="19"/>
      <c r="E813" s="3"/>
    </row>
    <row r="814">
      <c r="A814" s="3"/>
      <c r="B814" s="19"/>
      <c r="C814" s="19"/>
      <c r="D814" s="19"/>
      <c r="E814" s="3"/>
    </row>
    <row r="815">
      <c r="A815" s="3"/>
      <c r="B815" s="19"/>
      <c r="C815" s="19"/>
      <c r="D815" s="19"/>
      <c r="E815" s="3"/>
    </row>
    <row r="816">
      <c r="A816" s="3"/>
      <c r="B816" s="19"/>
      <c r="C816" s="19"/>
      <c r="D816" s="19"/>
      <c r="E816" s="3"/>
    </row>
    <row r="817">
      <c r="A817" s="3"/>
      <c r="B817" s="19"/>
      <c r="C817" s="19"/>
      <c r="D817" s="19"/>
      <c r="E817" s="3"/>
    </row>
    <row r="818">
      <c r="A818" s="3"/>
      <c r="B818" s="19"/>
      <c r="C818" s="19"/>
      <c r="D818" s="19"/>
      <c r="E818" s="3"/>
    </row>
    <row r="819">
      <c r="A819" s="3"/>
      <c r="B819" s="19"/>
      <c r="C819" s="19"/>
      <c r="D819" s="19"/>
      <c r="E819" s="3"/>
    </row>
    <row r="820">
      <c r="A820" s="3"/>
      <c r="B820" s="19"/>
      <c r="C820" s="19"/>
      <c r="D820" s="19"/>
      <c r="E820" s="3"/>
    </row>
    <row r="821">
      <c r="A821" s="3"/>
      <c r="B821" s="19"/>
      <c r="C821" s="19"/>
      <c r="D821" s="19"/>
      <c r="E821" s="3"/>
    </row>
    <row r="822">
      <c r="A822" s="3"/>
      <c r="B822" s="19"/>
      <c r="C822" s="19"/>
      <c r="D822" s="19"/>
      <c r="E822" s="3"/>
    </row>
    <row r="823">
      <c r="A823" s="3"/>
      <c r="B823" s="19"/>
      <c r="C823" s="19"/>
      <c r="D823" s="19"/>
      <c r="E823" s="3"/>
    </row>
    <row r="824">
      <c r="A824" s="3"/>
      <c r="B824" s="19"/>
      <c r="C824" s="19"/>
      <c r="D824" s="19"/>
      <c r="E824" s="3"/>
    </row>
    <row r="825">
      <c r="A825" s="3"/>
      <c r="B825" s="19"/>
      <c r="C825" s="19"/>
      <c r="D825" s="19"/>
      <c r="E825" s="3"/>
    </row>
    <row r="826">
      <c r="A826" s="3"/>
      <c r="B826" s="19"/>
      <c r="C826" s="19"/>
      <c r="D826" s="19"/>
      <c r="E826" s="3"/>
    </row>
    <row r="827">
      <c r="A827" s="3"/>
      <c r="B827" s="19"/>
      <c r="C827" s="19"/>
      <c r="D827" s="19"/>
      <c r="E827" s="3"/>
    </row>
    <row r="828">
      <c r="A828" s="3"/>
      <c r="B828" s="19"/>
      <c r="C828" s="19"/>
      <c r="D828" s="19"/>
      <c r="E828" s="3"/>
    </row>
    <row r="829">
      <c r="A829" s="3"/>
      <c r="B829" s="19"/>
      <c r="C829" s="19"/>
      <c r="D829" s="19"/>
      <c r="E829" s="3"/>
    </row>
    <row r="830">
      <c r="A830" s="3"/>
      <c r="B830" s="19"/>
      <c r="C830" s="19"/>
      <c r="D830" s="19"/>
      <c r="E830" s="3"/>
    </row>
    <row r="831">
      <c r="A831" s="3"/>
      <c r="B831" s="19"/>
      <c r="C831" s="19"/>
      <c r="D831" s="19"/>
      <c r="E831" s="3"/>
    </row>
    <row r="832">
      <c r="A832" s="3"/>
      <c r="B832" s="19"/>
      <c r="C832" s="19"/>
      <c r="D832" s="19"/>
      <c r="E832" s="3"/>
    </row>
    <row r="833">
      <c r="A833" s="3"/>
      <c r="B833" s="19"/>
      <c r="C833" s="19"/>
      <c r="D833" s="19"/>
      <c r="E833" s="3"/>
    </row>
    <row r="834">
      <c r="A834" s="3"/>
      <c r="B834" s="19"/>
      <c r="C834" s="19"/>
      <c r="D834" s="19"/>
      <c r="E834" s="3"/>
    </row>
    <row r="835">
      <c r="A835" s="3"/>
      <c r="B835" s="19"/>
      <c r="C835" s="19"/>
      <c r="D835" s="19"/>
      <c r="E835" s="3"/>
    </row>
    <row r="836">
      <c r="A836" s="3"/>
      <c r="B836" s="19"/>
      <c r="C836" s="19"/>
      <c r="D836" s="19"/>
      <c r="E836" s="3"/>
    </row>
    <row r="837">
      <c r="A837" s="3"/>
      <c r="B837" s="19"/>
      <c r="C837" s="19"/>
      <c r="D837" s="19"/>
      <c r="E837" s="3"/>
    </row>
    <row r="838">
      <c r="A838" s="3"/>
      <c r="B838" s="19"/>
      <c r="C838" s="19"/>
      <c r="D838" s="19"/>
      <c r="E838" s="3"/>
    </row>
    <row r="839">
      <c r="A839" s="3"/>
      <c r="B839" s="19"/>
      <c r="C839" s="19"/>
      <c r="D839" s="19"/>
      <c r="E839" s="3"/>
    </row>
    <row r="840">
      <c r="A840" s="3"/>
      <c r="B840" s="19"/>
      <c r="C840" s="19"/>
      <c r="D840" s="19"/>
      <c r="E840" s="3"/>
    </row>
    <row r="841">
      <c r="A841" s="3"/>
      <c r="B841" s="19"/>
      <c r="C841" s="19"/>
      <c r="D841" s="19"/>
      <c r="E841" s="3"/>
    </row>
    <row r="842">
      <c r="A842" s="3"/>
      <c r="B842" s="19"/>
      <c r="C842" s="19"/>
      <c r="D842" s="19"/>
      <c r="E842" s="3"/>
    </row>
    <row r="843">
      <c r="A843" s="3"/>
      <c r="B843" s="19"/>
      <c r="C843" s="19"/>
      <c r="D843" s="19"/>
      <c r="E843" s="3"/>
    </row>
    <row r="844">
      <c r="A844" s="3"/>
      <c r="B844" s="19"/>
      <c r="C844" s="19"/>
      <c r="D844" s="19"/>
      <c r="E844" s="3"/>
    </row>
    <row r="845">
      <c r="A845" s="3"/>
      <c r="B845" s="19"/>
      <c r="C845" s="19"/>
      <c r="D845" s="19"/>
      <c r="E845" s="3"/>
    </row>
    <row r="846">
      <c r="A846" s="3"/>
      <c r="B846" s="19"/>
      <c r="C846" s="19"/>
      <c r="D846" s="19"/>
      <c r="E846" s="3"/>
    </row>
    <row r="847">
      <c r="A847" s="3"/>
      <c r="B847" s="19"/>
      <c r="C847" s="19"/>
      <c r="D847" s="19"/>
      <c r="E847" s="3"/>
    </row>
    <row r="848">
      <c r="A848" s="3"/>
      <c r="B848" s="19"/>
      <c r="C848" s="19"/>
      <c r="D848" s="19"/>
      <c r="E848" s="3"/>
    </row>
    <row r="849">
      <c r="A849" s="3"/>
      <c r="B849" s="19"/>
      <c r="C849" s="19"/>
      <c r="D849" s="19"/>
      <c r="E849" s="3"/>
    </row>
    <row r="850">
      <c r="A850" s="3"/>
      <c r="B850" s="19"/>
      <c r="C850" s="19"/>
      <c r="D850" s="19"/>
      <c r="E850" s="3"/>
    </row>
    <row r="851">
      <c r="A851" s="3"/>
      <c r="B851" s="19"/>
      <c r="C851" s="19"/>
      <c r="D851" s="19"/>
      <c r="E851" s="3"/>
    </row>
    <row r="852">
      <c r="A852" s="3"/>
      <c r="B852" s="19"/>
      <c r="C852" s="19"/>
      <c r="D852" s="19"/>
      <c r="E852" s="3"/>
    </row>
    <row r="853">
      <c r="A853" s="3"/>
      <c r="B853" s="19"/>
      <c r="C853" s="19"/>
      <c r="D853" s="19"/>
      <c r="E853" s="3"/>
    </row>
    <row r="854">
      <c r="A854" s="3"/>
      <c r="B854" s="19"/>
      <c r="C854" s="19"/>
      <c r="D854" s="19"/>
      <c r="E854" s="3"/>
    </row>
    <row r="855">
      <c r="A855" s="3"/>
      <c r="B855" s="19"/>
      <c r="C855" s="19"/>
      <c r="D855" s="19"/>
      <c r="E855" s="3"/>
    </row>
    <row r="856">
      <c r="A856" s="3"/>
      <c r="B856" s="19"/>
      <c r="C856" s="19"/>
      <c r="D856" s="19"/>
      <c r="E856" s="3"/>
    </row>
    <row r="857">
      <c r="A857" s="3"/>
      <c r="B857" s="19"/>
      <c r="C857" s="19"/>
      <c r="D857" s="19"/>
      <c r="E857" s="3"/>
    </row>
    <row r="858">
      <c r="A858" s="3"/>
      <c r="B858" s="19"/>
      <c r="C858" s="19"/>
      <c r="D858" s="19"/>
      <c r="E858" s="3"/>
    </row>
    <row r="859">
      <c r="A859" s="3"/>
      <c r="B859" s="19"/>
      <c r="C859" s="19"/>
      <c r="D859" s="19"/>
      <c r="E859" s="3"/>
    </row>
    <row r="860">
      <c r="A860" s="3"/>
      <c r="B860" s="19"/>
      <c r="C860" s="19"/>
      <c r="D860" s="19"/>
      <c r="E860" s="3"/>
    </row>
    <row r="861">
      <c r="A861" s="3"/>
      <c r="B861" s="19"/>
      <c r="C861" s="19"/>
      <c r="D861" s="19"/>
      <c r="E861" s="3"/>
    </row>
    <row r="862">
      <c r="A862" s="3"/>
      <c r="B862" s="19"/>
      <c r="C862" s="19"/>
      <c r="D862" s="19"/>
      <c r="E862" s="3"/>
    </row>
    <row r="863">
      <c r="A863" s="3"/>
      <c r="B863" s="19"/>
      <c r="C863" s="19"/>
      <c r="D863" s="19"/>
      <c r="E863" s="3"/>
    </row>
    <row r="864">
      <c r="A864" s="3"/>
      <c r="B864" s="19"/>
      <c r="C864" s="19"/>
      <c r="D864" s="19"/>
      <c r="E864" s="3"/>
    </row>
    <row r="865">
      <c r="A865" s="3"/>
      <c r="B865" s="19"/>
      <c r="C865" s="19"/>
      <c r="D865" s="19"/>
      <c r="E865" s="3"/>
    </row>
    <row r="866">
      <c r="A866" s="3"/>
      <c r="B866" s="19"/>
      <c r="C866" s="19"/>
      <c r="D866" s="19"/>
      <c r="E866" s="3"/>
    </row>
    <row r="867">
      <c r="A867" s="3"/>
      <c r="B867" s="19"/>
      <c r="C867" s="19"/>
      <c r="D867" s="19"/>
      <c r="E867" s="3"/>
    </row>
    <row r="868">
      <c r="A868" s="3"/>
      <c r="B868" s="19"/>
      <c r="C868" s="19"/>
      <c r="D868" s="19"/>
      <c r="E868" s="3"/>
    </row>
    <row r="869">
      <c r="A869" s="3"/>
      <c r="B869" s="19"/>
      <c r="C869" s="19"/>
      <c r="D869" s="19"/>
      <c r="E869" s="3"/>
    </row>
    <row r="870">
      <c r="A870" s="3"/>
      <c r="B870" s="19"/>
      <c r="C870" s="19"/>
      <c r="D870" s="19"/>
      <c r="E870" s="3"/>
    </row>
    <row r="871">
      <c r="A871" s="3"/>
      <c r="B871" s="19"/>
      <c r="C871" s="19"/>
      <c r="D871" s="19"/>
      <c r="E871" s="3"/>
    </row>
    <row r="872">
      <c r="A872" s="3"/>
      <c r="B872" s="19"/>
      <c r="C872" s="19"/>
      <c r="D872" s="19"/>
      <c r="E872" s="3"/>
    </row>
    <row r="873">
      <c r="A873" s="3"/>
      <c r="B873" s="19"/>
      <c r="C873" s="19"/>
      <c r="D873" s="19"/>
      <c r="E873" s="3"/>
    </row>
    <row r="874">
      <c r="A874" s="3"/>
      <c r="B874" s="19"/>
      <c r="C874" s="19"/>
      <c r="D874" s="19"/>
      <c r="E874" s="3"/>
    </row>
    <row r="875">
      <c r="A875" s="3"/>
      <c r="B875" s="19"/>
      <c r="C875" s="19"/>
      <c r="D875" s="19"/>
      <c r="E875" s="3"/>
    </row>
    <row r="876">
      <c r="A876" s="3"/>
      <c r="B876" s="19"/>
      <c r="C876" s="19"/>
      <c r="D876" s="19"/>
      <c r="E876" s="3"/>
    </row>
    <row r="877">
      <c r="A877" s="3"/>
      <c r="B877" s="19"/>
      <c r="C877" s="19"/>
      <c r="D877" s="19"/>
      <c r="E877" s="3"/>
    </row>
    <row r="878">
      <c r="A878" s="3"/>
      <c r="B878" s="19"/>
      <c r="C878" s="19"/>
      <c r="D878" s="19"/>
      <c r="E878" s="3"/>
    </row>
    <row r="879">
      <c r="A879" s="3"/>
      <c r="B879" s="19"/>
      <c r="C879" s="19"/>
      <c r="D879" s="19"/>
      <c r="E879" s="3"/>
    </row>
    <row r="880">
      <c r="A880" s="3"/>
      <c r="B880" s="19"/>
      <c r="C880" s="19"/>
      <c r="D880" s="19"/>
      <c r="E880" s="3"/>
    </row>
    <row r="881">
      <c r="A881" s="3"/>
      <c r="B881" s="19"/>
      <c r="C881" s="19"/>
      <c r="D881" s="19"/>
      <c r="E881" s="3"/>
    </row>
    <row r="882">
      <c r="A882" s="3"/>
      <c r="B882" s="19"/>
      <c r="C882" s="19"/>
      <c r="D882" s="19"/>
      <c r="E882" s="3"/>
    </row>
    <row r="883">
      <c r="A883" s="3"/>
      <c r="B883" s="19"/>
      <c r="C883" s="19"/>
      <c r="D883" s="19"/>
      <c r="E883" s="3"/>
    </row>
    <row r="884">
      <c r="A884" s="3"/>
      <c r="B884" s="19"/>
      <c r="C884" s="19"/>
      <c r="D884" s="19"/>
      <c r="E884" s="3"/>
    </row>
    <row r="885">
      <c r="A885" s="3"/>
      <c r="B885" s="19"/>
      <c r="C885" s="19"/>
      <c r="D885" s="19"/>
      <c r="E885" s="3"/>
    </row>
    <row r="886">
      <c r="A886" s="3"/>
      <c r="B886" s="19"/>
      <c r="C886" s="19"/>
      <c r="D886" s="19"/>
      <c r="E886" s="3"/>
    </row>
    <row r="887">
      <c r="A887" s="3"/>
      <c r="B887" s="19"/>
      <c r="C887" s="19"/>
      <c r="D887" s="19"/>
      <c r="E887" s="3"/>
    </row>
    <row r="888">
      <c r="A888" s="3"/>
      <c r="B888" s="19"/>
      <c r="C888" s="19"/>
      <c r="D888" s="19"/>
      <c r="E888" s="3"/>
    </row>
    <row r="889">
      <c r="A889" s="3"/>
      <c r="B889" s="19"/>
      <c r="C889" s="19"/>
      <c r="D889" s="19"/>
      <c r="E889" s="3"/>
    </row>
    <row r="890">
      <c r="A890" s="3"/>
      <c r="B890" s="19"/>
      <c r="C890" s="19"/>
      <c r="D890" s="19"/>
      <c r="E890" s="3"/>
    </row>
    <row r="891">
      <c r="A891" s="3"/>
      <c r="B891" s="19"/>
      <c r="C891" s="19"/>
      <c r="D891" s="19"/>
      <c r="E891" s="3"/>
    </row>
    <row r="892">
      <c r="A892" s="3"/>
      <c r="B892" s="19"/>
      <c r="C892" s="19"/>
      <c r="D892" s="19"/>
      <c r="E892" s="3"/>
    </row>
    <row r="893">
      <c r="A893" s="3"/>
      <c r="B893" s="19"/>
      <c r="C893" s="19"/>
      <c r="D893" s="19"/>
      <c r="E893" s="3"/>
    </row>
    <row r="894">
      <c r="A894" s="3"/>
      <c r="B894" s="19"/>
      <c r="C894" s="19"/>
      <c r="D894" s="19"/>
      <c r="E894" s="3"/>
    </row>
    <row r="895">
      <c r="A895" s="3"/>
      <c r="B895" s="19"/>
      <c r="C895" s="19"/>
      <c r="D895" s="19"/>
      <c r="E895" s="3"/>
    </row>
    <row r="896">
      <c r="A896" s="3"/>
      <c r="B896" s="19"/>
      <c r="C896" s="19"/>
      <c r="D896" s="19"/>
      <c r="E896" s="3"/>
    </row>
    <row r="897">
      <c r="A897" s="3"/>
      <c r="B897" s="19"/>
      <c r="C897" s="19"/>
      <c r="D897" s="19"/>
      <c r="E897" s="3"/>
    </row>
    <row r="898">
      <c r="A898" s="3"/>
      <c r="B898" s="19"/>
      <c r="C898" s="19"/>
      <c r="D898" s="19"/>
      <c r="E898" s="3"/>
    </row>
    <row r="899">
      <c r="A899" s="3"/>
      <c r="B899" s="19"/>
      <c r="C899" s="19"/>
      <c r="D899" s="19"/>
      <c r="E899" s="3"/>
    </row>
    <row r="900">
      <c r="A900" s="3"/>
      <c r="B900" s="19"/>
      <c r="C900" s="19"/>
      <c r="D900" s="19"/>
      <c r="E900" s="3"/>
    </row>
    <row r="901">
      <c r="A901" s="3"/>
      <c r="B901" s="19"/>
      <c r="C901" s="19"/>
      <c r="D901" s="19"/>
      <c r="E901" s="3"/>
    </row>
    <row r="902">
      <c r="A902" s="3"/>
      <c r="B902" s="19"/>
      <c r="C902" s="19"/>
      <c r="D902" s="19"/>
      <c r="E902" s="3"/>
    </row>
    <row r="903">
      <c r="A903" s="3"/>
      <c r="B903" s="19"/>
      <c r="C903" s="19"/>
      <c r="D903" s="19"/>
      <c r="E903" s="3"/>
    </row>
    <row r="904">
      <c r="A904" s="3"/>
      <c r="B904" s="19"/>
      <c r="C904" s="19"/>
      <c r="D904" s="19"/>
      <c r="E904" s="3"/>
    </row>
    <row r="905">
      <c r="A905" s="3"/>
      <c r="B905" s="19"/>
      <c r="C905" s="19"/>
      <c r="D905" s="19"/>
      <c r="E905" s="3"/>
    </row>
    <row r="906">
      <c r="A906" s="3"/>
      <c r="B906" s="19"/>
      <c r="C906" s="19"/>
      <c r="D906" s="19"/>
      <c r="E906" s="3"/>
    </row>
    <row r="907">
      <c r="A907" s="3"/>
      <c r="B907" s="19"/>
      <c r="C907" s="19"/>
      <c r="D907" s="19"/>
      <c r="E907" s="3"/>
    </row>
    <row r="908">
      <c r="A908" s="3"/>
      <c r="B908" s="19"/>
      <c r="C908" s="19"/>
      <c r="D908" s="19"/>
      <c r="E908" s="3"/>
    </row>
    <row r="909">
      <c r="A909" s="3"/>
      <c r="B909" s="19"/>
      <c r="C909" s="19"/>
      <c r="D909" s="19"/>
      <c r="E909" s="3"/>
    </row>
    <row r="910">
      <c r="A910" s="3"/>
      <c r="B910" s="19"/>
      <c r="C910" s="19"/>
      <c r="D910" s="19"/>
      <c r="E910" s="3"/>
    </row>
    <row r="911">
      <c r="A911" s="3"/>
      <c r="B911" s="19"/>
      <c r="C911" s="19"/>
      <c r="D911" s="19"/>
      <c r="E911" s="3"/>
    </row>
    <row r="912">
      <c r="A912" s="3"/>
      <c r="B912" s="19"/>
      <c r="C912" s="19"/>
      <c r="D912" s="19"/>
      <c r="E912" s="3"/>
    </row>
    <row r="913">
      <c r="A913" s="3"/>
      <c r="B913" s="19"/>
      <c r="C913" s="19"/>
      <c r="D913" s="19"/>
      <c r="E913" s="3"/>
    </row>
    <row r="914">
      <c r="A914" s="3"/>
      <c r="B914" s="19"/>
      <c r="C914" s="19"/>
      <c r="D914" s="19"/>
      <c r="E914" s="3"/>
    </row>
    <row r="915">
      <c r="A915" s="3"/>
      <c r="B915" s="19"/>
      <c r="C915" s="19"/>
      <c r="D915" s="19"/>
      <c r="E915" s="3"/>
    </row>
    <row r="916">
      <c r="A916" s="3"/>
      <c r="B916" s="19"/>
      <c r="C916" s="19"/>
      <c r="D916" s="19"/>
      <c r="E916" s="3"/>
    </row>
    <row r="917">
      <c r="A917" s="3"/>
      <c r="B917" s="19"/>
      <c r="C917" s="19"/>
      <c r="D917" s="19"/>
      <c r="E917" s="3"/>
    </row>
    <row r="918">
      <c r="A918" s="3"/>
      <c r="B918" s="19"/>
      <c r="C918" s="19"/>
      <c r="D918" s="19"/>
      <c r="E918" s="3"/>
    </row>
    <row r="919">
      <c r="A919" s="3"/>
      <c r="B919" s="19"/>
      <c r="C919" s="19"/>
      <c r="D919" s="19"/>
      <c r="E919" s="3"/>
    </row>
    <row r="920">
      <c r="A920" s="3"/>
      <c r="B920" s="19"/>
      <c r="C920" s="19"/>
      <c r="D920" s="19"/>
      <c r="E920" s="3"/>
    </row>
    <row r="921">
      <c r="A921" s="3"/>
      <c r="B921" s="19"/>
      <c r="C921" s="19"/>
      <c r="D921" s="19"/>
      <c r="E921" s="3"/>
    </row>
    <row r="922">
      <c r="A922" s="3"/>
      <c r="B922" s="19"/>
      <c r="C922" s="19"/>
      <c r="D922" s="19"/>
      <c r="E922" s="3"/>
    </row>
    <row r="923">
      <c r="A923" s="3"/>
      <c r="B923" s="19"/>
      <c r="C923" s="19"/>
      <c r="D923" s="19"/>
      <c r="E923" s="3"/>
    </row>
    <row r="924">
      <c r="A924" s="3"/>
      <c r="B924" s="19"/>
      <c r="C924" s="19"/>
      <c r="D924" s="19"/>
      <c r="E924" s="3"/>
    </row>
    <row r="925">
      <c r="A925" s="3"/>
      <c r="B925" s="19"/>
      <c r="C925" s="19"/>
      <c r="D925" s="19"/>
      <c r="E925" s="3"/>
    </row>
    <row r="926">
      <c r="A926" s="3"/>
      <c r="B926" s="19"/>
      <c r="C926" s="19"/>
      <c r="D926" s="19"/>
      <c r="E926" s="3"/>
    </row>
    <row r="927">
      <c r="A927" s="3"/>
      <c r="B927" s="19"/>
      <c r="C927" s="19"/>
      <c r="D927" s="19"/>
      <c r="E927" s="3"/>
    </row>
    <row r="928">
      <c r="A928" s="3"/>
      <c r="B928" s="19"/>
      <c r="C928" s="19"/>
      <c r="D928" s="19"/>
      <c r="E928" s="3"/>
    </row>
    <row r="929">
      <c r="A929" s="3"/>
      <c r="B929" s="19"/>
      <c r="C929" s="19"/>
      <c r="D929" s="19"/>
      <c r="E929" s="3"/>
    </row>
    <row r="930">
      <c r="A930" s="3"/>
      <c r="B930" s="19"/>
      <c r="C930" s="19"/>
      <c r="D930" s="19"/>
      <c r="E930" s="3"/>
    </row>
    <row r="931">
      <c r="A931" s="3"/>
      <c r="B931" s="19"/>
      <c r="C931" s="19"/>
      <c r="D931" s="19"/>
      <c r="E931" s="3"/>
    </row>
    <row r="932">
      <c r="A932" s="3"/>
      <c r="B932" s="19"/>
      <c r="C932" s="19"/>
      <c r="D932" s="19"/>
      <c r="E932" s="3"/>
    </row>
    <row r="933">
      <c r="A933" s="3"/>
      <c r="B933" s="19"/>
      <c r="C933" s="19"/>
      <c r="D933" s="19"/>
      <c r="E933" s="3"/>
    </row>
    <row r="934">
      <c r="A934" s="3"/>
      <c r="B934" s="19"/>
      <c r="C934" s="19"/>
      <c r="D934" s="19"/>
      <c r="E934" s="3"/>
    </row>
    <row r="935">
      <c r="A935" s="3"/>
      <c r="B935" s="19"/>
      <c r="C935" s="19"/>
      <c r="D935" s="19"/>
      <c r="E935" s="3"/>
    </row>
    <row r="936">
      <c r="A936" s="3"/>
      <c r="B936" s="19"/>
      <c r="C936" s="19"/>
      <c r="D936" s="19"/>
      <c r="E936" s="3"/>
    </row>
    <row r="937">
      <c r="A937" s="3"/>
      <c r="B937" s="19"/>
      <c r="C937" s="19"/>
      <c r="D937" s="19"/>
      <c r="E937" s="3"/>
    </row>
    <row r="938">
      <c r="A938" s="3"/>
      <c r="B938" s="19"/>
      <c r="C938" s="19"/>
      <c r="D938" s="19"/>
      <c r="E938" s="3"/>
    </row>
    <row r="939">
      <c r="A939" s="3"/>
      <c r="B939" s="19"/>
      <c r="C939" s="19"/>
      <c r="D939" s="19"/>
      <c r="E939" s="3"/>
    </row>
    <row r="940">
      <c r="A940" s="3"/>
      <c r="B940" s="19"/>
      <c r="C940" s="19"/>
      <c r="D940" s="19"/>
      <c r="E940" s="3"/>
    </row>
    <row r="941">
      <c r="A941" s="3"/>
      <c r="B941" s="19"/>
      <c r="C941" s="19"/>
      <c r="D941" s="19"/>
      <c r="E941" s="3"/>
    </row>
    <row r="942">
      <c r="A942" s="3"/>
      <c r="B942" s="19"/>
      <c r="C942" s="19"/>
      <c r="D942" s="19"/>
      <c r="E942" s="3"/>
    </row>
    <row r="943">
      <c r="A943" s="3"/>
      <c r="B943" s="19"/>
      <c r="C943" s="19"/>
      <c r="D943" s="19"/>
      <c r="E943" s="3"/>
    </row>
    <row r="944">
      <c r="A944" s="3"/>
      <c r="B944" s="19"/>
      <c r="C944" s="19"/>
      <c r="D944" s="19"/>
      <c r="E944" s="3"/>
    </row>
    <row r="945">
      <c r="A945" s="3"/>
      <c r="B945" s="19"/>
      <c r="C945" s="19"/>
      <c r="D945" s="19"/>
      <c r="E945" s="3"/>
    </row>
    <row r="946">
      <c r="A946" s="3"/>
      <c r="B946" s="19"/>
      <c r="C946" s="19"/>
      <c r="D946" s="19"/>
      <c r="E946" s="3"/>
    </row>
    <row r="947">
      <c r="A947" s="3"/>
      <c r="B947" s="19"/>
      <c r="C947" s="19"/>
      <c r="D947" s="19"/>
      <c r="E947" s="3"/>
    </row>
    <row r="948">
      <c r="A948" s="3"/>
      <c r="B948" s="19"/>
      <c r="C948" s="19"/>
      <c r="D948" s="19"/>
      <c r="E948" s="3"/>
    </row>
    <row r="949">
      <c r="A949" s="3"/>
      <c r="B949" s="19"/>
      <c r="C949" s="19"/>
      <c r="D949" s="19"/>
      <c r="E949" s="3"/>
    </row>
    <row r="950">
      <c r="A950" s="3"/>
      <c r="B950" s="19"/>
      <c r="C950" s="19"/>
      <c r="D950" s="19"/>
      <c r="E950" s="3"/>
    </row>
    <row r="951">
      <c r="A951" s="3"/>
      <c r="B951" s="19"/>
      <c r="C951" s="19"/>
      <c r="D951" s="19"/>
      <c r="E951" s="3"/>
    </row>
    <row r="952">
      <c r="A952" s="3"/>
      <c r="B952" s="19"/>
      <c r="C952" s="19"/>
      <c r="D952" s="19"/>
      <c r="E952" s="3"/>
    </row>
    <row r="953">
      <c r="A953" s="3"/>
      <c r="B953" s="19"/>
      <c r="C953" s="19"/>
      <c r="D953" s="19"/>
      <c r="E953" s="3"/>
    </row>
    <row r="954">
      <c r="A954" s="3"/>
      <c r="B954" s="19"/>
      <c r="C954" s="19"/>
      <c r="D954" s="19"/>
      <c r="E954" s="3"/>
    </row>
    <row r="955">
      <c r="A955" s="3"/>
      <c r="B955" s="19"/>
      <c r="C955" s="19"/>
      <c r="D955" s="19"/>
      <c r="E955" s="3"/>
    </row>
    <row r="956">
      <c r="A956" s="3"/>
      <c r="B956" s="19"/>
      <c r="C956" s="19"/>
      <c r="D956" s="19"/>
      <c r="E956" s="3"/>
    </row>
    <row r="957">
      <c r="A957" s="3"/>
      <c r="B957" s="19"/>
      <c r="C957" s="19"/>
      <c r="D957" s="19"/>
      <c r="E957" s="3"/>
    </row>
    <row r="958">
      <c r="A958" s="3"/>
      <c r="B958" s="19"/>
      <c r="C958" s="19"/>
      <c r="D958" s="19"/>
      <c r="E958" s="3"/>
    </row>
    <row r="959">
      <c r="A959" s="3"/>
      <c r="B959" s="19"/>
      <c r="C959" s="19"/>
      <c r="D959" s="19"/>
      <c r="E959" s="3"/>
    </row>
    <row r="960">
      <c r="A960" s="3"/>
      <c r="B960" s="19"/>
      <c r="C960" s="19"/>
      <c r="D960" s="19"/>
      <c r="E960" s="3"/>
    </row>
    <row r="961">
      <c r="A961" s="3"/>
      <c r="B961" s="19"/>
      <c r="C961" s="19"/>
      <c r="D961" s="19"/>
      <c r="E961" s="3"/>
    </row>
    <row r="962">
      <c r="A962" s="3"/>
      <c r="B962" s="19"/>
      <c r="C962" s="19"/>
      <c r="D962" s="19"/>
      <c r="E962" s="3"/>
    </row>
    <row r="963">
      <c r="A963" s="3"/>
      <c r="B963" s="19"/>
      <c r="C963" s="19"/>
      <c r="D963" s="19"/>
      <c r="E963" s="3"/>
    </row>
    <row r="964">
      <c r="A964" s="3"/>
      <c r="B964" s="19"/>
      <c r="C964" s="19"/>
      <c r="D964" s="19"/>
      <c r="E964" s="3"/>
    </row>
    <row r="965">
      <c r="A965" s="3"/>
      <c r="B965" s="19"/>
      <c r="C965" s="19"/>
      <c r="D965" s="19"/>
      <c r="E965" s="3"/>
    </row>
    <row r="966">
      <c r="A966" s="3"/>
      <c r="B966" s="19"/>
      <c r="C966" s="19"/>
      <c r="D966" s="19"/>
      <c r="E966" s="3"/>
    </row>
    <row r="967">
      <c r="A967" s="3"/>
      <c r="B967" s="19"/>
      <c r="C967" s="19"/>
      <c r="D967" s="19"/>
      <c r="E967" s="3"/>
    </row>
    <row r="968">
      <c r="A968" s="3"/>
      <c r="B968" s="19"/>
      <c r="C968" s="19"/>
      <c r="D968" s="19"/>
      <c r="E968" s="3"/>
    </row>
    <row r="969">
      <c r="A969" s="3"/>
      <c r="B969" s="19"/>
      <c r="C969" s="19"/>
      <c r="D969" s="19"/>
      <c r="E969" s="3"/>
    </row>
    <row r="970">
      <c r="A970" s="3"/>
      <c r="B970" s="19"/>
      <c r="C970" s="19"/>
      <c r="D970" s="19"/>
      <c r="E970" s="3"/>
    </row>
    <row r="971">
      <c r="A971" s="3"/>
      <c r="B971" s="19"/>
      <c r="C971" s="19"/>
      <c r="D971" s="19"/>
      <c r="E971" s="3"/>
    </row>
    <row r="972">
      <c r="A972" s="3"/>
      <c r="B972" s="19"/>
      <c r="C972" s="19"/>
      <c r="D972" s="19"/>
      <c r="E972" s="3"/>
    </row>
    <row r="973">
      <c r="A973" s="3"/>
      <c r="B973" s="19"/>
      <c r="C973" s="19"/>
      <c r="D973" s="19"/>
      <c r="E973" s="3"/>
    </row>
    <row r="974">
      <c r="A974" s="3"/>
      <c r="B974" s="19"/>
      <c r="C974" s="19"/>
      <c r="D974" s="19"/>
      <c r="E974" s="3"/>
    </row>
    <row r="975">
      <c r="A975" s="3"/>
      <c r="B975" s="19"/>
      <c r="C975" s="19"/>
      <c r="D975" s="19"/>
      <c r="E975" s="3"/>
    </row>
    <row r="976">
      <c r="A976" s="3"/>
      <c r="B976" s="19"/>
      <c r="C976" s="19"/>
      <c r="D976" s="19"/>
      <c r="E976" s="3"/>
    </row>
    <row r="977">
      <c r="A977" s="3"/>
      <c r="B977" s="19"/>
      <c r="C977" s="19"/>
      <c r="D977" s="19"/>
      <c r="E977" s="3"/>
    </row>
    <row r="978">
      <c r="A978" s="3"/>
      <c r="B978" s="19"/>
      <c r="C978" s="19"/>
      <c r="D978" s="19"/>
      <c r="E978" s="3"/>
    </row>
    <row r="979">
      <c r="A979" s="3"/>
      <c r="B979" s="19"/>
      <c r="C979" s="19"/>
      <c r="D979" s="19"/>
      <c r="E979" s="3"/>
    </row>
    <row r="980">
      <c r="A980" s="3"/>
      <c r="B980" s="19"/>
      <c r="C980" s="19"/>
      <c r="D980" s="19"/>
      <c r="E980" s="3"/>
    </row>
    <row r="981">
      <c r="A981" s="3"/>
      <c r="B981" s="19"/>
      <c r="C981" s="19"/>
      <c r="D981" s="19"/>
      <c r="E981" s="3"/>
    </row>
    <row r="982">
      <c r="A982" s="3"/>
      <c r="B982" s="19"/>
      <c r="C982" s="19"/>
      <c r="D982" s="19"/>
      <c r="E982" s="3"/>
    </row>
    <row r="983">
      <c r="A983" s="3"/>
      <c r="B983" s="19"/>
      <c r="C983" s="19"/>
      <c r="D983" s="19"/>
      <c r="E983" s="3"/>
    </row>
    <row r="984">
      <c r="A984" s="3"/>
      <c r="B984" s="19"/>
      <c r="C984" s="19"/>
      <c r="D984" s="19"/>
      <c r="E984" s="3"/>
    </row>
    <row r="985">
      <c r="A985" s="3"/>
      <c r="B985" s="19"/>
      <c r="C985" s="19"/>
      <c r="D985" s="19"/>
      <c r="E985" s="3"/>
    </row>
    <row r="986">
      <c r="A986" s="3"/>
      <c r="B986" s="19"/>
      <c r="C986" s="19"/>
      <c r="D986" s="19"/>
      <c r="E986" s="3"/>
    </row>
    <row r="987">
      <c r="A987" s="3"/>
      <c r="B987" s="19"/>
      <c r="C987" s="19"/>
      <c r="D987" s="19"/>
      <c r="E987" s="3"/>
    </row>
    <row r="988">
      <c r="A988" s="3"/>
      <c r="B988" s="19"/>
      <c r="C988" s="19"/>
      <c r="D988" s="19"/>
      <c r="E988" s="3"/>
    </row>
    <row r="989">
      <c r="A989" s="3"/>
      <c r="B989" s="19"/>
      <c r="C989" s="19"/>
      <c r="D989" s="19"/>
      <c r="E989" s="3"/>
    </row>
    <row r="990">
      <c r="A990" s="3"/>
      <c r="B990" s="19"/>
      <c r="C990" s="19"/>
      <c r="D990" s="19"/>
      <c r="E990" s="3"/>
    </row>
    <row r="991">
      <c r="A991" s="3"/>
      <c r="B991" s="19"/>
      <c r="C991" s="19"/>
      <c r="D991" s="19"/>
      <c r="E991" s="3"/>
    </row>
    <row r="992">
      <c r="A992" s="3"/>
      <c r="B992" s="19"/>
      <c r="C992" s="19"/>
      <c r="D992" s="19"/>
      <c r="E992" s="3"/>
    </row>
    <row r="993">
      <c r="A993" s="3"/>
      <c r="B993" s="19"/>
      <c r="C993" s="19"/>
      <c r="D993" s="19"/>
      <c r="E993" s="3"/>
    </row>
    <row r="994">
      <c r="A994" s="3"/>
      <c r="B994" s="19"/>
      <c r="C994" s="19"/>
      <c r="D994" s="19"/>
      <c r="E994" s="3"/>
    </row>
    <row r="995">
      <c r="A995" s="3"/>
      <c r="B995" s="19"/>
      <c r="C995" s="19"/>
      <c r="D995" s="19"/>
      <c r="E995" s="3"/>
    </row>
    <row r="996">
      <c r="A996" s="3"/>
      <c r="B996" s="19"/>
      <c r="C996" s="19"/>
      <c r="D996" s="19"/>
      <c r="E996" s="3"/>
    </row>
    <row r="997">
      <c r="A997" s="3"/>
      <c r="B997" s="19"/>
      <c r="C997" s="19"/>
      <c r="D997" s="19"/>
      <c r="E997" s="3"/>
    </row>
    <row r="998">
      <c r="A998" s="3"/>
      <c r="B998" s="19"/>
      <c r="C998" s="19"/>
      <c r="D998" s="19"/>
      <c r="E998" s="3"/>
    </row>
    <row r="999">
      <c r="A999" s="3"/>
      <c r="B999" s="19"/>
      <c r="C999" s="19"/>
      <c r="D999" s="19"/>
      <c r="E999" s="3"/>
    </row>
    <row r="1000">
      <c r="A1000" s="3"/>
      <c r="B1000" s="19"/>
      <c r="C1000" s="19"/>
      <c r="D1000" s="19"/>
      <c r="E1000" s="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3" t="str">
        <f t="array" ref="A1:A1000">sort(Stats!A1:A1000,Stats!T1:T1000,false)</f>
        <v>Player</v>
      </c>
      <c r="B1" s="19" t="str">
        <f t="array" ref="B1:B1000">sort(Stats!C1:C1000,Stats!T1:T1000,false)</f>
        <v>GP</v>
      </c>
      <c r="C1" s="19" t="str">
        <f t="array" ref="C1:E1000">sort(Stats!R1:T1000,Stats!T1:T1000,false)</f>
        <v>E TU</v>
      </c>
      <c r="D1" s="19" t="s">
        <v>70</v>
      </c>
      <c r="E1" s="3" t="s">
        <v>71</v>
      </c>
    </row>
    <row r="2">
      <c r="A2" s="3" t="s">
        <v>29</v>
      </c>
      <c r="B2" s="19">
        <v>8.0</v>
      </c>
      <c r="C2" s="19">
        <v>12.0</v>
      </c>
      <c r="D2" s="19">
        <v>1.0</v>
      </c>
      <c r="E2" s="3">
        <v>5.5</v>
      </c>
    </row>
    <row r="3">
      <c r="A3" s="3" t="s">
        <v>15</v>
      </c>
      <c r="B3" s="19">
        <v>9.0</v>
      </c>
      <c r="C3" s="19">
        <v>12.0</v>
      </c>
      <c r="D3" s="19">
        <v>1.0</v>
      </c>
      <c r="E3" s="20">
        <v>4.888888888888889</v>
      </c>
    </row>
    <row r="4">
      <c r="A4" s="3" t="s">
        <v>41</v>
      </c>
      <c r="B4" s="19">
        <v>6.0</v>
      </c>
      <c r="C4" s="19">
        <v>6.0</v>
      </c>
      <c r="D4" s="19">
        <v>1.0</v>
      </c>
      <c r="E4" s="20">
        <v>3.3333333333333335</v>
      </c>
    </row>
    <row r="5">
      <c r="A5" s="3" t="s">
        <v>17</v>
      </c>
      <c r="B5" s="19">
        <v>9.0</v>
      </c>
      <c r="C5" s="19">
        <v>9.0</v>
      </c>
      <c r="D5" s="19">
        <v>2.0</v>
      </c>
      <c r="E5" s="20">
        <v>3.111111111111111</v>
      </c>
    </row>
    <row r="6">
      <c r="A6" s="3" t="s">
        <v>34</v>
      </c>
      <c r="B6" s="19">
        <v>8.0</v>
      </c>
      <c r="C6" s="19">
        <v>7.0</v>
      </c>
      <c r="D6" s="19">
        <v>1.0</v>
      </c>
      <c r="E6" s="3">
        <v>3.0</v>
      </c>
    </row>
    <row r="7">
      <c r="A7" s="3" t="s">
        <v>44</v>
      </c>
      <c r="B7" s="19">
        <v>8.0</v>
      </c>
      <c r="C7" s="19">
        <v>5.0</v>
      </c>
      <c r="D7" s="19">
        <v>0.0</v>
      </c>
      <c r="E7" s="3">
        <v>2.5</v>
      </c>
    </row>
    <row r="8">
      <c r="A8" s="3" t="s">
        <v>25</v>
      </c>
      <c r="B8" s="19">
        <v>9.0</v>
      </c>
      <c r="C8" s="19">
        <v>6.0</v>
      </c>
      <c r="D8" s="19">
        <v>1.0</v>
      </c>
      <c r="E8" s="20">
        <v>2.2222222222222223</v>
      </c>
    </row>
    <row r="9">
      <c r="A9" s="3" t="s">
        <v>45</v>
      </c>
      <c r="B9" s="19">
        <v>8.0</v>
      </c>
      <c r="C9" s="19">
        <v>3.0</v>
      </c>
      <c r="D9" s="19">
        <v>0.0</v>
      </c>
      <c r="E9" s="3">
        <v>1.5</v>
      </c>
    </row>
    <row r="10">
      <c r="A10" s="3" t="s">
        <v>11</v>
      </c>
      <c r="B10" s="19">
        <v>6.0</v>
      </c>
      <c r="C10" s="19">
        <v>2.0</v>
      </c>
      <c r="D10" s="19">
        <v>0.0</v>
      </c>
      <c r="E10" s="20">
        <v>1.3333333333333333</v>
      </c>
    </row>
    <row r="11">
      <c r="A11" s="3" t="s">
        <v>24</v>
      </c>
      <c r="B11" s="19">
        <v>9.0</v>
      </c>
      <c r="C11" s="19">
        <v>4.0</v>
      </c>
      <c r="D11" s="19">
        <v>1.0</v>
      </c>
      <c r="E11" s="20">
        <v>1.3333333333333333</v>
      </c>
    </row>
    <row r="12">
      <c r="A12" s="3" t="s">
        <v>16</v>
      </c>
      <c r="B12" s="19">
        <v>9.0</v>
      </c>
      <c r="C12" s="19">
        <v>3.0</v>
      </c>
      <c r="D12" s="19">
        <v>0.0</v>
      </c>
      <c r="E12" s="20">
        <v>1.3333333333333333</v>
      </c>
    </row>
    <row r="13">
      <c r="A13" s="3" t="s">
        <v>42</v>
      </c>
      <c r="B13" s="19">
        <v>8.0</v>
      </c>
      <c r="C13" s="19">
        <v>2.0</v>
      </c>
      <c r="D13" s="19">
        <v>0.0</v>
      </c>
      <c r="E13" s="3">
        <v>1.0</v>
      </c>
    </row>
    <row r="14">
      <c r="A14" s="3" t="s">
        <v>28</v>
      </c>
      <c r="B14" s="19">
        <v>8.0</v>
      </c>
      <c r="C14" s="19">
        <v>2.0</v>
      </c>
      <c r="D14" s="19">
        <v>0.0</v>
      </c>
      <c r="E14" s="3">
        <v>1.0</v>
      </c>
    </row>
    <row r="15">
      <c r="A15" s="3" t="s">
        <v>36</v>
      </c>
      <c r="B15" s="19">
        <v>8.0</v>
      </c>
      <c r="C15" s="19">
        <v>2.0</v>
      </c>
      <c r="D15" s="19">
        <v>0.0</v>
      </c>
      <c r="E15" s="3">
        <v>1.0</v>
      </c>
    </row>
    <row r="16">
      <c r="A16" s="3" t="s">
        <v>23</v>
      </c>
      <c r="B16" s="19">
        <v>9.0</v>
      </c>
      <c r="C16" s="19">
        <v>2.0</v>
      </c>
      <c r="D16" s="19">
        <v>0.0</v>
      </c>
      <c r="E16" s="20">
        <v>0.8888888888888888</v>
      </c>
    </row>
    <row r="17">
      <c r="A17" s="3" t="s">
        <v>26</v>
      </c>
      <c r="B17" s="19">
        <v>9.0</v>
      </c>
      <c r="C17" s="19">
        <v>2.0</v>
      </c>
      <c r="D17" s="19">
        <v>0.0</v>
      </c>
      <c r="E17" s="20">
        <v>0.8888888888888888</v>
      </c>
    </row>
    <row r="18">
      <c r="A18" s="3" t="s">
        <v>13</v>
      </c>
      <c r="B18" s="19">
        <v>6.0</v>
      </c>
      <c r="C18" s="19">
        <v>1.0</v>
      </c>
      <c r="D18" s="19">
        <v>0.0</v>
      </c>
      <c r="E18" s="20">
        <v>0.6666666666666666</v>
      </c>
    </row>
    <row r="19">
      <c r="A19" s="3" t="s">
        <v>38</v>
      </c>
      <c r="B19" s="19">
        <v>6.0</v>
      </c>
      <c r="C19" s="19">
        <v>1.0</v>
      </c>
      <c r="D19" s="19">
        <v>0.0</v>
      </c>
      <c r="E19" s="20">
        <v>0.6666666666666666</v>
      </c>
    </row>
    <row r="20">
      <c r="A20" s="3" t="s">
        <v>14</v>
      </c>
      <c r="B20" s="19">
        <v>6.0</v>
      </c>
      <c r="C20" s="19">
        <v>1.0</v>
      </c>
      <c r="D20" s="19">
        <v>0.0</v>
      </c>
      <c r="E20" s="20">
        <v>0.6666666666666666</v>
      </c>
    </row>
    <row r="21">
      <c r="A21" s="3" t="s">
        <v>35</v>
      </c>
      <c r="B21" s="19">
        <v>8.0</v>
      </c>
      <c r="C21" s="19">
        <v>1.0</v>
      </c>
      <c r="D21" s="19">
        <v>0.0</v>
      </c>
      <c r="E21" s="3">
        <v>0.5</v>
      </c>
    </row>
    <row r="22">
      <c r="A22" s="3" t="s">
        <v>19</v>
      </c>
      <c r="B22" s="19">
        <v>8.0</v>
      </c>
      <c r="C22" s="19">
        <v>2.0</v>
      </c>
      <c r="D22" s="19">
        <v>1.0</v>
      </c>
      <c r="E22" s="3">
        <v>0.5</v>
      </c>
    </row>
    <row r="23">
      <c r="A23" s="3" t="s">
        <v>30</v>
      </c>
      <c r="B23" s="19">
        <v>8.0</v>
      </c>
      <c r="C23" s="19">
        <v>1.0</v>
      </c>
      <c r="D23" s="19">
        <v>0.0</v>
      </c>
      <c r="E23" s="3">
        <v>0.5</v>
      </c>
    </row>
    <row r="24">
      <c r="A24" s="3" t="s">
        <v>33</v>
      </c>
      <c r="B24" s="19">
        <v>8.0</v>
      </c>
      <c r="C24" s="19">
        <v>1.0</v>
      </c>
      <c r="D24" s="19">
        <v>0.0</v>
      </c>
      <c r="E24" s="3">
        <v>0.5</v>
      </c>
    </row>
    <row r="25">
      <c r="A25" s="3" t="s">
        <v>37</v>
      </c>
      <c r="B25" s="19">
        <v>8.0</v>
      </c>
      <c r="C25" s="19">
        <v>1.0</v>
      </c>
      <c r="D25" s="19">
        <v>0.0</v>
      </c>
      <c r="E25" s="3">
        <v>0.5</v>
      </c>
    </row>
    <row r="26">
      <c r="A26" s="3" t="s">
        <v>43</v>
      </c>
      <c r="B26" s="19">
        <v>8.0</v>
      </c>
      <c r="C26" s="19">
        <v>1.0</v>
      </c>
      <c r="D26" s="19">
        <v>0.0</v>
      </c>
      <c r="E26" s="3">
        <v>0.5</v>
      </c>
    </row>
    <row r="27">
      <c r="A27" s="3" t="s">
        <v>18</v>
      </c>
      <c r="B27" s="19">
        <v>9.0</v>
      </c>
      <c r="C27" s="19">
        <v>0.0</v>
      </c>
      <c r="D27" s="19">
        <v>0.0</v>
      </c>
      <c r="E27" s="3">
        <v>0.0</v>
      </c>
    </row>
    <row r="28">
      <c r="A28" s="3" t="s">
        <v>22</v>
      </c>
      <c r="B28" s="19">
        <v>7.0</v>
      </c>
      <c r="C28" s="19">
        <v>3.0</v>
      </c>
      <c r="D28" s="19">
        <v>3.0</v>
      </c>
      <c r="E28" s="3">
        <v>0.0</v>
      </c>
    </row>
    <row r="29">
      <c r="A29" s="3" t="s">
        <v>39</v>
      </c>
      <c r="B29" s="19">
        <v>6.0</v>
      </c>
      <c r="C29" s="19">
        <v>0.0</v>
      </c>
      <c r="D29" s="19">
        <v>0.0</v>
      </c>
      <c r="E29" s="3">
        <v>0.0</v>
      </c>
    </row>
    <row r="30">
      <c r="A30" s="3" t="s">
        <v>40</v>
      </c>
      <c r="B30" s="19">
        <v>6.0</v>
      </c>
      <c r="C30" s="19">
        <v>0.0</v>
      </c>
      <c r="D30" s="19">
        <v>0.0</v>
      </c>
      <c r="E30" s="3">
        <v>0.0</v>
      </c>
    </row>
    <row r="31">
      <c r="A31" s="3" t="s">
        <v>13</v>
      </c>
      <c r="B31" s="19">
        <v>8.0</v>
      </c>
      <c r="C31" s="19">
        <v>1.0</v>
      </c>
      <c r="D31" s="19">
        <v>1.0</v>
      </c>
      <c r="E31" s="3">
        <v>0.0</v>
      </c>
    </row>
    <row r="32">
      <c r="A32" s="3" t="s">
        <v>12</v>
      </c>
      <c r="B32" s="19">
        <v>6.0</v>
      </c>
      <c r="C32" s="19">
        <v>0.0</v>
      </c>
      <c r="D32" s="19">
        <v>0.0</v>
      </c>
      <c r="E32" s="3">
        <v>0.0</v>
      </c>
    </row>
    <row r="33">
      <c r="A33" s="3" t="s">
        <v>31</v>
      </c>
      <c r="B33" s="19">
        <v>8.0</v>
      </c>
      <c r="C33" s="19">
        <v>0.0</v>
      </c>
      <c r="D33" s="19">
        <v>0.0</v>
      </c>
      <c r="E33" s="3">
        <v>0.0</v>
      </c>
    </row>
    <row r="34">
      <c r="A34" s="3" t="s">
        <v>10</v>
      </c>
      <c r="B34" s="19">
        <v>6.0</v>
      </c>
      <c r="C34" s="19">
        <v>0.0</v>
      </c>
      <c r="D34" s="19">
        <v>0.0</v>
      </c>
      <c r="E34" s="3">
        <v>0.0</v>
      </c>
    </row>
    <row r="35">
      <c r="A35" s="3" t="s">
        <v>32</v>
      </c>
      <c r="B35" s="19">
        <v>8.0</v>
      </c>
      <c r="C35" s="19">
        <v>0.0</v>
      </c>
      <c r="D35" s="19">
        <v>0.0</v>
      </c>
      <c r="E35" s="3">
        <v>0.0</v>
      </c>
    </row>
    <row r="36">
      <c r="A36" s="3" t="s">
        <v>27</v>
      </c>
      <c r="B36" s="19">
        <v>9.0</v>
      </c>
      <c r="C36" s="19">
        <v>0.0</v>
      </c>
      <c r="D36" s="19">
        <v>0.0</v>
      </c>
      <c r="E36" s="3">
        <v>0.0</v>
      </c>
    </row>
    <row r="37">
      <c r="A37" s="3" t="s">
        <v>20</v>
      </c>
      <c r="B37" s="19">
        <v>8.0</v>
      </c>
      <c r="C37" s="19">
        <v>0.0</v>
      </c>
      <c r="D37" s="19">
        <v>0.0</v>
      </c>
      <c r="E37" s="3">
        <v>0.0</v>
      </c>
    </row>
    <row r="38">
      <c r="A38" s="3"/>
      <c r="B38" s="19"/>
      <c r="C38" s="19"/>
      <c r="D38" s="19"/>
      <c r="E38" s="3"/>
    </row>
    <row r="39">
      <c r="A39" s="3"/>
      <c r="B39" s="19"/>
      <c r="C39" s="19"/>
      <c r="D39" s="19"/>
      <c r="E39" s="3"/>
    </row>
    <row r="40">
      <c r="A40" s="3"/>
      <c r="B40" s="19"/>
      <c r="C40" s="19"/>
      <c r="D40" s="19"/>
      <c r="E40" s="3"/>
    </row>
    <row r="41">
      <c r="A41" s="3"/>
      <c r="B41" s="19"/>
      <c r="C41" s="19"/>
      <c r="D41" s="19"/>
      <c r="E41" s="3"/>
    </row>
    <row r="42">
      <c r="A42" s="3"/>
      <c r="B42" s="19"/>
      <c r="C42" s="19"/>
      <c r="D42" s="19"/>
      <c r="E42" s="3"/>
    </row>
    <row r="43">
      <c r="A43" s="3"/>
      <c r="B43" s="19"/>
      <c r="C43" s="19"/>
      <c r="D43" s="19"/>
      <c r="E43" s="3"/>
    </row>
    <row r="44">
      <c r="A44" s="3"/>
      <c r="B44" s="19"/>
      <c r="C44" s="19"/>
      <c r="D44" s="19"/>
      <c r="E44" s="3"/>
    </row>
    <row r="45">
      <c r="A45" s="3"/>
      <c r="B45" s="19"/>
      <c r="C45" s="19"/>
      <c r="D45" s="19"/>
      <c r="E45" s="3"/>
    </row>
    <row r="46">
      <c r="A46" s="3"/>
      <c r="B46" s="19"/>
      <c r="C46" s="19"/>
      <c r="D46" s="19"/>
      <c r="E46" s="3"/>
    </row>
    <row r="47">
      <c r="A47" s="3"/>
      <c r="B47" s="19"/>
      <c r="C47" s="19"/>
      <c r="D47" s="19"/>
      <c r="E47" s="3"/>
    </row>
    <row r="48">
      <c r="A48" s="3"/>
      <c r="B48" s="19"/>
      <c r="C48" s="19"/>
      <c r="D48" s="19"/>
      <c r="E48" s="3"/>
    </row>
    <row r="49">
      <c r="A49" s="3"/>
      <c r="B49" s="19"/>
      <c r="C49" s="19"/>
      <c r="D49" s="19"/>
      <c r="E49" s="3"/>
    </row>
    <row r="50">
      <c r="A50" s="3"/>
      <c r="B50" s="19"/>
      <c r="C50" s="19"/>
      <c r="D50" s="19"/>
      <c r="E50" s="3"/>
    </row>
    <row r="51">
      <c r="A51" s="3"/>
      <c r="B51" s="19"/>
      <c r="C51" s="19"/>
      <c r="D51" s="19"/>
      <c r="E51" s="3"/>
    </row>
    <row r="52">
      <c r="A52" s="3"/>
      <c r="B52" s="19"/>
      <c r="C52" s="19"/>
      <c r="D52" s="19"/>
      <c r="E52" s="3"/>
    </row>
    <row r="53">
      <c r="A53" s="3"/>
      <c r="B53" s="19"/>
      <c r="C53" s="19"/>
      <c r="D53" s="19"/>
      <c r="E53" s="3"/>
    </row>
    <row r="54">
      <c r="A54" s="3"/>
      <c r="B54" s="19"/>
      <c r="C54" s="19"/>
      <c r="D54" s="19"/>
      <c r="E54" s="3"/>
    </row>
    <row r="55">
      <c r="A55" s="3"/>
      <c r="B55" s="19"/>
      <c r="C55" s="19"/>
      <c r="D55" s="19"/>
      <c r="E55" s="3"/>
    </row>
    <row r="56">
      <c r="A56" s="3"/>
      <c r="B56" s="19"/>
      <c r="C56" s="19"/>
      <c r="D56" s="19"/>
      <c r="E56" s="3"/>
    </row>
    <row r="57">
      <c r="A57" s="3"/>
      <c r="B57" s="19"/>
      <c r="C57" s="19"/>
      <c r="D57" s="19"/>
      <c r="E57" s="3"/>
    </row>
    <row r="58">
      <c r="A58" s="3"/>
      <c r="B58" s="19"/>
      <c r="C58" s="19"/>
      <c r="D58" s="19"/>
      <c r="E58" s="3"/>
    </row>
    <row r="59">
      <c r="A59" s="3"/>
      <c r="B59" s="19"/>
      <c r="C59" s="19"/>
      <c r="D59" s="19"/>
      <c r="E59" s="3"/>
    </row>
    <row r="60">
      <c r="A60" s="3"/>
      <c r="B60" s="19"/>
      <c r="C60" s="19"/>
      <c r="D60" s="19"/>
      <c r="E60" s="3"/>
    </row>
    <row r="61">
      <c r="A61" s="3"/>
      <c r="B61" s="19"/>
      <c r="C61" s="19"/>
      <c r="D61" s="19"/>
      <c r="E61" s="3"/>
    </row>
    <row r="62">
      <c r="A62" s="3"/>
      <c r="B62" s="19"/>
      <c r="C62" s="19"/>
      <c r="D62" s="19"/>
      <c r="E62" s="3"/>
    </row>
    <row r="63">
      <c r="A63" s="3"/>
      <c r="B63" s="19"/>
      <c r="C63" s="19"/>
      <c r="D63" s="19"/>
      <c r="E63" s="3"/>
    </row>
    <row r="64">
      <c r="A64" s="3"/>
      <c r="B64" s="19"/>
      <c r="C64" s="19"/>
      <c r="D64" s="19"/>
      <c r="E64" s="3"/>
    </row>
    <row r="65">
      <c r="A65" s="3"/>
      <c r="B65" s="19"/>
      <c r="C65" s="19"/>
      <c r="D65" s="19"/>
      <c r="E65" s="3"/>
    </row>
    <row r="66">
      <c r="A66" s="3"/>
      <c r="B66" s="19"/>
      <c r="C66" s="19"/>
      <c r="D66" s="19"/>
      <c r="E66" s="3"/>
    </row>
    <row r="67">
      <c r="A67" s="3"/>
      <c r="B67" s="19"/>
      <c r="C67" s="19"/>
      <c r="D67" s="19"/>
      <c r="E67" s="3"/>
    </row>
    <row r="68">
      <c r="A68" s="3"/>
      <c r="B68" s="19"/>
      <c r="C68" s="19"/>
      <c r="D68" s="19"/>
      <c r="E68" s="3"/>
    </row>
    <row r="69">
      <c r="A69" s="3"/>
      <c r="B69" s="19"/>
      <c r="C69" s="19"/>
      <c r="D69" s="19"/>
      <c r="E69" s="3"/>
    </row>
    <row r="70">
      <c r="A70" s="3"/>
      <c r="B70" s="19"/>
      <c r="C70" s="19"/>
      <c r="D70" s="19"/>
      <c r="E70" s="3"/>
    </row>
    <row r="71">
      <c r="A71" s="3"/>
      <c r="B71" s="19"/>
      <c r="C71" s="19"/>
      <c r="D71" s="19"/>
      <c r="E71" s="3"/>
    </row>
    <row r="72">
      <c r="A72" s="3"/>
      <c r="B72" s="19"/>
      <c r="C72" s="19"/>
      <c r="D72" s="19"/>
      <c r="E72" s="3"/>
    </row>
    <row r="73">
      <c r="A73" s="3"/>
      <c r="B73" s="19"/>
      <c r="C73" s="19"/>
      <c r="D73" s="19"/>
      <c r="E73" s="3"/>
    </row>
    <row r="74">
      <c r="A74" s="3"/>
      <c r="B74" s="19"/>
      <c r="C74" s="19"/>
      <c r="D74" s="19"/>
      <c r="E74" s="3"/>
    </row>
    <row r="75">
      <c r="A75" s="3"/>
      <c r="B75" s="19"/>
      <c r="C75" s="19"/>
      <c r="D75" s="19"/>
      <c r="E75" s="3"/>
    </row>
    <row r="76">
      <c r="A76" s="3"/>
      <c r="B76" s="19"/>
      <c r="C76" s="19"/>
      <c r="D76" s="19"/>
      <c r="E76" s="3"/>
    </row>
    <row r="77">
      <c r="A77" s="3"/>
      <c r="B77" s="19"/>
      <c r="C77" s="19"/>
      <c r="D77" s="19"/>
      <c r="E77" s="3"/>
    </row>
    <row r="78">
      <c r="A78" s="3"/>
      <c r="B78" s="19"/>
      <c r="C78" s="19"/>
      <c r="D78" s="19"/>
      <c r="E78" s="3"/>
    </row>
    <row r="79">
      <c r="A79" s="3"/>
      <c r="B79" s="19"/>
      <c r="C79" s="19"/>
      <c r="D79" s="19"/>
      <c r="E79" s="3"/>
    </row>
    <row r="80">
      <c r="A80" s="3"/>
      <c r="B80" s="19"/>
      <c r="C80" s="19"/>
      <c r="D80" s="19"/>
      <c r="E80" s="3"/>
    </row>
    <row r="81">
      <c r="A81" s="3"/>
      <c r="B81" s="19"/>
      <c r="C81" s="19"/>
      <c r="D81" s="19"/>
      <c r="E81" s="3"/>
    </row>
    <row r="82">
      <c r="A82" s="3"/>
      <c r="B82" s="19"/>
      <c r="C82" s="19"/>
      <c r="D82" s="19"/>
      <c r="E82" s="3"/>
    </row>
    <row r="83">
      <c r="A83" s="3"/>
      <c r="B83" s="19"/>
      <c r="C83" s="19"/>
      <c r="D83" s="19"/>
      <c r="E83" s="3"/>
    </row>
    <row r="84">
      <c r="A84" s="3"/>
      <c r="B84" s="19"/>
      <c r="C84" s="19"/>
      <c r="D84" s="19"/>
      <c r="E84" s="3"/>
    </row>
    <row r="85">
      <c r="A85" s="3"/>
      <c r="B85" s="19"/>
      <c r="C85" s="19"/>
      <c r="D85" s="19"/>
      <c r="E85" s="3"/>
    </row>
    <row r="86">
      <c r="A86" s="3"/>
      <c r="B86" s="19"/>
      <c r="C86" s="19"/>
      <c r="D86" s="19"/>
      <c r="E86" s="3"/>
    </row>
    <row r="87">
      <c r="A87" s="3"/>
      <c r="B87" s="19"/>
      <c r="C87" s="19"/>
      <c r="D87" s="19"/>
      <c r="E87" s="3"/>
    </row>
    <row r="88">
      <c r="A88" s="3"/>
      <c r="B88" s="19"/>
      <c r="C88" s="19"/>
      <c r="D88" s="19"/>
      <c r="E88" s="3"/>
    </row>
    <row r="89">
      <c r="A89" s="3"/>
      <c r="B89" s="19"/>
      <c r="C89" s="19"/>
      <c r="D89" s="19"/>
      <c r="E89" s="3"/>
    </row>
    <row r="90">
      <c r="A90" s="3"/>
      <c r="B90" s="19"/>
      <c r="C90" s="19"/>
      <c r="D90" s="19"/>
      <c r="E90" s="3"/>
    </row>
    <row r="91">
      <c r="A91" s="3"/>
      <c r="B91" s="19"/>
      <c r="C91" s="19"/>
      <c r="D91" s="19"/>
      <c r="E91" s="3"/>
    </row>
    <row r="92">
      <c r="A92" s="3"/>
      <c r="B92" s="19"/>
      <c r="C92" s="19"/>
      <c r="D92" s="19"/>
      <c r="E92" s="3"/>
    </row>
    <row r="93">
      <c r="A93" s="3"/>
      <c r="B93" s="19"/>
      <c r="C93" s="19"/>
      <c r="D93" s="19"/>
      <c r="E93" s="3"/>
    </row>
    <row r="94">
      <c r="A94" s="3"/>
      <c r="B94" s="19"/>
      <c r="C94" s="19"/>
      <c r="D94" s="19"/>
      <c r="E94" s="3"/>
    </row>
    <row r="95">
      <c r="A95" s="3"/>
      <c r="B95" s="19"/>
      <c r="C95" s="19"/>
      <c r="D95" s="19"/>
      <c r="E95" s="3"/>
    </row>
    <row r="96">
      <c r="A96" s="3"/>
      <c r="B96" s="19"/>
      <c r="C96" s="19"/>
      <c r="D96" s="19"/>
      <c r="E96" s="3"/>
    </row>
    <row r="97">
      <c r="A97" s="3"/>
      <c r="B97" s="19"/>
      <c r="C97" s="19"/>
      <c r="D97" s="19"/>
      <c r="E97" s="3"/>
    </row>
    <row r="98">
      <c r="A98" s="3"/>
      <c r="B98" s="19"/>
      <c r="C98" s="19"/>
      <c r="D98" s="19"/>
      <c r="E98" s="3"/>
    </row>
    <row r="99">
      <c r="A99" s="3"/>
      <c r="B99" s="19"/>
      <c r="C99" s="19"/>
      <c r="D99" s="19"/>
      <c r="E99" s="3"/>
    </row>
    <row r="100">
      <c r="A100" s="3"/>
      <c r="B100" s="19"/>
      <c r="C100" s="19"/>
      <c r="D100" s="19"/>
      <c r="E100" s="3"/>
    </row>
    <row r="101">
      <c r="A101" s="3"/>
      <c r="B101" s="19"/>
      <c r="C101" s="19"/>
      <c r="D101" s="19"/>
      <c r="E101" s="3"/>
    </row>
    <row r="102">
      <c r="A102" s="3"/>
      <c r="B102" s="19"/>
      <c r="C102" s="19"/>
      <c r="D102" s="19"/>
      <c r="E102" s="3"/>
    </row>
    <row r="103">
      <c r="A103" s="3"/>
      <c r="B103" s="19"/>
      <c r="C103" s="19"/>
      <c r="D103" s="19"/>
      <c r="E103" s="3"/>
    </row>
    <row r="104">
      <c r="A104" s="3"/>
      <c r="B104" s="19"/>
      <c r="C104" s="19"/>
      <c r="D104" s="19"/>
      <c r="E104" s="3"/>
    </row>
    <row r="105">
      <c r="A105" s="3"/>
      <c r="B105" s="19"/>
      <c r="C105" s="19"/>
      <c r="D105" s="19"/>
      <c r="E105" s="3"/>
    </row>
    <row r="106">
      <c r="A106" s="3"/>
      <c r="B106" s="19"/>
      <c r="C106" s="19"/>
      <c r="D106" s="19"/>
      <c r="E106" s="3"/>
    </row>
    <row r="107">
      <c r="A107" s="3"/>
      <c r="B107" s="19"/>
      <c r="C107" s="19"/>
      <c r="D107" s="19"/>
      <c r="E107" s="3"/>
    </row>
    <row r="108">
      <c r="A108" s="3"/>
      <c r="B108" s="19"/>
      <c r="C108" s="19"/>
      <c r="D108" s="19"/>
      <c r="E108" s="3"/>
    </row>
    <row r="109">
      <c r="A109" s="3"/>
      <c r="B109" s="19"/>
      <c r="C109" s="19"/>
      <c r="D109" s="19"/>
      <c r="E109" s="3"/>
    </row>
    <row r="110">
      <c r="A110" s="3"/>
      <c r="B110" s="19"/>
      <c r="C110" s="19"/>
      <c r="D110" s="19"/>
      <c r="E110" s="3"/>
    </row>
    <row r="111">
      <c r="A111" s="3"/>
      <c r="B111" s="19"/>
      <c r="C111" s="19"/>
      <c r="D111" s="19"/>
      <c r="E111" s="3"/>
    </row>
    <row r="112">
      <c r="A112" s="3"/>
      <c r="B112" s="19"/>
      <c r="C112" s="19"/>
      <c r="D112" s="19"/>
      <c r="E112" s="3"/>
    </row>
    <row r="113">
      <c r="A113" s="3"/>
      <c r="B113" s="19"/>
      <c r="C113" s="19"/>
      <c r="D113" s="19"/>
      <c r="E113" s="3"/>
    </row>
    <row r="114">
      <c r="A114" s="3"/>
      <c r="B114" s="19"/>
      <c r="C114" s="19"/>
      <c r="D114" s="19"/>
      <c r="E114" s="3"/>
    </row>
    <row r="115">
      <c r="A115" s="3"/>
      <c r="B115" s="19"/>
      <c r="C115" s="19"/>
      <c r="D115" s="19"/>
      <c r="E115" s="3"/>
    </row>
    <row r="116">
      <c r="A116" s="3"/>
      <c r="B116" s="19"/>
      <c r="C116" s="19"/>
      <c r="D116" s="19"/>
      <c r="E116" s="3"/>
    </row>
    <row r="117">
      <c r="A117" s="3"/>
      <c r="B117" s="19"/>
      <c r="C117" s="19"/>
      <c r="D117" s="19"/>
      <c r="E117" s="3"/>
    </row>
    <row r="118">
      <c r="A118" s="3"/>
      <c r="B118" s="19"/>
      <c r="C118" s="19"/>
      <c r="D118" s="19"/>
      <c r="E118" s="3"/>
    </row>
    <row r="119">
      <c r="A119" s="3"/>
      <c r="B119" s="19"/>
      <c r="C119" s="19"/>
      <c r="D119" s="19"/>
      <c r="E119" s="3"/>
    </row>
    <row r="120">
      <c r="A120" s="3"/>
      <c r="B120" s="19"/>
      <c r="C120" s="19"/>
      <c r="D120" s="19"/>
      <c r="E120" s="3"/>
    </row>
    <row r="121">
      <c r="A121" s="3"/>
      <c r="B121" s="19"/>
      <c r="C121" s="19"/>
      <c r="D121" s="19"/>
      <c r="E121" s="3"/>
    </row>
    <row r="122">
      <c r="A122" s="3"/>
      <c r="B122" s="19"/>
      <c r="C122" s="19"/>
      <c r="D122" s="19"/>
      <c r="E122" s="3"/>
    </row>
    <row r="123">
      <c r="A123" s="3"/>
      <c r="B123" s="19"/>
      <c r="C123" s="19"/>
      <c r="D123" s="19"/>
      <c r="E123" s="3"/>
    </row>
    <row r="124">
      <c r="A124" s="3"/>
      <c r="B124" s="19"/>
      <c r="C124" s="19"/>
      <c r="D124" s="19"/>
      <c r="E124" s="3"/>
    </row>
    <row r="125">
      <c r="A125" s="3"/>
      <c r="B125" s="19"/>
      <c r="C125" s="19"/>
      <c r="D125" s="19"/>
      <c r="E125" s="3"/>
    </row>
    <row r="126">
      <c r="A126" s="3"/>
      <c r="B126" s="19"/>
      <c r="C126" s="19"/>
      <c r="D126" s="19"/>
      <c r="E126" s="3"/>
    </row>
    <row r="127">
      <c r="A127" s="3"/>
      <c r="B127" s="19"/>
      <c r="C127" s="19"/>
      <c r="D127" s="19"/>
      <c r="E127" s="3"/>
    </row>
    <row r="128">
      <c r="A128" s="3"/>
      <c r="B128" s="19"/>
      <c r="C128" s="19"/>
      <c r="D128" s="19"/>
      <c r="E128" s="3"/>
    </row>
    <row r="129">
      <c r="A129" s="3"/>
      <c r="B129" s="19"/>
      <c r="C129" s="19"/>
      <c r="D129" s="19"/>
      <c r="E129" s="3"/>
    </row>
    <row r="130">
      <c r="A130" s="3"/>
      <c r="B130" s="19"/>
      <c r="C130" s="19"/>
      <c r="D130" s="19"/>
      <c r="E130" s="3"/>
    </row>
    <row r="131">
      <c r="A131" s="3"/>
      <c r="B131" s="19"/>
      <c r="C131" s="19"/>
      <c r="D131" s="19"/>
      <c r="E131" s="3"/>
    </row>
    <row r="132">
      <c r="A132" s="3"/>
      <c r="B132" s="19"/>
      <c r="C132" s="19"/>
      <c r="D132" s="19"/>
      <c r="E132" s="3"/>
    </row>
    <row r="133">
      <c r="A133" s="3"/>
      <c r="B133" s="19"/>
      <c r="C133" s="19"/>
      <c r="D133" s="19"/>
      <c r="E133" s="3"/>
    </row>
    <row r="134">
      <c r="A134" s="3"/>
      <c r="B134" s="19"/>
      <c r="C134" s="19"/>
      <c r="D134" s="19"/>
      <c r="E134" s="3"/>
    </row>
    <row r="135">
      <c r="A135" s="3"/>
      <c r="B135" s="19"/>
      <c r="C135" s="19"/>
      <c r="D135" s="19"/>
      <c r="E135" s="3"/>
    </row>
    <row r="136">
      <c r="A136" s="3"/>
      <c r="B136" s="19"/>
      <c r="C136" s="19"/>
      <c r="D136" s="19"/>
      <c r="E136" s="3"/>
    </row>
    <row r="137">
      <c r="A137" s="3"/>
      <c r="B137" s="19"/>
      <c r="C137" s="19"/>
      <c r="D137" s="19"/>
      <c r="E137" s="3"/>
    </row>
    <row r="138">
      <c r="A138" s="3"/>
      <c r="B138" s="19"/>
      <c r="C138" s="19"/>
      <c r="D138" s="19"/>
      <c r="E138" s="3"/>
    </row>
    <row r="139">
      <c r="A139" s="3"/>
      <c r="B139" s="19"/>
      <c r="C139" s="19"/>
      <c r="D139" s="19"/>
      <c r="E139" s="3"/>
    </row>
    <row r="140">
      <c r="A140" s="3"/>
      <c r="B140" s="19"/>
      <c r="C140" s="19"/>
      <c r="D140" s="19"/>
      <c r="E140" s="3"/>
    </row>
    <row r="141">
      <c r="A141" s="3"/>
      <c r="B141" s="19"/>
      <c r="C141" s="19"/>
      <c r="D141" s="19"/>
      <c r="E141" s="3"/>
    </row>
    <row r="142">
      <c r="A142" s="3"/>
      <c r="B142" s="19"/>
      <c r="C142" s="19"/>
      <c r="D142" s="19"/>
      <c r="E142" s="3"/>
    </row>
    <row r="143">
      <c r="A143" s="3"/>
      <c r="B143" s="19"/>
      <c r="C143" s="19"/>
      <c r="D143" s="19"/>
      <c r="E143" s="3"/>
    </row>
    <row r="144">
      <c r="A144" s="3"/>
      <c r="B144" s="19"/>
      <c r="C144" s="19"/>
      <c r="D144" s="19"/>
      <c r="E144" s="3"/>
    </row>
    <row r="145">
      <c r="A145" s="3"/>
      <c r="B145" s="19"/>
      <c r="C145" s="19"/>
      <c r="D145" s="19"/>
      <c r="E145" s="3"/>
    </row>
    <row r="146">
      <c r="A146" s="3"/>
      <c r="B146" s="19"/>
      <c r="C146" s="19"/>
      <c r="D146" s="19"/>
      <c r="E146" s="3"/>
    </row>
    <row r="147">
      <c r="A147" s="3"/>
      <c r="B147" s="19"/>
      <c r="C147" s="19"/>
      <c r="D147" s="19"/>
      <c r="E147" s="3"/>
    </row>
    <row r="148">
      <c r="A148" s="3"/>
      <c r="B148" s="19"/>
      <c r="C148" s="19"/>
      <c r="D148" s="19"/>
      <c r="E148" s="3"/>
    </row>
    <row r="149">
      <c r="A149" s="3"/>
      <c r="B149" s="19"/>
      <c r="C149" s="19"/>
      <c r="D149" s="19"/>
      <c r="E149" s="3"/>
    </row>
    <row r="150">
      <c r="A150" s="3"/>
      <c r="B150" s="19"/>
      <c r="C150" s="19"/>
      <c r="D150" s="19"/>
      <c r="E150" s="3"/>
    </row>
    <row r="151">
      <c r="A151" s="3"/>
      <c r="B151" s="19"/>
      <c r="C151" s="19"/>
      <c r="D151" s="19"/>
      <c r="E151" s="3"/>
    </row>
    <row r="152">
      <c r="A152" s="3"/>
      <c r="B152" s="19"/>
      <c r="C152" s="19"/>
      <c r="D152" s="19"/>
      <c r="E152" s="3"/>
    </row>
    <row r="153">
      <c r="A153" s="3"/>
      <c r="B153" s="19"/>
      <c r="C153" s="19"/>
      <c r="D153" s="19"/>
      <c r="E153" s="3"/>
    </row>
    <row r="154">
      <c r="A154" s="3"/>
      <c r="B154" s="19"/>
      <c r="C154" s="19"/>
      <c r="D154" s="19"/>
      <c r="E154" s="3"/>
    </row>
    <row r="155">
      <c r="A155" s="3"/>
      <c r="B155" s="19"/>
      <c r="C155" s="19"/>
      <c r="D155" s="19"/>
      <c r="E155" s="3"/>
    </row>
    <row r="156">
      <c r="A156" s="3"/>
      <c r="B156" s="19"/>
      <c r="C156" s="19"/>
      <c r="D156" s="19"/>
      <c r="E156" s="3"/>
    </row>
    <row r="157">
      <c r="A157" s="3"/>
      <c r="B157" s="19"/>
      <c r="C157" s="19"/>
      <c r="D157" s="19"/>
      <c r="E157" s="3"/>
    </row>
    <row r="158">
      <c r="A158" s="3"/>
      <c r="B158" s="19"/>
      <c r="C158" s="19"/>
      <c r="D158" s="19"/>
      <c r="E158" s="3"/>
    </row>
    <row r="159">
      <c r="A159" s="3"/>
      <c r="B159" s="19"/>
      <c r="C159" s="19"/>
      <c r="D159" s="19"/>
      <c r="E159" s="3"/>
    </row>
    <row r="160">
      <c r="A160" s="3"/>
      <c r="B160" s="19"/>
      <c r="C160" s="19"/>
      <c r="D160" s="19"/>
      <c r="E160" s="3"/>
    </row>
    <row r="161">
      <c r="A161" s="3"/>
      <c r="B161" s="19"/>
      <c r="C161" s="19"/>
      <c r="D161" s="19"/>
      <c r="E161" s="3"/>
    </row>
    <row r="162">
      <c r="A162" s="3"/>
      <c r="B162" s="19"/>
      <c r="C162" s="19"/>
      <c r="D162" s="19"/>
      <c r="E162" s="3"/>
    </row>
    <row r="163">
      <c r="A163" s="3"/>
      <c r="B163" s="19"/>
      <c r="C163" s="19"/>
      <c r="D163" s="19"/>
      <c r="E163" s="3"/>
    </row>
    <row r="164">
      <c r="A164" s="3"/>
      <c r="B164" s="19"/>
      <c r="C164" s="19"/>
      <c r="D164" s="19"/>
      <c r="E164" s="3"/>
    </row>
    <row r="165">
      <c r="A165" s="3"/>
      <c r="B165" s="19"/>
      <c r="C165" s="19"/>
      <c r="D165" s="19"/>
      <c r="E165" s="3"/>
    </row>
    <row r="166">
      <c r="A166" s="3"/>
      <c r="B166" s="19"/>
      <c r="C166" s="19"/>
      <c r="D166" s="19"/>
      <c r="E166" s="3"/>
    </row>
    <row r="167">
      <c r="A167" s="3"/>
      <c r="B167" s="19"/>
      <c r="C167" s="19"/>
      <c r="D167" s="19"/>
      <c r="E167" s="3"/>
    </row>
    <row r="168">
      <c r="A168" s="3"/>
      <c r="B168" s="19"/>
      <c r="C168" s="19"/>
      <c r="D168" s="19"/>
      <c r="E168" s="3"/>
    </row>
    <row r="169">
      <c r="A169" s="3"/>
      <c r="B169" s="19"/>
      <c r="C169" s="19"/>
      <c r="D169" s="19"/>
      <c r="E169" s="3"/>
    </row>
    <row r="170">
      <c r="A170" s="3"/>
      <c r="B170" s="19"/>
      <c r="C170" s="19"/>
      <c r="D170" s="19"/>
      <c r="E170" s="3"/>
    </row>
    <row r="171">
      <c r="A171" s="3"/>
      <c r="B171" s="19"/>
      <c r="C171" s="19"/>
      <c r="D171" s="19"/>
      <c r="E171" s="3"/>
    </row>
    <row r="172">
      <c r="A172" s="3"/>
      <c r="B172" s="19"/>
      <c r="C172" s="19"/>
      <c r="D172" s="19"/>
      <c r="E172" s="3"/>
    </row>
    <row r="173">
      <c r="A173" s="3"/>
      <c r="B173" s="19"/>
      <c r="C173" s="19"/>
      <c r="D173" s="19"/>
      <c r="E173" s="3"/>
    </row>
    <row r="174">
      <c r="A174" s="3"/>
      <c r="B174" s="19"/>
      <c r="C174" s="19"/>
      <c r="D174" s="19"/>
      <c r="E174" s="3"/>
    </row>
    <row r="175">
      <c r="A175" s="3"/>
      <c r="B175" s="19"/>
      <c r="C175" s="19"/>
      <c r="D175" s="19"/>
      <c r="E175" s="3"/>
    </row>
    <row r="176">
      <c r="A176" s="3"/>
      <c r="B176" s="19"/>
      <c r="C176" s="19"/>
      <c r="D176" s="19"/>
      <c r="E176" s="3"/>
    </row>
    <row r="177">
      <c r="A177" s="3"/>
      <c r="B177" s="19"/>
      <c r="C177" s="19"/>
      <c r="D177" s="19"/>
      <c r="E177" s="3"/>
    </row>
    <row r="178">
      <c r="A178" s="3"/>
      <c r="B178" s="19"/>
      <c r="C178" s="19"/>
      <c r="D178" s="19"/>
      <c r="E178" s="3"/>
    </row>
    <row r="179">
      <c r="A179" s="3"/>
      <c r="B179" s="19"/>
      <c r="C179" s="19"/>
      <c r="D179" s="19"/>
      <c r="E179" s="3"/>
    </row>
    <row r="180">
      <c r="A180" s="3"/>
      <c r="B180" s="19"/>
      <c r="C180" s="19"/>
      <c r="D180" s="19"/>
      <c r="E180" s="3"/>
    </row>
    <row r="181">
      <c r="A181" s="3"/>
      <c r="B181" s="19"/>
      <c r="C181" s="19"/>
      <c r="D181" s="19"/>
      <c r="E181" s="3"/>
    </row>
    <row r="182">
      <c r="A182" s="3"/>
      <c r="B182" s="19"/>
      <c r="C182" s="19"/>
      <c r="D182" s="19"/>
      <c r="E182" s="3"/>
    </row>
    <row r="183">
      <c r="A183" s="3"/>
      <c r="B183" s="19"/>
      <c r="C183" s="19"/>
      <c r="D183" s="19"/>
      <c r="E183" s="3"/>
    </row>
    <row r="184">
      <c r="A184" s="3"/>
      <c r="B184" s="19"/>
      <c r="C184" s="19"/>
      <c r="D184" s="19"/>
      <c r="E184" s="3"/>
    </row>
    <row r="185">
      <c r="A185" s="3"/>
      <c r="B185" s="19"/>
      <c r="C185" s="19"/>
      <c r="D185" s="19"/>
      <c r="E185" s="3"/>
    </row>
    <row r="186">
      <c r="A186" s="3"/>
      <c r="B186" s="19"/>
      <c r="C186" s="19"/>
      <c r="D186" s="19"/>
      <c r="E186" s="3"/>
    </row>
    <row r="187">
      <c r="A187" s="3"/>
      <c r="B187" s="19"/>
      <c r="C187" s="19"/>
      <c r="D187" s="19"/>
      <c r="E187" s="3"/>
    </row>
    <row r="188">
      <c r="A188" s="3"/>
      <c r="B188" s="19"/>
      <c r="C188" s="19"/>
      <c r="D188" s="19"/>
      <c r="E188" s="3"/>
    </row>
    <row r="189">
      <c r="A189" s="3"/>
      <c r="B189" s="19"/>
      <c r="C189" s="19"/>
      <c r="D189" s="19"/>
      <c r="E189" s="3"/>
    </row>
    <row r="190">
      <c r="A190" s="3"/>
      <c r="B190" s="19"/>
      <c r="C190" s="19"/>
      <c r="D190" s="19"/>
      <c r="E190" s="3"/>
    </row>
    <row r="191">
      <c r="A191" s="3"/>
      <c r="B191" s="19"/>
      <c r="C191" s="19"/>
      <c r="D191" s="19"/>
      <c r="E191" s="3"/>
    </row>
    <row r="192">
      <c r="A192" s="3"/>
      <c r="B192" s="19"/>
      <c r="C192" s="19"/>
      <c r="D192" s="19"/>
      <c r="E192" s="3"/>
    </row>
    <row r="193">
      <c r="A193" s="3"/>
      <c r="B193" s="19"/>
      <c r="C193" s="19"/>
      <c r="D193" s="19"/>
      <c r="E193" s="3"/>
    </row>
    <row r="194">
      <c r="A194" s="3"/>
      <c r="B194" s="19"/>
      <c r="C194" s="19"/>
      <c r="D194" s="19"/>
      <c r="E194" s="3"/>
    </row>
    <row r="195">
      <c r="A195" s="3"/>
      <c r="B195" s="19"/>
      <c r="C195" s="19"/>
      <c r="D195" s="19"/>
      <c r="E195" s="3"/>
    </row>
    <row r="196">
      <c r="A196" s="3"/>
      <c r="B196" s="19"/>
      <c r="C196" s="19"/>
      <c r="D196" s="19"/>
      <c r="E196" s="3"/>
    </row>
    <row r="197">
      <c r="A197" s="3"/>
      <c r="B197" s="19"/>
      <c r="C197" s="19"/>
      <c r="D197" s="19"/>
      <c r="E197" s="3"/>
    </row>
    <row r="198">
      <c r="A198" s="3"/>
      <c r="B198" s="19"/>
      <c r="C198" s="19"/>
      <c r="D198" s="19"/>
      <c r="E198" s="3"/>
    </row>
    <row r="199">
      <c r="A199" s="3"/>
      <c r="B199" s="19"/>
      <c r="C199" s="19"/>
      <c r="D199" s="19"/>
      <c r="E199" s="3"/>
    </row>
    <row r="200">
      <c r="A200" s="3"/>
      <c r="B200" s="19"/>
      <c r="C200" s="19"/>
      <c r="D200" s="19"/>
      <c r="E200" s="3"/>
    </row>
    <row r="201">
      <c r="A201" s="3"/>
      <c r="B201" s="19"/>
      <c r="C201" s="19"/>
      <c r="D201" s="19"/>
      <c r="E201" s="3"/>
    </row>
    <row r="202">
      <c r="A202" s="3"/>
      <c r="B202" s="19"/>
      <c r="C202" s="19"/>
      <c r="D202" s="19"/>
      <c r="E202" s="3"/>
    </row>
    <row r="203">
      <c r="A203" s="3"/>
      <c r="B203" s="19"/>
      <c r="C203" s="19"/>
      <c r="D203" s="19"/>
      <c r="E203" s="3"/>
    </row>
    <row r="204">
      <c r="A204" s="3"/>
      <c r="B204" s="19"/>
      <c r="C204" s="19"/>
      <c r="D204" s="19"/>
      <c r="E204" s="3"/>
    </row>
    <row r="205">
      <c r="A205" s="3"/>
      <c r="B205" s="19"/>
      <c r="C205" s="19"/>
      <c r="D205" s="19"/>
      <c r="E205" s="3"/>
    </row>
    <row r="206">
      <c r="A206" s="3"/>
      <c r="B206" s="19"/>
      <c r="C206" s="19"/>
      <c r="D206" s="19"/>
      <c r="E206" s="3"/>
    </row>
    <row r="207">
      <c r="A207" s="3"/>
      <c r="B207" s="19"/>
      <c r="C207" s="19"/>
      <c r="D207" s="19"/>
      <c r="E207" s="3"/>
    </row>
    <row r="208">
      <c r="A208" s="3"/>
      <c r="B208" s="19"/>
      <c r="C208" s="19"/>
      <c r="D208" s="19"/>
      <c r="E208" s="3"/>
    </row>
    <row r="209">
      <c r="A209" s="3"/>
      <c r="B209" s="19"/>
      <c r="C209" s="19"/>
      <c r="D209" s="19"/>
      <c r="E209" s="3"/>
    </row>
    <row r="210">
      <c r="A210" s="3"/>
      <c r="B210" s="19"/>
      <c r="C210" s="19"/>
      <c r="D210" s="19"/>
      <c r="E210" s="3"/>
    </row>
    <row r="211">
      <c r="A211" s="3"/>
      <c r="B211" s="19"/>
      <c r="C211" s="19"/>
      <c r="D211" s="19"/>
      <c r="E211" s="3"/>
    </row>
    <row r="212">
      <c r="A212" s="3"/>
      <c r="B212" s="19"/>
      <c r="C212" s="19"/>
      <c r="D212" s="19"/>
      <c r="E212" s="3"/>
    </row>
    <row r="213">
      <c r="A213" s="3"/>
      <c r="B213" s="19"/>
      <c r="C213" s="19"/>
      <c r="D213" s="19"/>
      <c r="E213" s="3"/>
    </row>
    <row r="214">
      <c r="A214" s="3"/>
      <c r="B214" s="19"/>
      <c r="C214" s="19"/>
      <c r="D214" s="19"/>
      <c r="E214" s="3"/>
    </row>
    <row r="215">
      <c r="A215" s="3"/>
      <c r="B215" s="19"/>
      <c r="C215" s="19"/>
      <c r="D215" s="19"/>
      <c r="E215" s="3"/>
    </row>
    <row r="216">
      <c r="A216" s="3"/>
      <c r="B216" s="19"/>
      <c r="C216" s="19"/>
      <c r="D216" s="19"/>
      <c r="E216" s="3"/>
    </row>
    <row r="217">
      <c r="A217" s="3"/>
      <c r="B217" s="19"/>
      <c r="C217" s="19"/>
      <c r="D217" s="19"/>
      <c r="E217" s="3"/>
    </row>
    <row r="218">
      <c r="A218" s="3"/>
      <c r="B218" s="19"/>
      <c r="C218" s="19"/>
      <c r="D218" s="19"/>
      <c r="E218" s="3"/>
    </row>
    <row r="219">
      <c r="A219" s="3"/>
      <c r="B219" s="19"/>
      <c r="C219" s="19"/>
      <c r="D219" s="19"/>
      <c r="E219" s="3"/>
    </row>
    <row r="220">
      <c r="A220" s="3"/>
      <c r="B220" s="19"/>
      <c r="C220" s="19"/>
      <c r="D220" s="19"/>
      <c r="E220" s="3"/>
    </row>
    <row r="221">
      <c r="A221" s="3"/>
      <c r="B221" s="19"/>
      <c r="C221" s="19"/>
      <c r="D221" s="19"/>
      <c r="E221" s="3"/>
    </row>
    <row r="222">
      <c r="A222" s="3"/>
      <c r="B222" s="19"/>
      <c r="C222" s="19"/>
      <c r="D222" s="19"/>
      <c r="E222" s="3"/>
    </row>
    <row r="223">
      <c r="A223" s="3"/>
      <c r="B223" s="19"/>
      <c r="C223" s="19"/>
      <c r="D223" s="19"/>
      <c r="E223" s="3"/>
    </row>
    <row r="224">
      <c r="A224" s="3"/>
      <c r="B224" s="19"/>
      <c r="C224" s="19"/>
      <c r="D224" s="19"/>
      <c r="E224" s="3"/>
    </row>
    <row r="225">
      <c r="A225" s="3"/>
      <c r="B225" s="19"/>
      <c r="C225" s="19"/>
      <c r="D225" s="19"/>
      <c r="E225" s="3"/>
    </row>
    <row r="226">
      <c r="A226" s="3"/>
      <c r="B226" s="19"/>
      <c r="C226" s="19"/>
      <c r="D226" s="19"/>
      <c r="E226" s="3"/>
    </row>
    <row r="227">
      <c r="A227" s="3"/>
      <c r="B227" s="19"/>
      <c r="C227" s="19"/>
      <c r="D227" s="19"/>
      <c r="E227" s="3"/>
    </row>
    <row r="228">
      <c r="A228" s="3"/>
      <c r="B228" s="19"/>
      <c r="C228" s="19"/>
      <c r="D228" s="19"/>
      <c r="E228" s="3"/>
    </row>
    <row r="229">
      <c r="A229" s="3"/>
      <c r="B229" s="19"/>
      <c r="C229" s="19"/>
      <c r="D229" s="19"/>
      <c r="E229" s="3"/>
    </row>
    <row r="230">
      <c r="A230" s="3"/>
      <c r="B230" s="19"/>
      <c r="C230" s="19"/>
      <c r="D230" s="19"/>
      <c r="E230" s="3"/>
    </row>
    <row r="231">
      <c r="A231" s="3"/>
      <c r="B231" s="19"/>
      <c r="C231" s="19"/>
      <c r="D231" s="19"/>
      <c r="E231" s="3"/>
    </row>
    <row r="232">
      <c r="A232" s="3"/>
      <c r="B232" s="19"/>
      <c r="C232" s="19"/>
      <c r="D232" s="19"/>
      <c r="E232" s="3"/>
    </row>
    <row r="233">
      <c r="A233" s="3"/>
      <c r="B233" s="19"/>
      <c r="C233" s="19"/>
      <c r="D233" s="19"/>
      <c r="E233" s="3"/>
    </row>
    <row r="234">
      <c r="A234" s="3"/>
      <c r="B234" s="19"/>
      <c r="C234" s="19"/>
      <c r="D234" s="19"/>
      <c r="E234" s="3"/>
    </row>
    <row r="235">
      <c r="A235" s="3"/>
      <c r="B235" s="19"/>
      <c r="C235" s="19"/>
      <c r="D235" s="19"/>
      <c r="E235" s="3"/>
    </row>
    <row r="236">
      <c r="A236" s="3"/>
      <c r="B236" s="19"/>
      <c r="C236" s="19"/>
      <c r="D236" s="19"/>
      <c r="E236" s="3"/>
    </row>
    <row r="237">
      <c r="A237" s="3"/>
      <c r="B237" s="19"/>
      <c r="C237" s="19"/>
      <c r="D237" s="19"/>
      <c r="E237" s="3"/>
    </row>
    <row r="238">
      <c r="A238" s="3"/>
      <c r="B238" s="19"/>
      <c r="C238" s="19"/>
      <c r="D238" s="19"/>
      <c r="E238" s="3"/>
    </row>
    <row r="239">
      <c r="A239" s="3"/>
      <c r="B239" s="19"/>
      <c r="C239" s="19"/>
      <c r="D239" s="19"/>
      <c r="E239" s="3"/>
    </row>
    <row r="240">
      <c r="A240" s="3"/>
      <c r="B240" s="19"/>
      <c r="C240" s="19"/>
      <c r="D240" s="19"/>
      <c r="E240" s="3"/>
    </row>
    <row r="241">
      <c r="A241" s="3"/>
      <c r="B241" s="19"/>
      <c r="C241" s="19"/>
      <c r="D241" s="19"/>
      <c r="E241" s="3"/>
    </row>
    <row r="242">
      <c r="A242" s="3"/>
      <c r="B242" s="19"/>
      <c r="C242" s="19"/>
      <c r="D242" s="19"/>
      <c r="E242" s="3"/>
    </row>
    <row r="243">
      <c r="A243" s="3"/>
      <c r="B243" s="19"/>
      <c r="C243" s="19"/>
      <c r="D243" s="19"/>
      <c r="E243" s="3"/>
    </row>
    <row r="244">
      <c r="A244" s="3"/>
      <c r="B244" s="19"/>
      <c r="C244" s="19"/>
      <c r="D244" s="19"/>
      <c r="E244" s="3"/>
    </row>
    <row r="245">
      <c r="A245" s="3"/>
      <c r="B245" s="19"/>
      <c r="C245" s="19"/>
      <c r="D245" s="19"/>
      <c r="E245" s="3"/>
    </row>
    <row r="246">
      <c r="A246" s="3"/>
      <c r="B246" s="19"/>
      <c r="C246" s="19"/>
      <c r="D246" s="19"/>
      <c r="E246" s="3"/>
    </row>
    <row r="247">
      <c r="A247" s="3"/>
      <c r="B247" s="19"/>
      <c r="C247" s="19"/>
      <c r="D247" s="19"/>
      <c r="E247" s="3"/>
    </row>
    <row r="248">
      <c r="A248" s="3"/>
      <c r="B248" s="19"/>
      <c r="C248" s="19"/>
      <c r="D248" s="19"/>
      <c r="E248" s="3"/>
    </row>
    <row r="249">
      <c r="A249" s="3"/>
      <c r="B249" s="19"/>
      <c r="C249" s="19"/>
      <c r="D249" s="19"/>
      <c r="E249" s="3"/>
    </row>
    <row r="250">
      <c r="A250" s="3"/>
      <c r="B250" s="19"/>
      <c r="C250" s="19"/>
      <c r="D250" s="19"/>
      <c r="E250" s="3"/>
    </row>
    <row r="251">
      <c r="A251" s="3"/>
      <c r="B251" s="19"/>
      <c r="C251" s="19"/>
      <c r="D251" s="19"/>
      <c r="E251" s="3"/>
    </row>
    <row r="252">
      <c r="A252" s="3"/>
      <c r="B252" s="19"/>
      <c r="C252" s="19"/>
      <c r="D252" s="19"/>
      <c r="E252" s="3"/>
    </row>
    <row r="253">
      <c r="A253" s="3"/>
      <c r="B253" s="19"/>
      <c r="C253" s="19"/>
      <c r="D253" s="19"/>
      <c r="E253" s="3"/>
    </row>
    <row r="254">
      <c r="A254" s="3"/>
      <c r="B254" s="19"/>
      <c r="C254" s="19"/>
      <c r="D254" s="19"/>
      <c r="E254" s="3"/>
    </row>
    <row r="255">
      <c r="A255" s="3"/>
      <c r="B255" s="19"/>
      <c r="C255" s="19"/>
      <c r="D255" s="19"/>
      <c r="E255" s="3"/>
    </row>
    <row r="256">
      <c r="A256" s="3"/>
      <c r="B256" s="19"/>
      <c r="C256" s="19"/>
      <c r="D256" s="19"/>
      <c r="E256" s="3"/>
    </row>
    <row r="257">
      <c r="A257" s="3"/>
      <c r="B257" s="19"/>
      <c r="C257" s="19"/>
      <c r="D257" s="19"/>
      <c r="E257" s="3"/>
    </row>
    <row r="258">
      <c r="A258" s="3"/>
      <c r="B258" s="19"/>
      <c r="C258" s="19"/>
      <c r="D258" s="19"/>
      <c r="E258" s="3"/>
    </row>
    <row r="259">
      <c r="A259" s="3"/>
      <c r="B259" s="19"/>
      <c r="C259" s="19"/>
      <c r="D259" s="19"/>
      <c r="E259" s="3"/>
    </row>
    <row r="260">
      <c r="A260" s="3"/>
      <c r="B260" s="19"/>
      <c r="C260" s="19"/>
      <c r="D260" s="19"/>
      <c r="E260" s="3"/>
    </row>
    <row r="261">
      <c r="A261" s="3"/>
      <c r="B261" s="19"/>
      <c r="C261" s="19"/>
      <c r="D261" s="19"/>
      <c r="E261" s="3"/>
    </row>
    <row r="262">
      <c r="A262" s="3"/>
      <c r="B262" s="19"/>
      <c r="C262" s="19"/>
      <c r="D262" s="19"/>
      <c r="E262" s="3"/>
    </row>
    <row r="263">
      <c r="A263" s="3"/>
      <c r="B263" s="19"/>
      <c r="C263" s="19"/>
      <c r="D263" s="19"/>
      <c r="E263" s="3"/>
    </row>
    <row r="264">
      <c r="A264" s="3"/>
      <c r="B264" s="19"/>
      <c r="C264" s="19"/>
      <c r="D264" s="19"/>
      <c r="E264" s="3"/>
    </row>
    <row r="265">
      <c r="A265" s="3"/>
      <c r="B265" s="19"/>
      <c r="C265" s="19"/>
      <c r="D265" s="19"/>
      <c r="E265" s="3"/>
    </row>
    <row r="266">
      <c r="A266" s="3"/>
      <c r="B266" s="19"/>
      <c r="C266" s="19"/>
      <c r="D266" s="19"/>
      <c r="E266" s="3"/>
    </row>
    <row r="267">
      <c r="A267" s="3"/>
      <c r="B267" s="19"/>
      <c r="C267" s="19"/>
      <c r="D267" s="19"/>
      <c r="E267" s="3"/>
    </row>
    <row r="268">
      <c r="A268" s="3"/>
      <c r="B268" s="19"/>
      <c r="C268" s="19"/>
      <c r="D268" s="19"/>
      <c r="E268" s="3"/>
    </row>
    <row r="269">
      <c r="A269" s="3"/>
      <c r="B269" s="19"/>
      <c r="C269" s="19"/>
      <c r="D269" s="19"/>
      <c r="E269" s="3"/>
    </row>
    <row r="270">
      <c r="A270" s="3"/>
      <c r="B270" s="19"/>
      <c r="C270" s="19"/>
      <c r="D270" s="19"/>
      <c r="E270" s="3"/>
    </row>
    <row r="271">
      <c r="A271" s="3"/>
      <c r="B271" s="19"/>
      <c r="C271" s="19"/>
      <c r="D271" s="19"/>
      <c r="E271" s="3"/>
    </row>
    <row r="272">
      <c r="A272" s="3"/>
      <c r="B272" s="19"/>
      <c r="C272" s="19"/>
      <c r="D272" s="19"/>
      <c r="E272" s="3"/>
    </row>
    <row r="273">
      <c r="A273" s="3"/>
      <c r="B273" s="19"/>
      <c r="C273" s="19"/>
      <c r="D273" s="19"/>
      <c r="E273" s="3"/>
    </row>
    <row r="274">
      <c r="A274" s="3"/>
      <c r="B274" s="19"/>
      <c r="C274" s="19"/>
      <c r="D274" s="19"/>
      <c r="E274" s="3"/>
    </row>
    <row r="275">
      <c r="A275" s="3"/>
      <c r="B275" s="19"/>
      <c r="C275" s="19"/>
      <c r="D275" s="19"/>
      <c r="E275" s="3"/>
    </row>
    <row r="276">
      <c r="A276" s="3"/>
      <c r="B276" s="19"/>
      <c r="C276" s="19"/>
      <c r="D276" s="19"/>
      <c r="E276" s="3"/>
    </row>
    <row r="277">
      <c r="A277" s="3"/>
      <c r="B277" s="19"/>
      <c r="C277" s="19"/>
      <c r="D277" s="19"/>
      <c r="E277" s="3"/>
    </row>
    <row r="278">
      <c r="A278" s="3"/>
      <c r="B278" s="19"/>
      <c r="C278" s="19"/>
      <c r="D278" s="19"/>
      <c r="E278" s="3"/>
    </row>
    <row r="279">
      <c r="A279" s="3"/>
      <c r="B279" s="19"/>
      <c r="C279" s="19"/>
      <c r="D279" s="19"/>
      <c r="E279" s="3"/>
    </row>
    <row r="280">
      <c r="A280" s="3"/>
      <c r="B280" s="19"/>
      <c r="C280" s="19"/>
      <c r="D280" s="19"/>
      <c r="E280" s="3"/>
    </row>
    <row r="281">
      <c r="A281" s="3"/>
      <c r="B281" s="19"/>
      <c r="C281" s="19"/>
      <c r="D281" s="19"/>
      <c r="E281" s="3"/>
    </row>
    <row r="282">
      <c r="A282" s="3"/>
      <c r="B282" s="19"/>
      <c r="C282" s="19"/>
      <c r="D282" s="19"/>
      <c r="E282" s="3"/>
    </row>
    <row r="283">
      <c r="A283" s="3"/>
      <c r="B283" s="19"/>
      <c r="C283" s="19"/>
      <c r="D283" s="19"/>
      <c r="E283" s="3"/>
    </row>
    <row r="284">
      <c r="A284" s="3"/>
      <c r="B284" s="19"/>
      <c r="C284" s="19"/>
      <c r="D284" s="19"/>
      <c r="E284" s="3"/>
    </row>
    <row r="285">
      <c r="A285" s="3"/>
      <c r="B285" s="19"/>
      <c r="C285" s="19"/>
      <c r="D285" s="19"/>
      <c r="E285" s="3"/>
    </row>
    <row r="286">
      <c r="A286" s="3"/>
      <c r="B286" s="19"/>
      <c r="C286" s="19"/>
      <c r="D286" s="19"/>
      <c r="E286" s="3"/>
    </row>
    <row r="287">
      <c r="A287" s="3"/>
      <c r="B287" s="19"/>
      <c r="C287" s="19"/>
      <c r="D287" s="19"/>
      <c r="E287" s="3"/>
    </row>
    <row r="288">
      <c r="A288" s="3"/>
      <c r="B288" s="19"/>
      <c r="C288" s="19"/>
      <c r="D288" s="19"/>
      <c r="E288" s="3"/>
    </row>
    <row r="289">
      <c r="A289" s="3"/>
      <c r="B289" s="19"/>
      <c r="C289" s="19"/>
      <c r="D289" s="19"/>
      <c r="E289" s="3"/>
    </row>
    <row r="290">
      <c r="A290" s="3"/>
      <c r="B290" s="19"/>
      <c r="C290" s="19"/>
      <c r="D290" s="19"/>
      <c r="E290" s="3"/>
    </row>
    <row r="291">
      <c r="A291" s="3"/>
      <c r="B291" s="19"/>
      <c r="C291" s="19"/>
      <c r="D291" s="19"/>
      <c r="E291" s="3"/>
    </row>
    <row r="292">
      <c r="A292" s="3"/>
      <c r="B292" s="19"/>
      <c r="C292" s="19"/>
      <c r="D292" s="19"/>
      <c r="E292" s="3"/>
    </row>
    <row r="293">
      <c r="A293" s="3"/>
      <c r="B293" s="19"/>
      <c r="C293" s="19"/>
      <c r="D293" s="19"/>
      <c r="E293" s="3"/>
    </row>
    <row r="294">
      <c r="A294" s="3"/>
      <c r="B294" s="19"/>
      <c r="C294" s="19"/>
      <c r="D294" s="19"/>
      <c r="E294" s="3"/>
    </row>
    <row r="295">
      <c r="A295" s="3"/>
      <c r="B295" s="19"/>
      <c r="C295" s="19"/>
      <c r="D295" s="19"/>
      <c r="E295" s="3"/>
    </row>
    <row r="296">
      <c r="A296" s="3"/>
      <c r="B296" s="19"/>
      <c r="C296" s="19"/>
      <c r="D296" s="19"/>
      <c r="E296" s="3"/>
    </row>
    <row r="297">
      <c r="A297" s="3"/>
      <c r="B297" s="19"/>
      <c r="C297" s="19"/>
      <c r="D297" s="19"/>
      <c r="E297" s="3"/>
    </row>
    <row r="298">
      <c r="A298" s="3"/>
      <c r="B298" s="19"/>
      <c r="C298" s="19"/>
      <c r="D298" s="19"/>
      <c r="E298" s="3"/>
    </row>
    <row r="299">
      <c r="A299" s="3"/>
      <c r="B299" s="19"/>
      <c r="C299" s="19"/>
      <c r="D299" s="19"/>
      <c r="E299" s="3"/>
    </row>
    <row r="300">
      <c r="A300" s="3"/>
      <c r="B300" s="19"/>
      <c r="C300" s="19"/>
      <c r="D300" s="19"/>
      <c r="E300" s="3"/>
    </row>
    <row r="301">
      <c r="A301" s="3"/>
      <c r="B301" s="19"/>
      <c r="C301" s="19"/>
      <c r="D301" s="19"/>
      <c r="E301" s="3"/>
    </row>
    <row r="302">
      <c r="A302" s="3"/>
      <c r="B302" s="19"/>
      <c r="C302" s="19"/>
      <c r="D302" s="19"/>
      <c r="E302" s="3"/>
    </row>
    <row r="303">
      <c r="A303" s="3"/>
      <c r="B303" s="19"/>
      <c r="C303" s="19"/>
      <c r="D303" s="19"/>
      <c r="E303" s="3"/>
    </row>
    <row r="304">
      <c r="A304" s="3"/>
      <c r="B304" s="19"/>
      <c r="C304" s="19"/>
      <c r="D304" s="19"/>
      <c r="E304" s="3"/>
    </row>
    <row r="305">
      <c r="A305" s="3"/>
      <c r="B305" s="19"/>
      <c r="C305" s="19"/>
      <c r="D305" s="19"/>
      <c r="E305" s="3"/>
    </row>
    <row r="306">
      <c r="A306" s="3"/>
      <c r="B306" s="19"/>
      <c r="C306" s="19"/>
      <c r="D306" s="19"/>
      <c r="E306" s="3"/>
    </row>
    <row r="307">
      <c r="A307" s="3"/>
      <c r="B307" s="19"/>
      <c r="C307" s="19"/>
      <c r="D307" s="19"/>
      <c r="E307" s="3"/>
    </row>
    <row r="308">
      <c r="A308" s="3"/>
      <c r="B308" s="19"/>
      <c r="C308" s="19"/>
      <c r="D308" s="19"/>
      <c r="E308" s="3"/>
    </row>
    <row r="309">
      <c r="A309" s="3"/>
      <c r="B309" s="19"/>
      <c r="C309" s="19"/>
      <c r="D309" s="19"/>
      <c r="E309" s="3"/>
    </row>
    <row r="310">
      <c r="A310" s="3"/>
      <c r="B310" s="19"/>
      <c r="C310" s="19"/>
      <c r="D310" s="19"/>
      <c r="E310" s="3"/>
    </row>
    <row r="311">
      <c r="A311" s="3"/>
      <c r="B311" s="19"/>
      <c r="C311" s="19"/>
      <c r="D311" s="19"/>
      <c r="E311" s="3"/>
    </row>
    <row r="312">
      <c r="A312" s="3"/>
      <c r="B312" s="19"/>
      <c r="C312" s="19"/>
      <c r="D312" s="19"/>
      <c r="E312" s="3"/>
    </row>
    <row r="313">
      <c r="A313" s="3"/>
      <c r="B313" s="19"/>
      <c r="C313" s="19"/>
      <c r="D313" s="19"/>
      <c r="E313" s="3"/>
    </row>
    <row r="314">
      <c r="A314" s="3"/>
      <c r="B314" s="19"/>
      <c r="C314" s="19"/>
      <c r="D314" s="19"/>
      <c r="E314" s="3"/>
    </row>
    <row r="315">
      <c r="A315" s="3"/>
      <c r="B315" s="19"/>
      <c r="C315" s="19"/>
      <c r="D315" s="19"/>
      <c r="E315" s="3"/>
    </row>
    <row r="316">
      <c r="A316" s="3"/>
      <c r="B316" s="19"/>
      <c r="C316" s="19"/>
      <c r="D316" s="19"/>
      <c r="E316" s="3"/>
    </row>
    <row r="317">
      <c r="A317" s="3"/>
      <c r="B317" s="19"/>
      <c r="C317" s="19"/>
      <c r="D317" s="19"/>
      <c r="E317" s="3"/>
    </row>
    <row r="318">
      <c r="A318" s="3"/>
      <c r="B318" s="19"/>
      <c r="C318" s="19"/>
      <c r="D318" s="19"/>
      <c r="E318" s="3"/>
    </row>
    <row r="319">
      <c r="A319" s="3"/>
      <c r="B319" s="19"/>
      <c r="C319" s="19"/>
      <c r="D319" s="19"/>
      <c r="E319" s="3"/>
    </row>
    <row r="320">
      <c r="A320" s="3"/>
      <c r="B320" s="19"/>
      <c r="C320" s="19"/>
      <c r="D320" s="19"/>
      <c r="E320" s="3"/>
    </row>
    <row r="321">
      <c r="A321" s="3"/>
      <c r="B321" s="19"/>
      <c r="C321" s="19"/>
      <c r="D321" s="19"/>
      <c r="E321" s="3"/>
    </row>
    <row r="322">
      <c r="A322" s="3"/>
      <c r="B322" s="19"/>
      <c r="C322" s="19"/>
      <c r="D322" s="19"/>
      <c r="E322" s="3"/>
    </row>
    <row r="323">
      <c r="A323" s="3"/>
      <c r="B323" s="19"/>
      <c r="C323" s="19"/>
      <c r="D323" s="19"/>
      <c r="E323" s="3"/>
    </row>
    <row r="324">
      <c r="A324" s="3"/>
      <c r="B324" s="19"/>
      <c r="C324" s="19"/>
      <c r="D324" s="19"/>
      <c r="E324" s="3"/>
    </row>
    <row r="325">
      <c r="A325" s="3"/>
      <c r="B325" s="19"/>
      <c r="C325" s="19"/>
      <c r="D325" s="19"/>
      <c r="E325" s="3"/>
    </row>
    <row r="326">
      <c r="A326" s="3"/>
      <c r="B326" s="19"/>
      <c r="C326" s="19"/>
      <c r="D326" s="19"/>
      <c r="E326" s="3"/>
    </row>
    <row r="327">
      <c r="A327" s="3"/>
      <c r="B327" s="19"/>
      <c r="C327" s="19"/>
      <c r="D327" s="19"/>
      <c r="E327" s="3"/>
    </row>
    <row r="328">
      <c r="A328" s="3"/>
      <c r="B328" s="19"/>
      <c r="C328" s="19"/>
      <c r="D328" s="19"/>
      <c r="E328" s="3"/>
    </row>
    <row r="329">
      <c r="A329" s="3"/>
      <c r="B329" s="19"/>
      <c r="C329" s="19"/>
      <c r="D329" s="19"/>
      <c r="E329" s="3"/>
    </row>
    <row r="330">
      <c r="A330" s="3"/>
      <c r="B330" s="19"/>
      <c r="C330" s="19"/>
      <c r="D330" s="19"/>
      <c r="E330" s="3"/>
    </row>
    <row r="331">
      <c r="A331" s="3"/>
      <c r="B331" s="19"/>
      <c r="C331" s="19"/>
      <c r="D331" s="19"/>
      <c r="E331" s="3"/>
    </row>
    <row r="332">
      <c r="A332" s="3"/>
      <c r="B332" s="19"/>
      <c r="C332" s="19"/>
      <c r="D332" s="19"/>
      <c r="E332" s="3"/>
    </row>
    <row r="333">
      <c r="A333" s="3"/>
      <c r="B333" s="19"/>
      <c r="C333" s="19"/>
      <c r="D333" s="19"/>
      <c r="E333" s="3"/>
    </row>
    <row r="334">
      <c r="A334" s="3"/>
      <c r="B334" s="19"/>
      <c r="C334" s="19"/>
      <c r="D334" s="19"/>
      <c r="E334" s="3"/>
    </row>
    <row r="335">
      <c r="A335" s="3"/>
      <c r="B335" s="19"/>
      <c r="C335" s="19"/>
      <c r="D335" s="19"/>
      <c r="E335" s="3"/>
    </row>
    <row r="336">
      <c r="A336" s="3"/>
      <c r="B336" s="19"/>
      <c r="C336" s="19"/>
      <c r="D336" s="19"/>
      <c r="E336" s="3"/>
    </row>
    <row r="337">
      <c r="A337" s="3"/>
      <c r="B337" s="19"/>
      <c r="C337" s="19"/>
      <c r="D337" s="19"/>
      <c r="E337" s="3"/>
    </row>
    <row r="338">
      <c r="A338" s="3"/>
      <c r="B338" s="19"/>
      <c r="C338" s="19"/>
      <c r="D338" s="19"/>
      <c r="E338" s="3"/>
    </row>
    <row r="339">
      <c r="A339" s="3"/>
      <c r="B339" s="19"/>
      <c r="C339" s="19"/>
      <c r="D339" s="19"/>
      <c r="E339" s="3"/>
    </row>
    <row r="340">
      <c r="A340" s="3"/>
      <c r="B340" s="19"/>
      <c r="C340" s="19"/>
      <c r="D340" s="19"/>
      <c r="E340" s="3"/>
    </row>
    <row r="341">
      <c r="A341" s="3"/>
      <c r="B341" s="19"/>
      <c r="C341" s="19"/>
      <c r="D341" s="19"/>
      <c r="E341" s="3"/>
    </row>
    <row r="342">
      <c r="A342" s="3"/>
      <c r="B342" s="19"/>
      <c r="C342" s="19"/>
      <c r="D342" s="19"/>
      <c r="E342" s="3"/>
    </row>
    <row r="343">
      <c r="A343" s="3"/>
      <c r="B343" s="19"/>
      <c r="C343" s="19"/>
      <c r="D343" s="19"/>
      <c r="E343" s="3"/>
    </row>
    <row r="344">
      <c r="A344" s="3"/>
      <c r="B344" s="19"/>
      <c r="C344" s="19"/>
      <c r="D344" s="19"/>
      <c r="E344" s="3"/>
    </row>
    <row r="345">
      <c r="A345" s="3"/>
      <c r="B345" s="19"/>
      <c r="C345" s="19"/>
      <c r="D345" s="19"/>
      <c r="E345" s="3"/>
    </row>
    <row r="346">
      <c r="A346" s="3"/>
      <c r="B346" s="19"/>
      <c r="C346" s="19"/>
      <c r="D346" s="19"/>
      <c r="E346" s="3"/>
    </row>
    <row r="347">
      <c r="A347" s="3"/>
      <c r="B347" s="19"/>
      <c r="C347" s="19"/>
      <c r="D347" s="19"/>
      <c r="E347" s="3"/>
    </row>
    <row r="348">
      <c r="A348" s="3"/>
      <c r="B348" s="19"/>
      <c r="C348" s="19"/>
      <c r="D348" s="19"/>
      <c r="E348" s="3"/>
    </row>
    <row r="349">
      <c r="A349" s="3"/>
      <c r="B349" s="19"/>
      <c r="C349" s="19"/>
      <c r="D349" s="19"/>
      <c r="E349" s="3"/>
    </row>
    <row r="350">
      <c r="A350" s="3"/>
      <c r="B350" s="19"/>
      <c r="C350" s="19"/>
      <c r="D350" s="19"/>
      <c r="E350" s="3"/>
    </row>
    <row r="351">
      <c r="A351" s="3"/>
      <c r="B351" s="19"/>
      <c r="C351" s="19"/>
      <c r="D351" s="19"/>
      <c r="E351" s="3"/>
    </row>
    <row r="352">
      <c r="A352" s="3"/>
      <c r="B352" s="19"/>
      <c r="C352" s="19"/>
      <c r="D352" s="19"/>
      <c r="E352" s="3"/>
    </row>
    <row r="353">
      <c r="A353" s="3"/>
      <c r="B353" s="19"/>
      <c r="C353" s="19"/>
      <c r="D353" s="19"/>
      <c r="E353" s="3"/>
    </row>
    <row r="354">
      <c r="A354" s="3"/>
      <c r="B354" s="19"/>
      <c r="C354" s="19"/>
      <c r="D354" s="19"/>
      <c r="E354" s="3"/>
    </row>
    <row r="355">
      <c r="A355" s="3"/>
      <c r="B355" s="19"/>
      <c r="C355" s="19"/>
      <c r="D355" s="19"/>
      <c r="E355" s="3"/>
    </row>
    <row r="356">
      <c r="A356" s="3"/>
      <c r="B356" s="19"/>
      <c r="C356" s="19"/>
      <c r="D356" s="19"/>
      <c r="E356" s="3"/>
    </row>
    <row r="357">
      <c r="A357" s="3"/>
      <c r="B357" s="19"/>
      <c r="C357" s="19"/>
      <c r="D357" s="19"/>
      <c r="E357" s="3"/>
    </row>
    <row r="358">
      <c r="A358" s="3"/>
      <c r="B358" s="19"/>
      <c r="C358" s="19"/>
      <c r="D358" s="19"/>
      <c r="E358" s="3"/>
    </row>
    <row r="359">
      <c r="A359" s="3"/>
      <c r="B359" s="19"/>
      <c r="C359" s="19"/>
      <c r="D359" s="19"/>
      <c r="E359" s="3"/>
    </row>
    <row r="360">
      <c r="A360" s="3"/>
      <c r="B360" s="19"/>
      <c r="C360" s="19"/>
      <c r="D360" s="19"/>
      <c r="E360" s="3"/>
    </row>
    <row r="361">
      <c r="A361" s="3"/>
      <c r="B361" s="19"/>
      <c r="C361" s="19"/>
      <c r="D361" s="19"/>
      <c r="E361" s="3"/>
    </row>
    <row r="362">
      <c r="A362" s="3"/>
      <c r="B362" s="19"/>
      <c r="C362" s="19"/>
      <c r="D362" s="19"/>
      <c r="E362" s="3"/>
    </row>
    <row r="363">
      <c r="A363" s="3"/>
      <c r="B363" s="19"/>
      <c r="C363" s="19"/>
      <c r="D363" s="19"/>
      <c r="E363" s="3"/>
    </row>
    <row r="364">
      <c r="A364" s="3"/>
      <c r="B364" s="19"/>
      <c r="C364" s="19"/>
      <c r="D364" s="19"/>
      <c r="E364" s="3"/>
    </row>
    <row r="365">
      <c r="A365" s="3"/>
      <c r="B365" s="19"/>
      <c r="C365" s="19"/>
      <c r="D365" s="19"/>
      <c r="E365" s="3"/>
    </row>
    <row r="366">
      <c r="A366" s="3"/>
      <c r="B366" s="19"/>
      <c r="C366" s="19"/>
      <c r="D366" s="19"/>
      <c r="E366" s="3"/>
    </row>
    <row r="367">
      <c r="A367" s="3"/>
      <c r="B367" s="19"/>
      <c r="C367" s="19"/>
      <c r="D367" s="19"/>
      <c r="E367" s="3"/>
    </row>
    <row r="368">
      <c r="A368" s="3"/>
      <c r="B368" s="19"/>
      <c r="C368" s="19"/>
      <c r="D368" s="19"/>
      <c r="E368" s="3"/>
    </row>
    <row r="369">
      <c r="A369" s="3"/>
      <c r="B369" s="19"/>
      <c r="C369" s="19"/>
      <c r="D369" s="19"/>
      <c r="E369" s="3"/>
    </row>
    <row r="370">
      <c r="A370" s="3"/>
      <c r="B370" s="19"/>
      <c r="C370" s="19"/>
      <c r="D370" s="19"/>
      <c r="E370" s="3"/>
    </row>
    <row r="371">
      <c r="A371" s="3"/>
      <c r="B371" s="19"/>
      <c r="C371" s="19"/>
      <c r="D371" s="19"/>
      <c r="E371" s="3"/>
    </row>
    <row r="372">
      <c r="A372" s="3"/>
      <c r="B372" s="19"/>
      <c r="C372" s="19"/>
      <c r="D372" s="19"/>
      <c r="E372" s="3"/>
    </row>
    <row r="373">
      <c r="A373" s="3"/>
      <c r="B373" s="19"/>
      <c r="C373" s="19"/>
      <c r="D373" s="19"/>
      <c r="E373" s="3"/>
    </row>
    <row r="374">
      <c r="A374" s="3"/>
      <c r="B374" s="19"/>
      <c r="C374" s="19"/>
      <c r="D374" s="19"/>
      <c r="E374" s="3"/>
    </row>
    <row r="375">
      <c r="A375" s="3"/>
      <c r="B375" s="19"/>
      <c r="C375" s="19"/>
      <c r="D375" s="19"/>
      <c r="E375" s="3"/>
    </row>
    <row r="376">
      <c r="A376" s="3"/>
      <c r="B376" s="19"/>
      <c r="C376" s="19"/>
      <c r="D376" s="19"/>
      <c r="E376" s="3"/>
    </row>
    <row r="377">
      <c r="A377" s="3"/>
      <c r="B377" s="19"/>
      <c r="C377" s="19"/>
      <c r="D377" s="19"/>
      <c r="E377" s="3"/>
    </row>
    <row r="378">
      <c r="A378" s="3"/>
      <c r="B378" s="19"/>
      <c r="C378" s="19"/>
      <c r="D378" s="19"/>
      <c r="E378" s="3"/>
    </row>
    <row r="379">
      <c r="A379" s="3"/>
      <c r="B379" s="19"/>
      <c r="C379" s="19"/>
      <c r="D379" s="19"/>
      <c r="E379" s="3"/>
    </row>
    <row r="380">
      <c r="A380" s="3"/>
      <c r="B380" s="19"/>
      <c r="C380" s="19"/>
      <c r="D380" s="19"/>
      <c r="E380" s="3"/>
    </row>
    <row r="381">
      <c r="A381" s="3"/>
      <c r="B381" s="19"/>
      <c r="C381" s="19"/>
      <c r="D381" s="19"/>
      <c r="E381" s="3"/>
    </row>
    <row r="382">
      <c r="A382" s="3"/>
      <c r="B382" s="19"/>
      <c r="C382" s="19"/>
      <c r="D382" s="19"/>
      <c r="E382" s="3"/>
    </row>
    <row r="383">
      <c r="A383" s="3"/>
      <c r="B383" s="19"/>
      <c r="C383" s="19"/>
      <c r="D383" s="19"/>
      <c r="E383" s="3"/>
    </row>
    <row r="384">
      <c r="A384" s="3"/>
      <c r="B384" s="19"/>
      <c r="C384" s="19"/>
      <c r="D384" s="19"/>
      <c r="E384" s="3"/>
    </row>
    <row r="385">
      <c r="A385" s="3"/>
      <c r="B385" s="19"/>
      <c r="C385" s="19"/>
      <c r="D385" s="19"/>
      <c r="E385" s="3"/>
    </row>
    <row r="386">
      <c r="A386" s="3"/>
      <c r="B386" s="19"/>
      <c r="C386" s="19"/>
      <c r="D386" s="19"/>
      <c r="E386" s="3"/>
    </row>
    <row r="387">
      <c r="A387" s="3"/>
      <c r="B387" s="19"/>
      <c r="C387" s="19"/>
      <c r="D387" s="19"/>
      <c r="E387" s="3"/>
    </row>
    <row r="388">
      <c r="A388" s="3"/>
      <c r="B388" s="19"/>
      <c r="C388" s="19"/>
      <c r="D388" s="19"/>
      <c r="E388" s="3"/>
    </row>
    <row r="389">
      <c r="A389" s="3"/>
      <c r="B389" s="19"/>
      <c r="C389" s="19"/>
      <c r="D389" s="19"/>
      <c r="E389" s="3"/>
    </row>
    <row r="390">
      <c r="A390" s="3"/>
      <c r="B390" s="19"/>
      <c r="C390" s="19"/>
      <c r="D390" s="19"/>
      <c r="E390" s="3"/>
    </row>
    <row r="391">
      <c r="A391" s="3"/>
      <c r="B391" s="19"/>
      <c r="C391" s="19"/>
      <c r="D391" s="19"/>
      <c r="E391" s="3"/>
    </row>
    <row r="392">
      <c r="A392" s="3"/>
      <c r="B392" s="19"/>
      <c r="C392" s="19"/>
      <c r="D392" s="19"/>
      <c r="E392" s="3"/>
    </row>
    <row r="393">
      <c r="A393" s="3"/>
      <c r="B393" s="19"/>
      <c r="C393" s="19"/>
      <c r="D393" s="19"/>
      <c r="E393" s="3"/>
    </row>
    <row r="394">
      <c r="A394" s="3"/>
      <c r="B394" s="19"/>
      <c r="C394" s="19"/>
      <c r="D394" s="19"/>
      <c r="E394" s="3"/>
    </row>
    <row r="395">
      <c r="A395" s="3"/>
      <c r="B395" s="19"/>
      <c r="C395" s="19"/>
      <c r="D395" s="19"/>
      <c r="E395" s="3"/>
    </row>
    <row r="396">
      <c r="A396" s="3"/>
      <c r="B396" s="19"/>
      <c r="C396" s="19"/>
      <c r="D396" s="19"/>
      <c r="E396" s="3"/>
    </row>
    <row r="397">
      <c r="A397" s="3"/>
      <c r="B397" s="19"/>
      <c r="C397" s="19"/>
      <c r="D397" s="19"/>
      <c r="E397" s="3"/>
    </row>
    <row r="398">
      <c r="A398" s="3"/>
      <c r="B398" s="19"/>
      <c r="C398" s="19"/>
      <c r="D398" s="19"/>
      <c r="E398" s="3"/>
    </row>
    <row r="399">
      <c r="A399" s="3"/>
      <c r="B399" s="19"/>
      <c r="C399" s="19"/>
      <c r="D399" s="19"/>
      <c r="E399" s="3"/>
    </row>
    <row r="400">
      <c r="A400" s="3"/>
      <c r="B400" s="19"/>
      <c r="C400" s="19"/>
      <c r="D400" s="19"/>
      <c r="E400" s="3"/>
    </row>
    <row r="401">
      <c r="A401" s="3"/>
      <c r="B401" s="19"/>
      <c r="C401" s="19"/>
      <c r="D401" s="19"/>
      <c r="E401" s="3"/>
    </row>
    <row r="402">
      <c r="A402" s="3"/>
      <c r="B402" s="19"/>
      <c r="C402" s="19"/>
      <c r="D402" s="19"/>
      <c r="E402" s="3"/>
    </row>
    <row r="403">
      <c r="A403" s="3"/>
      <c r="B403" s="19"/>
      <c r="C403" s="19"/>
      <c r="D403" s="19"/>
      <c r="E403" s="3"/>
    </row>
    <row r="404">
      <c r="A404" s="3"/>
      <c r="B404" s="19"/>
      <c r="C404" s="19"/>
      <c r="D404" s="19"/>
      <c r="E404" s="3"/>
    </row>
    <row r="405">
      <c r="A405" s="3"/>
      <c r="B405" s="19"/>
      <c r="C405" s="19"/>
      <c r="D405" s="19"/>
      <c r="E405" s="3"/>
    </row>
    <row r="406">
      <c r="A406" s="3"/>
      <c r="B406" s="19"/>
      <c r="C406" s="19"/>
      <c r="D406" s="19"/>
      <c r="E406" s="3"/>
    </row>
    <row r="407">
      <c r="A407" s="3"/>
      <c r="B407" s="19"/>
      <c r="C407" s="19"/>
      <c r="D407" s="19"/>
      <c r="E407" s="3"/>
    </row>
    <row r="408">
      <c r="A408" s="3"/>
      <c r="B408" s="19"/>
      <c r="C408" s="19"/>
      <c r="D408" s="19"/>
      <c r="E408" s="3"/>
    </row>
    <row r="409">
      <c r="A409" s="3"/>
      <c r="B409" s="19"/>
      <c r="C409" s="19"/>
      <c r="D409" s="19"/>
      <c r="E409" s="3"/>
    </row>
    <row r="410">
      <c r="A410" s="3"/>
      <c r="B410" s="19"/>
      <c r="C410" s="19"/>
      <c r="D410" s="19"/>
      <c r="E410" s="3"/>
    </row>
    <row r="411">
      <c r="A411" s="3"/>
      <c r="B411" s="19"/>
      <c r="C411" s="19"/>
      <c r="D411" s="19"/>
      <c r="E411" s="3"/>
    </row>
    <row r="412">
      <c r="A412" s="3"/>
      <c r="B412" s="19"/>
      <c r="C412" s="19"/>
      <c r="D412" s="19"/>
      <c r="E412" s="3"/>
    </row>
    <row r="413">
      <c r="A413" s="3"/>
      <c r="B413" s="19"/>
      <c r="C413" s="19"/>
      <c r="D413" s="19"/>
      <c r="E413" s="3"/>
    </row>
    <row r="414">
      <c r="A414" s="3"/>
      <c r="B414" s="19"/>
      <c r="C414" s="19"/>
      <c r="D414" s="19"/>
      <c r="E414" s="3"/>
    </row>
    <row r="415">
      <c r="A415" s="3"/>
      <c r="B415" s="19"/>
      <c r="C415" s="19"/>
      <c r="D415" s="19"/>
      <c r="E415" s="3"/>
    </row>
    <row r="416">
      <c r="A416" s="3"/>
      <c r="B416" s="19"/>
      <c r="C416" s="19"/>
      <c r="D416" s="19"/>
      <c r="E416" s="3"/>
    </row>
    <row r="417">
      <c r="A417" s="3"/>
      <c r="B417" s="19"/>
      <c r="C417" s="19"/>
      <c r="D417" s="19"/>
      <c r="E417" s="3"/>
    </row>
    <row r="418">
      <c r="A418" s="3"/>
      <c r="B418" s="19"/>
      <c r="C418" s="19"/>
      <c r="D418" s="19"/>
      <c r="E418" s="3"/>
    </row>
    <row r="419">
      <c r="A419" s="3"/>
      <c r="B419" s="19"/>
      <c r="C419" s="19"/>
      <c r="D419" s="19"/>
      <c r="E419" s="3"/>
    </row>
    <row r="420">
      <c r="A420" s="3"/>
      <c r="B420" s="19"/>
      <c r="C420" s="19"/>
      <c r="D420" s="19"/>
      <c r="E420" s="3"/>
    </row>
    <row r="421">
      <c r="A421" s="3"/>
      <c r="B421" s="19"/>
      <c r="C421" s="19"/>
      <c r="D421" s="19"/>
      <c r="E421" s="3"/>
    </row>
    <row r="422">
      <c r="A422" s="3"/>
      <c r="B422" s="19"/>
      <c r="C422" s="19"/>
      <c r="D422" s="19"/>
      <c r="E422" s="3"/>
    </row>
    <row r="423">
      <c r="A423" s="3"/>
      <c r="B423" s="19"/>
      <c r="C423" s="19"/>
      <c r="D423" s="19"/>
      <c r="E423" s="3"/>
    </row>
    <row r="424">
      <c r="A424" s="3"/>
      <c r="B424" s="19"/>
      <c r="C424" s="19"/>
      <c r="D424" s="19"/>
      <c r="E424" s="3"/>
    </row>
    <row r="425">
      <c r="A425" s="3"/>
      <c r="B425" s="19"/>
      <c r="C425" s="19"/>
      <c r="D425" s="19"/>
      <c r="E425" s="3"/>
    </row>
    <row r="426">
      <c r="A426" s="3"/>
      <c r="B426" s="19"/>
      <c r="C426" s="19"/>
      <c r="D426" s="19"/>
      <c r="E426" s="3"/>
    </row>
    <row r="427">
      <c r="A427" s="3"/>
      <c r="B427" s="19"/>
      <c r="C427" s="19"/>
      <c r="D427" s="19"/>
      <c r="E427" s="3"/>
    </row>
    <row r="428">
      <c r="A428" s="3"/>
      <c r="B428" s="19"/>
      <c r="C428" s="19"/>
      <c r="D428" s="19"/>
      <c r="E428" s="3"/>
    </row>
    <row r="429">
      <c r="A429" s="3"/>
      <c r="B429" s="19"/>
      <c r="C429" s="19"/>
      <c r="D429" s="19"/>
      <c r="E429" s="3"/>
    </row>
    <row r="430">
      <c r="A430" s="3"/>
      <c r="B430" s="19"/>
      <c r="C430" s="19"/>
      <c r="D430" s="19"/>
      <c r="E430" s="3"/>
    </row>
    <row r="431">
      <c r="A431" s="3"/>
      <c r="B431" s="19"/>
      <c r="C431" s="19"/>
      <c r="D431" s="19"/>
      <c r="E431" s="3"/>
    </row>
    <row r="432">
      <c r="A432" s="3"/>
      <c r="B432" s="19"/>
      <c r="C432" s="19"/>
      <c r="D432" s="19"/>
      <c r="E432" s="3"/>
    </row>
    <row r="433">
      <c r="A433" s="3"/>
      <c r="B433" s="19"/>
      <c r="C433" s="19"/>
      <c r="D433" s="19"/>
      <c r="E433" s="3"/>
    </row>
    <row r="434">
      <c r="A434" s="3"/>
      <c r="B434" s="19"/>
      <c r="C434" s="19"/>
      <c r="D434" s="19"/>
      <c r="E434" s="3"/>
    </row>
    <row r="435">
      <c r="A435" s="3"/>
      <c r="B435" s="19"/>
      <c r="C435" s="19"/>
      <c r="D435" s="19"/>
      <c r="E435" s="3"/>
    </row>
    <row r="436">
      <c r="A436" s="3"/>
      <c r="B436" s="19"/>
      <c r="C436" s="19"/>
      <c r="D436" s="19"/>
      <c r="E436" s="3"/>
    </row>
    <row r="437">
      <c r="A437" s="3"/>
      <c r="B437" s="19"/>
      <c r="C437" s="19"/>
      <c r="D437" s="19"/>
      <c r="E437" s="3"/>
    </row>
    <row r="438">
      <c r="A438" s="3"/>
      <c r="B438" s="19"/>
      <c r="C438" s="19"/>
      <c r="D438" s="19"/>
      <c r="E438" s="3"/>
    </row>
    <row r="439">
      <c r="A439" s="3"/>
      <c r="B439" s="19"/>
      <c r="C439" s="19"/>
      <c r="D439" s="19"/>
      <c r="E439" s="3"/>
    </row>
    <row r="440">
      <c r="A440" s="3"/>
      <c r="B440" s="19"/>
      <c r="C440" s="19"/>
      <c r="D440" s="19"/>
      <c r="E440" s="3"/>
    </row>
    <row r="441">
      <c r="A441" s="3"/>
      <c r="B441" s="19"/>
      <c r="C441" s="19"/>
      <c r="D441" s="19"/>
      <c r="E441" s="3"/>
    </row>
    <row r="442">
      <c r="A442" s="3"/>
      <c r="B442" s="19"/>
      <c r="C442" s="19"/>
      <c r="D442" s="19"/>
      <c r="E442" s="3"/>
    </row>
    <row r="443">
      <c r="A443" s="3"/>
      <c r="B443" s="19"/>
      <c r="C443" s="19"/>
      <c r="D443" s="19"/>
      <c r="E443" s="3"/>
    </row>
    <row r="444">
      <c r="A444" s="3"/>
      <c r="B444" s="19"/>
      <c r="C444" s="19"/>
      <c r="D444" s="19"/>
      <c r="E444" s="3"/>
    </row>
    <row r="445">
      <c r="A445" s="3"/>
      <c r="B445" s="19"/>
      <c r="C445" s="19"/>
      <c r="D445" s="19"/>
      <c r="E445" s="3"/>
    </row>
    <row r="446">
      <c r="A446" s="3"/>
      <c r="B446" s="19"/>
      <c r="C446" s="19"/>
      <c r="D446" s="19"/>
      <c r="E446" s="3"/>
    </row>
    <row r="447">
      <c r="A447" s="3"/>
      <c r="B447" s="19"/>
      <c r="C447" s="19"/>
      <c r="D447" s="19"/>
      <c r="E447" s="3"/>
    </row>
    <row r="448">
      <c r="A448" s="3"/>
      <c r="B448" s="19"/>
      <c r="C448" s="19"/>
      <c r="D448" s="19"/>
      <c r="E448" s="3"/>
    </row>
    <row r="449">
      <c r="A449" s="3"/>
      <c r="B449" s="19"/>
      <c r="C449" s="19"/>
      <c r="D449" s="19"/>
      <c r="E449" s="3"/>
    </row>
    <row r="450">
      <c r="A450" s="3"/>
      <c r="B450" s="19"/>
      <c r="C450" s="19"/>
      <c r="D450" s="19"/>
      <c r="E450" s="3"/>
    </row>
    <row r="451">
      <c r="A451" s="3"/>
      <c r="B451" s="19"/>
      <c r="C451" s="19"/>
      <c r="D451" s="19"/>
      <c r="E451" s="3"/>
    </row>
    <row r="452">
      <c r="A452" s="3"/>
      <c r="B452" s="19"/>
      <c r="C452" s="19"/>
      <c r="D452" s="19"/>
      <c r="E452" s="3"/>
    </row>
    <row r="453">
      <c r="A453" s="3"/>
      <c r="B453" s="19"/>
      <c r="C453" s="19"/>
      <c r="D453" s="19"/>
      <c r="E453" s="3"/>
    </row>
    <row r="454">
      <c r="A454" s="3"/>
      <c r="B454" s="19"/>
      <c r="C454" s="19"/>
      <c r="D454" s="19"/>
      <c r="E454" s="3"/>
    </row>
    <row r="455">
      <c r="A455" s="3"/>
      <c r="B455" s="19"/>
      <c r="C455" s="19"/>
      <c r="D455" s="19"/>
      <c r="E455" s="3"/>
    </row>
    <row r="456">
      <c r="A456" s="3"/>
      <c r="B456" s="19"/>
      <c r="C456" s="19"/>
      <c r="D456" s="19"/>
      <c r="E456" s="3"/>
    </row>
    <row r="457">
      <c r="A457" s="3"/>
      <c r="B457" s="19"/>
      <c r="C457" s="19"/>
      <c r="D457" s="19"/>
      <c r="E457" s="3"/>
    </row>
    <row r="458">
      <c r="A458" s="3"/>
      <c r="B458" s="19"/>
      <c r="C458" s="19"/>
      <c r="D458" s="19"/>
      <c r="E458" s="3"/>
    </row>
    <row r="459">
      <c r="A459" s="3"/>
      <c r="B459" s="19"/>
      <c r="C459" s="19"/>
      <c r="D459" s="19"/>
      <c r="E459" s="3"/>
    </row>
    <row r="460">
      <c r="A460" s="3"/>
      <c r="B460" s="19"/>
      <c r="C460" s="19"/>
      <c r="D460" s="19"/>
      <c r="E460" s="3"/>
    </row>
    <row r="461">
      <c r="A461" s="3"/>
      <c r="B461" s="19"/>
      <c r="C461" s="19"/>
      <c r="D461" s="19"/>
      <c r="E461" s="3"/>
    </row>
    <row r="462">
      <c r="A462" s="3"/>
      <c r="B462" s="19"/>
      <c r="C462" s="19"/>
      <c r="D462" s="19"/>
      <c r="E462" s="3"/>
    </row>
    <row r="463">
      <c r="A463" s="3"/>
      <c r="B463" s="19"/>
      <c r="C463" s="19"/>
      <c r="D463" s="19"/>
      <c r="E463" s="3"/>
    </row>
    <row r="464">
      <c r="A464" s="3"/>
      <c r="B464" s="19"/>
      <c r="C464" s="19"/>
      <c r="D464" s="19"/>
      <c r="E464" s="3"/>
    </row>
    <row r="465">
      <c r="A465" s="3"/>
      <c r="B465" s="19"/>
      <c r="C465" s="19"/>
      <c r="D465" s="19"/>
      <c r="E465" s="3"/>
    </row>
    <row r="466">
      <c r="A466" s="3"/>
      <c r="B466" s="19"/>
      <c r="C466" s="19"/>
      <c r="D466" s="19"/>
      <c r="E466" s="3"/>
    </row>
    <row r="467">
      <c r="A467" s="3"/>
      <c r="B467" s="19"/>
      <c r="C467" s="19"/>
      <c r="D467" s="19"/>
      <c r="E467" s="3"/>
    </row>
    <row r="468">
      <c r="A468" s="3"/>
      <c r="B468" s="19"/>
      <c r="C468" s="19"/>
      <c r="D468" s="19"/>
      <c r="E468" s="3"/>
    </row>
    <row r="469">
      <c r="A469" s="3"/>
      <c r="B469" s="19"/>
      <c r="C469" s="19"/>
      <c r="D469" s="19"/>
      <c r="E469" s="3"/>
    </row>
    <row r="470">
      <c r="A470" s="3"/>
      <c r="B470" s="19"/>
      <c r="C470" s="19"/>
      <c r="D470" s="19"/>
      <c r="E470" s="3"/>
    </row>
    <row r="471">
      <c r="A471" s="3"/>
      <c r="B471" s="19"/>
      <c r="C471" s="19"/>
      <c r="D471" s="19"/>
      <c r="E471" s="3"/>
    </row>
    <row r="472">
      <c r="A472" s="3"/>
      <c r="B472" s="19"/>
      <c r="C472" s="19"/>
      <c r="D472" s="19"/>
      <c r="E472" s="3"/>
    </row>
    <row r="473">
      <c r="A473" s="3"/>
      <c r="B473" s="19"/>
      <c r="C473" s="19"/>
      <c r="D473" s="19"/>
      <c r="E473" s="3"/>
    </row>
    <row r="474">
      <c r="A474" s="3"/>
      <c r="B474" s="19"/>
      <c r="C474" s="19"/>
      <c r="D474" s="19"/>
      <c r="E474" s="3"/>
    </row>
    <row r="475">
      <c r="A475" s="3"/>
      <c r="B475" s="19"/>
      <c r="C475" s="19"/>
      <c r="D475" s="19"/>
      <c r="E475" s="3"/>
    </row>
    <row r="476">
      <c r="A476" s="3"/>
      <c r="B476" s="19"/>
      <c r="C476" s="19"/>
      <c r="D476" s="19"/>
      <c r="E476" s="3"/>
    </row>
    <row r="477">
      <c r="A477" s="3"/>
      <c r="B477" s="19"/>
      <c r="C477" s="19"/>
      <c r="D477" s="19"/>
      <c r="E477" s="3"/>
    </row>
    <row r="478">
      <c r="A478" s="3"/>
      <c r="B478" s="19"/>
      <c r="C478" s="19"/>
      <c r="D478" s="19"/>
      <c r="E478" s="3"/>
    </row>
    <row r="479">
      <c r="A479" s="3"/>
      <c r="B479" s="19"/>
      <c r="C479" s="19"/>
      <c r="D479" s="19"/>
      <c r="E479" s="3"/>
    </row>
    <row r="480">
      <c r="A480" s="3"/>
      <c r="B480" s="19"/>
      <c r="C480" s="19"/>
      <c r="D480" s="19"/>
      <c r="E480" s="3"/>
    </row>
    <row r="481">
      <c r="A481" s="3"/>
      <c r="B481" s="19"/>
      <c r="C481" s="19"/>
      <c r="D481" s="19"/>
      <c r="E481" s="3"/>
    </row>
    <row r="482">
      <c r="A482" s="3"/>
      <c r="B482" s="19"/>
      <c r="C482" s="19"/>
      <c r="D482" s="19"/>
      <c r="E482" s="3"/>
    </row>
    <row r="483">
      <c r="A483" s="3"/>
      <c r="B483" s="19"/>
      <c r="C483" s="19"/>
      <c r="D483" s="19"/>
      <c r="E483" s="3"/>
    </row>
    <row r="484">
      <c r="A484" s="3"/>
      <c r="B484" s="19"/>
      <c r="C484" s="19"/>
      <c r="D484" s="19"/>
      <c r="E484" s="3"/>
    </row>
    <row r="485">
      <c r="A485" s="3"/>
      <c r="B485" s="19"/>
      <c r="C485" s="19"/>
      <c r="D485" s="19"/>
      <c r="E485" s="3"/>
    </row>
    <row r="486">
      <c r="A486" s="3"/>
      <c r="B486" s="19"/>
      <c r="C486" s="19"/>
      <c r="D486" s="19"/>
      <c r="E486" s="3"/>
    </row>
    <row r="487">
      <c r="A487" s="3"/>
      <c r="B487" s="19"/>
      <c r="C487" s="19"/>
      <c r="D487" s="19"/>
      <c r="E487" s="3"/>
    </row>
    <row r="488">
      <c r="A488" s="3"/>
      <c r="B488" s="19"/>
      <c r="C488" s="19"/>
      <c r="D488" s="19"/>
      <c r="E488" s="3"/>
    </row>
    <row r="489">
      <c r="A489" s="3"/>
      <c r="B489" s="19"/>
      <c r="C489" s="19"/>
      <c r="D489" s="19"/>
      <c r="E489" s="3"/>
    </row>
    <row r="490">
      <c r="A490" s="3"/>
      <c r="B490" s="19"/>
      <c r="C490" s="19"/>
      <c r="D490" s="19"/>
      <c r="E490" s="3"/>
    </row>
    <row r="491">
      <c r="A491" s="3"/>
      <c r="B491" s="19"/>
      <c r="C491" s="19"/>
      <c r="D491" s="19"/>
      <c r="E491" s="3"/>
    </row>
    <row r="492">
      <c r="A492" s="3"/>
      <c r="B492" s="19"/>
      <c r="C492" s="19"/>
      <c r="D492" s="19"/>
      <c r="E492" s="3"/>
    </row>
    <row r="493">
      <c r="A493" s="3"/>
      <c r="B493" s="19"/>
      <c r="C493" s="19"/>
      <c r="D493" s="19"/>
      <c r="E493" s="3"/>
    </row>
    <row r="494">
      <c r="A494" s="3"/>
      <c r="B494" s="19"/>
      <c r="C494" s="19"/>
      <c r="D494" s="19"/>
      <c r="E494" s="3"/>
    </row>
    <row r="495">
      <c r="A495" s="3"/>
      <c r="B495" s="19"/>
      <c r="C495" s="19"/>
      <c r="D495" s="19"/>
      <c r="E495" s="3"/>
    </row>
    <row r="496">
      <c r="A496" s="3"/>
      <c r="B496" s="19"/>
      <c r="C496" s="19"/>
      <c r="D496" s="19"/>
      <c r="E496" s="3"/>
    </row>
    <row r="497">
      <c r="A497" s="3"/>
      <c r="B497" s="19"/>
      <c r="C497" s="19"/>
      <c r="D497" s="19"/>
      <c r="E497" s="3"/>
    </row>
    <row r="498">
      <c r="A498" s="3"/>
      <c r="B498" s="19"/>
      <c r="C498" s="19"/>
      <c r="D498" s="19"/>
      <c r="E498" s="3"/>
    </row>
    <row r="499">
      <c r="A499" s="3"/>
      <c r="B499" s="19"/>
      <c r="C499" s="19"/>
      <c r="D499" s="19"/>
      <c r="E499" s="3"/>
    </row>
    <row r="500">
      <c r="A500" s="3"/>
      <c r="B500" s="19"/>
      <c r="C500" s="19"/>
      <c r="D500" s="19"/>
      <c r="E500" s="3"/>
    </row>
    <row r="501">
      <c r="A501" s="3"/>
      <c r="B501" s="19"/>
      <c r="C501" s="19"/>
      <c r="D501" s="19"/>
      <c r="E501" s="3"/>
    </row>
    <row r="502">
      <c r="A502" s="3"/>
      <c r="B502" s="19"/>
      <c r="C502" s="19"/>
      <c r="D502" s="19"/>
      <c r="E502" s="3"/>
    </row>
    <row r="503">
      <c r="A503" s="3"/>
      <c r="B503" s="19"/>
      <c r="C503" s="19"/>
      <c r="D503" s="19"/>
      <c r="E503" s="3"/>
    </row>
    <row r="504">
      <c r="A504" s="3"/>
      <c r="B504" s="19"/>
      <c r="C504" s="19"/>
      <c r="D504" s="19"/>
      <c r="E504" s="3"/>
    </row>
    <row r="505">
      <c r="A505" s="3"/>
      <c r="B505" s="19"/>
      <c r="C505" s="19"/>
      <c r="D505" s="19"/>
      <c r="E505" s="3"/>
    </row>
    <row r="506">
      <c r="A506" s="3"/>
      <c r="B506" s="19"/>
      <c r="C506" s="19"/>
      <c r="D506" s="19"/>
      <c r="E506" s="3"/>
    </row>
    <row r="507">
      <c r="A507" s="3"/>
      <c r="B507" s="19"/>
      <c r="C507" s="19"/>
      <c r="D507" s="19"/>
      <c r="E507" s="3"/>
    </row>
    <row r="508">
      <c r="A508" s="3"/>
      <c r="B508" s="19"/>
      <c r="C508" s="19"/>
      <c r="D508" s="19"/>
      <c r="E508" s="3"/>
    </row>
    <row r="509">
      <c r="A509" s="3"/>
      <c r="B509" s="19"/>
      <c r="C509" s="19"/>
      <c r="D509" s="19"/>
      <c r="E509" s="3"/>
    </row>
    <row r="510">
      <c r="A510" s="3"/>
      <c r="B510" s="19"/>
      <c r="C510" s="19"/>
      <c r="D510" s="19"/>
      <c r="E510" s="3"/>
    </row>
    <row r="511">
      <c r="A511" s="3"/>
      <c r="B511" s="19"/>
      <c r="C511" s="19"/>
      <c r="D511" s="19"/>
      <c r="E511" s="3"/>
    </row>
    <row r="512">
      <c r="A512" s="3"/>
      <c r="B512" s="19"/>
      <c r="C512" s="19"/>
      <c r="D512" s="19"/>
      <c r="E512" s="3"/>
    </row>
    <row r="513">
      <c r="A513" s="3"/>
      <c r="B513" s="19"/>
      <c r="C513" s="19"/>
      <c r="D513" s="19"/>
      <c r="E513" s="3"/>
    </row>
    <row r="514">
      <c r="A514" s="3"/>
      <c r="B514" s="19"/>
      <c r="C514" s="19"/>
      <c r="D514" s="19"/>
      <c r="E514" s="3"/>
    </row>
    <row r="515">
      <c r="A515" s="3"/>
      <c r="B515" s="19"/>
      <c r="C515" s="19"/>
      <c r="D515" s="19"/>
      <c r="E515" s="3"/>
    </row>
    <row r="516">
      <c r="A516" s="3"/>
      <c r="B516" s="19"/>
      <c r="C516" s="19"/>
      <c r="D516" s="19"/>
      <c r="E516" s="3"/>
    </row>
    <row r="517">
      <c r="A517" s="3"/>
      <c r="B517" s="19"/>
      <c r="C517" s="19"/>
      <c r="D517" s="19"/>
      <c r="E517" s="3"/>
    </row>
    <row r="518">
      <c r="A518" s="3"/>
      <c r="B518" s="19"/>
      <c r="C518" s="19"/>
      <c r="D518" s="19"/>
      <c r="E518" s="3"/>
    </row>
    <row r="519">
      <c r="A519" s="3"/>
      <c r="B519" s="19"/>
      <c r="C519" s="19"/>
      <c r="D519" s="19"/>
      <c r="E519" s="3"/>
    </row>
    <row r="520">
      <c r="A520" s="3"/>
      <c r="B520" s="19"/>
      <c r="C520" s="19"/>
      <c r="D520" s="19"/>
      <c r="E520" s="3"/>
    </row>
    <row r="521">
      <c r="A521" s="3"/>
      <c r="B521" s="19"/>
      <c r="C521" s="19"/>
      <c r="D521" s="19"/>
      <c r="E521" s="3"/>
    </row>
    <row r="522">
      <c r="A522" s="3"/>
      <c r="B522" s="19"/>
      <c r="C522" s="19"/>
      <c r="D522" s="19"/>
      <c r="E522" s="3"/>
    </row>
    <row r="523">
      <c r="A523" s="3"/>
      <c r="B523" s="19"/>
      <c r="C523" s="19"/>
      <c r="D523" s="19"/>
      <c r="E523" s="3"/>
    </row>
    <row r="524">
      <c r="A524" s="3"/>
      <c r="B524" s="19"/>
      <c r="C524" s="19"/>
      <c r="D524" s="19"/>
      <c r="E524" s="3"/>
    </row>
    <row r="525">
      <c r="A525" s="3"/>
      <c r="B525" s="19"/>
      <c r="C525" s="19"/>
      <c r="D525" s="19"/>
      <c r="E525" s="3"/>
    </row>
    <row r="526">
      <c r="A526" s="3"/>
      <c r="B526" s="19"/>
      <c r="C526" s="19"/>
      <c r="D526" s="19"/>
      <c r="E526" s="3"/>
    </row>
    <row r="527">
      <c r="A527" s="3"/>
      <c r="B527" s="19"/>
      <c r="C527" s="19"/>
      <c r="D527" s="19"/>
      <c r="E527" s="3"/>
    </row>
    <row r="528">
      <c r="A528" s="3"/>
      <c r="B528" s="19"/>
      <c r="C528" s="19"/>
      <c r="D528" s="19"/>
      <c r="E528" s="3"/>
    </row>
    <row r="529">
      <c r="A529" s="3"/>
      <c r="B529" s="19"/>
      <c r="C529" s="19"/>
      <c r="D529" s="19"/>
      <c r="E529" s="3"/>
    </row>
    <row r="530">
      <c r="A530" s="3"/>
      <c r="B530" s="19"/>
      <c r="C530" s="19"/>
      <c r="D530" s="19"/>
      <c r="E530" s="3"/>
    </row>
    <row r="531">
      <c r="A531" s="3"/>
      <c r="B531" s="19"/>
      <c r="C531" s="19"/>
      <c r="D531" s="19"/>
      <c r="E531" s="3"/>
    </row>
    <row r="532">
      <c r="A532" s="3"/>
      <c r="B532" s="19"/>
      <c r="C532" s="19"/>
      <c r="D532" s="19"/>
      <c r="E532" s="3"/>
    </row>
    <row r="533">
      <c r="A533" s="3"/>
      <c r="B533" s="19"/>
      <c r="C533" s="19"/>
      <c r="D533" s="19"/>
      <c r="E533" s="3"/>
    </row>
    <row r="534">
      <c r="A534" s="3"/>
      <c r="B534" s="19"/>
      <c r="C534" s="19"/>
      <c r="D534" s="19"/>
      <c r="E534" s="3"/>
    </row>
    <row r="535">
      <c r="A535" s="3"/>
      <c r="B535" s="19"/>
      <c r="C535" s="19"/>
      <c r="D535" s="19"/>
      <c r="E535" s="3"/>
    </row>
    <row r="536">
      <c r="A536" s="3"/>
      <c r="B536" s="19"/>
      <c r="C536" s="19"/>
      <c r="D536" s="19"/>
      <c r="E536" s="3"/>
    </row>
    <row r="537">
      <c r="A537" s="3"/>
      <c r="B537" s="19"/>
      <c r="C537" s="19"/>
      <c r="D537" s="19"/>
      <c r="E537" s="3"/>
    </row>
    <row r="538">
      <c r="A538" s="3"/>
      <c r="B538" s="19"/>
      <c r="C538" s="19"/>
      <c r="D538" s="19"/>
      <c r="E538" s="3"/>
    </row>
    <row r="539">
      <c r="A539" s="3"/>
      <c r="B539" s="19"/>
      <c r="C539" s="19"/>
      <c r="D539" s="19"/>
      <c r="E539" s="3"/>
    </row>
    <row r="540">
      <c r="A540" s="3"/>
      <c r="B540" s="19"/>
      <c r="C540" s="19"/>
      <c r="D540" s="19"/>
      <c r="E540" s="3"/>
    </row>
    <row r="541">
      <c r="A541" s="3"/>
      <c r="B541" s="19"/>
      <c r="C541" s="19"/>
      <c r="D541" s="19"/>
      <c r="E541" s="3"/>
    </row>
    <row r="542">
      <c r="A542" s="3"/>
      <c r="B542" s="19"/>
      <c r="C542" s="19"/>
      <c r="D542" s="19"/>
      <c r="E542" s="3"/>
    </row>
    <row r="543">
      <c r="A543" s="3"/>
      <c r="B543" s="19"/>
      <c r="C543" s="19"/>
      <c r="D543" s="19"/>
      <c r="E543" s="3"/>
    </row>
    <row r="544">
      <c r="A544" s="3"/>
      <c r="B544" s="19"/>
      <c r="C544" s="19"/>
      <c r="D544" s="19"/>
      <c r="E544" s="3"/>
    </row>
    <row r="545">
      <c r="A545" s="3"/>
      <c r="B545" s="19"/>
      <c r="C545" s="19"/>
      <c r="D545" s="19"/>
      <c r="E545" s="3"/>
    </row>
    <row r="546">
      <c r="A546" s="3"/>
      <c r="B546" s="19"/>
      <c r="C546" s="19"/>
      <c r="D546" s="19"/>
      <c r="E546" s="3"/>
    </row>
    <row r="547">
      <c r="A547" s="3"/>
      <c r="B547" s="19"/>
      <c r="C547" s="19"/>
      <c r="D547" s="19"/>
      <c r="E547" s="3"/>
    </row>
    <row r="548">
      <c r="A548" s="3"/>
      <c r="B548" s="19"/>
      <c r="C548" s="19"/>
      <c r="D548" s="19"/>
      <c r="E548" s="3"/>
    </row>
    <row r="549">
      <c r="A549" s="3"/>
      <c r="B549" s="19"/>
      <c r="C549" s="19"/>
      <c r="D549" s="19"/>
      <c r="E549" s="3"/>
    </row>
    <row r="550">
      <c r="A550" s="3"/>
      <c r="B550" s="19"/>
      <c r="C550" s="19"/>
      <c r="D550" s="19"/>
      <c r="E550" s="3"/>
    </row>
    <row r="551">
      <c r="A551" s="3"/>
      <c r="B551" s="19"/>
      <c r="C551" s="19"/>
      <c r="D551" s="19"/>
      <c r="E551" s="3"/>
    </row>
    <row r="552">
      <c r="A552" s="3"/>
      <c r="B552" s="19"/>
      <c r="C552" s="19"/>
      <c r="D552" s="19"/>
      <c r="E552" s="3"/>
    </row>
    <row r="553">
      <c r="A553" s="3"/>
      <c r="B553" s="19"/>
      <c r="C553" s="19"/>
      <c r="D553" s="19"/>
      <c r="E553" s="3"/>
    </row>
    <row r="554">
      <c r="A554" s="3"/>
      <c r="B554" s="19"/>
      <c r="C554" s="19"/>
      <c r="D554" s="19"/>
      <c r="E554" s="3"/>
    </row>
    <row r="555">
      <c r="A555" s="3"/>
      <c r="B555" s="19"/>
      <c r="C555" s="19"/>
      <c r="D555" s="19"/>
      <c r="E555" s="3"/>
    </row>
    <row r="556">
      <c r="A556" s="3"/>
      <c r="B556" s="19"/>
      <c r="C556" s="19"/>
      <c r="D556" s="19"/>
      <c r="E556" s="3"/>
    </row>
    <row r="557">
      <c r="A557" s="3"/>
      <c r="B557" s="19"/>
      <c r="C557" s="19"/>
      <c r="D557" s="19"/>
      <c r="E557" s="3"/>
    </row>
    <row r="558">
      <c r="A558" s="3"/>
      <c r="B558" s="19"/>
      <c r="C558" s="19"/>
      <c r="D558" s="19"/>
      <c r="E558" s="3"/>
    </row>
    <row r="559">
      <c r="A559" s="3"/>
      <c r="B559" s="19"/>
      <c r="C559" s="19"/>
      <c r="D559" s="19"/>
      <c r="E559" s="3"/>
    </row>
    <row r="560">
      <c r="A560" s="3"/>
      <c r="B560" s="19"/>
      <c r="C560" s="19"/>
      <c r="D560" s="19"/>
      <c r="E560" s="3"/>
    </row>
    <row r="561">
      <c r="A561" s="3"/>
      <c r="B561" s="19"/>
      <c r="C561" s="19"/>
      <c r="D561" s="19"/>
      <c r="E561" s="3"/>
    </row>
    <row r="562">
      <c r="A562" s="3"/>
      <c r="B562" s="19"/>
      <c r="C562" s="19"/>
      <c r="D562" s="19"/>
      <c r="E562" s="3"/>
    </row>
    <row r="563">
      <c r="A563" s="3"/>
      <c r="B563" s="19"/>
      <c r="C563" s="19"/>
      <c r="D563" s="19"/>
      <c r="E563" s="3"/>
    </row>
    <row r="564">
      <c r="A564" s="3"/>
      <c r="B564" s="19"/>
      <c r="C564" s="19"/>
      <c r="D564" s="19"/>
      <c r="E564" s="3"/>
    </row>
    <row r="565">
      <c r="A565" s="3"/>
      <c r="B565" s="19"/>
      <c r="C565" s="19"/>
      <c r="D565" s="19"/>
      <c r="E565" s="3"/>
    </row>
    <row r="566">
      <c r="A566" s="3"/>
      <c r="B566" s="19"/>
      <c r="C566" s="19"/>
      <c r="D566" s="19"/>
      <c r="E566" s="3"/>
    </row>
    <row r="567">
      <c r="A567" s="3"/>
      <c r="B567" s="19"/>
      <c r="C567" s="19"/>
      <c r="D567" s="19"/>
      <c r="E567" s="3"/>
    </row>
    <row r="568">
      <c r="A568" s="3"/>
      <c r="B568" s="19"/>
      <c r="C568" s="19"/>
      <c r="D568" s="19"/>
      <c r="E568" s="3"/>
    </row>
    <row r="569">
      <c r="A569" s="3"/>
      <c r="B569" s="19"/>
      <c r="C569" s="19"/>
      <c r="D569" s="19"/>
      <c r="E569" s="3"/>
    </row>
    <row r="570">
      <c r="A570" s="3"/>
      <c r="B570" s="19"/>
      <c r="C570" s="19"/>
      <c r="D570" s="19"/>
      <c r="E570" s="3"/>
    </row>
    <row r="571">
      <c r="A571" s="3"/>
      <c r="B571" s="19"/>
      <c r="C571" s="19"/>
      <c r="D571" s="19"/>
      <c r="E571" s="3"/>
    </row>
    <row r="572">
      <c r="A572" s="3"/>
      <c r="B572" s="19"/>
      <c r="C572" s="19"/>
      <c r="D572" s="19"/>
      <c r="E572" s="3"/>
    </row>
    <row r="573">
      <c r="A573" s="3"/>
      <c r="B573" s="19"/>
      <c r="C573" s="19"/>
      <c r="D573" s="19"/>
      <c r="E573" s="3"/>
    </row>
    <row r="574">
      <c r="A574" s="3"/>
      <c r="B574" s="19"/>
      <c r="C574" s="19"/>
      <c r="D574" s="19"/>
      <c r="E574" s="3"/>
    </row>
    <row r="575">
      <c r="A575" s="3"/>
      <c r="B575" s="19"/>
      <c r="C575" s="19"/>
      <c r="D575" s="19"/>
      <c r="E575" s="3"/>
    </row>
    <row r="576">
      <c r="A576" s="3"/>
      <c r="B576" s="19"/>
      <c r="C576" s="19"/>
      <c r="D576" s="19"/>
      <c r="E576" s="3"/>
    </row>
    <row r="577">
      <c r="A577" s="3"/>
      <c r="B577" s="19"/>
      <c r="C577" s="19"/>
      <c r="D577" s="19"/>
      <c r="E577" s="3"/>
    </row>
    <row r="578">
      <c r="A578" s="3"/>
      <c r="B578" s="19"/>
      <c r="C578" s="19"/>
      <c r="D578" s="19"/>
      <c r="E578" s="3"/>
    </row>
    <row r="579">
      <c r="A579" s="3"/>
      <c r="B579" s="19"/>
      <c r="C579" s="19"/>
      <c r="D579" s="19"/>
      <c r="E579" s="3"/>
    </row>
    <row r="580">
      <c r="A580" s="3"/>
      <c r="B580" s="19"/>
      <c r="C580" s="19"/>
      <c r="D580" s="19"/>
      <c r="E580" s="3"/>
    </row>
    <row r="581">
      <c r="A581" s="3"/>
      <c r="B581" s="19"/>
      <c r="C581" s="19"/>
      <c r="D581" s="19"/>
      <c r="E581" s="3"/>
    </row>
    <row r="582">
      <c r="A582" s="3"/>
      <c r="B582" s="19"/>
      <c r="C582" s="19"/>
      <c r="D582" s="19"/>
      <c r="E582" s="3"/>
    </row>
    <row r="583">
      <c r="A583" s="3"/>
      <c r="B583" s="19"/>
      <c r="C583" s="19"/>
      <c r="D583" s="19"/>
      <c r="E583" s="3"/>
    </row>
    <row r="584">
      <c r="A584" s="3"/>
      <c r="B584" s="19"/>
      <c r="C584" s="19"/>
      <c r="D584" s="19"/>
      <c r="E584" s="3"/>
    </row>
    <row r="585">
      <c r="A585" s="3"/>
      <c r="B585" s="19"/>
      <c r="C585" s="19"/>
      <c r="D585" s="19"/>
      <c r="E585" s="3"/>
    </row>
    <row r="586">
      <c r="A586" s="3"/>
      <c r="B586" s="19"/>
      <c r="C586" s="19"/>
      <c r="D586" s="19"/>
      <c r="E586" s="3"/>
    </row>
    <row r="587">
      <c r="A587" s="3"/>
      <c r="B587" s="19"/>
      <c r="C587" s="19"/>
      <c r="D587" s="19"/>
      <c r="E587" s="3"/>
    </row>
    <row r="588">
      <c r="A588" s="3"/>
      <c r="B588" s="19"/>
      <c r="C588" s="19"/>
      <c r="D588" s="19"/>
      <c r="E588" s="3"/>
    </row>
    <row r="589">
      <c r="A589" s="3"/>
      <c r="B589" s="19"/>
      <c r="C589" s="19"/>
      <c r="D589" s="19"/>
      <c r="E589" s="3"/>
    </row>
    <row r="590">
      <c r="A590" s="3"/>
      <c r="B590" s="19"/>
      <c r="C590" s="19"/>
      <c r="D590" s="19"/>
      <c r="E590" s="3"/>
    </row>
    <row r="591">
      <c r="A591" s="3"/>
      <c r="B591" s="19"/>
      <c r="C591" s="19"/>
      <c r="D591" s="19"/>
      <c r="E591" s="3"/>
    </row>
    <row r="592">
      <c r="A592" s="3"/>
      <c r="B592" s="19"/>
      <c r="C592" s="19"/>
      <c r="D592" s="19"/>
      <c r="E592" s="3"/>
    </row>
    <row r="593">
      <c r="A593" s="3"/>
      <c r="B593" s="19"/>
      <c r="C593" s="19"/>
      <c r="D593" s="19"/>
      <c r="E593" s="3"/>
    </row>
    <row r="594">
      <c r="A594" s="3"/>
      <c r="B594" s="19"/>
      <c r="C594" s="19"/>
      <c r="D594" s="19"/>
      <c r="E594" s="3"/>
    </row>
    <row r="595">
      <c r="A595" s="3"/>
      <c r="B595" s="19"/>
      <c r="C595" s="19"/>
      <c r="D595" s="19"/>
      <c r="E595" s="3"/>
    </row>
    <row r="596">
      <c r="A596" s="3"/>
      <c r="B596" s="19"/>
      <c r="C596" s="19"/>
      <c r="D596" s="19"/>
      <c r="E596" s="3"/>
    </row>
    <row r="597">
      <c r="A597" s="3"/>
      <c r="B597" s="19"/>
      <c r="C597" s="19"/>
      <c r="D597" s="19"/>
      <c r="E597" s="3"/>
    </row>
    <row r="598">
      <c r="A598" s="3"/>
      <c r="B598" s="19"/>
      <c r="C598" s="19"/>
      <c r="D598" s="19"/>
      <c r="E598" s="3"/>
    </row>
    <row r="599">
      <c r="A599" s="3"/>
      <c r="B599" s="19"/>
      <c r="C599" s="19"/>
      <c r="D599" s="19"/>
      <c r="E599" s="3"/>
    </row>
    <row r="600">
      <c r="A600" s="3"/>
      <c r="B600" s="19"/>
      <c r="C600" s="19"/>
      <c r="D600" s="19"/>
      <c r="E600" s="3"/>
    </row>
    <row r="601">
      <c r="A601" s="3"/>
      <c r="B601" s="19"/>
      <c r="C601" s="19"/>
      <c r="D601" s="19"/>
      <c r="E601" s="3"/>
    </row>
    <row r="602">
      <c r="A602" s="3"/>
      <c r="B602" s="19"/>
      <c r="C602" s="19"/>
      <c r="D602" s="19"/>
      <c r="E602" s="3"/>
    </row>
    <row r="603">
      <c r="A603" s="3"/>
      <c r="B603" s="19"/>
      <c r="C603" s="19"/>
      <c r="D603" s="19"/>
      <c r="E603" s="3"/>
    </row>
    <row r="604">
      <c r="A604" s="3"/>
      <c r="B604" s="19"/>
      <c r="C604" s="19"/>
      <c r="D604" s="19"/>
      <c r="E604" s="3"/>
    </row>
    <row r="605">
      <c r="A605" s="3"/>
      <c r="B605" s="19"/>
      <c r="C605" s="19"/>
      <c r="D605" s="19"/>
      <c r="E605" s="3"/>
    </row>
    <row r="606">
      <c r="A606" s="3"/>
      <c r="B606" s="19"/>
      <c r="C606" s="19"/>
      <c r="D606" s="19"/>
      <c r="E606" s="3"/>
    </row>
    <row r="607">
      <c r="A607" s="3"/>
      <c r="B607" s="19"/>
      <c r="C607" s="19"/>
      <c r="D607" s="19"/>
      <c r="E607" s="3"/>
    </row>
    <row r="608">
      <c r="A608" s="3"/>
      <c r="B608" s="19"/>
      <c r="C608" s="19"/>
      <c r="D608" s="19"/>
      <c r="E608" s="3"/>
    </row>
    <row r="609">
      <c r="A609" s="3"/>
      <c r="B609" s="19"/>
      <c r="C609" s="19"/>
      <c r="D609" s="19"/>
      <c r="E609" s="3"/>
    </row>
    <row r="610">
      <c r="A610" s="3"/>
      <c r="B610" s="19"/>
      <c r="C610" s="19"/>
      <c r="D610" s="19"/>
      <c r="E610" s="3"/>
    </row>
    <row r="611">
      <c r="A611" s="3"/>
      <c r="B611" s="19"/>
      <c r="C611" s="19"/>
      <c r="D611" s="19"/>
      <c r="E611" s="3"/>
    </row>
    <row r="612">
      <c r="A612" s="3"/>
      <c r="B612" s="19"/>
      <c r="C612" s="19"/>
      <c r="D612" s="19"/>
      <c r="E612" s="3"/>
    </row>
    <row r="613">
      <c r="A613" s="3"/>
      <c r="B613" s="19"/>
      <c r="C613" s="19"/>
      <c r="D613" s="19"/>
      <c r="E613" s="3"/>
    </row>
    <row r="614">
      <c r="A614" s="3"/>
      <c r="B614" s="19"/>
      <c r="C614" s="19"/>
      <c r="D614" s="19"/>
      <c r="E614" s="3"/>
    </row>
    <row r="615">
      <c r="A615" s="3"/>
      <c r="B615" s="19"/>
      <c r="C615" s="19"/>
      <c r="D615" s="19"/>
      <c r="E615" s="3"/>
    </row>
    <row r="616">
      <c r="A616" s="3"/>
      <c r="B616" s="19"/>
      <c r="C616" s="19"/>
      <c r="D616" s="19"/>
      <c r="E616" s="3"/>
    </row>
    <row r="617">
      <c r="A617" s="3"/>
      <c r="B617" s="19"/>
      <c r="C617" s="19"/>
      <c r="D617" s="19"/>
      <c r="E617" s="3"/>
    </row>
    <row r="618">
      <c r="A618" s="3"/>
      <c r="B618" s="19"/>
      <c r="C618" s="19"/>
      <c r="D618" s="19"/>
      <c r="E618" s="3"/>
    </row>
    <row r="619">
      <c r="A619" s="3"/>
      <c r="B619" s="19"/>
      <c r="C619" s="19"/>
      <c r="D619" s="19"/>
      <c r="E619" s="3"/>
    </row>
    <row r="620">
      <c r="A620" s="3"/>
      <c r="B620" s="19"/>
      <c r="C620" s="19"/>
      <c r="D620" s="19"/>
      <c r="E620" s="3"/>
    </row>
    <row r="621">
      <c r="A621" s="3"/>
      <c r="B621" s="19"/>
      <c r="C621" s="19"/>
      <c r="D621" s="19"/>
      <c r="E621" s="3"/>
    </row>
    <row r="622">
      <c r="A622" s="3"/>
      <c r="B622" s="19"/>
      <c r="C622" s="19"/>
      <c r="D622" s="19"/>
      <c r="E622" s="3"/>
    </row>
    <row r="623">
      <c r="A623" s="3"/>
      <c r="B623" s="19"/>
      <c r="C623" s="19"/>
      <c r="D623" s="19"/>
      <c r="E623" s="3"/>
    </row>
    <row r="624">
      <c r="A624" s="3"/>
      <c r="B624" s="19"/>
      <c r="C624" s="19"/>
      <c r="D624" s="19"/>
      <c r="E624" s="3"/>
    </row>
    <row r="625">
      <c r="A625" s="3"/>
      <c r="B625" s="19"/>
      <c r="C625" s="19"/>
      <c r="D625" s="19"/>
      <c r="E625" s="3"/>
    </row>
    <row r="626">
      <c r="A626" s="3"/>
      <c r="B626" s="19"/>
      <c r="C626" s="19"/>
      <c r="D626" s="19"/>
      <c r="E626" s="3"/>
    </row>
    <row r="627">
      <c r="A627" s="3"/>
      <c r="B627" s="19"/>
      <c r="C627" s="19"/>
      <c r="D627" s="19"/>
      <c r="E627" s="3"/>
    </row>
    <row r="628">
      <c r="A628" s="3"/>
      <c r="B628" s="19"/>
      <c r="C628" s="19"/>
      <c r="D628" s="19"/>
      <c r="E628" s="3"/>
    </row>
    <row r="629">
      <c r="A629" s="3"/>
      <c r="B629" s="19"/>
      <c r="C629" s="19"/>
      <c r="D629" s="19"/>
      <c r="E629" s="3"/>
    </row>
    <row r="630">
      <c r="A630" s="3"/>
      <c r="B630" s="19"/>
      <c r="C630" s="19"/>
      <c r="D630" s="19"/>
      <c r="E630" s="3"/>
    </row>
    <row r="631">
      <c r="A631" s="3"/>
      <c r="B631" s="19"/>
      <c r="C631" s="19"/>
      <c r="D631" s="19"/>
      <c r="E631" s="3"/>
    </row>
    <row r="632">
      <c r="A632" s="3"/>
      <c r="B632" s="19"/>
      <c r="C632" s="19"/>
      <c r="D632" s="19"/>
      <c r="E632" s="3"/>
    </row>
    <row r="633">
      <c r="A633" s="3"/>
      <c r="B633" s="19"/>
      <c r="C633" s="19"/>
      <c r="D633" s="19"/>
      <c r="E633" s="3"/>
    </row>
    <row r="634">
      <c r="A634" s="3"/>
      <c r="B634" s="19"/>
      <c r="C634" s="19"/>
      <c r="D634" s="19"/>
      <c r="E634" s="3"/>
    </row>
    <row r="635">
      <c r="A635" s="3"/>
      <c r="B635" s="19"/>
      <c r="C635" s="19"/>
      <c r="D635" s="19"/>
      <c r="E635" s="3"/>
    </row>
    <row r="636">
      <c r="A636" s="3"/>
      <c r="B636" s="19"/>
      <c r="C636" s="19"/>
      <c r="D636" s="19"/>
      <c r="E636" s="3"/>
    </row>
    <row r="637">
      <c r="A637" s="3"/>
      <c r="B637" s="19"/>
      <c r="C637" s="19"/>
      <c r="D637" s="19"/>
      <c r="E637" s="3"/>
    </row>
    <row r="638">
      <c r="A638" s="3"/>
      <c r="B638" s="19"/>
      <c r="C638" s="19"/>
      <c r="D638" s="19"/>
      <c r="E638" s="3"/>
    </row>
    <row r="639">
      <c r="A639" s="3"/>
      <c r="B639" s="19"/>
      <c r="C639" s="19"/>
      <c r="D639" s="19"/>
      <c r="E639" s="3"/>
    </row>
    <row r="640">
      <c r="A640" s="3"/>
      <c r="B640" s="19"/>
      <c r="C640" s="19"/>
      <c r="D640" s="19"/>
      <c r="E640" s="3"/>
    </row>
    <row r="641">
      <c r="A641" s="3"/>
      <c r="B641" s="19"/>
      <c r="C641" s="19"/>
      <c r="D641" s="19"/>
      <c r="E641" s="3"/>
    </row>
    <row r="642">
      <c r="A642" s="3"/>
      <c r="B642" s="19"/>
      <c r="C642" s="19"/>
      <c r="D642" s="19"/>
      <c r="E642" s="3"/>
    </row>
    <row r="643">
      <c r="A643" s="3"/>
      <c r="B643" s="19"/>
      <c r="C643" s="19"/>
      <c r="D643" s="19"/>
      <c r="E643" s="3"/>
    </row>
    <row r="644">
      <c r="A644" s="3"/>
      <c r="B644" s="19"/>
      <c r="C644" s="19"/>
      <c r="D644" s="19"/>
      <c r="E644" s="3"/>
    </row>
    <row r="645">
      <c r="A645" s="3"/>
      <c r="B645" s="19"/>
      <c r="C645" s="19"/>
      <c r="D645" s="19"/>
      <c r="E645" s="3"/>
    </row>
    <row r="646">
      <c r="A646" s="3"/>
      <c r="B646" s="19"/>
      <c r="C646" s="19"/>
      <c r="D646" s="19"/>
      <c r="E646" s="3"/>
    </row>
    <row r="647">
      <c r="A647" s="3"/>
      <c r="B647" s="19"/>
      <c r="C647" s="19"/>
      <c r="D647" s="19"/>
      <c r="E647" s="3"/>
    </row>
    <row r="648">
      <c r="A648" s="3"/>
      <c r="B648" s="19"/>
      <c r="C648" s="19"/>
      <c r="D648" s="19"/>
      <c r="E648" s="3"/>
    </row>
    <row r="649">
      <c r="A649" s="3"/>
      <c r="B649" s="19"/>
      <c r="C649" s="19"/>
      <c r="D649" s="19"/>
      <c r="E649" s="3"/>
    </row>
    <row r="650">
      <c r="A650" s="3"/>
      <c r="B650" s="19"/>
      <c r="C650" s="19"/>
      <c r="D650" s="19"/>
      <c r="E650" s="3"/>
    </row>
    <row r="651">
      <c r="A651" s="3"/>
      <c r="B651" s="19"/>
      <c r="C651" s="19"/>
      <c r="D651" s="19"/>
      <c r="E651" s="3"/>
    </row>
    <row r="652">
      <c r="A652" s="3"/>
      <c r="B652" s="19"/>
      <c r="C652" s="19"/>
      <c r="D652" s="19"/>
      <c r="E652" s="3"/>
    </row>
    <row r="653">
      <c r="A653" s="3"/>
      <c r="B653" s="19"/>
      <c r="C653" s="19"/>
      <c r="D653" s="19"/>
      <c r="E653" s="3"/>
    </row>
    <row r="654">
      <c r="A654" s="3"/>
      <c r="B654" s="19"/>
      <c r="C654" s="19"/>
      <c r="D654" s="19"/>
      <c r="E654" s="3"/>
    </row>
    <row r="655">
      <c r="A655" s="3"/>
      <c r="B655" s="19"/>
      <c r="C655" s="19"/>
      <c r="D655" s="19"/>
      <c r="E655" s="3"/>
    </row>
    <row r="656">
      <c r="A656" s="3"/>
      <c r="B656" s="19"/>
      <c r="C656" s="19"/>
      <c r="D656" s="19"/>
      <c r="E656" s="3"/>
    </row>
    <row r="657">
      <c r="A657" s="3"/>
      <c r="B657" s="19"/>
      <c r="C657" s="19"/>
      <c r="D657" s="19"/>
      <c r="E657" s="3"/>
    </row>
    <row r="658">
      <c r="A658" s="3"/>
      <c r="B658" s="19"/>
      <c r="C658" s="19"/>
      <c r="D658" s="19"/>
      <c r="E658" s="3"/>
    </row>
    <row r="659">
      <c r="A659" s="3"/>
      <c r="B659" s="19"/>
      <c r="C659" s="19"/>
      <c r="D659" s="19"/>
      <c r="E659" s="3"/>
    </row>
    <row r="660">
      <c r="A660" s="3"/>
      <c r="B660" s="19"/>
      <c r="C660" s="19"/>
      <c r="D660" s="19"/>
      <c r="E660" s="3"/>
    </row>
    <row r="661">
      <c r="A661" s="3"/>
      <c r="B661" s="19"/>
      <c r="C661" s="19"/>
      <c r="D661" s="19"/>
      <c r="E661" s="3"/>
    </row>
    <row r="662">
      <c r="A662" s="3"/>
      <c r="B662" s="19"/>
      <c r="C662" s="19"/>
      <c r="D662" s="19"/>
      <c r="E662" s="3"/>
    </row>
    <row r="663">
      <c r="A663" s="3"/>
      <c r="B663" s="19"/>
      <c r="C663" s="19"/>
      <c r="D663" s="19"/>
      <c r="E663" s="3"/>
    </row>
    <row r="664">
      <c r="A664" s="3"/>
      <c r="B664" s="19"/>
      <c r="C664" s="19"/>
      <c r="D664" s="19"/>
      <c r="E664" s="3"/>
    </row>
    <row r="665">
      <c r="A665" s="3"/>
      <c r="B665" s="19"/>
      <c r="C665" s="19"/>
      <c r="D665" s="19"/>
      <c r="E665" s="3"/>
    </row>
    <row r="666">
      <c r="A666" s="3"/>
      <c r="B666" s="19"/>
      <c r="C666" s="19"/>
      <c r="D666" s="19"/>
      <c r="E666" s="3"/>
    </row>
    <row r="667">
      <c r="A667" s="3"/>
      <c r="B667" s="19"/>
      <c r="C667" s="19"/>
      <c r="D667" s="19"/>
      <c r="E667" s="3"/>
    </row>
    <row r="668">
      <c r="A668" s="3"/>
      <c r="B668" s="19"/>
      <c r="C668" s="19"/>
      <c r="D668" s="19"/>
      <c r="E668" s="3"/>
    </row>
    <row r="669">
      <c r="A669" s="3"/>
      <c r="B669" s="19"/>
      <c r="C669" s="19"/>
      <c r="D669" s="19"/>
      <c r="E669" s="3"/>
    </row>
    <row r="670">
      <c r="A670" s="3"/>
      <c r="B670" s="19"/>
      <c r="C670" s="19"/>
      <c r="D670" s="19"/>
      <c r="E670" s="3"/>
    </row>
    <row r="671">
      <c r="A671" s="3"/>
      <c r="B671" s="19"/>
      <c r="C671" s="19"/>
      <c r="D671" s="19"/>
      <c r="E671" s="3"/>
    </row>
    <row r="672">
      <c r="A672" s="3"/>
      <c r="B672" s="19"/>
      <c r="C672" s="19"/>
      <c r="D672" s="19"/>
      <c r="E672" s="3"/>
    </row>
    <row r="673">
      <c r="A673" s="3"/>
      <c r="B673" s="19"/>
      <c r="C673" s="19"/>
      <c r="D673" s="19"/>
      <c r="E673" s="3"/>
    </row>
    <row r="674">
      <c r="A674" s="3"/>
      <c r="B674" s="19"/>
      <c r="C674" s="19"/>
      <c r="D674" s="19"/>
      <c r="E674" s="3"/>
    </row>
    <row r="675">
      <c r="A675" s="3"/>
      <c r="B675" s="19"/>
      <c r="C675" s="19"/>
      <c r="D675" s="19"/>
      <c r="E675" s="3"/>
    </row>
    <row r="676">
      <c r="A676" s="3"/>
      <c r="B676" s="19"/>
      <c r="C676" s="19"/>
      <c r="D676" s="19"/>
      <c r="E676" s="3"/>
    </row>
    <row r="677">
      <c r="A677" s="3"/>
      <c r="B677" s="19"/>
      <c r="C677" s="19"/>
      <c r="D677" s="19"/>
      <c r="E677" s="3"/>
    </row>
    <row r="678">
      <c r="A678" s="3"/>
      <c r="B678" s="19"/>
      <c r="C678" s="19"/>
      <c r="D678" s="19"/>
      <c r="E678" s="3"/>
    </row>
    <row r="679">
      <c r="A679" s="3"/>
      <c r="B679" s="19"/>
      <c r="C679" s="19"/>
      <c r="D679" s="19"/>
      <c r="E679" s="3"/>
    </row>
    <row r="680">
      <c r="A680" s="3"/>
      <c r="B680" s="19"/>
      <c r="C680" s="19"/>
      <c r="D680" s="19"/>
      <c r="E680" s="3"/>
    </row>
    <row r="681">
      <c r="A681" s="3"/>
      <c r="B681" s="19"/>
      <c r="C681" s="19"/>
      <c r="D681" s="19"/>
      <c r="E681" s="3"/>
    </row>
    <row r="682">
      <c r="A682" s="3"/>
      <c r="B682" s="19"/>
      <c r="C682" s="19"/>
      <c r="D682" s="19"/>
      <c r="E682" s="3"/>
    </row>
    <row r="683">
      <c r="A683" s="3"/>
      <c r="B683" s="19"/>
      <c r="C683" s="19"/>
      <c r="D683" s="19"/>
      <c r="E683" s="3"/>
    </row>
    <row r="684">
      <c r="A684" s="3"/>
      <c r="B684" s="19"/>
      <c r="C684" s="19"/>
      <c r="D684" s="19"/>
      <c r="E684" s="3"/>
    </row>
    <row r="685">
      <c r="A685" s="3"/>
      <c r="B685" s="19"/>
      <c r="C685" s="19"/>
      <c r="D685" s="19"/>
      <c r="E685" s="3"/>
    </row>
    <row r="686">
      <c r="A686" s="3"/>
      <c r="B686" s="19"/>
      <c r="C686" s="19"/>
      <c r="D686" s="19"/>
      <c r="E686" s="3"/>
    </row>
    <row r="687">
      <c r="A687" s="3"/>
      <c r="B687" s="19"/>
      <c r="C687" s="19"/>
      <c r="D687" s="19"/>
      <c r="E687" s="3"/>
    </row>
    <row r="688">
      <c r="A688" s="3"/>
      <c r="B688" s="19"/>
      <c r="C688" s="19"/>
      <c r="D688" s="19"/>
      <c r="E688" s="3"/>
    </row>
    <row r="689">
      <c r="A689" s="3"/>
      <c r="B689" s="19"/>
      <c r="C689" s="19"/>
      <c r="D689" s="19"/>
      <c r="E689" s="3"/>
    </row>
    <row r="690">
      <c r="A690" s="3"/>
      <c r="B690" s="19"/>
      <c r="C690" s="19"/>
      <c r="D690" s="19"/>
      <c r="E690" s="3"/>
    </row>
    <row r="691">
      <c r="A691" s="3"/>
      <c r="B691" s="19"/>
      <c r="C691" s="19"/>
      <c r="D691" s="19"/>
      <c r="E691" s="3"/>
    </row>
    <row r="692">
      <c r="A692" s="3"/>
      <c r="B692" s="19"/>
      <c r="C692" s="19"/>
      <c r="D692" s="19"/>
      <c r="E692" s="3"/>
    </row>
    <row r="693">
      <c r="A693" s="3"/>
      <c r="B693" s="19"/>
      <c r="C693" s="19"/>
      <c r="D693" s="19"/>
      <c r="E693" s="3"/>
    </row>
    <row r="694">
      <c r="A694" s="3"/>
      <c r="B694" s="19"/>
      <c r="C694" s="19"/>
      <c r="D694" s="19"/>
      <c r="E694" s="3"/>
    </row>
    <row r="695">
      <c r="A695" s="3"/>
      <c r="B695" s="19"/>
      <c r="C695" s="19"/>
      <c r="D695" s="19"/>
      <c r="E695" s="3"/>
    </row>
    <row r="696">
      <c r="A696" s="3"/>
      <c r="B696" s="19"/>
      <c r="C696" s="19"/>
      <c r="D696" s="19"/>
      <c r="E696" s="3"/>
    </row>
    <row r="697">
      <c r="A697" s="3"/>
      <c r="B697" s="19"/>
      <c r="C697" s="19"/>
      <c r="D697" s="19"/>
      <c r="E697" s="3"/>
    </row>
    <row r="698">
      <c r="A698" s="3"/>
      <c r="B698" s="19"/>
      <c r="C698" s="19"/>
      <c r="D698" s="19"/>
      <c r="E698" s="3"/>
    </row>
    <row r="699">
      <c r="A699" s="3"/>
      <c r="B699" s="19"/>
      <c r="C699" s="19"/>
      <c r="D699" s="19"/>
      <c r="E699" s="3"/>
    </row>
    <row r="700">
      <c r="A700" s="3"/>
      <c r="B700" s="19"/>
      <c r="C700" s="19"/>
      <c r="D700" s="19"/>
      <c r="E700" s="3"/>
    </row>
    <row r="701">
      <c r="A701" s="3"/>
      <c r="B701" s="19"/>
      <c r="C701" s="19"/>
      <c r="D701" s="19"/>
      <c r="E701" s="3"/>
    </row>
    <row r="702">
      <c r="A702" s="3"/>
      <c r="B702" s="19"/>
      <c r="C702" s="19"/>
      <c r="D702" s="19"/>
      <c r="E702" s="3"/>
    </row>
    <row r="703">
      <c r="A703" s="3"/>
      <c r="B703" s="19"/>
      <c r="C703" s="19"/>
      <c r="D703" s="19"/>
      <c r="E703" s="3"/>
    </row>
    <row r="704">
      <c r="A704" s="3"/>
      <c r="B704" s="19"/>
      <c r="C704" s="19"/>
      <c r="D704" s="19"/>
      <c r="E704" s="3"/>
    </row>
    <row r="705">
      <c r="A705" s="3"/>
      <c r="B705" s="19"/>
      <c r="C705" s="19"/>
      <c r="D705" s="19"/>
      <c r="E705" s="3"/>
    </row>
    <row r="706">
      <c r="A706" s="3"/>
      <c r="B706" s="19"/>
      <c r="C706" s="19"/>
      <c r="D706" s="19"/>
      <c r="E706" s="3"/>
    </row>
    <row r="707">
      <c r="A707" s="3"/>
      <c r="B707" s="19"/>
      <c r="C707" s="19"/>
      <c r="D707" s="19"/>
      <c r="E707" s="3"/>
    </row>
    <row r="708">
      <c r="A708" s="3"/>
      <c r="B708" s="19"/>
      <c r="C708" s="19"/>
      <c r="D708" s="19"/>
      <c r="E708" s="3"/>
    </row>
    <row r="709">
      <c r="A709" s="3"/>
      <c r="B709" s="19"/>
      <c r="C709" s="19"/>
      <c r="D709" s="19"/>
      <c r="E709" s="3"/>
    </row>
    <row r="710">
      <c r="A710" s="3"/>
      <c r="B710" s="19"/>
      <c r="C710" s="19"/>
      <c r="D710" s="19"/>
      <c r="E710" s="3"/>
    </row>
    <row r="711">
      <c r="A711" s="3"/>
      <c r="B711" s="19"/>
      <c r="C711" s="19"/>
      <c r="D711" s="19"/>
      <c r="E711" s="3"/>
    </row>
    <row r="712">
      <c r="A712" s="3"/>
      <c r="B712" s="19"/>
      <c r="C712" s="19"/>
      <c r="D712" s="19"/>
      <c r="E712" s="3"/>
    </row>
    <row r="713">
      <c r="A713" s="3"/>
      <c r="B713" s="19"/>
      <c r="C713" s="19"/>
      <c r="D713" s="19"/>
      <c r="E713" s="3"/>
    </row>
    <row r="714">
      <c r="A714" s="3"/>
      <c r="B714" s="19"/>
      <c r="C714" s="19"/>
      <c r="D714" s="19"/>
      <c r="E714" s="3"/>
    </row>
    <row r="715">
      <c r="A715" s="3"/>
      <c r="B715" s="19"/>
      <c r="C715" s="19"/>
      <c r="D715" s="19"/>
      <c r="E715" s="3"/>
    </row>
    <row r="716">
      <c r="A716" s="3"/>
      <c r="B716" s="19"/>
      <c r="C716" s="19"/>
      <c r="D716" s="19"/>
      <c r="E716" s="3"/>
    </row>
    <row r="717">
      <c r="A717" s="3"/>
      <c r="B717" s="19"/>
      <c r="C717" s="19"/>
      <c r="D717" s="19"/>
      <c r="E717" s="3"/>
    </row>
    <row r="718">
      <c r="A718" s="3"/>
      <c r="B718" s="19"/>
      <c r="C718" s="19"/>
      <c r="D718" s="19"/>
      <c r="E718" s="3"/>
    </row>
    <row r="719">
      <c r="A719" s="3"/>
      <c r="B719" s="19"/>
      <c r="C719" s="19"/>
      <c r="D719" s="19"/>
      <c r="E719" s="3"/>
    </row>
    <row r="720">
      <c r="A720" s="3"/>
      <c r="B720" s="19"/>
      <c r="C720" s="19"/>
      <c r="D720" s="19"/>
      <c r="E720" s="3"/>
    </row>
    <row r="721">
      <c r="A721" s="3"/>
      <c r="B721" s="19"/>
      <c r="C721" s="19"/>
      <c r="D721" s="19"/>
      <c r="E721" s="3"/>
    </row>
    <row r="722">
      <c r="A722" s="3"/>
      <c r="B722" s="19"/>
      <c r="C722" s="19"/>
      <c r="D722" s="19"/>
      <c r="E722" s="3"/>
    </row>
    <row r="723">
      <c r="A723" s="3"/>
      <c r="B723" s="19"/>
      <c r="C723" s="19"/>
      <c r="D723" s="19"/>
      <c r="E723" s="3"/>
    </row>
    <row r="724">
      <c r="A724" s="3"/>
      <c r="B724" s="19"/>
      <c r="C724" s="19"/>
      <c r="D724" s="19"/>
      <c r="E724" s="3"/>
    </row>
    <row r="725">
      <c r="A725" s="3"/>
      <c r="B725" s="19"/>
      <c r="C725" s="19"/>
      <c r="D725" s="19"/>
      <c r="E725" s="3"/>
    </row>
    <row r="726">
      <c r="A726" s="3"/>
      <c r="B726" s="19"/>
      <c r="C726" s="19"/>
      <c r="D726" s="19"/>
      <c r="E726" s="3"/>
    </row>
    <row r="727">
      <c r="A727" s="3"/>
      <c r="B727" s="19"/>
      <c r="C727" s="19"/>
      <c r="D727" s="19"/>
      <c r="E727" s="3"/>
    </row>
    <row r="728">
      <c r="A728" s="3"/>
      <c r="B728" s="19"/>
      <c r="C728" s="19"/>
      <c r="D728" s="19"/>
      <c r="E728" s="3"/>
    </row>
    <row r="729">
      <c r="A729" s="3"/>
      <c r="B729" s="19"/>
      <c r="C729" s="19"/>
      <c r="D729" s="19"/>
      <c r="E729" s="3"/>
    </row>
    <row r="730">
      <c r="A730" s="3"/>
      <c r="B730" s="19"/>
      <c r="C730" s="19"/>
      <c r="D730" s="19"/>
      <c r="E730" s="3"/>
    </row>
    <row r="731">
      <c r="A731" s="3"/>
      <c r="B731" s="19"/>
      <c r="C731" s="19"/>
      <c r="D731" s="19"/>
      <c r="E731" s="3"/>
    </row>
    <row r="732">
      <c r="A732" s="3"/>
      <c r="B732" s="19"/>
      <c r="C732" s="19"/>
      <c r="D732" s="19"/>
      <c r="E732" s="3"/>
    </row>
    <row r="733">
      <c r="A733" s="3"/>
      <c r="B733" s="19"/>
      <c r="C733" s="19"/>
      <c r="D733" s="19"/>
      <c r="E733" s="3"/>
    </row>
    <row r="734">
      <c r="A734" s="3"/>
      <c r="B734" s="19"/>
      <c r="C734" s="19"/>
      <c r="D734" s="19"/>
      <c r="E734" s="3"/>
    </row>
    <row r="735">
      <c r="A735" s="3"/>
      <c r="B735" s="19"/>
      <c r="C735" s="19"/>
      <c r="D735" s="19"/>
      <c r="E735" s="3"/>
    </row>
    <row r="736">
      <c r="A736" s="3"/>
      <c r="B736" s="19"/>
      <c r="C736" s="19"/>
      <c r="D736" s="19"/>
      <c r="E736" s="3"/>
    </row>
    <row r="737">
      <c r="A737" s="3"/>
      <c r="B737" s="19"/>
      <c r="C737" s="19"/>
      <c r="D737" s="19"/>
      <c r="E737" s="3"/>
    </row>
    <row r="738">
      <c r="A738" s="3"/>
      <c r="B738" s="19"/>
      <c r="C738" s="19"/>
      <c r="D738" s="19"/>
      <c r="E738" s="3"/>
    </row>
    <row r="739">
      <c r="A739" s="3"/>
      <c r="B739" s="19"/>
      <c r="C739" s="19"/>
      <c r="D739" s="19"/>
      <c r="E739" s="3"/>
    </row>
    <row r="740">
      <c r="A740" s="3"/>
      <c r="B740" s="19"/>
      <c r="C740" s="19"/>
      <c r="D740" s="19"/>
      <c r="E740" s="3"/>
    </row>
    <row r="741">
      <c r="A741" s="3"/>
      <c r="B741" s="19"/>
      <c r="C741" s="19"/>
      <c r="D741" s="19"/>
      <c r="E741" s="3"/>
    </row>
    <row r="742">
      <c r="A742" s="3"/>
      <c r="B742" s="19"/>
      <c r="C742" s="19"/>
      <c r="D742" s="19"/>
      <c r="E742" s="3"/>
    </row>
    <row r="743">
      <c r="A743" s="3"/>
      <c r="B743" s="19"/>
      <c r="C743" s="19"/>
      <c r="D743" s="19"/>
      <c r="E743" s="3"/>
    </row>
    <row r="744">
      <c r="A744" s="3"/>
      <c r="B744" s="19"/>
      <c r="C744" s="19"/>
      <c r="D744" s="19"/>
      <c r="E744" s="3"/>
    </row>
    <row r="745">
      <c r="A745" s="3"/>
      <c r="B745" s="19"/>
      <c r="C745" s="19"/>
      <c r="D745" s="19"/>
      <c r="E745" s="3"/>
    </row>
    <row r="746">
      <c r="A746" s="3"/>
      <c r="B746" s="19"/>
      <c r="C746" s="19"/>
      <c r="D746" s="19"/>
      <c r="E746" s="3"/>
    </row>
    <row r="747">
      <c r="A747" s="3"/>
      <c r="B747" s="19"/>
      <c r="C747" s="19"/>
      <c r="D747" s="19"/>
      <c r="E747" s="3"/>
    </row>
    <row r="748">
      <c r="A748" s="3"/>
      <c r="B748" s="19"/>
      <c r="C748" s="19"/>
      <c r="D748" s="19"/>
      <c r="E748" s="3"/>
    </row>
    <row r="749">
      <c r="A749" s="3"/>
      <c r="B749" s="19"/>
      <c r="C749" s="19"/>
      <c r="D749" s="19"/>
      <c r="E749" s="3"/>
    </row>
    <row r="750">
      <c r="A750" s="3"/>
      <c r="B750" s="19"/>
      <c r="C750" s="19"/>
      <c r="D750" s="19"/>
      <c r="E750" s="3"/>
    </row>
    <row r="751">
      <c r="A751" s="3"/>
      <c r="B751" s="19"/>
      <c r="C751" s="19"/>
      <c r="D751" s="19"/>
      <c r="E751" s="3"/>
    </row>
    <row r="752">
      <c r="A752" s="3"/>
      <c r="B752" s="19"/>
      <c r="C752" s="19"/>
      <c r="D752" s="19"/>
      <c r="E752" s="3"/>
    </row>
    <row r="753">
      <c r="A753" s="3"/>
      <c r="B753" s="19"/>
      <c r="C753" s="19"/>
      <c r="D753" s="19"/>
      <c r="E753" s="3"/>
    </row>
    <row r="754">
      <c r="A754" s="3"/>
      <c r="B754" s="19"/>
      <c r="C754" s="19"/>
      <c r="D754" s="19"/>
      <c r="E754" s="3"/>
    </row>
    <row r="755">
      <c r="A755" s="3"/>
      <c r="B755" s="19"/>
      <c r="C755" s="19"/>
      <c r="D755" s="19"/>
      <c r="E755" s="3"/>
    </row>
    <row r="756">
      <c r="A756" s="3"/>
      <c r="B756" s="19"/>
      <c r="C756" s="19"/>
      <c r="D756" s="19"/>
      <c r="E756" s="3"/>
    </row>
    <row r="757">
      <c r="A757" s="3"/>
      <c r="B757" s="19"/>
      <c r="C757" s="19"/>
      <c r="D757" s="19"/>
      <c r="E757" s="3"/>
    </row>
    <row r="758">
      <c r="A758" s="3"/>
      <c r="B758" s="19"/>
      <c r="C758" s="19"/>
      <c r="D758" s="19"/>
      <c r="E758" s="3"/>
    </row>
    <row r="759">
      <c r="A759" s="3"/>
      <c r="B759" s="19"/>
      <c r="C759" s="19"/>
      <c r="D759" s="19"/>
      <c r="E759" s="3"/>
    </row>
    <row r="760">
      <c r="A760" s="3"/>
      <c r="B760" s="19"/>
      <c r="C760" s="19"/>
      <c r="D760" s="19"/>
      <c r="E760" s="3"/>
    </row>
    <row r="761">
      <c r="A761" s="3"/>
      <c r="B761" s="19"/>
      <c r="C761" s="19"/>
      <c r="D761" s="19"/>
      <c r="E761" s="3"/>
    </row>
    <row r="762">
      <c r="A762" s="3"/>
      <c r="B762" s="19"/>
      <c r="C762" s="19"/>
      <c r="D762" s="19"/>
      <c r="E762" s="3"/>
    </row>
    <row r="763">
      <c r="A763" s="3"/>
      <c r="B763" s="19"/>
      <c r="C763" s="19"/>
      <c r="D763" s="19"/>
      <c r="E763" s="3"/>
    </row>
    <row r="764">
      <c r="A764" s="3"/>
      <c r="B764" s="19"/>
      <c r="C764" s="19"/>
      <c r="D764" s="19"/>
      <c r="E764" s="3"/>
    </row>
    <row r="765">
      <c r="A765" s="3"/>
      <c r="B765" s="19"/>
      <c r="C765" s="19"/>
      <c r="D765" s="19"/>
      <c r="E765" s="3"/>
    </row>
    <row r="766">
      <c r="A766" s="3"/>
      <c r="B766" s="19"/>
      <c r="C766" s="19"/>
      <c r="D766" s="19"/>
      <c r="E766" s="3"/>
    </row>
    <row r="767">
      <c r="A767" s="3"/>
      <c r="B767" s="19"/>
      <c r="C767" s="19"/>
      <c r="D767" s="19"/>
      <c r="E767" s="3"/>
    </row>
    <row r="768">
      <c r="A768" s="3"/>
      <c r="B768" s="19"/>
      <c r="C768" s="19"/>
      <c r="D768" s="19"/>
      <c r="E768" s="3"/>
    </row>
    <row r="769">
      <c r="A769" s="3"/>
      <c r="B769" s="19"/>
      <c r="C769" s="19"/>
      <c r="D769" s="19"/>
      <c r="E769" s="3"/>
    </row>
    <row r="770">
      <c r="A770" s="3"/>
      <c r="B770" s="19"/>
      <c r="C770" s="19"/>
      <c r="D770" s="19"/>
      <c r="E770" s="3"/>
    </row>
    <row r="771">
      <c r="A771" s="3"/>
      <c r="B771" s="19"/>
      <c r="C771" s="19"/>
      <c r="D771" s="19"/>
      <c r="E771" s="3"/>
    </row>
    <row r="772">
      <c r="A772" s="3"/>
      <c r="B772" s="19"/>
      <c r="C772" s="19"/>
      <c r="D772" s="19"/>
      <c r="E772" s="3"/>
    </row>
    <row r="773">
      <c r="A773" s="3"/>
      <c r="B773" s="19"/>
      <c r="C773" s="19"/>
      <c r="D773" s="19"/>
      <c r="E773" s="3"/>
    </row>
    <row r="774">
      <c r="A774" s="3"/>
      <c r="B774" s="19"/>
      <c r="C774" s="19"/>
      <c r="D774" s="19"/>
      <c r="E774" s="3"/>
    </row>
    <row r="775">
      <c r="A775" s="3"/>
      <c r="B775" s="19"/>
      <c r="C775" s="19"/>
      <c r="D775" s="19"/>
      <c r="E775" s="3"/>
    </row>
    <row r="776">
      <c r="A776" s="3"/>
      <c r="B776" s="19"/>
      <c r="C776" s="19"/>
      <c r="D776" s="19"/>
      <c r="E776" s="3"/>
    </row>
    <row r="777">
      <c r="A777" s="3"/>
      <c r="B777" s="19"/>
      <c r="C777" s="19"/>
      <c r="D777" s="19"/>
      <c r="E777" s="3"/>
    </row>
    <row r="778">
      <c r="A778" s="3"/>
      <c r="B778" s="19"/>
      <c r="C778" s="19"/>
      <c r="D778" s="19"/>
      <c r="E778" s="3"/>
    </row>
    <row r="779">
      <c r="A779" s="3"/>
      <c r="B779" s="19"/>
      <c r="C779" s="19"/>
      <c r="D779" s="19"/>
      <c r="E779" s="3"/>
    </row>
    <row r="780">
      <c r="A780" s="3"/>
      <c r="B780" s="19"/>
      <c r="C780" s="19"/>
      <c r="D780" s="19"/>
      <c r="E780" s="3"/>
    </row>
    <row r="781">
      <c r="A781" s="3"/>
      <c r="B781" s="19"/>
      <c r="C781" s="19"/>
      <c r="D781" s="19"/>
      <c r="E781" s="3"/>
    </row>
    <row r="782">
      <c r="A782" s="3"/>
      <c r="B782" s="19"/>
      <c r="C782" s="19"/>
      <c r="D782" s="19"/>
      <c r="E782" s="3"/>
    </row>
    <row r="783">
      <c r="A783" s="3"/>
      <c r="B783" s="19"/>
      <c r="C783" s="19"/>
      <c r="D783" s="19"/>
      <c r="E783" s="3"/>
    </row>
    <row r="784">
      <c r="A784" s="3"/>
      <c r="B784" s="19"/>
      <c r="C784" s="19"/>
      <c r="D784" s="19"/>
      <c r="E784" s="3"/>
    </row>
    <row r="785">
      <c r="A785" s="3"/>
      <c r="B785" s="19"/>
      <c r="C785" s="19"/>
      <c r="D785" s="19"/>
      <c r="E785" s="3"/>
    </row>
    <row r="786">
      <c r="A786" s="3"/>
      <c r="B786" s="19"/>
      <c r="C786" s="19"/>
      <c r="D786" s="19"/>
      <c r="E786" s="3"/>
    </row>
    <row r="787">
      <c r="A787" s="3"/>
      <c r="B787" s="19"/>
      <c r="C787" s="19"/>
      <c r="D787" s="19"/>
      <c r="E787" s="3"/>
    </row>
    <row r="788">
      <c r="A788" s="3"/>
      <c r="B788" s="19"/>
      <c r="C788" s="19"/>
      <c r="D788" s="19"/>
      <c r="E788" s="3"/>
    </row>
    <row r="789">
      <c r="A789" s="3"/>
      <c r="B789" s="19"/>
      <c r="C789" s="19"/>
      <c r="D789" s="19"/>
      <c r="E789" s="3"/>
    </row>
    <row r="790">
      <c r="A790" s="3"/>
      <c r="B790" s="19"/>
      <c r="C790" s="19"/>
      <c r="D790" s="19"/>
      <c r="E790" s="3"/>
    </row>
    <row r="791">
      <c r="A791" s="3"/>
      <c r="B791" s="19"/>
      <c r="C791" s="19"/>
      <c r="D791" s="19"/>
      <c r="E791" s="3"/>
    </row>
    <row r="792">
      <c r="A792" s="3"/>
      <c r="B792" s="19"/>
      <c r="C792" s="19"/>
      <c r="D792" s="19"/>
      <c r="E792" s="3"/>
    </row>
    <row r="793">
      <c r="A793" s="3"/>
      <c r="B793" s="19"/>
      <c r="C793" s="19"/>
      <c r="D793" s="19"/>
      <c r="E793" s="3"/>
    </row>
    <row r="794">
      <c r="A794" s="3"/>
      <c r="B794" s="19"/>
      <c r="C794" s="19"/>
      <c r="D794" s="19"/>
      <c r="E794" s="3"/>
    </row>
    <row r="795">
      <c r="A795" s="3"/>
      <c r="B795" s="19"/>
      <c r="C795" s="19"/>
      <c r="D795" s="19"/>
      <c r="E795" s="3"/>
    </row>
    <row r="796">
      <c r="A796" s="3"/>
      <c r="B796" s="19"/>
      <c r="C796" s="19"/>
      <c r="D796" s="19"/>
      <c r="E796" s="3"/>
    </row>
    <row r="797">
      <c r="A797" s="3"/>
      <c r="B797" s="19"/>
      <c r="C797" s="19"/>
      <c r="D797" s="19"/>
      <c r="E797" s="3"/>
    </row>
    <row r="798">
      <c r="A798" s="3"/>
      <c r="B798" s="19"/>
      <c r="C798" s="19"/>
      <c r="D798" s="19"/>
      <c r="E798" s="3"/>
    </row>
    <row r="799">
      <c r="A799" s="3"/>
      <c r="B799" s="19"/>
      <c r="C799" s="19"/>
      <c r="D799" s="19"/>
      <c r="E799" s="3"/>
    </row>
    <row r="800">
      <c r="A800" s="3"/>
      <c r="B800" s="19"/>
      <c r="C800" s="19"/>
      <c r="D800" s="19"/>
      <c r="E800" s="3"/>
    </row>
    <row r="801">
      <c r="A801" s="3"/>
      <c r="B801" s="19"/>
      <c r="C801" s="19"/>
      <c r="D801" s="19"/>
      <c r="E801" s="3"/>
    </row>
    <row r="802">
      <c r="A802" s="3"/>
      <c r="B802" s="19"/>
      <c r="C802" s="19"/>
      <c r="D802" s="19"/>
      <c r="E802" s="3"/>
    </row>
    <row r="803">
      <c r="A803" s="3"/>
      <c r="B803" s="19"/>
      <c r="C803" s="19"/>
      <c r="D803" s="19"/>
      <c r="E803" s="3"/>
    </row>
    <row r="804">
      <c r="A804" s="3"/>
      <c r="B804" s="19"/>
      <c r="C804" s="19"/>
      <c r="D804" s="19"/>
      <c r="E804" s="3"/>
    </row>
    <row r="805">
      <c r="A805" s="3"/>
      <c r="B805" s="19"/>
      <c r="C805" s="19"/>
      <c r="D805" s="19"/>
      <c r="E805" s="3"/>
    </row>
    <row r="806">
      <c r="A806" s="3"/>
      <c r="B806" s="19"/>
      <c r="C806" s="19"/>
      <c r="D806" s="19"/>
      <c r="E806" s="3"/>
    </row>
    <row r="807">
      <c r="A807" s="3"/>
      <c r="B807" s="19"/>
      <c r="C807" s="19"/>
      <c r="D807" s="19"/>
      <c r="E807" s="3"/>
    </row>
    <row r="808">
      <c r="A808" s="3"/>
      <c r="B808" s="19"/>
      <c r="C808" s="19"/>
      <c r="D808" s="19"/>
      <c r="E808" s="3"/>
    </row>
    <row r="809">
      <c r="A809" s="3"/>
      <c r="B809" s="19"/>
      <c r="C809" s="19"/>
      <c r="D809" s="19"/>
      <c r="E809" s="3"/>
    </row>
    <row r="810">
      <c r="A810" s="3"/>
      <c r="B810" s="19"/>
      <c r="C810" s="19"/>
      <c r="D810" s="19"/>
      <c r="E810" s="3"/>
    </row>
    <row r="811">
      <c r="A811" s="3"/>
      <c r="B811" s="19"/>
      <c r="C811" s="19"/>
      <c r="D811" s="19"/>
      <c r="E811" s="3"/>
    </row>
    <row r="812">
      <c r="A812" s="3"/>
      <c r="B812" s="19"/>
      <c r="C812" s="19"/>
      <c r="D812" s="19"/>
      <c r="E812" s="3"/>
    </row>
    <row r="813">
      <c r="A813" s="3"/>
      <c r="B813" s="19"/>
      <c r="C813" s="19"/>
      <c r="D813" s="19"/>
      <c r="E813" s="3"/>
    </row>
    <row r="814">
      <c r="A814" s="3"/>
      <c r="B814" s="19"/>
      <c r="C814" s="19"/>
      <c r="D814" s="19"/>
      <c r="E814" s="3"/>
    </row>
    <row r="815">
      <c r="A815" s="3"/>
      <c r="B815" s="19"/>
      <c r="C815" s="19"/>
      <c r="D815" s="19"/>
      <c r="E815" s="3"/>
    </row>
    <row r="816">
      <c r="A816" s="3"/>
      <c r="B816" s="19"/>
      <c r="C816" s="19"/>
      <c r="D816" s="19"/>
      <c r="E816" s="3"/>
    </row>
    <row r="817">
      <c r="A817" s="3"/>
      <c r="B817" s="19"/>
      <c r="C817" s="19"/>
      <c r="D817" s="19"/>
      <c r="E817" s="3"/>
    </row>
    <row r="818">
      <c r="A818" s="3"/>
      <c r="B818" s="19"/>
      <c r="C818" s="19"/>
      <c r="D818" s="19"/>
      <c r="E818" s="3"/>
    </row>
    <row r="819">
      <c r="A819" s="3"/>
      <c r="B819" s="19"/>
      <c r="C819" s="19"/>
      <c r="D819" s="19"/>
      <c r="E819" s="3"/>
    </row>
    <row r="820">
      <c r="A820" s="3"/>
      <c r="B820" s="19"/>
      <c r="C820" s="19"/>
      <c r="D820" s="19"/>
      <c r="E820" s="3"/>
    </row>
    <row r="821">
      <c r="A821" s="3"/>
      <c r="B821" s="19"/>
      <c r="C821" s="19"/>
      <c r="D821" s="19"/>
      <c r="E821" s="3"/>
    </row>
    <row r="822">
      <c r="A822" s="3"/>
      <c r="B822" s="19"/>
      <c r="C822" s="19"/>
      <c r="D822" s="19"/>
      <c r="E822" s="3"/>
    </row>
    <row r="823">
      <c r="A823" s="3"/>
      <c r="B823" s="19"/>
      <c r="C823" s="19"/>
      <c r="D823" s="19"/>
      <c r="E823" s="3"/>
    </row>
    <row r="824">
      <c r="A824" s="3"/>
      <c r="B824" s="19"/>
      <c r="C824" s="19"/>
      <c r="D824" s="19"/>
      <c r="E824" s="3"/>
    </row>
    <row r="825">
      <c r="A825" s="3"/>
      <c r="B825" s="19"/>
      <c r="C825" s="19"/>
      <c r="D825" s="19"/>
      <c r="E825" s="3"/>
    </row>
    <row r="826">
      <c r="A826" s="3"/>
      <c r="B826" s="19"/>
      <c r="C826" s="19"/>
      <c r="D826" s="19"/>
      <c r="E826" s="3"/>
    </row>
    <row r="827">
      <c r="A827" s="3"/>
      <c r="B827" s="19"/>
      <c r="C827" s="19"/>
      <c r="D827" s="19"/>
      <c r="E827" s="3"/>
    </row>
    <row r="828">
      <c r="A828" s="3"/>
      <c r="B828" s="19"/>
      <c r="C828" s="19"/>
      <c r="D828" s="19"/>
      <c r="E828" s="3"/>
    </row>
    <row r="829">
      <c r="A829" s="3"/>
      <c r="B829" s="19"/>
      <c r="C829" s="19"/>
      <c r="D829" s="19"/>
      <c r="E829" s="3"/>
    </row>
    <row r="830">
      <c r="A830" s="3"/>
      <c r="B830" s="19"/>
      <c r="C830" s="19"/>
      <c r="D830" s="19"/>
      <c r="E830" s="3"/>
    </row>
    <row r="831">
      <c r="A831" s="3"/>
      <c r="B831" s="19"/>
      <c r="C831" s="19"/>
      <c r="D831" s="19"/>
      <c r="E831" s="3"/>
    </row>
    <row r="832">
      <c r="A832" s="3"/>
      <c r="B832" s="19"/>
      <c r="C832" s="19"/>
      <c r="D832" s="19"/>
      <c r="E832" s="3"/>
    </row>
    <row r="833">
      <c r="A833" s="3"/>
      <c r="B833" s="19"/>
      <c r="C833" s="19"/>
      <c r="D833" s="19"/>
      <c r="E833" s="3"/>
    </row>
    <row r="834">
      <c r="A834" s="3"/>
      <c r="B834" s="19"/>
      <c r="C834" s="19"/>
      <c r="D834" s="19"/>
      <c r="E834" s="3"/>
    </row>
    <row r="835">
      <c r="A835" s="3"/>
      <c r="B835" s="19"/>
      <c r="C835" s="19"/>
      <c r="D835" s="19"/>
      <c r="E835" s="3"/>
    </row>
    <row r="836">
      <c r="A836" s="3"/>
      <c r="B836" s="19"/>
      <c r="C836" s="19"/>
      <c r="D836" s="19"/>
      <c r="E836" s="3"/>
    </row>
    <row r="837">
      <c r="A837" s="3"/>
      <c r="B837" s="19"/>
      <c r="C837" s="19"/>
      <c r="D837" s="19"/>
      <c r="E837" s="3"/>
    </row>
    <row r="838">
      <c r="A838" s="3"/>
      <c r="B838" s="19"/>
      <c r="C838" s="19"/>
      <c r="D838" s="19"/>
      <c r="E838" s="3"/>
    </row>
    <row r="839">
      <c r="A839" s="3"/>
      <c r="B839" s="19"/>
      <c r="C839" s="19"/>
      <c r="D839" s="19"/>
      <c r="E839" s="3"/>
    </row>
    <row r="840">
      <c r="A840" s="3"/>
      <c r="B840" s="19"/>
      <c r="C840" s="19"/>
      <c r="D840" s="19"/>
      <c r="E840" s="3"/>
    </row>
    <row r="841">
      <c r="A841" s="3"/>
      <c r="B841" s="19"/>
      <c r="C841" s="19"/>
      <c r="D841" s="19"/>
      <c r="E841" s="3"/>
    </row>
    <row r="842">
      <c r="A842" s="3"/>
      <c r="B842" s="19"/>
      <c r="C842" s="19"/>
      <c r="D842" s="19"/>
      <c r="E842" s="3"/>
    </row>
    <row r="843">
      <c r="A843" s="3"/>
      <c r="B843" s="19"/>
      <c r="C843" s="19"/>
      <c r="D843" s="19"/>
      <c r="E843" s="3"/>
    </row>
    <row r="844">
      <c r="A844" s="3"/>
      <c r="B844" s="19"/>
      <c r="C844" s="19"/>
      <c r="D844" s="19"/>
      <c r="E844" s="3"/>
    </row>
    <row r="845">
      <c r="A845" s="3"/>
      <c r="B845" s="19"/>
      <c r="C845" s="19"/>
      <c r="D845" s="19"/>
      <c r="E845" s="3"/>
    </row>
    <row r="846">
      <c r="A846" s="3"/>
      <c r="B846" s="19"/>
      <c r="C846" s="19"/>
      <c r="D846" s="19"/>
      <c r="E846" s="3"/>
    </row>
    <row r="847">
      <c r="A847" s="3"/>
      <c r="B847" s="19"/>
      <c r="C847" s="19"/>
      <c r="D847" s="19"/>
      <c r="E847" s="3"/>
    </row>
    <row r="848">
      <c r="A848" s="3"/>
      <c r="B848" s="19"/>
      <c r="C848" s="19"/>
      <c r="D848" s="19"/>
      <c r="E848" s="3"/>
    </row>
    <row r="849">
      <c r="A849" s="3"/>
      <c r="B849" s="19"/>
      <c r="C849" s="19"/>
      <c r="D849" s="19"/>
      <c r="E849" s="3"/>
    </row>
    <row r="850">
      <c r="A850" s="3"/>
      <c r="B850" s="19"/>
      <c r="C850" s="19"/>
      <c r="D850" s="19"/>
      <c r="E850" s="3"/>
    </row>
    <row r="851">
      <c r="A851" s="3"/>
      <c r="B851" s="19"/>
      <c r="C851" s="19"/>
      <c r="D851" s="19"/>
      <c r="E851" s="3"/>
    </row>
    <row r="852">
      <c r="A852" s="3"/>
      <c r="B852" s="19"/>
      <c r="C852" s="19"/>
      <c r="D852" s="19"/>
      <c r="E852" s="3"/>
    </row>
    <row r="853">
      <c r="A853" s="3"/>
      <c r="B853" s="19"/>
      <c r="C853" s="19"/>
      <c r="D853" s="19"/>
      <c r="E853" s="3"/>
    </row>
    <row r="854">
      <c r="A854" s="3"/>
      <c r="B854" s="19"/>
      <c r="C854" s="19"/>
      <c r="D854" s="19"/>
      <c r="E854" s="3"/>
    </row>
    <row r="855">
      <c r="A855" s="3"/>
      <c r="B855" s="19"/>
      <c r="C855" s="19"/>
      <c r="D855" s="19"/>
      <c r="E855" s="3"/>
    </row>
    <row r="856">
      <c r="A856" s="3"/>
      <c r="B856" s="19"/>
      <c r="C856" s="19"/>
      <c r="D856" s="19"/>
      <c r="E856" s="3"/>
    </row>
    <row r="857">
      <c r="A857" s="3"/>
      <c r="B857" s="19"/>
      <c r="C857" s="19"/>
      <c r="D857" s="19"/>
      <c r="E857" s="3"/>
    </row>
    <row r="858">
      <c r="A858" s="3"/>
      <c r="B858" s="19"/>
      <c r="C858" s="19"/>
      <c r="D858" s="19"/>
      <c r="E858" s="3"/>
    </row>
    <row r="859">
      <c r="A859" s="3"/>
      <c r="B859" s="19"/>
      <c r="C859" s="19"/>
      <c r="D859" s="19"/>
      <c r="E859" s="3"/>
    </row>
    <row r="860">
      <c r="A860" s="3"/>
      <c r="B860" s="19"/>
      <c r="C860" s="19"/>
      <c r="D860" s="19"/>
      <c r="E860" s="3"/>
    </row>
    <row r="861">
      <c r="A861" s="3"/>
      <c r="B861" s="19"/>
      <c r="C861" s="19"/>
      <c r="D861" s="19"/>
      <c r="E861" s="3"/>
    </row>
    <row r="862">
      <c r="A862" s="3"/>
      <c r="B862" s="19"/>
      <c r="C862" s="19"/>
      <c r="D862" s="19"/>
      <c r="E862" s="3"/>
    </row>
    <row r="863">
      <c r="A863" s="3"/>
      <c r="B863" s="19"/>
      <c r="C863" s="19"/>
      <c r="D863" s="19"/>
      <c r="E863" s="3"/>
    </row>
    <row r="864">
      <c r="A864" s="3"/>
      <c r="B864" s="19"/>
      <c r="C864" s="19"/>
      <c r="D864" s="19"/>
      <c r="E864" s="3"/>
    </row>
    <row r="865">
      <c r="A865" s="3"/>
      <c r="B865" s="19"/>
      <c r="C865" s="19"/>
      <c r="D865" s="19"/>
      <c r="E865" s="3"/>
    </row>
    <row r="866">
      <c r="A866" s="3"/>
      <c r="B866" s="19"/>
      <c r="C866" s="19"/>
      <c r="D866" s="19"/>
      <c r="E866" s="3"/>
    </row>
    <row r="867">
      <c r="A867" s="3"/>
      <c r="B867" s="19"/>
      <c r="C867" s="19"/>
      <c r="D867" s="19"/>
      <c r="E867" s="3"/>
    </row>
    <row r="868">
      <c r="A868" s="3"/>
      <c r="B868" s="19"/>
      <c r="C868" s="19"/>
      <c r="D868" s="19"/>
      <c r="E868" s="3"/>
    </row>
    <row r="869">
      <c r="A869" s="3"/>
      <c r="B869" s="19"/>
      <c r="C869" s="19"/>
      <c r="D869" s="19"/>
      <c r="E869" s="3"/>
    </row>
    <row r="870">
      <c r="A870" s="3"/>
      <c r="B870" s="19"/>
      <c r="C870" s="19"/>
      <c r="D870" s="19"/>
      <c r="E870" s="3"/>
    </row>
    <row r="871">
      <c r="A871" s="3"/>
      <c r="B871" s="19"/>
      <c r="C871" s="19"/>
      <c r="D871" s="19"/>
      <c r="E871" s="3"/>
    </row>
    <row r="872">
      <c r="A872" s="3"/>
      <c r="B872" s="19"/>
      <c r="C872" s="19"/>
      <c r="D872" s="19"/>
      <c r="E872" s="3"/>
    </row>
    <row r="873">
      <c r="A873" s="3"/>
      <c r="B873" s="19"/>
      <c r="C873" s="19"/>
      <c r="D873" s="19"/>
      <c r="E873" s="3"/>
    </row>
    <row r="874">
      <c r="A874" s="3"/>
      <c r="B874" s="19"/>
      <c r="C874" s="19"/>
      <c r="D874" s="19"/>
      <c r="E874" s="3"/>
    </row>
    <row r="875">
      <c r="A875" s="3"/>
      <c r="B875" s="19"/>
      <c r="C875" s="19"/>
      <c r="D875" s="19"/>
      <c r="E875" s="3"/>
    </row>
    <row r="876">
      <c r="A876" s="3"/>
      <c r="B876" s="19"/>
      <c r="C876" s="19"/>
      <c r="D876" s="19"/>
      <c r="E876" s="3"/>
    </row>
    <row r="877">
      <c r="A877" s="3"/>
      <c r="B877" s="19"/>
      <c r="C877" s="19"/>
      <c r="D877" s="19"/>
      <c r="E877" s="3"/>
    </row>
    <row r="878">
      <c r="A878" s="3"/>
      <c r="B878" s="19"/>
      <c r="C878" s="19"/>
      <c r="D878" s="19"/>
      <c r="E878" s="3"/>
    </row>
    <row r="879">
      <c r="A879" s="3"/>
      <c r="B879" s="19"/>
      <c r="C879" s="19"/>
      <c r="D879" s="19"/>
      <c r="E879" s="3"/>
    </row>
    <row r="880">
      <c r="A880" s="3"/>
      <c r="B880" s="19"/>
      <c r="C880" s="19"/>
      <c r="D880" s="19"/>
      <c r="E880" s="3"/>
    </row>
    <row r="881">
      <c r="A881" s="3"/>
      <c r="B881" s="19"/>
      <c r="C881" s="19"/>
      <c r="D881" s="19"/>
      <c r="E881" s="3"/>
    </row>
    <row r="882">
      <c r="A882" s="3"/>
      <c r="B882" s="19"/>
      <c r="C882" s="19"/>
      <c r="D882" s="19"/>
      <c r="E882" s="3"/>
    </row>
    <row r="883">
      <c r="A883" s="3"/>
      <c r="B883" s="19"/>
      <c r="C883" s="19"/>
      <c r="D883" s="19"/>
      <c r="E883" s="3"/>
    </row>
    <row r="884">
      <c r="A884" s="3"/>
      <c r="B884" s="19"/>
      <c r="C884" s="19"/>
      <c r="D884" s="19"/>
      <c r="E884" s="3"/>
    </row>
    <row r="885">
      <c r="A885" s="3"/>
      <c r="B885" s="19"/>
      <c r="C885" s="19"/>
      <c r="D885" s="19"/>
      <c r="E885" s="3"/>
    </row>
    <row r="886">
      <c r="A886" s="3"/>
      <c r="B886" s="19"/>
      <c r="C886" s="19"/>
      <c r="D886" s="19"/>
      <c r="E886" s="3"/>
    </row>
    <row r="887">
      <c r="A887" s="3"/>
      <c r="B887" s="19"/>
      <c r="C887" s="19"/>
      <c r="D887" s="19"/>
      <c r="E887" s="3"/>
    </row>
    <row r="888">
      <c r="A888" s="3"/>
      <c r="B888" s="19"/>
      <c r="C888" s="19"/>
      <c r="D888" s="19"/>
      <c r="E888" s="3"/>
    </row>
    <row r="889">
      <c r="A889" s="3"/>
      <c r="B889" s="19"/>
      <c r="C889" s="19"/>
      <c r="D889" s="19"/>
      <c r="E889" s="3"/>
    </row>
    <row r="890">
      <c r="A890" s="3"/>
      <c r="B890" s="19"/>
      <c r="C890" s="19"/>
      <c r="D890" s="19"/>
      <c r="E890" s="3"/>
    </row>
    <row r="891">
      <c r="A891" s="3"/>
      <c r="B891" s="19"/>
      <c r="C891" s="19"/>
      <c r="D891" s="19"/>
      <c r="E891" s="3"/>
    </row>
    <row r="892">
      <c r="A892" s="3"/>
      <c r="B892" s="19"/>
      <c r="C892" s="19"/>
      <c r="D892" s="19"/>
      <c r="E892" s="3"/>
    </row>
    <row r="893">
      <c r="A893" s="3"/>
      <c r="B893" s="19"/>
      <c r="C893" s="19"/>
      <c r="D893" s="19"/>
      <c r="E893" s="3"/>
    </row>
    <row r="894">
      <c r="A894" s="3"/>
      <c r="B894" s="19"/>
      <c r="C894" s="19"/>
      <c r="D894" s="19"/>
      <c r="E894" s="3"/>
    </row>
    <row r="895">
      <c r="A895" s="3"/>
      <c r="B895" s="19"/>
      <c r="C895" s="19"/>
      <c r="D895" s="19"/>
      <c r="E895" s="3"/>
    </row>
    <row r="896">
      <c r="A896" s="3"/>
      <c r="B896" s="19"/>
      <c r="C896" s="19"/>
      <c r="D896" s="19"/>
      <c r="E896" s="3"/>
    </row>
    <row r="897">
      <c r="A897" s="3"/>
      <c r="B897" s="19"/>
      <c r="C897" s="19"/>
      <c r="D897" s="19"/>
      <c r="E897" s="3"/>
    </row>
    <row r="898">
      <c r="A898" s="3"/>
      <c r="B898" s="19"/>
      <c r="C898" s="19"/>
      <c r="D898" s="19"/>
      <c r="E898" s="3"/>
    </row>
    <row r="899">
      <c r="A899" s="3"/>
      <c r="B899" s="19"/>
      <c r="C899" s="19"/>
      <c r="D899" s="19"/>
      <c r="E899" s="3"/>
    </row>
    <row r="900">
      <c r="A900" s="3"/>
      <c r="B900" s="19"/>
      <c r="C900" s="19"/>
      <c r="D900" s="19"/>
      <c r="E900" s="3"/>
    </row>
    <row r="901">
      <c r="A901" s="3"/>
      <c r="B901" s="19"/>
      <c r="C901" s="19"/>
      <c r="D901" s="19"/>
      <c r="E901" s="3"/>
    </row>
    <row r="902">
      <c r="A902" s="3"/>
      <c r="B902" s="19"/>
      <c r="C902" s="19"/>
      <c r="D902" s="19"/>
      <c r="E902" s="3"/>
    </row>
    <row r="903">
      <c r="A903" s="3"/>
      <c r="B903" s="19"/>
      <c r="C903" s="19"/>
      <c r="D903" s="19"/>
      <c r="E903" s="3"/>
    </row>
    <row r="904">
      <c r="A904" s="3"/>
      <c r="B904" s="19"/>
      <c r="C904" s="19"/>
      <c r="D904" s="19"/>
      <c r="E904" s="3"/>
    </row>
    <row r="905">
      <c r="A905" s="3"/>
      <c r="B905" s="19"/>
      <c r="C905" s="19"/>
      <c r="D905" s="19"/>
      <c r="E905" s="3"/>
    </row>
    <row r="906">
      <c r="A906" s="3"/>
      <c r="B906" s="19"/>
      <c r="C906" s="19"/>
      <c r="D906" s="19"/>
      <c r="E906" s="3"/>
    </row>
    <row r="907">
      <c r="A907" s="3"/>
      <c r="B907" s="19"/>
      <c r="C907" s="19"/>
      <c r="D907" s="19"/>
      <c r="E907" s="3"/>
    </row>
    <row r="908">
      <c r="A908" s="3"/>
      <c r="B908" s="19"/>
      <c r="C908" s="19"/>
      <c r="D908" s="19"/>
      <c r="E908" s="3"/>
    </row>
    <row r="909">
      <c r="A909" s="3"/>
      <c r="B909" s="19"/>
      <c r="C909" s="19"/>
      <c r="D909" s="19"/>
      <c r="E909" s="3"/>
    </row>
    <row r="910">
      <c r="A910" s="3"/>
      <c r="B910" s="19"/>
      <c r="C910" s="19"/>
      <c r="D910" s="19"/>
      <c r="E910" s="3"/>
    </row>
    <row r="911">
      <c r="A911" s="3"/>
      <c r="B911" s="19"/>
      <c r="C911" s="19"/>
      <c r="D911" s="19"/>
      <c r="E911" s="3"/>
    </row>
    <row r="912">
      <c r="A912" s="3"/>
      <c r="B912" s="19"/>
      <c r="C912" s="19"/>
      <c r="D912" s="19"/>
      <c r="E912" s="3"/>
    </row>
    <row r="913">
      <c r="A913" s="3"/>
      <c r="B913" s="19"/>
      <c r="C913" s="19"/>
      <c r="D913" s="19"/>
      <c r="E913" s="3"/>
    </row>
    <row r="914">
      <c r="A914" s="3"/>
      <c r="B914" s="19"/>
      <c r="C914" s="19"/>
      <c r="D914" s="19"/>
      <c r="E914" s="3"/>
    </row>
    <row r="915">
      <c r="A915" s="3"/>
      <c r="B915" s="19"/>
      <c r="C915" s="19"/>
      <c r="D915" s="19"/>
      <c r="E915" s="3"/>
    </row>
    <row r="916">
      <c r="A916" s="3"/>
      <c r="B916" s="19"/>
      <c r="C916" s="19"/>
      <c r="D916" s="19"/>
      <c r="E916" s="3"/>
    </row>
    <row r="917">
      <c r="A917" s="3"/>
      <c r="B917" s="19"/>
      <c r="C917" s="19"/>
      <c r="D917" s="19"/>
      <c r="E917" s="3"/>
    </row>
    <row r="918">
      <c r="A918" s="3"/>
      <c r="B918" s="19"/>
      <c r="C918" s="19"/>
      <c r="D918" s="19"/>
      <c r="E918" s="3"/>
    </row>
    <row r="919">
      <c r="A919" s="3"/>
      <c r="B919" s="19"/>
      <c r="C919" s="19"/>
      <c r="D919" s="19"/>
      <c r="E919" s="3"/>
    </row>
    <row r="920">
      <c r="A920" s="3"/>
      <c r="B920" s="19"/>
      <c r="C920" s="19"/>
      <c r="D920" s="19"/>
      <c r="E920" s="3"/>
    </row>
    <row r="921">
      <c r="A921" s="3"/>
      <c r="B921" s="19"/>
      <c r="C921" s="19"/>
      <c r="D921" s="19"/>
      <c r="E921" s="3"/>
    </row>
    <row r="922">
      <c r="A922" s="3"/>
      <c r="B922" s="19"/>
      <c r="C922" s="19"/>
      <c r="D922" s="19"/>
      <c r="E922" s="3"/>
    </row>
    <row r="923">
      <c r="A923" s="3"/>
      <c r="B923" s="19"/>
      <c r="C923" s="19"/>
      <c r="D923" s="19"/>
      <c r="E923" s="3"/>
    </row>
    <row r="924">
      <c r="A924" s="3"/>
      <c r="B924" s="19"/>
      <c r="C924" s="19"/>
      <c r="D924" s="19"/>
      <c r="E924" s="3"/>
    </row>
    <row r="925">
      <c r="A925" s="3"/>
      <c r="B925" s="19"/>
      <c r="C925" s="19"/>
      <c r="D925" s="19"/>
      <c r="E925" s="3"/>
    </row>
    <row r="926">
      <c r="A926" s="3"/>
      <c r="B926" s="19"/>
      <c r="C926" s="19"/>
      <c r="D926" s="19"/>
      <c r="E926" s="3"/>
    </row>
    <row r="927">
      <c r="A927" s="3"/>
      <c r="B927" s="19"/>
      <c r="C927" s="19"/>
      <c r="D927" s="19"/>
      <c r="E927" s="3"/>
    </row>
    <row r="928">
      <c r="A928" s="3"/>
      <c r="B928" s="19"/>
      <c r="C928" s="19"/>
      <c r="D928" s="19"/>
      <c r="E928" s="3"/>
    </row>
    <row r="929">
      <c r="A929" s="3"/>
      <c r="B929" s="19"/>
      <c r="C929" s="19"/>
      <c r="D929" s="19"/>
      <c r="E929" s="3"/>
    </row>
    <row r="930">
      <c r="A930" s="3"/>
      <c r="B930" s="19"/>
      <c r="C930" s="19"/>
      <c r="D930" s="19"/>
      <c r="E930" s="3"/>
    </row>
    <row r="931">
      <c r="A931" s="3"/>
      <c r="B931" s="19"/>
      <c r="C931" s="19"/>
      <c r="D931" s="19"/>
      <c r="E931" s="3"/>
    </row>
    <row r="932">
      <c r="A932" s="3"/>
      <c r="B932" s="19"/>
      <c r="C932" s="19"/>
      <c r="D932" s="19"/>
      <c r="E932" s="3"/>
    </row>
    <row r="933">
      <c r="A933" s="3"/>
      <c r="B933" s="19"/>
      <c r="C933" s="19"/>
      <c r="D933" s="19"/>
      <c r="E933" s="3"/>
    </row>
    <row r="934">
      <c r="A934" s="3"/>
      <c r="B934" s="19"/>
      <c r="C934" s="19"/>
      <c r="D934" s="19"/>
      <c r="E934" s="3"/>
    </row>
    <row r="935">
      <c r="A935" s="3"/>
      <c r="B935" s="19"/>
      <c r="C935" s="19"/>
      <c r="D935" s="19"/>
      <c r="E935" s="3"/>
    </row>
    <row r="936">
      <c r="A936" s="3"/>
      <c r="B936" s="19"/>
      <c r="C936" s="19"/>
      <c r="D936" s="19"/>
      <c r="E936" s="3"/>
    </row>
    <row r="937">
      <c r="A937" s="3"/>
      <c r="B937" s="19"/>
      <c r="C937" s="19"/>
      <c r="D937" s="19"/>
      <c r="E937" s="3"/>
    </row>
    <row r="938">
      <c r="A938" s="3"/>
      <c r="B938" s="19"/>
      <c r="C938" s="19"/>
      <c r="D938" s="19"/>
      <c r="E938" s="3"/>
    </row>
    <row r="939">
      <c r="A939" s="3"/>
      <c r="B939" s="19"/>
      <c r="C939" s="19"/>
      <c r="D939" s="19"/>
      <c r="E939" s="3"/>
    </row>
    <row r="940">
      <c r="A940" s="3"/>
      <c r="B940" s="19"/>
      <c r="C940" s="19"/>
      <c r="D940" s="19"/>
      <c r="E940" s="3"/>
    </row>
    <row r="941">
      <c r="A941" s="3"/>
      <c r="B941" s="19"/>
      <c r="C941" s="19"/>
      <c r="D941" s="19"/>
      <c r="E941" s="3"/>
    </row>
    <row r="942">
      <c r="A942" s="3"/>
      <c r="B942" s="19"/>
      <c r="C942" s="19"/>
      <c r="D942" s="19"/>
      <c r="E942" s="3"/>
    </row>
    <row r="943">
      <c r="A943" s="3"/>
      <c r="B943" s="19"/>
      <c r="C943" s="19"/>
      <c r="D943" s="19"/>
      <c r="E943" s="3"/>
    </row>
    <row r="944">
      <c r="A944" s="3"/>
      <c r="B944" s="19"/>
      <c r="C944" s="19"/>
      <c r="D944" s="19"/>
      <c r="E944" s="3"/>
    </row>
    <row r="945">
      <c r="A945" s="3"/>
      <c r="B945" s="19"/>
      <c r="C945" s="19"/>
      <c r="D945" s="19"/>
      <c r="E945" s="3"/>
    </row>
    <row r="946">
      <c r="A946" s="3"/>
      <c r="B946" s="19"/>
      <c r="C946" s="19"/>
      <c r="D946" s="19"/>
      <c r="E946" s="3"/>
    </row>
    <row r="947">
      <c r="A947" s="3"/>
      <c r="B947" s="19"/>
      <c r="C947" s="19"/>
      <c r="D947" s="19"/>
      <c r="E947" s="3"/>
    </row>
    <row r="948">
      <c r="A948" s="3"/>
      <c r="B948" s="19"/>
      <c r="C948" s="19"/>
      <c r="D948" s="19"/>
      <c r="E948" s="3"/>
    </row>
    <row r="949">
      <c r="A949" s="3"/>
      <c r="B949" s="19"/>
      <c r="C949" s="19"/>
      <c r="D949" s="19"/>
      <c r="E949" s="3"/>
    </row>
    <row r="950">
      <c r="A950" s="3"/>
      <c r="B950" s="19"/>
      <c r="C950" s="19"/>
      <c r="D950" s="19"/>
      <c r="E950" s="3"/>
    </row>
    <row r="951">
      <c r="A951" s="3"/>
      <c r="B951" s="19"/>
      <c r="C951" s="19"/>
      <c r="D951" s="19"/>
      <c r="E951" s="3"/>
    </row>
    <row r="952">
      <c r="A952" s="3"/>
      <c r="B952" s="19"/>
      <c r="C952" s="19"/>
      <c r="D952" s="19"/>
      <c r="E952" s="3"/>
    </row>
    <row r="953">
      <c r="A953" s="3"/>
      <c r="B953" s="19"/>
      <c r="C953" s="19"/>
      <c r="D953" s="19"/>
      <c r="E953" s="3"/>
    </row>
    <row r="954">
      <c r="A954" s="3"/>
      <c r="B954" s="19"/>
      <c r="C954" s="19"/>
      <c r="D954" s="19"/>
      <c r="E954" s="3"/>
    </row>
    <row r="955">
      <c r="A955" s="3"/>
      <c r="B955" s="19"/>
      <c r="C955" s="19"/>
      <c r="D955" s="19"/>
      <c r="E955" s="3"/>
    </row>
    <row r="956">
      <c r="A956" s="3"/>
      <c r="B956" s="19"/>
      <c r="C956" s="19"/>
      <c r="D956" s="19"/>
      <c r="E956" s="3"/>
    </row>
    <row r="957">
      <c r="A957" s="3"/>
      <c r="B957" s="19"/>
      <c r="C957" s="19"/>
      <c r="D957" s="19"/>
      <c r="E957" s="3"/>
    </row>
    <row r="958">
      <c r="A958" s="3"/>
      <c r="B958" s="19"/>
      <c r="C958" s="19"/>
      <c r="D958" s="19"/>
      <c r="E958" s="3"/>
    </row>
    <row r="959">
      <c r="A959" s="3"/>
      <c r="B959" s="19"/>
      <c r="C959" s="19"/>
      <c r="D959" s="19"/>
      <c r="E959" s="3"/>
    </row>
    <row r="960">
      <c r="A960" s="3"/>
      <c r="B960" s="19"/>
      <c r="C960" s="19"/>
      <c r="D960" s="19"/>
      <c r="E960" s="3"/>
    </row>
    <row r="961">
      <c r="A961" s="3"/>
      <c r="B961" s="19"/>
      <c r="C961" s="19"/>
      <c r="D961" s="19"/>
      <c r="E961" s="3"/>
    </row>
    <row r="962">
      <c r="A962" s="3"/>
      <c r="B962" s="19"/>
      <c r="C962" s="19"/>
      <c r="D962" s="19"/>
      <c r="E962" s="3"/>
    </row>
    <row r="963">
      <c r="A963" s="3"/>
      <c r="B963" s="19"/>
      <c r="C963" s="19"/>
      <c r="D963" s="19"/>
      <c r="E963" s="3"/>
    </row>
    <row r="964">
      <c r="A964" s="3"/>
      <c r="B964" s="19"/>
      <c r="C964" s="19"/>
      <c r="D964" s="19"/>
      <c r="E964" s="3"/>
    </row>
    <row r="965">
      <c r="A965" s="3"/>
      <c r="B965" s="19"/>
      <c r="C965" s="19"/>
      <c r="D965" s="19"/>
      <c r="E965" s="3"/>
    </row>
    <row r="966">
      <c r="A966" s="3"/>
      <c r="B966" s="19"/>
      <c r="C966" s="19"/>
      <c r="D966" s="19"/>
      <c r="E966" s="3"/>
    </row>
    <row r="967">
      <c r="A967" s="3"/>
      <c r="B967" s="19"/>
      <c r="C967" s="19"/>
      <c r="D967" s="19"/>
      <c r="E967" s="3"/>
    </row>
    <row r="968">
      <c r="A968" s="3"/>
      <c r="B968" s="19"/>
      <c r="C968" s="19"/>
      <c r="D968" s="19"/>
      <c r="E968" s="3"/>
    </row>
    <row r="969">
      <c r="A969" s="3"/>
      <c r="B969" s="19"/>
      <c r="C969" s="19"/>
      <c r="D969" s="19"/>
      <c r="E969" s="3"/>
    </row>
    <row r="970">
      <c r="A970" s="3"/>
      <c r="B970" s="19"/>
      <c r="C970" s="19"/>
      <c r="D970" s="19"/>
      <c r="E970" s="3"/>
    </row>
    <row r="971">
      <c r="A971" s="3"/>
      <c r="B971" s="19"/>
      <c r="C971" s="19"/>
      <c r="D971" s="19"/>
      <c r="E971" s="3"/>
    </row>
    <row r="972">
      <c r="A972" s="3"/>
      <c r="B972" s="19"/>
      <c r="C972" s="19"/>
      <c r="D972" s="19"/>
      <c r="E972" s="3"/>
    </row>
    <row r="973">
      <c r="A973" s="3"/>
      <c r="B973" s="19"/>
      <c r="C973" s="19"/>
      <c r="D973" s="19"/>
      <c r="E973" s="3"/>
    </row>
    <row r="974">
      <c r="A974" s="3"/>
      <c r="B974" s="19"/>
      <c r="C974" s="19"/>
      <c r="D974" s="19"/>
      <c r="E974" s="3"/>
    </row>
    <row r="975">
      <c r="A975" s="3"/>
      <c r="B975" s="19"/>
      <c r="C975" s="19"/>
      <c r="D975" s="19"/>
      <c r="E975" s="3"/>
    </row>
    <row r="976">
      <c r="A976" s="3"/>
      <c r="B976" s="19"/>
      <c r="C976" s="19"/>
      <c r="D976" s="19"/>
      <c r="E976" s="3"/>
    </row>
    <row r="977">
      <c r="A977" s="3"/>
      <c r="B977" s="19"/>
      <c r="C977" s="19"/>
      <c r="D977" s="19"/>
      <c r="E977" s="3"/>
    </row>
    <row r="978">
      <c r="A978" s="3"/>
      <c r="B978" s="19"/>
      <c r="C978" s="19"/>
      <c r="D978" s="19"/>
      <c r="E978" s="3"/>
    </row>
    <row r="979">
      <c r="A979" s="3"/>
      <c r="B979" s="19"/>
      <c r="C979" s="19"/>
      <c r="D979" s="19"/>
      <c r="E979" s="3"/>
    </row>
    <row r="980">
      <c r="A980" s="3"/>
      <c r="B980" s="19"/>
      <c r="C980" s="19"/>
      <c r="D980" s="19"/>
      <c r="E980" s="3"/>
    </row>
    <row r="981">
      <c r="A981" s="3"/>
      <c r="B981" s="19"/>
      <c r="C981" s="19"/>
      <c r="D981" s="19"/>
      <c r="E981" s="3"/>
    </row>
    <row r="982">
      <c r="A982" s="3"/>
      <c r="B982" s="19"/>
      <c r="C982" s="19"/>
      <c r="D982" s="19"/>
      <c r="E982" s="3"/>
    </row>
    <row r="983">
      <c r="A983" s="3"/>
      <c r="B983" s="19"/>
      <c r="C983" s="19"/>
      <c r="D983" s="19"/>
      <c r="E983" s="3"/>
    </row>
    <row r="984">
      <c r="A984" s="3"/>
      <c r="B984" s="19"/>
      <c r="C984" s="19"/>
      <c r="D984" s="19"/>
      <c r="E984" s="3"/>
    </row>
    <row r="985">
      <c r="A985" s="3"/>
      <c r="B985" s="19"/>
      <c r="C985" s="19"/>
      <c r="D985" s="19"/>
      <c r="E985" s="3"/>
    </row>
    <row r="986">
      <c r="A986" s="3"/>
      <c r="B986" s="19"/>
      <c r="C986" s="19"/>
      <c r="D986" s="19"/>
      <c r="E986" s="3"/>
    </row>
    <row r="987">
      <c r="A987" s="3"/>
      <c r="B987" s="19"/>
      <c r="C987" s="19"/>
      <c r="D987" s="19"/>
      <c r="E987" s="3"/>
    </row>
    <row r="988">
      <c r="A988" s="3"/>
      <c r="B988" s="19"/>
      <c r="C988" s="19"/>
      <c r="D988" s="19"/>
      <c r="E988" s="3"/>
    </row>
    <row r="989">
      <c r="A989" s="3"/>
      <c r="B989" s="19"/>
      <c r="C989" s="19"/>
      <c r="D989" s="19"/>
      <c r="E989" s="3"/>
    </row>
    <row r="990">
      <c r="A990" s="3"/>
      <c r="B990" s="19"/>
      <c r="C990" s="19"/>
      <c r="D990" s="19"/>
      <c r="E990" s="3"/>
    </row>
    <row r="991">
      <c r="A991" s="3"/>
      <c r="B991" s="19"/>
      <c r="C991" s="19"/>
      <c r="D991" s="19"/>
      <c r="E991" s="3"/>
    </row>
    <row r="992">
      <c r="A992" s="3"/>
      <c r="B992" s="19"/>
      <c r="C992" s="19"/>
      <c r="D992" s="19"/>
      <c r="E992" s="3"/>
    </row>
    <row r="993">
      <c r="A993" s="3"/>
      <c r="B993" s="19"/>
      <c r="C993" s="19"/>
      <c r="D993" s="19"/>
      <c r="E993" s="3"/>
    </row>
    <row r="994">
      <c r="A994" s="3"/>
      <c r="B994" s="19"/>
      <c r="C994" s="19"/>
      <c r="D994" s="19"/>
      <c r="E994" s="3"/>
    </row>
    <row r="995">
      <c r="A995" s="3"/>
      <c r="B995" s="19"/>
      <c r="C995" s="19"/>
      <c r="D995" s="19"/>
      <c r="E995" s="3"/>
    </row>
    <row r="996">
      <c r="A996" s="3"/>
      <c r="B996" s="19"/>
      <c r="C996" s="19"/>
      <c r="D996" s="19"/>
      <c r="E996" s="3"/>
    </row>
    <row r="997">
      <c r="A997" s="3"/>
      <c r="B997" s="19"/>
      <c r="C997" s="19"/>
      <c r="D997" s="19"/>
      <c r="E997" s="3"/>
    </row>
    <row r="998">
      <c r="A998" s="3"/>
      <c r="B998" s="19"/>
      <c r="C998" s="19"/>
      <c r="D998" s="19"/>
      <c r="E998" s="3"/>
    </row>
    <row r="999">
      <c r="A999" s="3"/>
      <c r="B999" s="19"/>
      <c r="C999" s="19"/>
      <c r="D999" s="19"/>
      <c r="E999" s="3"/>
    </row>
    <row r="1000">
      <c r="A1000" s="3"/>
      <c r="B1000" s="19"/>
      <c r="C1000" s="19"/>
      <c r="D1000" s="19"/>
      <c r="E1000" s="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3" t="str">
        <f t="array" ref="A1:A1000">sort(Stats!A1:A1000,Stats!W1:W1000,false)</f>
        <v>Player</v>
      </c>
      <c r="B1" s="19" t="str">
        <f t="array" ref="B1:B1000">sort(Stats!C1:C1000,Stats!W1:W1000,false)</f>
        <v>GP</v>
      </c>
      <c r="C1" s="19" t="str">
        <f t="array" ref="C1:E1000">sort(Stats!U1:W1000,Stats!W1:W1000,false)</f>
        <v>B TU</v>
      </c>
      <c r="D1" s="19" t="s">
        <v>73</v>
      </c>
      <c r="E1" s="3" t="s">
        <v>74</v>
      </c>
    </row>
    <row r="2">
      <c r="A2" s="3" t="s">
        <v>29</v>
      </c>
      <c r="B2" s="19">
        <v>8.0</v>
      </c>
      <c r="C2" s="19">
        <v>11.0</v>
      </c>
      <c r="D2" s="19">
        <v>1.0</v>
      </c>
      <c r="E2" s="3">
        <v>5.0</v>
      </c>
    </row>
    <row r="3">
      <c r="A3" s="3" t="s">
        <v>18</v>
      </c>
      <c r="B3" s="19">
        <v>9.0</v>
      </c>
      <c r="C3" s="19">
        <v>16.0</v>
      </c>
      <c r="D3" s="19">
        <v>6.0</v>
      </c>
      <c r="E3" s="20">
        <v>4.444444444444445</v>
      </c>
    </row>
    <row r="4">
      <c r="A4" s="3" t="s">
        <v>33</v>
      </c>
      <c r="B4" s="19">
        <v>8.0</v>
      </c>
      <c r="C4" s="19">
        <v>6.0</v>
      </c>
      <c r="D4" s="19">
        <v>0.0</v>
      </c>
      <c r="E4" s="3">
        <v>3.0</v>
      </c>
    </row>
    <row r="5">
      <c r="A5" s="3" t="s">
        <v>40</v>
      </c>
      <c r="B5" s="19">
        <v>6.0</v>
      </c>
      <c r="C5" s="19">
        <v>4.0</v>
      </c>
      <c r="D5" s="19">
        <v>0.0</v>
      </c>
      <c r="E5" s="20">
        <v>2.6666666666666665</v>
      </c>
    </row>
    <row r="6">
      <c r="A6" s="3" t="s">
        <v>42</v>
      </c>
      <c r="B6" s="19">
        <v>8.0</v>
      </c>
      <c r="C6" s="19">
        <v>5.0</v>
      </c>
      <c r="D6" s="19">
        <v>0.0</v>
      </c>
      <c r="E6" s="3">
        <v>2.5</v>
      </c>
    </row>
    <row r="7">
      <c r="A7" s="3" t="s">
        <v>22</v>
      </c>
      <c r="B7" s="19">
        <v>7.0</v>
      </c>
      <c r="C7" s="19">
        <v>4.0</v>
      </c>
      <c r="D7" s="19">
        <v>0.0</v>
      </c>
      <c r="E7" s="20">
        <v>2.2857142857142856</v>
      </c>
    </row>
    <row r="8">
      <c r="A8" s="3" t="s">
        <v>11</v>
      </c>
      <c r="B8" s="19">
        <v>6.0</v>
      </c>
      <c r="C8" s="19">
        <v>3.0</v>
      </c>
      <c r="D8" s="19">
        <v>0.0</v>
      </c>
      <c r="E8" s="3">
        <v>2.0</v>
      </c>
    </row>
    <row r="9">
      <c r="A9" s="3" t="s">
        <v>30</v>
      </c>
      <c r="B9" s="19">
        <v>8.0</v>
      </c>
      <c r="C9" s="19">
        <v>4.0</v>
      </c>
      <c r="D9" s="19">
        <v>0.0</v>
      </c>
      <c r="E9" s="3">
        <v>2.0</v>
      </c>
    </row>
    <row r="10">
      <c r="A10" s="3" t="s">
        <v>13</v>
      </c>
      <c r="B10" s="19">
        <v>6.0</v>
      </c>
      <c r="C10" s="19">
        <v>3.0</v>
      </c>
      <c r="D10" s="19">
        <v>0.0</v>
      </c>
      <c r="E10" s="3">
        <v>2.0</v>
      </c>
    </row>
    <row r="11">
      <c r="A11" s="3" t="s">
        <v>13</v>
      </c>
      <c r="B11" s="19">
        <v>8.0</v>
      </c>
      <c r="C11" s="19">
        <v>3.0</v>
      </c>
      <c r="D11" s="19">
        <v>0.0</v>
      </c>
      <c r="E11" s="3">
        <v>1.5</v>
      </c>
    </row>
    <row r="12">
      <c r="A12" s="3" t="s">
        <v>35</v>
      </c>
      <c r="B12" s="19">
        <v>8.0</v>
      </c>
      <c r="C12" s="19">
        <v>2.0</v>
      </c>
      <c r="D12" s="19">
        <v>0.0</v>
      </c>
      <c r="E12" s="3">
        <v>1.0</v>
      </c>
    </row>
    <row r="13">
      <c r="A13" s="3" t="s">
        <v>37</v>
      </c>
      <c r="B13" s="19">
        <v>8.0</v>
      </c>
      <c r="C13" s="19">
        <v>2.0</v>
      </c>
      <c r="D13" s="19">
        <v>0.0</v>
      </c>
      <c r="E13" s="3">
        <v>1.0</v>
      </c>
    </row>
    <row r="14">
      <c r="A14" s="3" t="s">
        <v>43</v>
      </c>
      <c r="B14" s="19">
        <v>8.0</v>
      </c>
      <c r="C14" s="19">
        <v>2.0</v>
      </c>
      <c r="D14" s="19">
        <v>0.0</v>
      </c>
      <c r="E14" s="3">
        <v>1.0</v>
      </c>
    </row>
    <row r="15">
      <c r="A15" s="3" t="s">
        <v>14</v>
      </c>
      <c r="B15" s="19">
        <v>6.0</v>
      </c>
      <c r="C15" s="19">
        <v>1.0</v>
      </c>
      <c r="D15" s="19">
        <v>0.0</v>
      </c>
      <c r="E15" s="20">
        <v>0.6666666666666666</v>
      </c>
    </row>
    <row r="16">
      <c r="A16" s="3" t="s">
        <v>15</v>
      </c>
      <c r="B16" s="19">
        <v>9.0</v>
      </c>
      <c r="C16" s="19">
        <v>1.0</v>
      </c>
      <c r="D16" s="19">
        <v>0.0</v>
      </c>
      <c r="E16" s="20">
        <v>0.4444444444444444</v>
      </c>
    </row>
    <row r="17">
      <c r="A17" s="3" t="s">
        <v>23</v>
      </c>
      <c r="B17" s="19">
        <v>9.0</v>
      </c>
      <c r="C17" s="19">
        <v>1.0</v>
      </c>
      <c r="D17" s="19">
        <v>0.0</v>
      </c>
      <c r="E17" s="20">
        <v>0.4444444444444444</v>
      </c>
    </row>
    <row r="18">
      <c r="A18" s="3" t="s">
        <v>24</v>
      </c>
      <c r="B18" s="19">
        <v>9.0</v>
      </c>
      <c r="C18" s="19">
        <v>1.0</v>
      </c>
      <c r="D18" s="19">
        <v>0.0</v>
      </c>
      <c r="E18" s="20">
        <v>0.4444444444444444</v>
      </c>
    </row>
    <row r="19">
      <c r="A19" s="3" t="s">
        <v>25</v>
      </c>
      <c r="B19" s="19">
        <v>9.0</v>
      </c>
      <c r="C19" s="19">
        <v>1.0</v>
      </c>
      <c r="D19" s="19">
        <v>0.0</v>
      </c>
      <c r="E19" s="20">
        <v>0.4444444444444444</v>
      </c>
    </row>
    <row r="20">
      <c r="A20" s="3" t="s">
        <v>17</v>
      </c>
      <c r="B20" s="19">
        <v>9.0</v>
      </c>
      <c r="C20" s="19">
        <v>1.0</v>
      </c>
      <c r="D20" s="19">
        <v>0.0</v>
      </c>
      <c r="E20" s="20">
        <v>0.4444444444444444</v>
      </c>
    </row>
    <row r="21">
      <c r="A21" s="3" t="s">
        <v>26</v>
      </c>
      <c r="B21" s="19">
        <v>9.0</v>
      </c>
      <c r="C21" s="19">
        <v>2.0</v>
      </c>
      <c r="D21" s="19">
        <v>1.0</v>
      </c>
      <c r="E21" s="20">
        <v>0.4444444444444444</v>
      </c>
    </row>
    <row r="22">
      <c r="A22" s="3" t="s">
        <v>28</v>
      </c>
      <c r="B22" s="19">
        <v>8.0</v>
      </c>
      <c r="C22" s="19">
        <v>0.0</v>
      </c>
      <c r="D22" s="19">
        <v>0.0</v>
      </c>
      <c r="E22" s="3">
        <v>0.0</v>
      </c>
    </row>
    <row r="23">
      <c r="A23" s="3" t="s">
        <v>41</v>
      </c>
      <c r="B23" s="19">
        <v>6.0</v>
      </c>
      <c r="C23" s="19">
        <v>0.0</v>
      </c>
      <c r="D23" s="19">
        <v>0.0</v>
      </c>
      <c r="E23" s="3">
        <v>0.0</v>
      </c>
    </row>
    <row r="24">
      <c r="A24" s="3" t="s">
        <v>36</v>
      </c>
      <c r="B24" s="19">
        <v>8.0</v>
      </c>
      <c r="C24" s="19">
        <v>0.0</v>
      </c>
      <c r="D24" s="19">
        <v>0.0</v>
      </c>
      <c r="E24" s="3">
        <v>0.0</v>
      </c>
    </row>
    <row r="25">
      <c r="A25" s="3" t="s">
        <v>45</v>
      </c>
      <c r="B25" s="19">
        <v>8.0</v>
      </c>
      <c r="C25" s="19">
        <v>0.0</v>
      </c>
      <c r="D25" s="19">
        <v>0.0</v>
      </c>
      <c r="E25" s="3">
        <v>0.0</v>
      </c>
    </row>
    <row r="26">
      <c r="A26" s="3" t="s">
        <v>39</v>
      </c>
      <c r="B26" s="19">
        <v>6.0</v>
      </c>
      <c r="C26" s="19">
        <v>0.0</v>
      </c>
      <c r="D26" s="19">
        <v>0.0</v>
      </c>
      <c r="E26" s="3">
        <v>0.0</v>
      </c>
    </row>
    <row r="27">
      <c r="A27" s="3" t="s">
        <v>19</v>
      </c>
      <c r="B27" s="19">
        <v>8.0</v>
      </c>
      <c r="C27" s="19">
        <v>0.0</v>
      </c>
      <c r="D27" s="19">
        <v>0.0</v>
      </c>
      <c r="E27" s="3">
        <v>0.0</v>
      </c>
    </row>
    <row r="28">
      <c r="A28" s="3" t="s">
        <v>34</v>
      </c>
      <c r="B28" s="19">
        <v>8.0</v>
      </c>
      <c r="C28" s="19">
        <v>0.0</v>
      </c>
      <c r="D28" s="19">
        <v>0.0</v>
      </c>
      <c r="E28" s="3">
        <v>0.0</v>
      </c>
    </row>
    <row r="29">
      <c r="A29" s="3" t="s">
        <v>44</v>
      </c>
      <c r="B29" s="19">
        <v>8.0</v>
      </c>
      <c r="C29" s="19">
        <v>0.0</v>
      </c>
      <c r="D29" s="19">
        <v>0.0</v>
      </c>
      <c r="E29" s="3">
        <v>0.0</v>
      </c>
    </row>
    <row r="30">
      <c r="A30" s="3" t="s">
        <v>38</v>
      </c>
      <c r="B30" s="19">
        <v>6.0</v>
      </c>
      <c r="C30" s="19">
        <v>0.0</v>
      </c>
      <c r="D30" s="19">
        <v>0.0</v>
      </c>
      <c r="E30" s="3">
        <v>0.0</v>
      </c>
    </row>
    <row r="31">
      <c r="A31" s="3" t="s">
        <v>16</v>
      </c>
      <c r="B31" s="19">
        <v>9.0</v>
      </c>
      <c r="C31" s="19">
        <v>0.0</v>
      </c>
      <c r="D31" s="19">
        <v>0.0</v>
      </c>
      <c r="E31" s="3">
        <v>0.0</v>
      </c>
    </row>
    <row r="32">
      <c r="A32" s="3" t="s">
        <v>12</v>
      </c>
      <c r="B32" s="19">
        <v>6.0</v>
      </c>
      <c r="C32" s="19">
        <v>0.0</v>
      </c>
      <c r="D32" s="19">
        <v>0.0</v>
      </c>
      <c r="E32" s="3">
        <v>0.0</v>
      </c>
    </row>
    <row r="33">
      <c r="A33" s="3" t="s">
        <v>31</v>
      </c>
      <c r="B33" s="19">
        <v>8.0</v>
      </c>
      <c r="C33" s="19">
        <v>0.0</v>
      </c>
      <c r="D33" s="19">
        <v>0.0</v>
      </c>
      <c r="E33" s="3">
        <v>0.0</v>
      </c>
    </row>
    <row r="34">
      <c r="A34" s="3" t="s">
        <v>10</v>
      </c>
      <c r="B34" s="19">
        <v>6.0</v>
      </c>
      <c r="C34" s="19">
        <v>0.0</v>
      </c>
      <c r="D34" s="19">
        <v>0.0</v>
      </c>
      <c r="E34" s="3">
        <v>0.0</v>
      </c>
    </row>
    <row r="35">
      <c r="A35" s="3" t="s">
        <v>32</v>
      </c>
      <c r="B35" s="19">
        <v>8.0</v>
      </c>
      <c r="C35" s="19">
        <v>0.0</v>
      </c>
      <c r="D35" s="19">
        <v>0.0</v>
      </c>
      <c r="E35" s="3">
        <v>0.0</v>
      </c>
    </row>
    <row r="36">
      <c r="A36" s="3" t="s">
        <v>27</v>
      </c>
      <c r="B36" s="19">
        <v>9.0</v>
      </c>
      <c r="C36" s="19">
        <v>0.0</v>
      </c>
      <c r="D36" s="19">
        <v>0.0</v>
      </c>
      <c r="E36" s="3">
        <v>0.0</v>
      </c>
    </row>
    <row r="37">
      <c r="A37" s="3" t="s">
        <v>20</v>
      </c>
      <c r="B37" s="19">
        <v>8.0</v>
      </c>
      <c r="C37" s="19">
        <v>0.0</v>
      </c>
      <c r="D37" s="19">
        <v>0.0</v>
      </c>
      <c r="E37" s="3">
        <v>0.0</v>
      </c>
    </row>
    <row r="38">
      <c r="A38" s="3"/>
      <c r="B38" s="19"/>
      <c r="C38" s="19"/>
      <c r="D38" s="19"/>
      <c r="E38" s="3"/>
    </row>
    <row r="39">
      <c r="A39" s="3"/>
      <c r="B39" s="19"/>
      <c r="C39" s="19"/>
      <c r="D39" s="19"/>
      <c r="E39" s="3"/>
    </row>
    <row r="40">
      <c r="A40" s="3"/>
      <c r="B40" s="19"/>
      <c r="C40" s="19"/>
      <c r="D40" s="19"/>
      <c r="E40" s="3"/>
    </row>
    <row r="41">
      <c r="A41" s="3"/>
      <c r="B41" s="19"/>
      <c r="C41" s="19"/>
      <c r="D41" s="19"/>
      <c r="E41" s="3"/>
    </row>
    <row r="42">
      <c r="A42" s="3"/>
      <c r="B42" s="19"/>
      <c r="C42" s="19"/>
      <c r="D42" s="19"/>
      <c r="E42" s="3"/>
    </row>
    <row r="43">
      <c r="A43" s="3"/>
      <c r="B43" s="19"/>
      <c r="C43" s="19"/>
      <c r="D43" s="19"/>
      <c r="E43" s="3"/>
    </row>
    <row r="44">
      <c r="A44" s="3"/>
      <c r="B44" s="19"/>
      <c r="C44" s="19"/>
      <c r="D44" s="19"/>
      <c r="E44" s="3"/>
    </row>
    <row r="45">
      <c r="A45" s="3"/>
      <c r="B45" s="19"/>
      <c r="C45" s="19"/>
      <c r="D45" s="19"/>
      <c r="E45" s="3"/>
    </row>
    <row r="46">
      <c r="A46" s="3"/>
      <c r="B46" s="19"/>
      <c r="C46" s="19"/>
      <c r="D46" s="19"/>
      <c r="E46" s="3"/>
    </row>
    <row r="47">
      <c r="A47" s="3"/>
      <c r="B47" s="19"/>
      <c r="C47" s="19"/>
      <c r="D47" s="19"/>
      <c r="E47" s="3"/>
    </row>
    <row r="48">
      <c r="A48" s="3"/>
      <c r="B48" s="19"/>
      <c r="C48" s="19"/>
      <c r="D48" s="19"/>
      <c r="E48" s="3"/>
    </row>
    <row r="49">
      <c r="A49" s="3"/>
      <c r="B49" s="19"/>
      <c r="C49" s="19"/>
      <c r="D49" s="19"/>
      <c r="E49" s="3"/>
    </row>
    <row r="50">
      <c r="A50" s="3"/>
      <c r="B50" s="19"/>
      <c r="C50" s="19"/>
      <c r="D50" s="19"/>
      <c r="E50" s="3"/>
    </row>
    <row r="51">
      <c r="A51" s="3"/>
      <c r="B51" s="19"/>
      <c r="C51" s="19"/>
      <c r="D51" s="19"/>
      <c r="E51" s="3"/>
    </row>
    <row r="52">
      <c r="A52" s="3"/>
      <c r="B52" s="19"/>
      <c r="C52" s="19"/>
      <c r="D52" s="19"/>
      <c r="E52" s="3"/>
    </row>
    <row r="53">
      <c r="A53" s="3"/>
      <c r="B53" s="19"/>
      <c r="C53" s="19"/>
      <c r="D53" s="19"/>
      <c r="E53" s="3"/>
    </row>
    <row r="54">
      <c r="A54" s="3"/>
      <c r="B54" s="19"/>
      <c r="C54" s="19"/>
      <c r="D54" s="19"/>
      <c r="E54" s="3"/>
    </row>
    <row r="55">
      <c r="A55" s="3"/>
      <c r="B55" s="19"/>
      <c r="C55" s="19"/>
      <c r="D55" s="19"/>
      <c r="E55" s="3"/>
    </row>
    <row r="56">
      <c r="A56" s="3"/>
      <c r="B56" s="19"/>
      <c r="C56" s="19"/>
      <c r="D56" s="19"/>
      <c r="E56" s="3"/>
    </row>
    <row r="57">
      <c r="A57" s="3"/>
      <c r="B57" s="19"/>
      <c r="C57" s="19"/>
      <c r="D57" s="19"/>
      <c r="E57" s="3"/>
    </row>
    <row r="58">
      <c r="A58" s="3"/>
      <c r="B58" s="19"/>
      <c r="C58" s="19"/>
      <c r="D58" s="19"/>
      <c r="E58" s="3"/>
    </row>
    <row r="59">
      <c r="A59" s="3"/>
      <c r="B59" s="19"/>
      <c r="C59" s="19"/>
      <c r="D59" s="19"/>
      <c r="E59" s="3"/>
    </row>
    <row r="60">
      <c r="A60" s="3"/>
      <c r="B60" s="19"/>
      <c r="C60" s="19"/>
      <c r="D60" s="19"/>
      <c r="E60" s="3"/>
    </row>
    <row r="61">
      <c r="A61" s="3"/>
      <c r="B61" s="19"/>
      <c r="C61" s="19"/>
      <c r="D61" s="19"/>
      <c r="E61" s="3"/>
    </row>
    <row r="62">
      <c r="A62" s="3"/>
      <c r="B62" s="19"/>
      <c r="C62" s="19"/>
      <c r="D62" s="19"/>
      <c r="E62" s="3"/>
    </row>
    <row r="63">
      <c r="A63" s="3"/>
      <c r="B63" s="19"/>
      <c r="C63" s="19"/>
      <c r="D63" s="19"/>
      <c r="E63" s="3"/>
    </row>
    <row r="64">
      <c r="A64" s="3"/>
      <c r="B64" s="19"/>
      <c r="C64" s="19"/>
      <c r="D64" s="19"/>
      <c r="E64" s="3"/>
    </row>
    <row r="65">
      <c r="A65" s="3"/>
      <c r="B65" s="19"/>
      <c r="C65" s="19"/>
      <c r="D65" s="19"/>
      <c r="E65" s="3"/>
    </row>
    <row r="66">
      <c r="A66" s="3"/>
      <c r="B66" s="19"/>
      <c r="C66" s="19"/>
      <c r="D66" s="19"/>
      <c r="E66" s="3"/>
    </row>
    <row r="67">
      <c r="A67" s="3"/>
      <c r="B67" s="19"/>
      <c r="C67" s="19"/>
      <c r="D67" s="19"/>
      <c r="E67" s="3"/>
    </row>
    <row r="68">
      <c r="A68" s="3"/>
      <c r="B68" s="19"/>
      <c r="C68" s="19"/>
      <c r="D68" s="19"/>
      <c r="E68" s="3"/>
    </row>
    <row r="69">
      <c r="A69" s="3"/>
      <c r="B69" s="19"/>
      <c r="C69" s="19"/>
      <c r="D69" s="19"/>
      <c r="E69" s="3"/>
    </row>
    <row r="70">
      <c r="A70" s="3"/>
      <c r="B70" s="19"/>
      <c r="C70" s="19"/>
      <c r="D70" s="19"/>
      <c r="E70" s="3"/>
    </row>
    <row r="71">
      <c r="A71" s="3"/>
      <c r="B71" s="19"/>
      <c r="C71" s="19"/>
      <c r="D71" s="19"/>
      <c r="E71" s="3"/>
    </row>
    <row r="72">
      <c r="A72" s="3"/>
      <c r="B72" s="19"/>
      <c r="C72" s="19"/>
      <c r="D72" s="19"/>
      <c r="E72" s="3"/>
    </row>
    <row r="73">
      <c r="A73" s="3"/>
      <c r="B73" s="19"/>
      <c r="C73" s="19"/>
      <c r="D73" s="19"/>
      <c r="E73" s="3"/>
    </row>
    <row r="74">
      <c r="A74" s="3"/>
      <c r="B74" s="19"/>
      <c r="C74" s="19"/>
      <c r="D74" s="19"/>
      <c r="E74" s="3"/>
    </row>
    <row r="75">
      <c r="A75" s="3"/>
      <c r="B75" s="19"/>
      <c r="C75" s="19"/>
      <c r="D75" s="19"/>
      <c r="E75" s="3"/>
    </row>
    <row r="76">
      <c r="A76" s="3"/>
      <c r="B76" s="19"/>
      <c r="C76" s="19"/>
      <c r="D76" s="19"/>
      <c r="E76" s="3"/>
    </row>
    <row r="77">
      <c r="A77" s="3"/>
      <c r="B77" s="19"/>
      <c r="C77" s="19"/>
      <c r="D77" s="19"/>
      <c r="E77" s="3"/>
    </row>
    <row r="78">
      <c r="A78" s="3"/>
      <c r="B78" s="19"/>
      <c r="C78" s="19"/>
      <c r="D78" s="19"/>
      <c r="E78" s="3"/>
    </row>
    <row r="79">
      <c r="A79" s="3"/>
      <c r="B79" s="19"/>
      <c r="C79" s="19"/>
      <c r="D79" s="19"/>
      <c r="E79" s="3"/>
    </row>
    <row r="80">
      <c r="A80" s="3"/>
      <c r="B80" s="19"/>
      <c r="C80" s="19"/>
      <c r="D80" s="19"/>
      <c r="E80" s="3"/>
    </row>
    <row r="81">
      <c r="A81" s="3"/>
      <c r="B81" s="19"/>
      <c r="C81" s="19"/>
      <c r="D81" s="19"/>
      <c r="E81" s="3"/>
    </row>
    <row r="82">
      <c r="A82" s="3"/>
      <c r="B82" s="19"/>
      <c r="C82" s="19"/>
      <c r="D82" s="19"/>
      <c r="E82" s="3"/>
    </row>
    <row r="83">
      <c r="A83" s="3"/>
      <c r="B83" s="19"/>
      <c r="C83" s="19"/>
      <c r="D83" s="19"/>
      <c r="E83" s="3"/>
    </row>
    <row r="84">
      <c r="A84" s="3"/>
      <c r="B84" s="19"/>
      <c r="C84" s="19"/>
      <c r="D84" s="19"/>
      <c r="E84" s="3"/>
    </row>
    <row r="85">
      <c r="A85" s="3"/>
      <c r="B85" s="19"/>
      <c r="C85" s="19"/>
      <c r="D85" s="19"/>
      <c r="E85" s="3"/>
    </row>
    <row r="86">
      <c r="A86" s="3"/>
      <c r="B86" s="19"/>
      <c r="C86" s="19"/>
      <c r="D86" s="19"/>
      <c r="E86" s="3"/>
    </row>
    <row r="87">
      <c r="A87" s="3"/>
      <c r="B87" s="19"/>
      <c r="C87" s="19"/>
      <c r="D87" s="19"/>
      <c r="E87" s="3"/>
    </row>
    <row r="88">
      <c r="A88" s="3"/>
      <c r="B88" s="19"/>
      <c r="C88" s="19"/>
      <c r="D88" s="19"/>
      <c r="E88" s="3"/>
    </row>
    <row r="89">
      <c r="A89" s="3"/>
      <c r="B89" s="19"/>
      <c r="C89" s="19"/>
      <c r="D89" s="19"/>
      <c r="E89" s="3"/>
    </row>
    <row r="90">
      <c r="A90" s="3"/>
      <c r="B90" s="19"/>
      <c r="C90" s="19"/>
      <c r="D90" s="19"/>
      <c r="E90" s="3"/>
    </row>
    <row r="91">
      <c r="A91" s="3"/>
      <c r="B91" s="19"/>
      <c r="C91" s="19"/>
      <c r="D91" s="19"/>
      <c r="E91" s="3"/>
    </row>
    <row r="92">
      <c r="A92" s="3"/>
      <c r="B92" s="19"/>
      <c r="C92" s="19"/>
      <c r="D92" s="19"/>
      <c r="E92" s="3"/>
    </row>
    <row r="93">
      <c r="A93" s="3"/>
      <c r="B93" s="19"/>
      <c r="C93" s="19"/>
      <c r="D93" s="19"/>
      <c r="E93" s="3"/>
    </row>
    <row r="94">
      <c r="A94" s="3"/>
      <c r="B94" s="19"/>
      <c r="C94" s="19"/>
      <c r="D94" s="19"/>
      <c r="E94" s="3"/>
    </row>
    <row r="95">
      <c r="A95" s="3"/>
      <c r="B95" s="19"/>
      <c r="C95" s="19"/>
      <c r="D95" s="19"/>
      <c r="E95" s="3"/>
    </row>
    <row r="96">
      <c r="A96" s="3"/>
      <c r="B96" s="19"/>
      <c r="C96" s="19"/>
      <c r="D96" s="19"/>
      <c r="E96" s="3"/>
    </row>
    <row r="97">
      <c r="A97" s="3"/>
      <c r="B97" s="19"/>
      <c r="C97" s="19"/>
      <c r="D97" s="19"/>
      <c r="E97" s="3"/>
    </row>
    <row r="98">
      <c r="A98" s="3"/>
      <c r="B98" s="19"/>
      <c r="C98" s="19"/>
      <c r="D98" s="19"/>
      <c r="E98" s="3"/>
    </row>
    <row r="99">
      <c r="A99" s="3"/>
      <c r="B99" s="19"/>
      <c r="C99" s="19"/>
      <c r="D99" s="19"/>
      <c r="E99" s="3"/>
    </row>
    <row r="100">
      <c r="A100" s="3"/>
      <c r="B100" s="19"/>
      <c r="C100" s="19"/>
      <c r="D100" s="19"/>
      <c r="E100" s="3"/>
    </row>
    <row r="101">
      <c r="A101" s="3"/>
      <c r="B101" s="19"/>
      <c r="C101" s="19"/>
      <c r="D101" s="19"/>
      <c r="E101" s="3"/>
    </row>
    <row r="102">
      <c r="A102" s="3"/>
      <c r="B102" s="19"/>
      <c r="C102" s="19"/>
      <c r="D102" s="19"/>
      <c r="E102" s="3"/>
    </row>
    <row r="103">
      <c r="A103" s="3"/>
      <c r="B103" s="19"/>
      <c r="C103" s="19"/>
      <c r="D103" s="19"/>
      <c r="E103" s="3"/>
    </row>
    <row r="104">
      <c r="A104" s="3"/>
      <c r="B104" s="19"/>
      <c r="C104" s="19"/>
      <c r="D104" s="19"/>
      <c r="E104" s="3"/>
    </row>
    <row r="105">
      <c r="A105" s="3"/>
      <c r="B105" s="19"/>
      <c r="C105" s="19"/>
      <c r="D105" s="19"/>
      <c r="E105" s="3"/>
    </row>
    <row r="106">
      <c r="A106" s="3"/>
      <c r="B106" s="19"/>
      <c r="C106" s="19"/>
      <c r="D106" s="19"/>
      <c r="E106" s="3"/>
    </row>
    <row r="107">
      <c r="A107" s="3"/>
      <c r="B107" s="19"/>
      <c r="C107" s="19"/>
      <c r="D107" s="19"/>
      <c r="E107" s="3"/>
    </row>
    <row r="108">
      <c r="A108" s="3"/>
      <c r="B108" s="19"/>
      <c r="C108" s="19"/>
      <c r="D108" s="19"/>
      <c r="E108" s="3"/>
    </row>
    <row r="109">
      <c r="A109" s="3"/>
      <c r="B109" s="19"/>
      <c r="C109" s="19"/>
      <c r="D109" s="19"/>
      <c r="E109" s="3"/>
    </row>
    <row r="110">
      <c r="A110" s="3"/>
      <c r="B110" s="19"/>
      <c r="C110" s="19"/>
      <c r="D110" s="19"/>
      <c r="E110" s="3"/>
    </row>
    <row r="111">
      <c r="A111" s="3"/>
      <c r="B111" s="19"/>
      <c r="C111" s="19"/>
      <c r="D111" s="19"/>
      <c r="E111" s="3"/>
    </row>
    <row r="112">
      <c r="A112" s="3"/>
      <c r="B112" s="19"/>
      <c r="C112" s="19"/>
      <c r="D112" s="19"/>
      <c r="E112" s="3"/>
    </row>
    <row r="113">
      <c r="A113" s="3"/>
      <c r="B113" s="19"/>
      <c r="C113" s="19"/>
      <c r="D113" s="19"/>
      <c r="E113" s="3"/>
    </row>
    <row r="114">
      <c r="A114" s="3"/>
      <c r="B114" s="19"/>
      <c r="C114" s="19"/>
      <c r="D114" s="19"/>
      <c r="E114" s="3"/>
    </row>
    <row r="115">
      <c r="A115" s="3"/>
      <c r="B115" s="19"/>
      <c r="C115" s="19"/>
      <c r="D115" s="19"/>
      <c r="E115" s="3"/>
    </row>
    <row r="116">
      <c r="A116" s="3"/>
      <c r="B116" s="19"/>
      <c r="C116" s="19"/>
      <c r="D116" s="19"/>
      <c r="E116" s="3"/>
    </row>
    <row r="117">
      <c r="A117" s="3"/>
      <c r="B117" s="19"/>
      <c r="C117" s="19"/>
      <c r="D117" s="19"/>
      <c r="E117" s="3"/>
    </row>
    <row r="118">
      <c r="A118" s="3"/>
      <c r="B118" s="19"/>
      <c r="C118" s="19"/>
      <c r="D118" s="19"/>
      <c r="E118" s="3"/>
    </row>
    <row r="119">
      <c r="A119" s="3"/>
      <c r="B119" s="19"/>
      <c r="C119" s="19"/>
      <c r="D119" s="19"/>
      <c r="E119" s="3"/>
    </row>
    <row r="120">
      <c r="A120" s="3"/>
      <c r="B120" s="19"/>
      <c r="C120" s="19"/>
      <c r="D120" s="19"/>
      <c r="E120" s="3"/>
    </row>
    <row r="121">
      <c r="A121" s="3"/>
      <c r="B121" s="19"/>
      <c r="C121" s="19"/>
      <c r="D121" s="19"/>
      <c r="E121" s="3"/>
    </row>
    <row r="122">
      <c r="A122" s="3"/>
      <c r="B122" s="19"/>
      <c r="C122" s="19"/>
      <c r="D122" s="19"/>
      <c r="E122" s="3"/>
    </row>
    <row r="123">
      <c r="A123" s="3"/>
      <c r="B123" s="19"/>
      <c r="C123" s="19"/>
      <c r="D123" s="19"/>
      <c r="E123" s="3"/>
    </row>
    <row r="124">
      <c r="A124" s="3"/>
      <c r="B124" s="19"/>
      <c r="C124" s="19"/>
      <c r="D124" s="19"/>
      <c r="E124" s="3"/>
    </row>
    <row r="125">
      <c r="A125" s="3"/>
      <c r="B125" s="19"/>
      <c r="C125" s="19"/>
      <c r="D125" s="19"/>
      <c r="E125" s="3"/>
    </row>
    <row r="126">
      <c r="A126" s="3"/>
      <c r="B126" s="19"/>
      <c r="C126" s="19"/>
      <c r="D126" s="19"/>
      <c r="E126" s="3"/>
    </row>
    <row r="127">
      <c r="A127" s="3"/>
      <c r="B127" s="19"/>
      <c r="C127" s="19"/>
      <c r="D127" s="19"/>
      <c r="E127" s="3"/>
    </row>
    <row r="128">
      <c r="A128" s="3"/>
      <c r="B128" s="19"/>
      <c r="C128" s="19"/>
      <c r="D128" s="19"/>
      <c r="E128" s="3"/>
    </row>
    <row r="129">
      <c r="A129" s="3"/>
      <c r="B129" s="19"/>
      <c r="C129" s="19"/>
      <c r="D129" s="19"/>
      <c r="E129" s="3"/>
    </row>
    <row r="130">
      <c r="A130" s="3"/>
      <c r="B130" s="19"/>
      <c r="C130" s="19"/>
      <c r="D130" s="19"/>
      <c r="E130" s="3"/>
    </row>
    <row r="131">
      <c r="A131" s="3"/>
      <c r="B131" s="19"/>
      <c r="C131" s="19"/>
      <c r="D131" s="19"/>
      <c r="E131" s="3"/>
    </row>
    <row r="132">
      <c r="A132" s="3"/>
      <c r="B132" s="19"/>
      <c r="C132" s="19"/>
      <c r="D132" s="19"/>
      <c r="E132" s="3"/>
    </row>
    <row r="133">
      <c r="A133" s="3"/>
      <c r="B133" s="19"/>
      <c r="C133" s="19"/>
      <c r="D133" s="19"/>
      <c r="E133" s="3"/>
    </row>
    <row r="134">
      <c r="A134" s="3"/>
      <c r="B134" s="19"/>
      <c r="C134" s="19"/>
      <c r="D134" s="19"/>
      <c r="E134" s="3"/>
    </row>
    <row r="135">
      <c r="A135" s="3"/>
      <c r="B135" s="19"/>
      <c r="C135" s="19"/>
      <c r="D135" s="19"/>
      <c r="E135" s="3"/>
    </row>
    <row r="136">
      <c r="A136" s="3"/>
      <c r="B136" s="19"/>
      <c r="C136" s="19"/>
      <c r="D136" s="19"/>
      <c r="E136" s="3"/>
    </row>
    <row r="137">
      <c r="A137" s="3"/>
      <c r="B137" s="19"/>
      <c r="C137" s="19"/>
      <c r="D137" s="19"/>
      <c r="E137" s="3"/>
    </row>
    <row r="138">
      <c r="A138" s="3"/>
      <c r="B138" s="19"/>
      <c r="C138" s="19"/>
      <c r="D138" s="19"/>
      <c r="E138" s="3"/>
    </row>
    <row r="139">
      <c r="A139" s="3"/>
      <c r="B139" s="19"/>
      <c r="C139" s="19"/>
      <c r="D139" s="19"/>
      <c r="E139" s="3"/>
    </row>
    <row r="140">
      <c r="A140" s="3"/>
      <c r="B140" s="19"/>
      <c r="C140" s="19"/>
      <c r="D140" s="19"/>
      <c r="E140" s="3"/>
    </row>
    <row r="141">
      <c r="A141" s="3"/>
      <c r="B141" s="19"/>
      <c r="C141" s="19"/>
      <c r="D141" s="19"/>
      <c r="E141" s="3"/>
    </row>
    <row r="142">
      <c r="A142" s="3"/>
      <c r="B142" s="19"/>
      <c r="C142" s="19"/>
      <c r="D142" s="19"/>
      <c r="E142" s="3"/>
    </row>
    <row r="143">
      <c r="A143" s="3"/>
      <c r="B143" s="19"/>
      <c r="C143" s="19"/>
      <c r="D143" s="19"/>
      <c r="E143" s="3"/>
    </row>
    <row r="144">
      <c r="A144" s="3"/>
      <c r="B144" s="19"/>
      <c r="C144" s="19"/>
      <c r="D144" s="19"/>
      <c r="E144" s="3"/>
    </row>
    <row r="145">
      <c r="A145" s="3"/>
      <c r="B145" s="19"/>
      <c r="C145" s="19"/>
      <c r="D145" s="19"/>
      <c r="E145" s="3"/>
    </row>
    <row r="146">
      <c r="A146" s="3"/>
      <c r="B146" s="19"/>
      <c r="C146" s="19"/>
      <c r="D146" s="19"/>
      <c r="E146" s="3"/>
    </row>
    <row r="147">
      <c r="A147" s="3"/>
      <c r="B147" s="19"/>
      <c r="C147" s="19"/>
      <c r="D147" s="19"/>
      <c r="E147" s="3"/>
    </row>
    <row r="148">
      <c r="A148" s="3"/>
      <c r="B148" s="19"/>
      <c r="C148" s="19"/>
      <c r="D148" s="19"/>
      <c r="E148" s="3"/>
    </row>
    <row r="149">
      <c r="A149" s="3"/>
      <c r="B149" s="19"/>
      <c r="C149" s="19"/>
      <c r="D149" s="19"/>
      <c r="E149" s="3"/>
    </row>
    <row r="150">
      <c r="A150" s="3"/>
      <c r="B150" s="19"/>
      <c r="C150" s="19"/>
      <c r="D150" s="19"/>
      <c r="E150" s="3"/>
    </row>
    <row r="151">
      <c r="A151" s="3"/>
      <c r="B151" s="19"/>
      <c r="C151" s="19"/>
      <c r="D151" s="19"/>
      <c r="E151" s="3"/>
    </row>
    <row r="152">
      <c r="A152" s="3"/>
      <c r="B152" s="19"/>
      <c r="C152" s="19"/>
      <c r="D152" s="19"/>
      <c r="E152" s="3"/>
    </row>
    <row r="153">
      <c r="A153" s="3"/>
      <c r="B153" s="19"/>
      <c r="C153" s="19"/>
      <c r="D153" s="19"/>
      <c r="E153" s="3"/>
    </row>
    <row r="154">
      <c r="A154" s="3"/>
      <c r="B154" s="19"/>
      <c r="C154" s="19"/>
      <c r="D154" s="19"/>
      <c r="E154" s="3"/>
    </row>
    <row r="155">
      <c r="A155" s="3"/>
      <c r="B155" s="19"/>
      <c r="C155" s="19"/>
      <c r="D155" s="19"/>
      <c r="E155" s="3"/>
    </row>
    <row r="156">
      <c r="A156" s="3"/>
      <c r="B156" s="19"/>
      <c r="C156" s="19"/>
      <c r="D156" s="19"/>
      <c r="E156" s="3"/>
    </row>
    <row r="157">
      <c r="A157" s="3"/>
      <c r="B157" s="19"/>
      <c r="C157" s="19"/>
      <c r="D157" s="19"/>
      <c r="E157" s="3"/>
    </row>
    <row r="158">
      <c r="A158" s="3"/>
      <c r="B158" s="19"/>
      <c r="C158" s="19"/>
      <c r="D158" s="19"/>
      <c r="E158" s="3"/>
    </row>
    <row r="159">
      <c r="A159" s="3"/>
      <c r="B159" s="19"/>
      <c r="C159" s="19"/>
      <c r="D159" s="19"/>
      <c r="E159" s="3"/>
    </row>
    <row r="160">
      <c r="A160" s="3"/>
      <c r="B160" s="19"/>
      <c r="C160" s="19"/>
      <c r="D160" s="19"/>
      <c r="E160" s="3"/>
    </row>
    <row r="161">
      <c r="A161" s="3"/>
      <c r="B161" s="19"/>
      <c r="C161" s="19"/>
      <c r="D161" s="19"/>
      <c r="E161" s="3"/>
    </row>
    <row r="162">
      <c r="A162" s="3"/>
      <c r="B162" s="19"/>
      <c r="C162" s="19"/>
      <c r="D162" s="19"/>
      <c r="E162" s="3"/>
    </row>
    <row r="163">
      <c r="A163" s="3"/>
      <c r="B163" s="19"/>
      <c r="C163" s="19"/>
      <c r="D163" s="19"/>
      <c r="E163" s="3"/>
    </row>
    <row r="164">
      <c r="A164" s="3"/>
      <c r="B164" s="19"/>
      <c r="C164" s="19"/>
      <c r="D164" s="19"/>
      <c r="E164" s="3"/>
    </row>
    <row r="165">
      <c r="A165" s="3"/>
      <c r="B165" s="19"/>
      <c r="C165" s="19"/>
      <c r="D165" s="19"/>
      <c r="E165" s="3"/>
    </row>
    <row r="166">
      <c r="A166" s="3"/>
      <c r="B166" s="19"/>
      <c r="C166" s="19"/>
      <c r="D166" s="19"/>
      <c r="E166" s="3"/>
    </row>
    <row r="167">
      <c r="A167" s="3"/>
      <c r="B167" s="19"/>
      <c r="C167" s="19"/>
      <c r="D167" s="19"/>
      <c r="E167" s="3"/>
    </row>
    <row r="168">
      <c r="A168" s="3"/>
      <c r="B168" s="19"/>
      <c r="C168" s="19"/>
      <c r="D168" s="19"/>
      <c r="E168" s="3"/>
    </row>
    <row r="169">
      <c r="A169" s="3"/>
      <c r="B169" s="19"/>
      <c r="C169" s="19"/>
      <c r="D169" s="19"/>
      <c r="E169" s="3"/>
    </row>
    <row r="170">
      <c r="A170" s="3"/>
      <c r="B170" s="19"/>
      <c r="C170" s="19"/>
      <c r="D170" s="19"/>
      <c r="E170" s="3"/>
    </row>
    <row r="171">
      <c r="A171" s="3"/>
      <c r="B171" s="19"/>
      <c r="C171" s="19"/>
      <c r="D171" s="19"/>
      <c r="E171" s="3"/>
    </row>
    <row r="172">
      <c r="A172" s="3"/>
      <c r="B172" s="19"/>
      <c r="C172" s="19"/>
      <c r="D172" s="19"/>
      <c r="E172" s="3"/>
    </row>
    <row r="173">
      <c r="A173" s="3"/>
      <c r="B173" s="19"/>
      <c r="C173" s="19"/>
      <c r="D173" s="19"/>
      <c r="E173" s="3"/>
    </row>
    <row r="174">
      <c r="A174" s="3"/>
      <c r="B174" s="19"/>
      <c r="C174" s="19"/>
      <c r="D174" s="19"/>
      <c r="E174" s="3"/>
    </row>
    <row r="175">
      <c r="A175" s="3"/>
      <c r="B175" s="19"/>
      <c r="C175" s="19"/>
      <c r="D175" s="19"/>
      <c r="E175" s="3"/>
    </row>
    <row r="176">
      <c r="A176" s="3"/>
      <c r="B176" s="19"/>
      <c r="C176" s="19"/>
      <c r="D176" s="19"/>
      <c r="E176" s="3"/>
    </row>
    <row r="177">
      <c r="A177" s="3"/>
      <c r="B177" s="19"/>
      <c r="C177" s="19"/>
      <c r="D177" s="19"/>
      <c r="E177" s="3"/>
    </row>
    <row r="178">
      <c r="A178" s="3"/>
      <c r="B178" s="19"/>
      <c r="C178" s="19"/>
      <c r="D178" s="19"/>
      <c r="E178" s="3"/>
    </row>
    <row r="179">
      <c r="A179" s="3"/>
      <c r="B179" s="19"/>
      <c r="C179" s="19"/>
      <c r="D179" s="19"/>
      <c r="E179" s="3"/>
    </row>
    <row r="180">
      <c r="A180" s="3"/>
      <c r="B180" s="19"/>
      <c r="C180" s="19"/>
      <c r="D180" s="19"/>
      <c r="E180" s="3"/>
    </row>
    <row r="181">
      <c r="A181" s="3"/>
      <c r="B181" s="19"/>
      <c r="C181" s="19"/>
      <c r="D181" s="19"/>
      <c r="E181" s="3"/>
    </row>
    <row r="182">
      <c r="A182" s="3"/>
      <c r="B182" s="19"/>
      <c r="C182" s="19"/>
      <c r="D182" s="19"/>
      <c r="E182" s="3"/>
    </row>
    <row r="183">
      <c r="A183" s="3"/>
      <c r="B183" s="19"/>
      <c r="C183" s="19"/>
      <c r="D183" s="19"/>
      <c r="E183" s="3"/>
    </row>
    <row r="184">
      <c r="A184" s="3"/>
      <c r="B184" s="19"/>
      <c r="C184" s="19"/>
      <c r="D184" s="19"/>
      <c r="E184" s="3"/>
    </row>
    <row r="185">
      <c r="A185" s="3"/>
      <c r="B185" s="19"/>
      <c r="C185" s="19"/>
      <c r="D185" s="19"/>
      <c r="E185" s="3"/>
    </row>
    <row r="186">
      <c r="A186" s="3"/>
      <c r="B186" s="19"/>
      <c r="C186" s="19"/>
      <c r="D186" s="19"/>
      <c r="E186" s="3"/>
    </row>
    <row r="187">
      <c r="A187" s="3"/>
      <c r="B187" s="19"/>
      <c r="C187" s="19"/>
      <c r="D187" s="19"/>
      <c r="E187" s="3"/>
    </row>
    <row r="188">
      <c r="A188" s="3"/>
      <c r="B188" s="19"/>
      <c r="C188" s="19"/>
      <c r="D188" s="19"/>
      <c r="E188" s="3"/>
    </row>
    <row r="189">
      <c r="A189" s="3"/>
      <c r="B189" s="19"/>
      <c r="C189" s="19"/>
      <c r="D189" s="19"/>
      <c r="E189" s="3"/>
    </row>
    <row r="190">
      <c r="A190" s="3"/>
      <c r="B190" s="19"/>
      <c r="C190" s="19"/>
      <c r="D190" s="19"/>
      <c r="E190" s="3"/>
    </row>
    <row r="191">
      <c r="A191" s="3"/>
      <c r="B191" s="19"/>
      <c r="C191" s="19"/>
      <c r="D191" s="19"/>
      <c r="E191" s="3"/>
    </row>
    <row r="192">
      <c r="A192" s="3"/>
      <c r="B192" s="19"/>
      <c r="C192" s="19"/>
      <c r="D192" s="19"/>
      <c r="E192" s="3"/>
    </row>
    <row r="193">
      <c r="A193" s="3"/>
      <c r="B193" s="19"/>
      <c r="C193" s="19"/>
      <c r="D193" s="19"/>
      <c r="E193" s="3"/>
    </row>
    <row r="194">
      <c r="A194" s="3"/>
      <c r="B194" s="19"/>
      <c r="C194" s="19"/>
      <c r="D194" s="19"/>
      <c r="E194" s="3"/>
    </row>
    <row r="195">
      <c r="A195" s="3"/>
      <c r="B195" s="19"/>
      <c r="C195" s="19"/>
      <c r="D195" s="19"/>
      <c r="E195" s="3"/>
    </row>
    <row r="196">
      <c r="A196" s="3"/>
      <c r="B196" s="19"/>
      <c r="C196" s="19"/>
      <c r="D196" s="19"/>
      <c r="E196" s="3"/>
    </row>
    <row r="197">
      <c r="A197" s="3"/>
      <c r="B197" s="19"/>
      <c r="C197" s="19"/>
      <c r="D197" s="19"/>
      <c r="E197" s="3"/>
    </row>
    <row r="198">
      <c r="A198" s="3"/>
      <c r="B198" s="19"/>
      <c r="C198" s="19"/>
      <c r="D198" s="19"/>
      <c r="E198" s="3"/>
    </row>
    <row r="199">
      <c r="A199" s="3"/>
      <c r="B199" s="19"/>
      <c r="C199" s="19"/>
      <c r="D199" s="19"/>
      <c r="E199" s="3"/>
    </row>
    <row r="200">
      <c r="A200" s="3"/>
      <c r="B200" s="19"/>
      <c r="C200" s="19"/>
      <c r="D200" s="19"/>
      <c r="E200" s="3"/>
    </row>
    <row r="201">
      <c r="A201" s="3"/>
      <c r="B201" s="19"/>
      <c r="C201" s="19"/>
      <c r="D201" s="19"/>
      <c r="E201" s="3"/>
    </row>
    <row r="202">
      <c r="A202" s="3"/>
      <c r="B202" s="19"/>
      <c r="C202" s="19"/>
      <c r="D202" s="19"/>
      <c r="E202" s="3"/>
    </row>
    <row r="203">
      <c r="A203" s="3"/>
      <c r="B203" s="19"/>
      <c r="C203" s="19"/>
      <c r="D203" s="19"/>
      <c r="E203" s="3"/>
    </row>
    <row r="204">
      <c r="A204" s="3"/>
      <c r="B204" s="19"/>
      <c r="C204" s="19"/>
      <c r="D204" s="19"/>
      <c r="E204" s="3"/>
    </row>
    <row r="205">
      <c r="A205" s="3"/>
      <c r="B205" s="19"/>
      <c r="C205" s="19"/>
      <c r="D205" s="19"/>
      <c r="E205" s="3"/>
    </row>
    <row r="206">
      <c r="A206" s="3"/>
      <c r="B206" s="19"/>
      <c r="C206" s="19"/>
      <c r="D206" s="19"/>
      <c r="E206" s="3"/>
    </row>
    <row r="207">
      <c r="A207" s="3"/>
      <c r="B207" s="19"/>
      <c r="C207" s="19"/>
      <c r="D207" s="19"/>
      <c r="E207" s="3"/>
    </row>
    <row r="208">
      <c r="A208" s="3"/>
      <c r="B208" s="19"/>
      <c r="C208" s="19"/>
      <c r="D208" s="19"/>
      <c r="E208" s="3"/>
    </row>
    <row r="209">
      <c r="A209" s="3"/>
      <c r="B209" s="19"/>
      <c r="C209" s="19"/>
      <c r="D209" s="19"/>
      <c r="E209" s="3"/>
    </row>
    <row r="210">
      <c r="A210" s="3"/>
      <c r="B210" s="19"/>
      <c r="C210" s="19"/>
      <c r="D210" s="19"/>
      <c r="E210" s="3"/>
    </row>
    <row r="211">
      <c r="A211" s="3"/>
      <c r="B211" s="19"/>
      <c r="C211" s="19"/>
      <c r="D211" s="19"/>
      <c r="E211" s="3"/>
    </row>
    <row r="212">
      <c r="A212" s="3"/>
      <c r="B212" s="19"/>
      <c r="C212" s="19"/>
      <c r="D212" s="19"/>
      <c r="E212" s="3"/>
    </row>
    <row r="213">
      <c r="A213" s="3"/>
      <c r="B213" s="19"/>
      <c r="C213" s="19"/>
      <c r="D213" s="19"/>
      <c r="E213" s="3"/>
    </row>
    <row r="214">
      <c r="A214" s="3"/>
      <c r="B214" s="19"/>
      <c r="C214" s="19"/>
      <c r="D214" s="19"/>
      <c r="E214" s="3"/>
    </row>
    <row r="215">
      <c r="A215" s="3"/>
      <c r="B215" s="19"/>
      <c r="C215" s="19"/>
      <c r="D215" s="19"/>
      <c r="E215" s="3"/>
    </row>
    <row r="216">
      <c r="A216" s="3"/>
      <c r="B216" s="19"/>
      <c r="C216" s="19"/>
      <c r="D216" s="19"/>
      <c r="E216" s="3"/>
    </row>
    <row r="217">
      <c r="A217" s="3"/>
      <c r="B217" s="19"/>
      <c r="C217" s="19"/>
      <c r="D217" s="19"/>
      <c r="E217" s="3"/>
    </row>
    <row r="218">
      <c r="A218" s="3"/>
      <c r="B218" s="19"/>
      <c r="C218" s="19"/>
      <c r="D218" s="19"/>
      <c r="E218" s="3"/>
    </row>
    <row r="219">
      <c r="A219" s="3"/>
      <c r="B219" s="19"/>
      <c r="C219" s="19"/>
      <c r="D219" s="19"/>
      <c r="E219" s="3"/>
    </row>
    <row r="220">
      <c r="A220" s="3"/>
      <c r="B220" s="19"/>
      <c r="C220" s="19"/>
      <c r="D220" s="19"/>
      <c r="E220" s="3"/>
    </row>
    <row r="221">
      <c r="A221" s="3"/>
      <c r="B221" s="19"/>
      <c r="C221" s="19"/>
      <c r="D221" s="19"/>
      <c r="E221" s="3"/>
    </row>
    <row r="222">
      <c r="A222" s="3"/>
      <c r="B222" s="19"/>
      <c r="C222" s="19"/>
      <c r="D222" s="19"/>
      <c r="E222" s="3"/>
    </row>
    <row r="223">
      <c r="A223" s="3"/>
      <c r="B223" s="19"/>
      <c r="C223" s="19"/>
      <c r="D223" s="19"/>
      <c r="E223" s="3"/>
    </row>
    <row r="224">
      <c r="A224" s="3"/>
      <c r="B224" s="19"/>
      <c r="C224" s="19"/>
      <c r="D224" s="19"/>
      <c r="E224" s="3"/>
    </row>
    <row r="225">
      <c r="A225" s="3"/>
      <c r="B225" s="19"/>
      <c r="C225" s="19"/>
      <c r="D225" s="19"/>
      <c r="E225" s="3"/>
    </row>
    <row r="226">
      <c r="A226" s="3"/>
      <c r="B226" s="19"/>
      <c r="C226" s="19"/>
      <c r="D226" s="19"/>
      <c r="E226" s="3"/>
    </row>
    <row r="227">
      <c r="A227" s="3"/>
      <c r="B227" s="19"/>
      <c r="C227" s="19"/>
      <c r="D227" s="19"/>
      <c r="E227" s="3"/>
    </row>
    <row r="228">
      <c r="A228" s="3"/>
      <c r="B228" s="19"/>
      <c r="C228" s="19"/>
      <c r="D228" s="19"/>
      <c r="E228" s="3"/>
    </row>
    <row r="229">
      <c r="A229" s="3"/>
      <c r="B229" s="19"/>
      <c r="C229" s="19"/>
      <c r="D229" s="19"/>
      <c r="E229" s="3"/>
    </row>
    <row r="230">
      <c r="A230" s="3"/>
      <c r="B230" s="19"/>
      <c r="C230" s="19"/>
      <c r="D230" s="19"/>
      <c r="E230" s="3"/>
    </row>
    <row r="231">
      <c r="A231" s="3"/>
      <c r="B231" s="19"/>
      <c r="C231" s="19"/>
      <c r="D231" s="19"/>
      <c r="E231" s="3"/>
    </row>
    <row r="232">
      <c r="A232" s="3"/>
      <c r="B232" s="19"/>
      <c r="C232" s="19"/>
      <c r="D232" s="19"/>
      <c r="E232" s="3"/>
    </row>
    <row r="233">
      <c r="A233" s="3"/>
      <c r="B233" s="19"/>
      <c r="C233" s="19"/>
      <c r="D233" s="19"/>
      <c r="E233" s="3"/>
    </row>
    <row r="234">
      <c r="A234" s="3"/>
      <c r="B234" s="19"/>
      <c r="C234" s="19"/>
      <c r="D234" s="19"/>
      <c r="E234" s="3"/>
    </row>
    <row r="235">
      <c r="A235" s="3"/>
      <c r="B235" s="19"/>
      <c r="C235" s="19"/>
      <c r="D235" s="19"/>
      <c r="E235" s="3"/>
    </row>
    <row r="236">
      <c r="A236" s="3"/>
      <c r="B236" s="19"/>
      <c r="C236" s="19"/>
      <c r="D236" s="19"/>
      <c r="E236" s="3"/>
    </row>
    <row r="237">
      <c r="A237" s="3"/>
      <c r="B237" s="19"/>
      <c r="C237" s="19"/>
      <c r="D237" s="19"/>
      <c r="E237" s="3"/>
    </row>
    <row r="238">
      <c r="A238" s="3"/>
      <c r="B238" s="19"/>
      <c r="C238" s="19"/>
      <c r="D238" s="19"/>
      <c r="E238" s="3"/>
    </row>
    <row r="239">
      <c r="A239" s="3"/>
      <c r="B239" s="19"/>
      <c r="C239" s="19"/>
      <c r="D239" s="19"/>
      <c r="E239" s="3"/>
    </row>
    <row r="240">
      <c r="A240" s="3"/>
      <c r="B240" s="19"/>
      <c r="C240" s="19"/>
      <c r="D240" s="19"/>
      <c r="E240" s="3"/>
    </row>
    <row r="241">
      <c r="A241" s="3"/>
      <c r="B241" s="19"/>
      <c r="C241" s="19"/>
      <c r="D241" s="19"/>
      <c r="E241" s="3"/>
    </row>
    <row r="242">
      <c r="A242" s="3"/>
      <c r="B242" s="19"/>
      <c r="C242" s="19"/>
      <c r="D242" s="19"/>
      <c r="E242" s="3"/>
    </row>
    <row r="243">
      <c r="A243" s="3"/>
      <c r="B243" s="19"/>
      <c r="C243" s="19"/>
      <c r="D243" s="19"/>
      <c r="E243" s="3"/>
    </row>
    <row r="244">
      <c r="A244" s="3"/>
      <c r="B244" s="19"/>
      <c r="C244" s="19"/>
      <c r="D244" s="19"/>
      <c r="E244" s="3"/>
    </row>
    <row r="245">
      <c r="A245" s="3"/>
      <c r="B245" s="19"/>
      <c r="C245" s="19"/>
      <c r="D245" s="19"/>
      <c r="E245" s="3"/>
    </row>
    <row r="246">
      <c r="A246" s="3"/>
      <c r="B246" s="19"/>
      <c r="C246" s="19"/>
      <c r="D246" s="19"/>
      <c r="E246" s="3"/>
    </row>
    <row r="247">
      <c r="A247" s="3"/>
      <c r="B247" s="19"/>
      <c r="C247" s="19"/>
      <c r="D247" s="19"/>
      <c r="E247" s="3"/>
    </row>
    <row r="248">
      <c r="A248" s="3"/>
      <c r="B248" s="19"/>
      <c r="C248" s="19"/>
      <c r="D248" s="19"/>
      <c r="E248" s="3"/>
    </row>
    <row r="249">
      <c r="A249" s="3"/>
      <c r="B249" s="19"/>
      <c r="C249" s="19"/>
      <c r="D249" s="19"/>
      <c r="E249" s="3"/>
    </row>
    <row r="250">
      <c r="A250" s="3"/>
      <c r="B250" s="19"/>
      <c r="C250" s="19"/>
      <c r="D250" s="19"/>
      <c r="E250" s="3"/>
    </row>
    <row r="251">
      <c r="A251" s="3"/>
      <c r="B251" s="19"/>
      <c r="C251" s="19"/>
      <c r="D251" s="19"/>
      <c r="E251" s="3"/>
    </row>
    <row r="252">
      <c r="A252" s="3"/>
      <c r="B252" s="19"/>
      <c r="C252" s="19"/>
      <c r="D252" s="19"/>
      <c r="E252" s="3"/>
    </row>
    <row r="253">
      <c r="A253" s="3"/>
      <c r="B253" s="19"/>
      <c r="C253" s="19"/>
      <c r="D253" s="19"/>
      <c r="E253" s="3"/>
    </row>
    <row r="254">
      <c r="A254" s="3"/>
      <c r="B254" s="19"/>
      <c r="C254" s="19"/>
      <c r="D254" s="19"/>
      <c r="E254" s="3"/>
    </row>
    <row r="255">
      <c r="A255" s="3"/>
      <c r="B255" s="19"/>
      <c r="C255" s="19"/>
      <c r="D255" s="19"/>
      <c r="E255" s="3"/>
    </row>
    <row r="256">
      <c r="A256" s="3"/>
      <c r="B256" s="19"/>
      <c r="C256" s="19"/>
      <c r="D256" s="19"/>
      <c r="E256" s="3"/>
    </row>
    <row r="257">
      <c r="A257" s="3"/>
      <c r="B257" s="19"/>
      <c r="C257" s="19"/>
      <c r="D257" s="19"/>
      <c r="E257" s="3"/>
    </row>
    <row r="258">
      <c r="A258" s="3"/>
      <c r="B258" s="19"/>
      <c r="C258" s="19"/>
      <c r="D258" s="19"/>
      <c r="E258" s="3"/>
    </row>
    <row r="259">
      <c r="A259" s="3"/>
      <c r="B259" s="19"/>
      <c r="C259" s="19"/>
      <c r="D259" s="19"/>
      <c r="E259" s="3"/>
    </row>
    <row r="260">
      <c r="A260" s="3"/>
      <c r="B260" s="19"/>
      <c r="C260" s="19"/>
      <c r="D260" s="19"/>
      <c r="E260" s="3"/>
    </row>
    <row r="261">
      <c r="A261" s="3"/>
      <c r="B261" s="19"/>
      <c r="C261" s="19"/>
      <c r="D261" s="19"/>
      <c r="E261" s="3"/>
    </row>
    <row r="262">
      <c r="A262" s="3"/>
      <c r="B262" s="19"/>
      <c r="C262" s="19"/>
      <c r="D262" s="19"/>
      <c r="E262" s="3"/>
    </row>
    <row r="263">
      <c r="A263" s="3"/>
      <c r="B263" s="19"/>
      <c r="C263" s="19"/>
      <c r="D263" s="19"/>
      <c r="E263" s="3"/>
    </row>
    <row r="264">
      <c r="A264" s="3"/>
      <c r="B264" s="19"/>
      <c r="C264" s="19"/>
      <c r="D264" s="19"/>
      <c r="E264" s="3"/>
    </row>
    <row r="265">
      <c r="A265" s="3"/>
      <c r="B265" s="19"/>
      <c r="C265" s="19"/>
      <c r="D265" s="19"/>
      <c r="E265" s="3"/>
    </row>
    <row r="266">
      <c r="A266" s="3"/>
      <c r="B266" s="19"/>
      <c r="C266" s="19"/>
      <c r="D266" s="19"/>
      <c r="E266" s="3"/>
    </row>
    <row r="267">
      <c r="A267" s="3"/>
      <c r="B267" s="19"/>
      <c r="C267" s="19"/>
      <c r="D267" s="19"/>
      <c r="E267" s="3"/>
    </row>
    <row r="268">
      <c r="A268" s="3"/>
      <c r="B268" s="19"/>
      <c r="C268" s="19"/>
      <c r="D268" s="19"/>
      <c r="E268" s="3"/>
    </row>
    <row r="269">
      <c r="A269" s="3"/>
      <c r="B269" s="19"/>
      <c r="C269" s="19"/>
      <c r="D269" s="19"/>
      <c r="E269" s="3"/>
    </row>
    <row r="270">
      <c r="A270" s="3"/>
      <c r="B270" s="19"/>
      <c r="C270" s="19"/>
      <c r="D270" s="19"/>
      <c r="E270" s="3"/>
    </row>
    <row r="271">
      <c r="A271" s="3"/>
      <c r="B271" s="19"/>
      <c r="C271" s="19"/>
      <c r="D271" s="19"/>
      <c r="E271" s="3"/>
    </row>
    <row r="272">
      <c r="A272" s="3"/>
      <c r="B272" s="19"/>
      <c r="C272" s="19"/>
      <c r="D272" s="19"/>
      <c r="E272" s="3"/>
    </row>
    <row r="273">
      <c r="A273" s="3"/>
      <c r="B273" s="19"/>
      <c r="C273" s="19"/>
      <c r="D273" s="19"/>
      <c r="E273" s="3"/>
    </row>
    <row r="274">
      <c r="A274" s="3"/>
      <c r="B274" s="19"/>
      <c r="C274" s="19"/>
      <c r="D274" s="19"/>
      <c r="E274" s="3"/>
    </row>
    <row r="275">
      <c r="A275" s="3"/>
      <c r="B275" s="19"/>
      <c r="C275" s="19"/>
      <c r="D275" s="19"/>
      <c r="E275" s="3"/>
    </row>
    <row r="276">
      <c r="A276" s="3"/>
      <c r="B276" s="19"/>
      <c r="C276" s="19"/>
      <c r="D276" s="19"/>
      <c r="E276" s="3"/>
    </row>
    <row r="277">
      <c r="A277" s="3"/>
      <c r="B277" s="19"/>
      <c r="C277" s="19"/>
      <c r="D277" s="19"/>
      <c r="E277" s="3"/>
    </row>
    <row r="278">
      <c r="A278" s="3"/>
      <c r="B278" s="19"/>
      <c r="C278" s="19"/>
      <c r="D278" s="19"/>
      <c r="E278" s="3"/>
    </row>
    <row r="279">
      <c r="A279" s="3"/>
      <c r="B279" s="19"/>
      <c r="C279" s="19"/>
      <c r="D279" s="19"/>
      <c r="E279" s="3"/>
    </row>
    <row r="280">
      <c r="A280" s="3"/>
      <c r="B280" s="19"/>
      <c r="C280" s="19"/>
      <c r="D280" s="19"/>
      <c r="E280" s="3"/>
    </row>
    <row r="281">
      <c r="A281" s="3"/>
      <c r="B281" s="19"/>
      <c r="C281" s="19"/>
      <c r="D281" s="19"/>
      <c r="E281" s="3"/>
    </row>
    <row r="282">
      <c r="A282" s="3"/>
      <c r="B282" s="19"/>
      <c r="C282" s="19"/>
      <c r="D282" s="19"/>
      <c r="E282" s="3"/>
    </row>
    <row r="283">
      <c r="A283" s="3"/>
      <c r="B283" s="19"/>
      <c r="C283" s="19"/>
      <c r="D283" s="19"/>
      <c r="E283" s="3"/>
    </row>
    <row r="284">
      <c r="A284" s="3"/>
      <c r="B284" s="19"/>
      <c r="C284" s="19"/>
      <c r="D284" s="19"/>
      <c r="E284" s="3"/>
    </row>
    <row r="285">
      <c r="A285" s="3"/>
      <c r="B285" s="19"/>
      <c r="C285" s="19"/>
      <c r="D285" s="19"/>
      <c r="E285" s="3"/>
    </row>
    <row r="286">
      <c r="A286" s="3"/>
      <c r="B286" s="19"/>
      <c r="C286" s="19"/>
      <c r="D286" s="19"/>
      <c r="E286" s="3"/>
    </row>
    <row r="287">
      <c r="A287" s="3"/>
      <c r="B287" s="19"/>
      <c r="C287" s="19"/>
      <c r="D287" s="19"/>
      <c r="E287" s="3"/>
    </row>
    <row r="288">
      <c r="A288" s="3"/>
      <c r="B288" s="19"/>
      <c r="C288" s="19"/>
      <c r="D288" s="19"/>
      <c r="E288" s="3"/>
    </row>
    <row r="289">
      <c r="A289" s="3"/>
      <c r="B289" s="19"/>
      <c r="C289" s="19"/>
      <c r="D289" s="19"/>
      <c r="E289" s="3"/>
    </row>
    <row r="290">
      <c r="A290" s="3"/>
      <c r="B290" s="19"/>
      <c r="C290" s="19"/>
      <c r="D290" s="19"/>
      <c r="E290" s="3"/>
    </row>
    <row r="291">
      <c r="A291" s="3"/>
      <c r="B291" s="19"/>
      <c r="C291" s="19"/>
      <c r="D291" s="19"/>
      <c r="E291" s="3"/>
    </row>
    <row r="292">
      <c r="A292" s="3"/>
      <c r="B292" s="19"/>
      <c r="C292" s="19"/>
      <c r="D292" s="19"/>
      <c r="E292" s="3"/>
    </row>
    <row r="293">
      <c r="A293" s="3"/>
      <c r="B293" s="19"/>
      <c r="C293" s="19"/>
      <c r="D293" s="19"/>
      <c r="E293" s="3"/>
    </row>
    <row r="294">
      <c r="A294" s="3"/>
      <c r="B294" s="19"/>
      <c r="C294" s="19"/>
      <c r="D294" s="19"/>
      <c r="E294" s="3"/>
    </row>
    <row r="295">
      <c r="A295" s="3"/>
      <c r="B295" s="19"/>
      <c r="C295" s="19"/>
      <c r="D295" s="19"/>
      <c r="E295" s="3"/>
    </row>
    <row r="296">
      <c r="A296" s="3"/>
      <c r="B296" s="19"/>
      <c r="C296" s="19"/>
      <c r="D296" s="19"/>
      <c r="E296" s="3"/>
    </row>
    <row r="297">
      <c r="A297" s="3"/>
      <c r="B297" s="19"/>
      <c r="C297" s="19"/>
      <c r="D297" s="19"/>
      <c r="E297" s="3"/>
    </row>
    <row r="298">
      <c r="A298" s="3"/>
      <c r="B298" s="19"/>
      <c r="C298" s="19"/>
      <c r="D298" s="19"/>
      <c r="E298" s="3"/>
    </row>
    <row r="299">
      <c r="A299" s="3"/>
      <c r="B299" s="19"/>
      <c r="C299" s="19"/>
      <c r="D299" s="19"/>
      <c r="E299" s="3"/>
    </row>
    <row r="300">
      <c r="A300" s="3"/>
      <c r="B300" s="19"/>
      <c r="C300" s="19"/>
      <c r="D300" s="19"/>
      <c r="E300" s="3"/>
    </row>
    <row r="301">
      <c r="A301" s="3"/>
      <c r="B301" s="19"/>
      <c r="C301" s="19"/>
      <c r="D301" s="19"/>
      <c r="E301" s="3"/>
    </row>
    <row r="302">
      <c r="A302" s="3"/>
      <c r="B302" s="19"/>
      <c r="C302" s="19"/>
      <c r="D302" s="19"/>
      <c r="E302" s="3"/>
    </row>
    <row r="303">
      <c r="A303" s="3"/>
      <c r="B303" s="19"/>
      <c r="C303" s="19"/>
      <c r="D303" s="19"/>
      <c r="E303" s="3"/>
    </row>
    <row r="304">
      <c r="A304" s="3"/>
      <c r="B304" s="19"/>
      <c r="C304" s="19"/>
      <c r="D304" s="19"/>
      <c r="E304" s="3"/>
    </row>
    <row r="305">
      <c r="A305" s="3"/>
      <c r="B305" s="19"/>
      <c r="C305" s="19"/>
      <c r="D305" s="19"/>
      <c r="E305" s="3"/>
    </row>
    <row r="306">
      <c r="A306" s="3"/>
      <c r="B306" s="19"/>
      <c r="C306" s="19"/>
      <c r="D306" s="19"/>
      <c r="E306" s="3"/>
    </row>
    <row r="307">
      <c r="A307" s="3"/>
      <c r="B307" s="19"/>
      <c r="C307" s="19"/>
      <c r="D307" s="19"/>
      <c r="E307" s="3"/>
    </row>
    <row r="308">
      <c r="A308" s="3"/>
      <c r="B308" s="19"/>
      <c r="C308" s="19"/>
      <c r="D308" s="19"/>
      <c r="E308" s="3"/>
    </row>
    <row r="309">
      <c r="A309" s="3"/>
      <c r="B309" s="19"/>
      <c r="C309" s="19"/>
      <c r="D309" s="19"/>
      <c r="E309" s="3"/>
    </row>
    <row r="310">
      <c r="A310" s="3"/>
      <c r="B310" s="19"/>
      <c r="C310" s="19"/>
      <c r="D310" s="19"/>
      <c r="E310" s="3"/>
    </row>
    <row r="311">
      <c r="A311" s="3"/>
      <c r="B311" s="19"/>
      <c r="C311" s="19"/>
      <c r="D311" s="19"/>
      <c r="E311" s="3"/>
    </row>
    <row r="312">
      <c r="A312" s="3"/>
      <c r="B312" s="19"/>
      <c r="C312" s="19"/>
      <c r="D312" s="19"/>
      <c r="E312" s="3"/>
    </row>
    <row r="313">
      <c r="A313" s="3"/>
      <c r="B313" s="19"/>
      <c r="C313" s="19"/>
      <c r="D313" s="19"/>
      <c r="E313" s="3"/>
    </row>
    <row r="314">
      <c r="A314" s="3"/>
      <c r="B314" s="19"/>
      <c r="C314" s="19"/>
      <c r="D314" s="19"/>
      <c r="E314" s="3"/>
    </row>
    <row r="315">
      <c r="A315" s="3"/>
      <c r="B315" s="19"/>
      <c r="C315" s="19"/>
      <c r="D315" s="19"/>
      <c r="E315" s="3"/>
    </row>
    <row r="316">
      <c r="A316" s="3"/>
      <c r="B316" s="19"/>
      <c r="C316" s="19"/>
      <c r="D316" s="19"/>
      <c r="E316" s="3"/>
    </row>
    <row r="317">
      <c r="A317" s="3"/>
      <c r="B317" s="19"/>
      <c r="C317" s="19"/>
      <c r="D317" s="19"/>
      <c r="E317" s="3"/>
    </row>
    <row r="318">
      <c r="A318" s="3"/>
      <c r="B318" s="19"/>
      <c r="C318" s="19"/>
      <c r="D318" s="19"/>
      <c r="E318" s="3"/>
    </row>
    <row r="319">
      <c r="A319" s="3"/>
      <c r="B319" s="19"/>
      <c r="C319" s="19"/>
      <c r="D319" s="19"/>
      <c r="E319" s="3"/>
    </row>
    <row r="320">
      <c r="A320" s="3"/>
      <c r="B320" s="19"/>
      <c r="C320" s="19"/>
      <c r="D320" s="19"/>
      <c r="E320" s="3"/>
    </row>
    <row r="321">
      <c r="A321" s="3"/>
      <c r="B321" s="19"/>
      <c r="C321" s="19"/>
      <c r="D321" s="19"/>
      <c r="E321" s="3"/>
    </row>
    <row r="322">
      <c r="A322" s="3"/>
      <c r="B322" s="19"/>
      <c r="C322" s="19"/>
      <c r="D322" s="19"/>
      <c r="E322" s="3"/>
    </row>
    <row r="323">
      <c r="A323" s="3"/>
      <c r="B323" s="19"/>
      <c r="C323" s="19"/>
      <c r="D323" s="19"/>
      <c r="E323" s="3"/>
    </row>
    <row r="324">
      <c r="A324" s="3"/>
      <c r="B324" s="19"/>
      <c r="C324" s="19"/>
      <c r="D324" s="19"/>
      <c r="E324" s="3"/>
    </row>
    <row r="325">
      <c r="A325" s="3"/>
      <c r="B325" s="19"/>
      <c r="C325" s="19"/>
      <c r="D325" s="19"/>
      <c r="E325" s="3"/>
    </row>
    <row r="326">
      <c r="A326" s="3"/>
      <c r="B326" s="19"/>
      <c r="C326" s="19"/>
      <c r="D326" s="19"/>
      <c r="E326" s="3"/>
    </row>
    <row r="327">
      <c r="A327" s="3"/>
      <c r="B327" s="19"/>
      <c r="C327" s="19"/>
      <c r="D327" s="19"/>
      <c r="E327" s="3"/>
    </row>
    <row r="328">
      <c r="A328" s="3"/>
      <c r="B328" s="19"/>
      <c r="C328" s="19"/>
      <c r="D328" s="19"/>
      <c r="E328" s="3"/>
    </row>
    <row r="329">
      <c r="A329" s="3"/>
      <c r="B329" s="19"/>
      <c r="C329" s="19"/>
      <c r="D329" s="19"/>
      <c r="E329" s="3"/>
    </row>
    <row r="330">
      <c r="A330" s="3"/>
      <c r="B330" s="19"/>
      <c r="C330" s="19"/>
      <c r="D330" s="19"/>
      <c r="E330" s="3"/>
    </row>
    <row r="331">
      <c r="A331" s="3"/>
      <c r="B331" s="19"/>
      <c r="C331" s="19"/>
      <c r="D331" s="19"/>
      <c r="E331" s="3"/>
    </row>
    <row r="332">
      <c r="A332" s="3"/>
      <c r="B332" s="19"/>
      <c r="C332" s="19"/>
      <c r="D332" s="19"/>
      <c r="E332" s="3"/>
    </row>
    <row r="333">
      <c r="A333" s="3"/>
      <c r="B333" s="19"/>
      <c r="C333" s="19"/>
      <c r="D333" s="19"/>
      <c r="E333" s="3"/>
    </row>
    <row r="334">
      <c r="A334" s="3"/>
      <c r="B334" s="19"/>
      <c r="C334" s="19"/>
      <c r="D334" s="19"/>
      <c r="E334" s="3"/>
    </row>
    <row r="335">
      <c r="A335" s="3"/>
      <c r="B335" s="19"/>
      <c r="C335" s="19"/>
      <c r="D335" s="19"/>
      <c r="E335" s="3"/>
    </row>
    <row r="336">
      <c r="A336" s="3"/>
      <c r="B336" s="19"/>
      <c r="C336" s="19"/>
      <c r="D336" s="19"/>
      <c r="E336" s="3"/>
    </row>
    <row r="337">
      <c r="A337" s="3"/>
      <c r="B337" s="19"/>
      <c r="C337" s="19"/>
      <c r="D337" s="19"/>
      <c r="E337" s="3"/>
    </row>
    <row r="338">
      <c r="A338" s="3"/>
      <c r="B338" s="19"/>
      <c r="C338" s="19"/>
      <c r="D338" s="19"/>
      <c r="E338" s="3"/>
    </row>
    <row r="339">
      <c r="A339" s="3"/>
      <c r="B339" s="19"/>
      <c r="C339" s="19"/>
      <c r="D339" s="19"/>
      <c r="E339" s="3"/>
    </row>
    <row r="340">
      <c r="A340" s="3"/>
      <c r="B340" s="19"/>
      <c r="C340" s="19"/>
      <c r="D340" s="19"/>
      <c r="E340" s="3"/>
    </row>
    <row r="341">
      <c r="A341" s="3"/>
      <c r="B341" s="19"/>
      <c r="C341" s="19"/>
      <c r="D341" s="19"/>
      <c r="E341" s="3"/>
    </row>
    <row r="342">
      <c r="A342" s="3"/>
      <c r="B342" s="19"/>
      <c r="C342" s="19"/>
      <c r="D342" s="19"/>
      <c r="E342" s="3"/>
    </row>
    <row r="343">
      <c r="A343" s="3"/>
      <c r="B343" s="19"/>
      <c r="C343" s="19"/>
      <c r="D343" s="19"/>
      <c r="E343" s="3"/>
    </row>
    <row r="344">
      <c r="A344" s="3"/>
      <c r="B344" s="19"/>
      <c r="C344" s="19"/>
      <c r="D344" s="19"/>
      <c r="E344" s="3"/>
    </row>
    <row r="345">
      <c r="A345" s="3"/>
      <c r="B345" s="19"/>
      <c r="C345" s="19"/>
      <c r="D345" s="19"/>
      <c r="E345" s="3"/>
    </row>
    <row r="346">
      <c r="A346" s="3"/>
      <c r="B346" s="19"/>
      <c r="C346" s="19"/>
      <c r="D346" s="19"/>
      <c r="E346" s="3"/>
    </row>
    <row r="347">
      <c r="A347" s="3"/>
      <c r="B347" s="19"/>
      <c r="C347" s="19"/>
      <c r="D347" s="19"/>
      <c r="E347" s="3"/>
    </row>
    <row r="348">
      <c r="A348" s="3"/>
      <c r="B348" s="19"/>
      <c r="C348" s="19"/>
      <c r="D348" s="19"/>
      <c r="E348" s="3"/>
    </row>
    <row r="349">
      <c r="A349" s="3"/>
      <c r="B349" s="19"/>
      <c r="C349" s="19"/>
      <c r="D349" s="19"/>
      <c r="E349" s="3"/>
    </row>
    <row r="350">
      <c r="A350" s="3"/>
      <c r="B350" s="19"/>
      <c r="C350" s="19"/>
      <c r="D350" s="19"/>
      <c r="E350" s="3"/>
    </row>
    <row r="351">
      <c r="A351" s="3"/>
      <c r="B351" s="19"/>
      <c r="C351" s="19"/>
      <c r="D351" s="19"/>
      <c r="E351" s="3"/>
    </row>
    <row r="352">
      <c r="A352" s="3"/>
      <c r="B352" s="19"/>
      <c r="C352" s="19"/>
      <c r="D352" s="19"/>
      <c r="E352" s="3"/>
    </row>
    <row r="353">
      <c r="A353" s="3"/>
      <c r="B353" s="19"/>
      <c r="C353" s="19"/>
      <c r="D353" s="19"/>
      <c r="E353" s="3"/>
    </row>
    <row r="354">
      <c r="A354" s="3"/>
      <c r="B354" s="19"/>
      <c r="C354" s="19"/>
      <c r="D354" s="19"/>
      <c r="E354" s="3"/>
    </row>
    <row r="355">
      <c r="A355" s="3"/>
      <c r="B355" s="19"/>
      <c r="C355" s="19"/>
      <c r="D355" s="19"/>
      <c r="E355" s="3"/>
    </row>
    <row r="356">
      <c r="A356" s="3"/>
      <c r="B356" s="19"/>
      <c r="C356" s="19"/>
      <c r="D356" s="19"/>
      <c r="E356" s="3"/>
    </row>
    <row r="357">
      <c r="A357" s="3"/>
      <c r="B357" s="19"/>
      <c r="C357" s="19"/>
      <c r="D357" s="19"/>
      <c r="E357" s="3"/>
    </row>
    <row r="358">
      <c r="A358" s="3"/>
      <c r="B358" s="19"/>
      <c r="C358" s="19"/>
      <c r="D358" s="19"/>
      <c r="E358" s="3"/>
    </row>
    <row r="359">
      <c r="A359" s="3"/>
      <c r="B359" s="19"/>
      <c r="C359" s="19"/>
      <c r="D359" s="19"/>
      <c r="E359" s="3"/>
    </row>
    <row r="360">
      <c r="A360" s="3"/>
      <c r="B360" s="19"/>
      <c r="C360" s="19"/>
      <c r="D360" s="19"/>
      <c r="E360" s="3"/>
    </row>
    <row r="361">
      <c r="A361" s="3"/>
      <c r="B361" s="19"/>
      <c r="C361" s="19"/>
      <c r="D361" s="19"/>
      <c r="E361" s="3"/>
    </row>
    <row r="362">
      <c r="A362" s="3"/>
      <c r="B362" s="19"/>
      <c r="C362" s="19"/>
      <c r="D362" s="19"/>
      <c r="E362" s="3"/>
    </row>
    <row r="363">
      <c r="A363" s="3"/>
      <c r="B363" s="19"/>
      <c r="C363" s="19"/>
      <c r="D363" s="19"/>
      <c r="E363" s="3"/>
    </row>
    <row r="364">
      <c r="A364" s="3"/>
      <c r="B364" s="19"/>
      <c r="C364" s="19"/>
      <c r="D364" s="19"/>
      <c r="E364" s="3"/>
    </row>
    <row r="365">
      <c r="A365" s="3"/>
      <c r="B365" s="19"/>
      <c r="C365" s="19"/>
      <c r="D365" s="19"/>
      <c r="E365" s="3"/>
    </row>
    <row r="366">
      <c r="A366" s="3"/>
      <c r="B366" s="19"/>
      <c r="C366" s="19"/>
      <c r="D366" s="19"/>
      <c r="E366" s="3"/>
    </row>
    <row r="367">
      <c r="A367" s="3"/>
      <c r="B367" s="19"/>
      <c r="C367" s="19"/>
      <c r="D367" s="19"/>
      <c r="E367" s="3"/>
    </row>
    <row r="368">
      <c r="A368" s="3"/>
      <c r="B368" s="19"/>
      <c r="C368" s="19"/>
      <c r="D368" s="19"/>
      <c r="E368" s="3"/>
    </row>
    <row r="369">
      <c r="A369" s="3"/>
      <c r="B369" s="19"/>
      <c r="C369" s="19"/>
      <c r="D369" s="19"/>
      <c r="E369" s="3"/>
    </row>
    <row r="370">
      <c r="A370" s="3"/>
      <c r="B370" s="19"/>
      <c r="C370" s="19"/>
      <c r="D370" s="19"/>
      <c r="E370" s="3"/>
    </row>
    <row r="371">
      <c r="A371" s="3"/>
      <c r="B371" s="19"/>
      <c r="C371" s="19"/>
      <c r="D371" s="19"/>
      <c r="E371" s="3"/>
    </row>
    <row r="372">
      <c r="A372" s="3"/>
      <c r="B372" s="19"/>
      <c r="C372" s="19"/>
      <c r="D372" s="19"/>
      <c r="E372" s="3"/>
    </row>
    <row r="373">
      <c r="A373" s="3"/>
      <c r="B373" s="19"/>
      <c r="C373" s="19"/>
      <c r="D373" s="19"/>
      <c r="E373" s="3"/>
    </row>
    <row r="374">
      <c r="A374" s="3"/>
      <c r="B374" s="19"/>
      <c r="C374" s="19"/>
      <c r="D374" s="19"/>
      <c r="E374" s="3"/>
    </row>
    <row r="375">
      <c r="A375" s="3"/>
      <c r="B375" s="19"/>
      <c r="C375" s="19"/>
      <c r="D375" s="19"/>
      <c r="E375" s="3"/>
    </row>
    <row r="376">
      <c r="A376" s="3"/>
      <c r="B376" s="19"/>
      <c r="C376" s="19"/>
      <c r="D376" s="19"/>
      <c r="E376" s="3"/>
    </row>
    <row r="377">
      <c r="A377" s="3"/>
      <c r="B377" s="19"/>
      <c r="C377" s="19"/>
      <c r="D377" s="19"/>
      <c r="E377" s="3"/>
    </row>
    <row r="378">
      <c r="A378" s="3"/>
      <c r="B378" s="19"/>
      <c r="C378" s="19"/>
      <c r="D378" s="19"/>
      <c r="E378" s="3"/>
    </row>
    <row r="379">
      <c r="A379" s="3"/>
      <c r="B379" s="19"/>
      <c r="C379" s="19"/>
      <c r="D379" s="19"/>
      <c r="E379" s="3"/>
    </row>
    <row r="380">
      <c r="A380" s="3"/>
      <c r="B380" s="19"/>
      <c r="C380" s="19"/>
      <c r="D380" s="19"/>
      <c r="E380" s="3"/>
    </row>
    <row r="381">
      <c r="A381" s="3"/>
      <c r="B381" s="19"/>
      <c r="C381" s="19"/>
      <c r="D381" s="19"/>
      <c r="E381" s="3"/>
    </row>
    <row r="382">
      <c r="A382" s="3"/>
      <c r="B382" s="19"/>
      <c r="C382" s="19"/>
      <c r="D382" s="19"/>
      <c r="E382" s="3"/>
    </row>
    <row r="383">
      <c r="A383" s="3"/>
      <c r="B383" s="19"/>
      <c r="C383" s="19"/>
      <c r="D383" s="19"/>
      <c r="E383" s="3"/>
    </row>
    <row r="384">
      <c r="A384" s="3"/>
      <c r="B384" s="19"/>
      <c r="C384" s="19"/>
      <c r="D384" s="19"/>
      <c r="E384" s="3"/>
    </row>
    <row r="385">
      <c r="A385" s="3"/>
      <c r="B385" s="19"/>
      <c r="C385" s="19"/>
      <c r="D385" s="19"/>
      <c r="E385" s="3"/>
    </row>
    <row r="386">
      <c r="A386" s="3"/>
      <c r="B386" s="19"/>
      <c r="C386" s="19"/>
      <c r="D386" s="19"/>
      <c r="E386" s="3"/>
    </row>
    <row r="387">
      <c r="A387" s="3"/>
      <c r="B387" s="19"/>
      <c r="C387" s="19"/>
      <c r="D387" s="19"/>
      <c r="E387" s="3"/>
    </row>
    <row r="388">
      <c r="A388" s="3"/>
      <c r="B388" s="19"/>
      <c r="C388" s="19"/>
      <c r="D388" s="19"/>
      <c r="E388" s="3"/>
    </row>
    <row r="389">
      <c r="A389" s="3"/>
      <c r="B389" s="19"/>
      <c r="C389" s="19"/>
      <c r="D389" s="19"/>
      <c r="E389" s="3"/>
    </row>
    <row r="390">
      <c r="A390" s="3"/>
      <c r="B390" s="19"/>
      <c r="C390" s="19"/>
      <c r="D390" s="19"/>
      <c r="E390" s="3"/>
    </row>
    <row r="391">
      <c r="A391" s="3"/>
      <c r="B391" s="19"/>
      <c r="C391" s="19"/>
      <c r="D391" s="19"/>
      <c r="E391" s="3"/>
    </row>
    <row r="392">
      <c r="A392" s="3"/>
      <c r="B392" s="19"/>
      <c r="C392" s="19"/>
      <c r="D392" s="19"/>
      <c r="E392" s="3"/>
    </row>
    <row r="393">
      <c r="A393" s="3"/>
      <c r="B393" s="19"/>
      <c r="C393" s="19"/>
      <c r="D393" s="19"/>
      <c r="E393" s="3"/>
    </row>
    <row r="394">
      <c r="A394" s="3"/>
      <c r="B394" s="19"/>
      <c r="C394" s="19"/>
      <c r="D394" s="19"/>
      <c r="E394" s="3"/>
    </row>
    <row r="395">
      <c r="A395" s="3"/>
      <c r="B395" s="19"/>
      <c r="C395" s="19"/>
      <c r="D395" s="19"/>
      <c r="E395" s="3"/>
    </row>
    <row r="396">
      <c r="A396" s="3"/>
      <c r="B396" s="19"/>
      <c r="C396" s="19"/>
      <c r="D396" s="19"/>
      <c r="E396" s="3"/>
    </row>
    <row r="397">
      <c r="A397" s="3"/>
      <c r="B397" s="19"/>
      <c r="C397" s="19"/>
      <c r="D397" s="19"/>
      <c r="E397" s="3"/>
    </row>
    <row r="398">
      <c r="A398" s="3"/>
      <c r="B398" s="19"/>
      <c r="C398" s="19"/>
      <c r="D398" s="19"/>
      <c r="E398" s="3"/>
    </row>
    <row r="399">
      <c r="A399" s="3"/>
      <c r="B399" s="19"/>
      <c r="C399" s="19"/>
      <c r="D399" s="19"/>
      <c r="E399" s="3"/>
    </row>
    <row r="400">
      <c r="A400" s="3"/>
      <c r="B400" s="19"/>
      <c r="C400" s="19"/>
      <c r="D400" s="19"/>
      <c r="E400" s="3"/>
    </row>
    <row r="401">
      <c r="A401" s="3"/>
      <c r="B401" s="19"/>
      <c r="C401" s="19"/>
      <c r="D401" s="19"/>
      <c r="E401" s="3"/>
    </row>
    <row r="402">
      <c r="A402" s="3"/>
      <c r="B402" s="19"/>
      <c r="C402" s="19"/>
      <c r="D402" s="19"/>
      <c r="E402" s="3"/>
    </row>
    <row r="403">
      <c r="A403" s="3"/>
      <c r="B403" s="19"/>
      <c r="C403" s="19"/>
      <c r="D403" s="19"/>
      <c r="E403" s="3"/>
    </row>
    <row r="404">
      <c r="A404" s="3"/>
      <c r="B404" s="19"/>
      <c r="C404" s="19"/>
      <c r="D404" s="19"/>
      <c r="E404" s="3"/>
    </row>
    <row r="405">
      <c r="A405" s="3"/>
      <c r="B405" s="19"/>
      <c r="C405" s="19"/>
      <c r="D405" s="19"/>
      <c r="E405" s="3"/>
    </row>
    <row r="406">
      <c r="A406" s="3"/>
      <c r="B406" s="19"/>
      <c r="C406" s="19"/>
      <c r="D406" s="19"/>
      <c r="E406" s="3"/>
    </row>
    <row r="407">
      <c r="A407" s="3"/>
      <c r="B407" s="19"/>
      <c r="C407" s="19"/>
      <c r="D407" s="19"/>
      <c r="E407" s="3"/>
    </row>
    <row r="408">
      <c r="A408" s="3"/>
      <c r="B408" s="19"/>
      <c r="C408" s="19"/>
      <c r="D408" s="19"/>
      <c r="E408" s="3"/>
    </row>
    <row r="409">
      <c r="A409" s="3"/>
      <c r="B409" s="19"/>
      <c r="C409" s="19"/>
      <c r="D409" s="19"/>
      <c r="E409" s="3"/>
    </row>
    <row r="410">
      <c r="A410" s="3"/>
      <c r="B410" s="19"/>
      <c r="C410" s="19"/>
      <c r="D410" s="19"/>
      <c r="E410" s="3"/>
    </row>
    <row r="411">
      <c r="A411" s="3"/>
      <c r="B411" s="19"/>
      <c r="C411" s="19"/>
      <c r="D411" s="19"/>
      <c r="E411" s="3"/>
    </row>
    <row r="412">
      <c r="A412" s="3"/>
      <c r="B412" s="19"/>
      <c r="C412" s="19"/>
      <c r="D412" s="19"/>
      <c r="E412" s="3"/>
    </row>
    <row r="413">
      <c r="A413" s="3"/>
      <c r="B413" s="19"/>
      <c r="C413" s="19"/>
      <c r="D413" s="19"/>
      <c r="E413" s="3"/>
    </row>
    <row r="414">
      <c r="A414" s="3"/>
      <c r="B414" s="19"/>
      <c r="C414" s="19"/>
      <c r="D414" s="19"/>
      <c r="E414" s="3"/>
    </row>
    <row r="415">
      <c r="A415" s="3"/>
      <c r="B415" s="19"/>
      <c r="C415" s="19"/>
      <c r="D415" s="19"/>
      <c r="E415" s="3"/>
    </row>
    <row r="416">
      <c r="A416" s="3"/>
      <c r="B416" s="19"/>
      <c r="C416" s="19"/>
      <c r="D416" s="19"/>
      <c r="E416" s="3"/>
    </row>
    <row r="417">
      <c r="A417" s="3"/>
      <c r="B417" s="19"/>
      <c r="C417" s="19"/>
      <c r="D417" s="19"/>
      <c r="E417" s="3"/>
    </row>
    <row r="418">
      <c r="A418" s="3"/>
      <c r="B418" s="19"/>
      <c r="C418" s="19"/>
      <c r="D418" s="19"/>
      <c r="E418" s="3"/>
    </row>
    <row r="419">
      <c r="A419" s="3"/>
      <c r="B419" s="19"/>
      <c r="C419" s="19"/>
      <c r="D419" s="19"/>
      <c r="E419" s="3"/>
    </row>
    <row r="420">
      <c r="A420" s="3"/>
      <c r="B420" s="19"/>
      <c r="C420" s="19"/>
      <c r="D420" s="19"/>
      <c r="E420" s="3"/>
    </row>
    <row r="421">
      <c r="A421" s="3"/>
      <c r="B421" s="19"/>
      <c r="C421" s="19"/>
      <c r="D421" s="19"/>
      <c r="E421" s="3"/>
    </row>
    <row r="422">
      <c r="A422" s="3"/>
      <c r="B422" s="19"/>
      <c r="C422" s="19"/>
      <c r="D422" s="19"/>
      <c r="E422" s="3"/>
    </row>
    <row r="423">
      <c r="A423" s="3"/>
      <c r="B423" s="19"/>
      <c r="C423" s="19"/>
      <c r="D423" s="19"/>
      <c r="E423" s="3"/>
    </row>
    <row r="424">
      <c r="A424" s="3"/>
      <c r="B424" s="19"/>
      <c r="C424" s="19"/>
      <c r="D424" s="19"/>
      <c r="E424" s="3"/>
    </row>
    <row r="425">
      <c r="A425" s="3"/>
      <c r="B425" s="19"/>
      <c r="C425" s="19"/>
      <c r="D425" s="19"/>
      <c r="E425" s="3"/>
    </row>
    <row r="426">
      <c r="A426" s="3"/>
      <c r="B426" s="19"/>
      <c r="C426" s="19"/>
      <c r="D426" s="19"/>
      <c r="E426" s="3"/>
    </row>
    <row r="427">
      <c r="A427" s="3"/>
      <c r="B427" s="19"/>
      <c r="C427" s="19"/>
      <c r="D427" s="19"/>
      <c r="E427" s="3"/>
    </row>
    <row r="428">
      <c r="A428" s="3"/>
      <c r="B428" s="19"/>
      <c r="C428" s="19"/>
      <c r="D428" s="19"/>
      <c r="E428" s="3"/>
    </row>
    <row r="429">
      <c r="A429" s="3"/>
      <c r="B429" s="19"/>
      <c r="C429" s="19"/>
      <c r="D429" s="19"/>
      <c r="E429" s="3"/>
    </row>
    <row r="430">
      <c r="A430" s="3"/>
      <c r="B430" s="19"/>
      <c r="C430" s="19"/>
      <c r="D430" s="19"/>
      <c r="E430" s="3"/>
    </row>
    <row r="431">
      <c r="A431" s="3"/>
      <c r="B431" s="19"/>
      <c r="C431" s="19"/>
      <c r="D431" s="19"/>
      <c r="E431" s="3"/>
    </row>
    <row r="432">
      <c r="A432" s="3"/>
      <c r="B432" s="19"/>
      <c r="C432" s="19"/>
      <c r="D432" s="19"/>
      <c r="E432" s="3"/>
    </row>
    <row r="433">
      <c r="A433" s="3"/>
      <c r="B433" s="19"/>
      <c r="C433" s="19"/>
      <c r="D433" s="19"/>
      <c r="E433" s="3"/>
    </row>
    <row r="434">
      <c r="A434" s="3"/>
      <c r="B434" s="19"/>
      <c r="C434" s="19"/>
      <c r="D434" s="19"/>
      <c r="E434" s="3"/>
    </row>
    <row r="435">
      <c r="A435" s="3"/>
      <c r="B435" s="19"/>
      <c r="C435" s="19"/>
      <c r="D435" s="19"/>
      <c r="E435" s="3"/>
    </row>
    <row r="436">
      <c r="A436" s="3"/>
      <c r="B436" s="19"/>
      <c r="C436" s="19"/>
      <c r="D436" s="19"/>
      <c r="E436" s="3"/>
    </row>
    <row r="437">
      <c r="A437" s="3"/>
      <c r="B437" s="19"/>
      <c r="C437" s="19"/>
      <c r="D437" s="19"/>
      <c r="E437" s="3"/>
    </row>
    <row r="438">
      <c r="A438" s="3"/>
      <c r="B438" s="19"/>
      <c r="C438" s="19"/>
      <c r="D438" s="19"/>
      <c r="E438" s="3"/>
    </row>
    <row r="439">
      <c r="A439" s="3"/>
      <c r="B439" s="19"/>
      <c r="C439" s="19"/>
      <c r="D439" s="19"/>
      <c r="E439" s="3"/>
    </row>
    <row r="440">
      <c r="A440" s="3"/>
      <c r="B440" s="19"/>
      <c r="C440" s="19"/>
      <c r="D440" s="19"/>
      <c r="E440" s="3"/>
    </row>
    <row r="441">
      <c r="A441" s="3"/>
      <c r="B441" s="19"/>
      <c r="C441" s="19"/>
      <c r="D441" s="19"/>
      <c r="E441" s="3"/>
    </row>
    <row r="442">
      <c r="A442" s="3"/>
      <c r="B442" s="19"/>
      <c r="C442" s="19"/>
      <c r="D442" s="19"/>
      <c r="E442" s="3"/>
    </row>
    <row r="443">
      <c r="A443" s="3"/>
      <c r="B443" s="19"/>
      <c r="C443" s="19"/>
      <c r="D443" s="19"/>
      <c r="E443" s="3"/>
    </row>
    <row r="444">
      <c r="A444" s="3"/>
      <c r="B444" s="19"/>
      <c r="C444" s="19"/>
      <c r="D444" s="19"/>
      <c r="E444" s="3"/>
    </row>
    <row r="445">
      <c r="A445" s="3"/>
      <c r="B445" s="19"/>
      <c r="C445" s="19"/>
      <c r="D445" s="19"/>
      <c r="E445" s="3"/>
    </row>
    <row r="446">
      <c r="A446" s="3"/>
      <c r="B446" s="19"/>
      <c r="C446" s="19"/>
      <c r="D446" s="19"/>
      <c r="E446" s="3"/>
    </row>
    <row r="447">
      <c r="A447" s="3"/>
      <c r="B447" s="19"/>
      <c r="C447" s="19"/>
      <c r="D447" s="19"/>
      <c r="E447" s="3"/>
    </row>
    <row r="448">
      <c r="A448" s="3"/>
      <c r="B448" s="19"/>
      <c r="C448" s="19"/>
      <c r="D448" s="19"/>
      <c r="E448" s="3"/>
    </row>
    <row r="449">
      <c r="A449" s="3"/>
      <c r="B449" s="19"/>
      <c r="C449" s="19"/>
      <c r="D449" s="19"/>
      <c r="E449" s="3"/>
    </row>
    <row r="450">
      <c r="A450" s="3"/>
      <c r="B450" s="19"/>
      <c r="C450" s="19"/>
      <c r="D450" s="19"/>
      <c r="E450" s="3"/>
    </row>
    <row r="451">
      <c r="A451" s="3"/>
      <c r="B451" s="19"/>
      <c r="C451" s="19"/>
      <c r="D451" s="19"/>
      <c r="E451" s="3"/>
    </row>
    <row r="452">
      <c r="A452" s="3"/>
      <c r="B452" s="19"/>
      <c r="C452" s="19"/>
      <c r="D452" s="19"/>
      <c r="E452" s="3"/>
    </row>
    <row r="453">
      <c r="A453" s="3"/>
      <c r="B453" s="19"/>
      <c r="C453" s="19"/>
      <c r="D453" s="19"/>
      <c r="E453" s="3"/>
    </row>
    <row r="454">
      <c r="A454" s="3"/>
      <c r="B454" s="19"/>
      <c r="C454" s="19"/>
      <c r="D454" s="19"/>
      <c r="E454" s="3"/>
    </row>
    <row r="455">
      <c r="A455" s="3"/>
      <c r="B455" s="19"/>
      <c r="C455" s="19"/>
      <c r="D455" s="19"/>
      <c r="E455" s="3"/>
    </row>
    <row r="456">
      <c r="A456" s="3"/>
      <c r="B456" s="19"/>
      <c r="C456" s="19"/>
      <c r="D456" s="19"/>
      <c r="E456" s="3"/>
    </row>
    <row r="457">
      <c r="A457" s="3"/>
      <c r="B457" s="19"/>
      <c r="C457" s="19"/>
      <c r="D457" s="19"/>
      <c r="E457" s="3"/>
    </row>
    <row r="458">
      <c r="A458" s="3"/>
      <c r="B458" s="19"/>
      <c r="C458" s="19"/>
      <c r="D458" s="19"/>
      <c r="E458" s="3"/>
    </row>
    <row r="459">
      <c r="A459" s="3"/>
      <c r="B459" s="19"/>
      <c r="C459" s="19"/>
      <c r="D459" s="19"/>
      <c r="E459" s="3"/>
    </row>
    <row r="460">
      <c r="A460" s="3"/>
      <c r="B460" s="19"/>
      <c r="C460" s="19"/>
      <c r="D460" s="19"/>
      <c r="E460" s="3"/>
    </row>
    <row r="461">
      <c r="A461" s="3"/>
      <c r="B461" s="19"/>
      <c r="C461" s="19"/>
      <c r="D461" s="19"/>
      <c r="E461" s="3"/>
    </row>
    <row r="462">
      <c r="A462" s="3"/>
      <c r="B462" s="19"/>
      <c r="C462" s="19"/>
      <c r="D462" s="19"/>
      <c r="E462" s="3"/>
    </row>
    <row r="463">
      <c r="A463" s="3"/>
      <c r="B463" s="19"/>
      <c r="C463" s="19"/>
      <c r="D463" s="19"/>
      <c r="E463" s="3"/>
    </row>
    <row r="464">
      <c r="A464" s="3"/>
      <c r="B464" s="19"/>
      <c r="C464" s="19"/>
      <c r="D464" s="19"/>
      <c r="E464" s="3"/>
    </row>
    <row r="465">
      <c r="A465" s="3"/>
      <c r="B465" s="19"/>
      <c r="C465" s="19"/>
      <c r="D465" s="19"/>
      <c r="E465" s="3"/>
    </row>
    <row r="466">
      <c r="A466" s="3"/>
      <c r="B466" s="19"/>
      <c r="C466" s="19"/>
      <c r="D466" s="19"/>
      <c r="E466" s="3"/>
    </row>
    <row r="467">
      <c r="A467" s="3"/>
      <c r="B467" s="19"/>
      <c r="C467" s="19"/>
      <c r="D467" s="19"/>
      <c r="E467" s="3"/>
    </row>
    <row r="468">
      <c r="A468" s="3"/>
      <c r="B468" s="19"/>
      <c r="C468" s="19"/>
      <c r="D468" s="19"/>
      <c r="E468" s="3"/>
    </row>
    <row r="469">
      <c r="A469" s="3"/>
      <c r="B469" s="19"/>
      <c r="C469" s="19"/>
      <c r="D469" s="19"/>
      <c r="E469" s="3"/>
    </row>
    <row r="470">
      <c r="A470" s="3"/>
      <c r="B470" s="19"/>
      <c r="C470" s="19"/>
      <c r="D470" s="19"/>
      <c r="E470" s="3"/>
    </row>
    <row r="471">
      <c r="A471" s="3"/>
      <c r="B471" s="19"/>
      <c r="C471" s="19"/>
      <c r="D471" s="19"/>
      <c r="E471" s="3"/>
    </row>
    <row r="472">
      <c r="A472" s="3"/>
      <c r="B472" s="19"/>
      <c r="C472" s="19"/>
      <c r="D472" s="19"/>
      <c r="E472" s="3"/>
    </row>
    <row r="473">
      <c r="A473" s="3"/>
      <c r="B473" s="19"/>
      <c r="C473" s="19"/>
      <c r="D473" s="19"/>
      <c r="E473" s="3"/>
    </row>
    <row r="474">
      <c r="A474" s="3"/>
      <c r="B474" s="19"/>
      <c r="C474" s="19"/>
      <c r="D474" s="19"/>
      <c r="E474" s="3"/>
    </row>
    <row r="475">
      <c r="A475" s="3"/>
      <c r="B475" s="19"/>
      <c r="C475" s="19"/>
      <c r="D475" s="19"/>
      <c r="E475" s="3"/>
    </row>
    <row r="476">
      <c r="A476" s="3"/>
      <c r="B476" s="19"/>
      <c r="C476" s="19"/>
      <c r="D476" s="19"/>
      <c r="E476" s="3"/>
    </row>
    <row r="477">
      <c r="A477" s="3"/>
      <c r="B477" s="19"/>
      <c r="C477" s="19"/>
      <c r="D477" s="19"/>
      <c r="E477" s="3"/>
    </row>
    <row r="478">
      <c r="A478" s="3"/>
      <c r="B478" s="19"/>
      <c r="C478" s="19"/>
      <c r="D478" s="19"/>
      <c r="E478" s="3"/>
    </row>
    <row r="479">
      <c r="A479" s="3"/>
      <c r="B479" s="19"/>
      <c r="C479" s="19"/>
      <c r="D479" s="19"/>
      <c r="E479" s="3"/>
    </row>
    <row r="480">
      <c r="A480" s="3"/>
      <c r="B480" s="19"/>
      <c r="C480" s="19"/>
      <c r="D480" s="19"/>
      <c r="E480" s="3"/>
    </row>
    <row r="481">
      <c r="A481" s="3"/>
      <c r="B481" s="19"/>
      <c r="C481" s="19"/>
      <c r="D481" s="19"/>
      <c r="E481" s="3"/>
    </row>
    <row r="482">
      <c r="A482" s="3"/>
      <c r="B482" s="19"/>
      <c r="C482" s="19"/>
      <c r="D482" s="19"/>
      <c r="E482" s="3"/>
    </row>
    <row r="483">
      <c r="A483" s="3"/>
      <c r="B483" s="19"/>
      <c r="C483" s="19"/>
      <c r="D483" s="19"/>
      <c r="E483" s="3"/>
    </row>
    <row r="484">
      <c r="A484" s="3"/>
      <c r="B484" s="19"/>
      <c r="C484" s="19"/>
      <c r="D484" s="19"/>
      <c r="E484" s="3"/>
    </row>
    <row r="485">
      <c r="A485" s="3"/>
      <c r="B485" s="19"/>
      <c r="C485" s="19"/>
      <c r="D485" s="19"/>
      <c r="E485" s="3"/>
    </row>
    <row r="486">
      <c r="A486" s="3"/>
      <c r="B486" s="19"/>
      <c r="C486" s="19"/>
      <c r="D486" s="19"/>
      <c r="E486" s="3"/>
    </row>
    <row r="487">
      <c r="A487" s="3"/>
      <c r="B487" s="19"/>
      <c r="C487" s="19"/>
      <c r="D487" s="19"/>
      <c r="E487" s="3"/>
    </row>
    <row r="488">
      <c r="A488" s="3"/>
      <c r="B488" s="19"/>
      <c r="C488" s="19"/>
      <c r="D488" s="19"/>
      <c r="E488" s="3"/>
    </row>
    <row r="489">
      <c r="A489" s="3"/>
      <c r="B489" s="19"/>
      <c r="C489" s="19"/>
      <c r="D489" s="19"/>
      <c r="E489" s="3"/>
    </row>
    <row r="490">
      <c r="A490" s="3"/>
      <c r="B490" s="19"/>
      <c r="C490" s="19"/>
      <c r="D490" s="19"/>
      <c r="E490" s="3"/>
    </row>
    <row r="491">
      <c r="A491" s="3"/>
      <c r="B491" s="19"/>
      <c r="C491" s="19"/>
      <c r="D491" s="19"/>
      <c r="E491" s="3"/>
    </row>
    <row r="492">
      <c r="A492" s="3"/>
      <c r="B492" s="19"/>
      <c r="C492" s="19"/>
      <c r="D492" s="19"/>
      <c r="E492" s="3"/>
    </row>
    <row r="493">
      <c r="A493" s="3"/>
      <c r="B493" s="19"/>
      <c r="C493" s="19"/>
      <c r="D493" s="19"/>
      <c r="E493" s="3"/>
    </row>
    <row r="494">
      <c r="A494" s="3"/>
      <c r="B494" s="19"/>
      <c r="C494" s="19"/>
      <c r="D494" s="19"/>
      <c r="E494" s="3"/>
    </row>
    <row r="495">
      <c r="A495" s="3"/>
      <c r="B495" s="19"/>
      <c r="C495" s="19"/>
      <c r="D495" s="19"/>
      <c r="E495" s="3"/>
    </row>
    <row r="496">
      <c r="A496" s="3"/>
      <c r="B496" s="19"/>
      <c r="C496" s="19"/>
      <c r="D496" s="19"/>
      <c r="E496" s="3"/>
    </row>
    <row r="497">
      <c r="A497" s="3"/>
      <c r="B497" s="19"/>
      <c r="C497" s="19"/>
      <c r="D497" s="19"/>
      <c r="E497" s="3"/>
    </row>
    <row r="498">
      <c r="A498" s="3"/>
      <c r="B498" s="19"/>
      <c r="C498" s="19"/>
      <c r="D498" s="19"/>
      <c r="E498" s="3"/>
    </row>
    <row r="499">
      <c r="A499" s="3"/>
      <c r="B499" s="19"/>
      <c r="C499" s="19"/>
      <c r="D499" s="19"/>
      <c r="E499" s="3"/>
    </row>
    <row r="500">
      <c r="A500" s="3"/>
      <c r="B500" s="19"/>
      <c r="C500" s="19"/>
      <c r="D500" s="19"/>
      <c r="E500" s="3"/>
    </row>
    <row r="501">
      <c r="A501" s="3"/>
      <c r="B501" s="19"/>
      <c r="C501" s="19"/>
      <c r="D501" s="19"/>
      <c r="E501" s="3"/>
    </row>
    <row r="502">
      <c r="A502" s="3"/>
      <c r="B502" s="19"/>
      <c r="C502" s="19"/>
      <c r="D502" s="19"/>
      <c r="E502" s="3"/>
    </row>
    <row r="503">
      <c r="A503" s="3"/>
      <c r="B503" s="19"/>
      <c r="C503" s="19"/>
      <c r="D503" s="19"/>
      <c r="E503" s="3"/>
    </row>
    <row r="504">
      <c r="A504" s="3"/>
      <c r="B504" s="19"/>
      <c r="C504" s="19"/>
      <c r="D504" s="19"/>
      <c r="E504" s="3"/>
    </row>
    <row r="505">
      <c r="A505" s="3"/>
      <c r="B505" s="19"/>
      <c r="C505" s="19"/>
      <c r="D505" s="19"/>
      <c r="E505" s="3"/>
    </row>
    <row r="506">
      <c r="A506" s="3"/>
      <c r="B506" s="19"/>
      <c r="C506" s="19"/>
      <c r="D506" s="19"/>
      <c r="E506" s="3"/>
    </row>
    <row r="507">
      <c r="A507" s="3"/>
      <c r="B507" s="19"/>
      <c r="C507" s="19"/>
      <c r="D507" s="19"/>
      <c r="E507" s="3"/>
    </row>
    <row r="508">
      <c r="A508" s="3"/>
      <c r="B508" s="19"/>
      <c r="C508" s="19"/>
      <c r="D508" s="19"/>
      <c r="E508" s="3"/>
    </row>
    <row r="509">
      <c r="A509" s="3"/>
      <c r="B509" s="19"/>
      <c r="C509" s="19"/>
      <c r="D509" s="19"/>
      <c r="E509" s="3"/>
    </row>
    <row r="510">
      <c r="A510" s="3"/>
      <c r="B510" s="19"/>
      <c r="C510" s="19"/>
      <c r="D510" s="19"/>
      <c r="E510" s="3"/>
    </row>
    <row r="511">
      <c r="A511" s="3"/>
      <c r="B511" s="19"/>
      <c r="C511" s="19"/>
      <c r="D511" s="19"/>
      <c r="E511" s="3"/>
    </row>
    <row r="512">
      <c r="A512" s="3"/>
      <c r="B512" s="19"/>
      <c r="C512" s="19"/>
      <c r="D512" s="19"/>
      <c r="E512" s="3"/>
    </row>
    <row r="513">
      <c r="A513" s="3"/>
      <c r="B513" s="19"/>
      <c r="C513" s="19"/>
      <c r="D513" s="19"/>
      <c r="E513" s="3"/>
    </row>
    <row r="514">
      <c r="A514" s="3"/>
      <c r="B514" s="19"/>
      <c r="C514" s="19"/>
      <c r="D514" s="19"/>
      <c r="E514" s="3"/>
    </row>
    <row r="515">
      <c r="A515" s="3"/>
      <c r="B515" s="19"/>
      <c r="C515" s="19"/>
      <c r="D515" s="19"/>
      <c r="E515" s="3"/>
    </row>
    <row r="516">
      <c r="A516" s="3"/>
      <c r="B516" s="19"/>
      <c r="C516" s="19"/>
      <c r="D516" s="19"/>
      <c r="E516" s="3"/>
    </row>
    <row r="517">
      <c r="A517" s="3"/>
      <c r="B517" s="19"/>
      <c r="C517" s="19"/>
      <c r="D517" s="19"/>
      <c r="E517" s="3"/>
    </row>
    <row r="518">
      <c r="A518" s="3"/>
      <c r="B518" s="19"/>
      <c r="C518" s="19"/>
      <c r="D518" s="19"/>
      <c r="E518" s="3"/>
    </row>
    <row r="519">
      <c r="A519" s="3"/>
      <c r="B519" s="19"/>
      <c r="C519" s="19"/>
      <c r="D519" s="19"/>
      <c r="E519" s="3"/>
    </row>
    <row r="520">
      <c r="A520" s="3"/>
      <c r="B520" s="19"/>
      <c r="C520" s="19"/>
      <c r="D520" s="19"/>
      <c r="E520" s="3"/>
    </row>
    <row r="521">
      <c r="A521" s="3"/>
      <c r="B521" s="19"/>
      <c r="C521" s="19"/>
      <c r="D521" s="19"/>
      <c r="E521" s="3"/>
    </row>
    <row r="522">
      <c r="A522" s="3"/>
      <c r="B522" s="19"/>
      <c r="C522" s="19"/>
      <c r="D522" s="19"/>
      <c r="E522" s="3"/>
    </row>
    <row r="523">
      <c r="A523" s="3"/>
      <c r="B523" s="19"/>
      <c r="C523" s="19"/>
      <c r="D523" s="19"/>
      <c r="E523" s="3"/>
    </row>
    <row r="524">
      <c r="A524" s="3"/>
      <c r="B524" s="19"/>
      <c r="C524" s="19"/>
      <c r="D524" s="19"/>
      <c r="E524" s="3"/>
    </row>
    <row r="525">
      <c r="A525" s="3"/>
      <c r="B525" s="19"/>
      <c r="C525" s="19"/>
      <c r="D525" s="19"/>
      <c r="E525" s="3"/>
    </row>
    <row r="526">
      <c r="A526" s="3"/>
      <c r="B526" s="19"/>
      <c r="C526" s="19"/>
      <c r="D526" s="19"/>
      <c r="E526" s="3"/>
    </row>
    <row r="527">
      <c r="A527" s="3"/>
      <c r="B527" s="19"/>
      <c r="C527" s="19"/>
      <c r="D527" s="19"/>
      <c r="E527" s="3"/>
    </row>
    <row r="528">
      <c r="A528" s="3"/>
      <c r="B528" s="19"/>
      <c r="C528" s="19"/>
      <c r="D528" s="19"/>
      <c r="E528" s="3"/>
    </row>
    <row r="529">
      <c r="A529" s="3"/>
      <c r="B529" s="19"/>
      <c r="C529" s="19"/>
      <c r="D529" s="19"/>
      <c r="E529" s="3"/>
    </row>
    <row r="530">
      <c r="A530" s="3"/>
      <c r="B530" s="19"/>
      <c r="C530" s="19"/>
      <c r="D530" s="19"/>
      <c r="E530" s="3"/>
    </row>
    <row r="531">
      <c r="A531" s="3"/>
      <c r="B531" s="19"/>
      <c r="C531" s="19"/>
      <c r="D531" s="19"/>
      <c r="E531" s="3"/>
    </row>
    <row r="532">
      <c r="A532" s="3"/>
      <c r="B532" s="19"/>
      <c r="C532" s="19"/>
      <c r="D532" s="19"/>
      <c r="E532" s="3"/>
    </row>
    <row r="533">
      <c r="A533" s="3"/>
      <c r="B533" s="19"/>
      <c r="C533" s="19"/>
      <c r="D533" s="19"/>
      <c r="E533" s="3"/>
    </row>
    <row r="534">
      <c r="A534" s="3"/>
      <c r="B534" s="19"/>
      <c r="C534" s="19"/>
      <c r="D534" s="19"/>
      <c r="E534" s="3"/>
    </row>
    <row r="535">
      <c r="A535" s="3"/>
      <c r="B535" s="19"/>
      <c r="C535" s="19"/>
      <c r="D535" s="19"/>
      <c r="E535" s="3"/>
    </row>
    <row r="536">
      <c r="A536" s="3"/>
      <c r="B536" s="19"/>
      <c r="C536" s="19"/>
      <c r="D536" s="19"/>
      <c r="E536" s="3"/>
    </row>
    <row r="537">
      <c r="A537" s="3"/>
      <c r="B537" s="19"/>
      <c r="C537" s="19"/>
      <c r="D537" s="19"/>
      <c r="E537" s="3"/>
    </row>
    <row r="538">
      <c r="A538" s="3"/>
      <c r="B538" s="19"/>
      <c r="C538" s="19"/>
      <c r="D538" s="19"/>
      <c r="E538" s="3"/>
    </row>
    <row r="539">
      <c r="A539" s="3"/>
      <c r="B539" s="19"/>
      <c r="C539" s="19"/>
      <c r="D539" s="19"/>
      <c r="E539" s="3"/>
    </row>
    <row r="540">
      <c r="A540" s="3"/>
      <c r="B540" s="19"/>
      <c r="C540" s="19"/>
      <c r="D540" s="19"/>
      <c r="E540" s="3"/>
    </row>
    <row r="541">
      <c r="A541" s="3"/>
      <c r="B541" s="19"/>
      <c r="C541" s="19"/>
      <c r="D541" s="19"/>
      <c r="E541" s="3"/>
    </row>
    <row r="542">
      <c r="A542" s="3"/>
      <c r="B542" s="19"/>
      <c r="C542" s="19"/>
      <c r="D542" s="19"/>
      <c r="E542" s="3"/>
    </row>
    <row r="543">
      <c r="A543" s="3"/>
      <c r="B543" s="19"/>
      <c r="C543" s="19"/>
      <c r="D543" s="19"/>
      <c r="E543" s="3"/>
    </row>
    <row r="544">
      <c r="A544" s="3"/>
      <c r="B544" s="19"/>
      <c r="C544" s="19"/>
      <c r="D544" s="19"/>
      <c r="E544" s="3"/>
    </row>
    <row r="545">
      <c r="A545" s="3"/>
      <c r="B545" s="19"/>
      <c r="C545" s="19"/>
      <c r="D545" s="19"/>
      <c r="E545" s="3"/>
    </row>
    <row r="546">
      <c r="A546" s="3"/>
      <c r="B546" s="19"/>
      <c r="C546" s="19"/>
      <c r="D546" s="19"/>
      <c r="E546" s="3"/>
    </row>
    <row r="547">
      <c r="A547" s="3"/>
      <c r="B547" s="19"/>
      <c r="C547" s="19"/>
      <c r="D547" s="19"/>
      <c r="E547" s="3"/>
    </row>
    <row r="548">
      <c r="A548" s="3"/>
      <c r="B548" s="19"/>
      <c r="C548" s="19"/>
      <c r="D548" s="19"/>
      <c r="E548" s="3"/>
    </row>
    <row r="549">
      <c r="A549" s="3"/>
      <c r="B549" s="19"/>
      <c r="C549" s="19"/>
      <c r="D549" s="19"/>
      <c r="E549" s="3"/>
    </row>
    <row r="550">
      <c r="A550" s="3"/>
      <c r="B550" s="19"/>
      <c r="C550" s="19"/>
      <c r="D550" s="19"/>
      <c r="E550" s="3"/>
    </row>
    <row r="551">
      <c r="A551" s="3"/>
      <c r="B551" s="19"/>
      <c r="C551" s="19"/>
      <c r="D551" s="19"/>
      <c r="E551" s="3"/>
    </row>
    <row r="552">
      <c r="A552" s="3"/>
      <c r="B552" s="19"/>
      <c r="C552" s="19"/>
      <c r="D552" s="19"/>
      <c r="E552" s="3"/>
    </row>
    <row r="553">
      <c r="A553" s="3"/>
      <c r="B553" s="19"/>
      <c r="C553" s="19"/>
      <c r="D553" s="19"/>
      <c r="E553" s="3"/>
    </row>
    <row r="554">
      <c r="A554" s="3"/>
      <c r="B554" s="19"/>
      <c r="C554" s="19"/>
      <c r="D554" s="19"/>
      <c r="E554" s="3"/>
    </row>
    <row r="555">
      <c r="A555" s="3"/>
      <c r="B555" s="19"/>
      <c r="C555" s="19"/>
      <c r="D555" s="19"/>
      <c r="E555" s="3"/>
    </row>
    <row r="556">
      <c r="A556" s="3"/>
      <c r="B556" s="19"/>
      <c r="C556" s="19"/>
      <c r="D556" s="19"/>
      <c r="E556" s="3"/>
    </row>
    <row r="557">
      <c r="A557" s="3"/>
      <c r="B557" s="19"/>
      <c r="C557" s="19"/>
      <c r="D557" s="19"/>
      <c r="E557" s="3"/>
    </row>
    <row r="558">
      <c r="A558" s="3"/>
      <c r="B558" s="19"/>
      <c r="C558" s="19"/>
      <c r="D558" s="19"/>
      <c r="E558" s="3"/>
    </row>
    <row r="559">
      <c r="A559" s="3"/>
      <c r="B559" s="19"/>
      <c r="C559" s="19"/>
      <c r="D559" s="19"/>
      <c r="E559" s="3"/>
    </row>
    <row r="560">
      <c r="A560" s="3"/>
      <c r="B560" s="19"/>
      <c r="C560" s="19"/>
      <c r="D560" s="19"/>
      <c r="E560" s="3"/>
    </row>
    <row r="561">
      <c r="A561" s="3"/>
      <c r="B561" s="19"/>
      <c r="C561" s="19"/>
      <c r="D561" s="19"/>
      <c r="E561" s="3"/>
    </row>
    <row r="562">
      <c r="A562" s="3"/>
      <c r="B562" s="19"/>
      <c r="C562" s="19"/>
      <c r="D562" s="19"/>
      <c r="E562" s="3"/>
    </row>
    <row r="563">
      <c r="A563" s="3"/>
      <c r="B563" s="19"/>
      <c r="C563" s="19"/>
      <c r="D563" s="19"/>
      <c r="E563" s="3"/>
    </row>
    <row r="564">
      <c r="A564" s="3"/>
      <c r="B564" s="19"/>
      <c r="C564" s="19"/>
      <c r="D564" s="19"/>
      <c r="E564" s="3"/>
    </row>
    <row r="565">
      <c r="A565" s="3"/>
      <c r="B565" s="19"/>
      <c r="C565" s="19"/>
      <c r="D565" s="19"/>
      <c r="E565" s="3"/>
    </row>
    <row r="566">
      <c r="A566" s="3"/>
      <c r="B566" s="19"/>
      <c r="C566" s="19"/>
      <c r="D566" s="19"/>
      <c r="E566" s="3"/>
    </row>
    <row r="567">
      <c r="A567" s="3"/>
      <c r="B567" s="19"/>
      <c r="C567" s="19"/>
      <c r="D567" s="19"/>
      <c r="E567" s="3"/>
    </row>
    <row r="568">
      <c r="A568" s="3"/>
      <c r="B568" s="19"/>
      <c r="C568" s="19"/>
      <c r="D568" s="19"/>
      <c r="E568" s="3"/>
    </row>
    <row r="569">
      <c r="A569" s="3"/>
      <c r="B569" s="19"/>
      <c r="C569" s="19"/>
      <c r="D569" s="19"/>
      <c r="E569" s="3"/>
    </row>
    <row r="570">
      <c r="A570" s="3"/>
      <c r="B570" s="19"/>
      <c r="C570" s="19"/>
      <c r="D570" s="19"/>
      <c r="E570" s="3"/>
    </row>
    <row r="571">
      <c r="A571" s="3"/>
      <c r="B571" s="19"/>
      <c r="C571" s="19"/>
      <c r="D571" s="19"/>
      <c r="E571" s="3"/>
    </row>
    <row r="572">
      <c r="A572" s="3"/>
      <c r="B572" s="19"/>
      <c r="C572" s="19"/>
      <c r="D572" s="19"/>
      <c r="E572" s="3"/>
    </row>
    <row r="573">
      <c r="A573" s="3"/>
      <c r="B573" s="19"/>
      <c r="C573" s="19"/>
      <c r="D573" s="19"/>
      <c r="E573" s="3"/>
    </row>
    <row r="574">
      <c r="A574" s="3"/>
      <c r="B574" s="19"/>
      <c r="C574" s="19"/>
      <c r="D574" s="19"/>
      <c r="E574" s="3"/>
    </row>
    <row r="575">
      <c r="A575" s="3"/>
      <c r="B575" s="19"/>
      <c r="C575" s="19"/>
      <c r="D575" s="19"/>
      <c r="E575" s="3"/>
    </row>
    <row r="576">
      <c r="A576" s="3"/>
      <c r="B576" s="19"/>
      <c r="C576" s="19"/>
      <c r="D576" s="19"/>
      <c r="E576" s="3"/>
    </row>
    <row r="577">
      <c r="A577" s="3"/>
      <c r="B577" s="19"/>
      <c r="C577" s="19"/>
      <c r="D577" s="19"/>
      <c r="E577" s="3"/>
    </row>
    <row r="578">
      <c r="A578" s="3"/>
      <c r="B578" s="19"/>
      <c r="C578" s="19"/>
      <c r="D578" s="19"/>
      <c r="E578" s="3"/>
    </row>
    <row r="579">
      <c r="A579" s="3"/>
      <c r="B579" s="19"/>
      <c r="C579" s="19"/>
      <c r="D579" s="19"/>
      <c r="E579" s="3"/>
    </row>
    <row r="580">
      <c r="A580" s="3"/>
      <c r="B580" s="19"/>
      <c r="C580" s="19"/>
      <c r="D580" s="19"/>
      <c r="E580" s="3"/>
    </row>
    <row r="581">
      <c r="A581" s="3"/>
      <c r="B581" s="19"/>
      <c r="C581" s="19"/>
      <c r="D581" s="19"/>
      <c r="E581" s="3"/>
    </row>
    <row r="582">
      <c r="A582" s="3"/>
      <c r="B582" s="19"/>
      <c r="C582" s="19"/>
      <c r="D582" s="19"/>
      <c r="E582" s="3"/>
    </row>
    <row r="583">
      <c r="A583" s="3"/>
      <c r="B583" s="19"/>
      <c r="C583" s="19"/>
      <c r="D583" s="19"/>
      <c r="E583" s="3"/>
    </row>
    <row r="584">
      <c r="A584" s="3"/>
      <c r="B584" s="19"/>
      <c r="C584" s="19"/>
      <c r="D584" s="19"/>
      <c r="E584" s="3"/>
    </row>
    <row r="585">
      <c r="A585" s="3"/>
      <c r="B585" s="19"/>
      <c r="C585" s="19"/>
      <c r="D585" s="19"/>
      <c r="E585" s="3"/>
    </row>
    <row r="586">
      <c r="A586" s="3"/>
      <c r="B586" s="19"/>
      <c r="C586" s="19"/>
      <c r="D586" s="19"/>
      <c r="E586" s="3"/>
    </row>
    <row r="587">
      <c r="A587" s="3"/>
      <c r="B587" s="19"/>
      <c r="C587" s="19"/>
      <c r="D587" s="19"/>
      <c r="E587" s="3"/>
    </row>
    <row r="588">
      <c r="A588" s="3"/>
      <c r="B588" s="19"/>
      <c r="C588" s="19"/>
      <c r="D588" s="19"/>
      <c r="E588" s="3"/>
    </row>
    <row r="589">
      <c r="A589" s="3"/>
      <c r="B589" s="19"/>
      <c r="C589" s="19"/>
      <c r="D589" s="19"/>
      <c r="E589" s="3"/>
    </row>
    <row r="590">
      <c r="A590" s="3"/>
      <c r="B590" s="19"/>
      <c r="C590" s="19"/>
      <c r="D590" s="19"/>
      <c r="E590" s="3"/>
    </row>
    <row r="591">
      <c r="A591" s="3"/>
      <c r="B591" s="19"/>
      <c r="C591" s="19"/>
      <c r="D591" s="19"/>
      <c r="E591" s="3"/>
    </row>
    <row r="592">
      <c r="A592" s="3"/>
      <c r="B592" s="19"/>
      <c r="C592" s="19"/>
      <c r="D592" s="19"/>
      <c r="E592" s="3"/>
    </row>
    <row r="593">
      <c r="A593" s="3"/>
      <c r="B593" s="19"/>
      <c r="C593" s="19"/>
      <c r="D593" s="19"/>
      <c r="E593" s="3"/>
    </row>
    <row r="594">
      <c r="A594" s="3"/>
      <c r="B594" s="19"/>
      <c r="C594" s="19"/>
      <c r="D594" s="19"/>
      <c r="E594" s="3"/>
    </row>
    <row r="595">
      <c r="A595" s="3"/>
      <c r="B595" s="19"/>
      <c r="C595" s="19"/>
      <c r="D595" s="19"/>
      <c r="E595" s="3"/>
    </row>
    <row r="596">
      <c r="A596" s="3"/>
      <c r="B596" s="19"/>
      <c r="C596" s="19"/>
      <c r="D596" s="19"/>
      <c r="E596" s="3"/>
    </row>
    <row r="597">
      <c r="A597" s="3"/>
      <c r="B597" s="19"/>
      <c r="C597" s="19"/>
      <c r="D597" s="19"/>
      <c r="E597" s="3"/>
    </row>
    <row r="598">
      <c r="A598" s="3"/>
      <c r="B598" s="19"/>
      <c r="C598" s="19"/>
      <c r="D598" s="19"/>
      <c r="E598" s="3"/>
    </row>
    <row r="599">
      <c r="A599" s="3"/>
      <c r="B599" s="19"/>
      <c r="C599" s="19"/>
      <c r="D599" s="19"/>
      <c r="E599" s="3"/>
    </row>
    <row r="600">
      <c r="A600" s="3"/>
      <c r="B600" s="19"/>
      <c r="C600" s="19"/>
      <c r="D600" s="19"/>
      <c r="E600" s="3"/>
    </row>
    <row r="601">
      <c r="A601" s="3"/>
      <c r="B601" s="19"/>
      <c r="C601" s="19"/>
      <c r="D601" s="19"/>
      <c r="E601" s="3"/>
    </row>
    <row r="602">
      <c r="A602" s="3"/>
      <c r="B602" s="19"/>
      <c r="C602" s="19"/>
      <c r="D602" s="19"/>
      <c r="E602" s="3"/>
    </row>
    <row r="603">
      <c r="A603" s="3"/>
      <c r="B603" s="19"/>
      <c r="C603" s="19"/>
      <c r="D603" s="19"/>
      <c r="E603" s="3"/>
    </row>
    <row r="604">
      <c r="A604" s="3"/>
      <c r="B604" s="19"/>
      <c r="C604" s="19"/>
      <c r="D604" s="19"/>
      <c r="E604" s="3"/>
    </row>
    <row r="605">
      <c r="A605" s="3"/>
      <c r="B605" s="19"/>
      <c r="C605" s="19"/>
      <c r="D605" s="19"/>
      <c r="E605" s="3"/>
    </row>
    <row r="606">
      <c r="A606" s="3"/>
      <c r="B606" s="19"/>
      <c r="C606" s="19"/>
      <c r="D606" s="19"/>
      <c r="E606" s="3"/>
    </row>
    <row r="607">
      <c r="A607" s="3"/>
      <c r="B607" s="19"/>
      <c r="C607" s="19"/>
      <c r="D607" s="19"/>
      <c r="E607" s="3"/>
    </row>
    <row r="608">
      <c r="A608" s="3"/>
      <c r="B608" s="19"/>
      <c r="C608" s="19"/>
      <c r="D608" s="19"/>
      <c r="E608" s="3"/>
    </row>
    <row r="609">
      <c r="A609" s="3"/>
      <c r="B609" s="19"/>
      <c r="C609" s="19"/>
      <c r="D609" s="19"/>
      <c r="E609" s="3"/>
    </row>
    <row r="610">
      <c r="A610" s="3"/>
      <c r="B610" s="19"/>
      <c r="C610" s="19"/>
      <c r="D610" s="19"/>
      <c r="E610" s="3"/>
    </row>
    <row r="611">
      <c r="A611" s="3"/>
      <c r="B611" s="19"/>
      <c r="C611" s="19"/>
      <c r="D611" s="19"/>
      <c r="E611" s="3"/>
    </row>
    <row r="612">
      <c r="A612" s="3"/>
      <c r="B612" s="19"/>
      <c r="C612" s="19"/>
      <c r="D612" s="19"/>
      <c r="E612" s="3"/>
    </row>
    <row r="613">
      <c r="A613" s="3"/>
      <c r="B613" s="19"/>
      <c r="C613" s="19"/>
      <c r="D613" s="19"/>
      <c r="E613" s="3"/>
    </row>
    <row r="614">
      <c r="A614" s="3"/>
      <c r="B614" s="19"/>
      <c r="C614" s="19"/>
      <c r="D614" s="19"/>
      <c r="E614" s="3"/>
    </row>
    <row r="615">
      <c r="A615" s="3"/>
      <c r="B615" s="19"/>
      <c r="C615" s="19"/>
      <c r="D615" s="19"/>
      <c r="E615" s="3"/>
    </row>
    <row r="616">
      <c r="A616" s="3"/>
      <c r="B616" s="19"/>
      <c r="C616" s="19"/>
      <c r="D616" s="19"/>
      <c r="E616" s="3"/>
    </row>
    <row r="617">
      <c r="A617" s="3"/>
      <c r="B617" s="19"/>
      <c r="C617" s="19"/>
      <c r="D617" s="19"/>
      <c r="E617" s="3"/>
    </row>
    <row r="618">
      <c r="A618" s="3"/>
      <c r="B618" s="19"/>
      <c r="C618" s="19"/>
      <c r="D618" s="19"/>
      <c r="E618" s="3"/>
    </row>
    <row r="619">
      <c r="A619" s="3"/>
      <c r="B619" s="19"/>
      <c r="C619" s="19"/>
      <c r="D619" s="19"/>
      <c r="E619" s="3"/>
    </row>
    <row r="620">
      <c r="A620" s="3"/>
      <c r="B620" s="19"/>
      <c r="C620" s="19"/>
      <c r="D620" s="19"/>
      <c r="E620" s="3"/>
    </row>
    <row r="621">
      <c r="A621" s="3"/>
      <c r="B621" s="19"/>
      <c r="C621" s="19"/>
      <c r="D621" s="19"/>
      <c r="E621" s="3"/>
    </row>
    <row r="622">
      <c r="A622" s="3"/>
      <c r="B622" s="19"/>
      <c r="C622" s="19"/>
      <c r="D622" s="19"/>
      <c r="E622" s="3"/>
    </row>
    <row r="623">
      <c r="A623" s="3"/>
      <c r="B623" s="19"/>
      <c r="C623" s="19"/>
      <c r="D623" s="19"/>
      <c r="E623" s="3"/>
    </row>
    <row r="624">
      <c r="A624" s="3"/>
      <c r="B624" s="19"/>
      <c r="C624" s="19"/>
      <c r="D624" s="19"/>
      <c r="E624" s="3"/>
    </row>
    <row r="625">
      <c r="A625" s="3"/>
      <c r="B625" s="19"/>
      <c r="C625" s="19"/>
      <c r="D625" s="19"/>
      <c r="E625" s="3"/>
    </row>
    <row r="626">
      <c r="A626" s="3"/>
      <c r="B626" s="19"/>
      <c r="C626" s="19"/>
      <c r="D626" s="19"/>
      <c r="E626" s="3"/>
    </row>
    <row r="627">
      <c r="A627" s="3"/>
      <c r="B627" s="19"/>
      <c r="C627" s="19"/>
      <c r="D627" s="19"/>
      <c r="E627" s="3"/>
    </row>
    <row r="628">
      <c r="A628" s="3"/>
      <c r="B628" s="19"/>
      <c r="C628" s="19"/>
      <c r="D628" s="19"/>
      <c r="E628" s="3"/>
    </row>
    <row r="629">
      <c r="A629" s="3"/>
      <c r="B629" s="19"/>
      <c r="C629" s="19"/>
      <c r="D629" s="19"/>
      <c r="E629" s="3"/>
    </row>
    <row r="630">
      <c r="A630" s="3"/>
      <c r="B630" s="19"/>
      <c r="C630" s="19"/>
      <c r="D630" s="19"/>
      <c r="E630" s="3"/>
    </row>
    <row r="631">
      <c r="A631" s="3"/>
      <c r="B631" s="19"/>
      <c r="C631" s="19"/>
      <c r="D631" s="19"/>
      <c r="E631" s="3"/>
    </row>
    <row r="632">
      <c r="A632" s="3"/>
      <c r="B632" s="19"/>
      <c r="C632" s="19"/>
      <c r="D632" s="19"/>
      <c r="E632" s="3"/>
    </row>
    <row r="633">
      <c r="A633" s="3"/>
      <c r="B633" s="19"/>
      <c r="C633" s="19"/>
      <c r="D633" s="19"/>
      <c r="E633" s="3"/>
    </row>
    <row r="634">
      <c r="A634" s="3"/>
      <c r="B634" s="19"/>
      <c r="C634" s="19"/>
      <c r="D634" s="19"/>
      <c r="E634" s="3"/>
    </row>
    <row r="635">
      <c r="A635" s="3"/>
      <c r="B635" s="19"/>
      <c r="C635" s="19"/>
      <c r="D635" s="19"/>
      <c r="E635" s="3"/>
    </row>
    <row r="636">
      <c r="A636" s="3"/>
      <c r="B636" s="19"/>
      <c r="C636" s="19"/>
      <c r="D636" s="19"/>
      <c r="E636" s="3"/>
    </row>
    <row r="637">
      <c r="A637" s="3"/>
      <c r="B637" s="19"/>
      <c r="C637" s="19"/>
      <c r="D637" s="19"/>
      <c r="E637" s="3"/>
    </row>
    <row r="638">
      <c r="A638" s="3"/>
      <c r="B638" s="19"/>
      <c r="C638" s="19"/>
      <c r="D638" s="19"/>
      <c r="E638" s="3"/>
    </row>
    <row r="639">
      <c r="A639" s="3"/>
      <c r="B639" s="19"/>
      <c r="C639" s="19"/>
      <c r="D639" s="19"/>
      <c r="E639" s="3"/>
    </row>
    <row r="640">
      <c r="A640" s="3"/>
      <c r="B640" s="19"/>
      <c r="C640" s="19"/>
      <c r="D640" s="19"/>
      <c r="E640" s="3"/>
    </row>
    <row r="641">
      <c r="A641" s="3"/>
      <c r="B641" s="19"/>
      <c r="C641" s="19"/>
      <c r="D641" s="19"/>
      <c r="E641" s="3"/>
    </row>
    <row r="642">
      <c r="A642" s="3"/>
      <c r="B642" s="19"/>
      <c r="C642" s="19"/>
      <c r="D642" s="19"/>
      <c r="E642" s="3"/>
    </row>
    <row r="643">
      <c r="A643" s="3"/>
      <c r="B643" s="19"/>
      <c r="C643" s="19"/>
      <c r="D643" s="19"/>
      <c r="E643" s="3"/>
    </row>
    <row r="644">
      <c r="A644" s="3"/>
      <c r="B644" s="19"/>
      <c r="C644" s="19"/>
      <c r="D644" s="19"/>
      <c r="E644" s="3"/>
    </row>
    <row r="645">
      <c r="A645" s="3"/>
      <c r="B645" s="19"/>
      <c r="C645" s="19"/>
      <c r="D645" s="19"/>
      <c r="E645" s="3"/>
    </row>
    <row r="646">
      <c r="A646" s="3"/>
      <c r="B646" s="19"/>
      <c r="C646" s="19"/>
      <c r="D646" s="19"/>
      <c r="E646" s="3"/>
    </row>
    <row r="647">
      <c r="A647" s="3"/>
      <c r="B647" s="19"/>
      <c r="C647" s="19"/>
      <c r="D647" s="19"/>
      <c r="E647" s="3"/>
    </row>
    <row r="648">
      <c r="A648" s="3"/>
      <c r="B648" s="19"/>
      <c r="C648" s="19"/>
      <c r="D648" s="19"/>
      <c r="E648" s="3"/>
    </row>
    <row r="649">
      <c r="A649" s="3"/>
      <c r="B649" s="19"/>
      <c r="C649" s="19"/>
      <c r="D649" s="19"/>
      <c r="E649" s="3"/>
    </row>
    <row r="650">
      <c r="A650" s="3"/>
      <c r="B650" s="19"/>
      <c r="C650" s="19"/>
      <c r="D650" s="19"/>
      <c r="E650" s="3"/>
    </row>
    <row r="651">
      <c r="A651" s="3"/>
      <c r="B651" s="19"/>
      <c r="C651" s="19"/>
      <c r="D651" s="19"/>
      <c r="E651" s="3"/>
    </row>
    <row r="652">
      <c r="A652" s="3"/>
      <c r="B652" s="19"/>
      <c r="C652" s="19"/>
      <c r="D652" s="19"/>
      <c r="E652" s="3"/>
    </row>
    <row r="653">
      <c r="A653" s="3"/>
      <c r="B653" s="19"/>
      <c r="C653" s="19"/>
      <c r="D653" s="19"/>
      <c r="E653" s="3"/>
    </row>
    <row r="654">
      <c r="A654" s="3"/>
      <c r="B654" s="19"/>
      <c r="C654" s="19"/>
      <c r="D654" s="19"/>
      <c r="E654" s="3"/>
    </row>
    <row r="655">
      <c r="A655" s="3"/>
      <c r="B655" s="19"/>
      <c r="C655" s="19"/>
      <c r="D655" s="19"/>
      <c r="E655" s="3"/>
    </row>
    <row r="656">
      <c r="A656" s="3"/>
      <c r="B656" s="19"/>
      <c r="C656" s="19"/>
      <c r="D656" s="19"/>
      <c r="E656" s="3"/>
    </row>
    <row r="657">
      <c r="A657" s="3"/>
      <c r="B657" s="19"/>
      <c r="C657" s="19"/>
      <c r="D657" s="19"/>
      <c r="E657" s="3"/>
    </row>
    <row r="658">
      <c r="A658" s="3"/>
      <c r="B658" s="19"/>
      <c r="C658" s="19"/>
      <c r="D658" s="19"/>
      <c r="E658" s="3"/>
    </row>
    <row r="659">
      <c r="A659" s="3"/>
      <c r="B659" s="19"/>
      <c r="C659" s="19"/>
      <c r="D659" s="19"/>
      <c r="E659" s="3"/>
    </row>
    <row r="660">
      <c r="A660" s="3"/>
      <c r="B660" s="19"/>
      <c r="C660" s="19"/>
      <c r="D660" s="19"/>
      <c r="E660" s="3"/>
    </row>
    <row r="661">
      <c r="A661" s="3"/>
      <c r="B661" s="19"/>
      <c r="C661" s="19"/>
      <c r="D661" s="19"/>
      <c r="E661" s="3"/>
    </row>
    <row r="662">
      <c r="A662" s="3"/>
      <c r="B662" s="19"/>
      <c r="C662" s="19"/>
      <c r="D662" s="19"/>
      <c r="E662" s="3"/>
    </row>
    <row r="663">
      <c r="A663" s="3"/>
      <c r="B663" s="19"/>
      <c r="C663" s="19"/>
      <c r="D663" s="19"/>
      <c r="E663" s="3"/>
    </row>
    <row r="664">
      <c r="A664" s="3"/>
      <c r="B664" s="19"/>
      <c r="C664" s="19"/>
      <c r="D664" s="19"/>
      <c r="E664" s="3"/>
    </row>
    <row r="665">
      <c r="A665" s="3"/>
      <c r="B665" s="19"/>
      <c r="C665" s="19"/>
      <c r="D665" s="19"/>
      <c r="E665" s="3"/>
    </row>
    <row r="666">
      <c r="A666" s="3"/>
      <c r="B666" s="19"/>
      <c r="C666" s="19"/>
      <c r="D666" s="19"/>
      <c r="E666" s="3"/>
    </row>
    <row r="667">
      <c r="A667" s="3"/>
      <c r="B667" s="19"/>
      <c r="C667" s="19"/>
      <c r="D667" s="19"/>
      <c r="E667" s="3"/>
    </row>
    <row r="668">
      <c r="A668" s="3"/>
      <c r="B668" s="19"/>
      <c r="C668" s="19"/>
      <c r="D668" s="19"/>
      <c r="E668" s="3"/>
    </row>
    <row r="669">
      <c r="A669" s="3"/>
      <c r="B669" s="19"/>
      <c r="C669" s="19"/>
      <c r="D669" s="19"/>
      <c r="E669" s="3"/>
    </row>
    <row r="670">
      <c r="A670" s="3"/>
      <c r="B670" s="19"/>
      <c r="C670" s="19"/>
      <c r="D670" s="19"/>
      <c r="E670" s="3"/>
    </row>
    <row r="671">
      <c r="A671" s="3"/>
      <c r="B671" s="19"/>
      <c r="C671" s="19"/>
      <c r="D671" s="19"/>
      <c r="E671" s="3"/>
    </row>
    <row r="672">
      <c r="A672" s="3"/>
      <c r="B672" s="19"/>
      <c r="C672" s="19"/>
      <c r="D672" s="19"/>
      <c r="E672" s="3"/>
    </row>
    <row r="673">
      <c r="A673" s="3"/>
      <c r="B673" s="19"/>
      <c r="C673" s="19"/>
      <c r="D673" s="19"/>
      <c r="E673" s="3"/>
    </row>
    <row r="674">
      <c r="A674" s="3"/>
      <c r="B674" s="19"/>
      <c r="C674" s="19"/>
      <c r="D674" s="19"/>
      <c r="E674" s="3"/>
    </row>
    <row r="675">
      <c r="A675" s="3"/>
      <c r="B675" s="19"/>
      <c r="C675" s="19"/>
      <c r="D675" s="19"/>
      <c r="E675" s="3"/>
    </row>
    <row r="676">
      <c r="A676" s="3"/>
      <c r="B676" s="19"/>
      <c r="C676" s="19"/>
      <c r="D676" s="19"/>
      <c r="E676" s="3"/>
    </row>
    <row r="677">
      <c r="A677" s="3"/>
      <c r="B677" s="19"/>
      <c r="C677" s="19"/>
      <c r="D677" s="19"/>
      <c r="E677" s="3"/>
    </row>
    <row r="678">
      <c r="A678" s="3"/>
      <c r="B678" s="19"/>
      <c r="C678" s="19"/>
      <c r="D678" s="19"/>
      <c r="E678" s="3"/>
    </row>
    <row r="679">
      <c r="A679" s="3"/>
      <c r="B679" s="19"/>
      <c r="C679" s="19"/>
      <c r="D679" s="19"/>
      <c r="E679" s="3"/>
    </row>
    <row r="680">
      <c r="A680" s="3"/>
      <c r="B680" s="19"/>
      <c r="C680" s="19"/>
      <c r="D680" s="19"/>
      <c r="E680" s="3"/>
    </row>
    <row r="681">
      <c r="A681" s="3"/>
      <c r="B681" s="19"/>
      <c r="C681" s="19"/>
      <c r="D681" s="19"/>
      <c r="E681" s="3"/>
    </row>
    <row r="682">
      <c r="A682" s="3"/>
      <c r="B682" s="19"/>
      <c r="C682" s="19"/>
      <c r="D682" s="19"/>
      <c r="E682" s="3"/>
    </row>
    <row r="683">
      <c r="A683" s="3"/>
      <c r="B683" s="19"/>
      <c r="C683" s="19"/>
      <c r="D683" s="19"/>
      <c r="E683" s="3"/>
    </row>
    <row r="684">
      <c r="A684" s="3"/>
      <c r="B684" s="19"/>
      <c r="C684" s="19"/>
      <c r="D684" s="19"/>
      <c r="E684" s="3"/>
    </row>
    <row r="685">
      <c r="A685" s="3"/>
      <c r="B685" s="19"/>
      <c r="C685" s="19"/>
      <c r="D685" s="19"/>
      <c r="E685" s="3"/>
    </row>
    <row r="686">
      <c r="A686" s="3"/>
      <c r="B686" s="19"/>
      <c r="C686" s="19"/>
      <c r="D686" s="19"/>
      <c r="E686" s="3"/>
    </row>
    <row r="687">
      <c r="A687" s="3"/>
      <c r="B687" s="19"/>
      <c r="C687" s="19"/>
      <c r="D687" s="19"/>
      <c r="E687" s="3"/>
    </row>
    <row r="688">
      <c r="A688" s="3"/>
      <c r="B688" s="19"/>
      <c r="C688" s="19"/>
      <c r="D688" s="19"/>
      <c r="E688" s="3"/>
    </row>
    <row r="689">
      <c r="A689" s="3"/>
      <c r="B689" s="19"/>
      <c r="C689" s="19"/>
      <c r="D689" s="19"/>
      <c r="E689" s="3"/>
    </row>
    <row r="690">
      <c r="A690" s="3"/>
      <c r="B690" s="19"/>
      <c r="C690" s="19"/>
      <c r="D690" s="19"/>
      <c r="E690" s="3"/>
    </row>
    <row r="691">
      <c r="A691" s="3"/>
      <c r="B691" s="19"/>
      <c r="C691" s="19"/>
      <c r="D691" s="19"/>
      <c r="E691" s="3"/>
    </row>
    <row r="692">
      <c r="A692" s="3"/>
      <c r="B692" s="19"/>
      <c r="C692" s="19"/>
      <c r="D692" s="19"/>
      <c r="E692" s="3"/>
    </row>
    <row r="693">
      <c r="A693" s="3"/>
      <c r="B693" s="19"/>
      <c r="C693" s="19"/>
      <c r="D693" s="19"/>
      <c r="E693" s="3"/>
    </row>
    <row r="694">
      <c r="A694" s="3"/>
      <c r="B694" s="19"/>
      <c r="C694" s="19"/>
      <c r="D694" s="19"/>
      <c r="E694" s="3"/>
    </row>
    <row r="695">
      <c r="A695" s="3"/>
      <c r="B695" s="19"/>
      <c r="C695" s="19"/>
      <c r="D695" s="19"/>
      <c r="E695" s="3"/>
    </row>
    <row r="696">
      <c r="A696" s="3"/>
      <c r="B696" s="19"/>
      <c r="C696" s="19"/>
      <c r="D696" s="19"/>
      <c r="E696" s="3"/>
    </row>
    <row r="697">
      <c r="A697" s="3"/>
      <c r="B697" s="19"/>
      <c r="C697" s="19"/>
      <c r="D697" s="19"/>
      <c r="E697" s="3"/>
    </row>
    <row r="698">
      <c r="A698" s="3"/>
      <c r="B698" s="19"/>
      <c r="C698" s="19"/>
      <c r="D698" s="19"/>
      <c r="E698" s="3"/>
    </row>
    <row r="699">
      <c r="A699" s="3"/>
      <c r="B699" s="19"/>
      <c r="C699" s="19"/>
      <c r="D699" s="19"/>
      <c r="E699" s="3"/>
    </row>
    <row r="700">
      <c r="A700" s="3"/>
      <c r="B700" s="19"/>
      <c r="C700" s="19"/>
      <c r="D700" s="19"/>
      <c r="E700" s="3"/>
    </row>
    <row r="701">
      <c r="A701" s="3"/>
      <c r="B701" s="19"/>
      <c r="C701" s="19"/>
      <c r="D701" s="19"/>
      <c r="E701" s="3"/>
    </row>
    <row r="702">
      <c r="A702" s="3"/>
      <c r="B702" s="19"/>
      <c r="C702" s="19"/>
      <c r="D702" s="19"/>
      <c r="E702" s="3"/>
    </row>
    <row r="703">
      <c r="A703" s="3"/>
      <c r="B703" s="19"/>
      <c r="C703" s="19"/>
      <c r="D703" s="19"/>
      <c r="E703" s="3"/>
    </row>
    <row r="704">
      <c r="A704" s="3"/>
      <c r="B704" s="19"/>
      <c r="C704" s="19"/>
      <c r="D704" s="19"/>
      <c r="E704" s="3"/>
    </row>
    <row r="705">
      <c r="A705" s="3"/>
      <c r="B705" s="19"/>
      <c r="C705" s="19"/>
      <c r="D705" s="19"/>
      <c r="E705" s="3"/>
    </row>
    <row r="706">
      <c r="A706" s="3"/>
      <c r="B706" s="19"/>
      <c r="C706" s="19"/>
      <c r="D706" s="19"/>
      <c r="E706" s="3"/>
    </row>
    <row r="707">
      <c r="A707" s="3"/>
      <c r="B707" s="19"/>
      <c r="C707" s="19"/>
      <c r="D707" s="19"/>
      <c r="E707" s="3"/>
    </row>
    <row r="708">
      <c r="A708" s="3"/>
      <c r="B708" s="19"/>
      <c r="C708" s="19"/>
      <c r="D708" s="19"/>
      <c r="E708" s="3"/>
    </row>
    <row r="709">
      <c r="A709" s="3"/>
      <c r="B709" s="19"/>
      <c r="C709" s="19"/>
      <c r="D709" s="19"/>
      <c r="E709" s="3"/>
    </row>
    <row r="710">
      <c r="A710" s="3"/>
      <c r="B710" s="19"/>
      <c r="C710" s="19"/>
      <c r="D710" s="19"/>
      <c r="E710" s="3"/>
    </row>
    <row r="711">
      <c r="A711" s="3"/>
      <c r="B711" s="19"/>
      <c r="C711" s="19"/>
      <c r="D711" s="19"/>
      <c r="E711" s="3"/>
    </row>
    <row r="712">
      <c r="A712" s="3"/>
      <c r="B712" s="19"/>
      <c r="C712" s="19"/>
      <c r="D712" s="19"/>
      <c r="E712" s="3"/>
    </row>
    <row r="713">
      <c r="A713" s="3"/>
      <c r="B713" s="19"/>
      <c r="C713" s="19"/>
      <c r="D713" s="19"/>
      <c r="E713" s="3"/>
    </row>
    <row r="714">
      <c r="A714" s="3"/>
      <c r="B714" s="19"/>
      <c r="C714" s="19"/>
      <c r="D714" s="19"/>
      <c r="E714" s="3"/>
    </row>
    <row r="715">
      <c r="A715" s="3"/>
      <c r="B715" s="19"/>
      <c r="C715" s="19"/>
      <c r="D715" s="19"/>
      <c r="E715" s="3"/>
    </row>
    <row r="716">
      <c r="A716" s="3"/>
      <c r="B716" s="19"/>
      <c r="C716" s="19"/>
      <c r="D716" s="19"/>
      <c r="E716" s="3"/>
    </row>
    <row r="717">
      <c r="A717" s="3"/>
      <c r="B717" s="19"/>
      <c r="C717" s="19"/>
      <c r="D717" s="19"/>
      <c r="E717" s="3"/>
    </row>
    <row r="718">
      <c r="A718" s="3"/>
      <c r="B718" s="19"/>
      <c r="C718" s="19"/>
      <c r="D718" s="19"/>
      <c r="E718" s="3"/>
    </row>
    <row r="719">
      <c r="A719" s="3"/>
      <c r="B719" s="19"/>
      <c r="C719" s="19"/>
      <c r="D719" s="19"/>
      <c r="E719" s="3"/>
    </row>
    <row r="720">
      <c r="A720" s="3"/>
      <c r="B720" s="19"/>
      <c r="C720" s="19"/>
      <c r="D720" s="19"/>
      <c r="E720" s="3"/>
    </row>
    <row r="721">
      <c r="A721" s="3"/>
      <c r="B721" s="19"/>
      <c r="C721" s="19"/>
      <c r="D721" s="19"/>
      <c r="E721" s="3"/>
    </row>
    <row r="722">
      <c r="A722" s="3"/>
      <c r="B722" s="19"/>
      <c r="C722" s="19"/>
      <c r="D722" s="19"/>
      <c r="E722" s="3"/>
    </row>
    <row r="723">
      <c r="A723" s="3"/>
      <c r="B723" s="19"/>
      <c r="C723" s="19"/>
      <c r="D723" s="19"/>
      <c r="E723" s="3"/>
    </row>
    <row r="724">
      <c r="A724" s="3"/>
      <c r="B724" s="19"/>
      <c r="C724" s="19"/>
      <c r="D724" s="19"/>
      <c r="E724" s="3"/>
    </row>
    <row r="725">
      <c r="A725" s="3"/>
      <c r="B725" s="19"/>
      <c r="C725" s="19"/>
      <c r="D725" s="19"/>
      <c r="E725" s="3"/>
    </row>
    <row r="726">
      <c r="A726" s="3"/>
      <c r="B726" s="19"/>
      <c r="C726" s="19"/>
      <c r="D726" s="19"/>
      <c r="E726" s="3"/>
    </row>
    <row r="727">
      <c r="A727" s="3"/>
      <c r="B727" s="19"/>
      <c r="C727" s="19"/>
      <c r="D727" s="19"/>
      <c r="E727" s="3"/>
    </row>
    <row r="728">
      <c r="A728" s="3"/>
      <c r="B728" s="19"/>
      <c r="C728" s="19"/>
      <c r="D728" s="19"/>
      <c r="E728" s="3"/>
    </row>
    <row r="729">
      <c r="A729" s="3"/>
      <c r="B729" s="19"/>
      <c r="C729" s="19"/>
      <c r="D729" s="19"/>
      <c r="E729" s="3"/>
    </row>
    <row r="730">
      <c r="A730" s="3"/>
      <c r="B730" s="19"/>
      <c r="C730" s="19"/>
      <c r="D730" s="19"/>
      <c r="E730" s="3"/>
    </row>
    <row r="731">
      <c r="A731" s="3"/>
      <c r="B731" s="19"/>
      <c r="C731" s="19"/>
      <c r="D731" s="19"/>
      <c r="E731" s="3"/>
    </row>
    <row r="732">
      <c r="A732" s="3"/>
      <c r="B732" s="19"/>
      <c r="C732" s="19"/>
      <c r="D732" s="19"/>
      <c r="E732" s="3"/>
    </row>
    <row r="733">
      <c r="A733" s="3"/>
      <c r="B733" s="19"/>
      <c r="C733" s="19"/>
      <c r="D733" s="19"/>
      <c r="E733" s="3"/>
    </row>
    <row r="734">
      <c r="A734" s="3"/>
      <c r="B734" s="19"/>
      <c r="C734" s="19"/>
      <c r="D734" s="19"/>
      <c r="E734" s="3"/>
    </row>
    <row r="735">
      <c r="A735" s="3"/>
      <c r="B735" s="19"/>
      <c r="C735" s="19"/>
      <c r="D735" s="19"/>
      <c r="E735" s="3"/>
    </row>
    <row r="736">
      <c r="A736" s="3"/>
      <c r="B736" s="19"/>
      <c r="C736" s="19"/>
      <c r="D736" s="19"/>
      <c r="E736" s="3"/>
    </row>
    <row r="737">
      <c r="A737" s="3"/>
      <c r="B737" s="19"/>
      <c r="C737" s="19"/>
      <c r="D737" s="19"/>
      <c r="E737" s="3"/>
    </row>
    <row r="738">
      <c r="A738" s="3"/>
      <c r="B738" s="19"/>
      <c r="C738" s="19"/>
      <c r="D738" s="19"/>
      <c r="E738" s="3"/>
    </row>
    <row r="739">
      <c r="A739" s="3"/>
      <c r="B739" s="19"/>
      <c r="C739" s="19"/>
      <c r="D739" s="19"/>
      <c r="E739" s="3"/>
    </row>
    <row r="740">
      <c r="A740" s="3"/>
      <c r="B740" s="19"/>
      <c r="C740" s="19"/>
      <c r="D740" s="19"/>
      <c r="E740" s="3"/>
    </row>
    <row r="741">
      <c r="A741" s="3"/>
      <c r="B741" s="19"/>
      <c r="C741" s="19"/>
      <c r="D741" s="19"/>
      <c r="E741" s="3"/>
    </row>
    <row r="742">
      <c r="A742" s="3"/>
      <c r="B742" s="19"/>
      <c r="C742" s="19"/>
      <c r="D742" s="19"/>
      <c r="E742" s="3"/>
    </row>
    <row r="743">
      <c r="A743" s="3"/>
      <c r="B743" s="19"/>
      <c r="C743" s="19"/>
      <c r="D743" s="19"/>
      <c r="E743" s="3"/>
    </row>
    <row r="744">
      <c r="A744" s="3"/>
      <c r="B744" s="19"/>
      <c r="C744" s="19"/>
      <c r="D744" s="19"/>
      <c r="E744" s="3"/>
    </row>
    <row r="745">
      <c r="A745" s="3"/>
      <c r="B745" s="19"/>
      <c r="C745" s="19"/>
      <c r="D745" s="19"/>
      <c r="E745" s="3"/>
    </row>
    <row r="746">
      <c r="A746" s="3"/>
      <c r="B746" s="19"/>
      <c r="C746" s="19"/>
      <c r="D746" s="19"/>
      <c r="E746" s="3"/>
    </row>
    <row r="747">
      <c r="A747" s="3"/>
      <c r="B747" s="19"/>
      <c r="C747" s="19"/>
      <c r="D747" s="19"/>
      <c r="E747" s="3"/>
    </row>
    <row r="748">
      <c r="A748" s="3"/>
      <c r="B748" s="19"/>
      <c r="C748" s="19"/>
      <c r="D748" s="19"/>
      <c r="E748" s="3"/>
    </row>
    <row r="749">
      <c r="A749" s="3"/>
      <c r="B749" s="19"/>
      <c r="C749" s="19"/>
      <c r="D749" s="19"/>
      <c r="E749" s="3"/>
    </row>
    <row r="750">
      <c r="A750" s="3"/>
      <c r="B750" s="19"/>
      <c r="C750" s="19"/>
      <c r="D750" s="19"/>
      <c r="E750" s="3"/>
    </row>
    <row r="751">
      <c r="A751" s="3"/>
      <c r="B751" s="19"/>
      <c r="C751" s="19"/>
      <c r="D751" s="19"/>
      <c r="E751" s="3"/>
    </row>
    <row r="752">
      <c r="A752" s="3"/>
      <c r="B752" s="19"/>
      <c r="C752" s="19"/>
      <c r="D752" s="19"/>
      <c r="E752" s="3"/>
    </row>
    <row r="753">
      <c r="A753" s="3"/>
      <c r="B753" s="19"/>
      <c r="C753" s="19"/>
      <c r="D753" s="19"/>
      <c r="E753" s="3"/>
    </row>
    <row r="754">
      <c r="A754" s="3"/>
      <c r="B754" s="19"/>
      <c r="C754" s="19"/>
      <c r="D754" s="19"/>
      <c r="E754" s="3"/>
    </row>
    <row r="755">
      <c r="A755" s="3"/>
      <c r="B755" s="19"/>
      <c r="C755" s="19"/>
      <c r="D755" s="19"/>
      <c r="E755" s="3"/>
    </row>
    <row r="756">
      <c r="A756" s="3"/>
      <c r="B756" s="19"/>
      <c r="C756" s="19"/>
      <c r="D756" s="19"/>
      <c r="E756" s="3"/>
    </row>
    <row r="757">
      <c r="A757" s="3"/>
      <c r="B757" s="19"/>
      <c r="C757" s="19"/>
      <c r="D757" s="19"/>
      <c r="E757" s="3"/>
    </row>
    <row r="758">
      <c r="A758" s="3"/>
      <c r="B758" s="19"/>
      <c r="C758" s="19"/>
      <c r="D758" s="19"/>
      <c r="E758" s="3"/>
    </row>
    <row r="759">
      <c r="A759" s="3"/>
      <c r="B759" s="19"/>
      <c r="C759" s="19"/>
      <c r="D759" s="19"/>
      <c r="E759" s="3"/>
    </row>
    <row r="760">
      <c r="A760" s="3"/>
      <c r="B760" s="19"/>
      <c r="C760" s="19"/>
      <c r="D760" s="19"/>
      <c r="E760" s="3"/>
    </row>
    <row r="761">
      <c r="A761" s="3"/>
      <c r="B761" s="19"/>
      <c r="C761" s="19"/>
      <c r="D761" s="19"/>
      <c r="E761" s="3"/>
    </row>
    <row r="762">
      <c r="A762" s="3"/>
      <c r="B762" s="19"/>
      <c r="C762" s="19"/>
      <c r="D762" s="19"/>
      <c r="E762" s="3"/>
    </row>
    <row r="763">
      <c r="A763" s="3"/>
      <c r="B763" s="19"/>
      <c r="C763" s="19"/>
      <c r="D763" s="19"/>
      <c r="E763" s="3"/>
    </row>
    <row r="764">
      <c r="A764" s="3"/>
      <c r="B764" s="19"/>
      <c r="C764" s="19"/>
      <c r="D764" s="19"/>
      <c r="E764" s="3"/>
    </row>
    <row r="765">
      <c r="A765" s="3"/>
      <c r="B765" s="19"/>
      <c r="C765" s="19"/>
      <c r="D765" s="19"/>
      <c r="E765" s="3"/>
    </row>
    <row r="766">
      <c r="A766" s="3"/>
      <c r="B766" s="19"/>
      <c r="C766" s="19"/>
      <c r="D766" s="19"/>
      <c r="E766" s="3"/>
    </row>
    <row r="767">
      <c r="A767" s="3"/>
      <c r="B767" s="19"/>
      <c r="C767" s="19"/>
      <c r="D767" s="19"/>
      <c r="E767" s="3"/>
    </row>
    <row r="768">
      <c r="A768" s="3"/>
      <c r="B768" s="19"/>
      <c r="C768" s="19"/>
      <c r="D768" s="19"/>
      <c r="E768" s="3"/>
    </row>
    <row r="769">
      <c r="A769" s="3"/>
      <c r="B769" s="19"/>
      <c r="C769" s="19"/>
      <c r="D769" s="19"/>
      <c r="E769" s="3"/>
    </row>
    <row r="770">
      <c r="A770" s="3"/>
      <c r="B770" s="19"/>
      <c r="C770" s="19"/>
      <c r="D770" s="19"/>
      <c r="E770" s="3"/>
    </row>
    <row r="771">
      <c r="A771" s="3"/>
      <c r="B771" s="19"/>
      <c r="C771" s="19"/>
      <c r="D771" s="19"/>
      <c r="E771" s="3"/>
    </row>
    <row r="772">
      <c r="A772" s="3"/>
      <c r="B772" s="19"/>
      <c r="C772" s="19"/>
      <c r="D772" s="19"/>
      <c r="E772" s="3"/>
    </row>
    <row r="773">
      <c r="A773" s="3"/>
      <c r="B773" s="19"/>
      <c r="C773" s="19"/>
      <c r="D773" s="19"/>
      <c r="E773" s="3"/>
    </row>
    <row r="774">
      <c r="A774" s="3"/>
      <c r="B774" s="19"/>
      <c r="C774" s="19"/>
      <c r="D774" s="19"/>
      <c r="E774" s="3"/>
    </row>
    <row r="775">
      <c r="A775" s="3"/>
      <c r="B775" s="19"/>
      <c r="C775" s="19"/>
      <c r="D775" s="19"/>
      <c r="E775" s="3"/>
    </row>
    <row r="776">
      <c r="A776" s="3"/>
      <c r="B776" s="19"/>
      <c r="C776" s="19"/>
      <c r="D776" s="19"/>
      <c r="E776" s="3"/>
    </row>
    <row r="777">
      <c r="A777" s="3"/>
      <c r="B777" s="19"/>
      <c r="C777" s="19"/>
      <c r="D777" s="19"/>
      <c r="E777" s="3"/>
    </row>
    <row r="778">
      <c r="A778" s="3"/>
      <c r="B778" s="19"/>
      <c r="C778" s="19"/>
      <c r="D778" s="19"/>
      <c r="E778" s="3"/>
    </row>
    <row r="779">
      <c r="A779" s="3"/>
      <c r="B779" s="19"/>
      <c r="C779" s="19"/>
      <c r="D779" s="19"/>
      <c r="E779" s="3"/>
    </row>
    <row r="780">
      <c r="A780" s="3"/>
      <c r="B780" s="19"/>
      <c r="C780" s="19"/>
      <c r="D780" s="19"/>
      <c r="E780" s="3"/>
    </row>
    <row r="781">
      <c r="A781" s="3"/>
      <c r="B781" s="19"/>
      <c r="C781" s="19"/>
      <c r="D781" s="19"/>
      <c r="E781" s="3"/>
    </row>
    <row r="782">
      <c r="A782" s="3"/>
      <c r="B782" s="19"/>
      <c r="C782" s="19"/>
      <c r="D782" s="19"/>
      <c r="E782" s="3"/>
    </row>
    <row r="783">
      <c r="A783" s="3"/>
      <c r="B783" s="19"/>
      <c r="C783" s="19"/>
      <c r="D783" s="19"/>
      <c r="E783" s="3"/>
    </row>
    <row r="784">
      <c r="A784" s="3"/>
      <c r="B784" s="19"/>
      <c r="C784" s="19"/>
      <c r="D784" s="19"/>
      <c r="E784" s="3"/>
    </row>
    <row r="785">
      <c r="A785" s="3"/>
      <c r="B785" s="19"/>
      <c r="C785" s="19"/>
      <c r="D785" s="19"/>
      <c r="E785" s="3"/>
    </row>
    <row r="786">
      <c r="A786" s="3"/>
      <c r="B786" s="19"/>
      <c r="C786" s="19"/>
      <c r="D786" s="19"/>
      <c r="E786" s="3"/>
    </row>
    <row r="787">
      <c r="A787" s="3"/>
      <c r="B787" s="19"/>
      <c r="C787" s="19"/>
      <c r="D787" s="19"/>
      <c r="E787" s="3"/>
    </row>
    <row r="788">
      <c r="A788" s="3"/>
      <c r="B788" s="19"/>
      <c r="C788" s="19"/>
      <c r="D788" s="19"/>
      <c r="E788" s="3"/>
    </row>
    <row r="789">
      <c r="A789" s="3"/>
      <c r="B789" s="19"/>
      <c r="C789" s="19"/>
      <c r="D789" s="19"/>
      <c r="E789" s="3"/>
    </row>
    <row r="790">
      <c r="A790" s="3"/>
      <c r="B790" s="19"/>
      <c r="C790" s="19"/>
      <c r="D790" s="19"/>
      <c r="E790" s="3"/>
    </row>
    <row r="791">
      <c r="A791" s="3"/>
      <c r="B791" s="19"/>
      <c r="C791" s="19"/>
      <c r="D791" s="19"/>
      <c r="E791" s="3"/>
    </row>
    <row r="792">
      <c r="A792" s="3"/>
      <c r="B792" s="19"/>
      <c r="C792" s="19"/>
      <c r="D792" s="19"/>
      <c r="E792" s="3"/>
    </row>
    <row r="793">
      <c r="A793" s="3"/>
      <c r="B793" s="19"/>
      <c r="C793" s="19"/>
      <c r="D793" s="19"/>
      <c r="E793" s="3"/>
    </row>
    <row r="794">
      <c r="A794" s="3"/>
      <c r="B794" s="19"/>
      <c r="C794" s="19"/>
      <c r="D794" s="19"/>
      <c r="E794" s="3"/>
    </row>
    <row r="795">
      <c r="A795" s="3"/>
      <c r="B795" s="19"/>
      <c r="C795" s="19"/>
      <c r="D795" s="19"/>
      <c r="E795" s="3"/>
    </row>
    <row r="796">
      <c r="A796" s="3"/>
      <c r="B796" s="19"/>
      <c r="C796" s="19"/>
      <c r="D796" s="19"/>
      <c r="E796" s="3"/>
    </row>
    <row r="797">
      <c r="A797" s="3"/>
      <c r="B797" s="19"/>
      <c r="C797" s="19"/>
      <c r="D797" s="19"/>
      <c r="E797" s="3"/>
    </row>
    <row r="798">
      <c r="A798" s="3"/>
      <c r="B798" s="19"/>
      <c r="C798" s="19"/>
      <c r="D798" s="19"/>
      <c r="E798" s="3"/>
    </row>
    <row r="799">
      <c r="A799" s="3"/>
      <c r="B799" s="19"/>
      <c r="C799" s="19"/>
      <c r="D799" s="19"/>
      <c r="E799" s="3"/>
    </row>
    <row r="800">
      <c r="A800" s="3"/>
      <c r="B800" s="19"/>
      <c r="C800" s="19"/>
      <c r="D800" s="19"/>
      <c r="E800" s="3"/>
    </row>
    <row r="801">
      <c r="A801" s="3"/>
      <c r="B801" s="19"/>
      <c r="C801" s="19"/>
      <c r="D801" s="19"/>
      <c r="E801" s="3"/>
    </row>
    <row r="802">
      <c r="A802" s="3"/>
      <c r="B802" s="19"/>
      <c r="C802" s="19"/>
      <c r="D802" s="19"/>
      <c r="E802" s="3"/>
    </row>
    <row r="803">
      <c r="A803" s="3"/>
      <c r="B803" s="19"/>
      <c r="C803" s="19"/>
      <c r="D803" s="19"/>
      <c r="E803" s="3"/>
    </row>
    <row r="804">
      <c r="A804" s="3"/>
      <c r="B804" s="19"/>
      <c r="C804" s="19"/>
      <c r="D804" s="19"/>
      <c r="E804" s="3"/>
    </row>
    <row r="805">
      <c r="A805" s="3"/>
      <c r="B805" s="19"/>
      <c r="C805" s="19"/>
      <c r="D805" s="19"/>
      <c r="E805" s="3"/>
    </row>
    <row r="806">
      <c r="A806" s="3"/>
      <c r="B806" s="19"/>
      <c r="C806" s="19"/>
      <c r="D806" s="19"/>
      <c r="E806" s="3"/>
    </row>
    <row r="807">
      <c r="A807" s="3"/>
      <c r="B807" s="19"/>
      <c r="C807" s="19"/>
      <c r="D807" s="19"/>
      <c r="E807" s="3"/>
    </row>
    <row r="808">
      <c r="A808" s="3"/>
      <c r="B808" s="19"/>
      <c r="C808" s="19"/>
      <c r="D808" s="19"/>
      <c r="E808" s="3"/>
    </row>
    <row r="809">
      <c r="A809" s="3"/>
      <c r="B809" s="19"/>
      <c r="C809" s="19"/>
      <c r="D809" s="19"/>
      <c r="E809" s="3"/>
    </row>
    <row r="810">
      <c r="A810" s="3"/>
      <c r="B810" s="19"/>
      <c r="C810" s="19"/>
      <c r="D810" s="19"/>
      <c r="E810" s="3"/>
    </row>
    <row r="811">
      <c r="A811" s="3"/>
      <c r="B811" s="19"/>
      <c r="C811" s="19"/>
      <c r="D811" s="19"/>
      <c r="E811" s="3"/>
    </row>
    <row r="812">
      <c r="A812" s="3"/>
      <c r="B812" s="19"/>
      <c r="C812" s="19"/>
      <c r="D812" s="19"/>
      <c r="E812" s="3"/>
    </row>
    <row r="813">
      <c r="A813" s="3"/>
      <c r="B813" s="19"/>
      <c r="C813" s="19"/>
      <c r="D813" s="19"/>
      <c r="E813" s="3"/>
    </row>
    <row r="814">
      <c r="A814" s="3"/>
      <c r="B814" s="19"/>
      <c r="C814" s="19"/>
      <c r="D814" s="19"/>
      <c r="E814" s="3"/>
    </row>
    <row r="815">
      <c r="A815" s="3"/>
      <c r="B815" s="19"/>
      <c r="C815" s="19"/>
      <c r="D815" s="19"/>
      <c r="E815" s="3"/>
    </row>
    <row r="816">
      <c r="A816" s="3"/>
      <c r="B816" s="19"/>
      <c r="C816" s="19"/>
      <c r="D816" s="19"/>
      <c r="E816" s="3"/>
    </row>
    <row r="817">
      <c r="A817" s="3"/>
      <c r="B817" s="19"/>
      <c r="C817" s="19"/>
      <c r="D817" s="19"/>
      <c r="E817" s="3"/>
    </row>
    <row r="818">
      <c r="A818" s="3"/>
      <c r="B818" s="19"/>
      <c r="C818" s="19"/>
      <c r="D818" s="19"/>
      <c r="E818" s="3"/>
    </row>
    <row r="819">
      <c r="A819" s="3"/>
      <c r="B819" s="19"/>
      <c r="C819" s="19"/>
      <c r="D819" s="19"/>
      <c r="E819" s="3"/>
    </row>
    <row r="820">
      <c r="A820" s="3"/>
      <c r="B820" s="19"/>
      <c r="C820" s="19"/>
      <c r="D820" s="19"/>
      <c r="E820" s="3"/>
    </row>
    <row r="821">
      <c r="A821" s="3"/>
      <c r="B821" s="19"/>
      <c r="C821" s="19"/>
      <c r="D821" s="19"/>
      <c r="E821" s="3"/>
    </row>
    <row r="822">
      <c r="A822" s="3"/>
      <c r="B822" s="19"/>
      <c r="C822" s="19"/>
      <c r="D822" s="19"/>
      <c r="E822" s="3"/>
    </row>
    <row r="823">
      <c r="A823" s="3"/>
      <c r="B823" s="19"/>
      <c r="C823" s="19"/>
      <c r="D823" s="19"/>
      <c r="E823" s="3"/>
    </row>
    <row r="824">
      <c r="A824" s="3"/>
      <c r="B824" s="19"/>
      <c r="C824" s="19"/>
      <c r="D824" s="19"/>
      <c r="E824" s="3"/>
    </row>
    <row r="825">
      <c r="A825" s="3"/>
      <c r="B825" s="19"/>
      <c r="C825" s="19"/>
      <c r="D825" s="19"/>
      <c r="E825" s="3"/>
    </row>
    <row r="826">
      <c r="A826" s="3"/>
      <c r="B826" s="19"/>
      <c r="C826" s="19"/>
      <c r="D826" s="19"/>
      <c r="E826" s="3"/>
    </row>
    <row r="827">
      <c r="A827" s="3"/>
      <c r="B827" s="19"/>
      <c r="C827" s="19"/>
      <c r="D827" s="19"/>
      <c r="E827" s="3"/>
    </row>
    <row r="828">
      <c r="A828" s="3"/>
      <c r="B828" s="19"/>
      <c r="C828" s="19"/>
      <c r="D828" s="19"/>
      <c r="E828" s="3"/>
    </row>
    <row r="829">
      <c r="A829" s="3"/>
      <c r="B829" s="19"/>
      <c r="C829" s="19"/>
      <c r="D829" s="19"/>
      <c r="E829" s="3"/>
    </row>
    <row r="830">
      <c r="A830" s="3"/>
      <c r="B830" s="19"/>
      <c r="C830" s="19"/>
      <c r="D830" s="19"/>
      <c r="E830" s="3"/>
    </row>
    <row r="831">
      <c r="A831" s="3"/>
      <c r="B831" s="19"/>
      <c r="C831" s="19"/>
      <c r="D831" s="19"/>
      <c r="E831" s="3"/>
    </row>
    <row r="832">
      <c r="A832" s="3"/>
      <c r="B832" s="19"/>
      <c r="C832" s="19"/>
      <c r="D832" s="19"/>
      <c r="E832" s="3"/>
    </row>
    <row r="833">
      <c r="A833" s="3"/>
      <c r="B833" s="19"/>
      <c r="C833" s="19"/>
      <c r="D833" s="19"/>
      <c r="E833" s="3"/>
    </row>
    <row r="834">
      <c r="A834" s="3"/>
      <c r="B834" s="19"/>
      <c r="C834" s="19"/>
      <c r="D834" s="19"/>
      <c r="E834" s="3"/>
    </row>
    <row r="835">
      <c r="A835" s="3"/>
      <c r="B835" s="19"/>
      <c r="C835" s="19"/>
      <c r="D835" s="19"/>
      <c r="E835" s="3"/>
    </row>
    <row r="836">
      <c r="A836" s="3"/>
      <c r="B836" s="19"/>
      <c r="C836" s="19"/>
      <c r="D836" s="19"/>
      <c r="E836" s="3"/>
    </row>
    <row r="837">
      <c r="A837" s="3"/>
      <c r="B837" s="19"/>
      <c r="C837" s="19"/>
      <c r="D837" s="19"/>
      <c r="E837" s="3"/>
    </row>
    <row r="838">
      <c r="A838" s="3"/>
      <c r="B838" s="19"/>
      <c r="C838" s="19"/>
      <c r="D838" s="19"/>
      <c r="E838" s="3"/>
    </row>
    <row r="839">
      <c r="A839" s="3"/>
      <c r="B839" s="19"/>
      <c r="C839" s="19"/>
      <c r="D839" s="19"/>
      <c r="E839" s="3"/>
    </row>
    <row r="840">
      <c r="A840" s="3"/>
      <c r="B840" s="19"/>
      <c r="C840" s="19"/>
      <c r="D840" s="19"/>
      <c r="E840" s="3"/>
    </row>
    <row r="841">
      <c r="A841" s="3"/>
      <c r="B841" s="19"/>
      <c r="C841" s="19"/>
      <c r="D841" s="19"/>
      <c r="E841" s="3"/>
    </row>
    <row r="842">
      <c r="A842" s="3"/>
      <c r="B842" s="19"/>
      <c r="C842" s="19"/>
      <c r="D842" s="19"/>
      <c r="E842" s="3"/>
    </row>
    <row r="843">
      <c r="A843" s="3"/>
      <c r="B843" s="19"/>
      <c r="C843" s="19"/>
      <c r="D843" s="19"/>
      <c r="E843" s="3"/>
    </row>
    <row r="844">
      <c r="A844" s="3"/>
      <c r="B844" s="19"/>
      <c r="C844" s="19"/>
      <c r="D844" s="19"/>
      <c r="E844" s="3"/>
    </row>
    <row r="845">
      <c r="A845" s="3"/>
      <c r="B845" s="19"/>
      <c r="C845" s="19"/>
      <c r="D845" s="19"/>
      <c r="E845" s="3"/>
    </row>
    <row r="846">
      <c r="A846" s="3"/>
      <c r="B846" s="19"/>
      <c r="C846" s="19"/>
      <c r="D846" s="19"/>
      <c r="E846" s="3"/>
    </row>
    <row r="847">
      <c r="A847" s="3"/>
      <c r="B847" s="19"/>
      <c r="C847" s="19"/>
      <c r="D847" s="19"/>
      <c r="E847" s="3"/>
    </row>
    <row r="848">
      <c r="A848" s="3"/>
      <c r="B848" s="19"/>
      <c r="C848" s="19"/>
      <c r="D848" s="19"/>
      <c r="E848" s="3"/>
    </row>
    <row r="849">
      <c r="A849" s="3"/>
      <c r="B849" s="19"/>
      <c r="C849" s="19"/>
      <c r="D849" s="19"/>
      <c r="E849" s="3"/>
    </row>
    <row r="850">
      <c r="A850" s="3"/>
      <c r="B850" s="19"/>
      <c r="C850" s="19"/>
      <c r="D850" s="19"/>
      <c r="E850" s="3"/>
    </row>
    <row r="851">
      <c r="A851" s="3"/>
      <c r="B851" s="19"/>
      <c r="C851" s="19"/>
      <c r="D851" s="19"/>
      <c r="E851" s="3"/>
    </row>
    <row r="852">
      <c r="A852" s="3"/>
      <c r="B852" s="19"/>
      <c r="C852" s="19"/>
      <c r="D852" s="19"/>
      <c r="E852" s="3"/>
    </row>
    <row r="853">
      <c r="A853" s="3"/>
      <c r="B853" s="19"/>
      <c r="C853" s="19"/>
      <c r="D853" s="19"/>
      <c r="E853" s="3"/>
    </row>
    <row r="854">
      <c r="A854" s="3"/>
      <c r="B854" s="19"/>
      <c r="C854" s="19"/>
      <c r="D854" s="19"/>
      <c r="E854" s="3"/>
    </row>
    <row r="855">
      <c r="A855" s="3"/>
      <c r="B855" s="19"/>
      <c r="C855" s="19"/>
      <c r="D855" s="19"/>
      <c r="E855" s="3"/>
    </row>
    <row r="856">
      <c r="A856" s="3"/>
      <c r="B856" s="19"/>
      <c r="C856" s="19"/>
      <c r="D856" s="19"/>
      <c r="E856" s="3"/>
    </row>
    <row r="857">
      <c r="A857" s="3"/>
      <c r="B857" s="19"/>
      <c r="C857" s="19"/>
      <c r="D857" s="19"/>
      <c r="E857" s="3"/>
    </row>
    <row r="858">
      <c r="A858" s="3"/>
      <c r="B858" s="19"/>
      <c r="C858" s="19"/>
      <c r="D858" s="19"/>
      <c r="E858" s="3"/>
    </row>
    <row r="859">
      <c r="A859" s="3"/>
      <c r="B859" s="19"/>
      <c r="C859" s="19"/>
      <c r="D859" s="19"/>
      <c r="E859" s="3"/>
    </row>
    <row r="860">
      <c r="A860" s="3"/>
      <c r="B860" s="19"/>
      <c r="C860" s="19"/>
      <c r="D860" s="19"/>
      <c r="E860" s="3"/>
    </row>
    <row r="861">
      <c r="A861" s="3"/>
      <c r="B861" s="19"/>
      <c r="C861" s="19"/>
      <c r="D861" s="19"/>
      <c r="E861" s="3"/>
    </row>
    <row r="862">
      <c r="A862" s="3"/>
      <c r="B862" s="19"/>
      <c r="C862" s="19"/>
      <c r="D862" s="19"/>
      <c r="E862" s="3"/>
    </row>
    <row r="863">
      <c r="A863" s="3"/>
      <c r="B863" s="19"/>
      <c r="C863" s="19"/>
      <c r="D863" s="19"/>
      <c r="E863" s="3"/>
    </row>
    <row r="864">
      <c r="A864" s="3"/>
      <c r="B864" s="19"/>
      <c r="C864" s="19"/>
      <c r="D864" s="19"/>
      <c r="E864" s="3"/>
    </row>
    <row r="865">
      <c r="A865" s="3"/>
      <c r="B865" s="19"/>
      <c r="C865" s="19"/>
      <c r="D865" s="19"/>
      <c r="E865" s="3"/>
    </row>
    <row r="866">
      <c r="A866" s="3"/>
      <c r="B866" s="19"/>
      <c r="C866" s="19"/>
      <c r="D866" s="19"/>
      <c r="E866" s="3"/>
    </row>
    <row r="867">
      <c r="A867" s="3"/>
      <c r="B867" s="19"/>
      <c r="C867" s="19"/>
      <c r="D867" s="19"/>
      <c r="E867" s="3"/>
    </row>
    <row r="868">
      <c r="A868" s="3"/>
      <c r="B868" s="19"/>
      <c r="C868" s="19"/>
      <c r="D868" s="19"/>
      <c r="E868" s="3"/>
    </row>
    <row r="869">
      <c r="A869" s="3"/>
      <c r="B869" s="19"/>
      <c r="C869" s="19"/>
      <c r="D869" s="19"/>
      <c r="E869" s="3"/>
    </row>
    <row r="870">
      <c r="A870" s="3"/>
      <c r="B870" s="19"/>
      <c r="C870" s="19"/>
      <c r="D870" s="19"/>
      <c r="E870" s="3"/>
    </row>
    <row r="871">
      <c r="A871" s="3"/>
      <c r="B871" s="19"/>
      <c r="C871" s="19"/>
      <c r="D871" s="19"/>
      <c r="E871" s="3"/>
    </row>
    <row r="872">
      <c r="A872" s="3"/>
      <c r="B872" s="19"/>
      <c r="C872" s="19"/>
      <c r="D872" s="19"/>
      <c r="E872" s="3"/>
    </row>
    <row r="873">
      <c r="A873" s="3"/>
      <c r="B873" s="19"/>
      <c r="C873" s="19"/>
      <c r="D873" s="19"/>
      <c r="E873" s="3"/>
    </row>
    <row r="874">
      <c r="A874" s="3"/>
      <c r="B874" s="19"/>
      <c r="C874" s="19"/>
      <c r="D874" s="19"/>
      <c r="E874" s="3"/>
    </row>
    <row r="875">
      <c r="A875" s="3"/>
      <c r="B875" s="19"/>
      <c r="C875" s="19"/>
      <c r="D875" s="19"/>
      <c r="E875" s="3"/>
    </row>
    <row r="876">
      <c r="A876" s="3"/>
      <c r="B876" s="19"/>
      <c r="C876" s="19"/>
      <c r="D876" s="19"/>
      <c r="E876" s="3"/>
    </row>
    <row r="877">
      <c r="A877" s="3"/>
      <c r="B877" s="19"/>
      <c r="C877" s="19"/>
      <c r="D877" s="19"/>
      <c r="E877" s="3"/>
    </row>
    <row r="878">
      <c r="A878" s="3"/>
      <c r="B878" s="19"/>
      <c r="C878" s="19"/>
      <c r="D878" s="19"/>
      <c r="E878" s="3"/>
    </row>
    <row r="879">
      <c r="A879" s="3"/>
      <c r="B879" s="19"/>
      <c r="C879" s="19"/>
      <c r="D879" s="19"/>
      <c r="E879" s="3"/>
    </row>
    <row r="880">
      <c r="A880" s="3"/>
      <c r="B880" s="19"/>
      <c r="C880" s="19"/>
      <c r="D880" s="19"/>
      <c r="E880" s="3"/>
    </row>
    <row r="881">
      <c r="A881" s="3"/>
      <c r="B881" s="19"/>
      <c r="C881" s="19"/>
      <c r="D881" s="19"/>
      <c r="E881" s="3"/>
    </row>
    <row r="882">
      <c r="A882" s="3"/>
      <c r="B882" s="19"/>
      <c r="C882" s="19"/>
      <c r="D882" s="19"/>
      <c r="E882" s="3"/>
    </row>
    <row r="883">
      <c r="A883" s="3"/>
      <c r="B883" s="19"/>
      <c r="C883" s="19"/>
      <c r="D883" s="19"/>
      <c r="E883" s="3"/>
    </row>
    <row r="884">
      <c r="A884" s="3"/>
      <c r="B884" s="19"/>
      <c r="C884" s="19"/>
      <c r="D884" s="19"/>
      <c r="E884" s="3"/>
    </row>
    <row r="885">
      <c r="A885" s="3"/>
      <c r="B885" s="19"/>
      <c r="C885" s="19"/>
      <c r="D885" s="19"/>
      <c r="E885" s="3"/>
    </row>
    <row r="886">
      <c r="A886" s="3"/>
      <c r="B886" s="19"/>
      <c r="C886" s="19"/>
      <c r="D886" s="19"/>
      <c r="E886" s="3"/>
    </row>
    <row r="887">
      <c r="A887" s="3"/>
      <c r="B887" s="19"/>
      <c r="C887" s="19"/>
      <c r="D887" s="19"/>
      <c r="E887" s="3"/>
    </row>
    <row r="888">
      <c r="A888" s="3"/>
      <c r="B888" s="19"/>
      <c r="C888" s="19"/>
      <c r="D888" s="19"/>
      <c r="E888" s="3"/>
    </row>
    <row r="889">
      <c r="A889" s="3"/>
      <c r="B889" s="19"/>
      <c r="C889" s="19"/>
      <c r="D889" s="19"/>
      <c r="E889" s="3"/>
    </row>
    <row r="890">
      <c r="A890" s="3"/>
      <c r="B890" s="19"/>
      <c r="C890" s="19"/>
      <c r="D890" s="19"/>
      <c r="E890" s="3"/>
    </row>
    <row r="891">
      <c r="A891" s="3"/>
      <c r="B891" s="19"/>
      <c r="C891" s="19"/>
      <c r="D891" s="19"/>
      <c r="E891" s="3"/>
    </row>
    <row r="892">
      <c r="A892" s="3"/>
      <c r="B892" s="19"/>
      <c r="C892" s="19"/>
      <c r="D892" s="19"/>
      <c r="E892" s="3"/>
    </row>
    <row r="893">
      <c r="A893" s="3"/>
      <c r="B893" s="19"/>
      <c r="C893" s="19"/>
      <c r="D893" s="19"/>
      <c r="E893" s="3"/>
    </row>
    <row r="894">
      <c r="A894" s="3"/>
      <c r="B894" s="19"/>
      <c r="C894" s="19"/>
      <c r="D894" s="19"/>
      <c r="E894" s="3"/>
    </row>
    <row r="895">
      <c r="A895" s="3"/>
      <c r="B895" s="19"/>
      <c r="C895" s="19"/>
      <c r="D895" s="19"/>
      <c r="E895" s="3"/>
    </row>
    <row r="896">
      <c r="A896" s="3"/>
      <c r="B896" s="19"/>
      <c r="C896" s="19"/>
      <c r="D896" s="19"/>
      <c r="E896" s="3"/>
    </row>
    <row r="897">
      <c r="A897" s="3"/>
      <c r="B897" s="19"/>
      <c r="C897" s="19"/>
      <c r="D897" s="19"/>
      <c r="E897" s="3"/>
    </row>
    <row r="898">
      <c r="A898" s="3"/>
      <c r="B898" s="19"/>
      <c r="C898" s="19"/>
      <c r="D898" s="19"/>
      <c r="E898" s="3"/>
    </row>
    <row r="899">
      <c r="A899" s="3"/>
      <c r="B899" s="19"/>
      <c r="C899" s="19"/>
      <c r="D899" s="19"/>
      <c r="E899" s="3"/>
    </row>
    <row r="900">
      <c r="A900" s="3"/>
      <c r="B900" s="19"/>
      <c r="C900" s="19"/>
      <c r="D900" s="19"/>
      <c r="E900" s="3"/>
    </row>
    <row r="901">
      <c r="A901" s="3"/>
      <c r="B901" s="19"/>
      <c r="C901" s="19"/>
      <c r="D901" s="19"/>
      <c r="E901" s="3"/>
    </row>
    <row r="902">
      <c r="A902" s="3"/>
      <c r="B902" s="19"/>
      <c r="C902" s="19"/>
      <c r="D902" s="19"/>
      <c r="E902" s="3"/>
    </row>
    <row r="903">
      <c r="A903" s="3"/>
      <c r="B903" s="19"/>
      <c r="C903" s="19"/>
      <c r="D903" s="19"/>
      <c r="E903" s="3"/>
    </row>
    <row r="904">
      <c r="A904" s="3"/>
      <c r="B904" s="19"/>
      <c r="C904" s="19"/>
      <c r="D904" s="19"/>
      <c r="E904" s="3"/>
    </row>
    <row r="905">
      <c r="A905" s="3"/>
      <c r="B905" s="19"/>
      <c r="C905" s="19"/>
      <c r="D905" s="19"/>
      <c r="E905" s="3"/>
    </row>
    <row r="906">
      <c r="A906" s="3"/>
      <c r="B906" s="19"/>
      <c r="C906" s="19"/>
      <c r="D906" s="19"/>
      <c r="E906" s="3"/>
    </row>
    <row r="907">
      <c r="A907" s="3"/>
      <c r="B907" s="19"/>
      <c r="C907" s="19"/>
      <c r="D907" s="19"/>
      <c r="E907" s="3"/>
    </row>
    <row r="908">
      <c r="A908" s="3"/>
      <c r="B908" s="19"/>
      <c r="C908" s="19"/>
      <c r="D908" s="19"/>
      <c r="E908" s="3"/>
    </row>
    <row r="909">
      <c r="A909" s="3"/>
      <c r="B909" s="19"/>
      <c r="C909" s="19"/>
      <c r="D909" s="19"/>
      <c r="E909" s="3"/>
    </row>
    <row r="910">
      <c r="A910" s="3"/>
      <c r="B910" s="19"/>
      <c r="C910" s="19"/>
      <c r="D910" s="19"/>
      <c r="E910" s="3"/>
    </row>
    <row r="911">
      <c r="A911" s="3"/>
      <c r="B911" s="19"/>
      <c r="C911" s="19"/>
      <c r="D911" s="19"/>
      <c r="E911" s="3"/>
    </row>
    <row r="912">
      <c r="A912" s="3"/>
      <c r="B912" s="19"/>
      <c r="C912" s="19"/>
      <c r="D912" s="19"/>
      <c r="E912" s="3"/>
    </row>
    <row r="913">
      <c r="A913" s="3"/>
      <c r="B913" s="19"/>
      <c r="C913" s="19"/>
      <c r="D913" s="19"/>
      <c r="E913" s="3"/>
    </row>
    <row r="914">
      <c r="A914" s="3"/>
      <c r="B914" s="19"/>
      <c r="C914" s="19"/>
      <c r="D914" s="19"/>
      <c r="E914" s="3"/>
    </row>
    <row r="915">
      <c r="A915" s="3"/>
      <c r="B915" s="19"/>
      <c r="C915" s="19"/>
      <c r="D915" s="19"/>
      <c r="E915" s="3"/>
    </row>
    <row r="916">
      <c r="A916" s="3"/>
      <c r="B916" s="19"/>
      <c r="C916" s="19"/>
      <c r="D916" s="19"/>
      <c r="E916" s="3"/>
    </row>
    <row r="917">
      <c r="A917" s="3"/>
      <c r="B917" s="19"/>
      <c r="C917" s="19"/>
      <c r="D917" s="19"/>
      <c r="E917" s="3"/>
    </row>
    <row r="918">
      <c r="A918" s="3"/>
      <c r="B918" s="19"/>
      <c r="C918" s="19"/>
      <c r="D918" s="19"/>
      <c r="E918" s="3"/>
    </row>
    <row r="919">
      <c r="A919" s="3"/>
      <c r="B919" s="19"/>
      <c r="C919" s="19"/>
      <c r="D919" s="19"/>
      <c r="E919" s="3"/>
    </row>
    <row r="920">
      <c r="A920" s="3"/>
      <c r="B920" s="19"/>
      <c r="C920" s="19"/>
      <c r="D920" s="19"/>
      <c r="E920" s="3"/>
    </row>
    <row r="921">
      <c r="A921" s="3"/>
      <c r="B921" s="19"/>
      <c r="C921" s="19"/>
      <c r="D921" s="19"/>
      <c r="E921" s="3"/>
    </row>
    <row r="922">
      <c r="A922" s="3"/>
      <c r="B922" s="19"/>
      <c r="C922" s="19"/>
      <c r="D922" s="19"/>
      <c r="E922" s="3"/>
    </row>
    <row r="923">
      <c r="A923" s="3"/>
      <c r="B923" s="19"/>
      <c r="C923" s="19"/>
      <c r="D923" s="19"/>
      <c r="E923" s="3"/>
    </row>
    <row r="924">
      <c r="A924" s="3"/>
      <c r="B924" s="19"/>
      <c r="C924" s="19"/>
      <c r="D924" s="19"/>
      <c r="E924" s="3"/>
    </row>
    <row r="925">
      <c r="A925" s="3"/>
      <c r="B925" s="19"/>
      <c r="C925" s="19"/>
      <c r="D925" s="19"/>
      <c r="E925" s="3"/>
    </row>
    <row r="926">
      <c r="A926" s="3"/>
      <c r="B926" s="19"/>
      <c r="C926" s="19"/>
      <c r="D926" s="19"/>
      <c r="E926" s="3"/>
    </row>
    <row r="927">
      <c r="A927" s="3"/>
      <c r="B927" s="19"/>
      <c r="C927" s="19"/>
      <c r="D927" s="19"/>
      <c r="E927" s="3"/>
    </row>
    <row r="928">
      <c r="A928" s="3"/>
      <c r="B928" s="19"/>
      <c r="C928" s="19"/>
      <c r="D928" s="19"/>
      <c r="E928" s="3"/>
    </row>
    <row r="929">
      <c r="A929" s="3"/>
      <c r="B929" s="19"/>
      <c r="C929" s="19"/>
      <c r="D929" s="19"/>
      <c r="E929" s="3"/>
    </row>
    <row r="930">
      <c r="A930" s="3"/>
      <c r="B930" s="19"/>
      <c r="C930" s="19"/>
      <c r="D930" s="19"/>
      <c r="E930" s="3"/>
    </row>
    <row r="931">
      <c r="A931" s="3"/>
      <c r="B931" s="19"/>
      <c r="C931" s="19"/>
      <c r="D931" s="19"/>
      <c r="E931" s="3"/>
    </row>
    <row r="932">
      <c r="A932" s="3"/>
      <c r="B932" s="19"/>
      <c r="C932" s="19"/>
      <c r="D932" s="19"/>
      <c r="E932" s="3"/>
    </row>
    <row r="933">
      <c r="A933" s="3"/>
      <c r="B933" s="19"/>
      <c r="C933" s="19"/>
      <c r="D933" s="19"/>
      <c r="E933" s="3"/>
    </row>
    <row r="934">
      <c r="A934" s="3"/>
      <c r="B934" s="19"/>
      <c r="C934" s="19"/>
      <c r="D934" s="19"/>
      <c r="E934" s="3"/>
    </row>
    <row r="935">
      <c r="A935" s="3"/>
      <c r="B935" s="19"/>
      <c r="C935" s="19"/>
      <c r="D935" s="19"/>
      <c r="E935" s="3"/>
    </row>
    <row r="936">
      <c r="A936" s="3"/>
      <c r="B936" s="19"/>
      <c r="C936" s="19"/>
      <c r="D936" s="19"/>
      <c r="E936" s="3"/>
    </row>
    <row r="937">
      <c r="A937" s="3"/>
      <c r="B937" s="19"/>
      <c r="C937" s="19"/>
      <c r="D937" s="19"/>
      <c r="E937" s="3"/>
    </row>
    <row r="938">
      <c r="A938" s="3"/>
      <c r="B938" s="19"/>
      <c r="C938" s="19"/>
      <c r="D938" s="19"/>
      <c r="E938" s="3"/>
    </row>
    <row r="939">
      <c r="A939" s="3"/>
      <c r="B939" s="19"/>
      <c r="C939" s="19"/>
      <c r="D939" s="19"/>
      <c r="E939" s="3"/>
    </row>
    <row r="940">
      <c r="A940" s="3"/>
      <c r="B940" s="19"/>
      <c r="C940" s="19"/>
      <c r="D940" s="19"/>
      <c r="E940" s="3"/>
    </row>
    <row r="941">
      <c r="A941" s="3"/>
      <c r="B941" s="19"/>
      <c r="C941" s="19"/>
      <c r="D941" s="19"/>
      <c r="E941" s="3"/>
    </row>
    <row r="942">
      <c r="A942" s="3"/>
      <c r="B942" s="19"/>
      <c r="C942" s="19"/>
      <c r="D942" s="19"/>
      <c r="E942" s="3"/>
    </row>
    <row r="943">
      <c r="A943" s="3"/>
      <c r="B943" s="19"/>
      <c r="C943" s="19"/>
      <c r="D943" s="19"/>
      <c r="E943" s="3"/>
    </row>
    <row r="944">
      <c r="A944" s="3"/>
      <c r="B944" s="19"/>
      <c r="C944" s="19"/>
      <c r="D944" s="19"/>
      <c r="E944" s="3"/>
    </row>
    <row r="945">
      <c r="A945" s="3"/>
      <c r="B945" s="19"/>
      <c r="C945" s="19"/>
      <c r="D945" s="19"/>
      <c r="E945" s="3"/>
    </row>
    <row r="946">
      <c r="A946" s="3"/>
      <c r="B946" s="19"/>
      <c r="C946" s="19"/>
      <c r="D946" s="19"/>
      <c r="E946" s="3"/>
    </row>
    <row r="947">
      <c r="A947" s="3"/>
      <c r="B947" s="19"/>
      <c r="C947" s="19"/>
      <c r="D947" s="19"/>
      <c r="E947" s="3"/>
    </row>
    <row r="948">
      <c r="A948" s="3"/>
      <c r="B948" s="19"/>
      <c r="C948" s="19"/>
      <c r="D948" s="19"/>
      <c r="E948" s="3"/>
    </row>
    <row r="949">
      <c r="A949" s="3"/>
      <c r="B949" s="19"/>
      <c r="C949" s="19"/>
      <c r="D949" s="19"/>
      <c r="E949" s="3"/>
    </row>
    <row r="950">
      <c r="A950" s="3"/>
      <c r="B950" s="19"/>
      <c r="C950" s="19"/>
      <c r="D950" s="19"/>
      <c r="E950" s="3"/>
    </row>
    <row r="951">
      <c r="A951" s="3"/>
      <c r="B951" s="19"/>
      <c r="C951" s="19"/>
      <c r="D951" s="19"/>
      <c r="E951" s="3"/>
    </row>
    <row r="952">
      <c r="A952" s="3"/>
      <c r="B952" s="19"/>
      <c r="C952" s="19"/>
      <c r="D952" s="19"/>
      <c r="E952" s="3"/>
    </row>
    <row r="953">
      <c r="A953" s="3"/>
      <c r="B953" s="19"/>
      <c r="C953" s="19"/>
      <c r="D953" s="19"/>
      <c r="E953" s="3"/>
    </row>
    <row r="954">
      <c r="A954" s="3"/>
      <c r="B954" s="19"/>
      <c r="C954" s="19"/>
      <c r="D954" s="19"/>
      <c r="E954" s="3"/>
    </row>
    <row r="955">
      <c r="A955" s="3"/>
      <c r="B955" s="19"/>
      <c r="C955" s="19"/>
      <c r="D955" s="19"/>
      <c r="E955" s="3"/>
    </row>
    <row r="956">
      <c r="A956" s="3"/>
      <c r="B956" s="19"/>
      <c r="C956" s="19"/>
      <c r="D956" s="19"/>
      <c r="E956" s="3"/>
    </row>
    <row r="957">
      <c r="A957" s="3"/>
      <c r="B957" s="19"/>
      <c r="C957" s="19"/>
      <c r="D957" s="19"/>
      <c r="E957" s="3"/>
    </row>
    <row r="958">
      <c r="A958" s="3"/>
      <c r="B958" s="19"/>
      <c r="C958" s="19"/>
      <c r="D958" s="19"/>
      <c r="E958" s="3"/>
    </row>
    <row r="959">
      <c r="A959" s="3"/>
      <c r="B959" s="19"/>
      <c r="C959" s="19"/>
      <c r="D959" s="19"/>
      <c r="E959" s="3"/>
    </row>
    <row r="960">
      <c r="A960" s="3"/>
      <c r="B960" s="19"/>
      <c r="C960" s="19"/>
      <c r="D960" s="19"/>
      <c r="E960" s="3"/>
    </row>
    <row r="961">
      <c r="A961" s="3"/>
      <c r="B961" s="19"/>
      <c r="C961" s="19"/>
      <c r="D961" s="19"/>
      <c r="E961" s="3"/>
    </row>
    <row r="962">
      <c r="A962" s="3"/>
      <c r="B962" s="19"/>
      <c r="C962" s="19"/>
      <c r="D962" s="19"/>
      <c r="E962" s="3"/>
    </row>
    <row r="963">
      <c r="A963" s="3"/>
      <c r="B963" s="19"/>
      <c r="C963" s="19"/>
      <c r="D963" s="19"/>
      <c r="E963" s="3"/>
    </row>
    <row r="964">
      <c r="A964" s="3"/>
      <c r="B964" s="19"/>
      <c r="C964" s="19"/>
      <c r="D964" s="19"/>
      <c r="E964" s="3"/>
    </row>
    <row r="965">
      <c r="A965" s="3"/>
      <c r="B965" s="19"/>
      <c r="C965" s="19"/>
      <c r="D965" s="19"/>
      <c r="E965" s="3"/>
    </row>
    <row r="966">
      <c r="A966" s="3"/>
      <c r="B966" s="19"/>
      <c r="C966" s="19"/>
      <c r="D966" s="19"/>
      <c r="E966" s="3"/>
    </row>
    <row r="967">
      <c r="A967" s="3"/>
      <c r="B967" s="19"/>
      <c r="C967" s="19"/>
      <c r="D967" s="19"/>
      <c r="E967" s="3"/>
    </row>
    <row r="968">
      <c r="A968" s="3"/>
      <c r="B968" s="19"/>
      <c r="C968" s="19"/>
      <c r="D968" s="19"/>
      <c r="E968" s="3"/>
    </row>
    <row r="969">
      <c r="A969" s="3"/>
      <c r="B969" s="19"/>
      <c r="C969" s="19"/>
      <c r="D969" s="19"/>
      <c r="E969" s="3"/>
    </row>
    <row r="970">
      <c r="A970" s="3"/>
      <c r="B970" s="19"/>
      <c r="C970" s="19"/>
      <c r="D970" s="19"/>
      <c r="E970" s="3"/>
    </row>
    <row r="971">
      <c r="A971" s="3"/>
      <c r="B971" s="19"/>
      <c r="C971" s="19"/>
      <c r="D971" s="19"/>
      <c r="E971" s="3"/>
    </row>
    <row r="972">
      <c r="A972" s="3"/>
      <c r="B972" s="19"/>
      <c r="C972" s="19"/>
      <c r="D972" s="19"/>
      <c r="E972" s="3"/>
    </row>
    <row r="973">
      <c r="A973" s="3"/>
      <c r="B973" s="19"/>
      <c r="C973" s="19"/>
      <c r="D973" s="19"/>
      <c r="E973" s="3"/>
    </row>
    <row r="974">
      <c r="A974" s="3"/>
      <c r="B974" s="19"/>
      <c r="C974" s="19"/>
      <c r="D974" s="19"/>
      <c r="E974" s="3"/>
    </row>
    <row r="975">
      <c r="A975" s="3"/>
      <c r="B975" s="19"/>
      <c r="C975" s="19"/>
      <c r="D975" s="19"/>
      <c r="E975" s="3"/>
    </row>
    <row r="976">
      <c r="A976" s="3"/>
      <c r="B976" s="19"/>
      <c r="C976" s="19"/>
      <c r="D976" s="19"/>
      <c r="E976" s="3"/>
    </row>
    <row r="977">
      <c r="A977" s="3"/>
      <c r="B977" s="19"/>
      <c r="C977" s="19"/>
      <c r="D977" s="19"/>
      <c r="E977" s="3"/>
    </row>
    <row r="978">
      <c r="A978" s="3"/>
      <c r="B978" s="19"/>
      <c r="C978" s="19"/>
      <c r="D978" s="19"/>
      <c r="E978" s="3"/>
    </row>
    <row r="979">
      <c r="A979" s="3"/>
      <c r="B979" s="19"/>
      <c r="C979" s="19"/>
      <c r="D979" s="19"/>
      <c r="E979" s="3"/>
    </row>
    <row r="980">
      <c r="A980" s="3"/>
      <c r="B980" s="19"/>
      <c r="C980" s="19"/>
      <c r="D980" s="19"/>
      <c r="E980" s="3"/>
    </row>
    <row r="981">
      <c r="A981" s="3"/>
      <c r="B981" s="19"/>
      <c r="C981" s="19"/>
      <c r="D981" s="19"/>
      <c r="E981" s="3"/>
    </row>
    <row r="982">
      <c r="A982" s="3"/>
      <c r="B982" s="19"/>
      <c r="C982" s="19"/>
      <c r="D982" s="19"/>
      <c r="E982" s="3"/>
    </row>
    <row r="983">
      <c r="A983" s="3"/>
      <c r="B983" s="19"/>
      <c r="C983" s="19"/>
      <c r="D983" s="19"/>
      <c r="E983" s="3"/>
    </row>
    <row r="984">
      <c r="A984" s="3"/>
      <c r="B984" s="19"/>
      <c r="C984" s="19"/>
      <c r="D984" s="19"/>
      <c r="E984" s="3"/>
    </row>
    <row r="985">
      <c r="A985" s="3"/>
      <c r="B985" s="19"/>
      <c r="C985" s="19"/>
      <c r="D985" s="19"/>
      <c r="E985" s="3"/>
    </row>
    <row r="986">
      <c r="A986" s="3"/>
      <c r="B986" s="19"/>
      <c r="C986" s="19"/>
      <c r="D986" s="19"/>
      <c r="E986" s="3"/>
    </row>
    <row r="987">
      <c r="A987" s="3"/>
      <c r="B987" s="19"/>
      <c r="C987" s="19"/>
      <c r="D987" s="19"/>
      <c r="E987" s="3"/>
    </row>
    <row r="988">
      <c r="A988" s="3"/>
      <c r="B988" s="19"/>
      <c r="C988" s="19"/>
      <c r="D988" s="19"/>
      <c r="E988" s="3"/>
    </row>
    <row r="989">
      <c r="A989" s="3"/>
      <c r="B989" s="19"/>
      <c r="C989" s="19"/>
      <c r="D989" s="19"/>
      <c r="E989" s="3"/>
    </row>
    <row r="990">
      <c r="A990" s="3"/>
      <c r="B990" s="19"/>
      <c r="C990" s="19"/>
      <c r="D990" s="19"/>
      <c r="E990" s="3"/>
    </row>
    <row r="991">
      <c r="A991" s="3"/>
      <c r="B991" s="19"/>
      <c r="C991" s="19"/>
      <c r="D991" s="19"/>
      <c r="E991" s="3"/>
    </row>
    <row r="992">
      <c r="A992" s="3"/>
      <c r="B992" s="19"/>
      <c r="C992" s="19"/>
      <c r="D992" s="19"/>
      <c r="E992" s="3"/>
    </row>
    <row r="993">
      <c r="A993" s="3"/>
      <c r="B993" s="19"/>
      <c r="C993" s="19"/>
      <c r="D993" s="19"/>
      <c r="E993" s="3"/>
    </row>
    <row r="994">
      <c r="A994" s="3"/>
      <c r="B994" s="19"/>
      <c r="C994" s="19"/>
      <c r="D994" s="19"/>
      <c r="E994" s="3"/>
    </row>
    <row r="995">
      <c r="A995" s="3"/>
      <c r="B995" s="19"/>
      <c r="C995" s="19"/>
      <c r="D995" s="19"/>
      <c r="E995" s="3"/>
    </row>
    <row r="996">
      <c r="A996" s="3"/>
      <c r="B996" s="19"/>
      <c r="C996" s="19"/>
      <c r="D996" s="19"/>
      <c r="E996" s="3"/>
    </row>
    <row r="997">
      <c r="A997" s="3"/>
      <c r="B997" s="19"/>
      <c r="C997" s="19"/>
      <c r="D997" s="19"/>
      <c r="E997" s="3"/>
    </row>
    <row r="998">
      <c r="A998" s="3"/>
      <c r="B998" s="19"/>
      <c r="C998" s="19"/>
      <c r="D998" s="19"/>
      <c r="E998" s="3"/>
    </row>
    <row r="999">
      <c r="A999" s="3"/>
      <c r="B999" s="19"/>
      <c r="C999" s="19"/>
      <c r="D999" s="19"/>
      <c r="E999" s="3"/>
    </row>
    <row r="1000">
      <c r="A1000" s="3"/>
      <c r="B1000" s="19"/>
      <c r="C1000" s="19"/>
      <c r="D1000" s="19"/>
      <c r="E1000" s="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3" t="str">
        <f t="array" ref="A1:A1000">sort(Stats!A1:A1000,Stats!Z1:Z1000,false)</f>
        <v>Player</v>
      </c>
      <c r="B1" s="19" t="str">
        <f t="array" ref="B1:B1000">sort(Stats!C1:C1000,Stats!Z1:Z1000,false)</f>
        <v>GP</v>
      </c>
      <c r="C1" s="19" t="str">
        <f t="array" ref="C1:E1000">sort(Stats!X1:Z1000,Stats!Z1:Z1000,false)</f>
        <v>P TU</v>
      </c>
      <c r="D1" s="19" t="s">
        <v>76</v>
      </c>
      <c r="E1" s="3" t="s">
        <v>77</v>
      </c>
    </row>
    <row r="2">
      <c r="A2" s="3" t="s">
        <v>29</v>
      </c>
      <c r="B2" s="19">
        <v>8.0</v>
      </c>
      <c r="C2" s="19">
        <v>12.0</v>
      </c>
      <c r="D2" s="19">
        <v>1.0</v>
      </c>
      <c r="E2" s="3">
        <v>5.5</v>
      </c>
    </row>
    <row r="3">
      <c r="A3" s="3" t="s">
        <v>11</v>
      </c>
      <c r="B3" s="19">
        <v>6.0</v>
      </c>
      <c r="C3" s="19">
        <v>6.0</v>
      </c>
      <c r="D3" s="19">
        <v>0.0</v>
      </c>
      <c r="E3" s="3">
        <v>4.0</v>
      </c>
    </row>
    <row r="4">
      <c r="A4" s="3" t="s">
        <v>35</v>
      </c>
      <c r="B4" s="19">
        <v>8.0</v>
      </c>
      <c r="C4" s="19">
        <v>9.0</v>
      </c>
      <c r="D4" s="19">
        <v>1.0</v>
      </c>
      <c r="E4" s="3">
        <v>4.0</v>
      </c>
    </row>
    <row r="5">
      <c r="A5" s="3" t="s">
        <v>28</v>
      </c>
      <c r="B5" s="19">
        <v>8.0</v>
      </c>
      <c r="C5" s="19">
        <v>8.0</v>
      </c>
      <c r="D5" s="19">
        <v>1.0</v>
      </c>
      <c r="E5" s="3">
        <v>3.5</v>
      </c>
    </row>
    <row r="6">
      <c r="A6" s="3" t="s">
        <v>23</v>
      </c>
      <c r="B6" s="19">
        <v>9.0</v>
      </c>
      <c r="C6" s="19">
        <v>6.0</v>
      </c>
      <c r="D6" s="19">
        <v>0.0</v>
      </c>
      <c r="E6" s="20">
        <v>2.6666666666666665</v>
      </c>
    </row>
    <row r="7">
      <c r="A7" s="3" t="s">
        <v>25</v>
      </c>
      <c r="B7" s="19">
        <v>9.0</v>
      </c>
      <c r="C7" s="19">
        <v>5.0</v>
      </c>
      <c r="D7" s="19">
        <v>0.0</v>
      </c>
      <c r="E7" s="20">
        <v>2.2222222222222223</v>
      </c>
    </row>
    <row r="8">
      <c r="A8" s="3" t="s">
        <v>42</v>
      </c>
      <c r="B8" s="19">
        <v>8.0</v>
      </c>
      <c r="C8" s="19">
        <v>5.0</v>
      </c>
      <c r="D8" s="19">
        <v>1.0</v>
      </c>
      <c r="E8" s="3">
        <v>2.0</v>
      </c>
    </row>
    <row r="9">
      <c r="A9" s="3" t="s">
        <v>36</v>
      </c>
      <c r="B9" s="19">
        <v>8.0</v>
      </c>
      <c r="C9" s="19">
        <v>4.0</v>
      </c>
      <c r="D9" s="19">
        <v>0.0</v>
      </c>
      <c r="E9" s="3">
        <v>2.0</v>
      </c>
    </row>
    <row r="10">
      <c r="A10" s="3" t="s">
        <v>45</v>
      </c>
      <c r="B10" s="19">
        <v>8.0</v>
      </c>
      <c r="C10" s="19">
        <v>4.0</v>
      </c>
      <c r="D10" s="19">
        <v>0.0</v>
      </c>
      <c r="E10" s="3">
        <v>2.0</v>
      </c>
    </row>
    <row r="11">
      <c r="A11" s="3" t="s">
        <v>18</v>
      </c>
      <c r="B11" s="19">
        <v>9.0</v>
      </c>
      <c r="C11" s="19">
        <v>3.0</v>
      </c>
      <c r="D11" s="19">
        <v>0.0</v>
      </c>
      <c r="E11" s="20">
        <v>1.3333333333333333</v>
      </c>
    </row>
    <row r="12">
      <c r="A12" s="3" t="s">
        <v>19</v>
      </c>
      <c r="B12" s="19">
        <v>8.0</v>
      </c>
      <c r="C12" s="19">
        <v>2.0</v>
      </c>
      <c r="D12" s="19">
        <v>0.0</v>
      </c>
      <c r="E12" s="3">
        <v>1.0</v>
      </c>
    </row>
    <row r="13">
      <c r="A13" s="3" t="s">
        <v>15</v>
      </c>
      <c r="B13" s="19">
        <v>9.0</v>
      </c>
      <c r="C13" s="19">
        <v>2.0</v>
      </c>
      <c r="D13" s="19">
        <v>0.0</v>
      </c>
      <c r="E13" s="20">
        <v>0.8888888888888888</v>
      </c>
    </row>
    <row r="14">
      <c r="A14" s="3" t="s">
        <v>17</v>
      </c>
      <c r="B14" s="19">
        <v>9.0</v>
      </c>
      <c r="C14" s="19">
        <v>4.0</v>
      </c>
      <c r="D14" s="19">
        <v>2.0</v>
      </c>
      <c r="E14" s="20">
        <v>0.8888888888888888</v>
      </c>
    </row>
    <row r="15">
      <c r="A15" s="3" t="s">
        <v>41</v>
      </c>
      <c r="B15" s="19">
        <v>6.0</v>
      </c>
      <c r="C15" s="19">
        <v>1.0</v>
      </c>
      <c r="D15" s="19">
        <v>0.0</v>
      </c>
      <c r="E15" s="20">
        <v>0.6666666666666666</v>
      </c>
    </row>
    <row r="16">
      <c r="A16" s="3" t="s">
        <v>40</v>
      </c>
      <c r="B16" s="19">
        <v>6.0</v>
      </c>
      <c r="C16" s="19">
        <v>1.0</v>
      </c>
      <c r="D16" s="19">
        <v>0.0</v>
      </c>
      <c r="E16" s="20">
        <v>0.6666666666666666</v>
      </c>
    </row>
    <row r="17">
      <c r="A17" s="3" t="s">
        <v>22</v>
      </c>
      <c r="B17" s="19">
        <v>7.0</v>
      </c>
      <c r="C17" s="19">
        <v>1.0</v>
      </c>
      <c r="D17" s="19">
        <v>0.0</v>
      </c>
      <c r="E17" s="20">
        <v>0.5714285714285714</v>
      </c>
    </row>
    <row r="18">
      <c r="A18" s="3" t="s">
        <v>24</v>
      </c>
      <c r="B18" s="19">
        <v>9.0</v>
      </c>
      <c r="C18" s="19">
        <v>1.0</v>
      </c>
      <c r="D18" s="19">
        <v>0.0</v>
      </c>
      <c r="E18" s="20">
        <v>0.4444444444444444</v>
      </c>
    </row>
    <row r="19">
      <c r="A19" s="3" t="s">
        <v>16</v>
      </c>
      <c r="B19" s="19">
        <v>9.0</v>
      </c>
      <c r="C19" s="19">
        <v>2.0</v>
      </c>
      <c r="D19" s="19">
        <v>1.0</v>
      </c>
      <c r="E19" s="20">
        <v>0.4444444444444444</v>
      </c>
    </row>
    <row r="20">
      <c r="A20" s="3" t="s">
        <v>39</v>
      </c>
      <c r="B20" s="19">
        <v>6.0</v>
      </c>
      <c r="C20" s="19">
        <v>1.0</v>
      </c>
      <c r="D20" s="19">
        <v>1.0</v>
      </c>
      <c r="E20" s="3">
        <v>0.0</v>
      </c>
    </row>
    <row r="21">
      <c r="A21" s="3" t="s">
        <v>13</v>
      </c>
      <c r="B21" s="19">
        <v>6.0</v>
      </c>
      <c r="C21" s="19">
        <v>0.0</v>
      </c>
      <c r="D21" s="19">
        <v>0.0</v>
      </c>
      <c r="E21" s="3">
        <v>0.0</v>
      </c>
    </row>
    <row r="22">
      <c r="A22" s="3" t="s">
        <v>33</v>
      </c>
      <c r="B22" s="19">
        <v>8.0</v>
      </c>
      <c r="C22" s="19">
        <v>0.0</v>
      </c>
      <c r="D22" s="19">
        <v>0.0</v>
      </c>
      <c r="E22" s="3">
        <v>0.0</v>
      </c>
    </row>
    <row r="23">
      <c r="A23" s="3" t="s">
        <v>34</v>
      </c>
      <c r="B23" s="19">
        <v>8.0</v>
      </c>
      <c r="C23" s="19">
        <v>0.0</v>
      </c>
      <c r="D23" s="19">
        <v>0.0</v>
      </c>
      <c r="E23" s="3">
        <v>0.0</v>
      </c>
    </row>
    <row r="24">
      <c r="A24" s="3" t="s">
        <v>44</v>
      </c>
      <c r="B24" s="19">
        <v>8.0</v>
      </c>
      <c r="C24" s="19">
        <v>0.0</v>
      </c>
      <c r="D24" s="19">
        <v>0.0</v>
      </c>
      <c r="E24" s="3">
        <v>0.0</v>
      </c>
    </row>
    <row r="25">
      <c r="A25" s="3" t="s">
        <v>38</v>
      </c>
      <c r="B25" s="19">
        <v>6.0</v>
      </c>
      <c r="C25" s="19">
        <v>0.0</v>
      </c>
      <c r="D25" s="19">
        <v>0.0</v>
      </c>
      <c r="E25" s="3">
        <v>0.0</v>
      </c>
    </row>
    <row r="26">
      <c r="A26" s="3" t="s">
        <v>37</v>
      </c>
      <c r="B26" s="19">
        <v>8.0</v>
      </c>
      <c r="C26" s="19">
        <v>0.0</v>
      </c>
      <c r="D26" s="19">
        <v>0.0</v>
      </c>
      <c r="E26" s="3">
        <v>0.0</v>
      </c>
    </row>
    <row r="27">
      <c r="A27" s="3" t="s">
        <v>26</v>
      </c>
      <c r="B27" s="19">
        <v>9.0</v>
      </c>
      <c r="C27" s="19">
        <v>0.0</v>
      </c>
      <c r="D27" s="19">
        <v>0.0</v>
      </c>
      <c r="E27" s="3">
        <v>0.0</v>
      </c>
    </row>
    <row r="28">
      <c r="A28" s="3" t="s">
        <v>14</v>
      </c>
      <c r="B28" s="19">
        <v>6.0</v>
      </c>
      <c r="C28" s="19">
        <v>0.0</v>
      </c>
      <c r="D28" s="19">
        <v>0.0</v>
      </c>
      <c r="E28" s="3">
        <v>0.0</v>
      </c>
    </row>
    <row r="29">
      <c r="A29" s="3" t="s">
        <v>43</v>
      </c>
      <c r="B29" s="19">
        <v>8.0</v>
      </c>
      <c r="C29" s="19">
        <v>0.0</v>
      </c>
      <c r="D29" s="19">
        <v>0.0</v>
      </c>
      <c r="E29" s="3">
        <v>0.0</v>
      </c>
    </row>
    <row r="30">
      <c r="A30" s="3" t="s">
        <v>13</v>
      </c>
      <c r="B30" s="19">
        <v>8.0</v>
      </c>
      <c r="C30" s="19">
        <v>3.0</v>
      </c>
      <c r="D30" s="19">
        <v>3.0</v>
      </c>
      <c r="E30" s="3">
        <v>0.0</v>
      </c>
    </row>
    <row r="31">
      <c r="A31" s="3" t="s">
        <v>12</v>
      </c>
      <c r="B31" s="19">
        <v>6.0</v>
      </c>
      <c r="C31" s="19">
        <v>0.0</v>
      </c>
      <c r="D31" s="19">
        <v>0.0</v>
      </c>
      <c r="E31" s="3">
        <v>0.0</v>
      </c>
    </row>
    <row r="32">
      <c r="A32" s="3" t="s">
        <v>31</v>
      </c>
      <c r="B32" s="19">
        <v>8.0</v>
      </c>
      <c r="C32" s="19">
        <v>0.0</v>
      </c>
      <c r="D32" s="19">
        <v>0.0</v>
      </c>
      <c r="E32" s="3">
        <v>0.0</v>
      </c>
    </row>
    <row r="33">
      <c r="A33" s="3" t="s">
        <v>10</v>
      </c>
      <c r="B33" s="19">
        <v>6.0</v>
      </c>
      <c r="C33" s="19">
        <v>0.0</v>
      </c>
      <c r="D33" s="19">
        <v>0.0</v>
      </c>
      <c r="E33" s="3">
        <v>0.0</v>
      </c>
    </row>
    <row r="34">
      <c r="A34" s="3" t="s">
        <v>32</v>
      </c>
      <c r="B34" s="19">
        <v>8.0</v>
      </c>
      <c r="C34" s="19">
        <v>0.0</v>
      </c>
      <c r="D34" s="19">
        <v>0.0</v>
      </c>
      <c r="E34" s="3">
        <v>0.0</v>
      </c>
    </row>
    <row r="35">
      <c r="A35" s="3" t="s">
        <v>27</v>
      </c>
      <c r="B35" s="19">
        <v>9.0</v>
      </c>
      <c r="C35" s="19">
        <v>0.0</v>
      </c>
      <c r="D35" s="19">
        <v>0.0</v>
      </c>
      <c r="E35" s="3">
        <v>0.0</v>
      </c>
    </row>
    <row r="36">
      <c r="A36" s="3" t="s">
        <v>20</v>
      </c>
      <c r="B36" s="19">
        <v>8.0</v>
      </c>
      <c r="C36" s="19">
        <v>0.0</v>
      </c>
      <c r="D36" s="19">
        <v>0.0</v>
      </c>
      <c r="E36" s="3">
        <v>0.0</v>
      </c>
    </row>
    <row r="37">
      <c r="A37" s="3" t="s">
        <v>30</v>
      </c>
      <c r="B37" s="19">
        <v>8.0</v>
      </c>
      <c r="C37" s="19">
        <v>0.0</v>
      </c>
      <c r="D37" s="19">
        <v>1.0</v>
      </c>
      <c r="E37" s="3">
        <v>-0.5</v>
      </c>
    </row>
    <row r="38">
      <c r="A38" s="3"/>
      <c r="B38" s="19"/>
      <c r="C38" s="19"/>
      <c r="D38" s="19"/>
      <c r="E38" s="3"/>
    </row>
    <row r="39">
      <c r="A39" s="3"/>
      <c r="B39" s="19"/>
      <c r="C39" s="19"/>
      <c r="D39" s="19"/>
      <c r="E39" s="3"/>
    </row>
    <row r="40">
      <c r="A40" s="3"/>
      <c r="B40" s="19"/>
      <c r="C40" s="19"/>
      <c r="D40" s="19"/>
      <c r="E40" s="3"/>
    </row>
    <row r="41">
      <c r="A41" s="3"/>
      <c r="B41" s="19"/>
      <c r="C41" s="19"/>
      <c r="D41" s="19"/>
      <c r="E41" s="3"/>
    </row>
    <row r="42">
      <c r="A42" s="3"/>
      <c r="B42" s="19"/>
      <c r="C42" s="19"/>
      <c r="D42" s="19"/>
      <c r="E42" s="3"/>
    </row>
    <row r="43">
      <c r="A43" s="3"/>
      <c r="B43" s="19"/>
      <c r="C43" s="19"/>
      <c r="D43" s="19"/>
      <c r="E43" s="3"/>
    </row>
    <row r="44">
      <c r="A44" s="3"/>
      <c r="B44" s="19"/>
      <c r="C44" s="19"/>
      <c r="D44" s="19"/>
      <c r="E44" s="3"/>
    </row>
    <row r="45">
      <c r="A45" s="3"/>
      <c r="B45" s="19"/>
      <c r="C45" s="19"/>
      <c r="D45" s="19"/>
      <c r="E45" s="3"/>
    </row>
    <row r="46">
      <c r="A46" s="3"/>
      <c r="B46" s="19"/>
      <c r="C46" s="19"/>
      <c r="D46" s="19"/>
      <c r="E46" s="3"/>
    </row>
    <row r="47">
      <c r="A47" s="3"/>
      <c r="B47" s="19"/>
      <c r="C47" s="19"/>
      <c r="D47" s="19"/>
      <c r="E47" s="3"/>
    </row>
    <row r="48">
      <c r="A48" s="3"/>
      <c r="B48" s="19"/>
      <c r="C48" s="19"/>
      <c r="D48" s="19"/>
      <c r="E48" s="3"/>
    </row>
    <row r="49">
      <c r="A49" s="3"/>
      <c r="B49" s="19"/>
      <c r="C49" s="19"/>
      <c r="D49" s="19"/>
      <c r="E49" s="3"/>
    </row>
    <row r="50">
      <c r="A50" s="3"/>
      <c r="B50" s="19"/>
      <c r="C50" s="19"/>
      <c r="D50" s="19"/>
      <c r="E50" s="3"/>
    </row>
    <row r="51">
      <c r="A51" s="3"/>
      <c r="B51" s="19"/>
      <c r="C51" s="19"/>
      <c r="D51" s="19"/>
      <c r="E51" s="3"/>
    </row>
    <row r="52">
      <c r="A52" s="3"/>
      <c r="B52" s="19"/>
      <c r="C52" s="19"/>
      <c r="D52" s="19"/>
      <c r="E52" s="3"/>
    </row>
    <row r="53">
      <c r="A53" s="3"/>
      <c r="B53" s="19"/>
      <c r="C53" s="19"/>
      <c r="D53" s="19"/>
      <c r="E53" s="3"/>
    </row>
    <row r="54">
      <c r="A54" s="3"/>
      <c r="B54" s="19"/>
      <c r="C54" s="19"/>
      <c r="D54" s="19"/>
      <c r="E54" s="3"/>
    </row>
    <row r="55">
      <c r="A55" s="3"/>
      <c r="B55" s="19"/>
      <c r="C55" s="19"/>
      <c r="D55" s="19"/>
      <c r="E55" s="3"/>
    </row>
    <row r="56">
      <c r="A56" s="3"/>
      <c r="B56" s="19"/>
      <c r="C56" s="19"/>
      <c r="D56" s="19"/>
      <c r="E56" s="3"/>
    </row>
    <row r="57">
      <c r="A57" s="3"/>
      <c r="B57" s="19"/>
      <c r="C57" s="19"/>
      <c r="D57" s="19"/>
      <c r="E57" s="3"/>
    </row>
    <row r="58">
      <c r="A58" s="3"/>
      <c r="B58" s="19"/>
      <c r="C58" s="19"/>
      <c r="D58" s="19"/>
      <c r="E58" s="3"/>
    </row>
    <row r="59">
      <c r="A59" s="3"/>
      <c r="B59" s="19"/>
      <c r="C59" s="19"/>
      <c r="D59" s="19"/>
      <c r="E59" s="3"/>
    </row>
    <row r="60">
      <c r="A60" s="3"/>
      <c r="B60" s="19"/>
      <c r="C60" s="19"/>
      <c r="D60" s="19"/>
      <c r="E60" s="3"/>
    </row>
    <row r="61">
      <c r="A61" s="3"/>
      <c r="B61" s="19"/>
      <c r="C61" s="19"/>
      <c r="D61" s="19"/>
      <c r="E61" s="3"/>
    </row>
    <row r="62">
      <c r="A62" s="3"/>
      <c r="B62" s="19"/>
      <c r="C62" s="19"/>
      <c r="D62" s="19"/>
      <c r="E62" s="3"/>
    </row>
    <row r="63">
      <c r="A63" s="3"/>
      <c r="B63" s="19"/>
      <c r="C63" s="19"/>
      <c r="D63" s="19"/>
      <c r="E63" s="3"/>
    </row>
    <row r="64">
      <c r="A64" s="3"/>
      <c r="B64" s="19"/>
      <c r="C64" s="19"/>
      <c r="D64" s="19"/>
      <c r="E64" s="3"/>
    </row>
    <row r="65">
      <c r="A65" s="3"/>
      <c r="B65" s="19"/>
      <c r="C65" s="19"/>
      <c r="D65" s="19"/>
      <c r="E65" s="3"/>
    </row>
    <row r="66">
      <c r="A66" s="3"/>
      <c r="B66" s="19"/>
      <c r="C66" s="19"/>
      <c r="D66" s="19"/>
      <c r="E66" s="3"/>
    </row>
    <row r="67">
      <c r="A67" s="3"/>
      <c r="B67" s="19"/>
      <c r="C67" s="19"/>
      <c r="D67" s="19"/>
      <c r="E67" s="3"/>
    </row>
    <row r="68">
      <c r="A68" s="3"/>
      <c r="B68" s="19"/>
      <c r="C68" s="19"/>
      <c r="D68" s="19"/>
      <c r="E68" s="3"/>
    </row>
    <row r="69">
      <c r="A69" s="3"/>
      <c r="B69" s="19"/>
      <c r="C69" s="19"/>
      <c r="D69" s="19"/>
      <c r="E69" s="3"/>
    </row>
    <row r="70">
      <c r="A70" s="3"/>
      <c r="B70" s="19"/>
      <c r="C70" s="19"/>
      <c r="D70" s="19"/>
      <c r="E70" s="3"/>
    </row>
    <row r="71">
      <c r="A71" s="3"/>
      <c r="B71" s="19"/>
      <c r="C71" s="19"/>
      <c r="D71" s="19"/>
      <c r="E71" s="3"/>
    </row>
    <row r="72">
      <c r="A72" s="3"/>
      <c r="B72" s="19"/>
      <c r="C72" s="19"/>
      <c r="D72" s="19"/>
      <c r="E72" s="3"/>
    </row>
    <row r="73">
      <c r="A73" s="3"/>
      <c r="B73" s="19"/>
      <c r="C73" s="19"/>
      <c r="D73" s="19"/>
      <c r="E73" s="3"/>
    </row>
    <row r="74">
      <c r="A74" s="3"/>
      <c r="B74" s="19"/>
      <c r="C74" s="19"/>
      <c r="D74" s="19"/>
      <c r="E74" s="3"/>
    </row>
    <row r="75">
      <c r="A75" s="3"/>
      <c r="B75" s="19"/>
      <c r="C75" s="19"/>
      <c r="D75" s="19"/>
      <c r="E75" s="3"/>
    </row>
    <row r="76">
      <c r="A76" s="3"/>
      <c r="B76" s="19"/>
      <c r="C76" s="19"/>
      <c r="D76" s="19"/>
      <c r="E76" s="3"/>
    </row>
    <row r="77">
      <c r="A77" s="3"/>
      <c r="B77" s="19"/>
      <c r="C77" s="19"/>
      <c r="D77" s="19"/>
      <c r="E77" s="3"/>
    </row>
    <row r="78">
      <c r="A78" s="3"/>
      <c r="B78" s="19"/>
      <c r="C78" s="19"/>
      <c r="D78" s="19"/>
      <c r="E78" s="3"/>
    </row>
    <row r="79">
      <c r="A79" s="3"/>
      <c r="B79" s="19"/>
      <c r="C79" s="19"/>
      <c r="D79" s="19"/>
      <c r="E79" s="3"/>
    </row>
    <row r="80">
      <c r="A80" s="3"/>
      <c r="B80" s="19"/>
      <c r="C80" s="19"/>
      <c r="D80" s="19"/>
      <c r="E80" s="3"/>
    </row>
    <row r="81">
      <c r="A81" s="3"/>
      <c r="B81" s="19"/>
      <c r="C81" s="19"/>
      <c r="D81" s="19"/>
      <c r="E81" s="3"/>
    </row>
    <row r="82">
      <c r="A82" s="3"/>
      <c r="B82" s="19"/>
      <c r="C82" s="19"/>
      <c r="D82" s="19"/>
      <c r="E82" s="3"/>
    </row>
    <row r="83">
      <c r="A83" s="3"/>
      <c r="B83" s="19"/>
      <c r="C83" s="19"/>
      <c r="D83" s="19"/>
      <c r="E83" s="3"/>
    </row>
    <row r="84">
      <c r="A84" s="3"/>
      <c r="B84" s="19"/>
      <c r="C84" s="19"/>
      <c r="D84" s="19"/>
      <c r="E84" s="3"/>
    </row>
    <row r="85">
      <c r="A85" s="3"/>
      <c r="B85" s="19"/>
      <c r="C85" s="19"/>
      <c r="D85" s="19"/>
      <c r="E85" s="3"/>
    </row>
    <row r="86">
      <c r="A86" s="3"/>
      <c r="B86" s="19"/>
      <c r="C86" s="19"/>
      <c r="D86" s="19"/>
      <c r="E86" s="3"/>
    </row>
    <row r="87">
      <c r="A87" s="3"/>
      <c r="B87" s="19"/>
      <c r="C87" s="19"/>
      <c r="D87" s="19"/>
      <c r="E87" s="3"/>
    </row>
    <row r="88">
      <c r="A88" s="3"/>
      <c r="B88" s="19"/>
      <c r="C88" s="19"/>
      <c r="D88" s="19"/>
      <c r="E88" s="3"/>
    </row>
    <row r="89">
      <c r="A89" s="3"/>
      <c r="B89" s="19"/>
      <c r="C89" s="19"/>
      <c r="D89" s="19"/>
      <c r="E89" s="3"/>
    </row>
    <row r="90">
      <c r="A90" s="3"/>
      <c r="B90" s="19"/>
      <c r="C90" s="19"/>
      <c r="D90" s="19"/>
      <c r="E90" s="3"/>
    </row>
    <row r="91">
      <c r="A91" s="3"/>
      <c r="B91" s="19"/>
      <c r="C91" s="19"/>
      <c r="D91" s="19"/>
      <c r="E91" s="3"/>
    </row>
    <row r="92">
      <c r="A92" s="3"/>
      <c r="B92" s="19"/>
      <c r="C92" s="19"/>
      <c r="D92" s="19"/>
      <c r="E92" s="3"/>
    </row>
    <row r="93">
      <c r="A93" s="3"/>
      <c r="B93" s="19"/>
      <c r="C93" s="19"/>
      <c r="D93" s="19"/>
      <c r="E93" s="3"/>
    </row>
    <row r="94">
      <c r="A94" s="3"/>
      <c r="B94" s="19"/>
      <c r="C94" s="19"/>
      <c r="D94" s="19"/>
      <c r="E94" s="3"/>
    </row>
    <row r="95">
      <c r="A95" s="3"/>
      <c r="B95" s="19"/>
      <c r="C95" s="19"/>
      <c r="D95" s="19"/>
      <c r="E95" s="3"/>
    </row>
    <row r="96">
      <c r="A96" s="3"/>
      <c r="B96" s="19"/>
      <c r="C96" s="19"/>
      <c r="D96" s="19"/>
      <c r="E96" s="3"/>
    </row>
    <row r="97">
      <c r="A97" s="3"/>
      <c r="B97" s="19"/>
      <c r="C97" s="19"/>
      <c r="D97" s="19"/>
      <c r="E97" s="3"/>
    </row>
    <row r="98">
      <c r="A98" s="3"/>
      <c r="B98" s="19"/>
      <c r="C98" s="19"/>
      <c r="D98" s="19"/>
      <c r="E98" s="3"/>
    </row>
    <row r="99">
      <c r="A99" s="3"/>
      <c r="B99" s="19"/>
      <c r="C99" s="19"/>
      <c r="D99" s="19"/>
      <c r="E99" s="3"/>
    </row>
    <row r="100">
      <c r="A100" s="3"/>
      <c r="B100" s="19"/>
      <c r="C100" s="19"/>
      <c r="D100" s="19"/>
      <c r="E100" s="3"/>
    </row>
    <row r="101">
      <c r="A101" s="3"/>
      <c r="B101" s="19"/>
      <c r="C101" s="19"/>
      <c r="D101" s="19"/>
      <c r="E101" s="3"/>
    </row>
    <row r="102">
      <c r="A102" s="3"/>
      <c r="B102" s="19"/>
      <c r="C102" s="19"/>
      <c r="D102" s="19"/>
      <c r="E102" s="3"/>
    </row>
    <row r="103">
      <c r="A103" s="3"/>
      <c r="B103" s="19"/>
      <c r="C103" s="19"/>
      <c r="D103" s="19"/>
      <c r="E103" s="3"/>
    </row>
    <row r="104">
      <c r="A104" s="3"/>
      <c r="B104" s="19"/>
      <c r="C104" s="19"/>
      <c r="D104" s="19"/>
      <c r="E104" s="3"/>
    </row>
    <row r="105">
      <c r="A105" s="3"/>
      <c r="B105" s="19"/>
      <c r="C105" s="19"/>
      <c r="D105" s="19"/>
      <c r="E105" s="3"/>
    </row>
    <row r="106">
      <c r="A106" s="3"/>
      <c r="B106" s="19"/>
      <c r="C106" s="19"/>
      <c r="D106" s="19"/>
      <c r="E106" s="3"/>
    </row>
    <row r="107">
      <c r="A107" s="3"/>
      <c r="B107" s="19"/>
      <c r="C107" s="19"/>
      <c r="D107" s="19"/>
      <c r="E107" s="3"/>
    </row>
    <row r="108">
      <c r="A108" s="3"/>
      <c r="B108" s="19"/>
      <c r="C108" s="19"/>
      <c r="D108" s="19"/>
      <c r="E108" s="3"/>
    </row>
    <row r="109">
      <c r="A109" s="3"/>
      <c r="B109" s="19"/>
      <c r="C109" s="19"/>
      <c r="D109" s="19"/>
      <c r="E109" s="3"/>
    </row>
    <row r="110">
      <c r="A110" s="3"/>
      <c r="B110" s="19"/>
      <c r="C110" s="19"/>
      <c r="D110" s="19"/>
      <c r="E110" s="3"/>
    </row>
    <row r="111">
      <c r="A111" s="3"/>
      <c r="B111" s="19"/>
      <c r="C111" s="19"/>
      <c r="D111" s="19"/>
      <c r="E111" s="3"/>
    </row>
    <row r="112">
      <c r="A112" s="3"/>
      <c r="B112" s="19"/>
      <c r="C112" s="19"/>
      <c r="D112" s="19"/>
      <c r="E112" s="3"/>
    </row>
    <row r="113">
      <c r="A113" s="3"/>
      <c r="B113" s="19"/>
      <c r="C113" s="19"/>
      <c r="D113" s="19"/>
      <c r="E113" s="3"/>
    </row>
    <row r="114">
      <c r="A114" s="3"/>
      <c r="B114" s="19"/>
      <c r="C114" s="19"/>
      <c r="D114" s="19"/>
      <c r="E114" s="3"/>
    </row>
    <row r="115">
      <c r="A115" s="3"/>
      <c r="B115" s="19"/>
      <c r="C115" s="19"/>
      <c r="D115" s="19"/>
      <c r="E115" s="3"/>
    </row>
    <row r="116">
      <c r="A116" s="3"/>
      <c r="B116" s="19"/>
      <c r="C116" s="19"/>
      <c r="D116" s="19"/>
      <c r="E116" s="3"/>
    </row>
    <row r="117">
      <c r="A117" s="3"/>
      <c r="B117" s="19"/>
      <c r="C117" s="19"/>
      <c r="D117" s="19"/>
      <c r="E117" s="3"/>
    </row>
    <row r="118">
      <c r="A118" s="3"/>
      <c r="B118" s="19"/>
      <c r="C118" s="19"/>
      <c r="D118" s="19"/>
      <c r="E118" s="3"/>
    </row>
    <row r="119">
      <c r="A119" s="3"/>
      <c r="B119" s="19"/>
      <c r="C119" s="19"/>
      <c r="D119" s="19"/>
      <c r="E119" s="3"/>
    </row>
    <row r="120">
      <c r="A120" s="3"/>
      <c r="B120" s="19"/>
      <c r="C120" s="19"/>
      <c r="D120" s="19"/>
      <c r="E120" s="3"/>
    </row>
    <row r="121">
      <c r="A121" s="3"/>
      <c r="B121" s="19"/>
      <c r="C121" s="19"/>
      <c r="D121" s="19"/>
      <c r="E121" s="3"/>
    </row>
    <row r="122">
      <c r="A122" s="3"/>
      <c r="B122" s="19"/>
      <c r="C122" s="19"/>
      <c r="D122" s="19"/>
      <c r="E122" s="3"/>
    </row>
    <row r="123">
      <c r="A123" s="3"/>
      <c r="B123" s="19"/>
      <c r="C123" s="19"/>
      <c r="D123" s="19"/>
      <c r="E123" s="3"/>
    </row>
    <row r="124">
      <c r="A124" s="3"/>
      <c r="B124" s="19"/>
      <c r="C124" s="19"/>
      <c r="D124" s="19"/>
      <c r="E124" s="3"/>
    </row>
    <row r="125">
      <c r="A125" s="3"/>
      <c r="B125" s="19"/>
      <c r="C125" s="19"/>
      <c r="D125" s="19"/>
      <c r="E125" s="3"/>
    </row>
    <row r="126">
      <c r="A126" s="3"/>
      <c r="B126" s="19"/>
      <c r="C126" s="19"/>
      <c r="D126" s="19"/>
      <c r="E126" s="3"/>
    </row>
    <row r="127">
      <c r="A127" s="3"/>
      <c r="B127" s="19"/>
      <c r="C127" s="19"/>
      <c r="D127" s="19"/>
      <c r="E127" s="3"/>
    </row>
    <row r="128">
      <c r="A128" s="3"/>
      <c r="B128" s="19"/>
      <c r="C128" s="19"/>
      <c r="D128" s="19"/>
      <c r="E128" s="3"/>
    </row>
    <row r="129">
      <c r="A129" s="3"/>
      <c r="B129" s="19"/>
      <c r="C129" s="19"/>
      <c r="D129" s="19"/>
      <c r="E129" s="3"/>
    </row>
    <row r="130">
      <c r="A130" s="3"/>
      <c r="B130" s="19"/>
      <c r="C130" s="19"/>
      <c r="D130" s="19"/>
      <c r="E130" s="3"/>
    </row>
    <row r="131">
      <c r="A131" s="3"/>
      <c r="B131" s="19"/>
      <c r="C131" s="19"/>
      <c r="D131" s="19"/>
      <c r="E131" s="3"/>
    </row>
    <row r="132">
      <c r="A132" s="3"/>
      <c r="B132" s="19"/>
      <c r="C132" s="19"/>
      <c r="D132" s="19"/>
      <c r="E132" s="3"/>
    </row>
    <row r="133">
      <c r="A133" s="3"/>
      <c r="B133" s="19"/>
      <c r="C133" s="19"/>
      <c r="D133" s="19"/>
      <c r="E133" s="3"/>
    </row>
    <row r="134">
      <c r="A134" s="3"/>
      <c r="B134" s="19"/>
      <c r="C134" s="19"/>
      <c r="D134" s="19"/>
      <c r="E134" s="3"/>
    </row>
    <row r="135">
      <c r="A135" s="3"/>
      <c r="B135" s="19"/>
      <c r="C135" s="19"/>
      <c r="D135" s="19"/>
      <c r="E135" s="3"/>
    </row>
    <row r="136">
      <c r="A136" s="3"/>
      <c r="B136" s="19"/>
      <c r="C136" s="19"/>
      <c r="D136" s="19"/>
      <c r="E136" s="3"/>
    </row>
    <row r="137">
      <c r="A137" s="3"/>
      <c r="B137" s="19"/>
      <c r="C137" s="19"/>
      <c r="D137" s="19"/>
      <c r="E137" s="3"/>
    </row>
    <row r="138">
      <c r="A138" s="3"/>
      <c r="B138" s="19"/>
      <c r="C138" s="19"/>
      <c r="D138" s="19"/>
      <c r="E138" s="3"/>
    </row>
    <row r="139">
      <c r="A139" s="3"/>
      <c r="B139" s="19"/>
      <c r="C139" s="19"/>
      <c r="D139" s="19"/>
      <c r="E139" s="3"/>
    </row>
    <row r="140">
      <c r="A140" s="3"/>
      <c r="B140" s="19"/>
      <c r="C140" s="19"/>
      <c r="D140" s="19"/>
      <c r="E140" s="3"/>
    </row>
    <row r="141">
      <c r="A141" s="3"/>
      <c r="B141" s="19"/>
      <c r="C141" s="19"/>
      <c r="D141" s="19"/>
      <c r="E141" s="3"/>
    </row>
    <row r="142">
      <c r="A142" s="3"/>
      <c r="B142" s="19"/>
      <c r="C142" s="19"/>
      <c r="D142" s="19"/>
      <c r="E142" s="3"/>
    </row>
    <row r="143">
      <c r="A143" s="3"/>
      <c r="B143" s="19"/>
      <c r="C143" s="19"/>
      <c r="D143" s="19"/>
      <c r="E143" s="3"/>
    </row>
    <row r="144">
      <c r="A144" s="3"/>
      <c r="B144" s="19"/>
      <c r="C144" s="19"/>
      <c r="D144" s="19"/>
      <c r="E144" s="3"/>
    </row>
    <row r="145">
      <c r="A145" s="3"/>
      <c r="B145" s="19"/>
      <c r="C145" s="19"/>
      <c r="D145" s="19"/>
      <c r="E145" s="3"/>
    </row>
    <row r="146">
      <c r="A146" s="3"/>
      <c r="B146" s="19"/>
      <c r="C146" s="19"/>
      <c r="D146" s="19"/>
      <c r="E146" s="3"/>
    </row>
    <row r="147">
      <c r="A147" s="3"/>
      <c r="B147" s="19"/>
      <c r="C147" s="19"/>
      <c r="D147" s="19"/>
      <c r="E147" s="3"/>
    </row>
    <row r="148">
      <c r="A148" s="3"/>
      <c r="B148" s="19"/>
      <c r="C148" s="19"/>
      <c r="D148" s="19"/>
      <c r="E148" s="3"/>
    </row>
    <row r="149">
      <c r="A149" s="3"/>
      <c r="B149" s="19"/>
      <c r="C149" s="19"/>
      <c r="D149" s="19"/>
      <c r="E149" s="3"/>
    </row>
    <row r="150">
      <c r="A150" s="3"/>
      <c r="B150" s="19"/>
      <c r="C150" s="19"/>
      <c r="D150" s="19"/>
      <c r="E150" s="3"/>
    </row>
    <row r="151">
      <c r="A151" s="3"/>
      <c r="B151" s="19"/>
      <c r="C151" s="19"/>
      <c r="D151" s="19"/>
      <c r="E151" s="3"/>
    </row>
    <row r="152">
      <c r="A152" s="3"/>
      <c r="B152" s="19"/>
      <c r="C152" s="19"/>
      <c r="D152" s="19"/>
      <c r="E152" s="3"/>
    </row>
    <row r="153">
      <c r="A153" s="3"/>
      <c r="B153" s="19"/>
      <c r="C153" s="19"/>
      <c r="D153" s="19"/>
      <c r="E153" s="3"/>
    </row>
    <row r="154">
      <c r="A154" s="3"/>
      <c r="B154" s="19"/>
      <c r="C154" s="19"/>
      <c r="D154" s="19"/>
      <c r="E154" s="3"/>
    </row>
    <row r="155">
      <c r="A155" s="3"/>
      <c r="B155" s="19"/>
      <c r="C155" s="19"/>
      <c r="D155" s="19"/>
      <c r="E155" s="3"/>
    </row>
    <row r="156">
      <c r="A156" s="3"/>
      <c r="B156" s="19"/>
      <c r="C156" s="19"/>
      <c r="D156" s="19"/>
      <c r="E156" s="3"/>
    </row>
    <row r="157">
      <c r="A157" s="3"/>
      <c r="B157" s="19"/>
      <c r="C157" s="19"/>
      <c r="D157" s="19"/>
      <c r="E157" s="3"/>
    </row>
    <row r="158">
      <c r="A158" s="3"/>
      <c r="B158" s="19"/>
      <c r="C158" s="19"/>
      <c r="D158" s="19"/>
      <c r="E158" s="3"/>
    </row>
    <row r="159">
      <c r="A159" s="3"/>
      <c r="B159" s="19"/>
      <c r="C159" s="19"/>
      <c r="D159" s="19"/>
      <c r="E159" s="3"/>
    </row>
    <row r="160">
      <c r="A160" s="3"/>
      <c r="B160" s="19"/>
      <c r="C160" s="19"/>
      <c r="D160" s="19"/>
      <c r="E160" s="3"/>
    </row>
    <row r="161">
      <c r="A161" s="3"/>
      <c r="B161" s="19"/>
      <c r="C161" s="19"/>
      <c r="D161" s="19"/>
      <c r="E161" s="3"/>
    </row>
    <row r="162">
      <c r="A162" s="3"/>
      <c r="B162" s="19"/>
      <c r="C162" s="19"/>
      <c r="D162" s="19"/>
      <c r="E162" s="3"/>
    </row>
    <row r="163">
      <c r="A163" s="3"/>
      <c r="B163" s="19"/>
      <c r="C163" s="19"/>
      <c r="D163" s="19"/>
      <c r="E163" s="3"/>
    </row>
    <row r="164">
      <c r="A164" s="3"/>
      <c r="B164" s="19"/>
      <c r="C164" s="19"/>
      <c r="D164" s="19"/>
      <c r="E164" s="3"/>
    </row>
    <row r="165">
      <c r="A165" s="3"/>
      <c r="B165" s="19"/>
      <c r="C165" s="19"/>
      <c r="D165" s="19"/>
      <c r="E165" s="3"/>
    </row>
    <row r="166">
      <c r="A166" s="3"/>
      <c r="B166" s="19"/>
      <c r="C166" s="19"/>
      <c r="D166" s="19"/>
      <c r="E166" s="3"/>
    </row>
    <row r="167">
      <c r="A167" s="3"/>
      <c r="B167" s="19"/>
      <c r="C167" s="19"/>
      <c r="D167" s="19"/>
      <c r="E167" s="3"/>
    </row>
    <row r="168">
      <c r="A168" s="3"/>
      <c r="B168" s="19"/>
      <c r="C168" s="19"/>
      <c r="D168" s="19"/>
      <c r="E168" s="3"/>
    </row>
    <row r="169">
      <c r="A169" s="3"/>
      <c r="B169" s="19"/>
      <c r="C169" s="19"/>
      <c r="D169" s="19"/>
      <c r="E169" s="3"/>
    </row>
    <row r="170">
      <c r="A170" s="3"/>
      <c r="B170" s="19"/>
      <c r="C170" s="19"/>
      <c r="D170" s="19"/>
      <c r="E170" s="3"/>
    </row>
    <row r="171">
      <c r="A171" s="3"/>
      <c r="B171" s="19"/>
      <c r="C171" s="19"/>
      <c r="D171" s="19"/>
      <c r="E171" s="3"/>
    </row>
    <row r="172">
      <c r="A172" s="3"/>
      <c r="B172" s="19"/>
      <c r="C172" s="19"/>
      <c r="D172" s="19"/>
      <c r="E172" s="3"/>
    </row>
    <row r="173">
      <c r="A173" s="3"/>
      <c r="B173" s="19"/>
      <c r="C173" s="19"/>
      <c r="D173" s="19"/>
      <c r="E173" s="3"/>
    </row>
    <row r="174">
      <c r="A174" s="3"/>
      <c r="B174" s="19"/>
      <c r="C174" s="19"/>
      <c r="D174" s="19"/>
      <c r="E174" s="3"/>
    </row>
    <row r="175">
      <c r="A175" s="3"/>
      <c r="B175" s="19"/>
      <c r="C175" s="19"/>
      <c r="D175" s="19"/>
      <c r="E175" s="3"/>
    </row>
    <row r="176">
      <c r="A176" s="3"/>
      <c r="B176" s="19"/>
      <c r="C176" s="19"/>
      <c r="D176" s="19"/>
      <c r="E176" s="3"/>
    </row>
    <row r="177">
      <c r="A177" s="3"/>
      <c r="B177" s="19"/>
      <c r="C177" s="19"/>
      <c r="D177" s="19"/>
      <c r="E177" s="3"/>
    </row>
    <row r="178">
      <c r="A178" s="3"/>
      <c r="B178" s="19"/>
      <c r="C178" s="19"/>
      <c r="D178" s="19"/>
      <c r="E178" s="3"/>
    </row>
    <row r="179">
      <c r="A179" s="3"/>
      <c r="B179" s="19"/>
      <c r="C179" s="19"/>
      <c r="D179" s="19"/>
      <c r="E179" s="3"/>
    </row>
    <row r="180">
      <c r="A180" s="3"/>
      <c r="B180" s="19"/>
      <c r="C180" s="19"/>
      <c r="D180" s="19"/>
      <c r="E180" s="3"/>
    </row>
    <row r="181">
      <c r="A181" s="3"/>
      <c r="B181" s="19"/>
      <c r="C181" s="19"/>
      <c r="D181" s="19"/>
      <c r="E181" s="3"/>
    </row>
    <row r="182">
      <c r="A182" s="3"/>
      <c r="B182" s="19"/>
      <c r="C182" s="19"/>
      <c r="D182" s="19"/>
      <c r="E182" s="3"/>
    </row>
    <row r="183">
      <c r="A183" s="3"/>
      <c r="B183" s="19"/>
      <c r="C183" s="19"/>
      <c r="D183" s="19"/>
      <c r="E183" s="3"/>
    </row>
    <row r="184">
      <c r="A184" s="3"/>
      <c r="B184" s="19"/>
      <c r="C184" s="19"/>
      <c r="D184" s="19"/>
      <c r="E184" s="3"/>
    </row>
    <row r="185">
      <c r="A185" s="3"/>
      <c r="B185" s="19"/>
      <c r="C185" s="19"/>
      <c r="D185" s="19"/>
      <c r="E185" s="3"/>
    </row>
    <row r="186">
      <c r="A186" s="3"/>
      <c r="B186" s="19"/>
      <c r="C186" s="19"/>
      <c r="D186" s="19"/>
      <c r="E186" s="3"/>
    </row>
    <row r="187">
      <c r="A187" s="3"/>
      <c r="B187" s="19"/>
      <c r="C187" s="19"/>
      <c r="D187" s="19"/>
      <c r="E187" s="3"/>
    </row>
    <row r="188">
      <c r="A188" s="3"/>
      <c r="B188" s="19"/>
      <c r="C188" s="19"/>
      <c r="D188" s="19"/>
      <c r="E188" s="3"/>
    </row>
    <row r="189">
      <c r="A189" s="3"/>
      <c r="B189" s="19"/>
      <c r="C189" s="19"/>
      <c r="D189" s="19"/>
      <c r="E189" s="3"/>
    </row>
    <row r="190">
      <c r="A190" s="3"/>
      <c r="B190" s="19"/>
      <c r="C190" s="19"/>
      <c r="D190" s="19"/>
      <c r="E190" s="3"/>
    </row>
    <row r="191">
      <c r="A191" s="3"/>
      <c r="B191" s="19"/>
      <c r="C191" s="19"/>
      <c r="D191" s="19"/>
      <c r="E191" s="3"/>
    </row>
    <row r="192">
      <c r="A192" s="3"/>
      <c r="B192" s="19"/>
      <c r="C192" s="19"/>
      <c r="D192" s="19"/>
      <c r="E192" s="3"/>
    </row>
    <row r="193">
      <c r="A193" s="3"/>
      <c r="B193" s="19"/>
      <c r="C193" s="19"/>
      <c r="D193" s="19"/>
      <c r="E193" s="3"/>
    </row>
    <row r="194">
      <c r="A194" s="3"/>
      <c r="B194" s="19"/>
      <c r="C194" s="19"/>
      <c r="D194" s="19"/>
      <c r="E194" s="3"/>
    </row>
    <row r="195">
      <c r="A195" s="3"/>
      <c r="B195" s="19"/>
      <c r="C195" s="19"/>
      <c r="D195" s="19"/>
      <c r="E195" s="3"/>
    </row>
    <row r="196">
      <c r="A196" s="3"/>
      <c r="B196" s="19"/>
      <c r="C196" s="19"/>
      <c r="D196" s="19"/>
      <c r="E196" s="3"/>
    </row>
    <row r="197">
      <c r="A197" s="3"/>
      <c r="B197" s="19"/>
      <c r="C197" s="19"/>
      <c r="D197" s="19"/>
      <c r="E197" s="3"/>
    </row>
    <row r="198">
      <c r="A198" s="3"/>
      <c r="B198" s="19"/>
      <c r="C198" s="19"/>
      <c r="D198" s="19"/>
      <c r="E198" s="3"/>
    </row>
    <row r="199">
      <c r="A199" s="3"/>
      <c r="B199" s="19"/>
      <c r="C199" s="19"/>
      <c r="D199" s="19"/>
      <c r="E199" s="3"/>
    </row>
    <row r="200">
      <c r="A200" s="3"/>
      <c r="B200" s="19"/>
      <c r="C200" s="19"/>
      <c r="D200" s="19"/>
      <c r="E200" s="3"/>
    </row>
    <row r="201">
      <c r="A201" s="3"/>
      <c r="B201" s="19"/>
      <c r="C201" s="19"/>
      <c r="D201" s="19"/>
      <c r="E201" s="3"/>
    </row>
    <row r="202">
      <c r="A202" s="3"/>
      <c r="B202" s="19"/>
      <c r="C202" s="19"/>
      <c r="D202" s="19"/>
      <c r="E202" s="3"/>
    </row>
    <row r="203">
      <c r="A203" s="3"/>
      <c r="B203" s="19"/>
      <c r="C203" s="19"/>
      <c r="D203" s="19"/>
      <c r="E203" s="3"/>
    </row>
    <row r="204">
      <c r="A204" s="3"/>
      <c r="B204" s="19"/>
      <c r="C204" s="19"/>
      <c r="D204" s="19"/>
      <c r="E204" s="3"/>
    </row>
    <row r="205">
      <c r="A205" s="3"/>
      <c r="B205" s="19"/>
      <c r="C205" s="19"/>
      <c r="D205" s="19"/>
      <c r="E205" s="3"/>
    </row>
    <row r="206">
      <c r="A206" s="3"/>
      <c r="B206" s="19"/>
      <c r="C206" s="19"/>
      <c r="D206" s="19"/>
      <c r="E206" s="3"/>
    </row>
    <row r="207">
      <c r="A207" s="3"/>
      <c r="B207" s="19"/>
      <c r="C207" s="19"/>
      <c r="D207" s="19"/>
      <c r="E207" s="3"/>
    </row>
    <row r="208">
      <c r="A208" s="3"/>
      <c r="B208" s="19"/>
      <c r="C208" s="19"/>
      <c r="D208" s="19"/>
      <c r="E208" s="3"/>
    </row>
    <row r="209">
      <c r="A209" s="3"/>
      <c r="B209" s="19"/>
      <c r="C209" s="19"/>
      <c r="D209" s="19"/>
      <c r="E209" s="3"/>
    </row>
    <row r="210">
      <c r="A210" s="3"/>
      <c r="B210" s="19"/>
      <c r="C210" s="19"/>
      <c r="D210" s="19"/>
      <c r="E210" s="3"/>
    </row>
    <row r="211">
      <c r="A211" s="3"/>
      <c r="B211" s="19"/>
      <c r="C211" s="19"/>
      <c r="D211" s="19"/>
      <c r="E211" s="3"/>
    </row>
    <row r="212">
      <c r="A212" s="3"/>
      <c r="B212" s="19"/>
      <c r="C212" s="19"/>
      <c r="D212" s="19"/>
      <c r="E212" s="3"/>
    </row>
    <row r="213">
      <c r="A213" s="3"/>
      <c r="B213" s="19"/>
      <c r="C213" s="19"/>
      <c r="D213" s="19"/>
      <c r="E213" s="3"/>
    </row>
    <row r="214">
      <c r="A214" s="3"/>
      <c r="B214" s="19"/>
      <c r="C214" s="19"/>
      <c r="D214" s="19"/>
      <c r="E214" s="3"/>
    </row>
    <row r="215">
      <c r="A215" s="3"/>
      <c r="B215" s="19"/>
      <c r="C215" s="19"/>
      <c r="D215" s="19"/>
      <c r="E215" s="3"/>
    </row>
    <row r="216">
      <c r="A216" s="3"/>
      <c r="B216" s="19"/>
      <c r="C216" s="19"/>
      <c r="D216" s="19"/>
      <c r="E216" s="3"/>
    </row>
    <row r="217">
      <c r="A217" s="3"/>
      <c r="B217" s="19"/>
      <c r="C217" s="19"/>
      <c r="D217" s="19"/>
      <c r="E217" s="3"/>
    </row>
    <row r="218">
      <c r="A218" s="3"/>
      <c r="B218" s="19"/>
      <c r="C218" s="19"/>
      <c r="D218" s="19"/>
      <c r="E218" s="3"/>
    </row>
    <row r="219">
      <c r="A219" s="3"/>
      <c r="B219" s="19"/>
      <c r="C219" s="19"/>
      <c r="D219" s="19"/>
      <c r="E219" s="3"/>
    </row>
    <row r="220">
      <c r="A220" s="3"/>
      <c r="B220" s="19"/>
      <c r="C220" s="19"/>
      <c r="D220" s="19"/>
      <c r="E220" s="3"/>
    </row>
    <row r="221">
      <c r="A221" s="3"/>
      <c r="B221" s="19"/>
      <c r="C221" s="19"/>
      <c r="D221" s="19"/>
      <c r="E221" s="3"/>
    </row>
    <row r="222">
      <c r="A222" s="3"/>
      <c r="B222" s="19"/>
      <c r="C222" s="19"/>
      <c r="D222" s="19"/>
      <c r="E222" s="3"/>
    </row>
    <row r="223">
      <c r="A223" s="3"/>
      <c r="B223" s="19"/>
      <c r="C223" s="19"/>
      <c r="D223" s="19"/>
      <c r="E223" s="3"/>
    </row>
    <row r="224">
      <c r="A224" s="3"/>
      <c r="B224" s="19"/>
      <c r="C224" s="19"/>
      <c r="D224" s="19"/>
      <c r="E224" s="3"/>
    </row>
    <row r="225">
      <c r="A225" s="3"/>
      <c r="B225" s="19"/>
      <c r="C225" s="19"/>
      <c r="D225" s="19"/>
      <c r="E225" s="3"/>
    </row>
    <row r="226">
      <c r="A226" s="3"/>
      <c r="B226" s="19"/>
      <c r="C226" s="19"/>
      <c r="D226" s="19"/>
      <c r="E226" s="3"/>
    </row>
    <row r="227">
      <c r="A227" s="3"/>
      <c r="B227" s="19"/>
      <c r="C227" s="19"/>
      <c r="D227" s="19"/>
      <c r="E227" s="3"/>
    </row>
    <row r="228">
      <c r="A228" s="3"/>
      <c r="B228" s="19"/>
      <c r="C228" s="19"/>
      <c r="D228" s="19"/>
      <c r="E228" s="3"/>
    </row>
    <row r="229">
      <c r="A229" s="3"/>
      <c r="B229" s="19"/>
      <c r="C229" s="19"/>
      <c r="D229" s="19"/>
      <c r="E229" s="3"/>
    </row>
    <row r="230">
      <c r="A230" s="3"/>
      <c r="B230" s="19"/>
      <c r="C230" s="19"/>
      <c r="D230" s="19"/>
      <c r="E230" s="3"/>
    </row>
    <row r="231">
      <c r="A231" s="3"/>
      <c r="B231" s="19"/>
      <c r="C231" s="19"/>
      <c r="D231" s="19"/>
      <c r="E231" s="3"/>
    </row>
    <row r="232">
      <c r="A232" s="3"/>
      <c r="B232" s="19"/>
      <c r="C232" s="19"/>
      <c r="D232" s="19"/>
      <c r="E232" s="3"/>
    </row>
    <row r="233">
      <c r="A233" s="3"/>
      <c r="B233" s="19"/>
      <c r="C233" s="19"/>
      <c r="D233" s="19"/>
      <c r="E233" s="3"/>
    </row>
    <row r="234">
      <c r="A234" s="3"/>
      <c r="B234" s="19"/>
      <c r="C234" s="19"/>
      <c r="D234" s="19"/>
      <c r="E234" s="3"/>
    </row>
    <row r="235">
      <c r="A235" s="3"/>
      <c r="B235" s="19"/>
      <c r="C235" s="19"/>
      <c r="D235" s="19"/>
      <c r="E235" s="3"/>
    </row>
    <row r="236">
      <c r="A236" s="3"/>
      <c r="B236" s="19"/>
      <c r="C236" s="19"/>
      <c r="D236" s="19"/>
      <c r="E236" s="3"/>
    </row>
    <row r="237">
      <c r="A237" s="3"/>
      <c r="B237" s="19"/>
      <c r="C237" s="19"/>
      <c r="D237" s="19"/>
      <c r="E237" s="3"/>
    </row>
    <row r="238">
      <c r="A238" s="3"/>
      <c r="B238" s="19"/>
      <c r="C238" s="19"/>
      <c r="D238" s="19"/>
      <c r="E238" s="3"/>
    </row>
    <row r="239">
      <c r="A239" s="3"/>
      <c r="B239" s="19"/>
      <c r="C239" s="19"/>
      <c r="D239" s="19"/>
      <c r="E239" s="3"/>
    </row>
    <row r="240">
      <c r="A240" s="3"/>
      <c r="B240" s="19"/>
      <c r="C240" s="19"/>
      <c r="D240" s="19"/>
      <c r="E240" s="3"/>
    </row>
    <row r="241">
      <c r="A241" s="3"/>
      <c r="B241" s="19"/>
      <c r="C241" s="19"/>
      <c r="D241" s="19"/>
      <c r="E241" s="3"/>
    </row>
    <row r="242">
      <c r="A242" s="3"/>
      <c r="B242" s="19"/>
      <c r="C242" s="19"/>
      <c r="D242" s="19"/>
      <c r="E242" s="3"/>
    </row>
    <row r="243">
      <c r="A243" s="3"/>
      <c r="B243" s="19"/>
      <c r="C243" s="19"/>
      <c r="D243" s="19"/>
      <c r="E243" s="3"/>
    </row>
    <row r="244">
      <c r="A244" s="3"/>
      <c r="B244" s="19"/>
      <c r="C244" s="19"/>
      <c r="D244" s="19"/>
      <c r="E244" s="3"/>
    </row>
    <row r="245">
      <c r="A245" s="3"/>
      <c r="B245" s="19"/>
      <c r="C245" s="19"/>
      <c r="D245" s="19"/>
      <c r="E245" s="3"/>
    </row>
    <row r="246">
      <c r="A246" s="3"/>
      <c r="B246" s="19"/>
      <c r="C246" s="19"/>
      <c r="D246" s="19"/>
      <c r="E246" s="3"/>
    </row>
    <row r="247">
      <c r="A247" s="3"/>
      <c r="B247" s="19"/>
      <c r="C247" s="19"/>
      <c r="D247" s="19"/>
      <c r="E247" s="3"/>
    </row>
    <row r="248">
      <c r="A248" s="3"/>
      <c r="B248" s="19"/>
      <c r="C248" s="19"/>
      <c r="D248" s="19"/>
      <c r="E248" s="3"/>
    </row>
    <row r="249">
      <c r="A249" s="3"/>
      <c r="B249" s="19"/>
      <c r="C249" s="19"/>
      <c r="D249" s="19"/>
      <c r="E249" s="3"/>
    </row>
    <row r="250">
      <c r="A250" s="3"/>
      <c r="B250" s="19"/>
      <c r="C250" s="19"/>
      <c r="D250" s="19"/>
      <c r="E250" s="3"/>
    </row>
    <row r="251">
      <c r="A251" s="3"/>
      <c r="B251" s="19"/>
      <c r="C251" s="19"/>
      <c r="D251" s="19"/>
      <c r="E251" s="3"/>
    </row>
    <row r="252">
      <c r="A252" s="3"/>
      <c r="B252" s="19"/>
      <c r="C252" s="19"/>
      <c r="D252" s="19"/>
      <c r="E252" s="3"/>
    </row>
    <row r="253">
      <c r="A253" s="3"/>
      <c r="B253" s="19"/>
      <c r="C253" s="19"/>
      <c r="D253" s="19"/>
      <c r="E253" s="3"/>
    </row>
    <row r="254">
      <c r="A254" s="3"/>
      <c r="B254" s="19"/>
      <c r="C254" s="19"/>
      <c r="D254" s="19"/>
      <c r="E254" s="3"/>
    </row>
    <row r="255">
      <c r="A255" s="3"/>
      <c r="B255" s="19"/>
      <c r="C255" s="19"/>
      <c r="D255" s="19"/>
      <c r="E255" s="3"/>
    </row>
    <row r="256">
      <c r="A256" s="3"/>
      <c r="B256" s="19"/>
      <c r="C256" s="19"/>
      <c r="D256" s="19"/>
      <c r="E256" s="3"/>
    </row>
    <row r="257">
      <c r="A257" s="3"/>
      <c r="B257" s="19"/>
      <c r="C257" s="19"/>
      <c r="D257" s="19"/>
      <c r="E257" s="3"/>
    </row>
    <row r="258">
      <c r="A258" s="3"/>
      <c r="B258" s="19"/>
      <c r="C258" s="19"/>
      <c r="D258" s="19"/>
      <c r="E258" s="3"/>
    </row>
    <row r="259">
      <c r="A259" s="3"/>
      <c r="B259" s="19"/>
      <c r="C259" s="19"/>
      <c r="D259" s="19"/>
      <c r="E259" s="3"/>
    </row>
    <row r="260">
      <c r="A260" s="3"/>
      <c r="B260" s="19"/>
      <c r="C260" s="19"/>
      <c r="D260" s="19"/>
      <c r="E260" s="3"/>
    </row>
    <row r="261">
      <c r="A261" s="3"/>
      <c r="B261" s="19"/>
      <c r="C261" s="19"/>
      <c r="D261" s="19"/>
      <c r="E261" s="3"/>
    </row>
    <row r="262">
      <c r="A262" s="3"/>
      <c r="B262" s="19"/>
      <c r="C262" s="19"/>
      <c r="D262" s="19"/>
      <c r="E262" s="3"/>
    </row>
    <row r="263">
      <c r="A263" s="3"/>
      <c r="B263" s="19"/>
      <c r="C263" s="19"/>
      <c r="D263" s="19"/>
      <c r="E263" s="3"/>
    </row>
    <row r="264">
      <c r="A264" s="3"/>
      <c r="B264" s="19"/>
      <c r="C264" s="19"/>
      <c r="D264" s="19"/>
      <c r="E264" s="3"/>
    </row>
    <row r="265">
      <c r="A265" s="3"/>
      <c r="B265" s="19"/>
      <c r="C265" s="19"/>
      <c r="D265" s="19"/>
      <c r="E265" s="3"/>
    </row>
    <row r="266">
      <c r="A266" s="3"/>
      <c r="B266" s="19"/>
      <c r="C266" s="19"/>
      <c r="D266" s="19"/>
      <c r="E266" s="3"/>
    </row>
    <row r="267">
      <c r="A267" s="3"/>
      <c r="B267" s="19"/>
      <c r="C267" s="19"/>
      <c r="D267" s="19"/>
      <c r="E267" s="3"/>
    </row>
    <row r="268">
      <c r="A268" s="3"/>
      <c r="B268" s="19"/>
      <c r="C268" s="19"/>
      <c r="D268" s="19"/>
      <c r="E268" s="3"/>
    </row>
    <row r="269">
      <c r="A269" s="3"/>
      <c r="B269" s="19"/>
      <c r="C269" s="19"/>
      <c r="D269" s="19"/>
      <c r="E269" s="3"/>
    </row>
    <row r="270">
      <c r="A270" s="3"/>
      <c r="B270" s="19"/>
      <c r="C270" s="19"/>
      <c r="D270" s="19"/>
      <c r="E270" s="3"/>
    </row>
    <row r="271">
      <c r="A271" s="3"/>
      <c r="B271" s="19"/>
      <c r="C271" s="19"/>
      <c r="D271" s="19"/>
      <c r="E271" s="3"/>
    </row>
    <row r="272">
      <c r="A272" s="3"/>
      <c r="B272" s="19"/>
      <c r="C272" s="19"/>
      <c r="D272" s="19"/>
      <c r="E272" s="3"/>
    </row>
    <row r="273">
      <c r="A273" s="3"/>
      <c r="B273" s="19"/>
      <c r="C273" s="19"/>
      <c r="D273" s="19"/>
      <c r="E273" s="3"/>
    </row>
    <row r="274">
      <c r="A274" s="3"/>
      <c r="B274" s="19"/>
      <c r="C274" s="19"/>
      <c r="D274" s="19"/>
      <c r="E274" s="3"/>
    </row>
    <row r="275">
      <c r="A275" s="3"/>
      <c r="B275" s="19"/>
      <c r="C275" s="19"/>
      <c r="D275" s="19"/>
      <c r="E275" s="3"/>
    </row>
    <row r="276">
      <c r="A276" s="3"/>
      <c r="B276" s="19"/>
      <c r="C276" s="19"/>
      <c r="D276" s="19"/>
      <c r="E276" s="3"/>
    </row>
    <row r="277">
      <c r="A277" s="3"/>
      <c r="B277" s="19"/>
      <c r="C277" s="19"/>
      <c r="D277" s="19"/>
      <c r="E277" s="3"/>
    </row>
    <row r="278">
      <c r="A278" s="3"/>
      <c r="B278" s="19"/>
      <c r="C278" s="19"/>
      <c r="D278" s="19"/>
      <c r="E278" s="3"/>
    </row>
    <row r="279">
      <c r="A279" s="3"/>
      <c r="B279" s="19"/>
      <c r="C279" s="19"/>
      <c r="D279" s="19"/>
      <c r="E279" s="3"/>
    </row>
    <row r="280">
      <c r="A280" s="3"/>
      <c r="B280" s="19"/>
      <c r="C280" s="19"/>
      <c r="D280" s="19"/>
      <c r="E280" s="3"/>
    </row>
    <row r="281">
      <c r="A281" s="3"/>
      <c r="B281" s="19"/>
      <c r="C281" s="19"/>
      <c r="D281" s="19"/>
      <c r="E281" s="3"/>
    </row>
    <row r="282">
      <c r="A282" s="3"/>
      <c r="B282" s="19"/>
      <c r="C282" s="19"/>
      <c r="D282" s="19"/>
      <c r="E282" s="3"/>
    </row>
    <row r="283">
      <c r="A283" s="3"/>
      <c r="B283" s="19"/>
      <c r="C283" s="19"/>
      <c r="D283" s="19"/>
      <c r="E283" s="3"/>
    </row>
    <row r="284">
      <c r="A284" s="3"/>
      <c r="B284" s="19"/>
      <c r="C284" s="19"/>
      <c r="D284" s="19"/>
      <c r="E284" s="3"/>
    </row>
    <row r="285">
      <c r="A285" s="3"/>
      <c r="B285" s="19"/>
      <c r="C285" s="19"/>
      <c r="D285" s="19"/>
      <c r="E285" s="3"/>
    </row>
    <row r="286">
      <c r="A286" s="3"/>
      <c r="B286" s="19"/>
      <c r="C286" s="19"/>
      <c r="D286" s="19"/>
      <c r="E286" s="3"/>
    </row>
    <row r="287">
      <c r="A287" s="3"/>
      <c r="B287" s="19"/>
      <c r="C287" s="19"/>
      <c r="D287" s="19"/>
      <c r="E287" s="3"/>
    </row>
    <row r="288">
      <c r="A288" s="3"/>
      <c r="B288" s="19"/>
      <c r="C288" s="19"/>
      <c r="D288" s="19"/>
      <c r="E288" s="3"/>
    </row>
    <row r="289">
      <c r="A289" s="3"/>
      <c r="B289" s="19"/>
      <c r="C289" s="19"/>
      <c r="D289" s="19"/>
      <c r="E289" s="3"/>
    </row>
    <row r="290">
      <c r="A290" s="3"/>
      <c r="B290" s="19"/>
      <c r="C290" s="19"/>
      <c r="D290" s="19"/>
      <c r="E290" s="3"/>
    </row>
    <row r="291">
      <c r="A291" s="3"/>
      <c r="B291" s="19"/>
      <c r="C291" s="19"/>
      <c r="D291" s="19"/>
      <c r="E291" s="3"/>
    </row>
    <row r="292">
      <c r="A292" s="3"/>
      <c r="B292" s="19"/>
      <c r="C292" s="19"/>
      <c r="D292" s="19"/>
      <c r="E292" s="3"/>
    </row>
    <row r="293">
      <c r="A293" s="3"/>
      <c r="B293" s="19"/>
      <c r="C293" s="19"/>
      <c r="D293" s="19"/>
      <c r="E293" s="3"/>
    </row>
    <row r="294">
      <c r="A294" s="3"/>
      <c r="B294" s="19"/>
      <c r="C294" s="19"/>
      <c r="D294" s="19"/>
      <c r="E294" s="3"/>
    </row>
    <row r="295">
      <c r="A295" s="3"/>
      <c r="B295" s="19"/>
      <c r="C295" s="19"/>
      <c r="D295" s="19"/>
      <c r="E295" s="3"/>
    </row>
    <row r="296">
      <c r="A296" s="3"/>
      <c r="B296" s="19"/>
      <c r="C296" s="19"/>
      <c r="D296" s="19"/>
      <c r="E296" s="3"/>
    </row>
    <row r="297">
      <c r="A297" s="3"/>
      <c r="B297" s="19"/>
      <c r="C297" s="19"/>
      <c r="D297" s="19"/>
      <c r="E297" s="3"/>
    </row>
    <row r="298">
      <c r="A298" s="3"/>
      <c r="B298" s="19"/>
      <c r="C298" s="19"/>
      <c r="D298" s="19"/>
      <c r="E298" s="3"/>
    </row>
    <row r="299">
      <c r="A299" s="3"/>
      <c r="B299" s="19"/>
      <c r="C299" s="19"/>
      <c r="D299" s="19"/>
      <c r="E299" s="3"/>
    </row>
    <row r="300">
      <c r="A300" s="3"/>
      <c r="B300" s="19"/>
      <c r="C300" s="19"/>
      <c r="D300" s="19"/>
      <c r="E300" s="3"/>
    </row>
    <row r="301">
      <c r="A301" s="3"/>
      <c r="B301" s="19"/>
      <c r="C301" s="19"/>
      <c r="D301" s="19"/>
      <c r="E301" s="3"/>
    </row>
    <row r="302">
      <c r="A302" s="3"/>
      <c r="B302" s="19"/>
      <c r="C302" s="19"/>
      <c r="D302" s="19"/>
      <c r="E302" s="3"/>
    </row>
    <row r="303">
      <c r="A303" s="3"/>
      <c r="B303" s="19"/>
      <c r="C303" s="19"/>
      <c r="D303" s="19"/>
      <c r="E303" s="3"/>
    </row>
    <row r="304">
      <c r="A304" s="3"/>
      <c r="B304" s="19"/>
      <c r="C304" s="19"/>
      <c r="D304" s="19"/>
      <c r="E304" s="3"/>
    </row>
    <row r="305">
      <c r="A305" s="3"/>
      <c r="B305" s="19"/>
      <c r="C305" s="19"/>
      <c r="D305" s="19"/>
      <c r="E305" s="3"/>
    </row>
    <row r="306">
      <c r="A306" s="3"/>
      <c r="B306" s="19"/>
      <c r="C306" s="19"/>
      <c r="D306" s="19"/>
      <c r="E306" s="3"/>
    </row>
    <row r="307">
      <c r="A307" s="3"/>
      <c r="B307" s="19"/>
      <c r="C307" s="19"/>
      <c r="D307" s="19"/>
      <c r="E307" s="3"/>
    </row>
    <row r="308">
      <c r="A308" s="3"/>
      <c r="B308" s="19"/>
      <c r="C308" s="19"/>
      <c r="D308" s="19"/>
      <c r="E308" s="3"/>
    </row>
    <row r="309">
      <c r="A309" s="3"/>
      <c r="B309" s="19"/>
      <c r="C309" s="19"/>
      <c r="D309" s="19"/>
      <c r="E309" s="3"/>
    </row>
    <row r="310">
      <c r="A310" s="3"/>
      <c r="B310" s="19"/>
      <c r="C310" s="19"/>
      <c r="D310" s="19"/>
      <c r="E310" s="3"/>
    </row>
    <row r="311">
      <c r="A311" s="3"/>
      <c r="B311" s="19"/>
      <c r="C311" s="19"/>
      <c r="D311" s="19"/>
      <c r="E311" s="3"/>
    </row>
    <row r="312">
      <c r="A312" s="3"/>
      <c r="B312" s="19"/>
      <c r="C312" s="19"/>
      <c r="D312" s="19"/>
      <c r="E312" s="3"/>
    </row>
    <row r="313">
      <c r="A313" s="3"/>
      <c r="B313" s="19"/>
      <c r="C313" s="19"/>
      <c r="D313" s="19"/>
      <c r="E313" s="3"/>
    </row>
    <row r="314">
      <c r="A314" s="3"/>
      <c r="B314" s="19"/>
      <c r="C314" s="19"/>
      <c r="D314" s="19"/>
      <c r="E314" s="3"/>
    </row>
    <row r="315">
      <c r="A315" s="3"/>
      <c r="B315" s="19"/>
      <c r="C315" s="19"/>
      <c r="D315" s="19"/>
      <c r="E315" s="3"/>
    </row>
    <row r="316">
      <c r="A316" s="3"/>
      <c r="B316" s="19"/>
      <c r="C316" s="19"/>
      <c r="D316" s="19"/>
      <c r="E316" s="3"/>
    </row>
    <row r="317">
      <c r="A317" s="3"/>
      <c r="B317" s="19"/>
      <c r="C317" s="19"/>
      <c r="D317" s="19"/>
      <c r="E317" s="3"/>
    </row>
    <row r="318">
      <c r="A318" s="3"/>
      <c r="B318" s="19"/>
      <c r="C318" s="19"/>
      <c r="D318" s="19"/>
      <c r="E318" s="3"/>
    </row>
    <row r="319">
      <c r="A319" s="3"/>
      <c r="B319" s="19"/>
      <c r="C319" s="19"/>
      <c r="D319" s="19"/>
      <c r="E319" s="3"/>
    </row>
    <row r="320">
      <c r="A320" s="3"/>
      <c r="B320" s="19"/>
      <c r="C320" s="19"/>
      <c r="D320" s="19"/>
      <c r="E320" s="3"/>
    </row>
    <row r="321">
      <c r="A321" s="3"/>
      <c r="B321" s="19"/>
      <c r="C321" s="19"/>
      <c r="D321" s="19"/>
      <c r="E321" s="3"/>
    </row>
    <row r="322">
      <c r="A322" s="3"/>
      <c r="B322" s="19"/>
      <c r="C322" s="19"/>
      <c r="D322" s="19"/>
      <c r="E322" s="3"/>
    </row>
    <row r="323">
      <c r="A323" s="3"/>
      <c r="B323" s="19"/>
      <c r="C323" s="19"/>
      <c r="D323" s="19"/>
      <c r="E323" s="3"/>
    </row>
    <row r="324">
      <c r="A324" s="3"/>
      <c r="B324" s="19"/>
      <c r="C324" s="19"/>
      <c r="D324" s="19"/>
      <c r="E324" s="3"/>
    </row>
    <row r="325">
      <c r="A325" s="3"/>
      <c r="B325" s="19"/>
      <c r="C325" s="19"/>
      <c r="D325" s="19"/>
      <c r="E325" s="3"/>
    </row>
    <row r="326">
      <c r="A326" s="3"/>
      <c r="B326" s="19"/>
      <c r="C326" s="19"/>
      <c r="D326" s="19"/>
      <c r="E326" s="3"/>
    </row>
    <row r="327">
      <c r="A327" s="3"/>
      <c r="B327" s="19"/>
      <c r="C327" s="19"/>
      <c r="D327" s="19"/>
      <c r="E327" s="3"/>
    </row>
    <row r="328">
      <c r="A328" s="3"/>
      <c r="B328" s="19"/>
      <c r="C328" s="19"/>
      <c r="D328" s="19"/>
      <c r="E328" s="3"/>
    </row>
    <row r="329">
      <c r="A329" s="3"/>
      <c r="B329" s="19"/>
      <c r="C329" s="19"/>
      <c r="D329" s="19"/>
      <c r="E329" s="3"/>
    </row>
    <row r="330">
      <c r="A330" s="3"/>
      <c r="B330" s="19"/>
      <c r="C330" s="19"/>
      <c r="D330" s="19"/>
      <c r="E330" s="3"/>
    </row>
    <row r="331">
      <c r="A331" s="3"/>
      <c r="B331" s="19"/>
      <c r="C331" s="19"/>
      <c r="D331" s="19"/>
      <c r="E331" s="3"/>
    </row>
    <row r="332">
      <c r="A332" s="3"/>
      <c r="B332" s="19"/>
      <c r="C332" s="19"/>
      <c r="D332" s="19"/>
      <c r="E332" s="3"/>
    </row>
    <row r="333">
      <c r="A333" s="3"/>
      <c r="B333" s="19"/>
      <c r="C333" s="19"/>
      <c r="D333" s="19"/>
      <c r="E333" s="3"/>
    </row>
    <row r="334">
      <c r="A334" s="3"/>
      <c r="B334" s="19"/>
      <c r="C334" s="19"/>
      <c r="D334" s="19"/>
      <c r="E334" s="3"/>
    </row>
    <row r="335">
      <c r="A335" s="3"/>
      <c r="B335" s="19"/>
      <c r="C335" s="19"/>
      <c r="D335" s="19"/>
      <c r="E335" s="3"/>
    </row>
    <row r="336">
      <c r="A336" s="3"/>
      <c r="B336" s="19"/>
      <c r="C336" s="19"/>
      <c r="D336" s="19"/>
      <c r="E336" s="3"/>
    </row>
    <row r="337">
      <c r="A337" s="3"/>
      <c r="B337" s="19"/>
      <c r="C337" s="19"/>
      <c r="D337" s="19"/>
      <c r="E337" s="3"/>
    </row>
    <row r="338">
      <c r="A338" s="3"/>
      <c r="B338" s="19"/>
      <c r="C338" s="19"/>
      <c r="D338" s="19"/>
      <c r="E338" s="3"/>
    </row>
    <row r="339">
      <c r="A339" s="3"/>
      <c r="B339" s="19"/>
      <c r="C339" s="19"/>
      <c r="D339" s="19"/>
      <c r="E339" s="3"/>
    </row>
    <row r="340">
      <c r="A340" s="3"/>
      <c r="B340" s="19"/>
      <c r="C340" s="19"/>
      <c r="D340" s="19"/>
      <c r="E340" s="3"/>
    </row>
    <row r="341">
      <c r="A341" s="3"/>
      <c r="B341" s="19"/>
      <c r="C341" s="19"/>
      <c r="D341" s="19"/>
      <c r="E341" s="3"/>
    </row>
    <row r="342">
      <c r="A342" s="3"/>
      <c r="B342" s="19"/>
      <c r="C342" s="19"/>
      <c r="D342" s="19"/>
      <c r="E342" s="3"/>
    </row>
    <row r="343">
      <c r="A343" s="3"/>
      <c r="B343" s="19"/>
      <c r="C343" s="19"/>
      <c r="D343" s="19"/>
      <c r="E343" s="3"/>
    </row>
    <row r="344">
      <c r="A344" s="3"/>
      <c r="B344" s="19"/>
      <c r="C344" s="19"/>
      <c r="D344" s="19"/>
      <c r="E344" s="3"/>
    </row>
    <row r="345">
      <c r="A345" s="3"/>
      <c r="B345" s="19"/>
      <c r="C345" s="19"/>
      <c r="D345" s="19"/>
      <c r="E345" s="3"/>
    </row>
    <row r="346">
      <c r="A346" s="3"/>
      <c r="B346" s="19"/>
      <c r="C346" s="19"/>
      <c r="D346" s="19"/>
      <c r="E346" s="3"/>
    </row>
    <row r="347">
      <c r="A347" s="3"/>
      <c r="B347" s="19"/>
      <c r="C347" s="19"/>
      <c r="D347" s="19"/>
      <c r="E347" s="3"/>
    </row>
    <row r="348">
      <c r="A348" s="3"/>
      <c r="B348" s="19"/>
      <c r="C348" s="19"/>
      <c r="D348" s="19"/>
      <c r="E348" s="3"/>
    </row>
    <row r="349">
      <c r="A349" s="3"/>
      <c r="B349" s="19"/>
      <c r="C349" s="19"/>
      <c r="D349" s="19"/>
      <c r="E349" s="3"/>
    </row>
    <row r="350">
      <c r="A350" s="3"/>
      <c r="B350" s="19"/>
      <c r="C350" s="19"/>
      <c r="D350" s="19"/>
      <c r="E350" s="3"/>
    </row>
    <row r="351">
      <c r="A351" s="3"/>
      <c r="B351" s="19"/>
      <c r="C351" s="19"/>
      <c r="D351" s="19"/>
      <c r="E351" s="3"/>
    </row>
    <row r="352">
      <c r="A352" s="3"/>
      <c r="B352" s="19"/>
      <c r="C352" s="19"/>
      <c r="D352" s="19"/>
      <c r="E352" s="3"/>
    </row>
    <row r="353">
      <c r="A353" s="3"/>
      <c r="B353" s="19"/>
      <c r="C353" s="19"/>
      <c r="D353" s="19"/>
      <c r="E353" s="3"/>
    </row>
    <row r="354">
      <c r="A354" s="3"/>
      <c r="B354" s="19"/>
      <c r="C354" s="19"/>
      <c r="D354" s="19"/>
      <c r="E354" s="3"/>
    </row>
    <row r="355">
      <c r="A355" s="3"/>
      <c r="B355" s="19"/>
      <c r="C355" s="19"/>
      <c r="D355" s="19"/>
      <c r="E355" s="3"/>
    </row>
    <row r="356">
      <c r="A356" s="3"/>
      <c r="B356" s="19"/>
      <c r="C356" s="19"/>
      <c r="D356" s="19"/>
      <c r="E356" s="3"/>
    </row>
    <row r="357">
      <c r="A357" s="3"/>
      <c r="B357" s="19"/>
      <c r="C357" s="19"/>
      <c r="D357" s="19"/>
      <c r="E357" s="3"/>
    </row>
    <row r="358">
      <c r="A358" s="3"/>
      <c r="B358" s="19"/>
      <c r="C358" s="19"/>
      <c r="D358" s="19"/>
      <c r="E358" s="3"/>
    </row>
    <row r="359">
      <c r="A359" s="3"/>
      <c r="B359" s="19"/>
      <c r="C359" s="19"/>
      <c r="D359" s="19"/>
      <c r="E359" s="3"/>
    </row>
    <row r="360">
      <c r="A360" s="3"/>
      <c r="B360" s="19"/>
      <c r="C360" s="19"/>
      <c r="D360" s="19"/>
      <c r="E360" s="3"/>
    </row>
    <row r="361">
      <c r="A361" s="3"/>
      <c r="B361" s="19"/>
      <c r="C361" s="19"/>
      <c r="D361" s="19"/>
      <c r="E361" s="3"/>
    </row>
    <row r="362">
      <c r="A362" s="3"/>
      <c r="B362" s="19"/>
      <c r="C362" s="19"/>
      <c r="D362" s="19"/>
      <c r="E362" s="3"/>
    </row>
    <row r="363">
      <c r="A363" s="3"/>
      <c r="B363" s="19"/>
      <c r="C363" s="19"/>
      <c r="D363" s="19"/>
      <c r="E363" s="3"/>
    </row>
    <row r="364">
      <c r="A364" s="3"/>
      <c r="B364" s="19"/>
      <c r="C364" s="19"/>
      <c r="D364" s="19"/>
      <c r="E364" s="3"/>
    </row>
    <row r="365">
      <c r="A365" s="3"/>
      <c r="B365" s="19"/>
      <c r="C365" s="19"/>
      <c r="D365" s="19"/>
      <c r="E365" s="3"/>
    </row>
    <row r="366">
      <c r="A366" s="3"/>
      <c r="B366" s="19"/>
      <c r="C366" s="19"/>
      <c r="D366" s="19"/>
      <c r="E366" s="3"/>
    </row>
    <row r="367">
      <c r="A367" s="3"/>
      <c r="B367" s="19"/>
      <c r="C367" s="19"/>
      <c r="D367" s="19"/>
      <c r="E367" s="3"/>
    </row>
    <row r="368">
      <c r="A368" s="3"/>
      <c r="B368" s="19"/>
      <c r="C368" s="19"/>
      <c r="D368" s="19"/>
      <c r="E368" s="3"/>
    </row>
    <row r="369">
      <c r="A369" s="3"/>
      <c r="B369" s="19"/>
      <c r="C369" s="19"/>
      <c r="D369" s="19"/>
      <c r="E369" s="3"/>
    </row>
    <row r="370">
      <c r="A370" s="3"/>
      <c r="B370" s="19"/>
      <c r="C370" s="19"/>
      <c r="D370" s="19"/>
      <c r="E370" s="3"/>
    </row>
    <row r="371">
      <c r="A371" s="3"/>
      <c r="B371" s="19"/>
      <c r="C371" s="19"/>
      <c r="D371" s="19"/>
      <c r="E371" s="3"/>
    </row>
    <row r="372">
      <c r="A372" s="3"/>
      <c r="B372" s="19"/>
      <c r="C372" s="19"/>
      <c r="D372" s="19"/>
      <c r="E372" s="3"/>
    </row>
    <row r="373">
      <c r="A373" s="3"/>
      <c r="B373" s="19"/>
      <c r="C373" s="19"/>
      <c r="D373" s="19"/>
      <c r="E373" s="3"/>
    </row>
    <row r="374">
      <c r="A374" s="3"/>
      <c r="B374" s="19"/>
      <c r="C374" s="19"/>
      <c r="D374" s="19"/>
      <c r="E374" s="3"/>
    </row>
    <row r="375">
      <c r="A375" s="3"/>
      <c r="B375" s="19"/>
      <c r="C375" s="19"/>
      <c r="D375" s="19"/>
      <c r="E375" s="3"/>
    </row>
    <row r="376">
      <c r="A376" s="3"/>
      <c r="B376" s="19"/>
      <c r="C376" s="19"/>
      <c r="D376" s="19"/>
      <c r="E376" s="3"/>
    </row>
    <row r="377">
      <c r="A377" s="3"/>
      <c r="B377" s="19"/>
      <c r="C377" s="19"/>
      <c r="D377" s="19"/>
      <c r="E377" s="3"/>
    </row>
    <row r="378">
      <c r="A378" s="3"/>
      <c r="B378" s="19"/>
      <c r="C378" s="19"/>
      <c r="D378" s="19"/>
      <c r="E378" s="3"/>
    </row>
    <row r="379">
      <c r="A379" s="3"/>
      <c r="B379" s="19"/>
      <c r="C379" s="19"/>
      <c r="D379" s="19"/>
      <c r="E379" s="3"/>
    </row>
    <row r="380">
      <c r="A380" s="3"/>
      <c r="B380" s="19"/>
      <c r="C380" s="19"/>
      <c r="D380" s="19"/>
      <c r="E380" s="3"/>
    </row>
    <row r="381">
      <c r="A381" s="3"/>
      <c r="B381" s="19"/>
      <c r="C381" s="19"/>
      <c r="D381" s="19"/>
      <c r="E381" s="3"/>
    </row>
    <row r="382">
      <c r="A382" s="3"/>
      <c r="B382" s="19"/>
      <c r="C382" s="19"/>
      <c r="D382" s="19"/>
      <c r="E382" s="3"/>
    </row>
    <row r="383">
      <c r="A383" s="3"/>
      <c r="B383" s="19"/>
      <c r="C383" s="19"/>
      <c r="D383" s="19"/>
      <c r="E383" s="3"/>
    </row>
    <row r="384">
      <c r="A384" s="3"/>
      <c r="B384" s="19"/>
      <c r="C384" s="19"/>
      <c r="D384" s="19"/>
      <c r="E384" s="3"/>
    </row>
    <row r="385">
      <c r="A385" s="3"/>
      <c r="B385" s="19"/>
      <c r="C385" s="19"/>
      <c r="D385" s="19"/>
      <c r="E385" s="3"/>
    </row>
    <row r="386">
      <c r="A386" s="3"/>
      <c r="B386" s="19"/>
      <c r="C386" s="19"/>
      <c r="D386" s="19"/>
      <c r="E386" s="3"/>
    </row>
    <row r="387">
      <c r="A387" s="3"/>
      <c r="B387" s="19"/>
      <c r="C387" s="19"/>
      <c r="D387" s="19"/>
      <c r="E387" s="3"/>
    </row>
    <row r="388">
      <c r="A388" s="3"/>
      <c r="B388" s="19"/>
      <c r="C388" s="19"/>
      <c r="D388" s="19"/>
      <c r="E388" s="3"/>
    </row>
    <row r="389">
      <c r="A389" s="3"/>
      <c r="B389" s="19"/>
      <c r="C389" s="19"/>
      <c r="D389" s="19"/>
      <c r="E389" s="3"/>
    </row>
    <row r="390">
      <c r="A390" s="3"/>
      <c r="B390" s="19"/>
      <c r="C390" s="19"/>
      <c r="D390" s="19"/>
      <c r="E390" s="3"/>
    </row>
    <row r="391">
      <c r="A391" s="3"/>
      <c r="B391" s="19"/>
      <c r="C391" s="19"/>
      <c r="D391" s="19"/>
      <c r="E391" s="3"/>
    </row>
    <row r="392">
      <c r="A392" s="3"/>
      <c r="B392" s="19"/>
      <c r="C392" s="19"/>
      <c r="D392" s="19"/>
      <c r="E392" s="3"/>
    </row>
    <row r="393">
      <c r="A393" s="3"/>
      <c r="B393" s="19"/>
      <c r="C393" s="19"/>
      <c r="D393" s="19"/>
      <c r="E393" s="3"/>
    </row>
    <row r="394">
      <c r="A394" s="3"/>
      <c r="B394" s="19"/>
      <c r="C394" s="19"/>
      <c r="D394" s="19"/>
      <c r="E394" s="3"/>
    </row>
    <row r="395">
      <c r="A395" s="3"/>
      <c r="B395" s="19"/>
      <c r="C395" s="19"/>
      <c r="D395" s="19"/>
      <c r="E395" s="3"/>
    </row>
    <row r="396">
      <c r="A396" s="3"/>
      <c r="B396" s="19"/>
      <c r="C396" s="19"/>
      <c r="D396" s="19"/>
      <c r="E396" s="3"/>
    </row>
    <row r="397">
      <c r="A397" s="3"/>
      <c r="B397" s="19"/>
      <c r="C397" s="19"/>
      <c r="D397" s="19"/>
      <c r="E397" s="3"/>
    </row>
    <row r="398">
      <c r="A398" s="3"/>
      <c r="B398" s="19"/>
      <c r="C398" s="19"/>
      <c r="D398" s="19"/>
      <c r="E398" s="3"/>
    </row>
    <row r="399">
      <c r="A399" s="3"/>
      <c r="B399" s="19"/>
      <c r="C399" s="19"/>
      <c r="D399" s="19"/>
      <c r="E399" s="3"/>
    </row>
    <row r="400">
      <c r="A400" s="3"/>
      <c r="B400" s="19"/>
      <c r="C400" s="19"/>
      <c r="D400" s="19"/>
      <c r="E400" s="3"/>
    </row>
    <row r="401">
      <c r="A401" s="3"/>
      <c r="B401" s="19"/>
      <c r="C401" s="19"/>
      <c r="D401" s="19"/>
      <c r="E401" s="3"/>
    </row>
    <row r="402">
      <c r="A402" s="3"/>
      <c r="B402" s="19"/>
      <c r="C402" s="19"/>
      <c r="D402" s="19"/>
      <c r="E402" s="3"/>
    </row>
    <row r="403">
      <c r="A403" s="3"/>
      <c r="B403" s="19"/>
      <c r="C403" s="19"/>
      <c r="D403" s="19"/>
      <c r="E403" s="3"/>
    </row>
    <row r="404">
      <c r="A404" s="3"/>
      <c r="B404" s="19"/>
      <c r="C404" s="19"/>
      <c r="D404" s="19"/>
      <c r="E404" s="3"/>
    </row>
    <row r="405">
      <c r="A405" s="3"/>
      <c r="B405" s="19"/>
      <c r="C405" s="19"/>
      <c r="D405" s="19"/>
      <c r="E405" s="3"/>
    </row>
    <row r="406">
      <c r="A406" s="3"/>
      <c r="B406" s="19"/>
      <c r="C406" s="19"/>
      <c r="D406" s="19"/>
      <c r="E406" s="3"/>
    </row>
    <row r="407">
      <c r="A407" s="3"/>
      <c r="B407" s="19"/>
      <c r="C407" s="19"/>
      <c r="D407" s="19"/>
      <c r="E407" s="3"/>
    </row>
    <row r="408">
      <c r="A408" s="3"/>
      <c r="B408" s="19"/>
      <c r="C408" s="19"/>
      <c r="D408" s="19"/>
      <c r="E408" s="3"/>
    </row>
    <row r="409">
      <c r="A409" s="3"/>
      <c r="B409" s="19"/>
      <c r="C409" s="19"/>
      <c r="D409" s="19"/>
      <c r="E409" s="3"/>
    </row>
    <row r="410">
      <c r="A410" s="3"/>
      <c r="B410" s="19"/>
      <c r="C410" s="19"/>
      <c r="D410" s="19"/>
      <c r="E410" s="3"/>
    </row>
    <row r="411">
      <c r="A411" s="3"/>
      <c r="B411" s="19"/>
      <c r="C411" s="19"/>
      <c r="D411" s="19"/>
      <c r="E411" s="3"/>
    </row>
    <row r="412">
      <c r="A412" s="3"/>
      <c r="B412" s="19"/>
      <c r="C412" s="19"/>
      <c r="D412" s="19"/>
      <c r="E412" s="3"/>
    </row>
    <row r="413">
      <c r="A413" s="3"/>
      <c r="B413" s="19"/>
      <c r="C413" s="19"/>
      <c r="D413" s="19"/>
      <c r="E413" s="3"/>
    </row>
    <row r="414">
      <c r="A414" s="3"/>
      <c r="B414" s="19"/>
      <c r="C414" s="19"/>
      <c r="D414" s="19"/>
      <c r="E414" s="3"/>
    </row>
    <row r="415">
      <c r="A415" s="3"/>
      <c r="B415" s="19"/>
      <c r="C415" s="19"/>
      <c r="D415" s="19"/>
      <c r="E415" s="3"/>
    </row>
    <row r="416">
      <c r="A416" s="3"/>
      <c r="B416" s="19"/>
      <c r="C416" s="19"/>
      <c r="D416" s="19"/>
      <c r="E416" s="3"/>
    </row>
    <row r="417">
      <c r="A417" s="3"/>
      <c r="B417" s="19"/>
      <c r="C417" s="19"/>
      <c r="D417" s="19"/>
      <c r="E417" s="3"/>
    </row>
    <row r="418">
      <c r="A418" s="3"/>
      <c r="B418" s="19"/>
      <c r="C418" s="19"/>
      <c r="D418" s="19"/>
      <c r="E418" s="3"/>
    </row>
    <row r="419">
      <c r="A419" s="3"/>
      <c r="B419" s="19"/>
      <c r="C419" s="19"/>
      <c r="D419" s="19"/>
      <c r="E419" s="3"/>
    </row>
    <row r="420">
      <c r="A420" s="3"/>
      <c r="B420" s="19"/>
      <c r="C420" s="19"/>
      <c r="D420" s="19"/>
      <c r="E420" s="3"/>
    </row>
    <row r="421">
      <c r="A421" s="3"/>
      <c r="B421" s="19"/>
      <c r="C421" s="19"/>
      <c r="D421" s="19"/>
      <c r="E421" s="3"/>
    </row>
    <row r="422">
      <c r="A422" s="3"/>
      <c r="B422" s="19"/>
      <c r="C422" s="19"/>
      <c r="D422" s="19"/>
      <c r="E422" s="3"/>
    </row>
    <row r="423">
      <c r="A423" s="3"/>
      <c r="B423" s="19"/>
      <c r="C423" s="19"/>
      <c r="D423" s="19"/>
      <c r="E423" s="3"/>
    </row>
    <row r="424">
      <c r="A424" s="3"/>
      <c r="B424" s="19"/>
      <c r="C424" s="19"/>
      <c r="D424" s="19"/>
      <c r="E424" s="3"/>
    </row>
    <row r="425">
      <c r="A425" s="3"/>
      <c r="B425" s="19"/>
      <c r="C425" s="19"/>
      <c r="D425" s="19"/>
      <c r="E425" s="3"/>
    </row>
    <row r="426">
      <c r="A426" s="3"/>
      <c r="B426" s="19"/>
      <c r="C426" s="19"/>
      <c r="D426" s="19"/>
      <c r="E426" s="3"/>
    </row>
    <row r="427">
      <c r="A427" s="3"/>
      <c r="B427" s="19"/>
      <c r="C427" s="19"/>
      <c r="D427" s="19"/>
      <c r="E427" s="3"/>
    </row>
    <row r="428">
      <c r="A428" s="3"/>
      <c r="B428" s="19"/>
      <c r="C428" s="19"/>
      <c r="D428" s="19"/>
      <c r="E428" s="3"/>
    </row>
    <row r="429">
      <c r="A429" s="3"/>
      <c r="B429" s="19"/>
      <c r="C429" s="19"/>
      <c r="D429" s="19"/>
      <c r="E429" s="3"/>
    </row>
    <row r="430">
      <c r="A430" s="3"/>
      <c r="B430" s="19"/>
      <c r="C430" s="19"/>
      <c r="D430" s="19"/>
      <c r="E430" s="3"/>
    </row>
    <row r="431">
      <c r="A431" s="3"/>
      <c r="B431" s="19"/>
      <c r="C431" s="19"/>
      <c r="D431" s="19"/>
      <c r="E431" s="3"/>
    </row>
    <row r="432">
      <c r="A432" s="3"/>
      <c r="B432" s="19"/>
      <c r="C432" s="19"/>
      <c r="D432" s="19"/>
      <c r="E432" s="3"/>
    </row>
    <row r="433">
      <c r="A433" s="3"/>
      <c r="B433" s="19"/>
      <c r="C433" s="19"/>
      <c r="D433" s="19"/>
      <c r="E433" s="3"/>
    </row>
    <row r="434">
      <c r="A434" s="3"/>
      <c r="B434" s="19"/>
      <c r="C434" s="19"/>
      <c r="D434" s="19"/>
      <c r="E434" s="3"/>
    </row>
    <row r="435">
      <c r="A435" s="3"/>
      <c r="B435" s="19"/>
      <c r="C435" s="19"/>
      <c r="D435" s="19"/>
      <c r="E435" s="3"/>
    </row>
    <row r="436">
      <c r="A436" s="3"/>
      <c r="B436" s="19"/>
      <c r="C436" s="19"/>
      <c r="D436" s="19"/>
      <c r="E436" s="3"/>
    </row>
    <row r="437">
      <c r="A437" s="3"/>
      <c r="B437" s="19"/>
      <c r="C437" s="19"/>
      <c r="D437" s="19"/>
      <c r="E437" s="3"/>
    </row>
    <row r="438">
      <c r="A438" s="3"/>
      <c r="B438" s="19"/>
      <c r="C438" s="19"/>
      <c r="D438" s="19"/>
      <c r="E438" s="3"/>
    </row>
    <row r="439">
      <c r="A439" s="3"/>
      <c r="B439" s="19"/>
      <c r="C439" s="19"/>
      <c r="D439" s="19"/>
      <c r="E439" s="3"/>
    </row>
    <row r="440">
      <c r="A440" s="3"/>
      <c r="B440" s="19"/>
      <c r="C440" s="19"/>
      <c r="D440" s="19"/>
      <c r="E440" s="3"/>
    </row>
    <row r="441">
      <c r="A441" s="3"/>
      <c r="B441" s="19"/>
      <c r="C441" s="19"/>
      <c r="D441" s="19"/>
      <c r="E441" s="3"/>
    </row>
    <row r="442">
      <c r="A442" s="3"/>
      <c r="B442" s="19"/>
      <c r="C442" s="19"/>
      <c r="D442" s="19"/>
      <c r="E442" s="3"/>
    </row>
    <row r="443">
      <c r="A443" s="3"/>
      <c r="B443" s="19"/>
      <c r="C443" s="19"/>
      <c r="D443" s="19"/>
      <c r="E443" s="3"/>
    </row>
    <row r="444">
      <c r="A444" s="3"/>
      <c r="B444" s="19"/>
      <c r="C444" s="19"/>
      <c r="D444" s="19"/>
      <c r="E444" s="3"/>
    </row>
    <row r="445">
      <c r="A445" s="3"/>
      <c r="B445" s="19"/>
      <c r="C445" s="19"/>
      <c r="D445" s="19"/>
      <c r="E445" s="3"/>
    </row>
    <row r="446">
      <c r="A446" s="3"/>
      <c r="B446" s="19"/>
      <c r="C446" s="19"/>
      <c r="D446" s="19"/>
      <c r="E446" s="3"/>
    </row>
    <row r="447">
      <c r="A447" s="3"/>
      <c r="B447" s="19"/>
      <c r="C447" s="19"/>
      <c r="D447" s="19"/>
      <c r="E447" s="3"/>
    </row>
    <row r="448">
      <c r="A448" s="3"/>
      <c r="B448" s="19"/>
      <c r="C448" s="19"/>
      <c r="D448" s="19"/>
      <c r="E448" s="3"/>
    </row>
    <row r="449">
      <c r="A449" s="3"/>
      <c r="B449" s="19"/>
      <c r="C449" s="19"/>
      <c r="D449" s="19"/>
      <c r="E449" s="3"/>
    </row>
    <row r="450">
      <c r="A450" s="3"/>
      <c r="B450" s="19"/>
      <c r="C450" s="19"/>
      <c r="D450" s="19"/>
      <c r="E450" s="3"/>
    </row>
    <row r="451">
      <c r="A451" s="3"/>
      <c r="B451" s="19"/>
      <c r="C451" s="19"/>
      <c r="D451" s="19"/>
      <c r="E451" s="3"/>
    </row>
    <row r="452">
      <c r="A452" s="3"/>
      <c r="B452" s="19"/>
      <c r="C452" s="19"/>
      <c r="D452" s="19"/>
      <c r="E452" s="3"/>
    </row>
    <row r="453">
      <c r="A453" s="3"/>
      <c r="B453" s="19"/>
      <c r="C453" s="19"/>
      <c r="D453" s="19"/>
      <c r="E453" s="3"/>
    </row>
    <row r="454">
      <c r="A454" s="3"/>
      <c r="B454" s="19"/>
      <c r="C454" s="19"/>
      <c r="D454" s="19"/>
      <c r="E454" s="3"/>
    </row>
    <row r="455">
      <c r="A455" s="3"/>
      <c r="B455" s="19"/>
      <c r="C455" s="19"/>
      <c r="D455" s="19"/>
      <c r="E455" s="3"/>
    </row>
    <row r="456">
      <c r="A456" s="3"/>
      <c r="B456" s="19"/>
      <c r="C456" s="19"/>
      <c r="D456" s="19"/>
      <c r="E456" s="3"/>
    </row>
    <row r="457">
      <c r="A457" s="3"/>
      <c r="B457" s="19"/>
      <c r="C457" s="19"/>
      <c r="D457" s="19"/>
      <c r="E457" s="3"/>
    </row>
    <row r="458">
      <c r="A458" s="3"/>
      <c r="B458" s="19"/>
      <c r="C458" s="19"/>
      <c r="D458" s="19"/>
      <c r="E458" s="3"/>
    </row>
    <row r="459">
      <c r="A459" s="3"/>
      <c r="B459" s="19"/>
      <c r="C459" s="19"/>
      <c r="D459" s="19"/>
      <c r="E459" s="3"/>
    </row>
    <row r="460">
      <c r="A460" s="3"/>
      <c r="B460" s="19"/>
      <c r="C460" s="19"/>
      <c r="D460" s="19"/>
      <c r="E460" s="3"/>
    </row>
    <row r="461">
      <c r="A461" s="3"/>
      <c r="B461" s="19"/>
      <c r="C461" s="19"/>
      <c r="D461" s="19"/>
      <c r="E461" s="3"/>
    </row>
    <row r="462">
      <c r="A462" s="3"/>
      <c r="B462" s="19"/>
      <c r="C462" s="19"/>
      <c r="D462" s="19"/>
      <c r="E462" s="3"/>
    </row>
    <row r="463">
      <c r="A463" s="3"/>
      <c r="B463" s="19"/>
      <c r="C463" s="19"/>
      <c r="D463" s="19"/>
      <c r="E463" s="3"/>
    </row>
    <row r="464">
      <c r="A464" s="3"/>
      <c r="B464" s="19"/>
      <c r="C464" s="19"/>
      <c r="D464" s="19"/>
      <c r="E464" s="3"/>
    </row>
    <row r="465">
      <c r="A465" s="3"/>
      <c r="B465" s="19"/>
      <c r="C465" s="19"/>
      <c r="D465" s="19"/>
      <c r="E465" s="3"/>
    </row>
    <row r="466">
      <c r="A466" s="3"/>
      <c r="B466" s="19"/>
      <c r="C466" s="19"/>
      <c r="D466" s="19"/>
      <c r="E466" s="3"/>
    </row>
    <row r="467">
      <c r="A467" s="3"/>
      <c r="B467" s="19"/>
      <c r="C467" s="19"/>
      <c r="D467" s="19"/>
      <c r="E467" s="3"/>
    </row>
    <row r="468">
      <c r="A468" s="3"/>
      <c r="B468" s="19"/>
      <c r="C468" s="19"/>
      <c r="D468" s="19"/>
      <c r="E468" s="3"/>
    </row>
    <row r="469">
      <c r="A469" s="3"/>
      <c r="B469" s="19"/>
      <c r="C469" s="19"/>
      <c r="D469" s="19"/>
      <c r="E469" s="3"/>
    </row>
    <row r="470">
      <c r="A470" s="3"/>
      <c r="B470" s="19"/>
      <c r="C470" s="19"/>
      <c r="D470" s="19"/>
      <c r="E470" s="3"/>
    </row>
    <row r="471">
      <c r="A471" s="3"/>
      <c r="B471" s="19"/>
      <c r="C471" s="19"/>
      <c r="D471" s="19"/>
      <c r="E471" s="3"/>
    </row>
    <row r="472">
      <c r="A472" s="3"/>
      <c r="B472" s="19"/>
      <c r="C472" s="19"/>
      <c r="D472" s="19"/>
      <c r="E472" s="3"/>
    </row>
    <row r="473">
      <c r="A473" s="3"/>
      <c r="B473" s="19"/>
      <c r="C473" s="19"/>
      <c r="D473" s="19"/>
      <c r="E473" s="3"/>
    </row>
    <row r="474">
      <c r="A474" s="3"/>
      <c r="B474" s="19"/>
      <c r="C474" s="19"/>
      <c r="D474" s="19"/>
      <c r="E474" s="3"/>
    </row>
    <row r="475">
      <c r="A475" s="3"/>
      <c r="B475" s="19"/>
      <c r="C475" s="19"/>
      <c r="D475" s="19"/>
      <c r="E475" s="3"/>
    </row>
    <row r="476">
      <c r="A476" s="3"/>
      <c r="B476" s="19"/>
      <c r="C476" s="19"/>
      <c r="D476" s="19"/>
      <c r="E476" s="3"/>
    </row>
    <row r="477">
      <c r="A477" s="3"/>
      <c r="B477" s="19"/>
      <c r="C477" s="19"/>
      <c r="D477" s="19"/>
      <c r="E477" s="3"/>
    </row>
    <row r="478">
      <c r="A478" s="3"/>
      <c r="B478" s="19"/>
      <c r="C478" s="19"/>
      <c r="D478" s="19"/>
      <c r="E478" s="3"/>
    </row>
    <row r="479">
      <c r="A479" s="3"/>
      <c r="B479" s="19"/>
      <c r="C479" s="19"/>
      <c r="D479" s="19"/>
      <c r="E479" s="3"/>
    </row>
    <row r="480">
      <c r="A480" s="3"/>
      <c r="B480" s="19"/>
      <c r="C480" s="19"/>
      <c r="D480" s="19"/>
      <c r="E480" s="3"/>
    </row>
    <row r="481">
      <c r="A481" s="3"/>
      <c r="B481" s="19"/>
      <c r="C481" s="19"/>
      <c r="D481" s="19"/>
      <c r="E481" s="3"/>
    </row>
    <row r="482">
      <c r="A482" s="3"/>
      <c r="B482" s="19"/>
      <c r="C482" s="19"/>
      <c r="D482" s="19"/>
      <c r="E482" s="3"/>
    </row>
    <row r="483">
      <c r="A483" s="3"/>
      <c r="B483" s="19"/>
      <c r="C483" s="19"/>
      <c r="D483" s="19"/>
      <c r="E483" s="3"/>
    </row>
    <row r="484">
      <c r="A484" s="3"/>
      <c r="B484" s="19"/>
      <c r="C484" s="19"/>
      <c r="D484" s="19"/>
      <c r="E484" s="3"/>
    </row>
    <row r="485">
      <c r="A485" s="3"/>
      <c r="B485" s="19"/>
      <c r="C485" s="19"/>
      <c r="D485" s="19"/>
      <c r="E485" s="3"/>
    </row>
    <row r="486">
      <c r="A486" s="3"/>
      <c r="B486" s="19"/>
      <c r="C486" s="19"/>
      <c r="D486" s="19"/>
      <c r="E486" s="3"/>
    </row>
    <row r="487">
      <c r="A487" s="3"/>
      <c r="B487" s="19"/>
      <c r="C487" s="19"/>
      <c r="D487" s="19"/>
      <c r="E487" s="3"/>
    </row>
    <row r="488">
      <c r="A488" s="3"/>
      <c r="B488" s="19"/>
      <c r="C488" s="19"/>
      <c r="D488" s="19"/>
      <c r="E488" s="3"/>
    </row>
    <row r="489">
      <c r="A489" s="3"/>
      <c r="B489" s="19"/>
      <c r="C489" s="19"/>
      <c r="D489" s="19"/>
      <c r="E489" s="3"/>
    </row>
    <row r="490">
      <c r="A490" s="3"/>
      <c r="B490" s="19"/>
      <c r="C490" s="19"/>
      <c r="D490" s="19"/>
      <c r="E490" s="3"/>
    </row>
    <row r="491">
      <c r="A491" s="3"/>
      <c r="B491" s="19"/>
      <c r="C491" s="19"/>
      <c r="D491" s="19"/>
      <c r="E491" s="3"/>
    </row>
    <row r="492">
      <c r="A492" s="3"/>
      <c r="B492" s="19"/>
      <c r="C492" s="19"/>
      <c r="D492" s="19"/>
      <c r="E492" s="3"/>
    </row>
    <row r="493">
      <c r="A493" s="3"/>
      <c r="B493" s="19"/>
      <c r="C493" s="19"/>
      <c r="D493" s="19"/>
      <c r="E493" s="3"/>
    </row>
    <row r="494">
      <c r="A494" s="3"/>
      <c r="B494" s="19"/>
      <c r="C494" s="19"/>
      <c r="D494" s="19"/>
      <c r="E494" s="3"/>
    </row>
    <row r="495">
      <c r="A495" s="3"/>
      <c r="B495" s="19"/>
      <c r="C495" s="19"/>
      <c r="D495" s="19"/>
      <c r="E495" s="3"/>
    </row>
    <row r="496">
      <c r="A496" s="3"/>
      <c r="B496" s="19"/>
      <c r="C496" s="19"/>
      <c r="D496" s="19"/>
      <c r="E496" s="3"/>
    </row>
    <row r="497">
      <c r="A497" s="3"/>
      <c r="B497" s="19"/>
      <c r="C497" s="19"/>
      <c r="D497" s="19"/>
      <c r="E497" s="3"/>
    </row>
    <row r="498">
      <c r="A498" s="3"/>
      <c r="B498" s="19"/>
      <c r="C498" s="19"/>
      <c r="D498" s="19"/>
      <c r="E498" s="3"/>
    </row>
    <row r="499">
      <c r="A499" s="3"/>
      <c r="B499" s="19"/>
      <c r="C499" s="19"/>
      <c r="D499" s="19"/>
      <c r="E499" s="3"/>
    </row>
    <row r="500">
      <c r="A500" s="3"/>
      <c r="B500" s="19"/>
      <c r="C500" s="19"/>
      <c r="D500" s="19"/>
      <c r="E500" s="3"/>
    </row>
    <row r="501">
      <c r="A501" s="3"/>
      <c r="B501" s="19"/>
      <c r="C501" s="19"/>
      <c r="D501" s="19"/>
      <c r="E501" s="3"/>
    </row>
    <row r="502">
      <c r="A502" s="3"/>
      <c r="B502" s="19"/>
      <c r="C502" s="19"/>
      <c r="D502" s="19"/>
      <c r="E502" s="3"/>
    </row>
    <row r="503">
      <c r="A503" s="3"/>
      <c r="B503" s="19"/>
      <c r="C503" s="19"/>
      <c r="D503" s="19"/>
      <c r="E503" s="3"/>
    </row>
    <row r="504">
      <c r="A504" s="3"/>
      <c r="B504" s="19"/>
      <c r="C504" s="19"/>
      <c r="D504" s="19"/>
      <c r="E504" s="3"/>
    </row>
    <row r="505">
      <c r="A505" s="3"/>
      <c r="B505" s="19"/>
      <c r="C505" s="19"/>
      <c r="D505" s="19"/>
      <c r="E505" s="3"/>
    </row>
    <row r="506">
      <c r="A506" s="3"/>
      <c r="B506" s="19"/>
      <c r="C506" s="19"/>
      <c r="D506" s="19"/>
      <c r="E506" s="3"/>
    </row>
    <row r="507">
      <c r="A507" s="3"/>
      <c r="B507" s="19"/>
      <c r="C507" s="19"/>
      <c r="D507" s="19"/>
      <c r="E507" s="3"/>
    </row>
    <row r="508">
      <c r="A508" s="3"/>
      <c r="B508" s="19"/>
      <c r="C508" s="19"/>
      <c r="D508" s="19"/>
      <c r="E508" s="3"/>
    </row>
    <row r="509">
      <c r="A509" s="3"/>
      <c r="B509" s="19"/>
      <c r="C509" s="19"/>
      <c r="D509" s="19"/>
      <c r="E509" s="3"/>
    </row>
    <row r="510">
      <c r="A510" s="3"/>
      <c r="B510" s="19"/>
      <c r="C510" s="19"/>
      <c r="D510" s="19"/>
      <c r="E510" s="3"/>
    </row>
    <row r="511">
      <c r="A511" s="3"/>
      <c r="B511" s="19"/>
      <c r="C511" s="19"/>
      <c r="D511" s="19"/>
      <c r="E511" s="3"/>
    </row>
    <row r="512">
      <c r="A512" s="3"/>
      <c r="B512" s="19"/>
      <c r="C512" s="19"/>
      <c r="D512" s="19"/>
      <c r="E512" s="3"/>
    </row>
    <row r="513">
      <c r="A513" s="3"/>
      <c r="B513" s="19"/>
      <c r="C513" s="19"/>
      <c r="D513" s="19"/>
      <c r="E513" s="3"/>
    </row>
    <row r="514">
      <c r="A514" s="3"/>
      <c r="B514" s="19"/>
      <c r="C514" s="19"/>
      <c r="D514" s="19"/>
      <c r="E514" s="3"/>
    </row>
    <row r="515">
      <c r="A515" s="3"/>
      <c r="B515" s="19"/>
      <c r="C515" s="19"/>
      <c r="D515" s="19"/>
      <c r="E515" s="3"/>
    </row>
    <row r="516">
      <c r="A516" s="3"/>
      <c r="B516" s="19"/>
      <c r="C516" s="19"/>
      <c r="D516" s="19"/>
      <c r="E516" s="3"/>
    </row>
    <row r="517">
      <c r="A517" s="3"/>
      <c r="B517" s="19"/>
      <c r="C517" s="19"/>
      <c r="D517" s="19"/>
      <c r="E517" s="3"/>
    </row>
    <row r="518">
      <c r="A518" s="3"/>
      <c r="B518" s="19"/>
      <c r="C518" s="19"/>
      <c r="D518" s="19"/>
      <c r="E518" s="3"/>
    </row>
    <row r="519">
      <c r="A519" s="3"/>
      <c r="B519" s="19"/>
      <c r="C519" s="19"/>
      <c r="D519" s="19"/>
      <c r="E519" s="3"/>
    </row>
    <row r="520">
      <c r="A520" s="3"/>
      <c r="B520" s="19"/>
      <c r="C520" s="19"/>
      <c r="D520" s="19"/>
      <c r="E520" s="3"/>
    </row>
    <row r="521">
      <c r="A521" s="3"/>
      <c r="B521" s="19"/>
      <c r="C521" s="19"/>
      <c r="D521" s="19"/>
      <c r="E521" s="3"/>
    </row>
    <row r="522">
      <c r="A522" s="3"/>
      <c r="B522" s="19"/>
      <c r="C522" s="19"/>
      <c r="D522" s="19"/>
      <c r="E522" s="3"/>
    </row>
    <row r="523">
      <c r="A523" s="3"/>
      <c r="B523" s="19"/>
      <c r="C523" s="19"/>
      <c r="D523" s="19"/>
      <c r="E523" s="3"/>
    </row>
    <row r="524">
      <c r="A524" s="3"/>
      <c r="B524" s="19"/>
      <c r="C524" s="19"/>
      <c r="D524" s="19"/>
      <c r="E524" s="3"/>
    </row>
    <row r="525">
      <c r="A525" s="3"/>
      <c r="B525" s="19"/>
      <c r="C525" s="19"/>
      <c r="D525" s="19"/>
      <c r="E525" s="3"/>
    </row>
    <row r="526">
      <c r="A526" s="3"/>
      <c r="B526" s="19"/>
      <c r="C526" s="19"/>
      <c r="D526" s="19"/>
      <c r="E526" s="3"/>
    </row>
    <row r="527">
      <c r="A527" s="3"/>
      <c r="B527" s="19"/>
      <c r="C527" s="19"/>
      <c r="D527" s="19"/>
      <c r="E527" s="3"/>
    </row>
    <row r="528">
      <c r="A528" s="3"/>
      <c r="B528" s="19"/>
      <c r="C528" s="19"/>
      <c r="D528" s="19"/>
      <c r="E528" s="3"/>
    </row>
    <row r="529">
      <c r="A529" s="3"/>
      <c r="B529" s="19"/>
      <c r="C529" s="19"/>
      <c r="D529" s="19"/>
      <c r="E529" s="3"/>
    </row>
    <row r="530">
      <c r="A530" s="3"/>
      <c r="B530" s="19"/>
      <c r="C530" s="19"/>
      <c r="D530" s="19"/>
      <c r="E530" s="3"/>
    </row>
    <row r="531">
      <c r="A531" s="3"/>
      <c r="B531" s="19"/>
      <c r="C531" s="19"/>
      <c r="D531" s="19"/>
      <c r="E531" s="3"/>
    </row>
    <row r="532">
      <c r="A532" s="3"/>
      <c r="B532" s="19"/>
      <c r="C532" s="19"/>
      <c r="D532" s="19"/>
      <c r="E532" s="3"/>
    </row>
    <row r="533">
      <c r="A533" s="3"/>
      <c r="B533" s="19"/>
      <c r="C533" s="19"/>
      <c r="D533" s="19"/>
      <c r="E533" s="3"/>
    </row>
    <row r="534">
      <c r="A534" s="3"/>
      <c r="B534" s="19"/>
      <c r="C534" s="19"/>
      <c r="D534" s="19"/>
      <c r="E534" s="3"/>
    </row>
    <row r="535">
      <c r="A535" s="3"/>
      <c r="B535" s="19"/>
      <c r="C535" s="19"/>
      <c r="D535" s="19"/>
      <c r="E535" s="3"/>
    </row>
    <row r="536">
      <c r="A536" s="3"/>
      <c r="B536" s="19"/>
      <c r="C536" s="19"/>
      <c r="D536" s="19"/>
      <c r="E536" s="3"/>
    </row>
    <row r="537">
      <c r="A537" s="3"/>
      <c r="B537" s="19"/>
      <c r="C537" s="19"/>
      <c r="D537" s="19"/>
      <c r="E537" s="3"/>
    </row>
    <row r="538">
      <c r="A538" s="3"/>
      <c r="B538" s="19"/>
      <c r="C538" s="19"/>
      <c r="D538" s="19"/>
      <c r="E538" s="3"/>
    </row>
    <row r="539">
      <c r="A539" s="3"/>
      <c r="B539" s="19"/>
      <c r="C539" s="19"/>
      <c r="D539" s="19"/>
      <c r="E539" s="3"/>
    </row>
    <row r="540">
      <c r="A540" s="3"/>
      <c r="B540" s="19"/>
      <c r="C540" s="19"/>
      <c r="D540" s="19"/>
      <c r="E540" s="3"/>
    </row>
    <row r="541">
      <c r="A541" s="3"/>
      <c r="B541" s="19"/>
      <c r="C541" s="19"/>
      <c r="D541" s="19"/>
      <c r="E541" s="3"/>
    </row>
    <row r="542">
      <c r="A542" s="3"/>
      <c r="B542" s="19"/>
      <c r="C542" s="19"/>
      <c r="D542" s="19"/>
      <c r="E542" s="3"/>
    </row>
    <row r="543">
      <c r="A543" s="3"/>
      <c r="B543" s="19"/>
      <c r="C543" s="19"/>
      <c r="D543" s="19"/>
      <c r="E543" s="3"/>
    </row>
    <row r="544">
      <c r="A544" s="3"/>
      <c r="B544" s="19"/>
      <c r="C544" s="19"/>
      <c r="D544" s="19"/>
      <c r="E544" s="3"/>
    </row>
    <row r="545">
      <c r="A545" s="3"/>
      <c r="B545" s="19"/>
      <c r="C545" s="19"/>
      <c r="D545" s="19"/>
      <c r="E545" s="3"/>
    </row>
    <row r="546">
      <c r="A546" s="3"/>
      <c r="B546" s="19"/>
      <c r="C546" s="19"/>
      <c r="D546" s="19"/>
      <c r="E546" s="3"/>
    </row>
    <row r="547">
      <c r="A547" s="3"/>
      <c r="B547" s="19"/>
      <c r="C547" s="19"/>
      <c r="D547" s="19"/>
      <c r="E547" s="3"/>
    </row>
    <row r="548">
      <c r="A548" s="3"/>
      <c r="B548" s="19"/>
      <c r="C548" s="19"/>
      <c r="D548" s="19"/>
      <c r="E548" s="3"/>
    </row>
    <row r="549">
      <c r="A549" s="3"/>
      <c r="B549" s="19"/>
      <c r="C549" s="19"/>
      <c r="D549" s="19"/>
      <c r="E549" s="3"/>
    </row>
    <row r="550">
      <c r="A550" s="3"/>
      <c r="B550" s="19"/>
      <c r="C550" s="19"/>
      <c r="D550" s="19"/>
      <c r="E550" s="3"/>
    </row>
    <row r="551">
      <c r="A551" s="3"/>
      <c r="B551" s="19"/>
      <c r="C551" s="19"/>
      <c r="D551" s="19"/>
      <c r="E551" s="3"/>
    </row>
    <row r="552">
      <c r="A552" s="3"/>
      <c r="B552" s="19"/>
      <c r="C552" s="19"/>
      <c r="D552" s="19"/>
      <c r="E552" s="3"/>
    </row>
    <row r="553">
      <c r="A553" s="3"/>
      <c r="B553" s="19"/>
      <c r="C553" s="19"/>
      <c r="D553" s="19"/>
      <c r="E553" s="3"/>
    </row>
    <row r="554">
      <c r="A554" s="3"/>
      <c r="B554" s="19"/>
      <c r="C554" s="19"/>
      <c r="D554" s="19"/>
      <c r="E554" s="3"/>
    </row>
    <row r="555">
      <c r="A555" s="3"/>
      <c r="B555" s="19"/>
      <c r="C555" s="19"/>
      <c r="D555" s="19"/>
      <c r="E555" s="3"/>
    </row>
    <row r="556">
      <c r="A556" s="3"/>
      <c r="B556" s="19"/>
      <c r="C556" s="19"/>
      <c r="D556" s="19"/>
      <c r="E556" s="3"/>
    </row>
    <row r="557">
      <c r="A557" s="3"/>
      <c r="B557" s="19"/>
      <c r="C557" s="19"/>
      <c r="D557" s="19"/>
      <c r="E557" s="3"/>
    </row>
    <row r="558">
      <c r="A558" s="3"/>
      <c r="B558" s="19"/>
      <c r="C558" s="19"/>
      <c r="D558" s="19"/>
      <c r="E558" s="3"/>
    </row>
    <row r="559">
      <c r="A559" s="3"/>
      <c r="B559" s="19"/>
      <c r="C559" s="19"/>
      <c r="D559" s="19"/>
      <c r="E559" s="3"/>
    </row>
    <row r="560">
      <c r="A560" s="3"/>
      <c r="B560" s="19"/>
      <c r="C560" s="19"/>
      <c r="D560" s="19"/>
      <c r="E560" s="3"/>
    </row>
    <row r="561">
      <c r="A561" s="3"/>
      <c r="B561" s="19"/>
      <c r="C561" s="19"/>
      <c r="D561" s="19"/>
      <c r="E561" s="3"/>
    </row>
    <row r="562">
      <c r="A562" s="3"/>
      <c r="B562" s="19"/>
      <c r="C562" s="19"/>
      <c r="D562" s="19"/>
      <c r="E562" s="3"/>
    </row>
    <row r="563">
      <c r="A563" s="3"/>
      <c r="B563" s="19"/>
      <c r="C563" s="19"/>
      <c r="D563" s="19"/>
      <c r="E563" s="3"/>
    </row>
    <row r="564">
      <c r="A564" s="3"/>
      <c r="B564" s="19"/>
      <c r="C564" s="19"/>
      <c r="D564" s="19"/>
      <c r="E564" s="3"/>
    </row>
    <row r="565">
      <c r="A565" s="3"/>
      <c r="B565" s="19"/>
      <c r="C565" s="19"/>
      <c r="D565" s="19"/>
      <c r="E565" s="3"/>
    </row>
    <row r="566">
      <c r="A566" s="3"/>
      <c r="B566" s="19"/>
      <c r="C566" s="19"/>
      <c r="D566" s="19"/>
      <c r="E566" s="3"/>
    </row>
    <row r="567">
      <c r="A567" s="3"/>
      <c r="B567" s="19"/>
      <c r="C567" s="19"/>
      <c r="D567" s="19"/>
      <c r="E567" s="3"/>
    </row>
    <row r="568">
      <c r="A568" s="3"/>
      <c r="B568" s="19"/>
      <c r="C568" s="19"/>
      <c r="D568" s="19"/>
      <c r="E568" s="3"/>
    </row>
    <row r="569">
      <c r="A569" s="3"/>
      <c r="B569" s="19"/>
      <c r="C569" s="19"/>
      <c r="D569" s="19"/>
      <c r="E569" s="3"/>
    </row>
    <row r="570">
      <c r="A570" s="3"/>
      <c r="B570" s="19"/>
      <c r="C570" s="19"/>
      <c r="D570" s="19"/>
      <c r="E570" s="3"/>
    </row>
    <row r="571">
      <c r="A571" s="3"/>
      <c r="B571" s="19"/>
      <c r="C571" s="19"/>
      <c r="D571" s="19"/>
      <c r="E571" s="3"/>
    </row>
    <row r="572">
      <c r="A572" s="3"/>
      <c r="B572" s="19"/>
      <c r="C572" s="19"/>
      <c r="D572" s="19"/>
      <c r="E572" s="3"/>
    </row>
    <row r="573">
      <c r="A573" s="3"/>
      <c r="B573" s="19"/>
      <c r="C573" s="19"/>
      <c r="D573" s="19"/>
      <c r="E573" s="3"/>
    </row>
    <row r="574">
      <c r="A574" s="3"/>
      <c r="B574" s="19"/>
      <c r="C574" s="19"/>
      <c r="D574" s="19"/>
      <c r="E574" s="3"/>
    </row>
    <row r="575">
      <c r="A575" s="3"/>
      <c r="B575" s="19"/>
      <c r="C575" s="19"/>
      <c r="D575" s="19"/>
      <c r="E575" s="3"/>
    </row>
    <row r="576">
      <c r="A576" s="3"/>
      <c r="B576" s="19"/>
      <c r="C576" s="19"/>
      <c r="D576" s="19"/>
      <c r="E576" s="3"/>
    </row>
    <row r="577">
      <c r="A577" s="3"/>
      <c r="B577" s="19"/>
      <c r="C577" s="19"/>
      <c r="D577" s="19"/>
      <c r="E577" s="3"/>
    </row>
    <row r="578">
      <c r="A578" s="3"/>
      <c r="B578" s="19"/>
      <c r="C578" s="19"/>
      <c r="D578" s="19"/>
      <c r="E578" s="3"/>
    </row>
    <row r="579">
      <c r="A579" s="3"/>
      <c r="B579" s="19"/>
      <c r="C579" s="19"/>
      <c r="D579" s="19"/>
      <c r="E579" s="3"/>
    </row>
    <row r="580">
      <c r="A580" s="3"/>
      <c r="B580" s="19"/>
      <c r="C580" s="19"/>
      <c r="D580" s="19"/>
      <c r="E580" s="3"/>
    </row>
    <row r="581">
      <c r="A581" s="3"/>
      <c r="B581" s="19"/>
      <c r="C581" s="19"/>
      <c r="D581" s="19"/>
      <c r="E581" s="3"/>
    </row>
    <row r="582">
      <c r="A582" s="3"/>
      <c r="B582" s="19"/>
      <c r="C582" s="19"/>
      <c r="D582" s="19"/>
      <c r="E582" s="3"/>
    </row>
    <row r="583">
      <c r="A583" s="3"/>
      <c r="B583" s="19"/>
      <c r="C583" s="19"/>
      <c r="D583" s="19"/>
      <c r="E583" s="3"/>
    </row>
    <row r="584">
      <c r="A584" s="3"/>
      <c r="B584" s="19"/>
      <c r="C584" s="19"/>
      <c r="D584" s="19"/>
      <c r="E584" s="3"/>
    </row>
    <row r="585">
      <c r="A585" s="3"/>
      <c r="B585" s="19"/>
      <c r="C585" s="19"/>
      <c r="D585" s="19"/>
      <c r="E585" s="3"/>
    </row>
    <row r="586">
      <c r="A586" s="3"/>
      <c r="B586" s="19"/>
      <c r="C586" s="19"/>
      <c r="D586" s="19"/>
      <c r="E586" s="3"/>
    </row>
    <row r="587">
      <c r="A587" s="3"/>
      <c r="B587" s="19"/>
      <c r="C587" s="19"/>
      <c r="D587" s="19"/>
      <c r="E587" s="3"/>
    </row>
    <row r="588">
      <c r="A588" s="3"/>
      <c r="B588" s="19"/>
      <c r="C588" s="19"/>
      <c r="D588" s="19"/>
      <c r="E588" s="3"/>
    </row>
    <row r="589">
      <c r="A589" s="3"/>
      <c r="B589" s="19"/>
      <c r="C589" s="19"/>
      <c r="D589" s="19"/>
      <c r="E589" s="3"/>
    </row>
    <row r="590">
      <c r="A590" s="3"/>
      <c r="B590" s="19"/>
      <c r="C590" s="19"/>
      <c r="D590" s="19"/>
      <c r="E590" s="3"/>
    </row>
    <row r="591">
      <c r="A591" s="3"/>
      <c r="B591" s="19"/>
      <c r="C591" s="19"/>
      <c r="D591" s="19"/>
      <c r="E591" s="3"/>
    </row>
    <row r="592">
      <c r="A592" s="3"/>
      <c r="B592" s="19"/>
      <c r="C592" s="19"/>
      <c r="D592" s="19"/>
      <c r="E592" s="3"/>
    </row>
    <row r="593">
      <c r="A593" s="3"/>
      <c r="B593" s="19"/>
      <c r="C593" s="19"/>
      <c r="D593" s="19"/>
      <c r="E593" s="3"/>
    </row>
    <row r="594">
      <c r="A594" s="3"/>
      <c r="B594" s="19"/>
      <c r="C594" s="19"/>
      <c r="D594" s="19"/>
      <c r="E594" s="3"/>
    </row>
    <row r="595">
      <c r="A595" s="3"/>
      <c r="B595" s="19"/>
      <c r="C595" s="19"/>
      <c r="D595" s="19"/>
      <c r="E595" s="3"/>
    </row>
    <row r="596">
      <c r="A596" s="3"/>
      <c r="B596" s="19"/>
      <c r="C596" s="19"/>
      <c r="D596" s="19"/>
      <c r="E596" s="3"/>
    </row>
    <row r="597">
      <c r="A597" s="3"/>
      <c r="B597" s="19"/>
      <c r="C597" s="19"/>
      <c r="D597" s="19"/>
      <c r="E597" s="3"/>
    </row>
    <row r="598">
      <c r="A598" s="3"/>
      <c r="B598" s="19"/>
      <c r="C598" s="19"/>
      <c r="D598" s="19"/>
      <c r="E598" s="3"/>
    </row>
    <row r="599">
      <c r="A599" s="3"/>
      <c r="B599" s="19"/>
      <c r="C599" s="19"/>
      <c r="D599" s="19"/>
      <c r="E599" s="3"/>
    </row>
    <row r="600">
      <c r="A600" s="3"/>
      <c r="B600" s="19"/>
      <c r="C600" s="19"/>
      <c r="D600" s="19"/>
      <c r="E600" s="3"/>
    </row>
    <row r="601">
      <c r="A601" s="3"/>
      <c r="B601" s="19"/>
      <c r="C601" s="19"/>
      <c r="D601" s="19"/>
      <c r="E601" s="3"/>
    </row>
    <row r="602">
      <c r="A602" s="3"/>
      <c r="B602" s="19"/>
      <c r="C602" s="19"/>
      <c r="D602" s="19"/>
      <c r="E602" s="3"/>
    </row>
    <row r="603">
      <c r="A603" s="3"/>
      <c r="B603" s="19"/>
      <c r="C603" s="19"/>
      <c r="D603" s="19"/>
      <c r="E603" s="3"/>
    </row>
    <row r="604">
      <c r="A604" s="3"/>
      <c r="B604" s="19"/>
      <c r="C604" s="19"/>
      <c r="D604" s="19"/>
      <c r="E604" s="3"/>
    </row>
    <row r="605">
      <c r="A605" s="3"/>
      <c r="B605" s="19"/>
      <c r="C605" s="19"/>
      <c r="D605" s="19"/>
      <c r="E605" s="3"/>
    </row>
    <row r="606">
      <c r="A606" s="3"/>
      <c r="B606" s="19"/>
      <c r="C606" s="19"/>
      <c r="D606" s="19"/>
      <c r="E606" s="3"/>
    </row>
    <row r="607">
      <c r="A607" s="3"/>
      <c r="B607" s="19"/>
      <c r="C607" s="19"/>
      <c r="D607" s="19"/>
      <c r="E607" s="3"/>
    </row>
    <row r="608">
      <c r="A608" s="3"/>
      <c r="B608" s="19"/>
      <c r="C608" s="19"/>
      <c r="D608" s="19"/>
      <c r="E608" s="3"/>
    </row>
    <row r="609">
      <c r="A609" s="3"/>
      <c r="B609" s="19"/>
      <c r="C609" s="19"/>
      <c r="D609" s="19"/>
      <c r="E609" s="3"/>
    </row>
    <row r="610">
      <c r="A610" s="3"/>
      <c r="B610" s="19"/>
      <c r="C610" s="19"/>
      <c r="D610" s="19"/>
      <c r="E610" s="3"/>
    </row>
    <row r="611">
      <c r="A611" s="3"/>
      <c r="B611" s="19"/>
      <c r="C611" s="19"/>
      <c r="D611" s="19"/>
      <c r="E611" s="3"/>
    </row>
    <row r="612">
      <c r="A612" s="3"/>
      <c r="B612" s="19"/>
      <c r="C612" s="19"/>
      <c r="D612" s="19"/>
      <c r="E612" s="3"/>
    </row>
    <row r="613">
      <c r="A613" s="3"/>
      <c r="B613" s="19"/>
      <c r="C613" s="19"/>
      <c r="D613" s="19"/>
      <c r="E613" s="3"/>
    </row>
    <row r="614">
      <c r="A614" s="3"/>
      <c r="B614" s="19"/>
      <c r="C614" s="19"/>
      <c r="D614" s="19"/>
      <c r="E614" s="3"/>
    </row>
    <row r="615">
      <c r="A615" s="3"/>
      <c r="B615" s="19"/>
      <c r="C615" s="19"/>
      <c r="D615" s="19"/>
      <c r="E615" s="3"/>
    </row>
    <row r="616">
      <c r="A616" s="3"/>
      <c r="B616" s="19"/>
      <c r="C616" s="19"/>
      <c r="D616" s="19"/>
      <c r="E616" s="3"/>
    </row>
    <row r="617">
      <c r="A617" s="3"/>
      <c r="B617" s="19"/>
      <c r="C617" s="19"/>
      <c r="D617" s="19"/>
      <c r="E617" s="3"/>
    </row>
    <row r="618">
      <c r="A618" s="3"/>
      <c r="B618" s="19"/>
      <c r="C618" s="19"/>
      <c r="D618" s="19"/>
      <c r="E618" s="3"/>
    </row>
    <row r="619">
      <c r="A619" s="3"/>
      <c r="B619" s="19"/>
      <c r="C619" s="19"/>
      <c r="D619" s="19"/>
      <c r="E619" s="3"/>
    </row>
    <row r="620">
      <c r="A620" s="3"/>
      <c r="B620" s="19"/>
      <c r="C620" s="19"/>
      <c r="D620" s="19"/>
      <c r="E620" s="3"/>
    </row>
    <row r="621">
      <c r="A621" s="3"/>
      <c r="B621" s="19"/>
      <c r="C621" s="19"/>
      <c r="D621" s="19"/>
      <c r="E621" s="3"/>
    </row>
    <row r="622">
      <c r="A622" s="3"/>
      <c r="B622" s="19"/>
      <c r="C622" s="19"/>
      <c r="D622" s="19"/>
      <c r="E622" s="3"/>
    </row>
    <row r="623">
      <c r="A623" s="3"/>
      <c r="B623" s="19"/>
      <c r="C623" s="19"/>
      <c r="D623" s="19"/>
      <c r="E623" s="3"/>
    </row>
    <row r="624">
      <c r="A624" s="3"/>
      <c r="B624" s="19"/>
      <c r="C624" s="19"/>
      <c r="D624" s="19"/>
      <c r="E624" s="3"/>
    </row>
    <row r="625">
      <c r="A625" s="3"/>
      <c r="B625" s="19"/>
      <c r="C625" s="19"/>
      <c r="D625" s="19"/>
      <c r="E625" s="3"/>
    </row>
    <row r="626">
      <c r="A626" s="3"/>
      <c r="B626" s="19"/>
      <c r="C626" s="19"/>
      <c r="D626" s="19"/>
      <c r="E626" s="3"/>
    </row>
    <row r="627">
      <c r="A627" s="3"/>
      <c r="B627" s="19"/>
      <c r="C627" s="19"/>
      <c r="D627" s="19"/>
      <c r="E627" s="3"/>
    </row>
    <row r="628">
      <c r="A628" s="3"/>
      <c r="B628" s="19"/>
      <c r="C628" s="19"/>
      <c r="D628" s="19"/>
      <c r="E628" s="3"/>
    </row>
    <row r="629">
      <c r="A629" s="3"/>
      <c r="B629" s="19"/>
      <c r="C629" s="19"/>
      <c r="D629" s="19"/>
      <c r="E629" s="3"/>
    </row>
    <row r="630">
      <c r="A630" s="3"/>
      <c r="B630" s="19"/>
      <c r="C630" s="19"/>
      <c r="D630" s="19"/>
      <c r="E630" s="3"/>
    </row>
    <row r="631">
      <c r="A631" s="3"/>
      <c r="B631" s="19"/>
      <c r="C631" s="19"/>
      <c r="D631" s="19"/>
      <c r="E631" s="3"/>
    </row>
    <row r="632">
      <c r="A632" s="3"/>
      <c r="B632" s="19"/>
      <c r="C632" s="19"/>
      <c r="D632" s="19"/>
      <c r="E632" s="3"/>
    </row>
    <row r="633">
      <c r="A633" s="3"/>
      <c r="B633" s="19"/>
      <c r="C633" s="19"/>
      <c r="D633" s="19"/>
      <c r="E633" s="3"/>
    </row>
    <row r="634">
      <c r="A634" s="3"/>
      <c r="B634" s="19"/>
      <c r="C634" s="19"/>
      <c r="D634" s="19"/>
      <c r="E634" s="3"/>
    </row>
    <row r="635">
      <c r="A635" s="3"/>
      <c r="B635" s="19"/>
      <c r="C635" s="19"/>
      <c r="D635" s="19"/>
      <c r="E635" s="3"/>
    </row>
    <row r="636">
      <c r="A636" s="3"/>
      <c r="B636" s="19"/>
      <c r="C636" s="19"/>
      <c r="D636" s="19"/>
      <c r="E636" s="3"/>
    </row>
    <row r="637">
      <c r="A637" s="3"/>
      <c r="B637" s="19"/>
      <c r="C637" s="19"/>
      <c r="D637" s="19"/>
      <c r="E637" s="3"/>
    </row>
    <row r="638">
      <c r="A638" s="3"/>
      <c r="B638" s="19"/>
      <c r="C638" s="19"/>
      <c r="D638" s="19"/>
      <c r="E638" s="3"/>
    </row>
    <row r="639">
      <c r="A639" s="3"/>
      <c r="B639" s="19"/>
      <c r="C639" s="19"/>
      <c r="D639" s="19"/>
      <c r="E639" s="3"/>
    </row>
    <row r="640">
      <c r="A640" s="3"/>
      <c r="B640" s="19"/>
      <c r="C640" s="19"/>
      <c r="D640" s="19"/>
      <c r="E640" s="3"/>
    </row>
    <row r="641">
      <c r="A641" s="3"/>
      <c r="B641" s="19"/>
      <c r="C641" s="19"/>
      <c r="D641" s="19"/>
      <c r="E641" s="3"/>
    </row>
    <row r="642">
      <c r="A642" s="3"/>
      <c r="B642" s="19"/>
      <c r="C642" s="19"/>
      <c r="D642" s="19"/>
      <c r="E642" s="3"/>
    </row>
    <row r="643">
      <c r="A643" s="3"/>
      <c r="B643" s="19"/>
      <c r="C643" s="19"/>
      <c r="D643" s="19"/>
      <c r="E643" s="3"/>
    </row>
    <row r="644">
      <c r="A644" s="3"/>
      <c r="B644" s="19"/>
      <c r="C644" s="19"/>
      <c r="D644" s="19"/>
      <c r="E644" s="3"/>
    </row>
    <row r="645">
      <c r="A645" s="3"/>
      <c r="B645" s="19"/>
      <c r="C645" s="19"/>
      <c r="D645" s="19"/>
      <c r="E645" s="3"/>
    </row>
    <row r="646">
      <c r="A646" s="3"/>
      <c r="B646" s="19"/>
      <c r="C646" s="19"/>
      <c r="D646" s="19"/>
      <c r="E646" s="3"/>
    </row>
    <row r="647">
      <c r="A647" s="3"/>
      <c r="B647" s="19"/>
      <c r="C647" s="19"/>
      <c r="D647" s="19"/>
      <c r="E647" s="3"/>
    </row>
    <row r="648">
      <c r="A648" s="3"/>
      <c r="B648" s="19"/>
      <c r="C648" s="19"/>
      <c r="D648" s="19"/>
      <c r="E648" s="3"/>
    </row>
    <row r="649">
      <c r="A649" s="3"/>
      <c r="B649" s="19"/>
      <c r="C649" s="19"/>
      <c r="D649" s="19"/>
      <c r="E649" s="3"/>
    </row>
    <row r="650">
      <c r="A650" s="3"/>
      <c r="B650" s="19"/>
      <c r="C650" s="19"/>
      <c r="D650" s="19"/>
      <c r="E650" s="3"/>
    </row>
    <row r="651">
      <c r="A651" s="3"/>
      <c r="B651" s="19"/>
      <c r="C651" s="19"/>
      <c r="D651" s="19"/>
      <c r="E651" s="3"/>
    </row>
    <row r="652">
      <c r="A652" s="3"/>
      <c r="B652" s="19"/>
      <c r="C652" s="19"/>
      <c r="D652" s="19"/>
      <c r="E652" s="3"/>
    </row>
    <row r="653">
      <c r="A653" s="3"/>
      <c r="B653" s="19"/>
      <c r="C653" s="19"/>
      <c r="D653" s="19"/>
      <c r="E653" s="3"/>
    </row>
    <row r="654">
      <c r="A654" s="3"/>
      <c r="B654" s="19"/>
      <c r="C654" s="19"/>
      <c r="D654" s="19"/>
      <c r="E654" s="3"/>
    </row>
    <row r="655">
      <c r="A655" s="3"/>
      <c r="B655" s="19"/>
      <c r="C655" s="19"/>
      <c r="D655" s="19"/>
      <c r="E655" s="3"/>
    </row>
    <row r="656">
      <c r="A656" s="3"/>
      <c r="B656" s="19"/>
      <c r="C656" s="19"/>
      <c r="D656" s="19"/>
      <c r="E656" s="3"/>
    </row>
    <row r="657">
      <c r="A657" s="3"/>
      <c r="B657" s="19"/>
      <c r="C657" s="19"/>
      <c r="D657" s="19"/>
      <c r="E657" s="3"/>
    </row>
    <row r="658">
      <c r="A658" s="3"/>
      <c r="B658" s="19"/>
      <c r="C658" s="19"/>
      <c r="D658" s="19"/>
      <c r="E658" s="3"/>
    </row>
    <row r="659">
      <c r="A659" s="3"/>
      <c r="B659" s="19"/>
      <c r="C659" s="19"/>
      <c r="D659" s="19"/>
      <c r="E659" s="3"/>
    </row>
    <row r="660">
      <c r="A660" s="3"/>
      <c r="B660" s="19"/>
      <c r="C660" s="19"/>
      <c r="D660" s="19"/>
      <c r="E660" s="3"/>
    </row>
    <row r="661">
      <c r="A661" s="3"/>
      <c r="B661" s="19"/>
      <c r="C661" s="19"/>
      <c r="D661" s="19"/>
      <c r="E661" s="3"/>
    </row>
    <row r="662">
      <c r="A662" s="3"/>
      <c r="B662" s="19"/>
      <c r="C662" s="19"/>
      <c r="D662" s="19"/>
      <c r="E662" s="3"/>
    </row>
    <row r="663">
      <c r="A663" s="3"/>
      <c r="B663" s="19"/>
      <c r="C663" s="19"/>
      <c r="D663" s="19"/>
      <c r="E663" s="3"/>
    </row>
    <row r="664">
      <c r="A664" s="3"/>
      <c r="B664" s="19"/>
      <c r="C664" s="19"/>
      <c r="D664" s="19"/>
      <c r="E664" s="3"/>
    </row>
    <row r="665">
      <c r="A665" s="3"/>
      <c r="B665" s="19"/>
      <c r="C665" s="19"/>
      <c r="D665" s="19"/>
      <c r="E665" s="3"/>
    </row>
    <row r="666">
      <c r="A666" s="3"/>
      <c r="B666" s="19"/>
      <c r="C666" s="19"/>
      <c r="D666" s="19"/>
      <c r="E666" s="3"/>
    </row>
    <row r="667">
      <c r="A667" s="3"/>
      <c r="B667" s="19"/>
      <c r="C667" s="19"/>
      <c r="D667" s="19"/>
      <c r="E667" s="3"/>
    </row>
    <row r="668">
      <c r="A668" s="3"/>
      <c r="B668" s="19"/>
      <c r="C668" s="19"/>
      <c r="D668" s="19"/>
      <c r="E668" s="3"/>
    </row>
    <row r="669">
      <c r="A669" s="3"/>
      <c r="B669" s="19"/>
      <c r="C669" s="19"/>
      <c r="D669" s="19"/>
      <c r="E669" s="3"/>
    </row>
    <row r="670">
      <c r="A670" s="3"/>
      <c r="B670" s="19"/>
      <c r="C670" s="19"/>
      <c r="D670" s="19"/>
      <c r="E670" s="3"/>
    </row>
    <row r="671">
      <c r="A671" s="3"/>
      <c r="B671" s="19"/>
      <c r="C671" s="19"/>
      <c r="D671" s="19"/>
      <c r="E671" s="3"/>
    </row>
    <row r="672">
      <c r="A672" s="3"/>
      <c r="B672" s="19"/>
      <c r="C672" s="19"/>
      <c r="D672" s="19"/>
      <c r="E672" s="3"/>
    </row>
    <row r="673">
      <c r="A673" s="3"/>
      <c r="B673" s="19"/>
      <c r="C673" s="19"/>
      <c r="D673" s="19"/>
      <c r="E673" s="3"/>
    </row>
    <row r="674">
      <c r="A674" s="3"/>
      <c r="B674" s="19"/>
      <c r="C674" s="19"/>
      <c r="D674" s="19"/>
      <c r="E674" s="3"/>
    </row>
    <row r="675">
      <c r="A675" s="3"/>
      <c r="B675" s="19"/>
      <c r="C675" s="19"/>
      <c r="D675" s="19"/>
      <c r="E675" s="3"/>
    </row>
    <row r="676">
      <c r="A676" s="3"/>
      <c r="B676" s="19"/>
      <c r="C676" s="19"/>
      <c r="D676" s="19"/>
      <c r="E676" s="3"/>
    </row>
    <row r="677">
      <c r="A677" s="3"/>
      <c r="B677" s="19"/>
      <c r="C677" s="19"/>
      <c r="D677" s="19"/>
      <c r="E677" s="3"/>
    </row>
    <row r="678">
      <c r="A678" s="3"/>
      <c r="B678" s="19"/>
      <c r="C678" s="19"/>
      <c r="D678" s="19"/>
      <c r="E678" s="3"/>
    </row>
    <row r="679">
      <c r="A679" s="3"/>
      <c r="B679" s="19"/>
      <c r="C679" s="19"/>
      <c r="D679" s="19"/>
      <c r="E679" s="3"/>
    </row>
    <row r="680">
      <c r="A680" s="3"/>
      <c r="B680" s="19"/>
      <c r="C680" s="19"/>
      <c r="D680" s="19"/>
      <c r="E680" s="3"/>
    </row>
    <row r="681">
      <c r="A681" s="3"/>
      <c r="B681" s="19"/>
      <c r="C681" s="19"/>
      <c r="D681" s="19"/>
      <c r="E681" s="3"/>
    </row>
    <row r="682">
      <c r="A682" s="3"/>
      <c r="B682" s="19"/>
      <c r="C682" s="19"/>
      <c r="D682" s="19"/>
      <c r="E682" s="3"/>
    </row>
    <row r="683">
      <c r="A683" s="3"/>
      <c r="B683" s="19"/>
      <c r="C683" s="19"/>
      <c r="D683" s="19"/>
      <c r="E683" s="3"/>
    </row>
    <row r="684">
      <c r="A684" s="3"/>
      <c r="B684" s="19"/>
      <c r="C684" s="19"/>
      <c r="D684" s="19"/>
      <c r="E684" s="3"/>
    </row>
    <row r="685">
      <c r="A685" s="3"/>
      <c r="B685" s="19"/>
      <c r="C685" s="19"/>
      <c r="D685" s="19"/>
      <c r="E685" s="3"/>
    </row>
    <row r="686">
      <c r="A686" s="3"/>
      <c r="B686" s="19"/>
      <c r="C686" s="19"/>
      <c r="D686" s="19"/>
      <c r="E686" s="3"/>
    </row>
    <row r="687">
      <c r="A687" s="3"/>
      <c r="B687" s="19"/>
      <c r="C687" s="19"/>
      <c r="D687" s="19"/>
      <c r="E687" s="3"/>
    </row>
    <row r="688">
      <c r="A688" s="3"/>
      <c r="B688" s="19"/>
      <c r="C688" s="19"/>
      <c r="D688" s="19"/>
      <c r="E688" s="3"/>
    </row>
    <row r="689">
      <c r="A689" s="3"/>
      <c r="B689" s="19"/>
      <c r="C689" s="19"/>
      <c r="D689" s="19"/>
      <c r="E689" s="3"/>
    </row>
    <row r="690">
      <c r="A690" s="3"/>
      <c r="B690" s="19"/>
      <c r="C690" s="19"/>
      <c r="D690" s="19"/>
      <c r="E690" s="3"/>
    </row>
    <row r="691">
      <c r="A691" s="3"/>
      <c r="B691" s="19"/>
      <c r="C691" s="19"/>
      <c r="D691" s="19"/>
      <c r="E691" s="3"/>
    </row>
    <row r="692">
      <c r="A692" s="3"/>
      <c r="B692" s="19"/>
      <c r="C692" s="19"/>
      <c r="D692" s="19"/>
      <c r="E692" s="3"/>
    </row>
    <row r="693">
      <c r="A693" s="3"/>
      <c r="B693" s="19"/>
      <c r="C693" s="19"/>
      <c r="D693" s="19"/>
      <c r="E693" s="3"/>
    </row>
    <row r="694">
      <c r="A694" s="3"/>
      <c r="B694" s="19"/>
      <c r="C694" s="19"/>
      <c r="D694" s="19"/>
      <c r="E694" s="3"/>
    </row>
    <row r="695">
      <c r="A695" s="3"/>
      <c r="B695" s="19"/>
      <c r="C695" s="19"/>
      <c r="D695" s="19"/>
      <c r="E695" s="3"/>
    </row>
    <row r="696">
      <c r="A696" s="3"/>
      <c r="B696" s="19"/>
      <c r="C696" s="19"/>
      <c r="D696" s="19"/>
      <c r="E696" s="3"/>
    </row>
    <row r="697">
      <c r="A697" s="3"/>
      <c r="B697" s="19"/>
      <c r="C697" s="19"/>
      <c r="D697" s="19"/>
      <c r="E697" s="3"/>
    </row>
    <row r="698">
      <c r="A698" s="3"/>
      <c r="B698" s="19"/>
      <c r="C698" s="19"/>
      <c r="D698" s="19"/>
      <c r="E698" s="3"/>
    </row>
    <row r="699">
      <c r="A699" s="3"/>
      <c r="B699" s="19"/>
      <c r="C699" s="19"/>
      <c r="D699" s="19"/>
      <c r="E699" s="3"/>
    </row>
    <row r="700">
      <c r="A700" s="3"/>
      <c r="B700" s="19"/>
      <c r="C700" s="19"/>
      <c r="D700" s="19"/>
      <c r="E700" s="3"/>
    </row>
    <row r="701">
      <c r="A701" s="3"/>
      <c r="B701" s="19"/>
      <c r="C701" s="19"/>
      <c r="D701" s="19"/>
      <c r="E701" s="3"/>
    </row>
    <row r="702">
      <c r="A702" s="3"/>
      <c r="B702" s="19"/>
      <c r="C702" s="19"/>
      <c r="D702" s="19"/>
      <c r="E702" s="3"/>
    </row>
    <row r="703">
      <c r="A703" s="3"/>
      <c r="B703" s="19"/>
      <c r="C703" s="19"/>
      <c r="D703" s="19"/>
      <c r="E703" s="3"/>
    </row>
    <row r="704">
      <c r="A704" s="3"/>
      <c r="B704" s="19"/>
      <c r="C704" s="19"/>
      <c r="D704" s="19"/>
      <c r="E704" s="3"/>
    </row>
    <row r="705">
      <c r="A705" s="3"/>
      <c r="B705" s="19"/>
      <c r="C705" s="19"/>
      <c r="D705" s="19"/>
      <c r="E705" s="3"/>
    </row>
    <row r="706">
      <c r="A706" s="3"/>
      <c r="B706" s="19"/>
      <c r="C706" s="19"/>
      <c r="D706" s="19"/>
      <c r="E706" s="3"/>
    </row>
    <row r="707">
      <c r="A707" s="3"/>
      <c r="B707" s="19"/>
      <c r="C707" s="19"/>
      <c r="D707" s="19"/>
      <c r="E707" s="3"/>
    </row>
    <row r="708">
      <c r="A708" s="3"/>
      <c r="B708" s="19"/>
      <c r="C708" s="19"/>
      <c r="D708" s="19"/>
      <c r="E708" s="3"/>
    </row>
    <row r="709">
      <c r="A709" s="3"/>
      <c r="B709" s="19"/>
      <c r="C709" s="19"/>
      <c r="D709" s="19"/>
      <c r="E709" s="3"/>
    </row>
    <row r="710">
      <c r="A710" s="3"/>
      <c r="B710" s="19"/>
      <c r="C710" s="19"/>
      <c r="D710" s="19"/>
      <c r="E710" s="3"/>
    </row>
    <row r="711">
      <c r="A711" s="3"/>
      <c r="B711" s="19"/>
      <c r="C711" s="19"/>
      <c r="D711" s="19"/>
      <c r="E711" s="3"/>
    </row>
    <row r="712">
      <c r="A712" s="3"/>
      <c r="B712" s="19"/>
      <c r="C712" s="19"/>
      <c r="D712" s="19"/>
      <c r="E712" s="3"/>
    </row>
    <row r="713">
      <c r="A713" s="3"/>
      <c r="B713" s="19"/>
      <c r="C713" s="19"/>
      <c r="D713" s="19"/>
      <c r="E713" s="3"/>
    </row>
    <row r="714">
      <c r="A714" s="3"/>
      <c r="B714" s="19"/>
      <c r="C714" s="19"/>
      <c r="D714" s="19"/>
      <c r="E714" s="3"/>
    </row>
    <row r="715">
      <c r="A715" s="3"/>
      <c r="B715" s="19"/>
      <c r="C715" s="19"/>
      <c r="D715" s="19"/>
      <c r="E715" s="3"/>
    </row>
    <row r="716">
      <c r="A716" s="3"/>
      <c r="B716" s="19"/>
      <c r="C716" s="19"/>
      <c r="D716" s="19"/>
      <c r="E716" s="3"/>
    </row>
    <row r="717">
      <c r="A717" s="3"/>
      <c r="B717" s="19"/>
      <c r="C717" s="19"/>
      <c r="D717" s="19"/>
      <c r="E717" s="3"/>
    </row>
    <row r="718">
      <c r="A718" s="3"/>
      <c r="B718" s="19"/>
      <c r="C718" s="19"/>
      <c r="D718" s="19"/>
      <c r="E718" s="3"/>
    </row>
    <row r="719">
      <c r="A719" s="3"/>
      <c r="B719" s="19"/>
      <c r="C719" s="19"/>
      <c r="D719" s="19"/>
      <c r="E719" s="3"/>
    </row>
    <row r="720">
      <c r="A720" s="3"/>
      <c r="B720" s="19"/>
      <c r="C720" s="19"/>
      <c r="D720" s="19"/>
      <c r="E720" s="3"/>
    </row>
    <row r="721">
      <c r="A721" s="3"/>
      <c r="B721" s="19"/>
      <c r="C721" s="19"/>
      <c r="D721" s="19"/>
      <c r="E721" s="3"/>
    </row>
    <row r="722">
      <c r="A722" s="3"/>
      <c r="B722" s="19"/>
      <c r="C722" s="19"/>
      <c r="D722" s="19"/>
      <c r="E722" s="3"/>
    </row>
    <row r="723">
      <c r="A723" s="3"/>
      <c r="B723" s="19"/>
      <c r="C723" s="19"/>
      <c r="D723" s="19"/>
      <c r="E723" s="3"/>
    </row>
    <row r="724">
      <c r="A724" s="3"/>
      <c r="B724" s="19"/>
      <c r="C724" s="19"/>
      <c r="D724" s="19"/>
      <c r="E724" s="3"/>
    </row>
    <row r="725">
      <c r="A725" s="3"/>
      <c r="B725" s="19"/>
      <c r="C725" s="19"/>
      <c r="D725" s="19"/>
      <c r="E725" s="3"/>
    </row>
    <row r="726">
      <c r="A726" s="3"/>
      <c r="B726" s="19"/>
      <c r="C726" s="19"/>
      <c r="D726" s="19"/>
      <c r="E726" s="3"/>
    </row>
    <row r="727">
      <c r="A727" s="3"/>
      <c r="B727" s="19"/>
      <c r="C727" s="19"/>
      <c r="D727" s="19"/>
      <c r="E727" s="3"/>
    </row>
    <row r="728">
      <c r="A728" s="3"/>
      <c r="B728" s="19"/>
      <c r="C728" s="19"/>
      <c r="D728" s="19"/>
      <c r="E728" s="3"/>
    </row>
    <row r="729">
      <c r="A729" s="3"/>
      <c r="B729" s="19"/>
      <c r="C729" s="19"/>
      <c r="D729" s="19"/>
      <c r="E729" s="3"/>
    </row>
    <row r="730">
      <c r="A730" s="3"/>
      <c r="B730" s="19"/>
      <c r="C730" s="19"/>
      <c r="D730" s="19"/>
      <c r="E730" s="3"/>
    </row>
    <row r="731">
      <c r="A731" s="3"/>
      <c r="B731" s="19"/>
      <c r="C731" s="19"/>
      <c r="D731" s="19"/>
      <c r="E731" s="3"/>
    </row>
    <row r="732">
      <c r="A732" s="3"/>
      <c r="B732" s="19"/>
      <c r="C732" s="19"/>
      <c r="D732" s="19"/>
      <c r="E732" s="3"/>
    </row>
    <row r="733">
      <c r="A733" s="3"/>
      <c r="B733" s="19"/>
      <c r="C733" s="19"/>
      <c r="D733" s="19"/>
      <c r="E733" s="3"/>
    </row>
    <row r="734">
      <c r="A734" s="3"/>
      <c r="B734" s="19"/>
      <c r="C734" s="19"/>
      <c r="D734" s="19"/>
      <c r="E734" s="3"/>
    </row>
    <row r="735">
      <c r="A735" s="3"/>
      <c r="B735" s="19"/>
      <c r="C735" s="19"/>
      <c r="D735" s="19"/>
      <c r="E735" s="3"/>
    </row>
    <row r="736">
      <c r="A736" s="3"/>
      <c r="B736" s="19"/>
      <c r="C736" s="19"/>
      <c r="D736" s="19"/>
      <c r="E736" s="3"/>
    </row>
    <row r="737">
      <c r="A737" s="3"/>
      <c r="B737" s="19"/>
      <c r="C737" s="19"/>
      <c r="D737" s="19"/>
      <c r="E737" s="3"/>
    </row>
    <row r="738">
      <c r="A738" s="3"/>
      <c r="B738" s="19"/>
      <c r="C738" s="19"/>
      <c r="D738" s="19"/>
      <c r="E738" s="3"/>
    </row>
    <row r="739">
      <c r="A739" s="3"/>
      <c r="B739" s="19"/>
      <c r="C739" s="19"/>
      <c r="D739" s="19"/>
      <c r="E739" s="3"/>
    </row>
    <row r="740">
      <c r="A740" s="3"/>
      <c r="B740" s="19"/>
      <c r="C740" s="19"/>
      <c r="D740" s="19"/>
      <c r="E740" s="3"/>
    </row>
    <row r="741">
      <c r="A741" s="3"/>
      <c r="B741" s="19"/>
      <c r="C741" s="19"/>
      <c r="D741" s="19"/>
      <c r="E741" s="3"/>
    </row>
    <row r="742">
      <c r="A742" s="3"/>
      <c r="B742" s="19"/>
      <c r="C742" s="19"/>
      <c r="D742" s="19"/>
      <c r="E742" s="3"/>
    </row>
    <row r="743">
      <c r="A743" s="3"/>
      <c r="B743" s="19"/>
      <c r="C743" s="19"/>
      <c r="D743" s="19"/>
      <c r="E743" s="3"/>
    </row>
    <row r="744">
      <c r="A744" s="3"/>
      <c r="B744" s="19"/>
      <c r="C744" s="19"/>
      <c r="D744" s="19"/>
      <c r="E744" s="3"/>
    </row>
    <row r="745">
      <c r="A745" s="3"/>
      <c r="B745" s="19"/>
      <c r="C745" s="19"/>
      <c r="D745" s="19"/>
      <c r="E745" s="3"/>
    </row>
    <row r="746">
      <c r="A746" s="3"/>
      <c r="B746" s="19"/>
      <c r="C746" s="19"/>
      <c r="D746" s="19"/>
      <c r="E746" s="3"/>
    </row>
    <row r="747">
      <c r="A747" s="3"/>
      <c r="B747" s="19"/>
      <c r="C747" s="19"/>
      <c r="D747" s="19"/>
      <c r="E747" s="3"/>
    </row>
    <row r="748">
      <c r="A748" s="3"/>
      <c r="B748" s="19"/>
      <c r="C748" s="19"/>
      <c r="D748" s="19"/>
      <c r="E748" s="3"/>
    </row>
    <row r="749">
      <c r="A749" s="3"/>
      <c r="B749" s="19"/>
      <c r="C749" s="19"/>
      <c r="D749" s="19"/>
      <c r="E749" s="3"/>
    </row>
    <row r="750">
      <c r="A750" s="3"/>
      <c r="B750" s="19"/>
      <c r="C750" s="19"/>
      <c r="D750" s="19"/>
      <c r="E750" s="3"/>
    </row>
    <row r="751">
      <c r="A751" s="3"/>
      <c r="B751" s="19"/>
      <c r="C751" s="19"/>
      <c r="D751" s="19"/>
      <c r="E751" s="3"/>
    </row>
    <row r="752">
      <c r="A752" s="3"/>
      <c r="B752" s="19"/>
      <c r="C752" s="19"/>
      <c r="D752" s="19"/>
      <c r="E752" s="3"/>
    </row>
    <row r="753">
      <c r="A753" s="3"/>
      <c r="B753" s="19"/>
      <c r="C753" s="19"/>
      <c r="D753" s="19"/>
      <c r="E753" s="3"/>
    </row>
    <row r="754">
      <c r="A754" s="3"/>
      <c r="B754" s="19"/>
      <c r="C754" s="19"/>
      <c r="D754" s="19"/>
      <c r="E754" s="3"/>
    </row>
    <row r="755">
      <c r="A755" s="3"/>
      <c r="B755" s="19"/>
      <c r="C755" s="19"/>
      <c r="D755" s="19"/>
      <c r="E755" s="3"/>
    </row>
    <row r="756">
      <c r="A756" s="3"/>
      <c r="B756" s="19"/>
      <c r="C756" s="19"/>
      <c r="D756" s="19"/>
      <c r="E756" s="3"/>
    </row>
    <row r="757">
      <c r="A757" s="3"/>
      <c r="B757" s="19"/>
      <c r="C757" s="19"/>
      <c r="D757" s="19"/>
      <c r="E757" s="3"/>
    </row>
    <row r="758">
      <c r="A758" s="3"/>
      <c r="B758" s="19"/>
      <c r="C758" s="19"/>
      <c r="D758" s="19"/>
      <c r="E758" s="3"/>
    </row>
    <row r="759">
      <c r="A759" s="3"/>
      <c r="B759" s="19"/>
      <c r="C759" s="19"/>
      <c r="D759" s="19"/>
      <c r="E759" s="3"/>
    </row>
    <row r="760">
      <c r="A760" s="3"/>
      <c r="B760" s="19"/>
      <c r="C760" s="19"/>
      <c r="D760" s="19"/>
      <c r="E760" s="3"/>
    </row>
    <row r="761">
      <c r="A761" s="3"/>
      <c r="B761" s="19"/>
      <c r="C761" s="19"/>
      <c r="D761" s="19"/>
      <c r="E761" s="3"/>
    </row>
    <row r="762">
      <c r="A762" s="3"/>
      <c r="B762" s="19"/>
      <c r="C762" s="19"/>
      <c r="D762" s="19"/>
      <c r="E762" s="3"/>
    </row>
    <row r="763">
      <c r="A763" s="3"/>
      <c r="B763" s="19"/>
      <c r="C763" s="19"/>
      <c r="D763" s="19"/>
      <c r="E763" s="3"/>
    </row>
    <row r="764">
      <c r="A764" s="3"/>
      <c r="B764" s="19"/>
      <c r="C764" s="19"/>
      <c r="D764" s="19"/>
      <c r="E764" s="3"/>
    </row>
    <row r="765">
      <c r="A765" s="3"/>
      <c r="B765" s="19"/>
      <c r="C765" s="19"/>
      <c r="D765" s="19"/>
      <c r="E765" s="3"/>
    </row>
    <row r="766">
      <c r="A766" s="3"/>
      <c r="B766" s="19"/>
      <c r="C766" s="19"/>
      <c r="D766" s="19"/>
      <c r="E766" s="3"/>
    </row>
    <row r="767">
      <c r="A767" s="3"/>
      <c r="B767" s="19"/>
      <c r="C767" s="19"/>
      <c r="D767" s="19"/>
      <c r="E767" s="3"/>
    </row>
    <row r="768">
      <c r="A768" s="3"/>
      <c r="B768" s="19"/>
      <c r="C768" s="19"/>
      <c r="D768" s="19"/>
      <c r="E768" s="3"/>
    </row>
    <row r="769">
      <c r="A769" s="3"/>
      <c r="B769" s="19"/>
      <c r="C769" s="19"/>
      <c r="D769" s="19"/>
      <c r="E769" s="3"/>
    </row>
    <row r="770">
      <c r="A770" s="3"/>
      <c r="B770" s="19"/>
      <c r="C770" s="19"/>
      <c r="D770" s="19"/>
      <c r="E770" s="3"/>
    </row>
    <row r="771">
      <c r="A771" s="3"/>
      <c r="B771" s="19"/>
      <c r="C771" s="19"/>
      <c r="D771" s="19"/>
      <c r="E771" s="3"/>
    </row>
    <row r="772">
      <c r="A772" s="3"/>
      <c r="B772" s="19"/>
      <c r="C772" s="19"/>
      <c r="D772" s="19"/>
      <c r="E772" s="3"/>
    </row>
    <row r="773">
      <c r="A773" s="3"/>
      <c r="B773" s="19"/>
      <c r="C773" s="19"/>
      <c r="D773" s="19"/>
      <c r="E773" s="3"/>
    </row>
    <row r="774">
      <c r="A774" s="3"/>
      <c r="B774" s="19"/>
      <c r="C774" s="19"/>
      <c r="D774" s="19"/>
      <c r="E774" s="3"/>
    </row>
    <row r="775">
      <c r="A775" s="3"/>
      <c r="B775" s="19"/>
      <c r="C775" s="19"/>
      <c r="D775" s="19"/>
      <c r="E775" s="3"/>
    </row>
    <row r="776">
      <c r="A776" s="3"/>
      <c r="B776" s="19"/>
      <c r="C776" s="19"/>
      <c r="D776" s="19"/>
      <c r="E776" s="3"/>
    </row>
    <row r="777">
      <c r="A777" s="3"/>
      <c r="B777" s="19"/>
      <c r="C777" s="19"/>
      <c r="D777" s="19"/>
      <c r="E777" s="3"/>
    </row>
    <row r="778">
      <c r="A778" s="3"/>
      <c r="B778" s="19"/>
      <c r="C778" s="19"/>
      <c r="D778" s="19"/>
      <c r="E778" s="3"/>
    </row>
    <row r="779">
      <c r="A779" s="3"/>
      <c r="B779" s="19"/>
      <c r="C779" s="19"/>
      <c r="D779" s="19"/>
      <c r="E779" s="3"/>
    </row>
    <row r="780">
      <c r="A780" s="3"/>
      <c r="B780" s="19"/>
      <c r="C780" s="19"/>
      <c r="D780" s="19"/>
      <c r="E780" s="3"/>
    </row>
    <row r="781">
      <c r="A781" s="3"/>
      <c r="B781" s="19"/>
      <c r="C781" s="19"/>
      <c r="D781" s="19"/>
      <c r="E781" s="3"/>
    </row>
    <row r="782">
      <c r="A782" s="3"/>
      <c r="B782" s="19"/>
      <c r="C782" s="19"/>
      <c r="D782" s="19"/>
      <c r="E782" s="3"/>
    </row>
    <row r="783">
      <c r="A783" s="3"/>
      <c r="B783" s="19"/>
      <c r="C783" s="19"/>
      <c r="D783" s="19"/>
      <c r="E783" s="3"/>
    </row>
    <row r="784">
      <c r="A784" s="3"/>
      <c r="B784" s="19"/>
      <c r="C784" s="19"/>
      <c r="D784" s="19"/>
      <c r="E784" s="3"/>
    </row>
    <row r="785">
      <c r="A785" s="3"/>
      <c r="B785" s="19"/>
      <c r="C785" s="19"/>
      <c r="D785" s="19"/>
      <c r="E785" s="3"/>
    </row>
    <row r="786">
      <c r="A786" s="3"/>
      <c r="B786" s="19"/>
      <c r="C786" s="19"/>
      <c r="D786" s="19"/>
      <c r="E786" s="3"/>
    </row>
    <row r="787">
      <c r="A787" s="3"/>
      <c r="B787" s="19"/>
      <c r="C787" s="19"/>
      <c r="D787" s="19"/>
      <c r="E787" s="3"/>
    </row>
    <row r="788">
      <c r="A788" s="3"/>
      <c r="B788" s="19"/>
      <c r="C788" s="19"/>
      <c r="D788" s="19"/>
      <c r="E788" s="3"/>
    </row>
    <row r="789">
      <c r="A789" s="3"/>
      <c r="B789" s="19"/>
      <c r="C789" s="19"/>
      <c r="D789" s="19"/>
      <c r="E789" s="3"/>
    </row>
    <row r="790">
      <c r="A790" s="3"/>
      <c r="B790" s="19"/>
      <c r="C790" s="19"/>
      <c r="D790" s="19"/>
      <c r="E790" s="3"/>
    </row>
    <row r="791">
      <c r="A791" s="3"/>
      <c r="B791" s="19"/>
      <c r="C791" s="19"/>
      <c r="D791" s="19"/>
      <c r="E791" s="3"/>
    </row>
    <row r="792">
      <c r="A792" s="3"/>
      <c r="B792" s="19"/>
      <c r="C792" s="19"/>
      <c r="D792" s="19"/>
      <c r="E792" s="3"/>
    </row>
    <row r="793">
      <c r="A793" s="3"/>
      <c r="B793" s="19"/>
      <c r="C793" s="19"/>
      <c r="D793" s="19"/>
      <c r="E793" s="3"/>
    </row>
    <row r="794">
      <c r="A794" s="3"/>
      <c r="B794" s="19"/>
      <c r="C794" s="19"/>
      <c r="D794" s="19"/>
      <c r="E794" s="3"/>
    </row>
    <row r="795">
      <c r="A795" s="3"/>
      <c r="B795" s="19"/>
      <c r="C795" s="19"/>
      <c r="D795" s="19"/>
      <c r="E795" s="3"/>
    </row>
    <row r="796">
      <c r="A796" s="3"/>
      <c r="B796" s="19"/>
      <c r="C796" s="19"/>
      <c r="D796" s="19"/>
      <c r="E796" s="3"/>
    </row>
    <row r="797">
      <c r="A797" s="3"/>
      <c r="B797" s="19"/>
      <c r="C797" s="19"/>
      <c r="D797" s="19"/>
      <c r="E797" s="3"/>
    </row>
    <row r="798">
      <c r="A798" s="3"/>
      <c r="B798" s="19"/>
      <c r="C798" s="19"/>
      <c r="D798" s="19"/>
      <c r="E798" s="3"/>
    </row>
    <row r="799">
      <c r="A799" s="3"/>
      <c r="B799" s="19"/>
      <c r="C799" s="19"/>
      <c r="D799" s="19"/>
      <c r="E799" s="3"/>
    </row>
    <row r="800">
      <c r="A800" s="3"/>
      <c r="B800" s="19"/>
      <c r="C800" s="19"/>
      <c r="D800" s="19"/>
      <c r="E800" s="3"/>
    </row>
    <row r="801">
      <c r="A801" s="3"/>
      <c r="B801" s="19"/>
      <c r="C801" s="19"/>
      <c r="D801" s="19"/>
      <c r="E801" s="3"/>
    </row>
    <row r="802">
      <c r="A802" s="3"/>
      <c r="B802" s="19"/>
      <c r="C802" s="19"/>
      <c r="D802" s="19"/>
      <c r="E802" s="3"/>
    </row>
    <row r="803">
      <c r="A803" s="3"/>
      <c r="B803" s="19"/>
      <c r="C803" s="19"/>
      <c r="D803" s="19"/>
      <c r="E803" s="3"/>
    </row>
    <row r="804">
      <c r="A804" s="3"/>
      <c r="B804" s="19"/>
      <c r="C804" s="19"/>
      <c r="D804" s="19"/>
      <c r="E804" s="3"/>
    </row>
    <row r="805">
      <c r="A805" s="3"/>
      <c r="B805" s="19"/>
      <c r="C805" s="19"/>
      <c r="D805" s="19"/>
      <c r="E805" s="3"/>
    </row>
    <row r="806">
      <c r="A806" s="3"/>
      <c r="B806" s="19"/>
      <c r="C806" s="19"/>
      <c r="D806" s="19"/>
      <c r="E806" s="3"/>
    </row>
    <row r="807">
      <c r="A807" s="3"/>
      <c r="B807" s="19"/>
      <c r="C807" s="19"/>
      <c r="D807" s="19"/>
      <c r="E807" s="3"/>
    </row>
    <row r="808">
      <c r="A808" s="3"/>
      <c r="B808" s="19"/>
      <c r="C808" s="19"/>
      <c r="D808" s="19"/>
      <c r="E808" s="3"/>
    </row>
    <row r="809">
      <c r="A809" s="3"/>
      <c r="B809" s="19"/>
      <c r="C809" s="19"/>
      <c r="D809" s="19"/>
      <c r="E809" s="3"/>
    </row>
    <row r="810">
      <c r="A810" s="3"/>
      <c r="B810" s="19"/>
      <c r="C810" s="19"/>
      <c r="D810" s="19"/>
      <c r="E810" s="3"/>
    </row>
    <row r="811">
      <c r="A811" s="3"/>
      <c r="B811" s="19"/>
      <c r="C811" s="19"/>
      <c r="D811" s="19"/>
      <c r="E811" s="3"/>
    </row>
    <row r="812">
      <c r="A812" s="3"/>
      <c r="B812" s="19"/>
      <c r="C812" s="19"/>
      <c r="D812" s="19"/>
      <c r="E812" s="3"/>
    </row>
    <row r="813">
      <c r="A813" s="3"/>
      <c r="B813" s="19"/>
      <c r="C813" s="19"/>
      <c r="D813" s="19"/>
      <c r="E813" s="3"/>
    </row>
    <row r="814">
      <c r="A814" s="3"/>
      <c r="B814" s="19"/>
      <c r="C814" s="19"/>
      <c r="D814" s="19"/>
      <c r="E814" s="3"/>
    </row>
    <row r="815">
      <c r="A815" s="3"/>
      <c r="B815" s="19"/>
      <c r="C815" s="19"/>
      <c r="D815" s="19"/>
      <c r="E815" s="3"/>
    </row>
    <row r="816">
      <c r="A816" s="3"/>
      <c r="B816" s="19"/>
      <c r="C816" s="19"/>
      <c r="D816" s="19"/>
      <c r="E816" s="3"/>
    </row>
    <row r="817">
      <c r="A817" s="3"/>
      <c r="B817" s="19"/>
      <c r="C817" s="19"/>
      <c r="D817" s="19"/>
      <c r="E817" s="3"/>
    </row>
    <row r="818">
      <c r="A818" s="3"/>
      <c r="B818" s="19"/>
      <c r="C818" s="19"/>
      <c r="D818" s="19"/>
      <c r="E818" s="3"/>
    </row>
    <row r="819">
      <c r="A819" s="3"/>
      <c r="B819" s="19"/>
      <c r="C819" s="19"/>
      <c r="D819" s="19"/>
      <c r="E819" s="3"/>
    </row>
    <row r="820">
      <c r="A820" s="3"/>
      <c r="B820" s="19"/>
      <c r="C820" s="19"/>
      <c r="D820" s="19"/>
      <c r="E820" s="3"/>
    </row>
    <row r="821">
      <c r="A821" s="3"/>
      <c r="B821" s="19"/>
      <c r="C821" s="19"/>
      <c r="D821" s="19"/>
      <c r="E821" s="3"/>
    </row>
    <row r="822">
      <c r="A822" s="3"/>
      <c r="B822" s="19"/>
      <c r="C822" s="19"/>
      <c r="D822" s="19"/>
      <c r="E822" s="3"/>
    </row>
    <row r="823">
      <c r="A823" s="3"/>
      <c r="B823" s="19"/>
      <c r="C823" s="19"/>
      <c r="D823" s="19"/>
      <c r="E823" s="3"/>
    </row>
    <row r="824">
      <c r="A824" s="3"/>
      <c r="B824" s="19"/>
      <c r="C824" s="19"/>
      <c r="D824" s="19"/>
      <c r="E824" s="3"/>
    </row>
    <row r="825">
      <c r="A825" s="3"/>
      <c r="B825" s="19"/>
      <c r="C825" s="19"/>
      <c r="D825" s="19"/>
      <c r="E825" s="3"/>
    </row>
    <row r="826">
      <c r="A826" s="3"/>
      <c r="B826" s="19"/>
      <c r="C826" s="19"/>
      <c r="D826" s="19"/>
      <c r="E826" s="3"/>
    </row>
    <row r="827">
      <c r="A827" s="3"/>
      <c r="B827" s="19"/>
      <c r="C827" s="19"/>
      <c r="D827" s="19"/>
      <c r="E827" s="3"/>
    </row>
    <row r="828">
      <c r="A828" s="3"/>
      <c r="B828" s="19"/>
      <c r="C828" s="19"/>
      <c r="D828" s="19"/>
      <c r="E828" s="3"/>
    </row>
    <row r="829">
      <c r="A829" s="3"/>
      <c r="B829" s="19"/>
      <c r="C829" s="19"/>
      <c r="D829" s="19"/>
      <c r="E829" s="3"/>
    </row>
    <row r="830">
      <c r="A830" s="3"/>
      <c r="B830" s="19"/>
      <c r="C830" s="19"/>
      <c r="D830" s="19"/>
      <c r="E830" s="3"/>
    </row>
    <row r="831">
      <c r="A831" s="3"/>
      <c r="B831" s="19"/>
      <c r="C831" s="19"/>
      <c r="D831" s="19"/>
      <c r="E831" s="3"/>
    </row>
    <row r="832">
      <c r="A832" s="3"/>
      <c r="B832" s="19"/>
      <c r="C832" s="19"/>
      <c r="D832" s="19"/>
      <c r="E832" s="3"/>
    </row>
    <row r="833">
      <c r="A833" s="3"/>
      <c r="B833" s="19"/>
      <c r="C833" s="19"/>
      <c r="D833" s="19"/>
      <c r="E833" s="3"/>
    </row>
    <row r="834">
      <c r="A834" s="3"/>
      <c r="B834" s="19"/>
      <c r="C834" s="19"/>
      <c r="D834" s="19"/>
      <c r="E834" s="3"/>
    </row>
    <row r="835">
      <c r="A835" s="3"/>
      <c r="B835" s="19"/>
      <c r="C835" s="19"/>
      <c r="D835" s="19"/>
      <c r="E835" s="3"/>
    </row>
    <row r="836">
      <c r="A836" s="3"/>
      <c r="B836" s="19"/>
      <c r="C836" s="19"/>
      <c r="D836" s="19"/>
      <c r="E836" s="3"/>
    </row>
    <row r="837">
      <c r="A837" s="3"/>
      <c r="B837" s="19"/>
      <c r="C837" s="19"/>
      <c r="D837" s="19"/>
      <c r="E837" s="3"/>
    </row>
    <row r="838">
      <c r="A838" s="3"/>
      <c r="B838" s="19"/>
      <c r="C838" s="19"/>
      <c r="D838" s="19"/>
      <c r="E838" s="3"/>
    </row>
    <row r="839">
      <c r="A839" s="3"/>
      <c r="B839" s="19"/>
      <c r="C839" s="19"/>
      <c r="D839" s="19"/>
      <c r="E839" s="3"/>
    </row>
    <row r="840">
      <c r="A840" s="3"/>
      <c r="B840" s="19"/>
      <c r="C840" s="19"/>
      <c r="D840" s="19"/>
      <c r="E840" s="3"/>
    </row>
    <row r="841">
      <c r="A841" s="3"/>
      <c r="B841" s="19"/>
      <c r="C841" s="19"/>
      <c r="D841" s="19"/>
      <c r="E841" s="3"/>
    </row>
    <row r="842">
      <c r="A842" s="3"/>
      <c r="B842" s="19"/>
      <c r="C842" s="19"/>
      <c r="D842" s="19"/>
      <c r="E842" s="3"/>
    </row>
    <row r="843">
      <c r="A843" s="3"/>
      <c r="B843" s="19"/>
      <c r="C843" s="19"/>
      <c r="D843" s="19"/>
      <c r="E843" s="3"/>
    </row>
    <row r="844">
      <c r="A844" s="3"/>
      <c r="B844" s="19"/>
      <c r="C844" s="19"/>
      <c r="D844" s="19"/>
      <c r="E844" s="3"/>
    </row>
    <row r="845">
      <c r="A845" s="3"/>
      <c r="B845" s="19"/>
      <c r="C845" s="19"/>
      <c r="D845" s="19"/>
      <c r="E845" s="3"/>
    </row>
    <row r="846">
      <c r="A846" s="3"/>
      <c r="B846" s="19"/>
      <c r="C846" s="19"/>
      <c r="D846" s="19"/>
      <c r="E846" s="3"/>
    </row>
    <row r="847">
      <c r="A847" s="3"/>
      <c r="B847" s="19"/>
      <c r="C847" s="19"/>
      <c r="D847" s="19"/>
      <c r="E847" s="3"/>
    </row>
    <row r="848">
      <c r="A848" s="3"/>
      <c r="B848" s="19"/>
      <c r="C848" s="19"/>
      <c r="D848" s="19"/>
      <c r="E848" s="3"/>
    </row>
    <row r="849">
      <c r="A849" s="3"/>
      <c r="B849" s="19"/>
      <c r="C849" s="19"/>
      <c r="D849" s="19"/>
      <c r="E849" s="3"/>
    </row>
    <row r="850">
      <c r="A850" s="3"/>
      <c r="B850" s="19"/>
      <c r="C850" s="19"/>
      <c r="D850" s="19"/>
      <c r="E850" s="3"/>
    </row>
    <row r="851">
      <c r="A851" s="3"/>
      <c r="B851" s="19"/>
      <c r="C851" s="19"/>
      <c r="D851" s="19"/>
      <c r="E851" s="3"/>
    </row>
    <row r="852">
      <c r="A852" s="3"/>
      <c r="B852" s="19"/>
      <c r="C852" s="19"/>
      <c r="D852" s="19"/>
      <c r="E852" s="3"/>
    </row>
    <row r="853">
      <c r="A853" s="3"/>
      <c r="B853" s="19"/>
      <c r="C853" s="19"/>
      <c r="D853" s="19"/>
      <c r="E853" s="3"/>
    </row>
    <row r="854">
      <c r="A854" s="3"/>
      <c r="B854" s="19"/>
      <c r="C854" s="19"/>
      <c r="D854" s="19"/>
      <c r="E854" s="3"/>
    </row>
    <row r="855">
      <c r="A855" s="3"/>
      <c r="B855" s="19"/>
      <c r="C855" s="19"/>
      <c r="D855" s="19"/>
      <c r="E855" s="3"/>
    </row>
    <row r="856">
      <c r="A856" s="3"/>
      <c r="B856" s="19"/>
      <c r="C856" s="19"/>
      <c r="D856" s="19"/>
      <c r="E856" s="3"/>
    </row>
    <row r="857">
      <c r="A857" s="3"/>
      <c r="B857" s="19"/>
      <c r="C857" s="19"/>
      <c r="D857" s="19"/>
      <c r="E857" s="3"/>
    </row>
    <row r="858">
      <c r="A858" s="3"/>
      <c r="B858" s="19"/>
      <c r="C858" s="19"/>
      <c r="D858" s="19"/>
      <c r="E858" s="3"/>
    </row>
    <row r="859">
      <c r="A859" s="3"/>
      <c r="B859" s="19"/>
      <c r="C859" s="19"/>
      <c r="D859" s="19"/>
      <c r="E859" s="3"/>
    </row>
    <row r="860">
      <c r="A860" s="3"/>
      <c r="B860" s="19"/>
      <c r="C860" s="19"/>
      <c r="D860" s="19"/>
      <c r="E860" s="3"/>
    </row>
    <row r="861">
      <c r="A861" s="3"/>
      <c r="B861" s="19"/>
      <c r="C861" s="19"/>
      <c r="D861" s="19"/>
      <c r="E861" s="3"/>
    </row>
    <row r="862">
      <c r="A862" s="3"/>
      <c r="B862" s="19"/>
      <c r="C862" s="19"/>
      <c r="D862" s="19"/>
      <c r="E862" s="3"/>
    </row>
    <row r="863">
      <c r="A863" s="3"/>
      <c r="B863" s="19"/>
      <c r="C863" s="19"/>
      <c r="D863" s="19"/>
      <c r="E863" s="3"/>
    </row>
    <row r="864">
      <c r="A864" s="3"/>
      <c r="B864" s="19"/>
      <c r="C864" s="19"/>
      <c r="D864" s="19"/>
      <c r="E864" s="3"/>
    </row>
    <row r="865">
      <c r="A865" s="3"/>
      <c r="B865" s="19"/>
      <c r="C865" s="19"/>
      <c r="D865" s="19"/>
      <c r="E865" s="3"/>
    </row>
    <row r="866">
      <c r="A866" s="3"/>
      <c r="B866" s="19"/>
      <c r="C866" s="19"/>
      <c r="D866" s="19"/>
      <c r="E866" s="3"/>
    </row>
    <row r="867">
      <c r="A867" s="3"/>
      <c r="B867" s="19"/>
      <c r="C867" s="19"/>
      <c r="D867" s="19"/>
      <c r="E867" s="3"/>
    </row>
    <row r="868">
      <c r="A868" s="3"/>
      <c r="B868" s="19"/>
      <c r="C868" s="19"/>
      <c r="D868" s="19"/>
      <c r="E868" s="3"/>
    </row>
    <row r="869">
      <c r="A869" s="3"/>
      <c r="B869" s="19"/>
      <c r="C869" s="19"/>
      <c r="D869" s="19"/>
      <c r="E869" s="3"/>
    </row>
    <row r="870">
      <c r="A870" s="3"/>
      <c r="B870" s="19"/>
      <c r="C870" s="19"/>
      <c r="D870" s="19"/>
      <c r="E870" s="3"/>
    </row>
    <row r="871">
      <c r="A871" s="3"/>
      <c r="B871" s="19"/>
      <c r="C871" s="19"/>
      <c r="D871" s="19"/>
      <c r="E871" s="3"/>
    </row>
    <row r="872">
      <c r="A872" s="3"/>
      <c r="B872" s="19"/>
      <c r="C872" s="19"/>
      <c r="D872" s="19"/>
      <c r="E872" s="3"/>
    </row>
    <row r="873">
      <c r="A873" s="3"/>
      <c r="B873" s="19"/>
      <c r="C873" s="19"/>
      <c r="D873" s="19"/>
      <c r="E873" s="3"/>
    </row>
    <row r="874">
      <c r="A874" s="3"/>
      <c r="B874" s="19"/>
      <c r="C874" s="19"/>
      <c r="D874" s="19"/>
      <c r="E874" s="3"/>
    </row>
    <row r="875">
      <c r="A875" s="3"/>
      <c r="B875" s="19"/>
      <c r="C875" s="19"/>
      <c r="D875" s="19"/>
      <c r="E875" s="3"/>
    </row>
    <row r="876">
      <c r="A876" s="3"/>
      <c r="B876" s="19"/>
      <c r="C876" s="19"/>
      <c r="D876" s="19"/>
      <c r="E876" s="3"/>
    </row>
    <row r="877">
      <c r="A877" s="3"/>
      <c r="B877" s="19"/>
      <c r="C877" s="19"/>
      <c r="D877" s="19"/>
      <c r="E877" s="3"/>
    </row>
    <row r="878">
      <c r="A878" s="3"/>
      <c r="B878" s="19"/>
      <c r="C878" s="19"/>
      <c r="D878" s="19"/>
      <c r="E878" s="3"/>
    </row>
    <row r="879">
      <c r="A879" s="3"/>
      <c r="B879" s="19"/>
      <c r="C879" s="19"/>
      <c r="D879" s="19"/>
      <c r="E879" s="3"/>
    </row>
    <row r="880">
      <c r="A880" s="3"/>
      <c r="B880" s="19"/>
      <c r="C880" s="19"/>
      <c r="D880" s="19"/>
      <c r="E880" s="3"/>
    </row>
    <row r="881">
      <c r="A881" s="3"/>
      <c r="B881" s="19"/>
      <c r="C881" s="19"/>
      <c r="D881" s="19"/>
      <c r="E881" s="3"/>
    </row>
    <row r="882">
      <c r="A882" s="3"/>
      <c r="B882" s="19"/>
      <c r="C882" s="19"/>
      <c r="D882" s="19"/>
      <c r="E882" s="3"/>
    </row>
    <row r="883">
      <c r="A883" s="3"/>
      <c r="B883" s="19"/>
      <c r="C883" s="19"/>
      <c r="D883" s="19"/>
      <c r="E883" s="3"/>
    </row>
    <row r="884">
      <c r="A884" s="3"/>
      <c r="B884" s="19"/>
      <c r="C884" s="19"/>
      <c r="D884" s="19"/>
      <c r="E884" s="3"/>
    </row>
    <row r="885">
      <c r="A885" s="3"/>
      <c r="B885" s="19"/>
      <c r="C885" s="19"/>
      <c r="D885" s="19"/>
      <c r="E885" s="3"/>
    </row>
    <row r="886">
      <c r="A886" s="3"/>
      <c r="B886" s="19"/>
      <c r="C886" s="19"/>
      <c r="D886" s="19"/>
      <c r="E886" s="3"/>
    </row>
    <row r="887">
      <c r="A887" s="3"/>
      <c r="B887" s="19"/>
      <c r="C887" s="19"/>
      <c r="D887" s="19"/>
      <c r="E887" s="3"/>
    </row>
    <row r="888">
      <c r="A888" s="3"/>
      <c r="B888" s="19"/>
      <c r="C888" s="19"/>
      <c r="D888" s="19"/>
      <c r="E888" s="3"/>
    </row>
    <row r="889">
      <c r="A889" s="3"/>
      <c r="B889" s="19"/>
      <c r="C889" s="19"/>
      <c r="D889" s="19"/>
      <c r="E889" s="3"/>
    </row>
    <row r="890">
      <c r="A890" s="3"/>
      <c r="B890" s="19"/>
      <c r="C890" s="19"/>
      <c r="D890" s="19"/>
      <c r="E890" s="3"/>
    </row>
    <row r="891">
      <c r="A891" s="3"/>
      <c r="B891" s="19"/>
      <c r="C891" s="19"/>
      <c r="D891" s="19"/>
      <c r="E891" s="3"/>
    </row>
    <row r="892">
      <c r="A892" s="3"/>
      <c r="B892" s="19"/>
      <c r="C892" s="19"/>
      <c r="D892" s="19"/>
      <c r="E892" s="3"/>
    </row>
    <row r="893">
      <c r="A893" s="3"/>
      <c r="B893" s="19"/>
      <c r="C893" s="19"/>
      <c r="D893" s="19"/>
      <c r="E893" s="3"/>
    </row>
    <row r="894">
      <c r="A894" s="3"/>
      <c r="B894" s="19"/>
      <c r="C894" s="19"/>
      <c r="D894" s="19"/>
      <c r="E894" s="3"/>
    </row>
    <row r="895">
      <c r="A895" s="3"/>
      <c r="B895" s="19"/>
      <c r="C895" s="19"/>
      <c r="D895" s="19"/>
      <c r="E895" s="3"/>
    </row>
    <row r="896">
      <c r="A896" s="3"/>
      <c r="B896" s="19"/>
      <c r="C896" s="19"/>
      <c r="D896" s="19"/>
      <c r="E896" s="3"/>
    </row>
    <row r="897">
      <c r="A897" s="3"/>
      <c r="B897" s="19"/>
      <c r="C897" s="19"/>
      <c r="D897" s="19"/>
      <c r="E897" s="3"/>
    </row>
    <row r="898">
      <c r="A898" s="3"/>
      <c r="B898" s="19"/>
      <c r="C898" s="19"/>
      <c r="D898" s="19"/>
      <c r="E898" s="3"/>
    </row>
    <row r="899">
      <c r="A899" s="3"/>
      <c r="B899" s="19"/>
      <c r="C899" s="19"/>
      <c r="D899" s="19"/>
      <c r="E899" s="3"/>
    </row>
    <row r="900">
      <c r="A900" s="3"/>
      <c r="B900" s="19"/>
      <c r="C900" s="19"/>
      <c r="D900" s="19"/>
      <c r="E900" s="3"/>
    </row>
    <row r="901">
      <c r="A901" s="3"/>
      <c r="B901" s="19"/>
      <c r="C901" s="19"/>
      <c r="D901" s="19"/>
      <c r="E901" s="3"/>
    </row>
    <row r="902">
      <c r="A902" s="3"/>
      <c r="B902" s="19"/>
      <c r="C902" s="19"/>
      <c r="D902" s="19"/>
      <c r="E902" s="3"/>
    </row>
    <row r="903">
      <c r="A903" s="3"/>
      <c r="B903" s="19"/>
      <c r="C903" s="19"/>
      <c r="D903" s="19"/>
      <c r="E903" s="3"/>
    </row>
    <row r="904">
      <c r="A904" s="3"/>
      <c r="B904" s="19"/>
      <c r="C904" s="19"/>
      <c r="D904" s="19"/>
      <c r="E904" s="3"/>
    </row>
    <row r="905">
      <c r="A905" s="3"/>
      <c r="B905" s="19"/>
      <c r="C905" s="19"/>
      <c r="D905" s="19"/>
      <c r="E905" s="3"/>
    </row>
    <row r="906">
      <c r="A906" s="3"/>
      <c r="B906" s="19"/>
      <c r="C906" s="19"/>
      <c r="D906" s="19"/>
      <c r="E906" s="3"/>
    </row>
    <row r="907">
      <c r="A907" s="3"/>
      <c r="B907" s="19"/>
      <c r="C907" s="19"/>
      <c r="D907" s="19"/>
      <c r="E907" s="3"/>
    </row>
    <row r="908">
      <c r="A908" s="3"/>
      <c r="B908" s="19"/>
      <c r="C908" s="19"/>
      <c r="D908" s="19"/>
      <c r="E908" s="3"/>
    </row>
    <row r="909">
      <c r="A909" s="3"/>
      <c r="B909" s="19"/>
      <c r="C909" s="19"/>
      <c r="D909" s="19"/>
      <c r="E909" s="3"/>
    </row>
    <row r="910">
      <c r="A910" s="3"/>
      <c r="B910" s="19"/>
      <c r="C910" s="19"/>
      <c r="D910" s="19"/>
      <c r="E910" s="3"/>
    </row>
    <row r="911">
      <c r="A911" s="3"/>
      <c r="B911" s="19"/>
      <c r="C911" s="19"/>
      <c r="D911" s="19"/>
      <c r="E911" s="3"/>
    </row>
    <row r="912">
      <c r="A912" s="3"/>
      <c r="B912" s="19"/>
      <c r="C912" s="19"/>
      <c r="D912" s="19"/>
      <c r="E912" s="3"/>
    </row>
    <row r="913">
      <c r="A913" s="3"/>
      <c r="B913" s="19"/>
      <c r="C913" s="19"/>
      <c r="D913" s="19"/>
      <c r="E913" s="3"/>
    </row>
    <row r="914">
      <c r="A914" s="3"/>
      <c r="B914" s="19"/>
      <c r="C914" s="19"/>
      <c r="D914" s="19"/>
      <c r="E914" s="3"/>
    </row>
    <row r="915">
      <c r="A915" s="3"/>
      <c r="B915" s="19"/>
      <c r="C915" s="19"/>
      <c r="D915" s="19"/>
      <c r="E915" s="3"/>
    </row>
    <row r="916">
      <c r="A916" s="3"/>
      <c r="B916" s="19"/>
      <c r="C916" s="19"/>
      <c r="D916" s="19"/>
      <c r="E916" s="3"/>
    </row>
    <row r="917">
      <c r="A917" s="3"/>
      <c r="B917" s="19"/>
      <c r="C917" s="19"/>
      <c r="D917" s="19"/>
      <c r="E917" s="3"/>
    </row>
    <row r="918">
      <c r="A918" s="3"/>
      <c r="B918" s="19"/>
      <c r="C918" s="19"/>
      <c r="D918" s="19"/>
      <c r="E918" s="3"/>
    </row>
    <row r="919">
      <c r="A919" s="3"/>
      <c r="B919" s="19"/>
      <c r="C919" s="19"/>
      <c r="D919" s="19"/>
      <c r="E919" s="3"/>
    </row>
    <row r="920">
      <c r="A920" s="3"/>
      <c r="B920" s="19"/>
      <c r="C920" s="19"/>
      <c r="D920" s="19"/>
      <c r="E920" s="3"/>
    </row>
    <row r="921">
      <c r="A921" s="3"/>
      <c r="B921" s="19"/>
      <c r="C921" s="19"/>
      <c r="D921" s="19"/>
      <c r="E921" s="3"/>
    </row>
    <row r="922">
      <c r="A922" s="3"/>
      <c r="B922" s="19"/>
      <c r="C922" s="19"/>
      <c r="D922" s="19"/>
      <c r="E922" s="3"/>
    </row>
    <row r="923">
      <c r="A923" s="3"/>
      <c r="B923" s="19"/>
      <c r="C923" s="19"/>
      <c r="D923" s="19"/>
      <c r="E923" s="3"/>
    </row>
    <row r="924">
      <c r="A924" s="3"/>
      <c r="B924" s="19"/>
      <c r="C924" s="19"/>
      <c r="D924" s="19"/>
      <c r="E924" s="3"/>
    </row>
    <row r="925">
      <c r="A925" s="3"/>
      <c r="B925" s="19"/>
      <c r="C925" s="19"/>
      <c r="D925" s="19"/>
      <c r="E925" s="3"/>
    </row>
    <row r="926">
      <c r="A926" s="3"/>
      <c r="B926" s="19"/>
      <c r="C926" s="19"/>
      <c r="D926" s="19"/>
      <c r="E926" s="3"/>
    </row>
    <row r="927">
      <c r="A927" s="3"/>
      <c r="B927" s="19"/>
      <c r="C927" s="19"/>
      <c r="D927" s="19"/>
      <c r="E927" s="3"/>
    </row>
    <row r="928">
      <c r="A928" s="3"/>
      <c r="B928" s="19"/>
      <c r="C928" s="19"/>
      <c r="D928" s="19"/>
      <c r="E928" s="3"/>
    </row>
    <row r="929">
      <c r="A929" s="3"/>
      <c r="B929" s="19"/>
      <c r="C929" s="19"/>
      <c r="D929" s="19"/>
      <c r="E929" s="3"/>
    </row>
    <row r="930">
      <c r="A930" s="3"/>
      <c r="B930" s="19"/>
      <c r="C930" s="19"/>
      <c r="D930" s="19"/>
      <c r="E930" s="3"/>
    </row>
    <row r="931">
      <c r="A931" s="3"/>
      <c r="B931" s="19"/>
      <c r="C931" s="19"/>
      <c r="D931" s="19"/>
      <c r="E931" s="3"/>
    </row>
    <row r="932">
      <c r="A932" s="3"/>
      <c r="B932" s="19"/>
      <c r="C932" s="19"/>
      <c r="D932" s="19"/>
      <c r="E932" s="3"/>
    </row>
    <row r="933">
      <c r="A933" s="3"/>
      <c r="B933" s="19"/>
      <c r="C933" s="19"/>
      <c r="D933" s="19"/>
      <c r="E933" s="3"/>
    </row>
    <row r="934">
      <c r="A934" s="3"/>
      <c r="B934" s="19"/>
      <c r="C934" s="19"/>
      <c r="D934" s="19"/>
      <c r="E934" s="3"/>
    </row>
    <row r="935">
      <c r="A935" s="3"/>
      <c r="B935" s="19"/>
      <c r="C935" s="19"/>
      <c r="D935" s="19"/>
      <c r="E935" s="3"/>
    </row>
    <row r="936">
      <c r="A936" s="3"/>
      <c r="B936" s="19"/>
      <c r="C936" s="19"/>
      <c r="D936" s="19"/>
      <c r="E936" s="3"/>
    </row>
    <row r="937">
      <c r="A937" s="3"/>
      <c r="B937" s="19"/>
      <c r="C937" s="19"/>
      <c r="D937" s="19"/>
      <c r="E937" s="3"/>
    </row>
    <row r="938">
      <c r="A938" s="3"/>
      <c r="B938" s="19"/>
      <c r="C938" s="19"/>
      <c r="D938" s="19"/>
      <c r="E938" s="3"/>
    </row>
    <row r="939">
      <c r="A939" s="3"/>
      <c r="B939" s="19"/>
      <c r="C939" s="19"/>
      <c r="D939" s="19"/>
      <c r="E939" s="3"/>
    </row>
    <row r="940">
      <c r="A940" s="3"/>
      <c r="B940" s="19"/>
      <c r="C940" s="19"/>
      <c r="D940" s="19"/>
      <c r="E940" s="3"/>
    </row>
    <row r="941">
      <c r="A941" s="3"/>
      <c r="B941" s="19"/>
      <c r="C941" s="19"/>
      <c r="D941" s="19"/>
      <c r="E941" s="3"/>
    </row>
    <row r="942">
      <c r="A942" s="3"/>
      <c r="B942" s="19"/>
      <c r="C942" s="19"/>
      <c r="D942" s="19"/>
      <c r="E942" s="3"/>
    </row>
    <row r="943">
      <c r="A943" s="3"/>
      <c r="B943" s="19"/>
      <c r="C943" s="19"/>
      <c r="D943" s="19"/>
      <c r="E943" s="3"/>
    </row>
    <row r="944">
      <c r="A944" s="3"/>
      <c r="B944" s="19"/>
      <c r="C944" s="19"/>
      <c r="D944" s="19"/>
      <c r="E944" s="3"/>
    </row>
    <row r="945">
      <c r="A945" s="3"/>
      <c r="B945" s="19"/>
      <c r="C945" s="19"/>
      <c r="D945" s="19"/>
      <c r="E945" s="3"/>
    </row>
    <row r="946">
      <c r="A946" s="3"/>
      <c r="B946" s="19"/>
      <c r="C946" s="19"/>
      <c r="D946" s="19"/>
      <c r="E946" s="3"/>
    </row>
    <row r="947">
      <c r="A947" s="3"/>
      <c r="B947" s="19"/>
      <c r="C947" s="19"/>
      <c r="D947" s="19"/>
      <c r="E947" s="3"/>
    </row>
    <row r="948">
      <c r="A948" s="3"/>
      <c r="B948" s="19"/>
      <c r="C948" s="19"/>
      <c r="D948" s="19"/>
      <c r="E948" s="3"/>
    </row>
    <row r="949">
      <c r="A949" s="3"/>
      <c r="B949" s="19"/>
      <c r="C949" s="19"/>
      <c r="D949" s="19"/>
      <c r="E949" s="3"/>
    </row>
    <row r="950">
      <c r="A950" s="3"/>
      <c r="B950" s="19"/>
      <c r="C950" s="19"/>
      <c r="D950" s="19"/>
      <c r="E950" s="3"/>
    </row>
    <row r="951">
      <c r="A951" s="3"/>
      <c r="B951" s="19"/>
      <c r="C951" s="19"/>
      <c r="D951" s="19"/>
      <c r="E951" s="3"/>
    </row>
    <row r="952">
      <c r="A952" s="3"/>
      <c r="B952" s="19"/>
      <c r="C952" s="19"/>
      <c r="D952" s="19"/>
      <c r="E952" s="3"/>
    </row>
    <row r="953">
      <c r="A953" s="3"/>
      <c r="B953" s="19"/>
      <c r="C953" s="19"/>
      <c r="D953" s="19"/>
      <c r="E953" s="3"/>
    </row>
    <row r="954">
      <c r="A954" s="3"/>
      <c r="B954" s="19"/>
      <c r="C954" s="19"/>
      <c r="D954" s="19"/>
      <c r="E954" s="3"/>
    </row>
    <row r="955">
      <c r="A955" s="3"/>
      <c r="B955" s="19"/>
      <c r="C955" s="19"/>
      <c r="D955" s="19"/>
      <c r="E955" s="3"/>
    </row>
    <row r="956">
      <c r="A956" s="3"/>
      <c r="B956" s="19"/>
      <c r="C956" s="19"/>
      <c r="D956" s="19"/>
      <c r="E956" s="3"/>
    </row>
    <row r="957">
      <c r="A957" s="3"/>
      <c r="B957" s="19"/>
      <c r="C957" s="19"/>
      <c r="D957" s="19"/>
      <c r="E957" s="3"/>
    </row>
    <row r="958">
      <c r="A958" s="3"/>
      <c r="B958" s="19"/>
      <c r="C958" s="19"/>
      <c r="D958" s="19"/>
      <c r="E958" s="3"/>
    </row>
    <row r="959">
      <c r="A959" s="3"/>
      <c r="B959" s="19"/>
      <c r="C959" s="19"/>
      <c r="D959" s="19"/>
      <c r="E959" s="3"/>
    </row>
    <row r="960">
      <c r="A960" s="3"/>
      <c r="B960" s="19"/>
      <c r="C960" s="19"/>
      <c r="D960" s="19"/>
      <c r="E960" s="3"/>
    </row>
    <row r="961">
      <c r="A961" s="3"/>
      <c r="B961" s="19"/>
      <c r="C961" s="19"/>
      <c r="D961" s="19"/>
      <c r="E961" s="3"/>
    </row>
    <row r="962">
      <c r="A962" s="3"/>
      <c r="B962" s="19"/>
      <c r="C962" s="19"/>
      <c r="D962" s="19"/>
      <c r="E962" s="3"/>
    </row>
    <row r="963">
      <c r="A963" s="3"/>
      <c r="B963" s="19"/>
      <c r="C963" s="19"/>
      <c r="D963" s="19"/>
      <c r="E963" s="3"/>
    </row>
    <row r="964">
      <c r="A964" s="3"/>
      <c r="B964" s="19"/>
      <c r="C964" s="19"/>
      <c r="D964" s="19"/>
      <c r="E964" s="3"/>
    </row>
    <row r="965">
      <c r="A965" s="3"/>
      <c r="B965" s="19"/>
      <c r="C965" s="19"/>
      <c r="D965" s="19"/>
      <c r="E965" s="3"/>
    </row>
    <row r="966">
      <c r="A966" s="3"/>
      <c r="B966" s="19"/>
      <c r="C966" s="19"/>
      <c r="D966" s="19"/>
      <c r="E966" s="3"/>
    </row>
    <row r="967">
      <c r="A967" s="3"/>
      <c r="B967" s="19"/>
      <c r="C967" s="19"/>
      <c r="D967" s="19"/>
      <c r="E967" s="3"/>
    </row>
    <row r="968">
      <c r="A968" s="3"/>
      <c r="B968" s="19"/>
      <c r="C968" s="19"/>
      <c r="D968" s="19"/>
      <c r="E968" s="3"/>
    </row>
    <row r="969">
      <c r="A969" s="3"/>
      <c r="B969" s="19"/>
      <c r="C969" s="19"/>
      <c r="D969" s="19"/>
      <c r="E969" s="3"/>
    </row>
    <row r="970">
      <c r="A970" s="3"/>
      <c r="B970" s="19"/>
      <c r="C970" s="19"/>
      <c r="D970" s="19"/>
      <c r="E970" s="3"/>
    </row>
    <row r="971">
      <c r="A971" s="3"/>
      <c r="B971" s="19"/>
      <c r="C971" s="19"/>
      <c r="D971" s="19"/>
      <c r="E971" s="3"/>
    </row>
    <row r="972">
      <c r="A972" s="3"/>
      <c r="B972" s="19"/>
      <c r="C972" s="19"/>
      <c r="D972" s="19"/>
      <c r="E972" s="3"/>
    </row>
    <row r="973">
      <c r="A973" s="3"/>
      <c r="B973" s="19"/>
      <c r="C973" s="19"/>
      <c r="D973" s="19"/>
      <c r="E973" s="3"/>
    </row>
    <row r="974">
      <c r="A974" s="3"/>
      <c r="B974" s="19"/>
      <c r="C974" s="19"/>
      <c r="D974" s="19"/>
      <c r="E974" s="3"/>
    </row>
    <row r="975">
      <c r="A975" s="3"/>
      <c r="B975" s="19"/>
      <c r="C975" s="19"/>
      <c r="D975" s="19"/>
      <c r="E975" s="3"/>
    </row>
    <row r="976">
      <c r="A976" s="3"/>
      <c r="B976" s="19"/>
      <c r="C976" s="19"/>
      <c r="D976" s="19"/>
      <c r="E976" s="3"/>
    </row>
    <row r="977">
      <c r="A977" s="3"/>
      <c r="B977" s="19"/>
      <c r="C977" s="19"/>
      <c r="D977" s="19"/>
      <c r="E977" s="3"/>
    </row>
    <row r="978">
      <c r="A978" s="3"/>
      <c r="B978" s="19"/>
      <c r="C978" s="19"/>
      <c r="D978" s="19"/>
      <c r="E978" s="3"/>
    </row>
    <row r="979">
      <c r="A979" s="3"/>
      <c r="B979" s="19"/>
      <c r="C979" s="19"/>
      <c r="D979" s="19"/>
      <c r="E979" s="3"/>
    </row>
    <row r="980">
      <c r="A980" s="3"/>
      <c r="B980" s="19"/>
      <c r="C980" s="19"/>
      <c r="D980" s="19"/>
      <c r="E980" s="3"/>
    </row>
    <row r="981">
      <c r="A981" s="3"/>
      <c r="B981" s="19"/>
      <c r="C981" s="19"/>
      <c r="D981" s="19"/>
      <c r="E981" s="3"/>
    </row>
    <row r="982">
      <c r="A982" s="3"/>
      <c r="B982" s="19"/>
      <c r="C982" s="19"/>
      <c r="D982" s="19"/>
      <c r="E982" s="3"/>
    </row>
    <row r="983">
      <c r="A983" s="3"/>
      <c r="B983" s="19"/>
      <c r="C983" s="19"/>
      <c r="D983" s="19"/>
      <c r="E983" s="3"/>
    </row>
    <row r="984">
      <c r="A984" s="3"/>
      <c r="B984" s="19"/>
      <c r="C984" s="19"/>
      <c r="D984" s="19"/>
      <c r="E984" s="3"/>
    </row>
    <row r="985">
      <c r="A985" s="3"/>
      <c r="B985" s="19"/>
      <c r="C985" s="19"/>
      <c r="D985" s="19"/>
      <c r="E985" s="3"/>
    </row>
    <row r="986">
      <c r="A986" s="3"/>
      <c r="B986" s="19"/>
      <c r="C986" s="19"/>
      <c r="D986" s="19"/>
      <c r="E986" s="3"/>
    </row>
    <row r="987">
      <c r="A987" s="3"/>
      <c r="B987" s="19"/>
      <c r="C987" s="19"/>
      <c r="D987" s="19"/>
      <c r="E987" s="3"/>
    </row>
    <row r="988">
      <c r="A988" s="3"/>
      <c r="B988" s="19"/>
      <c r="C988" s="19"/>
      <c r="D988" s="19"/>
      <c r="E988" s="3"/>
    </row>
    <row r="989">
      <c r="A989" s="3"/>
      <c r="B989" s="19"/>
      <c r="C989" s="19"/>
      <c r="D989" s="19"/>
      <c r="E989" s="3"/>
    </row>
    <row r="990">
      <c r="A990" s="3"/>
      <c r="B990" s="19"/>
      <c r="C990" s="19"/>
      <c r="D990" s="19"/>
      <c r="E990" s="3"/>
    </row>
    <row r="991">
      <c r="A991" s="3"/>
      <c r="B991" s="19"/>
      <c r="C991" s="19"/>
      <c r="D991" s="19"/>
      <c r="E991" s="3"/>
    </row>
    <row r="992">
      <c r="A992" s="3"/>
      <c r="B992" s="19"/>
      <c r="C992" s="19"/>
      <c r="D992" s="19"/>
      <c r="E992" s="3"/>
    </row>
    <row r="993">
      <c r="A993" s="3"/>
      <c r="B993" s="19"/>
      <c r="C993" s="19"/>
      <c r="D993" s="19"/>
      <c r="E993" s="3"/>
    </row>
    <row r="994">
      <c r="A994" s="3"/>
      <c r="B994" s="19"/>
      <c r="C994" s="19"/>
      <c r="D994" s="19"/>
      <c r="E994" s="3"/>
    </row>
    <row r="995">
      <c r="A995" s="3"/>
      <c r="B995" s="19"/>
      <c r="C995" s="19"/>
      <c r="D995" s="19"/>
      <c r="E995" s="3"/>
    </row>
    <row r="996">
      <c r="A996" s="3"/>
      <c r="B996" s="19"/>
      <c r="C996" s="19"/>
      <c r="D996" s="19"/>
      <c r="E996" s="3"/>
    </row>
    <row r="997">
      <c r="A997" s="3"/>
      <c r="B997" s="19"/>
      <c r="C997" s="19"/>
      <c r="D997" s="19"/>
      <c r="E997" s="3"/>
    </row>
    <row r="998">
      <c r="A998" s="3"/>
      <c r="B998" s="19"/>
      <c r="C998" s="19"/>
      <c r="D998" s="19"/>
      <c r="E998" s="3"/>
    </row>
    <row r="999">
      <c r="A999" s="3"/>
      <c r="B999" s="19"/>
      <c r="C999" s="19"/>
      <c r="D999" s="19"/>
      <c r="E999" s="3"/>
    </row>
    <row r="1000">
      <c r="A1000" s="3"/>
      <c r="B1000" s="19"/>
      <c r="C1000" s="19"/>
      <c r="D1000" s="19"/>
      <c r="E1000" s="3"/>
    </row>
  </sheetData>
  <drawing r:id="rId1"/>
</worksheet>
</file>