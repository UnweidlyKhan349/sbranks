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uble Elimination" sheetId="1" r:id="rId5"/>
    <sheet state="visible" name="Round Robin" sheetId="2" r:id="rId6"/>
  </sheets>
  <definedNames/>
  <calcPr/>
</workbook>
</file>

<file path=xl/sharedStrings.xml><?xml version="1.0" encoding="utf-8"?>
<sst xmlns="http://schemas.openxmlformats.org/spreadsheetml/2006/main" count="140" uniqueCount="50">
  <si>
    <t>ROUND 1</t>
  </si>
  <si>
    <t>#</t>
  </si>
  <si>
    <t>Team</t>
  </si>
  <si>
    <t>ROUND 2</t>
  </si>
  <si>
    <t>ROUND 3</t>
  </si>
  <si>
    <t>W</t>
  </si>
  <si>
    <t>ROUND 4</t>
  </si>
  <si>
    <t>L</t>
  </si>
  <si>
    <t>FINALS</t>
  </si>
  <si>
    <t>Round</t>
  </si>
  <si>
    <t>Room 1</t>
  </si>
  <si>
    <t>Room 2</t>
  </si>
  <si>
    <t>2:00-2:30 PM</t>
  </si>
  <si>
    <t>Room 3</t>
  </si>
  <si>
    <t>Room 4</t>
  </si>
  <si>
    <t>2:35-3:05 PM</t>
  </si>
  <si>
    <t>3:10-3:40 PM</t>
  </si>
  <si>
    <t>3:45-4:15 PM</t>
  </si>
  <si>
    <t>4:20-5:20 PM</t>
  </si>
  <si>
    <t>A1</t>
  </si>
  <si>
    <t>Eisenhower B</t>
  </si>
  <si>
    <t>8 teams</t>
  </si>
  <si>
    <t>6 teams (4 playing)</t>
  </si>
  <si>
    <t>4 teams</t>
  </si>
  <si>
    <t>3 teams (2 playing)</t>
  </si>
  <si>
    <t>2 teams</t>
  </si>
  <si>
    <t>Middleton A</t>
  </si>
  <si>
    <t>Middleton C</t>
  </si>
  <si>
    <t>Whitney Young</t>
  </si>
  <si>
    <t>Brookfield</t>
  </si>
  <si>
    <t>Eisenhower A</t>
  </si>
  <si>
    <t>Madison West</t>
  </si>
  <si>
    <t>Middleton B</t>
  </si>
  <si>
    <t>A2</t>
  </si>
  <si>
    <t>BYE</t>
  </si>
  <si>
    <t>A3</t>
  </si>
  <si>
    <t>A4</t>
  </si>
  <si>
    <t>B1</t>
  </si>
  <si>
    <t>B2</t>
  </si>
  <si>
    <t>B3</t>
  </si>
  <si>
    <t>B4</t>
  </si>
  <si>
    <t>Teams were re-seeded into groups with the top four and bottom four teams, respectively. One match from the first stage carried over, so teams only played two matches to complete the second round robin.</t>
  </si>
  <si>
    <t>C1</t>
  </si>
  <si>
    <t>C2</t>
  </si>
  <si>
    <t>C3</t>
  </si>
  <si>
    <t>C4</t>
  </si>
  <si>
    <t>D1</t>
  </si>
  <si>
    <t>D2</t>
  </si>
  <si>
    <t>D3</t>
  </si>
  <si>
    <t>D4</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</si>
</sst>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sap"/>
    </font>
    <font>
      <b/>
      <sz val="16.0"/>
      <color theme="1"/>
      <name val="Asap"/>
    </font>
    <font>
      <b/>
      <sz val="12.0"/>
      <color theme="1"/>
      <name val="Asap"/>
    </font>
    <font/>
    <font>
      <sz val="16.0"/>
      <color theme="1"/>
      <name val="Arial"/>
      <scheme val="minor"/>
    </font>
    <font>
      <i/>
      <sz val="14.0"/>
      <color theme="1"/>
      <name val="Asap"/>
    </font>
    <font>
      <sz val="12.0"/>
      <color rgb="FF000000"/>
      <name val="Asap"/>
    </font>
    <font>
      <sz val="14.0"/>
      <color theme="1"/>
      <name val="Arial"/>
      <scheme val="minor"/>
    </font>
    <font>
      <sz val="11.0"/>
      <color theme="1"/>
      <name val="Asap"/>
    </font>
    <font>
      <sz val="11.0"/>
      <color theme="1"/>
      <name val="Arial"/>
      <scheme val="minor"/>
    </font>
    <font>
      <sz val="12.0"/>
      <color theme="1"/>
      <name val="Asap"/>
    </font>
    <font>
      <color theme="1"/>
      <name val="Arial"/>
    </font>
    <font>
      <sz val="12.0"/>
      <color theme="1"/>
      <name val="Arial"/>
    </font>
    <font>
      <sz val="12.0"/>
      <color rgb="FFE06666"/>
      <name val="Asap"/>
    </font>
    <font>
      <color theme="1"/>
      <name val="Arial"/>
      <scheme val="minor"/>
    </font>
  </fonts>
  <fills count="5">
    <fill>
      <patternFill patternType="none"/>
    </fill>
    <fill>
      <patternFill patternType="lightGray"/>
    </fill>
    <fill>
      <patternFill patternType="solid">
        <fgColor rgb="FFF4CCCC"/>
        <bgColor rgb="FFF4CCCC"/>
      </patternFill>
    </fill>
    <fill>
      <patternFill patternType="solid">
        <fgColor rgb="FFEA9999"/>
        <bgColor rgb="FFEA9999"/>
      </patternFill>
    </fill>
    <fill>
      <patternFill patternType="solid">
        <fgColor rgb="FFF8CAC5"/>
        <bgColor rgb="FFF8CAC5"/>
      </patternFill>
    </fill>
  </fills>
  <borders count="33">
    <border/>
    <border>
      <left style="double">
        <color rgb="FF000000"/>
      </left>
      <right style="thin">
        <color rgb="FF000000"/>
      </right>
      <top style="double">
        <color rgb="FF000000"/>
      </top>
      <bottom style="thin">
        <color rgb="FF000000"/>
      </bottom>
    </border>
    <border>
      <right style="double">
        <color rgb="FF000000"/>
      </right>
    </border>
    <border>
      <top style="double">
        <color rgb="FF000000"/>
      </top>
      <bottom style="thin">
        <color rgb="FF000000"/>
      </bottom>
    </border>
    <border>
      <right style="double">
        <color rgb="FF000000"/>
      </right>
      <top style="double">
        <color rgb="FF000000"/>
      </top>
      <bottom style="thin">
        <color rgb="FF000000"/>
      </bottom>
    </border>
    <border>
      <right style="dotted">
        <color rgb="FF000000"/>
      </right>
      <top style="double">
        <color rgb="FF000000"/>
      </top>
      <bottom style="thin">
        <color rgb="FF000000"/>
      </bottom>
    </border>
    <border>
      <left style="dotted">
        <color rgb="FF000000"/>
      </left>
      <top style="double">
        <color rgb="FF000000"/>
      </top>
      <bottom style="thin">
        <color rgb="FF000000"/>
      </bottom>
    </border>
    <border>
      <left style="double">
        <color rgb="FF000000"/>
      </left>
      <right style="thin">
        <color rgb="FF000000"/>
      </right>
    </border>
    <border>
      <left style="double">
        <color rgb="FF000000"/>
      </left>
    </border>
    <border>
      <left style="thin">
        <color rgb="FF000000"/>
      </left>
    </border>
    <border>
      <right style="dotted">
        <color rgb="FF000000"/>
      </right>
    </border>
    <border>
      <left style="dotted">
        <color rgb="FF000000"/>
      </left>
    </border>
    <border>
      <left style="thin">
        <color rgb="FF000000"/>
      </left>
      <bottom style="dotted">
        <color rgb="FF000000"/>
      </bottom>
    </border>
    <border>
      <right style="dotted">
        <color rgb="FF000000"/>
      </right>
      <bottom style="dotted">
        <color rgb="FF000000"/>
      </bottom>
    </border>
    <border>
      <left style="dotted">
        <color rgb="FF000000"/>
      </left>
      <bottom style="dotted">
        <color rgb="FF000000"/>
      </bottom>
    </border>
    <border>
      <bottom style="dotted">
        <color rgb="FF000000"/>
      </bottom>
    </border>
    <border>
      <right style="thin">
        <color rgb="FFEA9999"/>
      </right>
    </border>
    <border>
      <right style="double">
        <color rgb="FF000000"/>
      </right>
      <bottom style="dotted">
        <color rgb="FF000000"/>
      </bottom>
    </border>
    <border>
      <left style="double">
        <color rgb="FF000000"/>
      </left>
      <top style="dotted">
        <color rgb="FF000000"/>
      </top>
    </border>
    <border>
      <left style="thin">
        <color rgb="FF000000"/>
      </left>
      <top style="dotted">
        <color rgb="FF000000"/>
      </top>
    </border>
    <border>
      <top style="dotted">
        <color rgb="FF000000"/>
      </top>
    </border>
    <border>
      <left style="dotted">
        <color rgb="FF000000"/>
      </left>
      <top style="dotted">
        <color rgb="FF000000"/>
      </top>
    </border>
    <border>
      <right style="dotted">
        <color rgb="FF000000"/>
      </right>
      <top style="dotted">
        <color rgb="FF000000"/>
      </top>
    </border>
    <border>
      <right style="double">
        <color rgb="FF000000"/>
      </right>
      <top style="dotted">
        <color rgb="FF000000"/>
      </top>
    </border>
    <border>
      <left style="double">
        <color rgb="FF000000"/>
      </left>
      <right style="thin">
        <color rgb="FF000000"/>
      </right>
      <bottom style="thin">
        <color rgb="FF000000"/>
      </bottom>
    </border>
    <border>
      <bottom style="thin">
        <color rgb="FF000000"/>
      </bottom>
    </border>
    <border>
      <right style="double">
        <color rgb="FF000000"/>
      </right>
      <bottom style="thin">
        <color rgb="FF000000"/>
      </bottom>
    </border>
    <border>
      <left style="double">
        <color rgb="FF000000"/>
      </left>
      <bottom style="dotted">
        <color rgb="FF000000"/>
      </bottom>
    </border>
    <border>
      <left style="thin">
        <color rgb="FFEA9999"/>
      </left>
    </border>
    <border>
      <top style="double">
        <color rgb="FF000000"/>
      </top>
    </border>
    <border>
      <left style="double">
        <color rgb="FF000000"/>
      </left>
      <right style="thin">
        <color rgb="FF000000"/>
      </right>
      <bottom style="double">
        <color rgb="FF000000"/>
      </bottom>
    </border>
    <border>
      <bottom style="double">
        <color rgb="FF000000"/>
      </bottom>
    </border>
    <border>
      <right style="double">
        <color rgb="FF000000"/>
      </right>
      <bottom style="double">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xf>
    <xf borderId="1" fillId="0" fontId="3" numFmtId="0" xfId="0" applyAlignment="1" applyBorder="1" applyFont="1">
      <alignment horizontal="center" readingOrder="0"/>
    </xf>
    <xf borderId="2" fillId="0" fontId="4" numFmtId="0" xfId="0" applyBorder="1" applyFont="1"/>
    <xf borderId="3" fillId="0" fontId="3" numFmtId="0" xfId="0" applyAlignment="1" applyBorder="1" applyFont="1">
      <alignment horizontal="center" readingOrder="0"/>
    </xf>
    <xf borderId="4" fillId="0" fontId="3" numFmtId="0" xfId="0" applyAlignment="1" applyBorder="1" applyFont="1">
      <alignment horizontal="center" readingOrder="0"/>
    </xf>
    <xf borderId="0" fillId="0" fontId="2" numFmtId="0" xfId="0" applyAlignment="1" applyFont="1">
      <alignment horizontal="center" readingOrder="0"/>
    </xf>
    <xf borderId="5" fillId="0" fontId="4" numFmtId="0" xfId="0" applyBorder="1" applyFont="1"/>
    <xf borderId="0" fillId="0" fontId="5" numFmtId="0" xfId="0" applyFont="1"/>
    <xf borderId="6" fillId="0" fontId="3" numFmtId="0" xfId="0" applyAlignment="1" applyBorder="1" applyFont="1">
      <alignment horizontal="center" readingOrder="0"/>
    </xf>
    <xf borderId="0" fillId="0" fontId="6" numFmtId="0" xfId="0" applyAlignment="1" applyFont="1">
      <alignment horizontal="center" readingOrder="0"/>
    </xf>
    <xf borderId="4" fillId="0" fontId="4" numFmtId="0" xfId="0" applyBorder="1" applyFont="1"/>
    <xf borderId="7" fillId="0" fontId="7" numFmtId="0" xfId="0" applyAlignment="1" applyBorder="1" applyFont="1">
      <alignment horizontal="center" readingOrder="0"/>
    </xf>
    <xf borderId="0" fillId="0" fontId="8" numFmtId="0" xfId="0" applyFont="1"/>
    <xf borderId="0" fillId="0" fontId="7" numFmtId="0" xfId="0" applyAlignment="1" applyFont="1">
      <alignment horizontal="center" readingOrder="0"/>
    </xf>
    <xf borderId="0" fillId="0" fontId="9" numFmtId="0" xfId="0" applyAlignment="1" applyFont="1">
      <alignment horizontal="center" readingOrder="0"/>
    </xf>
    <xf borderId="2" fillId="0" fontId="7" numFmtId="0" xfId="0" applyAlignment="1" applyBorder="1" applyFont="1">
      <alignment horizontal="center" readingOrder="0"/>
    </xf>
    <xf borderId="8" fillId="0" fontId="3" numFmtId="0" xfId="0" applyAlignment="1" applyBorder="1" applyFont="1">
      <alignment horizontal="center" readingOrder="0" vertical="center"/>
    </xf>
    <xf borderId="0" fillId="0" fontId="10" numFmtId="0" xfId="0" applyFont="1"/>
    <xf borderId="9" fillId="0" fontId="11" numFmtId="0" xfId="0" applyAlignment="1" applyBorder="1" applyFont="1">
      <alignment horizontal="center" readingOrder="0"/>
    </xf>
    <xf borderId="0" fillId="0" fontId="12" numFmtId="0" xfId="0" applyFont="1"/>
    <xf borderId="10" fillId="0" fontId="11" numFmtId="0" xfId="0" applyAlignment="1" applyBorder="1" applyFont="1">
      <alignment horizontal="center" readingOrder="0"/>
    </xf>
    <xf borderId="11" fillId="0" fontId="11" numFmtId="0" xfId="0" applyAlignment="1" applyBorder="1" applyFont="1">
      <alignment horizontal="center" readingOrder="0"/>
    </xf>
    <xf borderId="0" fillId="2" fontId="11" numFmtId="0" xfId="0" applyAlignment="1" applyFill="1" applyFont="1">
      <alignment readingOrder="0"/>
    </xf>
    <xf borderId="0" fillId="0" fontId="11" numFmtId="0" xfId="0" applyAlignment="1" applyFont="1">
      <alignment horizontal="center" readingOrder="0"/>
    </xf>
    <xf borderId="2" fillId="0" fontId="11" numFmtId="0" xfId="0" applyAlignment="1" applyBorder="1" applyFont="1">
      <alignment horizontal="center" readingOrder="0"/>
    </xf>
    <xf borderId="0" fillId="3" fontId="11" numFmtId="0" xfId="0" applyAlignment="1" applyFill="1" applyFont="1">
      <alignment horizontal="center" vertical="bottom"/>
    </xf>
    <xf borderId="0" fillId="0" fontId="13" numFmtId="0" xfId="0" applyFont="1"/>
    <xf borderId="8" fillId="0" fontId="4" numFmtId="0" xfId="0" applyBorder="1" applyFont="1"/>
    <xf borderId="0" fillId="0" fontId="3" numFmtId="0" xfId="0" applyAlignment="1" applyFont="1">
      <alignment horizontal="center" readingOrder="0" vertical="center"/>
    </xf>
    <xf borderId="12" fillId="0" fontId="11" numFmtId="0" xfId="0" applyAlignment="1" applyBorder="1" applyFont="1">
      <alignment horizontal="center" vertical="bottom"/>
    </xf>
    <xf borderId="0" fillId="3" fontId="11" numFmtId="0" xfId="0" applyAlignment="1" applyFill="1" applyFont="1">
      <alignment horizontal="center"/>
    </xf>
    <xf borderId="13" fillId="0" fontId="11" numFmtId="0" xfId="0" applyAlignment="1" applyBorder="1" applyFont="1">
      <alignment horizontal="center" vertical="bottom"/>
    </xf>
    <xf borderId="14" fillId="0" fontId="11" numFmtId="0" xfId="0" applyAlignment="1" applyBorder="1" applyFont="1">
      <alignment horizontal="center" vertical="bottom"/>
    </xf>
    <xf borderId="0" fillId="4" fontId="14" numFmtId="0" xfId="0" applyAlignment="1" applyFill="1" applyFont="1">
      <alignment horizontal="center"/>
    </xf>
    <xf borderId="15" fillId="0" fontId="11" numFmtId="0" xfId="0" applyAlignment="1" applyBorder="1" applyFont="1">
      <alignment horizontal="center" vertical="bottom"/>
    </xf>
    <xf borderId="16" fillId="0" fontId="4" numFmtId="0" xfId="0" applyBorder="1" applyFont="1"/>
    <xf borderId="17" fillId="0" fontId="11" numFmtId="0" xfId="0" applyAlignment="1" applyBorder="1" applyFont="1">
      <alignment horizontal="center" vertical="bottom"/>
    </xf>
    <xf borderId="0" fillId="0" fontId="3" numFmtId="0" xfId="0" applyAlignment="1" applyFont="1">
      <alignment horizontal="center" readingOrder="0"/>
    </xf>
    <xf borderId="18" fillId="0" fontId="3" numFmtId="0" xfId="0" applyAlignment="1" applyBorder="1" applyFont="1">
      <alignment horizontal="center" readingOrder="0" vertical="center"/>
    </xf>
    <xf borderId="19" fillId="0" fontId="11" numFmtId="0" xfId="0" applyAlignment="1" applyBorder="1" applyFont="1">
      <alignment horizontal="center" readingOrder="0"/>
    </xf>
    <xf borderId="20" fillId="0" fontId="11" numFmtId="0" xfId="0" applyAlignment="1" applyBorder="1" applyFont="1">
      <alignment horizontal="center" readingOrder="0"/>
    </xf>
    <xf borderId="0" fillId="2" fontId="11" numFmtId="0" xfId="0" applyAlignment="1" applyFill="1" applyFont="1">
      <alignment horizontal="left" readingOrder="0"/>
    </xf>
    <xf borderId="21" fillId="0" fontId="11" numFmtId="0" xfId="0" applyAlignment="1" applyBorder="1" applyFont="1">
      <alignment horizontal="center" readingOrder="0"/>
    </xf>
    <xf borderId="0" fillId="3" fontId="13" numFmtId="0" xfId="0" applyFill="1" applyFont="1"/>
    <xf borderId="22" fillId="0" fontId="11" numFmtId="0" xfId="0" applyAlignment="1" applyBorder="1" applyFont="1">
      <alignment horizontal="center" readingOrder="0"/>
    </xf>
    <xf borderId="23" fillId="0" fontId="11" numFmtId="0" xfId="0" applyAlignment="1" applyBorder="1" applyFont="1">
      <alignment horizontal="center" readingOrder="0"/>
    </xf>
    <xf borderId="0" fillId="4" fontId="7" numFmtId="0" xfId="0" applyAlignment="1" applyFill="1" applyFont="1">
      <alignment horizontal="left" readingOrder="0"/>
    </xf>
    <xf borderId="0" fillId="0" fontId="14" numFmtId="0" xfId="0" applyAlignment="1" applyFont="1">
      <alignment horizontal="center"/>
    </xf>
    <xf borderId="24" fillId="0" fontId="11" numFmtId="0" xfId="0" applyAlignment="1" applyBorder="1" applyFont="1">
      <alignment horizontal="center" readingOrder="0"/>
    </xf>
    <xf borderId="25" fillId="0" fontId="11" numFmtId="0" xfId="0" applyAlignment="1" applyBorder="1" applyFont="1">
      <alignment horizontal="center" readingOrder="0"/>
    </xf>
    <xf borderId="25" fillId="0" fontId="7" numFmtId="0" xfId="0" applyAlignment="1" applyBorder="1" applyFont="1">
      <alignment horizontal="center" readingOrder="0"/>
    </xf>
    <xf borderId="26" fillId="0" fontId="7" numFmtId="0" xfId="0" applyAlignment="1" applyBorder="1" applyFont="1">
      <alignment horizontal="center" readingOrder="0"/>
    </xf>
    <xf borderId="27" fillId="0" fontId="4" numFmtId="0" xfId="0" applyBorder="1" applyFont="1"/>
    <xf borderId="28" fillId="2" fontId="11" numFmtId="0" xfId="0" applyAlignment="1" applyBorder="1" applyFill="1" applyFont="1">
      <alignment readingOrder="0" vertical="bottom"/>
    </xf>
    <xf borderId="7" fillId="0" fontId="11" numFmtId="0" xfId="0" applyAlignment="1" applyBorder="1" applyFont="1">
      <alignment horizontal="center" readingOrder="0"/>
    </xf>
    <xf borderId="0" fillId="0" fontId="11" numFmtId="0" xfId="0" applyFont="1"/>
    <xf borderId="0" fillId="0" fontId="11" numFmtId="0" xfId="0" applyAlignment="1" applyFont="1">
      <alignment horizontal="center"/>
    </xf>
    <xf borderId="0" fillId="2" fontId="11" numFmtId="0" xfId="0" applyAlignment="1" applyFill="1" applyFont="1">
      <alignment horizontal="left" readingOrder="0" vertical="center"/>
    </xf>
    <xf borderId="29" fillId="0" fontId="3" numFmtId="0" xfId="0" applyAlignment="1" applyBorder="1" applyFont="1">
      <alignment horizontal="center" readingOrder="0" vertical="center"/>
    </xf>
    <xf borderId="0" fillId="0" fontId="13" numFmtId="0" xfId="0" applyAlignment="1" applyFont="1">
      <alignment readingOrder="0"/>
    </xf>
    <xf borderId="29" fillId="0" fontId="11" numFmtId="0" xfId="0" applyAlignment="1" applyBorder="1" applyFont="1">
      <alignment horizontal="center" readingOrder="0"/>
    </xf>
    <xf borderId="30" fillId="0" fontId="11" numFmtId="0" xfId="0" applyAlignment="1" applyBorder="1" applyFont="1">
      <alignment horizontal="center" readingOrder="0"/>
    </xf>
    <xf borderId="31" fillId="0" fontId="11" numFmtId="0" xfId="0" applyAlignment="1" applyBorder="1" applyFont="1">
      <alignment horizontal="center" readingOrder="0"/>
    </xf>
    <xf borderId="31" fillId="0" fontId="7" numFmtId="0" xfId="0" applyAlignment="1" applyBorder="1" applyFont="1">
      <alignment horizontal="center" readingOrder="0"/>
    </xf>
    <xf borderId="32" fillId="0" fontId="7" numFmtId="0" xfId="0" applyAlignment="1" applyBorder="1" applyFont="1">
      <alignment horizontal="center" readingOrder="0"/>
    </xf>
    <xf borderId="0" fillId="0" fontId="11" numFmtId="0" xfId="0" applyAlignment="1" applyFont="1">
      <alignment horizontal="center" readingOrder="0" shrinkToFit="0" vertical="center" wrapText="1"/>
    </xf>
    <xf borderId="31" fillId="0" fontId="3" numFmtId="0" xfId="0" applyAlignment="1" applyBorder="1" applyFont="1">
      <alignment horizontal="center" readingOrder="0" vertical="center"/>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75"/>
    <col customWidth="1" min="2" max="2" width="5.13"/>
    <col customWidth="1" min="3" max="3" width="15.75"/>
    <col customWidth="1" min="4" max="4" width="5.13"/>
    <col customWidth="1" min="5" max="5" width="15.75"/>
    <col customWidth="1" min="6" max="6" width="5.13"/>
    <col customWidth="1" min="7" max="7" width="15.75"/>
    <col customWidth="1" min="8" max="8" width="5.13"/>
    <col customWidth="1" min="9" max="9" width="15.75"/>
    <col customWidth="1" min="10" max="10" width="5.13"/>
    <col customWidth="1" min="11" max="11" width="15.75"/>
    <col customWidth="1" min="12" max="12" width="5.13"/>
  </cols>
  <sheetData>
    <row r="1">
      <c r="A1" s="3" t="s">
        <v>0</v>
      </c>
      <c r="B1" s="5"/>
      <c r="C1" s="3" t="s">
        <v>3</v>
      </c>
      <c r="D1" s="5"/>
      <c r="E1" s="3" t="s">
        <v>4</v>
      </c>
      <c r="F1" s="5"/>
      <c r="G1" s="3" t="s">
        <v>6</v>
      </c>
      <c r="H1" s="5"/>
      <c r="I1" s="8" t="s">
        <v>8</v>
      </c>
      <c r="J1" s="5"/>
      <c r="K1" s="8"/>
      <c r="L1" s="8"/>
      <c r="M1" s="10"/>
      <c r="N1" s="10"/>
      <c r="O1" s="10"/>
      <c r="P1" s="10"/>
      <c r="Q1" s="10"/>
      <c r="R1" s="10"/>
      <c r="S1" s="10"/>
      <c r="T1" s="10"/>
      <c r="U1" s="10"/>
      <c r="V1" s="10"/>
      <c r="W1" s="10"/>
      <c r="X1" s="10"/>
      <c r="Y1" s="10"/>
      <c r="Z1" s="10"/>
    </row>
    <row r="2">
      <c r="A2" s="12" t="s">
        <v>12</v>
      </c>
      <c r="B2" s="5"/>
      <c r="C2" s="12" t="s">
        <v>15</v>
      </c>
      <c r="D2" s="5"/>
      <c r="E2" s="12" t="s">
        <v>16</v>
      </c>
      <c r="F2" s="5"/>
      <c r="G2" s="12" t="s">
        <v>17</v>
      </c>
      <c r="H2" s="5"/>
      <c r="I2" s="12" t="s">
        <v>18</v>
      </c>
      <c r="J2" s="5"/>
      <c r="K2" s="8"/>
      <c r="L2" s="8"/>
      <c r="M2" s="15"/>
      <c r="N2" s="15"/>
      <c r="O2" s="15"/>
      <c r="P2" s="15"/>
      <c r="Q2" s="15"/>
      <c r="R2" s="15"/>
      <c r="S2" s="15"/>
      <c r="T2" s="15"/>
      <c r="U2" s="15"/>
      <c r="V2" s="15"/>
      <c r="W2" s="15"/>
      <c r="X2" s="15"/>
      <c r="Y2" s="15"/>
      <c r="Z2" s="15"/>
    </row>
    <row r="3">
      <c r="A3" s="17" t="s">
        <v>21</v>
      </c>
      <c r="B3" s="5"/>
      <c r="C3" s="17" t="s">
        <v>22</v>
      </c>
      <c r="D3" s="5"/>
      <c r="E3" s="17" t="s">
        <v>23</v>
      </c>
      <c r="F3" s="5"/>
      <c r="G3" s="17" t="s">
        <v>24</v>
      </c>
      <c r="H3" s="5"/>
      <c r="I3" s="17" t="s">
        <v>25</v>
      </c>
      <c r="J3" s="5"/>
      <c r="K3" s="8"/>
      <c r="L3" s="8"/>
      <c r="M3" s="20"/>
      <c r="N3" s="20"/>
      <c r="O3" s="20"/>
      <c r="P3" s="20"/>
      <c r="Q3" s="20"/>
      <c r="R3" s="20"/>
      <c r="S3" s="20"/>
      <c r="T3" s="20"/>
      <c r="U3" s="20"/>
      <c r="V3" s="20"/>
      <c r="W3" s="20"/>
      <c r="X3" s="20"/>
      <c r="Y3" s="20"/>
      <c r="Z3" s="20"/>
    </row>
    <row r="4" ht="20.25" customHeight="1">
      <c r="A4" s="22"/>
      <c r="B4" s="22"/>
      <c r="C4" s="22"/>
      <c r="D4" s="22"/>
      <c r="E4" s="22"/>
      <c r="F4" s="22"/>
      <c r="G4" s="22"/>
      <c r="H4" s="22"/>
      <c r="I4" s="22"/>
      <c r="J4" s="22"/>
      <c r="K4" s="22"/>
      <c r="L4" s="22"/>
    </row>
    <row r="5" ht="20.25" customHeight="1">
      <c r="A5" s="25" t="s">
        <v>26</v>
      </c>
      <c r="B5" s="28">
        <f>IFERROR(__xludf.DUMMYFUNCTION("IMPORTRANGE(""https://docs.google.com/spreadsheets/d/1vSWx1btHxoHQgr8Rq9HDcd9Z-5yq1oDra8PnwyMwljo/edit?usp=sharing"",""Round 6!C29"")"),116.0)</f>
        <v>116</v>
      </c>
      <c r="C5" s="29"/>
      <c r="D5" s="29"/>
      <c r="E5" s="29"/>
      <c r="F5" s="29"/>
      <c r="G5" s="29"/>
      <c r="H5" s="29"/>
      <c r="I5" s="29"/>
      <c r="J5" s="29"/>
      <c r="K5" s="29"/>
      <c r="L5" s="29"/>
    </row>
    <row r="6" ht="20.25" customHeight="1">
      <c r="A6" s="31" t="s">
        <v>10</v>
      </c>
      <c r="B6" s="33"/>
      <c r="C6" s="36" t="s">
        <v>34</v>
      </c>
      <c r="D6" s="38"/>
      <c r="E6" s="25" t="s">
        <v>26</v>
      </c>
      <c r="F6" s="28">
        <f>IFERROR(__xludf.DUMMYFUNCTION("IMPORTRANGE(""https://docs.google.com/spreadsheets/d/1N1UXo-IMPLBx6DvsC5B5UXnfQC1XvjyaGXV-zy7lbks/edit?usp=sharing"",""Round 8!J29"")"),66.0)</f>
        <v>66</v>
      </c>
      <c r="G6" s="29"/>
      <c r="H6" s="29"/>
      <c r="I6" s="29"/>
      <c r="J6" s="29"/>
      <c r="K6" s="29"/>
      <c r="L6" s="29"/>
    </row>
    <row r="7" ht="20.25" customHeight="1">
      <c r="A7" s="25" t="s">
        <v>30</v>
      </c>
      <c r="B7" s="28">
        <f>IFERROR(__xludf.DUMMYFUNCTION("IMPORTRANGE(""https://docs.google.com/spreadsheets/d/1vSWx1btHxoHQgr8Rq9HDcd9Z-5yq1oDra8PnwyMwljo/edit?usp=sharing"",""Round 6!J29"")"),62.0)</f>
        <v>62</v>
      </c>
      <c r="C7" s="29"/>
      <c r="D7" s="29"/>
      <c r="E7" s="29"/>
      <c r="F7" s="33"/>
      <c r="G7" s="29"/>
      <c r="H7" s="29"/>
      <c r="I7" s="29"/>
      <c r="J7" s="29"/>
      <c r="K7" s="29"/>
      <c r="L7" s="29"/>
    </row>
    <row r="8" ht="20.25" customHeight="1">
      <c r="A8" s="29"/>
      <c r="B8" s="29"/>
      <c r="C8" s="29"/>
      <c r="D8" s="29"/>
      <c r="E8" s="40" t="s">
        <v>10</v>
      </c>
      <c r="G8" s="36" t="s">
        <v>34</v>
      </c>
      <c r="H8" s="38"/>
      <c r="I8" s="44" t="s">
        <v>29</v>
      </c>
      <c r="J8" s="28">
        <f>IFERROR(__xludf.DUMMYFUNCTION("IMPORTRANGE(""https://docs.google.com/spreadsheets/d/1N1UXo-IMPLBx6DvsC5B5UXnfQC1XvjyaGXV-zy7lbks/edit?usp=sharing"",""Round 10!C29"")"),112.0)</f>
        <v>112</v>
      </c>
      <c r="K8" s="29"/>
      <c r="L8" s="29"/>
    </row>
    <row r="9" ht="20.25" customHeight="1">
      <c r="A9" s="25" t="s">
        <v>28</v>
      </c>
      <c r="B9" s="28">
        <f>IFERROR(__xludf.DUMMYFUNCTION("IMPORTRANGE(""https://docs.google.com/spreadsheets/d/1rJDte-phScr1LgyWSkiRUPbxyA_cTYvLJHc5NzLj1l4/edit?usp=sharing"",""Round 6!C29"")"),66.0)</f>
        <v>66</v>
      </c>
      <c r="C9" s="29"/>
      <c r="D9" s="29"/>
      <c r="E9" s="29"/>
      <c r="G9" s="29"/>
      <c r="H9" s="29"/>
      <c r="I9" s="31" t="s">
        <v>10</v>
      </c>
      <c r="J9" s="46"/>
      <c r="K9" s="29"/>
      <c r="L9" s="29"/>
    </row>
    <row r="10" ht="20.25" customHeight="1">
      <c r="A10" s="31" t="s">
        <v>11</v>
      </c>
      <c r="B10" s="33"/>
      <c r="C10" s="36" t="s">
        <v>34</v>
      </c>
      <c r="D10" s="38"/>
      <c r="E10" s="25" t="s">
        <v>29</v>
      </c>
      <c r="F10" s="28">
        <f>IFERROR(__xludf.DUMMYFUNCTION("IMPORTRANGE(""https://docs.google.com/spreadsheets/d/1N1UXo-IMPLBx6DvsC5B5UXnfQC1XvjyaGXV-zy7lbks/edit?usp=sharing"",""Round 8!C29"")"),136.0)</f>
        <v>136</v>
      </c>
      <c r="G10" s="29"/>
      <c r="H10" s="29"/>
      <c r="K10" s="29"/>
      <c r="L10" s="29"/>
    </row>
    <row r="11" ht="20.25" customHeight="1">
      <c r="A11" s="25" t="s">
        <v>29</v>
      </c>
      <c r="B11" s="28">
        <f>IFERROR(__xludf.DUMMYFUNCTION("IMPORTRANGE(""https://docs.google.com/spreadsheets/d/1rJDte-phScr1LgyWSkiRUPbxyA_cTYvLJHc5NzLj1l4/edit?usp=sharing"",""Round 6!J29"")"),104.0)</f>
        <v>104</v>
      </c>
      <c r="C11" s="29"/>
      <c r="D11" s="29"/>
      <c r="E11" s="29"/>
      <c r="F11" s="29"/>
      <c r="G11" s="29"/>
      <c r="H11" s="29"/>
      <c r="K11" s="29"/>
      <c r="L11" s="29"/>
    </row>
    <row r="12" ht="20.25" customHeight="1">
      <c r="A12" s="29"/>
      <c r="B12" s="29"/>
      <c r="C12" s="29"/>
      <c r="D12" s="29"/>
      <c r="E12" s="29"/>
      <c r="F12" s="29"/>
      <c r="G12" s="29"/>
      <c r="H12" s="29"/>
      <c r="K12" s="49" t="s">
        <v>29</v>
      </c>
      <c r="L12" s="50"/>
    </row>
    <row r="13" ht="20.25" customHeight="1">
      <c r="A13" s="29"/>
      <c r="B13" s="29"/>
      <c r="C13" s="29"/>
      <c r="D13" s="29"/>
      <c r="E13" s="29"/>
      <c r="F13" s="29"/>
      <c r="G13" s="29"/>
      <c r="H13" s="29"/>
      <c r="K13" s="50"/>
      <c r="L13" s="50"/>
    </row>
    <row r="14" ht="20.25" customHeight="1">
      <c r="A14" s="29"/>
      <c r="B14" s="29"/>
      <c r="C14" s="25" t="s">
        <v>30</v>
      </c>
      <c r="D14" s="28">
        <f>IFERROR(__xludf.DUMMYFUNCTION("IMPORTRANGE(""https://docs.google.com/spreadsheets/d/1vSWx1btHxoHQgr8Rq9HDcd9Z-5yq1oDra8PnwyMwljo/edit?usp=sharing"",""Round 7!C29"")"),48.0)</f>
        <v>48</v>
      </c>
      <c r="E14" s="29"/>
      <c r="F14" s="29"/>
      <c r="G14" s="56" t="s">
        <v>26</v>
      </c>
      <c r="H14" s="28">
        <f>IFERROR(__xludf.DUMMYFUNCTION("IMPORTRANGE(""https://docs.google.com/spreadsheets/d/1N1UXo-IMPLBx6DvsC5B5UXnfQC1XvjyaGXV-zy7lbks/edit?usp=sharing"",""Round 9!J29"")"),96.0)</f>
        <v>96</v>
      </c>
      <c r="K14" s="50"/>
      <c r="L14" s="50"/>
    </row>
    <row r="15" ht="9.75" customHeight="1">
      <c r="A15" s="58"/>
      <c r="B15" s="59"/>
      <c r="C15" s="31" t="s">
        <v>10</v>
      </c>
      <c r="D15" s="46"/>
      <c r="E15" s="29"/>
      <c r="F15" s="29"/>
      <c r="G15" s="31" t="s">
        <v>10</v>
      </c>
      <c r="H15" s="46"/>
      <c r="K15" s="29"/>
      <c r="L15" s="29"/>
    </row>
    <row r="16" ht="20.25" customHeight="1">
      <c r="A16" s="25" t="s">
        <v>32</v>
      </c>
      <c r="B16" s="28">
        <f>IFERROR(__xludf.DUMMYFUNCTION("IMPORTRANGE(""https://docs.google.com/spreadsheets/d/1N1UXo-IMPLBx6DvsC5B5UXnfQC1XvjyaGXV-zy7lbks/edit?usp=sharing"",""Round 6!C29"")"),58.0)</f>
        <v>58</v>
      </c>
      <c r="E16" s="25" t="s">
        <v>30</v>
      </c>
      <c r="F16" s="28">
        <f>IFERROR(__xludf.DUMMYFUNCTION("IMPORTRANGE(""https://docs.google.com/spreadsheets/d/1rJDte-phScr1LgyWSkiRUPbxyA_cTYvLJHc5NzLj1l4/edit?usp=sharing"",""Round 8!J29"")"),36.0)</f>
        <v>36</v>
      </c>
      <c r="I16" s="60" t="s">
        <v>26</v>
      </c>
      <c r="J16" s="28">
        <f>IFERROR(__xludf.DUMMYFUNCTION("IMPORTRANGE(""https://docs.google.com/spreadsheets/d/1N1UXo-IMPLBx6DvsC5B5UXnfQC1XvjyaGXV-zy7lbks/edit?usp=sharing"",""Round 10!J29"")"),108.0)</f>
        <v>108</v>
      </c>
      <c r="K16" s="29"/>
      <c r="L16" s="29"/>
    </row>
    <row r="17" ht="20.25" customHeight="1">
      <c r="A17" s="31" t="s">
        <v>13</v>
      </c>
      <c r="B17" s="33"/>
      <c r="C17" s="25" t="s">
        <v>32</v>
      </c>
      <c r="D17" s="28">
        <f>IFERROR(__xludf.DUMMYFUNCTION("IMPORTRANGE(""https://docs.google.com/spreadsheets/d/1vSWx1btHxoHQgr8Rq9HDcd9Z-5yq1oDra8PnwyMwljo/edit?usp=sharing"",""Round 7!J29"")"),28.0)</f>
        <v>28</v>
      </c>
      <c r="E17" s="31" t="s">
        <v>11</v>
      </c>
      <c r="F17" s="33"/>
      <c r="I17" s="58"/>
      <c r="J17" s="62"/>
      <c r="K17" s="29"/>
      <c r="L17" s="29"/>
    </row>
    <row r="18" ht="20.25" customHeight="1">
      <c r="A18" s="25" t="s">
        <v>20</v>
      </c>
      <c r="B18" s="28">
        <f>IFERROR(__xludf.DUMMYFUNCTION("IMPORTRANGE(""https://docs.google.com/spreadsheets/d/1N1UXo-IMPLBx6DvsC5B5UXnfQC1XvjyaGXV-zy7lbks/edit?usp=sharing"",""Round 6!J29"")"),54.0)</f>
        <v>54</v>
      </c>
      <c r="C18" s="29"/>
      <c r="D18" s="29"/>
      <c r="G18" s="25" t="s">
        <v>28</v>
      </c>
      <c r="H18" s="28">
        <f>IFERROR(__xludf.DUMMYFUNCTION("IMPORTRANGE(""https://docs.google.com/spreadsheets/d/1N1UXo-IMPLBx6DvsC5B5UXnfQC1XvjyaGXV-zy7lbks/edit?usp=sharing"",""Round 9!C29"")"),28.0)</f>
        <v>28</v>
      </c>
      <c r="I18" s="29"/>
      <c r="J18" s="29"/>
      <c r="K18" s="29"/>
      <c r="L18" s="29"/>
    </row>
    <row r="19" ht="9.75" customHeight="1">
      <c r="A19" s="29"/>
      <c r="B19" s="29"/>
      <c r="C19" s="58"/>
      <c r="D19" s="59"/>
      <c r="G19" s="50"/>
      <c r="H19" s="50"/>
      <c r="I19" s="58"/>
      <c r="J19" s="59"/>
      <c r="K19" s="29"/>
      <c r="L19" s="29"/>
    </row>
    <row r="20" ht="20.25" customHeight="1">
      <c r="A20" s="29"/>
      <c r="B20" s="29"/>
      <c r="C20" s="25" t="s">
        <v>28</v>
      </c>
      <c r="D20" s="28">
        <f>IFERROR(__xludf.DUMMYFUNCTION("IMPORTRANGE(""https://docs.google.com/spreadsheets/d/1rJDte-phScr1LgyWSkiRUPbxyA_cTYvLJHc5NzLj1l4/edit?usp=sharing"",""Round 7!C29"")"),44.0)</f>
        <v>44</v>
      </c>
      <c r="G20" s="58"/>
      <c r="H20" s="59"/>
      <c r="I20" s="58"/>
      <c r="J20" s="59"/>
      <c r="K20" s="29"/>
      <c r="L20" s="29"/>
    </row>
    <row r="21" ht="9.75" customHeight="1">
      <c r="A21" s="58"/>
      <c r="B21" s="59"/>
      <c r="C21" s="31" t="s">
        <v>11</v>
      </c>
      <c r="D21" s="46"/>
      <c r="G21" s="29"/>
      <c r="H21" s="29"/>
      <c r="I21" s="29"/>
      <c r="J21" s="29"/>
      <c r="K21" s="29"/>
      <c r="L21" s="29"/>
    </row>
    <row r="22" ht="20.25" customHeight="1">
      <c r="A22" s="25" t="s">
        <v>31</v>
      </c>
      <c r="B22" s="28">
        <f>IFERROR(__xludf.DUMMYFUNCTION("IMPORTRANGE(""https://docs.google.com/spreadsheets/d/1r4mbi2c4g-y_zl9kLXj6B-OuSKEvKccZ5XGZpkWtTt0/edit?usp=sharing"",""Round 6!C29"")"),38.0)</f>
        <v>38</v>
      </c>
      <c r="E22" s="25" t="s">
        <v>28</v>
      </c>
      <c r="F22" s="28">
        <f>IFERROR(__xludf.DUMMYFUNCTION("IMPORTRANGE(""https://docs.google.com/spreadsheets/d/1rJDte-phScr1LgyWSkiRUPbxyA_cTYvLJHc5NzLj1l4/edit?usp=sharing"",""Round 8!C29"")"),88.0)</f>
        <v>88</v>
      </c>
      <c r="G22" s="29"/>
      <c r="H22" s="29"/>
      <c r="I22" s="29"/>
      <c r="J22" s="29"/>
      <c r="K22" s="29"/>
      <c r="L22" s="29"/>
    </row>
    <row r="23" ht="20.25" customHeight="1">
      <c r="A23" s="31" t="s">
        <v>14</v>
      </c>
      <c r="B23" s="33"/>
      <c r="C23" s="25" t="s">
        <v>27</v>
      </c>
      <c r="D23" s="28">
        <f>IFERROR(__xludf.DUMMYFUNCTION("IMPORTRANGE(""https://docs.google.com/spreadsheets/d/1rJDte-phScr1LgyWSkiRUPbxyA_cTYvLJHc5NzLj1l4/edit?usp=sharing"",""Round 7!J29"")"),20.0)</f>
        <v>20</v>
      </c>
      <c r="E23" s="58"/>
      <c r="F23" s="59"/>
      <c r="G23" s="29"/>
      <c r="H23" s="29"/>
      <c r="I23" s="29"/>
      <c r="J23" s="29"/>
      <c r="K23" s="29"/>
      <c r="L23" s="29"/>
    </row>
    <row r="24" ht="20.25" customHeight="1">
      <c r="A24" s="25" t="s">
        <v>27</v>
      </c>
      <c r="B24" s="28">
        <f>IFERROR(__xludf.DUMMYFUNCTION("IMPORTRANGE(""https://docs.google.com/spreadsheets/d/1r4mbi2c4g-y_zl9kLXj6B-OuSKEvKccZ5XGZpkWtTt0/edit?usp=sharing"",""Round 6!J29"")"),54.0)</f>
        <v>54</v>
      </c>
      <c r="C24" s="29"/>
      <c r="D24" s="29"/>
      <c r="E24" s="29"/>
      <c r="F24" s="29"/>
      <c r="G24" s="29"/>
      <c r="H24" s="29"/>
      <c r="I24" s="29"/>
      <c r="J24" s="29"/>
      <c r="K24" s="29"/>
      <c r="L24" s="29"/>
    </row>
    <row r="25">
      <c r="A25" s="22"/>
      <c r="B25" s="22"/>
      <c r="C25" s="22"/>
      <c r="D25" s="22"/>
      <c r="E25" s="22"/>
      <c r="F25" s="22"/>
      <c r="G25" s="22"/>
      <c r="H25" s="22"/>
      <c r="I25" s="22"/>
      <c r="J25" s="22"/>
      <c r="K25" s="22"/>
      <c r="L25" s="22"/>
    </row>
  </sheetData>
  <mergeCells count="29">
    <mergeCell ref="A2:B2"/>
    <mergeCell ref="A3:B3"/>
    <mergeCell ref="C3:D3"/>
    <mergeCell ref="E3:F3"/>
    <mergeCell ref="G3:H3"/>
    <mergeCell ref="I3:J3"/>
    <mergeCell ref="A1:B1"/>
    <mergeCell ref="C1:D1"/>
    <mergeCell ref="E1:F1"/>
    <mergeCell ref="G1:H1"/>
    <mergeCell ref="I1:J1"/>
    <mergeCell ref="C2:D2"/>
    <mergeCell ref="I2:J2"/>
    <mergeCell ref="C10:D10"/>
    <mergeCell ref="C15:C16"/>
    <mergeCell ref="D15:D16"/>
    <mergeCell ref="C21:C22"/>
    <mergeCell ref="D21:D22"/>
    <mergeCell ref="G15:G17"/>
    <mergeCell ref="H15:H17"/>
    <mergeCell ref="E17:E21"/>
    <mergeCell ref="F17:F21"/>
    <mergeCell ref="E2:F2"/>
    <mergeCell ref="G2:H2"/>
    <mergeCell ref="C6:D6"/>
    <mergeCell ref="F7:F9"/>
    <mergeCell ref="G8:H8"/>
    <mergeCell ref="I9:I15"/>
    <mergeCell ref="J9:J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5.13"/>
    <col customWidth="1" min="3" max="3" width="16.38"/>
    <col customWidth="1" min="4" max="5" width="5.13"/>
    <col customWidth="1" min="6" max="6" width="3.88"/>
    <col customWidth="1" min="7" max="7" width="7.0"/>
    <col customWidth="1" min="8" max="15" width="15.75"/>
  </cols>
  <sheetData>
    <row r="1">
      <c r="A1" s="1"/>
      <c r="B1" s="1"/>
      <c r="C1" s="1"/>
      <c r="D1" s="1"/>
      <c r="E1" s="1"/>
      <c r="F1" s="2"/>
      <c r="G1" s="2"/>
      <c r="H1" s="2"/>
      <c r="I1" s="2"/>
      <c r="J1" s="2"/>
      <c r="K1" s="2"/>
      <c r="L1" s="2"/>
      <c r="M1" s="2"/>
      <c r="N1" s="2"/>
      <c r="O1" s="2"/>
      <c r="P1" s="2"/>
      <c r="Q1" s="2"/>
      <c r="R1" s="2"/>
      <c r="S1" s="2"/>
      <c r="T1" s="2"/>
      <c r="U1" s="2"/>
      <c r="V1" s="2"/>
      <c r="W1" s="2"/>
      <c r="X1" s="2"/>
      <c r="Y1" s="2"/>
      <c r="Z1" s="2"/>
      <c r="AA1" s="2"/>
      <c r="AB1" s="2"/>
      <c r="AC1" s="2"/>
    </row>
    <row r="2" ht="18.75" customHeight="1">
      <c r="A2" s="2"/>
      <c r="B2" s="4" t="s">
        <v>1</v>
      </c>
      <c r="C2" s="6" t="s">
        <v>2</v>
      </c>
      <c r="D2" s="6" t="s">
        <v>5</v>
      </c>
      <c r="E2" s="7" t="s">
        <v>7</v>
      </c>
      <c r="F2" s="2"/>
      <c r="G2" s="4" t="s">
        <v>9</v>
      </c>
      <c r="H2" s="6" t="s">
        <v>10</v>
      </c>
      <c r="I2" s="9"/>
      <c r="J2" s="11" t="s">
        <v>11</v>
      </c>
      <c r="K2" s="9"/>
      <c r="L2" s="11" t="s">
        <v>13</v>
      </c>
      <c r="M2" s="9"/>
      <c r="N2" s="11" t="s">
        <v>14</v>
      </c>
      <c r="O2" s="13"/>
      <c r="P2" s="2"/>
      <c r="Q2" s="2"/>
      <c r="R2" s="2"/>
      <c r="S2" s="2"/>
      <c r="T2" s="2"/>
      <c r="U2" s="2"/>
      <c r="V2" s="2"/>
      <c r="W2" s="2"/>
      <c r="X2" s="2"/>
      <c r="Y2" s="2"/>
      <c r="Z2" s="2"/>
      <c r="AA2" s="2"/>
      <c r="AB2" s="2"/>
      <c r="AC2" s="2"/>
    </row>
    <row r="3" ht="18.75" customHeight="1">
      <c r="A3" s="2"/>
      <c r="B3" s="14" t="s">
        <v>19</v>
      </c>
      <c r="C3" s="16" t="s">
        <v>20</v>
      </c>
      <c r="D3" s="16">
        <v>0.0</v>
      </c>
      <c r="E3" s="18">
        <v>3.0</v>
      </c>
      <c r="F3" s="2"/>
      <c r="G3" s="19">
        <v>1.0</v>
      </c>
      <c r="H3" s="21" t="s">
        <v>20</v>
      </c>
      <c r="I3" s="23" t="s">
        <v>26</v>
      </c>
      <c r="J3" s="24" t="s">
        <v>27</v>
      </c>
      <c r="K3" s="26" t="s">
        <v>28</v>
      </c>
      <c r="L3" s="24" t="s">
        <v>29</v>
      </c>
      <c r="M3" s="23" t="s">
        <v>30</v>
      </c>
      <c r="N3" s="26" t="s">
        <v>31</v>
      </c>
      <c r="O3" s="27" t="s">
        <v>32</v>
      </c>
      <c r="P3" s="2"/>
      <c r="Q3" s="2"/>
      <c r="R3" s="2"/>
      <c r="S3" s="2"/>
      <c r="T3" s="2"/>
      <c r="U3" s="2"/>
      <c r="V3" s="2"/>
      <c r="W3" s="2"/>
      <c r="X3" s="2"/>
      <c r="Y3" s="2"/>
      <c r="Z3" s="2"/>
      <c r="AA3" s="2"/>
      <c r="AB3" s="2"/>
      <c r="AC3" s="2"/>
    </row>
    <row r="4" ht="18.75" customHeight="1">
      <c r="A4" s="2"/>
      <c r="B4" s="14" t="s">
        <v>33</v>
      </c>
      <c r="C4" s="26" t="s">
        <v>26</v>
      </c>
      <c r="D4" s="16">
        <v>3.0</v>
      </c>
      <c r="E4" s="18">
        <v>0.0</v>
      </c>
      <c r="F4" s="1"/>
      <c r="G4" s="30"/>
      <c r="H4" s="32">
        <f>IFERROR(__xludf.DUMMYFUNCTION("IMPORTRANGE(""https://docs.google.com/spreadsheets/d/1vSWx1btHxoHQgr8Rq9HDcd9Z-5yq1oDra8PnwyMwljo/edit?usp=sharing"",""Round 1!C29"")"),20.0)</f>
        <v>20</v>
      </c>
      <c r="I4" s="34">
        <f>IFERROR(__xludf.DUMMYFUNCTION("IMPORTRANGE(""https://docs.google.com/spreadsheets/d/1vSWx1btHxoHQgr8Rq9HDcd9Z-5yq1oDra8PnwyMwljo/edit?usp=sharing"",""Round 1!J29"")"),218.0)</f>
        <v>218</v>
      </c>
      <c r="J4" s="35">
        <f>IFERROR(__xludf.DUMMYFUNCTION("IMPORTRANGE(""https://docs.google.com/spreadsheets/d/1rJDte-phScr1LgyWSkiRUPbxyA_cTYvLJHc5NzLj1l4/edit?usp=sharing"",""Round 1!C29"")"),26.0)</f>
        <v>26</v>
      </c>
      <c r="K4" s="34">
        <f>IFERROR(__xludf.DUMMYFUNCTION("IMPORTRANGE(""https://docs.google.com/spreadsheets/d/1rJDte-phScr1LgyWSkiRUPbxyA_cTYvLJHc5NzLj1l4/edit?usp=sharing"",""Round 1!J29"")"),182.0)</f>
        <v>182</v>
      </c>
      <c r="L4" s="37">
        <f>IFERROR(__xludf.DUMMYFUNCTION("IMPORTRANGE(""https://docs.google.com/spreadsheets/d/1N1UXo-IMPLBx6DvsC5B5UXnfQC1XvjyaGXV-zy7lbks/edit?usp=sharing"",""Round 1!C29"")"),196.0)</f>
        <v>196</v>
      </c>
      <c r="M4" s="34">
        <f>IFERROR(__xludf.DUMMYFUNCTION("IMPORTRANGE(""https://docs.google.com/spreadsheets/d/1N1UXo-IMPLBx6DvsC5B5UXnfQC1XvjyaGXV-zy7lbks/edit?usp=sharing"",""Round 1!J29"")"),94.0)</f>
        <v>94</v>
      </c>
      <c r="N4" s="37">
        <f>IFERROR(__xludf.DUMMYFUNCTION("IMPORTRANGE(""https://docs.google.com/spreadsheets/d/1r4mbi2c4g-y_zl9kLXj6B-OuSKEvKccZ5XGZpkWtTt0/edit?usp=sharing"",""Round 1!C29"")"),100.0)</f>
        <v>100</v>
      </c>
      <c r="O4" s="39">
        <f>IFERROR(__xludf.DUMMYFUNCTION("IMPORTRANGE(""https://docs.google.com/spreadsheets/d/1r4mbi2c4g-y_zl9kLXj6B-OuSKEvKccZ5XGZpkWtTt0/edit?usp=sharing"",""Round 1!J29"")"),94.0)</f>
        <v>94</v>
      </c>
      <c r="P4" s="2"/>
      <c r="Q4" s="2"/>
      <c r="R4" s="2"/>
      <c r="S4" s="2"/>
      <c r="T4" s="2"/>
      <c r="U4" s="2"/>
      <c r="V4" s="2"/>
      <c r="W4" s="2"/>
      <c r="X4" s="2"/>
      <c r="Y4" s="2"/>
      <c r="Z4" s="2"/>
      <c r="AA4" s="2"/>
      <c r="AB4" s="2"/>
      <c r="AC4" s="2"/>
    </row>
    <row r="5" ht="18.75" customHeight="1">
      <c r="A5" s="2"/>
      <c r="B5" s="14" t="s">
        <v>35</v>
      </c>
      <c r="C5" s="16" t="s">
        <v>27</v>
      </c>
      <c r="D5" s="16">
        <v>1.0</v>
      </c>
      <c r="E5" s="18">
        <v>2.0</v>
      </c>
      <c r="F5" s="2"/>
      <c r="G5" s="41">
        <v>2.0</v>
      </c>
      <c r="H5" s="42" t="s">
        <v>26</v>
      </c>
      <c r="I5" s="43" t="s">
        <v>28</v>
      </c>
      <c r="J5" s="45" t="s">
        <v>27</v>
      </c>
      <c r="K5" s="47" t="s">
        <v>20</v>
      </c>
      <c r="L5" s="45" t="s">
        <v>31</v>
      </c>
      <c r="M5" s="47" t="s">
        <v>30</v>
      </c>
      <c r="N5" s="43" t="s">
        <v>29</v>
      </c>
      <c r="O5" s="48" t="s">
        <v>32</v>
      </c>
      <c r="P5" s="2"/>
      <c r="Q5" s="2"/>
      <c r="R5" s="2"/>
      <c r="S5" s="2"/>
      <c r="T5" s="2"/>
      <c r="U5" s="2"/>
      <c r="V5" s="2"/>
      <c r="W5" s="2"/>
      <c r="X5" s="2"/>
      <c r="Y5" s="2"/>
      <c r="Z5" s="2"/>
      <c r="AA5" s="2"/>
      <c r="AB5" s="2"/>
      <c r="AC5" s="2"/>
    </row>
    <row r="6" ht="18.75" customHeight="1">
      <c r="A6" s="2"/>
      <c r="B6" s="51" t="s">
        <v>36</v>
      </c>
      <c r="C6" s="52" t="s">
        <v>28</v>
      </c>
      <c r="D6" s="53">
        <v>2.0</v>
      </c>
      <c r="E6" s="54">
        <v>1.0</v>
      </c>
      <c r="F6" s="2"/>
      <c r="G6" s="55"/>
      <c r="H6" s="32">
        <f>IFERROR(__xludf.DUMMYFUNCTION("IMPORTRANGE(""https://docs.google.com/spreadsheets/d/1vSWx1btHxoHQgr8Rq9HDcd9Z-5yq1oDra8PnwyMwljo/edit?usp=sharing"",""Round 2!C29"")"),166.0)</f>
        <v>166</v>
      </c>
      <c r="I6" s="34">
        <f>IFERROR(__xludf.DUMMYFUNCTION("IMPORTRANGE(""https://docs.google.com/spreadsheets/d/1vSWx1btHxoHQgr8Rq9HDcd9Z-5yq1oDra8PnwyMwljo/edit?usp=sharing"",""Round 2!J29"")"),84.0)</f>
        <v>84</v>
      </c>
      <c r="J6" s="35">
        <f>IFERROR(__xludf.DUMMYFUNCTION("IMPORTRANGE(""https://docs.google.com/spreadsheets/d/1rJDte-phScr1LgyWSkiRUPbxyA_cTYvLJHc5NzLj1l4/edit?usp=sharing"",""Round 2!C29"")"),50.0)</f>
        <v>50</v>
      </c>
      <c r="K6" s="34">
        <f>IFERROR(__xludf.DUMMYFUNCTION("IMPORTRANGE(""https://docs.google.com/spreadsheets/d/1rJDte-phScr1LgyWSkiRUPbxyA_cTYvLJHc5NzLj1l4/edit?usp=sharing"",""Round 2!J29"")"),38.0)</f>
        <v>38</v>
      </c>
      <c r="L6" s="37">
        <f>IFERROR(__xludf.DUMMYFUNCTION("IMPORTRANGE(""https://docs.google.com/spreadsheets/d/1N1UXo-IMPLBx6DvsC5B5UXnfQC1XvjyaGXV-zy7lbks/edit?usp=sharing"",""Round 2!C29"")"),54.0)</f>
        <v>54</v>
      </c>
      <c r="M6" s="34">
        <f>IFERROR(__xludf.DUMMYFUNCTION("IMPORTRANGE(""https://docs.google.com/spreadsheets/d/1N1UXo-IMPLBx6DvsC5B5UXnfQC1XvjyaGXV-zy7lbks/edit?usp=sharing"",""Round 2!J29"")"),122.0)</f>
        <v>122</v>
      </c>
      <c r="N6" s="37">
        <f>IFERROR(__xludf.DUMMYFUNCTION("IMPORTRANGE(""https://docs.google.com/spreadsheets/d/1r4mbi2c4g-y_zl9kLXj6B-OuSKEvKccZ5XGZpkWtTt0/edit?usp=sharing"",""Round 2!C29"")"),208.0)</f>
        <v>208</v>
      </c>
      <c r="O6" s="39">
        <f>IFERROR(__xludf.DUMMYFUNCTION("IMPORTRANGE(""https://docs.google.com/spreadsheets/d/1r4mbi2c4g-y_zl9kLXj6B-OuSKEvKccZ5XGZpkWtTt0/edit?usp=sharing"",""Round 2!J29"")"),30.0)</f>
        <v>30</v>
      </c>
      <c r="P6" s="2"/>
      <c r="Q6" s="2"/>
      <c r="R6" s="2"/>
      <c r="S6" s="2"/>
      <c r="T6" s="2"/>
      <c r="U6" s="2"/>
      <c r="V6" s="2"/>
      <c r="W6" s="2"/>
      <c r="X6" s="2"/>
      <c r="Y6" s="2"/>
      <c r="Z6" s="2"/>
      <c r="AA6" s="2"/>
      <c r="AB6" s="2"/>
      <c r="AC6" s="2"/>
    </row>
    <row r="7" ht="18.75" customHeight="1">
      <c r="A7" s="2"/>
      <c r="B7" s="57" t="s">
        <v>37</v>
      </c>
      <c r="C7" s="26" t="s">
        <v>29</v>
      </c>
      <c r="D7" s="16">
        <v>3.0</v>
      </c>
      <c r="E7" s="18">
        <v>0.0</v>
      </c>
      <c r="F7" s="1"/>
      <c r="G7" s="19">
        <v>3.0</v>
      </c>
      <c r="H7" s="21" t="s">
        <v>28</v>
      </c>
      <c r="I7" s="26" t="s">
        <v>20</v>
      </c>
      <c r="J7" s="24" t="s">
        <v>27</v>
      </c>
      <c r="K7" s="23" t="s">
        <v>26</v>
      </c>
      <c r="L7" s="24" t="s">
        <v>29</v>
      </c>
      <c r="M7" s="23" t="s">
        <v>31</v>
      </c>
      <c r="N7" s="26" t="s">
        <v>30</v>
      </c>
      <c r="O7" s="27" t="s">
        <v>32</v>
      </c>
      <c r="P7" s="2"/>
      <c r="Q7" s="2"/>
      <c r="R7" s="2"/>
      <c r="S7" s="2"/>
      <c r="T7" s="2"/>
      <c r="U7" s="2"/>
      <c r="V7" s="2"/>
      <c r="W7" s="2"/>
      <c r="X7" s="2"/>
      <c r="Y7" s="2"/>
      <c r="Z7" s="2"/>
      <c r="AA7" s="2"/>
      <c r="AB7" s="2"/>
      <c r="AC7" s="2"/>
    </row>
    <row r="8" ht="18.75" customHeight="1">
      <c r="A8" s="2"/>
      <c r="B8" s="57" t="s">
        <v>38</v>
      </c>
      <c r="C8" s="26" t="s">
        <v>30</v>
      </c>
      <c r="D8" s="16">
        <v>2.0</v>
      </c>
      <c r="E8" s="18">
        <v>1.0</v>
      </c>
      <c r="F8" s="1"/>
      <c r="G8" s="30"/>
      <c r="H8" s="32">
        <f>IFERROR(__xludf.DUMMYFUNCTION("IMPORTRANGE(""https://docs.google.com/spreadsheets/d/1vSWx1btHxoHQgr8Rq9HDcd9Z-5yq1oDra8PnwyMwljo/edit?usp=sharing"",""Round 3!C29"")"),84.0)</f>
        <v>84</v>
      </c>
      <c r="I8" s="34">
        <f>IFERROR(__xludf.DUMMYFUNCTION("IMPORTRANGE(""https://docs.google.com/spreadsheets/d/1vSWx1btHxoHQgr8Rq9HDcd9Z-5yq1oDra8PnwyMwljo/edit?usp=sharing"",""Round 3!J29"")"),52.0)</f>
        <v>52</v>
      </c>
      <c r="J8" s="35">
        <f>IFERROR(__xludf.DUMMYFUNCTION("IMPORTRANGE(""https://docs.google.com/spreadsheets/d/1rJDte-phScr1LgyWSkiRUPbxyA_cTYvLJHc5NzLj1l4/edit?usp=sharing"",""Round 3!C29"")"),56.0)</f>
        <v>56</v>
      </c>
      <c r="K8" s="34">
        <f>IFERROR(__xludf.DUMMYFUNCTION("IMPORTRANGE(""https://docs.google.com/spreadsheets/d/1rJDte-phScr1LgyWSkiRUPbxyA_cTYvLJHc5NzLj1l4/edit?usp=sharing"",""Round 3!J29"")"),204.0)</f>
        <v>204</v>
      </c>
      <c r="L8" s="37">
        <f>IFERROR(__xludf.DUMMYFUNCTION("IMPORTRANGE(""https://docs.google.com/spreadsheets/d/1N1UXo-IMPLBx6DvsC5B5UXnfQC1XvjyaGXV-zy7lbks/edit?usp=sharing"",""Round 3!C29"")"),192.0)</f>
        <v>192</v>
      </c>
      <c r="M8" s="34">
        <f>IFERROR(__xludf.DUMMYFUNCTION("IMPORTRANGE(""https://docs.google.com/spreadsheets/d/1N1UXo-IMPLBx6DvsC5B5UXnfQC1XvjyaGXV-zy7lbks/edit?usp=sharing"",""Round 3!J29"")"),34.0)</f>
        <v>34</v>
      </c>
      <c r="N8" s="37">
        <f>IFERROR(__xludf.DUMMYFUNCTION("IMPORTRANGE(""https://docs.google.com/spreadsheets/d/1r4mbi2c4g-y_zl9kLXj6B-OuSKEvKccZ5XGZpkWtTt0/edit?usp=sharing"",""Round 3!C29"")"),128.0)</f>
        <v>128</v>
      </c>
      <c r="O8" s="39">
        <f>IFERROR(__xludf.DUMMYFUNCTION("IMPORTRANGE(""https://docs.google.com/spreadsheets/d/1r4mbi2c4g-y_zl9kLXj6B-OuSKEvKccZ5XGZpkWtTt0/edit?usp=sharing"",""Round 3!J29"")"),36.0)</f>
        <v>36</v>
      </c>
      <c r="P8" s="2"/>
      <c r="Q8" s="2"/>
      <c r="R8" s="2"/>
      <c r="S8" s="2"/>
      <c r="T8" s="2"/>
      <c r="U8" s="2"/>
      <c r="V8" s="2"/>
      <c r="W8" s="2"/>
      <c r="X8" s="2"/>
      <c r="Y8" s="2"/>
      <c r="Z8" s="2"/>
      <c r="AA8" s="2"/>
      <c r="AB8" s="2"/>
      <c r="AC8" s="2"/>
    </row>
    <row r="9" ht="18.75" customHeight="1">
      <c r="A9" s="2"/>
      <c r="B9" s="57" t="s">
        <v>39</v>
      </c>
      <c r="C9" s="26" t="s">
        <v>32</v>
      </c>
      <c r="D9" s="16">
        <v>0.0</v>
      </c>
      <c r="E9" s="18">
        <v>3.0</v>
      </c>
      <c r="F9" s="2"/>
      <c r="G9" s="61"/>
      <c r="H9" s="63"/>
      <c r="I9" s="63"/>
      <c r="J9" s="63"/>
      <c r="K9" s="63"/>
      <c r="L9" s="63"/>
      <c r="M9" s="63"/>
      <c r="N9" s="63"/>
      <c r="O9" s="63"/>
      <c r="P9" s="2"/>
      <c r="Q9" s="2"/>
      <c r="R9" s="2"/>
      <c r="S9" s="2"/>
      <c r="T9" s="2"/>
      <c r="U9" s="2"/>
      <c r="V9" s="2"/>
      <c r="W9" s="2"/>
      <c r="X9" s="2"/>
      <c r="Y9" s="2"/>
      <c r="Z9" s="2"/>
      <c r="AA9" s="2"/>
      <c r="AB9" s="2"/>
      <c r="AC9" s="2"/>
    </row>
    <row r="10" ht="18.75" customHeight="1">
      <c r="A10" s="2"/>
      <c r="B10" s="64" t="s">
        <v>40</v>
      </c>
      <c r="C10" s="65" t="s">
        <v>31</v>
      </c>
      <c r="D10" s="66">
        <v>1.0</v>
      </c>
      <c r="E10" s="67">
        <v>2.0</v>
      </c>
      <c r="F10" s="2"/>
      <c r="G10" s="68"/>
      <c r="H10" s="68" t="s">
        <v>41</v>
      </c>
      <c r="O10" s="68"/>
      <c r="P10" s="2"/>
      <c r="Q10" s="2"/>
      <c r="R10" s="2"/>
      <c r="S10" s="2"/>
      <c r="T10" s="2"/>
      <c r="U10" s="2"/>
      <c r="V10" s="2"/>
      <c r="W10" s="2"/>
      <c r="X10" s="2"/>
      <c r="Y10" s="2"/>
      <c r="Z10" s="2"/>
      <c r="AA10" s="2"/>
      <c r="AB10" s="2"/>
      <c r="AC10" s="2"/>
    </row>
    <row r="11" ht="18.75" customHeight="1">
      <c r="A11" s="2"/>
      <c r="B11" s="26"/>
      <c r="C11" s="26"/>
      <c r="D11" s="26"/>
      <c r="E11" s="26"/>
      <c r="F11" s="2"/>
      <c r="G11" s="68"/>
      <c r="O11" s="68"/>
      <c r="P11" s="2"/>
      <c r="Q11" s="2"/>
      <c r="R11" s="2"/>
      <c r="S11" s="2"/>
      <c r="T11" s="2"/>
      <c r="U11" s="2"/>
      <c r="V11" s="2"/>
      <c r="W11" s="2"/>
      <c r="X11" s="2"/>
      <c r="Y11" s="2"/>
      <c r="Z11" s="2"/>
      <c r="AA11" s="2"/>
      <c r="AB11" s="2"/>
      <c r="AC11" s="2"/>
    </row>
    <row r="12" ht="18.75" customHeight="1">
      <c r="A12" s="2"/>
      <c r="B12" s="26"/>
      <c r="C12" s="26"/>
      <c r="D12" s="26"/>
      <c r="E12" s="26"/>
      <c r="F12" s="2"/>
      <c r="G12" s="69"/>
      <c r="H12" s="65"/>
      <c r="I12" s="65"/>
      <c r="J12" s="65"/>
      <c r="K12" s="65"/>
      <c r="L12" s="65"/>
      <c r="M12" s="65"/>
      <c r="N12" s="65"/>
      <c r="O12" s="65"/>
      <c r="P12" s="2"/>
      <c r="Q12" s="2"/>
      <c r="R12" s="2"/>
      <c r="S12" s="2"/>
      <c r="T12" s="2"/>
      <c r="U12" s="2"/>
      <c r="V12" s="2"/>
      <c r="W12" s="2"/>
      <c r="X12" s="2"/>
      <c r="Y12" s="2"/>
      <c r="Z12" s="2"/>
      <c r="AA12" s="2"/>
      <c r="AB12" s="2"/>
      <c r="AC12" s="2"/>
    </row>
    <row r="13" ht="18.75" customHeight="1">
      <c r="A13" s="2"/>
      <c r="B13" s="4" t="s">
        <v>1</v>
      </c>
      <c r="C13" s="6" t="s">
        <v>2</v>
      </c>
      <c r="D13" s="6" t="s">
        <v>5</v>
      </c>
      <c r="E13" s="7" t="s">
        <v>7</v>
      </c>
      <c r="F13" s="2"/>
      <c r="G13" s="4" t="s">
        <v>9</v>
      </c>
      <c r="H13" s="6" t="s">
        <v>10</v>
      </c>
      <c r="I13" s="9"/>
      <c r="J13" s="11" t="s">
        <v>11</v>
      </c>
      <c r="K13" s="9"/>
      <c r="L13" s="11" t="s">
        <v>13</v>
      </c>
      <c r="M13" s="9"/>
      <c r="N13" s="11" t="s">
        <v>14</v>
      </c>
      <c r="O13" s="13"/>
      <c r="P13" s="2"/>
      <c r="Q13" s="2"/>
      <c r="R13" s="2"/>
      <c r="S13" s="2"/>
      <c r="T13" s="2"/>
      <c r="U13" s="2"/>
      <c r="V13" s="2"/>
      <c r="W13" s="2"/>
      <c r="X13" s="2"/>
      <c r="Y13" s="2"/>
      <c r="Z13" s="2"/>
      <c r="AA13" s="2"/>
      <c r="AB13" s="2"/>
      <c r="AC13" s="2"/>
    </row>
    <row r="14" ht="18.75" customHeight="1">
      <c r="A14" s="2"/>
      <c r="B14" s="14" t="s">
        <v>42</v>
      </c>
      <c r="C14" s="16" t="s">
        <v>26</v>
      </c>
      <c r="D14" s="16">
        <v>3.0</v>
      </c>
      <c r="E14" s="18">
        <v>0.0</v>
      </c>
      <c r="F14" s="2"/>
      <c r="G14" s="41">
        <v>4.0</v>
      </c>
      <c r="H14" s="42" t="s">
        <v>26</v>
      </c>
      <c r="I14" s="43" t="s">
        <v>30</v>
      </c>
      <c r="J14" s="45" t="s">
        <v>28</v>
      </c>
      <c r="K14" s="43" t="s">
        <v>29</v>
      </c>
      <c r="L14" s="45" t="s">
        <v>32</v>
      </c>
      <c r="M14" s="47" t="s">
        <v>27</v>
      </c>
      <c r="N14" s="43" t="s">
        <v>31</v>
      </c>
      <c r="O14" s="48" t="s">
        <v>20</v>
      </c>
      <c r="P14" s="2"/>
      <c r="Q14" s="2"/>
      <c r="R14" s="2"/>
      <c r="S14" s="2"/>
      <c r="T14" s="2"/>
      <c r="U14" s="2"/>
      <c r="V14" s="2"/>
      <c r="W14" s="2"/>
      <c r="X14" s="2"/>
      <c r="Y14" s="2"/>
      <c r="Z14" s="2"/>
      <c r="AA14" s="2"/>
      <c r="AB14" s="2"/>
      <c r="AC14" s="2"/>
    </row>
    <row r="15" ht="18.75" customHeight="1">
      <c r="A15" s="2"/>
      <c r="B15" s="14" t="s">
        <v>43</v>
      </c>
      <c r="C15" s="26" t="s">
        <v>29</v>
      </c>
      <c r="D15" s="16">
        <v>2.0</v>
      </c>
      <c r="E15" s="18">
        <v>1.0</v>
      </c>
      <c r="F15" s="2"/>
      <c r="G15" s="55"/>
      <c r="H15" s="32">
        <f>IFERROR(__xludf.DUMMYFUNCTION("IMPORTRANGE(""https://docs.google.com/spreadsheets/d/1vSWx1btHxoHQgr8Rq9HDcd9Z-5yq1oDra8PnwyMwljo/edit?usp=sharing"",""Round 4!C29"")"),132.0)</f>
        <v>132</v>
      </c>
      <c r="I15" s="34">
        <f>IFERROR(__xludf.DUMMYFUNCTION("IMPORTRANGE(""https://docs.google.com/spreadsheets/d/1vSWx1btHxoHQgr8Rq9HDcd9Z-5yq1oDra8PnwyMwljo/edit?usp=sharing"",""Round 4!J29"")"),42.0)</f>
        <v>42</v>
      </c>
      <c r="J15" s="35">
        <f>IFERROR(__xludf.DUMMYFUNCTION("IMPORTRANGE(""https://docs.google.com/spreadsheets/d/1rJDte-phScr1LgyWSkiRUPbxyA_cTYvLJHc5NzLj1l4/edit?usp=sharing"",""Round 4!C29"")"),40.0)</f>
        <v>40</v>
      </c>
      <c r="K15" s="34">
        <f>IFERROR(__xludf.DUMMYFUNCTION("IMPORTRANGE(""https://docs.google.com/spreadsheets/d/1rJDte-phScr1LgyWSkiRUPbxyA_cTYvLJHc5NzLj1l4/edit?usp=sharing"",""Round 4!J29"")"),202.0)</f>
        <v>202</v>
      </c>
      <c r="L15" s="37">
        <f>IFERROR(__xludf.DUMMYFUNCTION("IMPORTRANGE(""https://docs.google.com/spreadsheets/d/1N1UXo-IMPLBx6DvsC5B5UXnfQC1XvjyaGXV-zy7lbks/edit?usp=sharing"",""Round 4!C29"")"),66.0)</f>
        <v>66</v>
      </c>
      <c r="M15" s="34">
        <f>IFERROR(__xludf.DUMMYFUNCTION("IMPORTRANGE(""https://docs.google.com/spreadsheets/d/1N1UXo-IMPLBx6DvsC5B5UXnfQC1XvjyaGXV-zy7lbks/edit?usp=sharing"",""Round 4!J29"")"),30.0)</f>
        <v>30</v>
      </c>
      <c r="N15" s="37">
        <f>IFERROR(__xludf.DUMMYFUNCTION("IMPORTRANGE(""https://docs.google.com/spreadsheets/d/1r4mbi2c4g-y_zl9kLXj6B-OuSKEvKccZ5XGZpkWtTt0/edit?usp=sharing"",""Round 4!C29"")"),86.0)</f>
        <v>86</v>
      </c>
      <c r="O15" s="39">
        <f>IFERROR(__xludf.DUMMYFUNCTION("IMPORTRANGE(""https://docs.google.com/spreadsheets/d/1r4mbi2c4g-y_zl9kLXj6B-OuSKEvKccZ5XGZpkWtTt0/edit?usp=sharing"",""Round 4!J29"")"),20.0)</f>
        <v>20</v>
      </c>
      <c r="P15" s="2"/>
      <c r="Q15" s="2"/>
      <c r="R15" s="2"/>
      <c r="S15" s="2"/>
      <c r="T15" s="2"/>
      <c r="U15" s="2"/>
      <c r="V15" s="2"/>
      <c r="W15" s="2"/>
      <c r="X15" s="2"/>
      <c r="Y15" s="2"/>
      <c r="Z15" s="2"/>
      <c r="AA15" s="2"/>
      <c r="AB15" s="2"/>
      <c r="AC15" s="2"/>
    </row>
    <row r="16" ht="18.75" customHeight="1">
      <c r="A16" s="2"/>
      <c r="B16" s="14" t="s">
        <v>44</v>
      </c>
      <c r="C16" s="16" t="s">
        <v>28</v>
      </c>
      <c r="D16" s="16">
        <v>1.0</v>
      </c>
      <c r="E16" s="18">
        <v>2.0</v>
      </c>
      <c r="F16" s="2"/>
      <c r="G16" s="19">
        <v>5.0</v>
      </c>
      <c r="H16" s="21" t="s">
        <v>30</v>
      </c>
      <c r="I16" s="26" t="s">
        <v>28</v>
      </c>
      <c r="J16" s="24" t="s">
        <v>26</v>
      </c>
      <c r="K16" s="23" t="s">
        <v>29</v>
      </c>
      <c r="L16" s="24" t="s">
        <v>32</v>
      </c>
      <c r="M16" s="23" t="s">
        <v>20</v>
      </c>
      <c r="N16" s="26" t="s">
        <v>31</v>
      </c>
      <c r="O16" s="27" t="s">
        <v>27</v>
      </c>
      <c r="P16" s="2"/>
      <c r="Q16" s="2"/>
      <c r="R16" s="2"/>
      <c r="S16" s="2"/>
      <c r="T16" s="2"/>
      <c r="U16" s="2"/>
      <c r="V16" s="2"/>
      <c r="W16" s="2"/>
      <c r="X16" s="2"/>
      <c r="Y16" s="2"/>
      <c r="Z16" s="2"/>
      <c r="AA16" s="2"/>
      <c r="AB16" s="2"/>
      <c r="AC16" s="2"/>
    </row>
    <row r="17">
      <c r="A17" s="2"/>
      <c r="B17" s="51" t="s">
        <v>45</v>
      </c>
      <c r="C17" s="52" t="s">
        <v>30</v>
      </c>
      <c r="D17" s="53">
        <v>0.0</v>
      </c>
      <c r="E17" s="54">
        <v>3.0</v>
      </c>
      <c r="F17" s="2"/>
      <c r="G17" s="30"/>
      <c r="H17" s="32">
        <f>IFERROR(__xludf.DUMMYFUNCTION("IMPORTRANGE(""https://docs.google.com/spreadsheets/d/1vSWx1btHxoHQgr8Rq9HDcd9Z-5yq1oDra8PnwyMwljo/edit?usp=sharing"",""Round 5!C29"")"),20.0)</f>
        <v>20</v>
      </c>
      <c r="I17" s="34">
        <f>IFERROR(__xludf.DUMMYFUNCTION("IMPORTRANGE(""https://docs.google.com/spreadsheets/d/1vSWx1btHxoHQgr8Rq9HDcd9Z-5yq1oDra8PnwyMwljo/edit?usp=sharing"",""Round 5!J29"")"),78.0)</f>
        <v>78</v>
      </c>
      <c r="J17" s="35">
        <f>IFERROR(__xludf.DUMMYFUNCTION("IMPORTRANGE(""https://docs.google.com/spreadsheets/d/1rJDte-phScr1LgyWSkiRUPbxyA_cTYvLJHc5NzLj1l4/edit?usp=sharing"",""Round 5!C29"")"),118.0)</f>
        <v>118</v>
      </c>
      <c r="K17" s="34">
        <f>IFERROR(__xludf.DUMMYFUNCTION("IMPORTRANGE(""https://docs.google.com/spreadsheets/d/1rJDte-phScr1LgyWSkiRUPbxyA_cTYvLJHc5NzLj1l4/edit?usp=sharing"",""Round 5!J29"")"),72.0)</f>
        <v>72</v>
      </c>
      <c r="L17" s="37">
        <f>IFERROR(__xludf.DUMMYFUNCTION("IMPORTRANGE(""https://docs.google.com/spreadsheets/d/1N1UXo-IMPLBx6DvsC5B5UXnfQC1XvjyaGXV-zy7lbks/edit?usp=sharing"",""Round 5!C29"")"),44.0)</f>
        <v>44</v>
      </c>
      <c r="M17" s="34">
        <f>IFERROR(__xludf.DUMMYFUNCTION("IMPORTRANGE(""https://docs.google.com/spreadsheets/d/1N1UXo-IMPLBx6DvsC5B5UXnfQC1XvjyaGXV-zy7lbks/edit?usp=sharing"",""Round 5!J29"")"),28.0)</f>
        <v>28</v>
      </c>
      <c r="N17" s="37">
        <f>IFERROR(__xludf.DUMMYFUNCTION("IMPORTRANGE(""https://docs.google.com/spreadsheets/d/1r4mbi2c4g-y_zl9kLXj6B-OuSKEvKccZ5XGZpkWtTt0/edit?usp=sharing"",""Round 5!C29"")"),26.0)</f>
        <v>26</v>
      </c>
      <c r="O17" s="39">
        <f>IFERROR(__xludf.DUMMYFUNCTION("IMPORTRANGE(""https://docs.google.com/spreadsheets/d/1r4mbi2c4g-y_zl9kLXj6B-OuSKEvKccZ5XGZpkWtTt0/edit?usp=sharing"",""Round 5!J29"")"),30.0)</f>
        <v>30</v>
      </c>
      <c r="P17" s="2"/>
      <c r="Q17" s="2"/>
      <c r="R17" s="2"/>
      <c r="S17" s="2"/>
      <c r="T17" s="2"/>
      <c r="U17" s="2"/>
      <c r="V17" s="2"/>
      <c r="W17" s="2"/>
      <c r="X17" s="2"/>
      <c r="Y17" s="2"/>
      <c r="Z17" s="2"/>
      <c r="AA17" s="2"/>
      <c r="AB17" s="2"/>
      <c r="AC17" s="2"/>
    </row>
    <row r="18">
      <c r="A18" s="2"/>
      <c r="B18" s="57" t="s">
        <v>46</v>
      </c>
      <c r="C18" s="26" t="s">
        <v>27</v>
      </c>
      <c r="D18" s="16">
        <v>2.0</v>
      </c>
      <c r="E18" s="18">
        <v>1.0</v>
      </c>
      <c r="F18" s="2"/>
      <c r="G18" s="61"/>
      <c r="H18" s="61"/>
      <c r="I18" s="61"/>
      <c r="J18" s="61"/>
      <c r="K18" s="61"/>
      <c r="L18" s="61"/>
      <c r="M18" s="61"/>
      <c r="N18" s="61"/>
      <c r="O18" s="61"/>
      <c r="P18" s="2"/>
      <c r="Q18" s="2"/>
      <c r="R18" s="2"/>
      <c r="S18" s="2"/>
      <c r="T18" s="2"/>
      <c r="U18" s="2"/>
      <c r="V18" s="2"/>
      <c r="W18" s="2"/>
      <c r="X18" s="2"/>
      <c r="Y18" s="2"/>
      <c r="Z18" s="2"/>
      <c r="AA18" s="2"/>
      <c r="AB18" s="2"/>
      <c r="AC18" s="2"/>
    </row>
    <row r="19">
      <c r="A19" s="2"/>
      <c r="B19" s="57" t="s">
        <v>47</v>
      </c>
      <c r="C19" s="26" t="s">
        <v>31</v>
      </c>
      <c r="D19" s="16">
        <v>2.0</v>
      </c>
      <c r="E19" s="18">
        <v>1.0</v>
      </c>
      <c r="F19" s="2"/>
      <c r="G19" s="31"/>
      <c r="H19" s="31"/>
      <c r="I19" s="31"/>
      <c r="J19" s="31"/>
      <c r="K19" s="31"/>
      <c r="L19" s="31"/>
      <c r="M19" s="31"/>
      <c r="N19" s="31"/>
      <c r="O19" s="31"/>
      <c r="P19" s="2"/>
      <c r="Q19" s="2"/>
      <c r="R19" s="2"/>
      <c r="S19" s="2"/>
      <c r="T19" s="2"/>
      <c r="U19" s="2"/>
      <c r="V19" s="2"/>
      <c r="W19" s="2"/>
      <c r="X19" s="2"/>
      <c r="Y19" s="2"/>
      <c r="Z19" s="2"/>
      <c r="AA19" s="2"/>
      <c r="AB19" s="2"/>
      <c r="AC19" s="2"/>
    </row>
    <row r="20">
      <c r="A20" s="2"/>
      <c r="B20" s="57" t="s">
        <v>48</v>
      </c>
      <c r="C20" s="26" t="s">
        <v>20</v>
      </c>
      <c r="D20" s="16">
        <v>0.0</v>
      </c>
      <c r="E20" s="18">
        <v>3.0</v>
      </c>
      <c r="F20" s="2"/>
      <c r="G20" s="70"/>
      <c r="H20" s="70"/>
      <c r="I20" s="70"/>
      <c r="J20" s="70"/>
      <c r="K20" s="70"/>
      <c r="L20" s="70"/>
      <c r="M20" s="70"/>
      <c r="N20" s="70"/>
      <c r="O20" s="70"/>
      <c r="P20" s="2"/>
      <c r="Q20" s="2"/>
      <c r="R20" s="2"/>
      <c r="S20" s="2"/>
      <c r="T20" s="2"/>
      <c r="U20" s="2"/>
      <c r="V20" s="2"/>
      <c r="W20" s="2"/>
      <c r="X20" s="2"/>
      <c r="Y20" s="2"/>
      <c r="Z20" s="2"/>
      <c r="AA20" s="2"/>
      <c r="AB20" s="2"/>
      <c r="AC20" s="2"/>
    </row>
    <row r="21">
      <c r="A21" s="2"/>
      <c r="B21" s="64" t="s">
        <v>49</v>
      </c>
      <c r="C21" s="65" t="s">
        <v>32</v>
      </c>
      <c r="D21" s="66">
        <v>2.0</v>
      </c>
      <c r="E21" s="67">
        <v>1.0</v>
      </c>
      <c r="F21" s="2"/>
      <c r="G21" s="70"/>
      <c r="H21" s="70"/>
      <c r="I21" s="70"/>
      <c r="P21" s="2"/>
      <c r="Q21" s="2"/>
      <c r="R21" s="2"/>
      <c r="S21" s="2"/>
      <c r="T21" s="2"/>
      <c r="U21" s="2"/>
      <c r="V21" s="2"/>
      <c r="W21" s="2"/>
      <c r="X21" s="2"/>
      <c r="Y21" s="2"/>
      <c r="Z21" s="2"/>
      <c r="AA21" s="2"/>
      <c r="AB21" s="2"/>
      <c r="AC21" s="2"/>
    </row>
    <row r="22">
      <c r="A22" s="2"/>
      <c r="B22" s="2"/>
      <c r="C22" s="2"/>
      <c r="D22" s="2"/>
      <c r="E22" s="2"/>
      <c r="F22" s="2"/>
      <c r="G22" s="70"/>
      <c r="H22" s="70"/>
      <c r="I22" s="70"/>
      <c r="P22" s="2"/>
      <c r="Q22" s="2"/>
      <c r="R22" s="2"/>
      <c r="S22" s="2"/>
      <c r="T22" s="2"/>
      <c r="U22" s="2"/>
      <c r="V22" s="2"/>
      <c r="W22" s="2"/>
      <c r="X22" s="2"/>
      <c r="Y22" s="2"/>
      <c r="Z22" s="2"/>
      <c r="AA22" s="2"/>
      <c r="AB22" s="2"/>
      <c r="AC22" s="2"/>
    </row>
    <row r="23">
      <c r="A23" s="2"/>
      <c r="B23" s="2"/>
      <c r="C23" s="2"/>
      <c r="D23" s="2"/>
      <c r="E23" s="2"/>
      <c r="F23" s="2"/>
      <c r="G23" s="70"/>
      <c r="H23" s="70"/>
      <c r="I23" s="70"/>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sheetData>
  <mergeCells count="14">
    <mergeCell ref="H10:N11"/>
    <mergeCell ref="H13:I13"/>
    <mergeCell ref="J13:K13"/>
    <mergeCell ref="L13:M13"/>
    <mergeCell ref="N13:O13"/>
    <mergeCell ref="G14:G15"/>
    <mergeCell ref="G16:G17"/>
    <mergeCell ref="H2:I2"/>
    <mergeCell ref="J2:K2"/>
    <mergeCell ref="L2:M2"/>
    <mergeCell ref="N2:O2"/>
    <mergeCell ref="G3:G4"/>
    <mergeCell ref="G5:G6"/>
    <mergeCell ref="G7:G8"/>
  </mergeCells>
  <drawing r:id="rId1"/>
</worksheet>
</file>