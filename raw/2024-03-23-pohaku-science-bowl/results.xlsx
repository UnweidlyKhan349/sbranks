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RR Groups" sheetId="2" r:id="rId6"/>
    <sheet state="visible" name="RR Results" sheetId="3" r:id="rId7"/>
    <sheet state="visible" name="Single Elimination" sheetId="4" r:id="rId8"/>
  </sheets>
  <definedNames/>
  <calcPr/>
</workbook>
</file>

<file path=xl/sharedStrings.xml><?xml version="1.0" encoding="utf-8"?>
<sst xmlns="http://schemas.openxmlformats.org/spreadsheetml/2006/main" count="172" uniqueCount="108">
  <si>
    <t>Round</t>
  </si>
  <si>
    <t>HST</t>
  </si>
  <si>
    <t>PDT</t>
  </si>
  <si>
    <t>EDT</t>
  </si>
  <si>
    <t>Campbell</t>
  </si>
  <si>
    <t>Tarbuck</t>
  </si>
  <si>
    <t>Zumdahl</t>
  </si>
  <si>
    <t>Opening Ceremony</t>
  </si>
  <si>
    <t>6:30 am - 7:00 am</t>
  </si>
  <si>
    <t>9:30 am - 10:00 am</t>
  </si>
  <si>
    <t>SE1</t>
  </si>
  <si>
    <t>12:30 pm - 1:00 pm</t>
  </si>
  <si>
    <t>Main Room</t>
  </si>
  <si>
    <t>RR1, 1v2, 3v4</t>
  </si>
  <si>
    <t>7:00 am - 7:45 am</t>
  </si>
  <si>
    <t>10:00 am - 10:45 am</t>
  </si>
  <si>
    <t>Halliday</t>
  </si>
  <si>
    <t>1:00 pm - 1:45 pm</t>
  </si>
  <si>
    <t>RR2, 1v3, 2v4</t>
  </si>
  <si>
    <t>7:45 am - 8:30 am</t>
  </si>
  <si>
    <t>10:45 am - 11:30 am</t>
  </si>
  <si>
    <t>SE2</t>
  </si>
  <si>
    <t>1:45 pm - 2:30 pm</t>
  </si>
  <si>
    <t>RR3, 1v4, 2v3</t>
  </si>
  <si>
    <t>8:30 am - 9:15 am</t>
  </si>
  <si>
    <t>SE3/Semifinals</t>
  </si>
  <si>
    <t>11:30 am - 12:15 pm</t>
  </si>
  <si>
    <t>2:30 pm - 3:15 pm</t>
  </si>
  <si>
    <t>Iolani</t>
  </si>
  <si>
    <t>Break</t>
  </si>
  <si>
    <t>SE4/Finals</t>
  </si>
  <si>
    <t>9:15 am - 9:45 am</t>
  </si>
  <si>
    <t>Pleasanton C</t>
  </si>
  <si>
    <t>Diamond</t>
  </si>
  <si>
    <t>Hopkins B</t>
  </si>
  <si>
    <t>Champions</t>
  </si>
  <si>
    <t>Pleasanton A</t>
  </si>
  <si>
    <t>Odle</t>
  </si>
  <si>
    <t>Jonas Clarke B</t>
  </si>
  <si>
    <t>Jonas Clarke A</t>
  </si>
  <si>
    <t>Note the number indicates seed, not RR number designation</t>
  </si>
  <si>
    <t>Davis Drive B</t>
  </si>
  <si>
    <t>12:15 pm - 12:45 pm</t>
  </si>
  <si>
    <t>Oak Avenue</t>
  </si>
  <si>
    <t>3:15 pm - 3:45 pm</t>
  </si>
  <si>
    <t>Lincoln</t>
  </si>
  <si>
    <t>ASFA</t>
  </si>
  <si>
    <t>9:45 am - 10:30 am</t>
  </si>
  <si>
    <t>Glasgow</t>
  </si>
  <si>
    <t>12:45 pm - 1:30 pm</t>
  </si>
  <si>
    <t>Hopkins A</t>
  </si>
  <si>
    <t>3:45 pm - 4:30 pm</t>
  </si>
  <si>
    <t>Pleasanton B</t>
  </si>
  <si>
    <t>Davis Drive A</t>
  </si>
  <si>
    <t>10:30 am - 11:15 am</t>
  </si>
  <si>
    <t>1:30 pm - 2:15 pm</t>
  </si>
  <si>
    <t>4:30 pm - 5:15 pm</t>
  </si>
  <si>
    <t>SE3</t>
  </si>
  <si>
    <t>11:15 am - 12:00 pm</t>
  </si>
  <si>
    <t>2:15 pm - 3:00 pm</t>
  </si>
  <si>
    <t>5:15 pm - 6:00 pm</t>
  </si>
  <si>
    <t>SE4</t>
  </si>
  <si>
    <t>12:00 pm - 12:45 pm</t>
  </si>
  <si>
    <t>3:00 pm - 3:45 pm</t>
  </si>
  <si>
    <t>6:00 pm - 6:45 pm</t>
  </si>
  <si>
    <t>RR Room Assignments</t>
  </si>
  <si>
    <t>RR1</t>
  </si>
  <si>
    <t>Room 1</t>
  </si>
  <si>
    <t>RR2</t>
  </si>
  <si>
    <t>RR3</t>
  </si>
  <si>
    <t>C1vC2</t>
  </si>
  <si>
    <t>C1vC3</t>
  </si>
  <si>
    <t>C1vC4</t>
  </si>
  <si>
    <t>Look at Single Elimination Sheet for Room Assignment</t>
  </si>
  <si>
    <t>Room 2</t>
  </si>
  <si>
    <t>C3vC4</t>
  </si>
  <si>
    <t>C2vC4</t>
  </si>
  <si>
    <t>C2vC3</t>
  </si>
  <si>
    <t>Room 3</t>
  </si>
  <si>
    <t>T1vT2</t>
  </si>
  <si>
    <t>T1vT3</t>
  </si>
  <si>
    <t>T1vT4</t>
  </si>
  <si>
    <t>Room 4</t>
  </si>
  <si>
    <t>T3vT4</t>
  </si>
  <si>
    <t>T2vT4</t>
  </si>
  <si>
    <t>T2vT3</t>
  </si>
  <si>
    <t>Room 5</t>
  </si>
  <si>
    <t>Z1vZ2</t>
  </si>
  <si>
    <t>Z1vZ3</t>
  </si>
  <si>
    <t>Z1vZ4</t>
  </si>
  <si>
    <t>Room 6</t>
  </si>
  <si>
    <t>Z3vZ4</t>
  </si>
  <si>
    <t>Z2vZ4</t>
  </si>
  <si>
    <t>Z2vZ3</t>
  </si>
  <si>
    <t>Room 7</t>
  </si>
  <si>
    <t>H1vH2</t>
  </si>
  <si>
    <t>H1vH3</t>
  </si>
  <si>
    <t>H1vH4</t>
  </si>
  <si>
    <t>Room 8</t>
  </si>
  <si>
    <t>H3vH4</t>
  </si>
  <si>
    <t>H2vH4</t>
  </si>
  <si>
    <t>H2vH3</t>
  </si>
  <si>
    <t>Champs Point</t>
  </si>
  <si>
    <t>Average Score</t>
  </si>
  <si>
    <t>SE Seed</t>
  </si>
  <si>
    <t>Note: The row gives the score of the team, the column gives the opponent</t>
  </si>
  <si>
    <t>3rd place game</t>
  </si>
  <si>
    <t>3 champs points for a win, 1 for tie, 0 for 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</si>
</sst>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color theme="1"/>
      <name val="Roboto Mono"/>
    </font>
    <font>
      <b/>
      <color theme="1"/>
      <name val="Roboto Mono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2" fillId="0" fontId="4" numFmtId="0" xfId="0" applyBorder="1" applyFont="1"/>
    <xf borderId="0" fillId="0" fontId="5" numFmtId="0" xfId="0" applyAlignment="1" applyFont="1">
      <alignment horizontal="center" readingOrder="0" vertical="bottom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0" fillId="0" fontId="5" numFmtId="0" xfId="0" applyAlignment="1" applyFont="1">
      <alignment horizontal="center" vertical="bottom"/>
    </xf>
    <xf borderId="0" fillId="2" fontId="5" numFmtId="0" xfId="0" applyAlignment="1" applyFill="1" applyFont="1">
      <alignment horizontal="center" vertical="bottom"/>
    </xf>
    <xf borderId="1" fillId="0" fontId="4" numFmtId="0" xfId="0" applyBorder="1" applyFont="1"/>
    <xf borderId="0" fillId="0" fontId="5" numFmtId="164" xfId="0" applyAlignment="1" applyFont="1" applyNumberFormat="1">
      <alignment horizontal="center" vertical="bottom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4" width="23.88"/>
    <col customWidth="1" min="5" max="8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4"/>
      <c r="F1" s="4"/>
      <c r="G1" s="4"/>
      <c r="H1" s="4"/>
    </row>
    <row r="2">
      <c r="A2" s="1" t="s">
        <v>7</v>
      </c>
      <c r="B2" s="1" t="s">
        <v>8</v>
      </c>
      <c r="C2" s="1" t="s">
        <v>9</v>
      </c>
      <c r="D2" s="1" t="s">
        <v>11</v>
      </c>
      <c r="E2" s="1" t="s">
        <v>12</v>
      </c>
      <c r="F2" s="1"/>
      <c r="G2" s="1"/>
      <c r="H2" s="1"/>
    </row>
    <row r="3">
      <c r="A3" s="1" t="s">
        <v>13</v>
      </c>
      <c r="B3" s="1" t="s">
        <v>14</v>
      </c>
      <c r="C3" s="1" t="s">
        <v>15</v>
      </c>
      <c r="D3" s="1" t="s">
        <v>17</v>
      </c>
      <c r="E3" s="4"/>
      <c r="F3" s="4"/>
      <c r="G3" s="4"/>
      <c r="H3" s="4"/>
    </row>
    <row r="4">
      <c r="A4" s="1" t="s">
        <v>18</v>
      </c>
      <c r="B4" s="1" t="s">
        <v>19</v>
      </c>
      <c r="C4" s="1" t="s">
        <v>20</v>
      </c>
      <c r="D4" s="1" t="s">
        <v>22</v>
      </c>
      <c r="E4" s="4"/>
      <c r="F4" s="4"/>
      <c r="G4" s="4"/>
      <c r="H4" s="4"/>
    </row>
    <row r="5">
      <c r="A5" s="1" t="s">
        <v>23</v>
      </c>
      <c r="B5" s="1" t="s">
        <v>24</v>
      </c>
      <c r="C5" s="1" t="s">
        <v>26</v>
      </c>
      <c r="D5" s="1" t="s">
        <v>27</v>
      </c>
      <c r="E5" s="4"/>
      <c r="F5" s="4"/>
      <c r="G5" s="4"/>
      <c r="H5" s="4"/>
    </row>
    <row r="6">
      <c r="A6" s="1" t="s">
        <v>29</v>
      </c>
      <c r="B6" s="1" t="s">
        <v>31</v>
      </c>
      <c r="C6" s="1" t="s">
        <v>42</v>
      </c>
      <c r="D6" s="1" t="s">
        <v>44</v>
      </c>
      <c r="E6" s="4"/>
      <c r="F6" s="4"/>
      <c r="G6" s="4"/>
      <c r="H6" s="4"/>
    </row>
    <row r="7">
      <c r="A7" s="1" t="s">
        <v>10</v>
      </c>
      <c r="B7" s="1" t="s">
        <v>47</v>
      </c>
      <c r="C7" s="1" t="s">
        <v>49</v>
      </c>
      <c r="D7" s="1" t="s">
        <v>51</v>
      </c>
      <c r="E7" s="4"/>
      <c r="F7" s="4"/>
      <c r="G7" s="4"/>
      <c r="H7" s="4"/>
    </row>
    <row r="8">
      <c r="A8" s="1" t="s">
        <v>21</v>
      </c>
      <c r="B8" s="1" t="s">
        <v>54</v>
      </c>
      <c r="C8" s="1" t="s">
        <v>55</v>
      </c>
      <c r="D8" s="1" t="s">
        <v>56</v>
      </c>
      <c r="E8" s="4"/>
      <c r="F8" s="4"/>
      <c r="G8" s="4"/>
      <c r="H8" s="4"/>
    </row>
    <row r="9">
      <c r="A9" s="1" t="s">
        <v>57</v>
      </c>
      <c r="B9" s="1" t="s">
        <v>58</v>
      </c>
      <c r="C9" s="1" t="s">
        <v>59</v>
      </c>
      <c r="D9" s="1" t="s">
        <v>60</v>
      </c>
      <c r="E9" s="4"/>
      <c r="F9" s="4"/>
      <c r="G9" s="4"/>
      <c r="H9" s="4"/>
    </row>
    <row r="10">
      <c r="A10" s="1" t="s">
        <v>61</v>
      </c>
      <c r="B10" s="1" t="s">
        <v>62</v>
      </c>
      <c r="C10" s="1" t="s">
        <v>63</v>
      </c>
      <c r="D10" s="1" t="s">
        <v>64</v>
      </c>
      <c r="E10" s="4"/>
      <c r="F10" s="4"/>
      <c r="G10" s="4"/>
      <c r="H10" s="4"/>
    </row>
    <row r="11">
      <c r="A11" s="4"/>
      <c r="B11" s="4"/>
      <c r="C11" s="4"/>
      <c r="D11" s="4"/>
      <c r="E11" s="4"/>
      <c r="F11" s="4"/>
      <c r="G11" s="4"/>
      <c r="H11" s="4"/>
    </row>
    <row r="12">
      <c r="A12" s="4"/>
      <c r="B12" s="4"/>
      <c r="C12" s="4"/>
      <c r="D12" s="4"/>
      <c r="E12" s="4"/>
      <c r="F12" s="4"/>
      <c r="G12" s="4"/>
      <c r="H12" s="4"/>
    </row>
    <row r="13">
      <c r="A13" s="1" t="s">
        <v>65</v>
      </c>
      <c r="B13" s="1" t="s">
        <v>66</v>
      </c>
      <c r="C13" s="1" t="s">
        <v>68</v>
      </c>
      <c r="D13" s="1" t="s">
        <v>69</v>
      </c>
      <c r="E13" s="1" t="s">
        <v>10</v>
      </c>
      <c r="F13" s="1" t="s">
        <v>21</v>
      </c>
      <c r="G13" s="1" t="s">
        <v>57</v>
      </c>
      <c r="H13" s="1" t="s">
        <v>61</v>
      </c>
    </row>
    <row r="14">
      <c r="A14" s="1" t="s">
        <v>67</v>
      </c>
      <c r="B14" s="1" t="s">
        <v>70</v>
      </c>
      <c r="C14" s="1" t="s">
        <v>71</v>
      </c>
      <c r="D14" s="1" t="s">
        <v>72</v>
      </c>
      <c r="E14" s="1" t="s">
        <v>73</v>
      </c>
    </row>
    <row r="15">
      <c r="A15" s="1" t="s">
        <v>74</v>
      </c>
      <c r="B15" s="1" t="s">
        <v>75</v>
      </c>
      <c r="C15" s="1" t="s">
        <v>76</v>
      </c>
      <c r="D15" s="1" t="s">
        <v>77</v>
      </c>
      <c r="E15" s="4"/>
      <c r="F15" s="4"/>
      <c r="G15" s="4"/>
      <c r="H15" s="4"/>
    </row>
    <row r="16">
      <c r="A16" s="1" t="s">
        <v>78</v>
      </c>
      <c r="B16" s="1" t="s">
        <v>79</v>
      </c>
      <c r="C16" s="1" t="s">
        <v>80</v>
      </c>
      <c r="D16" s="1" t="s">
        <v>81</v>
      </c>
      <c r="E16" s="4"/>
      <c r="F16" s="4"/>
      <c r="G16" s="4"/>
      <c r="H16" s="4"/>
    </row>
    <row r="17">
      <c r="A17" s="1" t="s">
        <v>82</v>
      </c>
      <c r="B17" s="1" t="s">
        <v>83</v>
      </c>
      <c r="C17" s="1" t="s">
        <v>84</v>
      </c>
      <c r="D17" s="1" t="s">
        <v>85</v>
      </c>
      <c r="E17" s="4"/>
      <c r="F17" s="4"/>
      <c r="G17" s="4"/>
      <c r="H17" s="4"/>
    </row>
    <row r="18">
      <c r="A18" s="1" t="s">
        <v>86</v>
      </c>
      <c r="B18" s="1" t="s">
        <v>87</v>
      </c>
      <c r="C18" s="1" t="s">
        <v>88</v>
      </c>
      <c r="D18" s="1" t="s">
        <v>89</v>
      </c>
      <c r="E18" s="4"/>
      <c r="F18" s="4"/>
      <c r="G18" s="4"/>
      <c r="H18" s="4"/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4"/>
      <c r="F19" s="4"/>
      <c r="G19" s="4"/>
      <c r="H19" s="4"/>
    </row>
    <row r="20">
      <c r="A20" s="1" t="s">
        <v>94</v>
      </c>
      <c r="B20" s="1" t="s">
        <v>95</v>
      </c>
      <c r="C20" s="1" t="s">
        <v>96</v>
      </c>
      <c r="D20" s="1" t="s">
        <v>97</v>
      </c>
      <c r="E20" s="4"/>
      <c r="F20" s="4"/>
      <c r="G20" s="4"/>
      <c r="H20" s="4"/>
    </row>
    <row r="21">
      <c r="A21" s="1" t="s">
        <v>98</v>
      </c>
      <c r="B21" s="1" t="s">
        <v>99</v>
      </c>
      <c r="C21" s="1" t="s">
        <v>100</v>
      </c>
      <c r="D21" s="1" t="s">
        <v>101</v>
      </c>
      <c r="E21" s="4"/>
      <c r="F21" s="4"/>
      <c r="G21" s="4"/>
      <c r="H21" s="4"/>
    </row>
    <row r="22">
      <c r="A22" s="4"/>
      <c r="B22" s="4"/>
      <c r="C22" s="4"/>
      <c r="D22" s="4"/>
      <c r="E22" s="4"/>
      <c r="F22" s="4"/>
      <c r="G22" s="4"/>
      <c r="H22" s="4"/>
    </row>
    <row r="23">
      <c r="A23" s="4"/>
      <c r="B23" s="4"/>
      <c r="C23" s="4"/>
      <c r="D23" s="4"/>
      <c r="E23" s="4"/>
      <c r="F23" s="4"/>
      <c r="G23" s="4"/>
      <c r="H23" s="4"/>
    </row>
    <row r="24">
      <c r="A24" s="4"/>
      <c r="B24" s="4"/>
      <c r="C24" s="4"/>
      <c r="D24" s="4"/>
      <c r="E24" s="4"/>
      <c r="F24" s="4"/>
      <c r="G24" s="4"/>
      <c r="H24" s="4"/>
    </row>
  </sheetData>
  <mergeCells count="1">
    <mergeCell ref="E14:H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6" width="16.0"/>
  </cols>
  <sheetData>
    <row r="1">
      <c r="A1" s="2"/>
      <c r="B1" s="2" t="s">
        <v>4</v>
      </c>
      <c r="C1" s="2" t="s">
        <v>5</v>
      </c>
      <c r="D1" s="2" t="s">
        <v>6</v>
      </c>
      <c r="E1" s="2" t="s">
        <v>16</v>
      </c>
      <c r="F1" s="4"/>
    </row>
    <row r="2">
      <c r="A2" s="6">
        <v>1.0</v>
      </c>
      <c r="B2" s="7" t="s">
        <v>28</v>
      </c>
      <c r="C2" s="7" t="s">
        <v>32</v>
      </c>
      <c r="D2" s="7" t="s">
        <v>33</v>
      </c>
      <c r="E2" s="7" t="s">
        <v>34</v>
      </c>
      <c r="F2" s="4"/>
    </row>
    <row r="3">
      <c r="A3" s="6">
        <v>2.0</v>
      </c>
      <c r="B3" s="7" t="s">
        <v>36</v>
      </c>
      <c r="C3" s="7" t="s">
        <v>37</v>
      </c>
      <c r="D3" s="7" t="s">
        <v>38</v>
      </c>
      <c r="E3" s="7" t="s">
        <v>39</v>
      </c>
      <c r="F3" s="4"/>
    </row>
    <row r="4">
      <c r="A4" s="6">
        <v>3.0</v>
      </c>
      <c r="B4" s="7" t="s">
        <v>41</v>
      </c>
      <c r="C4" s="6" t="s">
        <v>43</v>
      </c>
      <c r="D4" s="7" t="s">
        <v>45</v>
      </c>
      <c r="E4" s="7" t="s">
        <v>46</v>
      </c>
      <c r="F4" s="4"/>
    </row>
    <row r="5">
      <c r="A5" s="6">
        <v>4.0</v>
      </c>
      <c r="B5" s="6" t="s">
        <v>48</v>
      </c>
      <c r="C5" s="7" t="s">
        <v>50</v>
      </c>
      <c r="D5" s="7" t="s">
        <v>52</v>
      </c>
      <c r="E5" s="7" t="s">
        <v>53</v>
      </c>
      <c r="F5" s="4"/>
    </row>
    <row r="6">
      <c r="A6" s="4"/>
      <c r="B6" s="4"/>
      <c r="C6" s="4"/>
      <c r="D6" s="4"/>
      <c r="E6" s="4"/>
      <c r="F6" s="4"/>
    </row>
    <row r="7">
      <c r="A7" s="4"/>
      <c r="B7" s="4"/>
      <c r="C7" s="4"/>
      <c r="D7" s="4"/>
      <c r="E7" s="4"/>
      <c r="F7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75"/>
    <col customWidth="1" min="9" max="9" width="67.75"/>
  </cols>
  <sheetData>
    <row r="1">
      <c r="A1" s="3" t="s">
        <v>4</v>
      </c>
      <c r="B1" s="11" t="str">
        <f>A2</f>
        <v>Iolani</v>
      </c>
      <c r="C1" s="11" t="str">
        <f>A3</f>
        <v>Pleasanton A</v>
      </c>
      <c r="D1" s="14" t="str">
        <f>A4</f>
        <v>Davis Drive B</v>
      </c>
      <c r="E1" s="11" t="s">
        <v>48</v>
      </c>
      <c r="F1" s="14" t="s">
        <v>102</v>
      </c>
      <c r="G1" s="14" t="s">
        <v>103</v>
      </c>
      <c r="H1" s="11" t="s">
        <v>104</v>
      </c>
      <c r="I1" s="5" t="s">
        <v>105</v>
      </c>
    </row>
    <row r="2">
      <c r="A2" s="11" t="s">
        <v>28</v>
      </c>
      <c r="B2" s="15"/>
      <c r="C2" s="11">
        <v>32.0</v>
      </c>
      <c r="D2" s="11">
        <v>86.0</v>
      </c>
      <c r="E2" s="11">
        <v>38.0</v>
      </c>
      <c r="F2" s="11">
        <v>0.0</v>
      </c>
      <c r="G2" s="17">
        <f t="shared" ref="G2:G5" si="1">AVERAGE(B2:E2)</f>
        <v>52</v>
      </c>
      <c r="H2" s="11">
        <v>4.0</v>
      </c>
      <c r="I2" s="18"/>
    </row>
    <row r="3">
      <c r="A3" s="11" t="s">
        <v>36</v>
      </c>
      <c r="B3" s="11">
        <v>186.0</v>
      </c>
      <c r="C3" s="15"/>
      <c r="D3" s="11">
        <v>186.0</v>
      </c>
      <c r="E3" s="11">
        <v>154.0</v>
      </c>
      <c r="F3" s="11">
        <v>9.0</v>
      </c>
      <c r="G3" s="17">
        <f t="shared" si="1"/>
        <v>175.3333333</v>
      </c>
      <c r="H3" s="11">
        <v>1.0</v>
      </c>
      <c r="I3" s="18"/>
    </row>
    <row r="4">
      <c r="A4" s="11" t="s">
        <v>41</v>
      </c>
      <c r="B4" s="11">
        <v>90.0</v>
      </c>
      <c r="C4" s="11">
        <v>66.0</v>
      </c>
      <c r="D4" s="15"/>
      <c r="E4" s="11">
        <v>56.0</v>
      </c>
      <c r="F4" s="11">
        <v>3.0</v>
      </c>
      <c r="G4" s="17">
        <f t="shared" si="1"/>
        <v>70.66666667</v>
      </c>
      <c r="H4" s="11">
        <v>3.0</v>
      </c>
      <c r="I4" s="5" t="s">
        <v>107</v>
      </c>
    </row>
    <row r="5">
      <c r="A5" s="11" t="s">
        <v>48</v>
      </c>
      <c r="B5" s="11">
        <v>222.0</v>
      </c>
      <c r="C5" s="11">
        <v>98.0</v>
      </c>
      <c r="D5" s="11">
        <v>186.0</v>
      </c>
      <c r="E5" s="15"/>
      <c r="F5" s="11">
        <v>6.0</v>
      </c>
      <c r="G5" s="17">
        <f t="shared" si="1"/>
        <v>168.6666667</v>
      </c>
      <c r="H5" s="11">
        <v>2.0</v>
      </c>
      <c r="I5" s="19"/>
    </row>
    <row r="6">
      <c r="A6" s="14"/>
      <c r="B6" s="14"/>
      <c r="C6" s="14"/>
      <c r="D6" s="14"/>
      <c r="E6" s="14"/>
      <c r="F6" s="14"/>
      <c r="G6" s="17"/>
      <c r="H6" s="14"/>
      <c r="I6" s="19"/>
    </row>
    <row r="7">
      <c r="A7" s="20" t="s">
        <v>5</v>
      </c>
      <c r="B7" s="11" t="str">
        <f>A8</f>
        <v>Pleasanton C</v>
      </c>
      <c r="C7" s="11" t="str">
        <f>A9</f>
        <v>Odle</v>
      </c>
      <c r="D7" s="14" t="str">
        <f>A10</f>
        <v>Oak Avenue</v>
      </c>
      <c r="E7" s="14" t="str">
        <f>A11</f>
        <v>Hopkins A</v>
      </c>
      <c r="F7" s="14"/>
      <c r="G7" s="17"/>
      <c r="H7" s="14"/>
      <c r="I7" s="19"/>
    </row>
    <row r="8">
      <c r="A8" s="11" t="s">
        <v>32</v>
      </c>
      <c r="B8" s="15"/>
      <c r="C8" s="11">
        <v>18.0</v>
      </c>
      <c r="D8" s="11">
        <v>84.0</v>
      </c>
      <c r="E8" s="11">
        <v>36.0</v>
      </c>
      <c r="F8" s="11">
        <v>0.0</v>
      </c>
      <c r="G8" s="17">
        <f t="shared" ref="G8:G11" si="2">AVERAGE(B8:E8)</f>
        <v>46</v>
      </c>
      <c r="H8" s="11">
        <v>4.0</v>
      </c>
      <c r="I8" s="19"/>
    </row>
    <row r="9">
      <c r="A9" s="11" t="s">
        <v>37</v>
      </c>
      <c r="B9" s="11">
        <v>256.0</v>
      </c>
      <c r="C9" s="15"/>
      <c r="D9" s="11">
        <v>214.0</v>
      </c>
      <c r="E9" s="11">
        <v>130.0</v>
      </c>
      <c r="F9" s="11">
        <v>6.0</v>
      </c>
      <c r="G9" s="17">
        <f t="shared" si="2"/>
        <v>200</v>
      </c>
      <c r="H9" s="11">
        <v>2.0</v>
      </c>
      <c r="I9" s="19"/>
    </row>
    <row r="10">
      <c r="A10" s="11" t="s">
        <v>43</v>
      </c>
      <c r="B10" s="11">
        <v>158.0</v>
      </c>
      <c r="C10" s="11">
        <v>46.0</v>
      </c>
      <c r="D10" s="15"/>
      <c r="E10" s="11">
        <v>54.0</v>
      </c>
      <c r="F10" s="11">
        <v>3.0</v>
      </c>
      <c r="G10" s="17">
        <f t="shared" si="2"/>
        <v>86</v>
      </c>
      <c r="H10" s="11">
        <v>3.0</v>
      </c>
      <c r="I10" s="19"/>
    </row>
    <row r="11">
      <c r="A11" s="11" t="s">
        <v>50</v>
      </c>
      <c r="B11" s="11">
        <v>238.0</v>
      </c>
      <c r="C11" s="11">
        <v>150.0</v>
      </c>
      <c r="D11" s="11">
        <v>186.0</v>
      </c>
      <c r="E11" s="15"/>
      <c r="F11" s="11">
        <v>9.0</v>
      </c>
      <c r="G11" s="17">
        <f t="shared" si="2"/>
        <v>191.3333333</v>
      </c>
      <c r="H11" s="11">
        <v>1.0</v>
      </c>
      <c r="I11" s="19"/>
    </row>
    <row r="12">
      <c r="A12" s="19"/>
      <c r="B12" s="19"/>
      <c r="C12" s="19"/>
      <c r="D12" s="19"/>
      <c r="E12" s="19"/>
      <c r="F12" s="19"/>
      <c r="G12" s="19"/>
      <c r="H12" s="19"/>
      <c r="I12" s="19"/>
    </row>
    <row r="13">
      <c r="A13" s="20" t="s">
        <v>6</v>
      </c>
      <c r="B13" s="11" t="str">
        <f>A14</f>
        <v>Diamond</v>
      </c>
      <c r="C13" s="11" t="str">
        <f>A15</f>
        <v>Jonas Clarke B</v>
      </c>
      <c r="D13" s="14" t="str">
        <f>A16</f>
        <v>Lincoln</v>
      </c>
      <c r="E13" s="14" t="str">
        <f>A17</f>
        <v>Pleasanton B</v>
      </c>
      <c r="F13" s="14"/>
      <c r="G13" s="17"/>
      <c r="H13" s="19"/>
      <c r="I13" s="19"/>
    </row>
    <row r="14">
      <c r="A14" s="11" t="s">
        <v>33</v>
      </c>
      <c r="B14" s="15"/>
      <c r="C14" s="11">
        <v>138.0</v>
      </c>
      <c r="D14" s="11">
        <v>148.0</v>
      </c>
      <c r="E14" s="11">
        <v>138.0</v>
      </c>
      <c r="F14" s="11">
        <v>9.0</v>
      </c>
      <c r="G14" s="17">
        <f t="shared" ref="G14:G15" si="3">AVERAGE(B14:E14)</f>
        <v>141.3333333</v>
      </c>
      <c r="H14" s="5">
        <v>1.0</v>
      </c>
      <c r="I14" s="19"/>
    </row>
    <row r="15">
      <c r="A15" s="11" t="s">
        <v>38</v>
      </c>
      <c r="B15" s="11">
        <v>68.0</v>
      </c>
      <c r="C15" s="15"/>
      <c r="D15" s="11">
        <v>68.0</v>
      </c>
      <c r="E15" s="11">
        <v>64.0</v>
      </c>
      <c r="F15" s="11">
        <v>0.0</v>
      </c>
      <c r="G15" s="17">
        <f t="shared" si="3"/>
        <v>66.66666667</v>
      </c>
      <c r="H15" s="5">
        <v>4.0</v>
      </c>
      <c r="I15" s="19"/>
    </row>
    <row r="16">
      <c r="A16" s="11" t="s">
        <v>45</v>
      </c>
      <c r="B16" s="11">
        <v>102.0</v>
      </c>
      <c r="C16" s="11">
        <v>130.0</v>
      </c>
      <c r="D16" s="15"/>
      <c r="E16" s="11">
        <v>178.0</v>
      </c>
      <c r="F16" s="11">
        <v>6.0</v>
      </c>
      <c r="G16" s="17">
        <f t="shared" ref="G16:G17" si="4">AVERAGE(B16:F16)</f>
        <v>104</v>
      </c>
      <c r="H16" s="5">
        <v>2.0</v>
      </c>
      <c r="I16" s="19"/>
    </row>
    <row r="17">
      <c r="A17" s="11" t="s">
        <v>52</v>
      </c>
      <c r="B17" s="11">
        <v>116.0</v>
      </c>
      <c r="C17" s="11">
        <v>188.0</v>
      </c>
      <c r="D17" s="11">
        <v>102.0</v>
      </c>
      <c r="E17" s="15"/>
      <c r="F17" s="11">
        <v>3.0</v>
      </c>
      <c r="G17" s="17">
        <f t="shared" si="4"/>
        <v>102.25</v>
      </c>
      <c r="H17" s="5">
        <v>3.0</v>
      </c>
      <c r="I17" s="19"/>
    </row>
    <row r="18">
      <c r="A18" s="19"/>
      <c r="B18" s="19"/>
      <c r="C18" s="19"/>
      <c r="D18" s="19"/>
      <c r="E18" s="19"/>
      <c r="F18" s="19"/>
      <c r="G18" s="19"/>
      <c r="H18" s="19"/>
      <c r="I18" s="19"/>
    </row>
    <row r="19">
      <c r="A19" s="20" t="s">
        <v>16</v>
      </c>
      <c r="B19" s="11" t="str">
        <f>A20</f>
        <v>Hopkins B</v>
      </c>
      <c r="C19" s="11" t="str">
        <f>A21</f>
        <v>Jonas Clarke A</v>
      </c>
      <c r="D19" s="14" t="str">
        <f>A22</f>
        <v>ASFA</v>
      </c>
      <c r="E19" s="14" t="str">
        <f>A23</f>
        <v>Davis Drive A</v>
      </c>
      <c r="F19" s="14"/>
      <c r="G19" s="17"/>
      <c r="H19" s="19"/>
      <c r="I19" s="19"/>
    </row>
    <row r="20">
      <c r="A20" s="11" t="s">
        <v>34</v>
      </c>
      <c r="B20" s="15"/>
      <c r="C20" s="11">
        <v>152.0</v>
      </c>
      <c r="D20" s="11">
        <v>102.0</v>
      </c>
      <c r="E20" s="11">
        <v>112.0</v>
      </c>
      <c r="F20" s="11">
        <v>9.0</v>
      </c>
      <c r="G20" s="17">
        <f t="shared" ref="G20:G23" si="5">AVERAGE(B20:E20)</f>
        <v>122</v>
      </c>
      <c r="H20" s="5">
        <v>1.0</v>
      </c>
      <c r="I20" s="19"/>
    </row>
    <row r="21">
      <c r="A21" s="11" t="s">
        <v>39</v>
      </c>
      <c r="B21" s="11">
        <v>52.0</v>
      </c>
      <c r="C21" s="15"/>
      <c r="D21" s="11">
        <v>98.0</v>
      </c>
      <c r="E21" s="11">
        <v>120.0</v>
      </c>
      <c r="F21" s="11">
        <v>0.0</v>
      </c>
      <c r="G21" s="17">
        <f t="shared" si="5"/>
        <v>90</v>
      </c>
      <c r="H21" s="5">
        <v>4.0</v>
      </c>
      <c r="I21" s="19"/>
    </row>
    <row r="22">
      <c r="A22" s="11" t="s">
        <v>46</v>
      </c>
      <c r="B22" s="11">
        <v>96.0</v>
      </c>
      <c r="C22" s="11">
        <v>126.0</v>
      </c>
      <c r="D22" s="15"/>
      <c r="E22" s="11">
        <v>74.0</v>
      </c>
      <c r="F22" s="11">
        <v>3.0</v>
      </c>
      <c r="G22" s="17">
        <f t="shared" si="5"/>
        <v>98.66666667</v>
      </c>
      <c r="H22" s="5">
        <v>3.0</v>
      </c>
      <c r="I22" s="19"/>
    </row>
    <row r="23">
      <c r="A23" s="11" t="s">
        <v>53</v>
      </c>
      <c r="B23" s="11">
        <v>100.0</v>
      </c>
      <c r="C23" s="11">
        <v>122.0</v>
      </c>
      <c r="D23" s="11">
        <v>158.0</v>
      </c>
      <c r="E23" s="15"/>
      <c r="F23" s="11">
        <v>6.0</v>
      </c>
      <c r="G23" s="17">
        <f t="shared" si="5"/>
        <v>126.6666667</v>
      </c>
      <c r="H23" s="5">
        <v>2.0</v>
      </c>
      <c r="I23" s="19"/>
    </row>
    <row r="24">
      <c r="A24" s="19"/>
      <c r="B24" s="19"/>
      <c r="C24" s="19"/>
      <c r="D24" s="19"/>
      <c r="E24" s="19"/>
      <c r="F24" s="19"/>
      <c r="G24" s="19"/>
      <c r="H24" s="19"/>
      <c r="I24" s="19"/>
    </row>
    <row r="25">
      <c r="A25" s="19"/>
      <c r="B25" s="19"/>
      <c r="C25" s="19"/>
      <c r="D25" s="19"/>
      <c r="E25" s="19"/>
      <c r="F25" s="19"/>
      <c r="G25" s="19"/>
      <c r="H25" s="19"/>
      <c r="I25" s="19"/>
    </row>
    <row r="26">
      <c r="A26" s="19"/>
      <c r="B26" s="19"/>
      <c r="C26" s="19"/>
      <c r="D26" s="19"/>
      <c r="E26" s="19"/>
      <c r="F26" s="19"/>
      <c r="G26" s="19"/>
      <c r="H26" s="19"/>
      <c r="I26" s="19"/>
    </row>
    <row r="27">
      <c r="A27" s="19"/>
      <c r="B27" s="19"/>
      <c r="C27" s="19"/>
      <c r="D27" s="19"/>
      <c r="E27" s="19"/>
      <c r="F27" s="19"/>
      <c r="G27" s="19"/>
      <c r="H27" s="19"/>
      <c r="I27" s="19"/>
    </row>
    <row r="28">
      <c r="A28" s="19"/>
      <c r="B28" s="19"/>
      <c r="C28" s="19"/>
      <c r="D28" s="19"/>
      <c r="E28" s="19"/>
      <c r="F28" s="19"/>
      <c r="G28" s="19"/>
      <c r="H28" s="19"/>
      <c r="I28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</v>
      </c>
      <c r="C1" s="5" t="s">
        <v>21</v>
      </c>
      <c r="E1" s="5" t="s">
        <v>25</v>
      </c>
      <c r="G1" s="5" t="s">
        <v>30</v>
      </c>
      <c r="I1" s="5" t="s">
        <v>35</v>
      </c>
    </row>
    <row r="2">
      <c r="A2" s="8" t="s">
        <v>40</v>
      </c>
    </row>
    <row r="3">
      <c r="A3" s="8"/>
    </row>
    <row r="5">
      <c r="C5" s="9" t="s">
        <v>36</v>
      </c>
      <c r="D5" s="9">
        <v>96.0</v>
      </c>
    </row>
    <row r="6">
      <c r="D6" s="10"/>
    </row>
    <row r="7">
      <c r="A7" s="9" t="s">
        <v>37</v>
      </c>
      <c r="B7" s="9">
        <v>136.0</v>
      </c>
      <c r="C7" s="8" t="s">
        <v>67</v>
      </c>
      <c r="D7" s="10"/>
      <c r="E7" s="9" t="s">
        <v>37</v>
      </c>
      <c r="F7" s="9">
        <v>72.0</v>
      </c>
    </row>
    <row r="8">
      <c r="A8" s="8"/>
      <c r="B8" s="10"/>
      <c r="D8" s="10"/>
      <c r="F8" s="10"/>
    </row>
    <row r="9">
      <c r="A9" s="8" t="s">
        <v>67</v>
      </c>
      <c r="B9" s="12"/>
      <c r="C9" s="9" t="s">
        <v>37</v>
      </c>
      <c r="D9" s="13">
        <v>116.0</v>
      </c>
      <c r="F9" s="10"/>
    </row>
    <row r="10">
      <c r="B10" s="10"/>
      <c r="F10" s="10"/>
    </row>
    <row r="11">
      <c r="A11" s="9" t="s">
        <v>52</v>
      </c>
      <c r="B11" s="13">
        <v>70.0</v>
      </c>
      <c r="F11" s="10"/>
    </row>
    <row r="12">
      <c r="E12" s="8" t="s">
        <v>67</v>
      </c>
      <c r="F12" s="10"/>
      <c r="G12" s="9" t="s">
        <v>50</v>
      </c>
      <c r="H12" s="9">
        <v>158.0</v>
      </c>
    </row>
    <row r="13">
      <c r="F13" s="10"/>
      <c r="H13" s="10"/>
    </row>
    <row r="14">
      <c r="F14" s="10"/>
      <c r="H14" s="10"/>
    </row>
    <row r="15">
      <c r="C15" s="9" t="s">
        <v>50</v>
      </c>
      <c r="D15" s="9">
        <v>198.0</v>
      </c>
      <c r="F15" s="10"/>
      <c r="H15" s="10"/>
    </row>
    <row r="16">
      <c r="D16" s="10"/>
      <c r="F16" s="10"/>
      <c r="H16" s="10"/>
    </row>
    <row r="17">
      <c r="A17" s="9" t="s">
        <v>45</v>
      </c>
      <c r="B17" s="9">
        <v>112.0</v>
      </c>
      <c r="C17" s="8" t="s">
        <v>74</v>
      </c>
      <c r="D17" s="10"/>
      <c r="E17" s="9" t="s">
        <v>50</v>
      </c>
      <c r="F17" s="13">
        <v>120.0</v>
      </c>
      <c r="H17" s="10"/>
    </row>
    <row r="18">
      <c r="B18" s="10"/>
      <c r="D18" s="10"/>
      <c r="H18" s="10"/>
    </row>
    <row r="19">
      <c r="A19" s="8" t="s">
        <v>74</v>
      </c>
      <c r="B19" s="12"/>
      <c r="C19" s="9" t="s">
        <v>46</v>
      </c>
      <c r="D19" s="13">
        <v>20.0</v>
      </c>
      <c r="H19" s="10"/>
    </row>
    <row r="20">
      <c r="B20" s="10"/>
      <c r="H20" s="10"/>
    </row>
    <row r="21">
      <c r="A21" s="9" t="s">
        <v>46</v>
      </c>
      <c r="B21" s="13">
        <v>148.0</v>
      </c>
      <c r="H21" s="10"/>
    </row>
    <row r="22">
      <c r="G22" s="8" t="s">
        <v>12</v>
      </c>
      <c r="H22" s="10"/>
      <c r="I22" s="9" t="s">
        <v>50</v>
      </c>
      <c r="J22" s="16"/>
    </row>
    <row r="23">
      <c r="H23" s="10"/>
    </row>
    <row r="24">
      <c r="H24" s="10"/>
    </row>
    <row r="25">
      <c r="C25" s="9" t="s">
        <v>33</v>
      </c>
      <c r="D25" s="9">
        <v>36.0</v>
      </c>
      <c r="H25" s="10"/>
    </row>
    <row r="26">
      <c r="D26" s="10"/>
      <c r="H26" s="10"/>
    </row>
    <row r="27">
      <c r="A27" s="9" t="s">
        <v>53</v>
      </c>
      <c r="B27" s="9">
        <v>142.0</v>
      </c>
      <c r="C27" s="8" t="s">
        <v>78</v>
      </c>
      <c r="D27" s="10"/>
      <c r="E27" s="9" t="s">
        <v>53</v>
      </c>
      <c r="F27" s="9">
        <v>114.0</v>
      </c>
      <c r="H27" s="10"/>
    </row>
    <row r="28">
      <c r="B28" s="10"/>
      <c r="D28" s="10"/>
      <c r="F28" s="10"/>
      <c r="H28" s="10"/>
    </row>
    <row r="29">
      <c r="A29" s="8" t="s">
        <v>78</v>
      </c>
      <c r="B29" s="12"/>
      <c r="C29" s="9" t="s">
        <v>53</v>
      </c>
      <c r="D29" s="13">
        <v>184.0</v>
      </c>
      <c r="F29" s="10"/>
      <c r="H29" s="10"/>
    </row>
    <row r="30">
      <c r="B30" s="10"/>
      <c r="F30" s="10"/>
      <c r="H30" s="10"/>
    </row>
    <row r="31">
      <c r="A31" s="9" t="s">
        <v>41</v>
      </c>
      <c r="B31" s="13">
        <v>28.0</v>
      </c>
      <c r="F31" s="10"/>
      <c r="H31" s="10"/>
    </row>
    <row r="32">
      <c r="E32" s="8" t="s">
        <v>74</v>
      </c>
      <c r="F32" s="10"/>
      <c r="G32" s="9" t="s">
        <v>53</v>
      </c>
      <c r="H32" s="13">
        <v>18.0</v>
      </c>
    </row>
    <row r="33">
      <c r="F33" s="10"/>
    </row>
    <row r="34">
      <c r="F34" s="10"/>
    </row>
    <row r="35">
      <c r="C35" s="9" t="s">
        <v>34</v>
      </c>
      <c r="D35" s="9">
        <v>84.0</v>
      </c>
      <c r="F35" s="10"/>
    </row>
    <row r="36">
      <c r="D36" s="10"/>
      <c r="F36" s="10"/>
    </row>
    <row r="37">
      <c r="A37" s="9" t="s">
        <v>48</v>
      </c>
      <c r="B37" s="9">
        <v>106.0</v>
      </c>
      <c r="C37" s="8" t="s">
        <v>82</v>
      </c>
      <c r="D37" s="10"/>
      <c r="E37" s="9" t="s">
        <v>43</v>
      </c>
      <c r="F37" s="13">
        <v>32.0</v>
      </c>
    </row>
    <row r="38">
      <c r="B38" s="10"/>
      <c r="D38" s="10"/>
    </row>
    <row r="39">
      <c r="A39" s="8" t="s">
        <v>82</v>
      </c>
      <c r="B39" s="10"/>
      <c r="C39" s="9" t="s">
        <v>43</v>
      </c>
      <c r="D39" s="13">
        <v>102.0</v>
      </c>
      <c r="G39" s="9" t="s">
        <v>37</v>
      </c>
      <c r="H39" s="9">
        <v>84.0</v>
      </c>
    </row>
    <row r="40">
      <c r="B40" s="10"/>
      <c r="H40" s="10"/>
    </row>
    <row r="41">
      <c r="A41" s="9" t="s">
        <v>43</v>
      </c>
      <c r="B41" s="13">
        <v>144.0</v>
      </c>
      <c r="G41" s="8" t="s">
        <v>106</v>
      </c>
      <c r="H41" s="10"/>
      <c r="I41" s="9" t="s">
        <v>37</v>
      </c>
      <c r="J41" s="16"/>
    </row>
    <row r="42">
      <c r="H42" s="10"/>
    </row>
    <row r="43">
      <c r="G43" s="9" t="s">
        <v>43</v>
      </c>
      <c r="H43" s="13">
        <v>38.0</v>
      </c>
    </row>
  </sheetData>
  <mergeCells count="5">
    <mergeCell ref="A1:B1"/>
    <mergeCell ref="C1:D1"/>
    <mergeCell ref="E1:F1"/>
    <mergeCell ref="G1:H1"/>
    <mergeCell ref="I1:J1"/>
  </mergeCells>
  <drawing r:id="rId1"/>
</worksheet>
</file>