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 Subject Scores" sheetId="1" r:id="rId5"/>
    <sheet state="visible" name="Round Robin Individual Rankings" sheetId="2" r:id="rId6"/>
    <sheet state="visible" name="Round Robin Team Rankings" sheetId="3" r:id="rId7"/>
    <sheet state="hidden" name="Round Robin Matchups" sheetId="4" r:id="rId8"/>
    <sheet state="hidden" name="Biology" sheetId="5" r:id="rId9"/>
    <sheet state="hidden" name="Chemistry" sheetId="6" r:id="rId10"/>
    <sheet state="hidden" name="Earth &amp; Space" sheetId="7" r:id="rId11"/>
    <sheet state="hidden" name="Energy" sheetId="8" r:id="rId12"/>
    <sheet state="hidden" name="Math" sheetId="9" r:id="rId13"/>
    <sheet state="hidden" name="Physics" sheetId="10" r:id="rId14"/>
    <sheet state="hidden" name="Check-in Import" sheetId="11" r:id="rId15"/>
  </sheets>
  <definedNames/>
  <calcPr/>
</workbook>
</file>

<file path=xl/sharedStrings.xml><?xml version="1.0" encoding="utf-8"?>
<sst xmlns="http://schemas.openxmlformats.org/spreadsheetml/2006/main" count="2120" uniqueCount="218">
  <si>
    <t>Round Robin Subject Scores</t>
  </si>
  <si>
    <t>Biology</t>
  </si>
  <si>
    <t>Chemistry</t>
  </si>
  <si>
    <t>Earth &amp; Space</t>
  </si>
  <si>
    <t>Energy</t>
  </si>
  <si>
    <t>Math</t>
  </si>
  <si>
    <t>Physics</t>
  </si>
  <si>
    <t>Score = (# Correct Tossups) - (# Penalized Tossups) + 0.5 * (# of Correct Bonuses)</t>
  </si>
  <si>
    <t>Team Name:</t>
  </si>
  <si>
    <t>Cupertino A</t>
  </si>
  <si>
    <t>Team Members:</t>
  </si>
  <si>
    <t>Jake Wang</t>
  </si>
  <si>
    <t>Minseo Park</t>
  </si>
  <si>
    <t>Aditi Gargeshwari</t>
  </si>
  <si>
    <t>Namita Gaidhani</t>
  </si>
  <si>
    <t>Subject:</t>
  </si>
  <si>
    <t>Score:</t>
  </si>
  <si>
    <t>Shridavi Raghavan</t>
  </si>
  <si>
    <t>Saratoga</t>
  </si>
  <si>
    <t>Skyler Mao</t>
  </si>
  <si>
    <t>Irvington</t>
  </si>
  <si>
    <t>Samyuktha Lakshmi</t>
  </si>
  <si>
    <t>Saint Francis</t>
  </si>
  <si>
    <t>Ishan Pachauri</t>
  </si>
  <si>
    <t>BASIS Independent A</t>
  </si>
  <si>
    <t>Yueqian Zhang</t>
  </si>
  <si>
    <t>BASIS Independent B</t>
  </si>
  <si>
    <t>Brady Yang</t>
  </si>
  <si>
    <t>Canyon Crest A</t>
  </si>
  <si>
    <t>Alex Xu</t>
  </si>
  <si>
    <t>Canyon Crest B</t>
  </si>
  <si>
    <t>Austin Xu</t>
  </si>
  <si>
    <t>Mira Loma A</t>
  </si>
  <si>
    <t>Harish Premkumar</t>
  </si>
  <si>
    <t>Mira Loma B</t>
  </si>
  <si>
    <t>Ashrith Beeravelli</t>
  </si>
  <si>
    <t>Foothill A</t>
  </si>
  <si>
    <t>Lakshanya Palani</t>
  </si>
  <si>
    <t>Foothill B</t>
  </si>
  <si>
    <t>Aahana Biswal</t>
  </si>
  <si>
    <t>Lynbrook C</t>
  </si>
  <si>
    <t>Siwen Luo</t>
  </si>
  <si>
    <t>American A</t>
  </si>
  <si>
    <t>Stavya Gaonkar</t>
  </si>
  <si>
    <t>American B</t>
  </si>
  <si>
    <t>Arnava Bharadwaja</t>
  </si>
  <si>
    <t>Palo Alto A</t>
  </si>
  <si>
    <t>Forrest Chou</t>
  </si>
  <si>
    <t>Palo Alto B</t>
  </si>
  <si>
    <t>Jonathan Yuen</t>
  </si>
  <si>
    <t>California B</t>
  </si>
  <si>
    <t>Vihaan Tigadikar</t>
  </si>
  <si>
    <t>California A</t>
  </si>
  <si>
    <t>Mukund Senthil Kumar</t>
  </si>
  <si>
    <t>Arnold O. Beckman A</t>
  </si>
  <si>
    <t>Aadhya Shenoy</t>
  </si>
  <si>
    <t>Archbishop Mitty A</t>
  </si>
  <si>
    <t>Suyog Vibhuti</t>
  </si>
  <si>
    <t>Archbishop Mitty B</t>
  </si>
  <si>
    <t>Jonathan Yu</t>
  </si>
  <si>
    <t>Mission San Jose A</t>
  </si>
  <si>
    <t>Jeffrey Li</t>
  </si>
  <si>
    <t>Mission San Jose B</t>
  </si>
  <si>
    <t>Daniel Liu</t>
  </si>
  <si>
    <t>Stanford Online</t>
  </si>
  <si>
    <t>Keshav Narang</t>
  </si>
  <si>
    <t>Aaditya Karnataki</t>
  </si>
  <si>
    <t>Cupertino B</t>
  </si>
  <si>
    <t>Mithilesh Gopalakrishnan</t>
  </si>
  <si>
    <t>Monta Vista A</t>
  </si>
  <si>
    <t>Anish Bayyapu</t>
  </si>
  <si>
    <t>Monta Vista B</t>
  </si>
  <si>
    <t xml:space="preserve">Maya Pullara </t>
  </si>
  <si>
    <t>North Hollywood</t>
  </si>
  <si>
    <t>Boheng Cao</t>
  </si>
  <si>
    <t>Dougherty Valley A</t>
  </si>
  <si>
    <t>Pleban Mishra</t>
  </si>
  <si>
    <t>Dougherty Valley B</t>
  </si>
  <si>
    <t>Jayden Lee</t>
  </si>
  <si>
    <t>Amador Valley A</t>
  </si>
  <si>
    <t>Gaurav Gupta</t>
  </si>
  <si>
    <t>Amador Valley B</t>
  </si>
  <si>
    <t>Dalbert Wu</t>
  </si>
  <si>
    <t>Lynbrook A</t>
  </si>
  <si>
    <t>Selena Yang</t>
  </si>
  <si>
    <t>Lynbrook B</t>
  </si>
  <si>
    <t>Brian Bi</t>
  </si>
  <si>
    <t>Abraham Lincoln</t>
  </si>
  <si>
    <t>Steven Su</t>
  </si>
  <si>
    <t>Alex Ge</t>
  </si>
  <si>
    <t>Arjun Murugappan</t>
  </si>
  <si>
    <t>Viyan Dabke</t>
  </si>
  <si>
    <t>Sidhant Chaliha</t>
  </si>
  <si>
    <t>Aya Ahmad</t>
  </si>
  <si>
    <t>Flora Jiang</t>
  </si>
  <si>
    <t>Ishank Kadadi</t>
  </si>
  <si>
    <t>Elyas Nuh</t>
  </si>
  <si>
    <t>Nishanth Karanam</t>
  </si>
  <si>
    <t>Jake Nguyen</t>
  </si>
  <si>
    <t>Brandon Kong</t>
  </si>
  <si>
    <t>Shripriya Kalbhavi</t>
  </si>
  <si>
    <t>Sriram Venkatesh</t>
  </si>
  <si>
    <t>Ryan Manocha</t>
  </si>
  <si>
    <t>Carissa Tsui</t>
  </si>
  <si>
    <t>Jeremy Yuen</t>
  </si>
  <si>
    <t>Vladislav Khitrov</t>
  </si>
  <si>
    <t>Jax Milasincic</t>
  </si>
  <si>
    <t>Rohan Hablani</t>
  </si>
  <si>
    <t>Suvan Chauhan</t>
  </si>
  <si>
    <t>Anish Roy</t>
  </si>
  <si>
    <t>Annie Xu</t>
  </si>
  <si>
    <t>Theenash Sengupta</t>
  </si>
  <si>
    <t>Hannah Bowman</t>
  </si>
  <si>
    <t>Ethan Chu</t>
  </si>
  <si>
    <t xml:space="preserve">Siddhant Jain </t>
  </si>
  <si>
    <t xml:space="preserve">Nicholas Pantino </t>
  </si>
  <si>
    <t>Connor Zhao</t>
  </si>
  <si>
    <t>William Zhao</t>
  </si>
  <si>
    <t>Shreyas Mahajan</t>
  </si>
  <si>
    <t>Edwin He</t>
  </si>
  <si>
    <t>Pratham Mehta</t>
  </si>
  <si>
    <t>Sohil Rathi</t>
  </si>
  <si>
    <t>Chaas Kandregula</t>
  </si>
  <si>
    <t>Garen Yang</t>
  </si>
  <si>
    <t>Willis Chung</t>
  </si>
  <si>
    <t>Roland Pratt</t>
  </si>
  <si>
    <t>Anirudh Kannan</t>
  </si>
  <si>
    <t>Ivan Zhang</t>
  </si>
  <si>
    <t>Ashlee Zhou</t>
  </si>
  <si>
    <t>Sean Yu</t>
  </si>
  <si>
    <t>Larry Wu</t>
  </si>
  <si>
    <t>Aryan Morasa</t>
  </si>
  <si>
    <t>Kapilan Karunakaran</t>
  </si>
  <si>
    <t>Sreekar Sreeram</t>
  </si>
  <si>
    <t>Shivani Swaminathan</t>
  </si>
  <si>
    <t>Matthew Yuan</t>
  </si>
  <si>
    <t>Krishay Garg</t>
  </si>
  <si>
    <t>Vishruth Dinesh</t>
  </si>
  <si>
    <t>Claire Shi</t>
  </si>
  <si>
    <t>Andrew Wang</t>
  </si>
  <si>
    <t>Amritha Srinivasan</t>
  </si>
  <si>
    <t>Veerein Pala</t>
  </si>
  <si>
    <t>Diego Pons</t>
  </si>
  <si>
    <t>Mahit Karadigudda</t>
  </si>
  <si>
    <t>Raaghav Chakravarty</t>
  </si>
  <si>
    <t>Advaith Mopuri</t>
  </si>
  <si>
    <t>Arnav Gupta</t>
  </si>
  <si>
    <t>Joshua Tittiranonda</t>
  </si>
  <si>
    <t>Kira Liang</t>
  </si>
  <si>
    <t>Chinmay Raghvendran</t>
  </si>
  <si>
    <t xml:space="preserve">Arshiya Sen </t>
  </si>
  <si>
    <t>Phoebe Xu</t>
  </si>
  <si>
    <t>Anthony Wei</t>
  </si>
  <si>
    <t>Henry Lai</t>
  </si>
  <si>
    <t>Ritwik Aeka</t>
  </si>
  <si>
    <t>Srijon Mandal</t>
  </si>
  <si>
    <t>Samuel Wang</t>
  </si>
  <si>
    <t>Ryan Bansal</t>
  </si>
  <si>
    <t>Kyle Li</t>
  </si>
  <si>
    <t>Alan Cai</t>
  </si>
  <si>
    <t>Pearl Shah</t>
  </si>
  <si>
    <t>Alexander Xia</t>
  </si>
  <si>
    <t>Meryl Zhang</t>
  </si>
  <si>
    <t>Yash Madireddy</t>
  </si>
  <si>
    <t>Michelle Liang</t>
  </si>
  <si>
    <t>Alex Backues</t>
  </si>
  <si>
    <t>Tanay Bodducherla</t>
  </si>
  <si>
    <t>Vishwas Charan</t>
  </si>
  <si>
    <t>Harini Penumuchu</t>
  </si>
  <si>
    <t>Aanya Guthula</t>
  </si>
  <si>
    <t>Thomas Wu</t>
  </si>
  <si>
    <t>Ayati Vyas</t>
  </si>
  <si>
    <t>Nikhil Sinha</t>
  </si>
  <si>
    <t>Andrew Wen</t>
  </si>
  <si>
    <t>Allie Jackson</t>
  </si>
  <si>
    <t>Kavin Jain</t>
  </si>
  <si>
    <t>Rex Ouyang</t>
  </si>
  <si>
    <t>Ranju Raghavan</t>
  </si>
  <si>
    <t>Sebastian Leung</t>
  </si>
  <si>
    <t>Ajla Trumic</t>
  </si>
  <si>
    <t>Roshan Annamalai</t>
  </si>
  <si>
    <t xml:space="preserve">Aniket Mangalampalli </t>
  </si>
  <si>
    <t>Nathan Bowman</t>
  </si>
  <si>
    <t>Danica Au</t>
  </si>
  <si>
    <t>Vibha Raghvendran</t>
  </si>
  <si>
    <t xml:space="preserve">Meghana Somu </t>
  </si>
  <si>
    <t>Suzuko Ohshima</t>
  </si>
  <si>
    <t>Akshaj Challa</t>
  </si>
  <si>
    <t>Varun Challa</t>
  </si>
  <si>
    <t>Rohan Garg</t>
  </si>
  <si>
    <t>Christopher Xia (sub)</t>
  </si>
  <si>
    <t>Jianyu Wang</t>
  </si>
  <si>
    <t>Ian Chen</t>
  </si>
  <si>
    <t>Miranda Feng Cai</t>
  </si>
  <si>
    <t>Warren Chee</t>
  </si>
  <si>
    <t>Evan Tung</t>
  </si>
  <si>
    <t>Caleb Obico</t>
  </si>
  <si>
    <t>Anoushka Thamane</t>
  </si>
  <si>
    <t xml:space="preserve">Aatreyo Bhattacharyya </t>
  </si>
  <si>
    <t>Benjamin Mark</t>
  </si>
  <si>
    <t>Sahil Deshmukh</t>
  </si>
  <si>
    <t>Athithan Elamaran</t>
  </si>
  <si>
    <t>Evan Liu</t>
  </si>
  <si>
    <t>Amaan Mohammad</t>
  </si>
  <si>
    <t>Mahesh Karthikeyan</t>
  </si>
  <si>
    <t>Surya Gannerkote</t>
  </si>
  <si>
    <t>Inhoo Chang</t>
  </si>
  <si>
    <t>Lucas Chi</t>
  </si>
  <si>
    <t>Jishnu Balaji</t>
  </si>
  <si>
    <t>Gokulanath Mahesh Kumar</t>
  </si>
  <si>
    <t xml:space="preserve">Advai Srinivasan </t>
  </si>
  <si>
    <t>Jaanya Annapureddy</t>
  </si>
  <si>
    <t>Ishaan Desai</t>
  </si>
  <si>
    <t xml:space="preserve">Aradhana Sekar </t>
  </si>
  <si>
    <t>Victoria Xu</t>
  </si>
  <si>
    <t>Spencer Fang</t>
  </si>
  <si>
    <t>Steve Yang</t>
  </si>
  <si>
    <t>Harold Wang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</si>
</sst>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Georgia"/>
    </font>
    <font>
      <sz val="14.0"/>
      <color rgb="FF3D85C6"/>
      <name val="Georgia"/>
    </font>
    <font>
      <b/>
      <color theme="1"/>
      <name val="Georgia"/>
    </font>
    <font>
      <color theme="1"/>
      <name val="Georgia"/>
    </font>
    <font>
      <color rgb="FF3D85C6"/>
      <name val="Georgia"/>
    </font>
    <font>
      <b/>
      <color theme="1"/>
      <name val="Arial"/>
      <scheme val="minor"/>
    </font>
    <font>
      <u/>
      <color rgb="FF0000FF"/>
      <name val="Georgia"/>
    </font>
    <font>
      <u/>
      <color rgb="FF0000FF"/>
      <name val="Georgia"/>
    </font>
    <font>
      <b/>
      <color theme="1"/>
      <name val="Arial"/>
    </font>
    <font>
      <color theme="1"/>
      <name val="Arial"/>
    </font>
    <font>
      <color rgb="FF000000"/>
      <name val="Georgia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7" numFmtId="0" xfId="0" applyFont="1"/>
    <xf borderId="0" fillId="0" fontId="3" numFmtId="0" xfId="0" applyFont="1"/>
    <xf borderId="0" fillId="4" fontId="4" numFmtId="0" xfId="0" applyFill="1" applyFont="1"/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1" fillId="0" fontId="10" numFmtId="0" xfId="0" applyAlignment="1" applyBorder="1" applyFont="1">
      <alignment horizontal="right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2" fillId="0" fontId="10" numFmtId="0" xfId="0" applyAlignment="1" applyBorder="1" applyFont="1">
      <alignment vertical="bottom"/>
    </xf>
    <xf borderId="0" fillId="0" fontId="10" numFmtId="0" xfId="0" applyAlignment="1" applyFont="1">
      <alignment horizontal="right" vertical="bottom"/>
    </xf>
    <xf borderId="2" fillId="0" fontId="10" numFmtId="0" xfId="0" applyAlignment="1" applyBorder="1" applyFont="1">
      <alignment horizontal="right" vertical="bottom"/>
    </xf>
    <xf borderId="0" fillId="5" fontId="10" numFmtId="0" xfId="0" applyAlignment="1" applyFill="1" applyFont="1">
      <alignment vertical="bottom"/>
    </xf>
    <xf borderId="0" fillId="0" fontId="11" numFmtId="0" xfId="0" applyAlignment="1" applyFont="1">
      <alignment readingOrder="0"/>
    </xf>
    <xf borderId="3" fillId="0" fontId="10" numFmtId="0" xfId="0" applyAlignment="1" applyBorder="1" applyFont="1">
      <alignment horizontal="right" vertical="bottom"/>
    </xf>
    <xf borderId="0" fillId="0" fontId="10" numFmtId="0" xfId="0" applyAlignment="1" applyFont="1">
      <alignment shrinkToFit="0" vertical="bottom" wrapText="0"/>
    </xf>
    <xf borderId="0" fillId="0" fontId="12" numFmtId="0" xfId="0" applyFon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390525</xdr:colOff>
      <xdr:row>21</xdr:row>
      <xdr:rowOff>28575</xdr:rowOff>
    </xdr:from>
    <xdr:ext cx="3305175" cy="1295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1209675</xdr:colOff>
      <xdr:row>21</xdr:row>
      <xdr:rowOff>76200</xdr:rowOff>
    </xdr:from>
    <xdr:ext cx="3305175" cy="1295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1209675</xdr:colOff>
      <xdr:row>21</xdr:row>
      <xdr:rowOff>76200</xdr:rowOff>
    </xdr:from>
    <xdr:ext cx="3305175" cy="1295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a9dFMqieyAAfWOgCCyfkxVaTZwa4Ozu3u5RLvdM--n0" TargetMode="External"/><Relationship Id="rId84" Type="http://schemas.openxmlformats.org/officeDocument/2006/relationships/hyperlink" Target="https://docs.google.com/spreadsheets/d/10oipfe3eGVZaBx9dbZWUxZkLRYvtqD1Hu-HGGDAGCkI" TargetMode="External"/><Relationship Id="rId83" Type="http://schemas.openxmlformats.org/officeDocument/2006/relationships/hyperlink" Target="https://docs.google.com/spreadsheets/d/1VwCoZsplWg7fDrBy2auubkGB27xiStZ9H93BLd7pwso" TargetMode="External"/><Relationship Id="rId42" Type="http://schemas.openxmlformats.org/officeDocument/2006/relationships/hyperlink" Target="https://docs.google.com/spreadsheets/d/1SvjRYVeNNRJcQ3VJKdMXBT7714tdtmQHERgUpVSWxX8" TargetMode="External"/><Relationship Id="rId86" Type="http://schemas.openxmlformats.org/officeDocument/2006/relationships/hyperlink" Target="https://docs.google.com/spreadsheets/d/1eueRrNkhjdTQZv95xecFh6l-YNKa_kgdln1Xwluspwc" TargetMode="External"/><Relationship Id="rId41" Type="http://schemas.openxmlformats.org/officeDocument/2006/relationships/hyperlink" Target="https://docs.google.com/spreadsheets/d/1w6y4qo4egYm2wMazMTpIGvtphZT9S447kg1dOxB6ARA" TargetMode="External"/><Relationship Id="rId85" Type="http://schemas.openxmlformats.org/officeDocument/2006/relationships/hyperlink" Target="https://docs.google.com/spreadsheets/d/11KZfWuBj-vuhPkhvYhtZpe9byoY9STAV6vQ4qnwi8-4" TargetMode="External"/><Relationship Id="rId44" Type="http://schemas.openxmlformats.org/officeDocument/2006/relationships/hyperlink" Target="https://docs.google.com/spreadsheets/d/1RJypWp2wTqihwoFhBJ_qzMuRkRjJi0pIq_EYAhiIu04" TargetMode="External"/><Relationship Id="rId88" Type="http://schemas.openxmlformats.org/officeDocument/2006/relationships/hyperlink" Target="https://docs.google.com/spreadsheets/d/1K-NH0X77wrQ8zAxVDEev6nPqbKSdNlTkU9oGSLdGOBs" TargetMode="External"/><Relationship Id="rId43" Type="http://schemas.openxmlformats.org/officeDocument/2006/relationships/hyperlink" Target="https://docs.google.com/spreadsheets/d/1ae4-ykuFF1vYkgHxCJ3J0GDldvUADQP8UfbMJJrASgE" TargetMode="External"/><Relationship Id="rId87" Type="http://schemas.openxmlformats.org/officeDocument/2006/relationships/hyperlink" Target="https://docs.google.com/spreadsheets/d/1Cws9bQzxmjiH1GnphYp2bO5wiJgxZyIeUVMD9oG_lKs" TargetMode="External"/><Relationship Id="rId46" Type="http://schemas.openxmlformats.org/officeDocument/2006/relationships/hyperlink" Target="https://docs.google.com/spreadsheets/d/13XPMYQM8C2biZ2W8kr0wOIAsZHS-GZ_pGjl7rE07T_g" TargetMode="External"/><Relationship Id="rId45" Type="http://schemas.openxmlformats.org/officeDocument/2006/relationships/hyperlink" Target="https://docs.google.com/spreadsheets/d/1OuYgOzRyIuXDDyPDZKnA62MT3xLFFhxtGiGa_bcQG7A" TargetMode="External"/><Relationship Id="rId89" Type="http://schemas.openxmlformats.org/officeDocument/2006/relationships/hyperlink" Target="https://docs.google.com/spreadsheets/d/1T4lZAtGWa34IrBg919CpYhgD34qWdRLqH9BCtAL8enQ" TargetMode="External"/><Relationship Id="rId80" Type="http://schemas.openxmlformats.org/officeDocument/2006/relationships/hyperlink" Target="https://docs.google.com/spreadsheets/d/1lmynrMYWpb3_BfzgFRHTClIgGAByvXKyM4APc2i6o2Y" TargetMode="External"/><Relationship Id="rId82" Type="http://schemas.openxmlformats.org/officeDocument/2006/relationships/hyperlink" Target="https://docs.google.com/spreadsheets/d/15deHYgYzEdUNH9GPJLjgOugTRe7nz3RHY-_ycHMNBVc" TargetMode="External"/><Relationship Id="rId81" Type="http://schemas.openxmlformats.org/officeDocument/2006/relationships/hyperlink" Target="https://docs.google.com/spreadsheets/d/1hOOxU0m8MDPAiqirRfrgfSYL2KwH9frDs4OGy7MIjIE" TargetMode="External"/><Relationship Id="rId1" Type="http://schemas.openxmlformats.org/officeDocument/2006/relationships/hyperlink" Target="https://docs.google.com/spreadsheets/d/17E6ywICRh3DH2kuT_GY3LWRXJ-YRPGe96jB5rilwQBQ" TargetMode="External"/><Relationship Id="rId2" Type="http://schemas.openxmlformats.org/officeDocument/2006/relationships/hyperlink" Target="https://docs.google.com/spreadsheets/d/170z1HffuXseDb5NpZ_nzJQINmBXrztcqgbYM9hO5_BM" TargetMode="External"/><Relationship Id="rId3" Type="http://schemas.openxmlformats.org/officeDocument/2006/relationships/hyperlink" Target="https://docs.google.com/spreadsheets/d/1itbJVFJOyyBh0337RHlvKAm74IA5JbzVGvQpcQSZE-A" TargetMode="External"/><Relationship Id="rId4" Type="http://schemas.openxmlformats.org/officeDocument/2006/relationships/hyperlink" Target="https://docs.google.com/spreadsheets/d/1n-s0YJuErF_1mcp_jaKFpVqRd7PZSnZN8omjpo3pH2k" TargetMode="External"/><Relationship Id="rId9" Type="http://schemas.openxmlformats.org/officeDocument/2006/relationships/hyperlink" Target="https://docs.google.com/spreadsheets/d/19UESqgDbGVXljzEMc2TV2bzvnTzMYWT6InzREbK4pvA" TargetMode="External"/><Relationship Id="rId48" Type="http://schemas.openxmlformats.org/officeDocument/2006/relationships/hyperlink" Target="https://docs.google.com/spreadsheets/d/1EUUYnZtlfgnkfE7cO3K_pxdwsqLS58A-dJXpHAmO7ZI" TargetMode="External"/><Relationship Id="rId47" Type="http://schemas.openxmlformats.org/officeDocument/2006/relationships/hyperlink" Target="https://docs.google.com/spreadsheets/d/1rvYxLrmq_QWmap-brWZJY_K0-21z1J1nGLTXZCZyeR0" TargetMode="External"/><Relationship Id="rId49" Type="http://schemas.openxmlformats.org/officeDocument/2006/relationships/hyperlink" Target="https://docs.google.com/spreadsheets/d/1LMQvb6yKDgmBDDhQsiEp9ohs1bGMmNIx2Nyiz6enHHU" TargetMode="External"/><Relationship Id="rId5" Type="http://schemas.openxmlformats.org/officeDocument/2006/relationships/hyperlink" Target="https://docs.google.com/spreadsheets/d/1TJaMxgFa2jxLQiqO1KBcyvvIBe1e1-goS1fUn82KIyY" TargetMode="External"/><Relationship Id="rId6" Type="http://schemas.openxmlformats.org/officeDocument/2006/relationships/hyperlink" Target="https://docs.google.com/spreadsheets/d/1t58nQj26-XOO-UqFhk4aRMZPO5SwqhPUHtWUX6CLeJA" TargetMode="External"/><Relationship Id="rId7" Type="http://schemas.openxmlformats.org/officeDocument/2006/relationships/hyperlink" Target="https://docs.google.com/spreadsheets/d/1S7-Gm4US0JFHQf67oHxVY2NMjKYtXwffpRKWSfj-DOk" TargetMode="External"/><Relationship Id="rId8" Type="http://schemas.openxmlformats.org/officeDocument/2006/relationships/hyperlink" Target="https://docs.google.com/spreadsheets/d/1kwiq07x4hUtrFeczb2a_prZuSqTS3yLlg5loMnZabX0" TargetMode="External"/><Relationship Id="rId73" Type="http://schemas.openxmlformats.org/officeDocument/2006/relationships/hyperlink" Target="https://docs.google.com/spreadsheets/d/153ZRTEbB8kW-DOoC7vXrj6Tt4iWL-ozi-X2oO-mtkxM" TargetMode="External"/><Relationship Id="rId72" Type="http://schemas.openxmlformats.org/officeDocument/2006/relationships/hyperlink" Target="https://docs.google.com/spreadsheets/d/1Nb9BPYqn5j1_YJ2D-U3pkGbJ9sEJPizBFDCRT6B_O3U" TargetMode="External"/><Relationship Id="rId31" Type="http://schemas.openxmlformats.org/officeDocument/2006/relationships/hyperlink" Target="https://docs.google.com/spreadsheets/d/12OBVp6FmFVyfUv5PsoMW9euUWiazJLtFPPEx-V3lOP8" TargetMode="External"/><Relationship Id="rId75" Type="http://schemas.openxmlformats.org/officeDocument/2006/relationships/hyperlink" Target="https://docs.google.com/spreadsheets/d/13LBeVsgo8N4DGHb2s90Uuu8VXWM4Mcr0SYKB69NJ6v8" TargetMode="External"/><Relationship Id="rId30" Type="http://schemas.openxmlformats.org/officeDocument/2006/relationships/hyperlink" Target="https://docs.google.com/spreadsheets/d/1_sIPptnkezVclXMOdVxpS7FlaRJjB0MMU2a8cKvYXQM" TargetMode="External"/><Relationship Id="rId74" Type="http://schemas.openxmlformats.org/officeDocument/2006/relationships/hyperlink" Target="https://docs.google.com/spreadsheets/d/1He4ncRqLA-maOFTgKoiRQfr_BSHD1HG2hs-tUjvSSKI" TargetMode="External"/><Relationship Id="rId33" Type="http://schemas.openxmlformats.org/officeDocument/2006/relationships/hyperlink" Target="https://docs.google.com/spreadsheets/d/1cir3Q58uI7HHdiqsGyG0dW-Fbq-ODt6kMVIxs-wTfjE" TargetMode="External"/><Relationship Id="rId77" Type="http://schemas.openxmlformats.org/officeDocument/2006/relationships/hyperlink" Target="https://docs.google.com/spreadsheets/d/1H_FQw_HfKWNoF7xL7nw7dBLYqVXqsKSYuE7cZ_0X4eU" TargetMode="External"/><Relationship Id="rId32" Type="http://schemas.openxmlformats.org/officeDocument/2006/relationships/hyperlink" Target="https://docs.google.com/spreadsheets/d/1myJM8yU8LHRIJyhtDjBchtML2DIxB4FclCvmE4plevM" TargetMode="External"/><Relationship Id="rId76" Type="http://schemas.openxmlformats.org/officeDocument/2006/relationships/hyperlink" Target="https://docs.google.com/spreadsheets/d/11U0qOhNgrJR6u28yysLgY1k_8OMU-guBK1bINDTEv64" TargetMode="External"/><Relationship Id="rId35" Type="http://schemas.openxmlformats.org/officeDocument/2006/relationships/hyperlink" Target="https://docs.google.com/spreadsheets/d/1jz1InpoQjqokcFkViczCK3lyPGSJI_ZYzevN2V8JvlE" TargetMode="External"/><Relationship Id="rId79" Type="http://schemas.openxmlformats.org/officeDocument/2006/relationships/hyperlink" Target="https://docs.google.com/spreadsheets/d/1fIVowQ8AjotMagIJfOAwB2UynjTkfxDz4APG4QFbayk" TargetMode="External"/><Relationship Id="rId34" Type="http://schemas.openxmlformats.org/officeDocument/2006/relationships/hyperlink" Target="https://docs.google.com/spreadsheets/d/1oE5chvLKtsyie62WbKFTd_PYF7_rw6--ffJF3567ths" TargetMode="External"/><Relationship Id="rId78" Type="http://schemas.openxmlformats.org/officeDocument/2006/relationships/hyperlink" Target="https://docs.google.com/spreadsheets/d/1V3lXd6TxDuAvO4OcdezALwzT5XGFtQWd0aGbzb5aU94" TargetMode="External"/><Relationship Id="rId71" Type="http://schemas.openxmlformats.org/officeDocument/2006/relationships/hyperlink" Target="https://docs.google.com/spreadsheets/d/1RRnt2fnMLOxyAC8170uL4CMjOIYG4lKvhy_BDL7ry8I" TargetMode="External"/><Relationship Id="rId70" Type="http://schemas.openxmlformats.org/officeDocument/2006/relationships/hyperlink" Target="https://docs.google.com/spreadsheets/d/1ZW2O9s2IvWXYVprzm0MEnCDKzU3sGRbjcaIRe_kDd4o" TargetMode="External"/><Relationship Id="rId37" Type="http://schemas.openxmlformats.org/officeDocument/2006/relationships/hyperlink" Target="https://docs.google.com/spreadsheets/d/1zI1PWNVOSgtrQ5h8hb5Rfx0SG-_8HCGABj8HQhJQJyo" TargetMode="External"/><Relationship Id="rId36" Type="http://schemas.openxmlformats.org/officeDocument/2006/relationships/hyperlink" Target="https://docs.google.com/spreadsheets/d/1hQda1iH1uvvrknkqTyxKyPMEgb-VCoHaSPhXt1pTo1Y" TargetMode="External"/><Relationship Id="rId39" Type="http://schemas.openxmlformats.org/officeDocument/2006/relationships/hyperlink" Target="https://docs.google.com/spreadsheets/d/1K04BvVsiWWGFgANH7uLrTk9g4XbGEvFzPG7nzsMDa6o" TargetMode="External"/><Relationship Id="rId38" Type="http://schemas.openxmlformats.org/officeDocument/2006/relationships/hyperlink" Target="https://docs.google.com/spreadsheets/d/1w4cCeNC-mn0KD69XaM-x7uPnGFLE8D77x4niZHm8Rmg" TargetMode="External"/><Relationship Id="rId62" Type="http://schemas.openxmlformats.org/officeDocument/2006/relationships/hyperlink" Target="https://docs.google.com/spreadsheets/d/1cMqQRri3ONcPrOXzxdzLfvXVYpIcmlnK_Tl8-bKDI8E" TargetMode="External"/><Relationship Id="rId61" Type="http://schemas.openxmlformats.org/officeDocument/2006/relationships/hyperlink" Target="https://docs.google.com/spreadsheets/d/1sy3DZSPxHrm25bmUbnxUv5zrlgT0kMG1gSQxAEjLQqM" TargetMode="External"/><Relationship Id="rId20" Type="http://schemas.openxmlformats.org/officeDocument/2006/relationships/hyperlink" Target="https://docs.google.com/spreadsheets/d/1fdgtRjAgnSm3y69-VooshsVIi3IFPCWFvnMTAfUbl1g" TargetMode="External"/><Relationship Id="rId64" Type="http://schemas.openxmlformats.org/officeDocument/2006/relationships/hyperlink" Target="https://docs.google.com/spreadsheets/d/1dyQMT-PdpNhTDLNybHolH89iGK8cV0_Y0lBpM__WYDA" TargetMode="External"/><Relationship Id="rId63" Type="http://schemas.openxmlformats.org/officeDocument/2006/relationships/hyperlink" Target="https://docs.google.com/spreadsheets/d/1yujQrqFP9_F7MdieQreZmf82hNWkPywC6p90aocO27E" TargetMode="External"/><Relationship Id="rId22" Type="http://schemas.openxmlformats.org/officeDocument/2006/relationships/hyperlink" Target="https://docs.google.com/spreadsheets/d/1l2L_nR_5DqTU6t6vq9cgjWWVkrneymRfeFLWehR7nz0" TargetMode="External"/><Relationship Id="rId66" Type="http://schemas.openxmlformats.org/officeDocument/2006/relationships/hyperlink" Target="https://docs.google.com/spreadsheets/d/1eMyQ8Ot6t7mkE8-dH6yvnM9waK3ktnLXsNq3cZnpFzM" TargetMode="External"/><Relationship Id="rId21" Type="http://schemas.openxmlformats.org/officeDocument/2006/relationships/hyperlink" Target="https://docs.google.com/spreadsheets/d/1fxnjLoO8Xw5Rwn9s-iWd73EsAFchG8Ujs5rqe46f74w" TargetMode="External"/><Relationship Id="rId65" Type="http://schemas.openxmlformats.org/officeDocument/2006/relationships/hyperlink" Target="https://docs.google.com/spreadsheets/d/1et755FsCKX63WiZ3VGIVv5iF-0OanzJcZygbsZjRMys" TargetMode="External"/><Relationship Id="rId24" Type="http://schemas.openxmlformats.org/officeDocument/2006/relationships/hyperlink" Target="https://docs.google.com/spreadsheets/d/1WZS2U78kESsK6DFQOaBNOGkFnJhul0_YJIUcM8p6g04" TargetMode="External"/><Relationship Id="rId68" Type="http://schemas.openxmlformats.org/officeDocument/2006/relationships/hyperlink" Target="https://docs.google.com/spreadsheets/d/1_SZPsollYXXSfgKeoM6Rb4wtvBNOlhgf7Eq3KwD_9Fk" TargetMode="External"/><Relationship Id="rId23" Type="http://schemas.openxmlformats.org/officeDocument/2006/relationships/hyperlink" Target="https://docs.google.com/spreadsheets/d/1psyoKuYj5k0EMJxqye7i1hhi1x4Y4_vLJ4uEg1xRiFU" TargetMode="External"/><Relationship Id="rId67" Type="http://schemas.openxmlformats.org/officeDocument/2006/relationships/hyperlink" Target="https://docs.google.com/spreadsheets/d/1Rtv9Jv0ZV45P5t4iOe0edWcRLezGdad8xa1uk_RqpPY" TargetMode="External"/><Relationship Id="rId60" Type="http://schemas.openxmlformats.org/officeDocument/2006/relationships/hyperlink" Target="https://docs.google.com/spreadsheets/d/1_MddAIWUuQf3ApW4wmqPwwfcHyvrQRf5UoEhbDX2new" TargetMode="External"/><Relationship Id="rId26" Type="http://schemas.openxmlformats.org/officeDocument/2006/relationships/hyperlink" Target="https://docs.google.com/spreadsheets/d/10e8bcV3N3AN2tdjrdZOw-gvaHtrNdjk3sZCJrfUr_G4" TargetMode="External"/><Relationship Id="rId25" Type="http://schemas.openxmlformats.org/officeDocument/2006/relationships/hyperlink" Target="https://docs.google.com/spreadsheets/d/194443TwzddBqVxo1mmJrh7FWEl-75zCFhy1nTVvWz7U" TargetMode="External"/><Relationship Id="rId69" Type="http://schemas.openxmlformats.org/officeDocument/2006/relationships/hyperlink" Target="https://docs.google.com/spreadsheets/d/1FwttEd6AOZYdF1XCZjI7x29ZoFjzRSgr9Dnv-5JZeTE" TargetMode="External"/><Relationship Id="rId28" Type="http://schemas.openxmlformats.org/officeDocument/2006/relationships/hyperlink" Target="https://docs.google.com/spreadsheets/d/1i1SoQ2kNNzwNcps4z3XYiGPe906hyO7f6mxiZP0vIAs" TargetMode="External"/><Relationship Id="rId27" Type="http://schemas.openxmlformats.org/officeDocument/2006/relationships/hyperlink" Target="https://docs.google.com/spreadsheets/d/1J5cm-u2EVHySSt4bDNYemFVoTVFmDBlevQ65OIAszfk" TargetMode="External"/><Relationship Id="rId29" Type="http://schemas.openxmlformats.org/officeDocument/2006/relationships/hyperlink" Target="https://docs.google.com/spreadsheets/d/1amfu6epaHdtUHw0CAdEjTuyv-GPkgLpvV-KkUTxeCKw" TargetMode="External"/><Relationship Id="rId51" Type="http://schemas.openxmlformats.org/officeDocument/2006/relationships/hyperlink" Target="https://docs.google.com/spreadsheets/d/1sVDiZ-AllZSijY6rfpTYKwZvmhojeu8yfnkzkIjpwZk" TargetMode="External"/><Relationship Id="rId50" Type="http://schemas.openxmlformats.org/officeDocument/2006/relationships/hyperlink" Target="https://docs.google.com/spreadsheets/d/13Bd-bqWBCu3GGnoEaA4xWzd1bSZLXOjvs_90tWsZIEU" TargetMode="External"/><Relationship Id="rId53" Type="http://schemas.openxmlformats.org/officeDocument/2006/relationships/hyperlink" Target="https://docs.google.com/spreadsheets/d/1dat29IjjIE6fBfJTYwykStsWxjax40VoTB3N5FSIyDc" TargetMode="External"/><Relationship Id="rId52" Type="http://schemas.openxmlformats.org/officeDocument/2006/relationships/hyperlink" Target="https://docs.google.com/spreadsheets/d/12y120mY4N-gmawfNChhZnsZMMOI1Oo_-eAfEvbiZP6Y" TargetMode="External"/><Relationship Id="rId11" Type="http://schemas.openxmlformats.org/officeDocument/2006/relationships/hyperlink" Target="https://docs.google.com/spreadsheets/d/1EHyzq7KFutBZei5wYGNzkRWFhZhtuoApn_wtllAWcRU" TargetMode="External"/><Relationship Id="rId55" Type="http://schemas.openxmlformats.org/officeDocument/2006/relationships/hyperlink" Target="https://docs.google.com/spreadsheets/d/1yoDh3W1ITqXUrfksMWaa2hwrW6QigKpNer8vxsWOGf8" TargetMode="External"/><Relationship Id="rId10" Type="http://schemas.openxmlformats.org/officeDocument/2006/relationships/hyperlink" Target="https://docs.google.com/spreadsheets/d/1ooSRLWY0MLwT7bADGPSBq_d_C6aks-iCdjbpVF3gRyg" TargetMode="External"/><Relationship Id="rId54" Type="http://schemas.openxmlformats.org/officeDocument/2006/relationships/hyperlink" Target="https://docs.google.com/spreadsheets/d/1vcwKmZTh5D4mGndni1KD5-rROoEhonNPvoMpcbEaVrs" TargetMode="External"/><Relationship Id="rId13" Type="http://schemas.openxmlformats.org/officeDocument/2006/relationships/hyperlink" Target="https://docs.google.com/spreadsheets/d/18XReYd_p1qjohejY0YecE5skkIsZdlrwQkUCr_o51NE" TargetMode="External"/><Relationship Id="rId57" Type="http://schemas.openxmlformats.org/officeDocument/2006/relationships/hyperlink" Target="https://docs.google.com/spreadsheets/d/1nqwHknryRci-yxxBDbEbvC-vj-4Hsieo-sOCx9NhBSQ" TargetMode="External"/><Relationship Id="rId12" Type="http://schemas.openxmlformats.org/officeDocument/2006/relationships/hyperlink" Target="https://docs.google.com/spreadsheets/d/1PHz6ZeiKIrPRSveV8BhccTSS54OSWbIjFjNdToC1_T4" TargetMode="External"/><Relationship Id="rId56" Type="http://schemas.openxmlformats.org/officeDocument/2006/relationships/hyperlink" Target="https://docs.google.com/spreadsheets/d/1oJx7uxe12wurcomzNtl-0xiDYkMz5lihmlK8dAx291s" TargetMode="External"/><Relationship Id="rId91" Type="http://schemas.openxmlformats.org/officeDocument/2006/relationships/drawing" Target="../drawings/drawing4.xml"/><Relationship Id="rId90" Type="http://schemas.openxmlformats.org/officeDocument/2006/relationships/hyperlink" Target="https://docs.google.com/spreadsheets/d/1K_2idOdGrMpnvplfk02FqmQmSPJmQkCU0H93U3paXQY" TargetMode="External"/><Relationship Id="rId15" Type="http://schemas.openxmlformats.org/officeDocument/2006/relationships/hyperlink" Target="https://docs.google.com/spreadsheets/d/1oq0etYk7dFKlGRjABeukRkVrQUZfRot1ximMdAbe2mY" TargetMode="External"/><Relationship Id="rId59" Type="http://schemas.openxmlformats.org/officeDocument/2006/relationships/hyperlink" Target="https://docs.google.com/spreadsheets/d/16ckLtRWgW1Oan39tMvIg-dbKTU_RszQB7KSmEtGvN2c" TargetMode="External"/><Relationship Id="rId14" Type="http://schemas.openxmlformats.org/officeDocument/2006/relationships/hyperlink" Target="https://docs.google.com/spreadsheets/d/14Pdi4yhF9f_tge-QGgsPsg8F2yj6BoU6Xou5k2Asd7E" TargetMode="External"/><Relationship Id="rId58" Type="http://schemas.openxmlformats.org/officeDocument/2006/relationships/hyperlink" Target="https://docs.google.com/spreadsheets/d/1hIDDa5xJi-hdSDVPevFVAG1PXw-jEA2Yhbq1hnTF898" TargetMode="External"/><Relationship Id="rId17" Type="http://schemas.openxmlformats.org/officeDocument/2006/relationships/hyperlink" Target="https://docs.google.com/spreadsheets/d/1GF1BnJ8VUgGoRwXwlK5vF_rId00anSciWW8_wui9dh4" TargetMode="External"/><Relationship Id="rId16" Type="http://schemas.openxmlformats.org/officeDocument/2006/relationships/hyperlink" Target="https://docs.google.com/spreadsheets/d/1LycAKXU4yQ36c_ByiW6MFphFsJ7E-fFB8dPuDCb9thk" TargetMode="External"/><Relationship Id="rId19" Type="http://schemas.openxmlformats.org/officeDocument/2006/relationships/hyperlink" Target="https://docs.google.com/spreadsheets/d/181dKvntxkY-vLRLlcVy8V69_okp_25ubM5QCFqeB1uI" TargetMode="External"/><Relationship Id="rId18" Type="http://schemas.openxmlformats.org/officeDocument/2006/relationships/hyperlink" Target="https://docs.google.com/spreadsheets/d/10LV_FiupHXd9ZDCKPFHP02Wuhc1sYGfotQYs3SZMK2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14.88"/>
    <col customWidth="1" min="5" max="9" width="22.38"/>
  </cols>
  <sheetData>
    <row r="1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/>
      <c r="B2" s="12"/>
      <c r="C2" s="12"/>
      <c r="D2" s="12"/>
      <c r="E2" s="12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8</v>
      </c>
      <c r="B5" s="15" t="s">
        <v>9</v>
      </c>
      <c r="C5" s="6"/>
      <c r="D5" s="12" t="s">
        <v>10</v>
      </c>
      <c r="E5" s="9" t="str">
        <f t="array" ref="E5:I5">IF(ISBLANK(B5),"Choose team",VLOOKUP(B5,'Check-in Import'!B2:I100,{4,5,6,7,8},false))</f>
        <v>Aaditya Karnataki</v>
      </c>
      <c r="F5" s="9" t="s">
        <v>11</v>
      </c>
      <c r="G5" s="9" t="s">
        <v>12</v>
      </c>
      <c r="H5" s="9" t="s">
        <v>13</v>
      </c>
      <c r="I5" s="9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15</v>
      </c>
      <c r="B6" s="15" t="s">
        <v>5</v>
      </c>
      <c r="C6" s="6"/>
      <c r="D6" s="12" t="s">
        <v>16</v>
      </c>
      <c r="E6" s="9">
        <f>IFERROR(__xludf.DUMMYFUNCTION("IF(ISBLANK($B$6),""Choose Subject"",IFERROR(SUM(ARRAYFORMULA(INDEX(SPLIT(FILTER({FILTER('Round Robin Matchups'!$M$2:$M100,'Round Robin Matchups'!$B$2:$B100=$B$5);FILTER('Round Robin Matchups'!$R$2:$R100,'Round Robin Matchups'!$C$2:$C100=$B$5)},{FILTER('Ro"&amp;"und Robin Matchups'!$M$2:$M100,'Round Robin Matchups'!$B$2:$B100=$B$5);FILTER('Round Robin Matchups'!$R$2:$R100,'Round Robin Matchups'!$C$2:$C100=$B$5)}&lt;&gt;""""),"",""),0,IF($B$6=""Biology"",1,IF($B$6=""Chemistry"",2,IF($B$6=""Earth &amp; Space"",3,IF($B$6=""En"&amp;"ergy"",4,IF($B$6=""Math"",5,6)))))))),))"),1.5)</f>
        <v>1.5</v>
      </c>
      <c r="F6" s="9">
        <f>IFERROR(__xludf.DUMMYFUNCTION("IF(ISBLANK($B$6),""Choose Subject"",IFERROR(SUM(ARRAYFORMULA(INDEX(SPLIT(FILTER({FILTER('Round Robin Matchups'!$M$2:$M100,'Round Robin Matchups'!$B$2:$B100=$B$5);FILTER('Round Robin Matchups'!$R$2:$R100,'Round Robin Matchups'!$C$2:$C100=$B$5)},{FILTER('Ro"&amp;"und Robin Matchups'!$M$2:$M100,'Round Robin Matchups'!$B$2:$B100=$B$5);FILTER('Round Robin Matchups'!$R$2:$R100,'Round Robin Matchups'!$C$2:$C100=$B$5)}&lt;&gt;""""),"",""),1,IF($B$6=""Biology"",1,IF($B$6=""Chemistry"",2,IF($B$6=""Earth &amp; Space"",3,IF($B$6=""En"&amp;"ergy"",4,IF($B$6=""Math"",5,6)))))))),))"),0.0)</f>
        <v>0</v>
      </c>
      <c r="G6" s="9">
        <f>IFERROR(__xludf.DUMMYFUNCTION("IF(ISBLANK($B$6),""Choose Subject"",IFERROR(SUM(ARRAYFORMULA(INDEX(SPLIT(FILTER({FILTER('Round Robin Matchups'!$M$2:$M100,'Round Robin Matchups'!$B$2:$B100=$B$5);FILTER('Round Robin Matchups'!$R$2:$R100,'Round Robin Matchups'!$C$2:$C100=$B$5)},{FILTER('Ro"&amp;"und Robin Matchups'!$M$2:$M100,'Round Robin Matchups'!$B$2:$B100=$B$5);FILTER('Round Robin Matchups'!$R$2:$R100,'Round Robin Matchups'!$C$2:$C100=$B$5)}&lt;&gt;""""),"",""),2,IF($B$6=""Biology"",1,IF($B$6=""Chemistry"",2,IF($B$6=""Earth &amp; Space"",3,IF($B$6=""En"&amp;"ergy"",4,IF($B$6=""Math"",5,6)))))))),))"),0.0)</f>
        <v>0</v>
      </c>
      <c r="H6" s="9">
        <f>IFERROR(__xludf.DUMMYFUNCTION("IF(ISBLANK($B$6),""Choose Subject"",IFERROR(SUM(ARRAYFORMULA(INDEX(SPLIT(FILTER({FILTER('Round Robin Matchups'!$M$2:$M100,'Round Robin Matchups'!$B$2:$B100=$B$5);FILTER('Round Robin Matchups'!$R$2:$R100,'Round Robin Matchups'!$C$2:$C100=$B$5)},{FILTER('Ro"&amp;"und Robin Matchups'!$M$2:$M100,'Round Robin Matchups'!$B$2:$B100=$B$5);FILTER('Round Robin Matchups'!$R$2:$R100,'Round Robin Matchups'!$C$2:$C100=$B$5)}&lt;&gt;""""),"",""),3,IF($B$6=""Biology"",1,IF($B$6=""Chemistry"",2,IF($B$6=""Earth &amp; Space"",3,IF($B$6=""En"&amp;"ergy"",4,IF($B$6=""Math"",5,6)))))))),))"),0.0)</f>
        <v>0</v>
      </c>
      <c r="I6" s="9">
        <f>IFERROR(__xludf.DUMMYFUNCTION("IF(ISBLANK($B$6),""Choose Subject"",IFERROR(SUM(ARRAYFORMULA(INDEX(SPLIT(FILTER({FILTER('Round Robin Matchups'!$M$2:$M100,'Round Robin Matchups'!$B$2:$B100=$B$5);FILTER('Round Robin Matchups'!$R$2:$R100,'Round Robin Matchups'!$C$2:$C100=$B$5)},{FILTER('Ro"&amp;"und Robin Matchups'!$M$2:$M100,'Round Robin Matchups'!$B$2:$B100=$B$5);FILTER('Round Robin Matchups'!$R$2:$R100,'Round Robin Matchups'!$C$2:$C100=$B$5)}&lt;&gt;""""),"",""),4,IF($B$6=""Biology"",1,IF($B$6=""Chemistry"",2,IF($B$6=""Earth &amp; Space"",3,IF($B$6=""En"&amp;"ergy"",4,IF($B$6=""Math"",5,6)))))))),))"),0.0)</f>
        <v>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15"/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1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1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1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1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1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1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1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1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1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1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1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1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1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1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1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1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3:E3"/>
  </mergeCells>
  <conditionalFormatting sqref="B6">
    <cfRule type="containsBlanks" dxfId="0" priority="1">
      <formula>LEN(TRIM(B6))=0</formula>
    </cfRule>
  </conditionalFormatting>
  <conditionalFormatting sqref="B5">
    <cfRule type="containsBlanks" dxfId="0" priority="2">
      <formula>LEN(TRIM(B5))=0</formula>
    </cfRule>
  </conditionalFormatting>
  <dataValidations>
    <dataValidation type="list" allowBlank="1" showErrorMessage="1" sqref="B6">
      <formula1>"Biology,Chemistry,Earth &amp; Space,Energy,Math,Physics"</formula1>
    </dataValidation>
    <dataValidation type="list" allowBlank="1" showErrorMessage="1" sqref="B5">
      <formula1>'Check-in Import'!$B$2:$B$37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25"/>
    <col customWidth="1" min="3" max="3" width="4.63"/>
    <col customWidth="1" min="4" max="4" width="6.0"/>
    <col customWidth="1" min="5" max="5" width="3.5"/>
    <col customWidth="1" min="6" max="6" width="20.25"/>
    <col customWidth="1" min="7" max="7" width="4.63"/>
    <col customWidth="1" min="8" max="8" width="6.0"/>
    <col customWidth="1" min="9" max="9" width="3.5"/>
    <col customWidth="1" min="10" max="10" width="20.25"/>
    <col customWidth="1" min="11" max="11" width="4.63"/>
    <col customWidth="1" min="12" max="12" width="6.0"/>
    <col customWidth="1" min="13" max="13" width="3.5"/>
    <col customWidth="1" min="14" max="14" width="20.25"/>
    <col customWidth="1" min="15" max="15" width="4.63"/>
    <col customWidth="1" min="16" max="16" width="6.0"/>
    <col customWidth="1" min="17" max="17" width="3.5"/>
    <col customWidth="1" min="18" max="18" width="20.25"/>
    <col customWidth="1" min="19" max="19" width="4.63"/>
    <col customWidth="1" min="20" max="20" width="6.0"/>
    <col customWidth="1" min="21" max="21" width="3.5"/>
    <col customWidth="1" min="22" max="22" width="20.25"/>
    <col customWidth="1" min="23" max="23" width="4.63"/>
  </cols>
  <sheetData>
    <row r="1">
      <c r="A1" s="1">
        <v>20.0</v>
      </c>
      <c r="B1" s="3" t="s">
        <v>1</v>
      </c>
      <c r="D1" s="4"/>
      <c r="E1" s="6"/>
      <c r="F1" s="7" t="s">
        <v>2</v>
      </c>
      <c r="H1" s="9"/>
      <c r="I1" s="6"/>
      <c r="J1" s="3" t="s">
        <v>3</v>
      </c>
      <c r="L1" s="6"/>
      <c r="M1" s="6"/>
      <c r="N1" s="7" t="s">
        <v>4</v>
      </c>
      <c r="P1" s="6"/>
      <c r="Q1" s="6"/>
      <c r="R1" s="3" t="s">
        <v>5</v>
      </c>
      <c r="T1" s="6"/>
      <c r="U1" s="10"/>
      <c r="V1" s="11" t="s">
        <v>6</v>
      </c>
      <c r="X1" s="6"/>
      <c r="Y1" s="6"/>
      <c r="Z1" s="6"/>
    </row>
    <row r="2">
      <c r="A2" s="17">
        <f t="array" ref="A2:A21">RANK(INDIRECT("C2:C"&amp;($A$1+1)),C$2:C$21)</f>
        <v>1</v>
      </c>
      <c r="B2" s="18" t="str">
        <f>IFERROR(__xludf.DUMMYFUNCTION("QUERY(INDIRECT(B1&amp;""!K2:M""),""select M order by L desc limit ""&amp;$A$1)"),"Theenash Sengupta")</f>
        <v>Theenash Sengupta</v>
      </c>
      <c r="C2" s="6">
        <f>IFERROR(__xludf.DUMMYFUNCTION("QUERY(INDIRECT(B1&amp;""!K2:M""),""select L order by L desc limit ""&amp;$A$1)"),21.0)</f>
        <v>21</v>
      </c>
      <c r="D2" s="6"/>
      <c r="E2" s="17">
        <f t="array" ref="E2:E21">RANK(INDIRECT("G2:G"&amp;($A$1+1)),G$2:G$21)</f>
        <v>1</v>
      </c>
      <c r="F2" s="6" t="str">
        <f>IFERROR(__xludf.DUMMYFUNCTION("QUERY(INDIRECT(F1&amp;""!K2:M""),""select M order by L desc limit ""&amp;$A$1)"),"Annie Xu")</f>
        <v>Annie Xu</v>
      </c>
      <c r="G2" s="6">
        <f>IFERROR(__xludf.DUMMYFUNCTION("QUERY(INDIRECT(F1&amp;""!K2:M""),""select L order by L desc limit ""&amp;$A$1)"),19.0)</f>
        <v>19</v>
      </c>
      <c r="H2" s="6"/>
      <c r="I2" s="17">
        <f t="array" ref="I2:I21">RANK(INDIRECT("K2:K"&amp;($A$1+1)),K$2:K$21)</f>
        <v>1</v>
      </c>
      <c r="J2" s="6" t="str">
        <f>IFERROR(__xludf.DUMMYFUNCTION("QUERY(INDIRECT(J1&amp;""!K2:M""),""select M order by L desc limit ""&amp;$A$1)"),"Roshan Annamalai")</f>
        <v>Roshan Annamalai</v>
      </c>
      <c r="K2" s="6">
        <f>IFERROR(__xludf.DUMMYFUNCTION("QUERY(INDIRECT(J1&amp;""!K2:M""),""select L order by L desc limit ""&amp;$A$1)"),15.5)</f>
        <v>15.5</v>
      </c>
      <c r="L2" s="6"/>
      <c r="M2" s="17">
        <f t="array" ref="M2:M21">RANK(INDIRECT("O2:O"&amp;($A$1+1)),O$2:O$21)</f>
        <v>1</v>
      </c>
      <c r="N2" s="6" t="str">
        <f>IFERROR(__xludf.DUMMYFUNCTION("QUERY(INDIRECT(N1&amp;""!K2:M""),""select M order by L desc limit ""&amp;$A$1)"),"Aatreyo Bhattacharyya ")</f>
        <v>Aatreyo Bhattacharyya </v>
      </c>
      <c r="O2" s="6">
        <f>IFERROR(__xludf.DUMMYFUNCTION("QUERY(INDIRECT(N1&amp;""!K2:M""),""select L order by L desc limit ""&amp;$A$1)"),9.0)</f>
        <v>9</v>
      </c>
      <c r="P2" s="6"/>
      <c r="Q2" s="17">
        <f t="array" ref="Q2:Q21">RANK(INDIRECT("S2:S"&amp;($A$1+1)),S$2:S$21)</f>
        <v>1</v>
      </c>
      <c r="R2" s="6" t="str">
        <f>IFERROR(__xludf.DUMMYFUNCTION("QUERY(INDIRECT(R1&amp;""!K2:M""),""select M order by L desc limit ""&amp;$A$1)"),"Skyler Mao")</f>
        <v>Skyler Mao</v>
      </c>
      <c r="S2" s="6">
        <f>IFERROR(__xludf.DUMMYFUNCTION("QUERY(INDIRECT(R1&amp;""!K2:M""),""select L order by L desc limit ""&amp;$A$1)"),15.5)</f>
        <v>15.5</v>
      </c>
      <c r="T2" s="6"/>
      <c r="U2" s="17">
        <f t="array" ref="U2:U21">RANK(INDIRECT("W2:W"&amp;($A$1+1)),W$2:W$21)</f>
        <v>1</v>
      </c>
      <c r="V2" s="6" t="str">
        <f>IFERROR(__xludf.DUMMYFUNCTION("QUERY(INDIRECT(V1&amp;""!K2:M""),""select M order by L desc limit ""&amp;$A$1)"),"Jake Wang")</f>
        <v>Jake Wang</v>
      </c>
      <c r="W2" s="6">
        <f>IFERROR(__xludf.DUMMYFUNCTION("QUERY(INDIRECT(V1&amp;""!K2:M""),""select L order by L desc limit ""&amp;$A$1)"),14.0)</f>
        <v>14</v>
      </c>
      <c r="X2" s="6"/>
      <c r="Y2" s="6"/>
      <c r="Z2" s="6"/>
    </row>
    <row r="3">
      <c r="A3" s="17">
        <v>2.0</v>
      </c>
      <c r="B3" s="6" t="str">
        <f>IFERROR(__xludf.DUMMYFUNCTION("""COMPUTED_VALUE"""),"Sean Yu")</f>
        <v>Sean Yu</v>
      </c>
      <c r="C3" s="6">
        <f>IFERROR(__xludf.DUMMYFUNCTION("""COMPUTED_VALUE"""),15.5)</f>
        <v>15.5</v>
      </c>
      <c r="D3" s="6"/>
      <c r="E3" s="17">
        <v>2.0</v>
      </c>
      <c r="F3" s="6" t="str">
        <f>IFERROR(__xludf.DUMMYFUNCTION("""COMPUTED_VALUE"""),"Forrest Chou")</f>
        <v>Forrest Chou</v>
      </c>
      <c r="G3" s="6">
        <f>IFERROR(__xludf.DUMMYFUNCTION("""COMPUTED_VALUE"""),14.0)</f>
        <v>14</v>
      </c>
      <c r="H3" s="6"/>
      <c r="I3" s="17">
        <v>2.0</v>
      </c>
      <c r="J3" s="6" t="str">
        <f>IFERROR(__xludf.DUMMYFUNCTION("""COMPUTED_VALUE"""),"Flora Jiang")</f>
        <v>Flora Jiang</v>
      </c>
      <c r="K3" s="6">
        <f>IFERROR(__xludf.DUMMYFUNCTION("""COMPUTED_VALUE"""),15.0)</f>
        <v>15</v>
      </c>
      <c r="L3" s="6"/>
      <c r="M3" s="17">
        <v>2.0</v>
      </c>
      <c r="N3" s="6" t="str">
        <f>IFERROR(__xludf.DUMMYFUNCTION("""COMPUTED_VALUE"""),"Ishan Pachauri")</f>
        <v>Ishan Pachauri</v>
      </c>
      <c r="O3" s="6">
        <f>IFERROR(__xludf.DUMMYFUNCTION("""COMPUTED_VALUE"""),7.5)</f>
        <v>7.5</v>
      </c>
      <c r="P3" s="6"/>
      <c r="Q3" s="17">
        <v>2.0</v>
      </c>
      <c r="R3" s="6" t="str">
        <f>IFERROR(__xludf.DUMMYFUNCTION("""COMPUTED_VALUE"""),"Boheng Cao")</f>
        <v>Boheng Cao</v>
      </c>
      <c r="S3" s="6">
        <f>IFERROR(__xludf.DUMMYFUNCTION("""COMPUTED_VALUE"""),14.0)</f>
        <v>14</v>
      </c>
      <c r="T3" s="6"/>
      <c r="U3" s="19">
        <v>2.0</v>
      </c>
      <c r="V3" s="10" t="str">
        <f>IFERROR(__xludf.DUMMYFUNCTION("""COMPUTED_VALUE"""),"Sohil Rathi")</f>
        <v>Sohil Rathi</v>
      </c>
      <c r="W3" s="20">
        <f>IFERROR(__xludf.DUMMYFUNCTION("""COMPUTED_VALUE"""),13.0)</f>
        <v>13</v>
      </c>
      <c r="X3" s="6"/>
      <c r="Y3" s="6"/>
      <c r="Z3" s="6"/>
    </row>
    <row r="4">
      <c r="A4" s="17">
        <v>2.0</v>
      </c>
      <c r="B4" s="6" t="str">
        <f>IFERROR(__xludf.DUMMYFUNCTION("""COMPUTED_VALUE"""),"Gokulanath Mahesh Kumar")</f>
        <v>Gokulanath Mahesh Kumar</v>
      </c>
      <c r="C4" s="6">
        <f>IFERROR(__xludf.DUMMYFUNCTION("""COMPUTED_VALUE"""),15.5)</f>
        <v>15.5</v>
      </c>
      <c r="D4" s="6"/>
      <c r="E4" s="17">
        <v>3.0</v>
      </c>
      <c r="F4" s="6" t="str">
        <f>IFERROR(__xludf.DUMMYFUNCTION("""COMPUTED_VALUE"""),"Alex Xu")</f>
        <v>Alex Xu</v>
      </c>
      <c r="G4" s="6">
        <f>IFERROR(__xludf.DUMMYFUNCTION("""COMPUTED_VALUE"""),13.5)</f>
        <v>13.5</v>
      </c>
      <c r="H4" s="6"/>
      <c r="I4" s="17">
        <v>3.0</v>
      </c>
      <c r="J4" s="6" t="str">
        <f>IFERROR(__xludf.DUMMYFUNCTION("""COMPUTED_VALUE"""),"Thomas Wu")</f>
        <v>Thomas Wu</v>
      </c>
      <c r="K4" s="6">
        <f>IFERROR(__xludf.DUMMYFUNCTION("""COMPUTED_VALUE"""),12.0)</f>
        <v>12</v>
      </c>
      <c r="L4" s="6"/>
      <c r="M4" s="17">
        <v>2.0</v>
      </c>
      <c r="N4" s="6" t="str">
        <f>IFERROR(__xludf.DUMMYFUNCTION("""COMPUTED_VALUE"""),"Aaditya Karnataki")</f>
        <v>Aaditya Karnataki</v>
      </c>
      <c r="O4" s="6">
        <f>IFERROR(__xludf.DUMMYFUNCTION("""COMPUTED_VALUE"""),7.5)</f>
        <v>7.5</v>
      </c>
      <c r="P4" s="6"/>
      <c r="Q4" s="17">
        <v>2.0</v>
      </c>
      <c r="R4" s="6" t="str">
        <f>IFERROR(__xludf.DUMMYFUNCTION("""COMPUTED_VALUE"""),"Rohan Garg")</f>
        <v>Rohan Garg</v>
      </c>
      <c r="S4" s="6">
        <f>IFERROR(__xludf.DUMMYFUNCTION("""COMPUTED_VALUE"""),14.0)</f>
        <v>14</v>
      </c>
      <c r="T4" s="6"/>
      <c r="U4" s="19">
        <v>3.0</v>
      </c>
      <c r="V4" s="10" t="str">
        <f>IFERROR(__xludf.DUMMYFUNCTION("""COMPUTED_VALUE"""),"Alex Xu")</f>
        <v>Alex Xu</v>
      </c>
      <c r="W4" s="20">
        <f>IFERROR(__xludf.DUMMYFUNCTION("""COMPUTED_VALUE"""),10.5)</f>
        <v>10.5</v>
      </c>
      <c r="X4" s="6"/>
      <c r="Y4" s="6"/>
      <c r="Z4" s="6"/>
    </row>
    <row r="5">
      <c r="A5" s="17">
        <v>4.0</v>
      </c>
      <c r="B5" s="6" t="str">
        <f>IFERROR(__xludf.DUMMYFUNCTION("""COMPUTED_VALUE"""),"Edwin He")</f>
        <v>Edwin He</v>
      </c>
      <c r="C5" s="6">
        <f>IFERROR(__xludf.DUMMYFUNCTION("""COMPUTED_VALUE"""),15.0)</f>
        <v>15</v>
      </c>
      <c r="D5" s="6"/>
      <c r="E5" s="17">
        <v>4.0</v>
      </c>
      <c r="F5" s="6" t="str">
        <f>IFERROR(__xludf.DUMMYFUNCTION("""COMPUTED_VALUE"""),"Ishan Pachauri")</f>
        <v>Ishan Pachauri</v>
      </c>
      <c r="G5" s="6">
        <f>IFERROR(__xludf.DUMMYFUNCTION("""COMPUTED_VALUE"""),11.5)</f>
        <v>11.5</v>
      </c>
      <c r="H5" s="6"/>
      <c r="I5" s="17">
        <v>4.0</v>
      </c>
      <c r="J5" s="6" t="str">
        <f>IFERROR(__xludf.DUMMYFUNCTION("""COMPUTED_VALUE"""),"Jake Wang")</f>
        <v>Jake Wang</v>
      </c>
      <c r="K5" s="6">
        <f>IFERROR(__xludf.DUMMYFUNCTION("""COMPUTED_VALUE"""),10.5)</f>
        <v>10.5</v>
      </c>
      <c r="L5" s="6"/>
      <c r="M5" s="17">
        <v>2.0</v>
      </c>
      <c r="N5" s="6" t="str">
        <f>IFERROR(__xludf.DUMMYFUNCTION("""COMPUTED_VALUE"""),"Theenash Sengupta")</f>
        <v>Theenash Sengupta</v>
      </c>
      <c r="O5" s="6">
        <f>IFERROR(__xludf.DUMMYFUNCTION("""COMPUTED_VALUE"""),7.5)</f>
        <v>7.5</v>
      </c>
      <c r="P5" s="6"/>
      <c r="Q5" s="17">
        <v>4.0</v>
      </c>
      <c r="R5" s="6" t="str">
        <f>IFERROR(__xludf.DUMMYFUNCTION("""COMPUTED_VALUE"""),"Sohil Rathi")</f>
        <v>Sohil Rathi</v>
      </c>
      <c r="S5" s="6">
        <f>IFERROR(__xludf.DUMMYFUNCTION("""COMPUTED_VALUE"""),12.5)</f>
        <v>12.5</v>
      </c>
      <c r="T5" s="6"/>
      <c r="U5" s="19">
        <v>4.0</v>
      </c>
      <c r="V5" s="10" t="str">
        <f>IFERROR(__xludf.DUMMYFUNCTION("""COMPUTED_VALUE"""),"William Zhao")</f>
        <v>William Zhao</v>
      </c>
      <c r="W5" s="20">
        <f>IFERROR(__xludf.DUMMYFUNCTION("""COMPUTED_VALUE"""),9.5)</f>
        <v>9.5</v>
      </c>
      <c r="X5" s="6"/>
      <c r="Y5" s="6"/>
      <c r="Z5" s="6"/>
    </row>
    <row r="6">
      <c r="A6" s="17">
        <v>5.0</v>
      </c>
      <c r="B6" s="6" t="str">
        <f>IFERROR(__xludf.DUMMYFUNCTION("""COMPUTED_VALUE"""),"Austin Xu")</f>
        <v>Austin Xu</v>
      </c>
      <c r="C6" s="6">
        <f>IFERROR(__xludf.DUMMYFUNCTION("""COMPUTED_VALUE"""),12.0)</f>
        <v>12</v>
      </c>
      <c r="D6" s="6"/>
      <c r="E6" s="17">
        <v>5.0</v>
      </c>
      <c r="F6" s="6" t="str">
        <f>IFERROR(__xludf.DUMMYFUNCTION("""COMPUTED_VALUE"""),"Sidhant Chaliha")</f>
        <v>Sidhant Chaliha</v>
      </c>
      <c r="G6" s="6">
        <f>IFERROR(__xludf.DUMMYFUNCTION("""COMPUTED_VALUE"""),10.5)</f>
        <v>10.5</v>
      </c>
      <c r="H6" s="6"/>
      <c r="I6" s="17">
        <v>5.0</v>
      </c>
      <c r="J6" s="6" t="str">
        <f>IFERROR(__xludf.DUMMYFUNCTION("""COMPUTED_VALUE"""),"Ishan Pachauri")</f>
        <v>Ishan Pachauri</v>
      </c>
      <c r="K6" s="6">
        <f>IFERROR(__xludf.DUMMYFUNCTION("""COMPUTED_VALUE"""),9.5)</f>
        <v>9.5</v>
      </c>
      <c r="L6" s="6"/>
      <c r="M6" s="17">
        <v>2.0</v>
      </c>
      <c r="N6" s="6" t="str">
        <f>IFERROR(__xludf.DUMMYFUNCTION("""COMPUTED_VALUE"""),"Edwin He")</f>
        <v>Edwin He</v>
      </c>
      <c r="O6" s="6">
        <f>IFERROR(__xludf.DUMMYFUNCTION("""COMPUTED_VALUE"""),7.5)</f>
        <v>7.5</v>
      </c>
      <c r="P6" s="6"/>
      <c r="Q6" s="17">
        <v>4.0</v>
      </c>
      <c r="R6" s="6" t="str">
        <f>IFERROR(__xludf.DUMMYFUNCTION("""COMPUTED_VALUE"""),"Ryan Bansal")</f>
        <v>Ryan Bansal</v>
      </c>
      <c r="S6" s="6">
        <f>IFERROR(__xludf.DUMMYFUNCTION("""COMPUTED_VALUE"""),12.5)</f>
        <v>12.5</v>
      </c>
      <c r="T6" s="6"/>
      <c r="U6" s="19">
        <v>5.0</v>
      </c>
      <c r="V6" s="10" t="str">
        <f>IFERROR(__xludf.DUMMYFUNCTION("""COMPUTED_VALUE"""),"Boheng Cao")</f>
        <v>Boheng Cao</v>
      </c>
      <c r="W6" s="20">
        <f>IFERROR(__xludf.DUMMYFUNCTION("""COMPUTED_VALUE"""),8.5)</f>
        <v>8.5</v>
      </c>
      <c r="X6" s="6"/>
      <c r="Y6" s="6"/>
      <c r="Z6" s="6"/>
    </row>
    <row r="7">
      <c r="A7" s="17">
        <v>6.0</v>
      </c>
      <c r="B7" s="6" t="str">
        <f>IFERROR(__xludf.DUMMYFUNCTION("""COMPUTED_VALUE"""),"Shripriya Kalbhavi")</f>
        <v>Shripriya Kalbhavi</v>
      </c>
      <c r="C7" s="6">
        <f>IFERROR(__xludf.DUMMYFUNCTION("""COMPUTED_VALUE"""),11.0)</f>
        <v>11</v>
      </c>
      <c r="D7" s="6"/>
      <c r="E7" s="17">
        <v>5.0</v>
      </c>
      <c r="F7" s="6" t="str">
        <f>IFERROR(__xludf.DUMMYFUNCTION("""COMPUTED_VALUE"""),"Siddhant Jain ")</f>
        <v>Siddhant Jain </v>
      </c>
      <c r="G7" s="6">
        <f>IFERROR(__xludf.DUMMYFUNCTION("""COMPUTED_VALUE"""),10.5)</f>
        <v>10.5</v>
      </c>
      <c r="H7" s="6"/>
      <c r="I7" s="17">
        <v>5.0</v>
      </c>
      <c r="J7" s="6" t="str">
        <f>IFERROR(__xludf.DUMMYFUNCTION("""COMPUTED_VALUE"""),"Samuel Wang")</f>
        <v>Samuel Wang</v>
      </c>
      <c r="K7" s="6">
        <f>IFERROR(__xludf.DUMMYFUNCTION("""COMPUTED_VALUE"""),9.5)</f>
        <v>9.5</v>
      </c>
      <c r="L7" s="6"/>
      <c r="M7" s="17">
        <v>6.0</v>
      </c>
      <c r="N7" s="6" t="str">
        <f>IFERROR(__xludf.DUMMYFUNCTION("""COMPUTED_VALUE"""),"Austin Xu")</f>
        <v>Austin Xu</v>
      </c>
      <c r="O7" s="6">
        <f>IFERROR(__xludf.DUMMYFUNCTION("""COMPUTED_VALUE"""),7.0)</f>
        <v>7</v>
      </c>
      <c r="P7" s="6"/>
      <c r="Q7" s="17">
        <v>4.0</v>
      </c>
      <c r="R7" s="6" t="str">
        <f>IFERROR(__xludf.DUMMYFUNCTION("""COMPUTED_VALUE"""),"Michelle Liang")</f>
        <v>Michelle Liang</v>
      </c>
      <c r="S7" s="6">
        <f>IFERROR(__xludf.DUMMYFUNCTION("""COMPUTED_VALUE"""),12.5)</f>
        <v>12.5</v>
      </c>
      <c r="T7" s="6"/>
      <c r="U7" s="19">
        <v>5.0</v>
      </c>
      <c r="V7" s="10" t="str">
        <f>IFERROR(__xludf.DUMMYFUNCTION("""COMPUTED_VALUE"""),"Siddhant Jain ")</f>
        <v>Siddhant Jain </v>
      </c>
      <c r="W7" s="20">
        <f>IFERROR(__xludf.DUMMYFUNCTION("""COMPUTED_VALUE"""),8.5)</f>
        <v>8.5</v>
      </c>
      <c r="X7" s="6"/>
      <c r="Y7" s="6"/>
      <c r="Z7" s="6"/>
    </row>
    <row r="8">
      <c r="A8" s="17">
        <v>7.0</v>
      </c>
      <c r="B8" s="6" t="str">
        <f>IFERROR(__xludf.DUMMYFUNCTION("""COMPUTED_VALUE"""),"Ishan Pachauri")</f>
        <v>Ishan Pachauri</v>
      </c>
      <c r="C8" s="6">
        <f>IFERROR(__xludf.DUMMYFUNCTION("""COMPUTED_VALUE"""),10.0)</f>
        <v>10</v>
      </c>
      <c r="D8" s="6"/>
      <c r="E8" s="17">
        <v>7.0</v>
      </c>
      <c r="F8" s="6" t="str">
        <f>IFERROR(__xludf.DUMMYFUNCTION("""COMPUTED_VALUE"""),"Evan Liu")</f>
        <v>Evan Liu</v>
      </c>
      <c r="G8" s="6">
        <f>IFERROR(__xludf.DUMMYFUNCTION("""COMPUTED_VALUE"""),9.0)</f>
        <v>9</v>
      </c>
      <c r="H8" s="6"/>
      <c r="I8" s="17">
        <v>7.0</v>
      </c>
      <c r="J8" s="6" t="str">
        <f>IFERROR(__xludf.DUMMYFUNCTION("""COMPUTED_VALUE"""),"Sidhant Chaliha")</f>
        <v>Sidhant Chaliha</v>
      </c>
      <c r="K8" s="6">
        <f>IFERROR(__xludf.DUMMYFUNCTION("""COMPUTED_VALUE"""),8.5)</f>
        <v>8.5</v>
      </c>
      <c r="L8" s="6"/>
      <c r="M8" s="17">
        <v>6.0</v>
      </c>
      <c r="N8" s="6" t="str">
        <f>IFERROR(__xludf.DUMMYFUNCTION("""COMPUTED_VALUE"""),"Connor Zhao")</f>
        <v>Connor Zhao</v>
      </c>
      <c r="O8" s="6">
        <f>IFERROR(__xludf.DUMMYFUNCTION("""COMPUTED_VALUE"""),7.0)</f>
        <v>7</v>
      </c>
      <c r="P8" s="6"/>
      <c r="Q8" s="17">
        <v>7.0</v>
      </c>
      <c r="R8" s="6" t="str">
        <f>IFERROR(__xludf.DUMMYFUNCTION("""COMPUTED_VALUE"""),"William Zhao")</f>
        <v>William Zhao</v>
      </c>
      <c r="S8" s="6">
        <f>IFERROR(__xludf.DUMMYFUNCTION("""COMPUTED_VALUE"""),12.0)</f>
        <v>12</v>
      </c>
      <c r="T8" s="6"/>
      <c r="U8" s="19">
        <v>7.0</v>
      </c>
      <c r="V8" s="10" t="str">
        <f>IFERROR(__xludf.DUMMYFUNCTION("""COMPUTED_VALUE"""),"Rohan Garg")</f>
        <v>Rohan Garg</v>
      </c>
      <c r="W8" s="20">
        <f>IFERROR(__xludf.DUMMYFUNCTION("""COMPUTED_VALUE"""),8.0)</f>
        <v>8</v>
      </c>
      <c r="X8" s="6"/>
      <c r="Y8" s="6"/>
      <c r="Z8" s="6"/>
    </row>
    <row r="9">
      <c r="A9" s="17">
        <v>8.0</v>
      </c>
      <c r="B9" s="6" t="str">
        <f>IFERROR(__xludf.DUMMYFUNCTION("""COMPUTED_VALUE"""),"Aatreyo Bhattacharyya ")</f>
        <v>Aatreyo Bhattacharyya </v>
      </c>
      <c r="C9" s="6">
        <f>IFERROR(__xludf.DUMMYFUNCTION("""COMPUTED_VALUE"""),9.5)</f>
        <v>9.5</v>
      </c>
      <c r="D9" s="6"/>
      <c r="E9" s="17">
        <v>8.0</v>
      </c>
      <c r="F9" s="6" t="str">
        <f>IFERROR(__xludf.DUMMYFUNCTION("""COMPUTED_VALUE"""),"Theenash Sengupta")</f>
        <v>Theenash Sengupta</v>
      </c>
      <c r="G9" s="6">
        <f>IFERROR(__xludf.DUMMYFUNCTION("""COMPUTED_VALUE"""),8.0)</f>
        <v>8</v>
      </c>
      <c r="H9" s="6"/>
      <c r="I9" s="17">
        <v>8.0</v>
      </c>
      <c r="J9" s="6" t="str">
        <f>IFERROR(__xludf.DUMMYFUNCTION("""COMPUTED_VALUE"""),"Theenash Sengupta")</f>
        <v>Theenash Sengupta</v>
      </c>
      <c r="K9" s="6">
        <f>IFERROR(__xludf.DUMMYFUNCTION("""COMPUTED_VALUE"""),7.5)</f>
        <v>7.5</v>
      </c>
      <c r="L9" s="6"/>
      <c r="M9" s="17">
        <v>8.0</v>
      </c>
      <c r="N9" s="6" t="str">
        <f>IFERROR(__xludf.DUMMYFUNCTION("""COMPUTED_VALUE"""),"Skyler Mao")</f>
        <v>Skyler Mao</v>
      </c>
      <c r="O9" s="6">
        <f>IFERROR(__xludf.DUMMYFUNCTION("""COMPUTED_VALUE"""),6.0)</f>
        <v>6</v>
      </c>
      <c r="P9" s="6"/>
      <c r="Q9" s="17">
        <v>8.0</v>
      </c>
      <c r="R9" s="6" t="str">
        <f>IFERROR(__xludf.DUMMYFUNCTION("""COMPUTED_VALUE"""),"Aniket Mangalampalli ")</f>
        <v>Aniket Mangalampalli </v>
      </c>
      <c r="S9" s="6">
        <f>IFERROR(__xludf.DUMMYFUNCTION("""COMPUTED_VALUE"""),11.0)</f>
        <v>11</v>
      </c>
      <c r="T9" s="6"/>
      <c r="U9" s="19">
        <v>7.0</v>
      </c>
      <c r="V9" s="10" t="str">
        <f>IFERROR(__xludf.DUMMYFUNCTION("""COMPUTED_VALUE"""),"Athithan Elamaran")</f>
        <v>Athithan Elamaran</v>
      </c>
      <c r="W9" s="20">
        <f>IFERROR(__xludf.DUMMYFUNCTION("""COMPUTED_VALUE"""),8.0)</f>
        <v>8</v>
      </c>
      <c r="X9" s="6"/>
      <c r="Y9" s="6"/>
      <c r="Z9" s="6"/>
    </row>
    <row r="10">
      <c r="A10" s="17">
        <v>9.0</v>
      </c>
      <c r="B10" s="6" t="str">
        <f>IFERROR(__xludf.DUMMYFUNCTION("""COMPUTED_VALUE"""),"Arnava Bharadwaja")</f>
        <v>Arnava Bharadwaja</v>
      </c>
      <c r="C10" s="6">
        <f>IFERROR(__xludf.DUMMYFUNCTION("""COMPUTED_VALUE"""),9.0)</f>
        <v>9</v>
      </c>
      <c r="D10" s="6"/>
      <c r="E10" s="17">
        <v>9.0</v>
      </c>
      <c r="F10" s="6" t="str">
        <f>IFERROR(__xludf.DUMMYFUNCTION("""COMPUTED_VALUE"""),"Jianyu Wang")</f>
        <v>Jianyu Wang</v>
      </c>
      <c r="G10" s="6">
        <f>IFERROR(__xludf.DUMMYFUNCTION("""COMPUTED_VALUE"""),7.5)</f>
        <v>7.5</v>
      </c>
      <c r="H10" s="6"/>
      <c r="I10" s="17">
        <v>9.0</v>
      </c>
      <c r="J10" s="6" t="str">
        <f>IFERROR(__xludf.DUMMYFUNCTION("""COMPUTED_VALUE"""),"Nishanth Karanam")</f>
        <v>Nishanth Karanam</v>
      </c>
      <c r="K10" s="6">
        <f>IFERROR(__xludf.DUMMYFUNCTION("""COMPUTED_VALUE"""),6.5)</f>
        <v>6.5</v>
      </c>
      <c r="L10" s="6"/>
      <c r="M10" s="17">
        <v>9.0</v>
      </c>
      <c r="N10" s="6" t="str">
        <f>IFERROR(__xludf.DUMMYFUNCTION("""COMPUTED_VALUE"""),"Gokulanath Mahesh Kumar")</f>
        <v>Gokulanath Mahesh Kumar</v>
      </c>
      <c r="O10" s="6">
        <f>IFERROR(__xludf.DUMMYFUNCTION("""COMPUTED_VALUE"""),5.5)</f>
        <v>5.5</v>
      </c>
      <c r="P10" s="6"/>
      <c r="Q10" s="17">
        <v>9.0</v>
      </c>
      <c r="R10" s="6" t="str">
        <f>IFERROR(__xludf.DUMMYFUNCTION("""COMPUTED_VALUE"""),"Yueqian Zhang")</f>
        <v>Yueqian Zhang</v>
      </c>
      <c r="S10" s="6">
        <f>IFERROR(__xludf.DUMMYFUNCTION("""COMPUTED_VALUE"""),10.5)</f>
        <v>10.5</v>
      </c>
      <c r="T10" s="6"/>
      <c r="U10" s="19">
        <v>9.0</v>
      </c>
      <c r="V10" s="10" t="str">
        <f>IFERROR(__xludf.DUMMYFUNCTION("""COMPUTED_VALUE"""),"Forrest Chou")</f>
        <v>Forrest Chou</v>
      </c>
      <c r="W10" s="20">
        <f>IFERROR(__xludf.DUMMYFUNCTION("""COMPUTED_VALUE"""),7.5)</f>
        <v>7.5</v>
      </c>
      <c r="X10" s="6"/>
      <c r="Y10" s="6"/>
      <c r="Z10" s="6"/>
    </row>
    <row r="11">
      <c r="A11" s="17">
        <v>9.0</v>
      </c>
      <c r="B11" s="6" t="str">
        <f>IFERROR(__xludf.DUMMYFUNCTION("""COMPUTED_VALUE"""),"Selena Yang")</f>
        <v>Selena Yang</v>
      </c>
      <c r="C11" s="6">
        <f>IFERROR(__xludf.DUMMYFUNCTION("""COMPUTED_VALUE"""),9.0)</f>
        <v>9</v>
      </c>
      <c r="D11" s="6"/>
      <c r="E11" s="17">
        <v>10.0</v>
      </c>
      <c r="F11" s="6" t="str">
        <f>IFERROR(__xludf.DUMMYFUNCTION("""COMPUTED_VALUE"""),"Pleban Mishra")</f>
        <v>Pleban Mishra</v>
      </c>
      <c r="G11" s="6">
        <f>IFERROR(__xludf.DUMMYFUNCTION("""COMPUTED_VALUE"""),7.0)</f>
        <v>7</v>
      </c>
      <c r="H11" s="6"/>
      <c r="I11" s="17">
        <v>10.0</v>
      </c>
      <c r="J11" s="6" t="str">
        <f>IFERROR(__xludf.DUMMYFUNCTION("""COMPUTED_VALUE"""),"Alex Xu")</f>
        <v>Alex Xu</v>
      </c>
      <c r="K11" s="6">
        <f>IFERROR(__xludf.DUMMYFUNCTION("""COMPUTED_VALUE"""),6.0)</f>
        <v>6</v>
      </c>
      <c r="L11" s="6"/>
      <c r="M11" s="17">
        <v>10.0</v>
      </c>
      <c r="N11" s="6" t="str">
        <f>IFERROR(__xludf.DUMMYFUNCTION("""COMPUTED_VALUE"""),"Jonathan Yu")</f>
        <v>Jonathan Yu</v>
      </c>
      <c r="O11" s="6">
        <f>IFERROR(__xludf.DUMMYFUNCTION("""COMPUTED_VALUE"""),5.0)</f>
        <v>5</v>
      </c>
      <c r="P11" s="6"/>
      <c r="Q11" s="17">
        <v>10.0</v>
      </c>
      <c r="R11" s="6" t="str">
        <f>IFERROR(__xludf.DUMMYFUNCTION("""COMPUTED_VALUE"""),"Anish Roy")</f>
        <v>Anish Roy</v>
      </c>
      <c r="S11" s="6">
        <f>IFERROR(__xludf.DUMMYFUNCTION("""COMPUTED_VALUE"""),10.0)</f>
        <v>10</v>
      </c>
      <c r="T11" s="6"/>
      <c r="U11" s="19">
        <v>10.0</v>
      </c>
      <c r="V11" s="10" t="str">
        <f>IFERROR(__xludf.DUMMYFUNCTION("""COMPUTED_VALUE"""),"Harish Premkumar")</f>
        <v>Harish Premkumar</v>
      </c>
      <c r="W11" s="20">
        <f>IFERROR(__xludf.DUMMYFUNCTION("""COMPUTED_VALUE"""),7.0)</f>
        <v>7</v>
      </c>
      <c r="X11" s="6"/>
      <c r="Y11" s="6"/>
      <c r="Z11" s="6"/>
    </row>
    <row r="12">
      <c r="A12" s="17">
        <v>11.0</v>
      </c>
      <c r="B12" s="6" t="str">
        <f>IFERROR(__xludf.DUMMYFUNCTION("""COMPUTED_VALUE"""),"Ashrith Beeravelli")</f>
        <v>Ashrith Beeravelli</v>
      </c>
      <c r="C12" s="15">
        <f>IFERROR(__xludf.DUMMYFUNCTION("""COMPUTED_VALUE"""),8.5)</f>
        <v>8.5</v>
      </c>
      <c r="D12" s="6"/>
      <c r="E12" s="17">
        <v>11.0</v>
      </c>
      <c r="F12" s="6" t="str">
        <f>IFERROR(__xludf.DUMMYFUNCTION("""COMPUTED_VALUE"""),"Aaditya Karnataki")</f>
        <v>Aaditya Karnataki</v>
      </c>
      <c r="G12" s="6">
        <f>IFERROR(__xludf.DUMMYFUNCTION("""COMPUTED_VALUE"""),6.0)</f>
        <v>6</v>
      </c>
      <c r="H12" s="6"/>
      <c r="I12" s="17">
        <v>10.0</v>
      </c>
      <c r="J12" s="6" t="str">
        <f>IFERROR(__xludf.DUMMYFUNCTION("""COMPUTED_VALUE"""),"Forrest Chou")</f>
        <v>Forrest Chou</v>
      </c>
      <c r="K12" s="6">
        <f>IFERROR(__xludf.DUMMYFUNCTION("""COMPUTED_VALUE"""),6.0)</f>
        <v>6</v>
      </c>
      <c r="L12" s="6"/>
      <c r="M12" s="17">
        <v>11.0</v>
      </c>
      <c r="N12" s="6" t="str">
        <f>IFERROR(__xludf.DUMMYFUNCTION("""COMPUTED_VALUE"""),"Anish Bayyapu")</f>
        <v>Anish Bayyapu</v>
      </c>
      <c r="O12" s="6">
        <f>IFERROR(__xludf.DUMMYFUNCTION("""COMPUTED_VALUE"""),4.5)</f>
        <v>4.5</v>
      </c>
      <c r="P12" s="6"/>
      <c r="Q12" s="17">
        <v>10.0</v>
      </c>
      <c r="R12" s="6" t="str">
        <f>IFERROR(__xludf.DUMMYFUNCTION("""COMPUTED_VALUE"""),"Matthew Yuan")</f>
        <v>Matthew Yuan</v>
      </c>
      <c r="S12" s="6">
        <f>IFERROR(__xludf.DUMMYFUNCTION("""COMPUTED_VALUE"""),10.0)</f>
        <v>10</v>
      </c>
      <c r="T12" s="6"/>
      <c r="U12" s="19">
        <v>10.0</v>
      </c>
      <c r="V12" s="10" t="str">
        <f>IFERROR(__xludf.DUMMYFUNCTION("""COMPUTED_VALUE"""),"Anirudh Kannan")</f>
        <v>Anirudh Kannan</v>
      </c>
      <c r="W12" s="20">
        <f>IFERROR(__xludf.DUMMYFUNCTION("""COMPUTED_VALUE"""),7.0)</f>
        <v>7</v>
      </c>
      <c r="X12" s="6"/>
      <c r="Y12" s="6"/>
      <c r="Z12" s="6"/>
    </row>
    <row r="13">
      <c r="A13" s="17">
        <v>12.0</v>
      </c>
      <c r="B13" s="6" t="str">
        <f>IFERROR(__xludf.DUMMYFUNCTION("""COMPUTED_VALUE"""),"Stavya Gaonkar")</f>
        <v>Stavya Gaonkar</v>
      </c>
      <c r="C13" s="6">
        <f>IFERROR(__xludf.DUMMYFUNCTION("""COMPUTED_VALUE"""),7.5)</f>
        <v>7.5</v>
      </c>
      <c r="D13" s="6"/>
      <c r="E13" s="17">
        <v>11.0</v>
      </c>
      <c r="F13" s="6" t="str">
        <f>IFERROR(__xludf.DUMMYFUNCTION("""COMPUTED_VALUE"""),"Jake Wang")</f>
        <v>Jake Wang</v>
      </c>
      <c r="G13" s="6">
        <f>IFERROR(__xludf.DUMMYFUNCTION("""COMPUTED_VALUE"""),6.0)</f>
        <v>6</v>
      </c>
      <c r="H13" s="6"/>
      <c r="I13" s="17">
        <v>10.0</v>
      </c>
      <c r="J13" s="6" t="str">
        <f>IFERROR(__xludf.DUMMYFUNCTION("""COMPUTED_VALUE"""),"Aya Ahmad")</f>
        <v>Aya Ahmad</v>
      </c>
      <c r="K13" s="6">
        <f>IFERROR(__xludf.DUMMYFUNCTION("""COMPUTED_VALUE"""),6.0)</f>
        <v>6</v>
      </c>
      <c r="L13" s="6"/>
      <c r="M13" s="17">
        <v>11.0</v>
      </c>
      <c r="N13" s="6" t="str">
        <f>IFERROR(__xludf.DUMMYFUNCTION("""COMPUTED_VALUE"""),"Jake Wang")</f>
        <v>Jake Wang</v>
      </c>
      <c r="O13" s="6">
        <f>IFERROR(__xludf.DUMMYFUNCTION("""COMPUTED_VALUE"""),4.5)</f>
        <v>4.5</v>
      </c>
      <c r="P13" s="6"/>
      <c r="Q13" s="17">
        <v>12.0</v>
      </c>
      <c r="R13" s="6" t="str">
        <f>IFERROR(__xludf.DUMMYFUNCTION("""COMPUTED_VALUE"""),"Athithan Elamaran")</f>
        <v>Athithan Elamaran</v>
      </c>
      <c r="S13" s="6">
        <f>IFERROR(__xludf.DUMMYFUNCTION("""COMPUTED_VALUE"""),8.0)</f>
        <v>8</v>
      </c>
      <c r="T13" s="6"/>
      <c r="U13" s="19">
        <v>10.0</v>
      </c>
      <c r="V13" s="10" t="str">
        <f>IFERROR(__xludf.DUMMYFUNCTION("""COMPUTED_VALUE"""),"Evan Liu")</f>
        <v>Evan Liu</v>
      </c>
      <c r="W13" s="20">
        <f>IFERROR(__xludf.DUMMYFUNCTION("""COMPUTED_VALUE"""),7.0)</f>
        <v>7</v>
      </c>
      <c r="X13" s="6"/>
      <c r="Y13" s="6"/>
      <c r="Z13" s="6"/>
    </row>
    <row r="14">
      <c r="A14" s="17">
        <v>12.0</v>
      </c>
      <c r="B14" s="6" t="str">
        <f>IFERROR(__xludf.DUMMYFUNCTION("""COMPUTED_VALUE"""),"Siddhant Jain ")</f>
        <v>Siddhant Jain </v>
      </c>
      <c r="C14" s="6">
        <f>IFERROR(__xludf.DUMMYFUNCTION("""COMPUTED_VALUE"""),7.5)</f>
        <v>7.5</v>
      </c>
      <c r="D14" s="6"/>
      <c r="E14" s="17">
        <v>11.0</v>
      </c>
      <c r="F14" s="6" t="str">
        <f>IFERROR(__xludf.DUMMYFUNCTION("""COMPUTED_VALUE"""),"Chaas Kandregula")</f>
        <v>Chaas Kandregula</v>
      </c>
      <c r="G14" s="6">
        <f>IFERROR(__xludf.DUMMYFUNCTION("""COMPUTED_VALUE"""),6.0)</f>
        <v>6</v>
      </c>
      <c r="H14" s="6"/>
      <c r="I14" s="17">
        <v>10.0</v>
      </c>
      <c r="J14" s="6" t="str">
        <f>IFERROR(__xludf.DUMMYFUNCTION("""COMPUTED_VALUE"""),"Edwin He")</f>
        <v>Edwin He</v>
      </c>
      <c r="K14" s="6">
        <f>IFERROR(__xludf.DUMMYFUNCTION("""COMPUTED_VALUE"""),6.0)</f>
        <v>6</v>
      </c>
      <c r="L14" s="6"/>
      <c r="M14" s="17">
        <v>13.0</v>
      </c>
      <c r="N14" s="6" t="str">
        <f>IFERROR(__xludf.DUMMYFUNCTION("""COMPUTED_VALUE"""),"Alex Xu")</f>
        <v>Alex Xu</v>
      </c>
      <c r="O14" s="6">
        <f>IFERROR(__xludf.DUMMYFUNCTION("""COMPUTED_VALUE"""),4.0)</f>
        <v>4</v>
      </c>
      <c r="P14" s="6"/>
      <c r="Q14" s="17">
        <v>13.0</v>
      </c>
      <c r="R14" s="6" t="str">
        <f>IFERROR(__xludf.DUMMYFUNCTION("""COMPUTED_VALUE"""),"Aatreyo Bhattacharyya ")</f>
        <v>Aatreyo Bhattacharyya </v>
      </c>
      <c r="S14" s="6">
        <f>IFERROR(__xludf.DUMMYFUNCTION("""COMPUTED_VALUE"""),7.5)</f>
        <v>7.5</v>
      </c>
      <c r="T14" s="6"/>
      <c r="U14" s="19">
        <v>13.0</v>
      </c>
      <c r="V14" s="10" t="str">
        <f>IFERROR(__xludf.DUMMYFUNCTION("""COMPUTED_VALUE"""),"Stavya Gaonkar")</f>
        <v>Stavya Gaonkar</v>
      </c>
      <c r="W14" s="20">
        <f>IFERROR(__xludf.DUMMYFUNCTION("""COMPUTED_VALUE"""),6.5)</f>
        <v>6.5</v>
      </c>
      <c r="X14" s="6"/>
      <c r="Y14" s="6"/>
      <c r="Z14" s="6"/>
    </row>
    <row r="15">
      <c r="A15" s="17">
        <v>14.0</v>
      </c>
      <c r="B15" s="6" t="str">
        <f>IFERROR(__xludf.DUMMYFUNCTION("""COMPUTED_VALUE"""),"Sebastian Leung")</f>
        <v>Sebastian Leung</v>
      </c>
      <c r="C15" s="6">
        <f>IFERROR(__xludf.DUMMYFUNCTION("""COMPUTED_VALUE"""),7.0)</f>
        <v>7</v>
      </c>
      <c r="D15" s="6"/>
      <c r="E15" s="17">
        <v>14.0</v>
      </c>
      <c r="F15" s="6" t="str">
        <f>IFERROR(__xludf.DUMMYFUNCTION("""COMPUTED_VALUE"""),"Brady Yang")</f>
        <v>Brady Yang</v>
      </c>
      <c r="G15" s="6">
        <f>IFERROR(__xludf.DUMMYFUNCTION("""COMPUTED_VALUE"""),5.5)</f>
        <v>5.5</v>
      </c>
      <c r="H15" s="6"/>
      <c r="I15" s="17">
        <v>10.0</v>
      </c>
      <c r="J15" s="6" t="str">
        <f>IFERROR(__xludf.DUMMYFUNCTION("""COMPUTED_VALUE"""),"Ian Chen")</f>
        <v>Ian Chen</v>
      </c>
      <c r="K15" s="6">
        <f>IFERROR(__xludf.DUMMYFUNCTION("""COMPUTED_VALUE"""),6.0)</f>
        <v>6</v>
      </c>
      <c r="L15" s="6"/>
      <c r="M15" s="17">
        <v>13.0</v>
      </c>
      <c r="N15" s="6" t="str">
        <f>IFERROR(__xludf.DUMMYFUNCTION("""COMPUTED_VALUE"""),"Stavya Gaonkar")</f>
        <v>Stavya Gaonkar</v>
      </c>
      <c r="O15" s="6">
        <f>IFERROR(__xludf.DUMMYFUNCTION("""COMPUTED_VALUE"""),4.0)</f>
        <v>4</v>
      </c>
      <c r="P15" s="6"/>
      <c r="Q15" s="17">
        <v>14.0</v>
      </c>
      <c r="R15" s="6" t="str">
        <f>IFERROR(__xludf.DUMMYFUNCTION("""COMPUTED_VALUE"""),"Austin Xu")</f>
        <v>Austin Xu</v>
      </c>
      <c r="S15" s="6">
        <f>IFERROR(__xludf.DUMMYFUNCTION("""COMPUTED_VALUE"""),7.0)</f>
        <v>7</v>
      </c>
      <c r="T15" s="6"/>
      <c r="U15" s="19">
        <v>14.0</v>
      </c>
      <c r="V15" s="10" t="str">
        <f>IFERROR(__xludf.DUMMYFUNCTION("""COMPUTED_VALUE"""),"Sidhant Chaliha")</f>
        <v>Sidhant Chaliha</v>
      </c>
      <c r="W15" s="20">
        <f>IFERROR(__xludf.DUMMYFUNCTION("""COMPUTED_VALUE"""),6.0)</f>
        <v>6</v>
      </c>
      <c r="X15" s="6"/>
      <c r="Y15" s="6"/>
      <c r="Z15" s="6"/>
    </row>
    <row r="16">
      <c r="A16" s="17">
        <v>14.0</v>
      </c>
      <c r="B16" s="6" t="str">
        <f>IFERROR(__xludf.DUMMYFUNCTION("""COMPUTED_VALUE"""),"Suzuko Ohshima")</f>
        <v>Suzuko Ohshima</v>
      </c>
      <c r="C16" s="6">
        <f>IFERROR(__xludf.DUMMYFUNCTION("""COMPUTED_VALUE"""),7.0)</f>
        <v>7</v>
      </c>
      <c r="D16" s="6"/>
      <c r="E16" s="17">
        <v>14.0</v>
      </c>
      <c r="F16" s="6" t="str">
        <f>IFERROR(__xludf.DUMMYFUNCTION("""COMPUTED_VALUE"""),"Elyas Nuh")</f>
        <v>Elyas Nuh</v>
      </c>
      <c r="G16" s="6">
        <f>IFERROR(__xludf.DUMMYFUNCTION("""COMPUTED_VALUE"""),5.5)</f>
        <v>5.5</v>
      </c>
      <c r="H16" s="6"/>
      <c r="I16" s="17">
        <v>15.0</v>
      </c>
      <c r="J16" s="6" t="str">
        <f>IFERROR(__xludf.DUMMYFUNCTION("""COMPUTED_VALUE"""),"Ashrith Beeravelli")</f>
        <v>Ashrith Beeravelli</v>
      </c>
      <c r="K16" s="6">
        <f>IFERROR(__xludf.DUMMYFUNCTION("""COMPUTED_VALUE"""),5.5)</f>
        <v>5.5</v>
      </c>
      <c r="L16" s="6"/>
      <c r="M16" s="17">
        <v>13.0</v>
      </c>
      <c r="N16" s="6" t="str">
        <f>IFERROR(__xludf.DUMMYFUNCTION("""COMPUTED_VALUE"""),"Raaghav Chakravarty")</f>
        <v>Raaghav Chakravarty</v>
      </c>
      <c r="O16" s="6">
        <f>IFERROR(__xludf.DUMMYFUNCTION("""COMPUTED_VALUE"""),4.0)</f>
        <v>4</v>
      </c>
      <c r="P16" s="6"/>
      <c r="Q16" s="17">
        <v>15.0</v>
      </c>
      <c r="R16" s="6" t="str">
        <f>IFERROR(__xludf.DUMMYFUNCTION("""COMPUTED_VALUE"""),"Harish Premkumar")</f>
        <v>Harish Premkumar</v>
      </c>
      <c r="S16" s="6">
        <f>IFERROR(__xludf.DUMMYFUNCTION("""COMPUTED_VALUE"""),6.5)</f>
        <v>6.5</v>
      </c>
      <c r="T16" s="6"/>
      <c r="U16" s="19">
        <v>15.0</v>
      </c>
      <c r="V16" s="10" t="str">
        <f>IFERROR(__xludf.DUMMYFUNCTION("""COMPUTED_VALUE"""),"Elyas Nuh")</f>
        <v>Elyas Nuh</v>
      </c>
      <c r="W16" s="20">
        <f>IFERROR(__xludf.DUMMYFUNCTION("""COMPUTED_VALUE"""),5.0)</f>
        <v>5</v>
      </c>
      <c r="X16" s="6"/>
      <c r="Y16" s="6"/>
      <c r="Z16" s="6"/>
    </row>
    <row r="17">
      <c r="A17" s="17">
        <v>16.0</v>
      </c>
      <c r="B17" s="6" t="str">
        <f>IFERROR(__xludf.DUMMYFUNCTION("""COMPUTED_VALUE"""),"Skyler Mao")</f>
        <v>Skyler Mao</v>
      </c>
      <c r="C17" s="6">
        <f>IFERROR(__xludf.DUMMYFUNCTION("""COMPUTED_VALUE"""),6.5)</f>
        <v>6.5</v>
      </c>
      <c r="D17" s="6"/>
      <c r="E17" s="17">
        <v>16.0</v>
      </c>
      <c r="F17" s="6" t="str">
        <f>IFERROR(__xludf.DUMMYFUNCTION("""COMPUTED_VALUE"""),"Connor Zhao")</f>
        <v>Connor Zhao</v>
      </c>
      <c r="G17" s="6">
        <f>IFERROR(__xludf.DUMMYFUNCTION("""COMPUTED_VALUE"""),5.0)</f>
        <v>5</v>
      </c>
      <c r="H17" s="6"/>
      <c r="I17" s="17">
        <v>15.0</v>
      </c>
      <c r="J17" s="6" t="str">
        <f>IFERROR(__xludf.DUMMYFUNCTION("""COMPUTED_VALUE"""),"Siddhant Jain ")</f>
        <v>Siddhant Jain </v>
      </c>
      <c r="K17" s="6">
        <f>IFERROR(__xludf.DUMMYFUNCTION("""COMPUTED_VALUE"""),5.5)</f>
        <v>5.5</v>
      </c>
      <c r="L17" s="6"/>
      <c r="M17" s="17">
        <v>13.0</v>
      </c>
      <c r="N17" s="6" t="str">
        <f>IFERROR(__xludf.DUMMYFUNCTION("""COMPUTED_VALUE"""),"Samuel Wang")</f>
        <v>Samuel Wang</v>
      </c>
      <c r="O17" s="6">
        <f>IFERROR(__xludf.DUMMYFUNCTION("""COMPUTED_VALUE"""),4.0)</f>
        <v>4</v>
      </c>
      <c r="P17" s="6"/>
      <c r="Q17" s="17">
        <v>15.0</v>
      </c>
      <c r="R17" s="6" t="str">
        <f>IFERROR(__xludf.DUMMYFUNCTION("""COMPUTED_VALUE"""),"Krishay Garg")</f>
        <v>Krishay Garg</v>
      </c>
      <c r="S17" s="6">
        <f>IFERROR(__xludf.DUMMYFUNCTION("""COMPUTED_VALUE"""),6.5)</f>
        <v>6.5</v>
      </c>
      <c r="T17" s="6"/>
      <c r="U17" s="19">
        <v>15.0</v>
      </c>
      <c r="V17" s="10" t="str">
        <f>IFERROR(__xludf.DUMMYFUNCTION("""COMPUTED_VALUE"""),"Larry Wu")</f>
        <v>Larry Wu</v>
      </c>
      <c r="W17" s="20">
        <f>IFERROR(__xludf.DUMMYFUNCTION("""COMPUTED_VALUE"""),5.0)</f>
        <v>5</v>
      </c>
      <c r="X17" s="6"/>
      <c r="Y17" s="6"/>
      <c r="Z17" s="6"/>
    </row>
    <row r="18">
      <c r="A18" s="17">
        <v>16.0</v>
      </c>
      <c r="B18" s="6" t="str">
        <f>IFERROR(__xludf.DUMMYFUNCTION("""COMPUTED_VALUE"""),"Jishnu Balaji")</f>
        <v>Jishnu Balaji</v>
      </c>
      <c r="C18" s="6">
        <f>IFERROR(__xludf.DUMMYFUNCTION("""COMPUTED_VALUE"""),6.5)</f>
        <v>6.5</v>
      </c>
      <c r="D18" s="6"/>
      <c r="E18" s="17">
        <v>16.0</v>
      </c>
      <c r="F18" s="6" t="str">
        <f>IFERROR(__xludf.DUMMYFUNCTION("""COMPUTED_VALUE"""),"Krishay Garg")</f>
        <v>Krishay Garg</v>
      </c>
      <c r="G18" s="6">
        <f>IFERROR(__xludf.DUMMYFUNCTION("""COMPUTED_VALUE"""),5.0)</f>
        <v>5</v>
      </c>
      <c r="H18" s="6"/>
      <c r="I18" s="17">
        <v>17.0</v>
      </c>
      <c r="J18" s="6" t="str">
        <f>IFERROR(__xludf.DUMMYFUNCTION("""COMPUTED_VALUE"""),"Gaurav Gupta")</f>
        <v>Gaurav Gupta</v>
      </c>
      <c r="K18" s="6">
        <f>IFERROR(__xludf.DUMMYFUNCTION("""COMPUTED_VALUE"""),5.0)</f>
        <v>5</v>
      </c>
      <c r="L18" s="6"/>
      <c r="M18" s="17">
        <v>13.0</v>
      </c>
      <c r="N18" s="6" t="str">
        <f>IFERROR(__xludf.DUMMYFUNCTION("""COMPUTED_VALUE"""),"Varun Challa")</f>
        <v>Varun Challa</v>
      </c>
      <c r="O18" s="6">
        <f>IFERROR(__xludf.DUMMYFUNCTION("""COMPUTED_VALUE"""),4.0)</f>
        <v>4</v>
      </c>
      <c r="P18" s="6"/>
      <c r="Q18" s="17">
        <v>17.0</v>
      </c>
      <c r="R18" s="6" t="str">
        <f>IFERROR(__xludf.DUMMYFUNCTION("""COMPUTED_VALUE"""),"Jake Wang")</f>
        <v>Jake Wang</v>
      </c>
      <c r="S18" s="6">
        <f>IFERROR(__xludf.DUMMYFUNCTION("""COMPUTED_VALUE"""),6.0)</f>
        <v>6</v>
      </c>
      <c r="T18" s="6"/>
      <c r="U18" s="19">
        <v>15.0</v>
      </c>
      <c r="V18" s="10" t="str">
        <f>IFERROR(__xludf.DUMMYFUNCTION("""COMPUTED_VALUE"""),"Andrew Wang")</f>
        <v>Andrew Wang</v>
      </c>
      <c r="W18" s="20">
        <f>IFERROR(__xludf.DUMMYFUNCTION("""COMPUTED_VALUE"""),5.0)</f>
        <v>5</v>
      </c>
      <c r="X18" s="6"/>
      <c r="Y18" s="6"/>
      <c r="Z18" s="6"/>
    </row>
    <row r="19">
      <c r="A19" s="17">
        <v>18.0</v>
      </c>
      <c r="B19" s="6" t="str">
        <f>IFERROR(__xludf.DUMMYFUNCTION("""COMPUTED_VALUE"""),"Lakshanya Palani")</f>
        <v>Lakshanya Palani</v>
      </c>
      <c r="C19" s="6">
        <f>IFERROR(__xludf.DUMMYFUNCTION("""COMPUTED_VALUE"""),6.0)</f>
        <v>6</v>
      </c>
      <c r="D19" s="6"/>
      <c r="E19" s="17">
        <v>18.0</v>
      </c>
      <c r="F19" s="6" t="str">
        <f>IFERROR(__xludf.DUMMYFUNCTION("""COMPUTED_VALUE"""),"Aahana Biswal")</f>
        <v>Aahana Biswal</v>
      </c>
      <c r="G19" s="6">
        <f>IFERROR(__xludf.DUMMYFUNCTION("""COMPUTED_VALUE"""),4.5)</f>
        <v>4.5</v>
      </c>
      <c r="H19" s="6"/>
      <c r="I19" s="17">
        <v>17.0</v>
      </c>
      <c r="J19" s="6" t="str">
        <f>IFERROR(__xludf.DUMMYFUNCTION("""COMPUTED_VALUE"""),"Nicholas Pantino ")</f>
        <v>Nicholas Pantino </v>
      </c>
      <c r="K19" s="6">
        <f>IFERROR(__xludf.DUMMYFUNCTION("""COMPUTED_VALUE"""),5.0)</f>
        <v>5</v>
      </c>
      <c r="L19" s="6"/>
      <c r="M19" s="17">
        <v>18.0</v>
      </c>
      <c r="N19" s="6" t="str">
        <f>IFERROR(__xludf.DUMMYFUNCTION("""COMPUTED_VALUE"""),"Sidhant Chaliha")</f>
        <v>Sidhant Chaliha</v>
      </c>
      <c r="O19" s="6">
        <f>IFERROR(__xludf.DUMMYFUNCTION("""COMPUTED_VALUE"""),3.5)</f>
        <v>3.5</v>
      </c>
      <c r="P19" s="6"/>
      <c r="Q19" s="17">
        <v>17.0</v>
      </c>
      <c r="R19" s="6" t="str">
        <f>IFERROR(__xludf.DUMMYFUNCTION("""COMPUTED_VALUE"""),"Larry Wu")</f>
        <v>Larry Wu</v>
      </c>
      <c r="S19" s="6">
        <f>IFERROR(__xludf.DUMMYFUNCTION("""COMPUTED_VALUE"""),6.0)</f>
        <v>6</v>
      </c>
      <c r="T19" s="6"/>
      <c r="U19" s="19">
        <v>15.0</v>
      </c>
      <c r="V19" s="10" t="str">
        <f>IFERROR(__xludf.DUMMYFUNCTION("""COMPUTED_VALUE"""),"Advaith Mopuri")</f>
        <v>Advaith Mopuri</v>
      </c>
      <c r="W19" s="20">
        <f>IFERROR(__xludf.DUMMYFUNCTION("""COMPUTED_VALUE"""),5.0)</f>
        <v>5</v>
      </c>
      <c r="X19" s="6"/>
      <c r="Y19" s="6"/>
      <c r="Z19" s="6"/>
    </row>
    <row r="20">
      <c r="A20" s="17">
        <v>18.0</v>
      </c>
      <c r="B20" s="6" t="str">
        <f>IFERROR(__xludf.DUMMYFUNCTION("""COMPUTED_VALUE"""),"Aaditya Karnataki")</f>
        <v>Aaditya Karnataki</v>
      </c>
      <c r="C20" s="6">
        <f>IFERROR(__xludf.DUMMYFUNCTION("""COMPUTED_VALUE"""),6.0)</f>
        <v>6</v>
      </c>
      <c r="D20" s="6"/>
      <c r="E20" s="17">
        <v>18.0</v>
      </c>
      <c r="F20" s="6" t="str">
        <f>IFERROR(__xludf.DUMMYFUNCTION("""COMPUTED_VALUE"""),"Rohan Hablani")</f>
        <v>Rohan Hablani</v>
      </c>
      <c r="G20" s="6">
        <f>IFERROR(__xludf.DUMMYFUNCTION("""COMPUTED_VALUE"""),4.5)</f>
        <v>4.5</v>
      </c>
      <c r="H20" s="6"/>
      <c r="I20" s="17">
        <v>19.0</v>
      </c>
      <c r="J20" s="6" t="str">
        <f>IFERROR(__xludf.DUMMYFUNCTION("""COMPUTED_VALUE"""),"Suyog Vibhuti")</f>
        <v>Suyog Vibhuti</v>
      </c>
      <c r="K20" s="6">
        <f>IFERROR(__xludf.DUMMYFUNCTION("""COMPUTED_VALUE"""),4.5)</f>
        <v>4.5</v>
      </c>
      <c r="L20" s="6"/>
      <c r="M20" s="17">
        <v>19.0</v>
      </c>
      <c r="N20" s="6" t="str">
        <f>IFERROR(__xludf.DUMMYFUNCTION("""COMPUTED_VALUE"""),"Suyog Vibhuti")</f>
        <v>Suyog Vibhuti</v>
      </c>
      <c r="O20" s="6">
        <f>IFERROR(__xludf.DUMMYFUNCTION("""COMPUTED_VALUE"""),3.0)</f>
        <v>3</v>
      </c>
      <c r="P20" s="6"/>
      <c r="Q20" s="17">
        <v>17.0</v>
      </c>
      <c r="R20" s="6" t="str">
        <f>IFERROR(__xludf.DUMMYFUNCTION("""COMPUTED_VALUE"""),"Advaith Mopuri")</f>
        <v>Advaith Mopuri</v>
      </c>
      <c r="S20" s="6">
        <f>IFERROR(__xludf.DUMMYFUNCTION("""COMPUTED_VALUE"""),6.0)</f>
        <v>6</v>
      </c>
      <c r="T20" s="6"/>
      <c r="U20" s="19">
        <v>15.0</v>
      </c>
      <c r="V20" s="10" t="str">
        <f>IFERROR(__xludf.DUMMYFUNCTION("""COMPUTED_VALUE"""),"Rex Ouyang")</f>
        <v>Rex Ouyang</v>
      </c>
      <c r="W20" s="20">
        <f>IFERROR(__xludf.DUMMYFUNCTION("""COMPUTED_VALUE"""),5.0)</f>
        <v>5</v>
      </c>
      <c r="X20" s="6"/>
      <c r="Y20" s="6"/>
      <c r="Z20" s="6"/>
    </row>
    <row r="21">
      <c r="A21" s="17">
        <v>18.0</v>
      </c>
      <c r="B21" s="6" t="str">
        <f>IFERROR(__xludf.DUMMYFUNCTION("""COMPUTED_VALUE"""),"Elyas Nuh")</f>
        <v>Elyas Nuh</v>
      </c>
      <c r="C21" s="6">
        <f>IFERROR(__xludf.DUMMYFUNCTION("""COMPUTED_VALUE"""),6.0)</f>
        <v>6</v>
      </c>
      <c r="D21" s="6"/>
      <c r="E21" s="17">
        <v>18.0</v>
      </c>
      <c r="F21" s="6" t="str">
        <f>IFERROR(__xludf.DUMMYFUNCTION("""COMPUTED_VALUE"""),"Sohil Rathi")</f>
        <v>Sohil Rathi</v>
      </c>
      <c r="G21" s="6">
        <f>IFERROR(__xludf.DUMMYFUNCTION("""COMPUTED_VALUE"""),4.5)</f>
        <v>4.5</v>
      </c>
      <c r="H21" s="6"/>
      <c r="I21" s="17">
        <v>19.0</v>
      </c>
      <c r="J21" s="6" t="str">
        <f>IFERROR(__xludf.DUMMYFUNCTION("""COMPUTED_VALUE"""),"Jeremy Yuen")</f>
        <v>Jeremy Yuen</v>
      </c>
      <c r="K21" s="6">
        <f>IFERROR(__xludf.DUMMYFUNCTION("""COMPUTED_VALUE"""),4.5)</f>
        <v>4.5</v>
      </c>
      <c r="L21" s="6"/>
      <c r="M21" s="17">
        <v>19.0</v>
      </c>
      <c r="N21" s="6" t="str">
        <f>IFERROR(__xludf.DUMMYFUNCTION("""COMPUTED_VALUE"""),"Alex Ge")</f>
        <v>Alex Ge</v>
      </c>
      <c r="O21" s="6">
        <f>IFERROR(__xludf.DUMMYFUNCTION("""COMPUTED_VALUE"""),3.0)</f>
        <v>3</v>
      </c>
      <c r="P21" s="6"/>
      <c r="Q21" s="17">
        <v>20.0</v>
      </c>
      <c r="R21" s="6" t="str">
        <f>IFERROR(__xludf.DUMMYFUNCTION("""COMPUTED_VALUE"""),"Amaan Mohammad")</f>
        <v>Amaan Mohammad</v>
      </c>
      <c r="S21" s="6">
        <f>IFERROR(__xludf.DUMMYFUNCTION("""COMPUTED_VALUE"""),5.0)</f>
        <v>5</v>
      </c>
      <c r="T21" s="6"/>
      <c r="U21" s="19">
        <v>15.0</v>
      </c>
      <c r="V21" s="10" t="str">
        <f>IFERROR(__xludf.DUMMYFUNCTION("""COMPUTED_VALUE"""),"Inhoo Chang")</f>
        <v>Inhoo Chang</v>
      </c>
      <c r="W21" s="20">
        <f>IFERROR(__xludf.DUMMYFUNCTION("""COMPUTED_VALUE"""),5.0)</f>
        <v>5</v>
      </c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3" t="s">
        <v>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B1:C1"/>
    <mergeCell ref="F1:G1"/>
    <mergeCell ref="J1:K1"/>
    <mergeCell ref="N1:O1"/>
    <mergeCell ref="R1:S1"/>
    <mergeCell ref="V1:W1"/>
    <mergeCell ref="B23:H23"/>
  </mergeCells>
  <conditionalFormatting sqref="B2:C22 B24:C1000">
    <cfRule type="notContainsBlanks" dxfId="1" priority="1">
      <formula>LEN(TRIM(B2))&gt;0</formula>
    </cfRule>
  </conditionalFormatting>
  <conditionalFormatting sqref="J2:K1000">
    <cfRule type="notContainsBlanks" dxfId="2" priority="2">
      <formula>LEN(TRIM(J2))&gt;0</formula>
    </cfRule>
  </conditionalFormatting>
  <conditionalFormatting sqref="F2:F22 G2:G22 F24:F1000 G24:G1000">
    <cfRule type="notContainsBlanks" dxfId="3" priority="3">
      <formula>LEN(TRIM(F2))&gt;0</formula>
    </cfRule>
  </conditionalFormatting>
  <conditionalFormatting sqref="N2:O1000">
    <cfRule type="notContainsBlanks" dxfId="3" priority="4">
      <formula>LEN(TRIM(N2))&gt;0</formula>
    </cfRule>
  </conditionalFormatting>
  <conditionalFormatting sqref="R2:S1000">
    <cfRule type="notContainsBlanks" dxfId="2" priority="5">
      <formula>LEN(TRIM(R2))&gt;0</formula>
    </cfRule>
  </conditionalFormatting>
  <conditionalFormatting sqref="V2:W1000">
    <cfRule type="notContainsBlanks" dxfId="3" priority="6">
      <formula>LEN(TRIM(V2))&gt;0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25"/>
    <col customWidth="1" min="3" max="3" width="4.63"/>
    <col customWidth="1" min="4" max="4" width="6.0"/>
    <col customWidth="1" min="5" max="5" width="3.5"/>
    <col customWidth="1" min="6" max="6" width="20.25"/>
    <col customWidth="1" min="7" max="7" width="4.63"/>
    <col customWidth="1" min="8" max="8" width="6.0"/>
    <col customWidth="1" min="9" max="9" width="3.5"/>
    <col customWidth="1" min="10" max="10" width="20.25"/>
    <col customWidth="1" min="11" max="11" width="4.63"/>
    <col customWidth="1" min="12" max="12" width="6.0"/>
    <col customWidth="1" min="13" max="13" width="3.5"/>
    <col customWidth="1" min="14" max="14" width="20.25"/>
    <col customWidth="1" min="15" max="15" width="4.63"/>
    <col customWidth="1" min="16" max="16" width="6.0"/>
    <col customWidth="1" min="17" max="17" width="3.5"/>
    <col customWidth="1" min="18" max="18" width="20.25"/>
    <col customWidth="1" min="19" max="19" width="4.63"/>
    <col customWidth="1" min="20" max="20" width="6.0"/>
    <col customWidth="1" min="21" max="21" width="3.5"/>
    <col customWidth="1" min="22" max="22" width="20.25"/>
    <col customWidth="1" min="23" max="23" width="4.63"/>
  </cols>
  <sheetData>
    <row r="1">
      <c r="A1" s="1">
        <v>20.0</v>
      </c>
      <c r="B1" s="3" t="s">
        <v>1</v>
      </c>
      <c r="D1" s="4"/>
      <c r="E1" s="6"/>
      <c r="F1" s="7" t="s">
        <v>2</v>
      </c>
      <c r="H1" s="9"/>
      <c r="I1" s="6"/>
      <c r="J1" s="3" t="s">
        <v>3</v>
      </c>
      <c r="L1" s="6"/>
      <c r="M1" s="6"/>
      <c r="N1" s="7" t="s">
        <v>4</v>
      </c>
      <c r="P1" s="6"/>
      <c r="Q1" s="6"/>
      <c r="R1" s="3" t="s">
        <v>5</v>
      </c>
      <c r="T1" s="6"/>
      <c r="U1" s="10"/>
      <c r="V1" s="11" t="s">
        <v>6</v>
      </c>
      <c r="X1" s="6"/>
      <c r="Y1" s="6"/>
      <c r="Z1" s="6"/>
    </row>
    <row r="2">
      <c r="A2" s="17">
        <f t="array" ref="A2:A21">RANK(INDIRECT("C2:C"&amp;($A$1+1)),C$2:C$21)</f>
        <v>1</v>
      </c>
      <c r="B2" s="18" t="str">
        <f>IFERROR(__xludf.DUMMYFUNCTION("QUERY( INDIRECT(B1&amp;""!A2:G""),""select A order by G desc limit ""&amp;$A$1)"),"Mission San Jose B")</f>
        <v>Mission San Jose B</v>
      </c>
      <c r="C2" s="6">
        <f>IFERROR(__xludf.DUMMYFUNCTION("QUERY(INDIRECT(B1&amp;""!A2:G""),""select G order by G desc limit ""&amp;$A$1)"),25.5)</f>
        <v>25.5</v>
      </c>
      <c r="D2" s="6"/>
      <c r="E2" s="17">
        <f t="array" ref="E2:E21">RANK(INDIRECT("G2:G"&amp;($A$1+1)),G$2:G$21)</f>
        <v>1</v>
      </c>
      <c r="F2" s="6" t="str">
        <f>IFERROR(__xludf.DUMMYFUNCTION("QUERY(INDIRECT(F1&amp;""!A2:G""),""select A order by G desc limit ""&amp;$A$1)"),"Mission San Jose A")</f>
        <v>Mission San Jose A</v>
      </c>
      <c r="G2" s="6">
        <f>IFERROR(__xludf.DUMMYFUNCTION("QUERY(INDIRECT(F1&amp;""!A2:G""),""select G order by G desc limit ""&amp;$A$1)"),22.0)</f>
        <v>22</v>
      </c>
      <c r="H2" s="6"/>
      <c r="I2" s="17">
        <f t="array" ref="I2:I21">RANK(INDIRECT("K2:K"&amp;($A$1+1)),K$2:K$21)</f>
        <v>1</v>
      </c>
      <c r="J2" s="6" t="str">
        <f>IFERROR(__xludf.DUMMYFUNCTION("QUERY(INDIRECT(J1&amp;""!A2:G""),""select A order by G desc limit ""&amp;$A$1)"),"Canyon Crest A")</f>
        <v>Canyon Crest A</v>
      </c>
      <c r="K2" s="6">
        <f>IFERROR(__xludf.DUMMYFUNCTION("QUERY(INDIRECT(J1&amp;""!A2:G""),""select G order by G desc limit ""&amp;$A$1)"),23.5)</f>
        <v>23.5</v>
      </c>
      <c r="L2" s="6"/>
      <c r="M2" s="17">
        <f t="array" ref="M2:M21">RANK(INDIRECT("O2:O"&amp;($A$1+1)),O$2:O$21)</f>
        <v>1</v>
      </c>
      <c r="N2" s="6" t="str">
        <f>IFERROR(__xludf.DUMMYFUNCTION("QUERY(INDIRECT(N1&amp;""!A2:G""),""select A order by G desc limit ""&amp;$A$1)"),"Mira Loma A")</f>
        <v>Mira Loma A</v>
      </c>
      <c r="O2" s="6">
        <f>IFERROR(__xludf.DUMMYFUNCTION("QUERY(INDIRECT(N1&amp;""!A2:G""),""select G order by G desc limit ""&amp;$A$1)"),15.5)</f>
        <v>15.5</v>
      </c>
      <c r="P2" s="6"/>
      <c r="Q2" s="17">
        <f t="array" ref="Q2:Q21">RANK(INDIRECT("S2:S"&amp;($A$1+1)),S$2:S$21)</f>
        <v>1</v>
      </c>
      <c r="R2" s="6" t="str">
        <f>IFERROR(__xludf.DUMMYFUNCTION("QUERY(INDIRECT(R1&amp;""!A2:G""),""select A order by G desc limit ""&amp;$A$1)"),"North Hollywood")</f>
        <v>North Hollywood</v>
      </c>
      <c r="S2" s="6">
        <f>IFERROR(__xludf.DUMMYFUNCTION("QUERY(INDIRECT(R1&amp;""!A2:G""),""select G order by G desc limit ""&amp;$A$1)"),19.0)</f>
        <v>19</v>
      </c>
      <c r="T2" s="6"/>
      <c r="U2" s="17">
        <f t="array" ref="U2:U21">RANK(INDIRECT("W2:W"&amp;($A$1+1)),W$2:W$21)</f>
        <v>1</v>
      </c>
      <c r="V2" s="6" t="str">
        <f>IFERROR(__xludf.DUMMYFUNCTION("QUERY(INDIRECT(V1&amp;""!A2:G""),""select A order by G desc limit ""&amp;$A$1)"),"Lynbrook A")</f>
        <v>Lynbrook A</v>
      </c>
      <c r="W2" s="6">
        <f>IFERROR(__xludf.DUMMYFUNCTION("QUERY(INDIRECT(V1&amp;""!A2:G""),""select G order by G desc limit ""&amp;$A$1)"),17.0)</f>
        <v>17</v>
      </c>
      <c r="X2" s="6"/>
      <c r="Y2" s="6"/>
      <c r="Z2" s="6"/>
    </row>
    <row r="3">
      <c r="A3" s="17">
        <v>2.0</v>
      </c>
      <c r="B3" s="6" t="str">
        <f>IFERROR(__xludf.DUMMYFUNCTION("""COMPUTED_VALUE"""),"Canyon Crest A")</f>
        <v>Canyon Crest A</v>
      </c>
      <c r="C3" s="6">
        <f>IFERROR(__xludf.DUMMYFUNCTION("""COMPUTED_VALUE"""),21.5)</f>
        <v>21.5</v>
      </c>
      <c r="D3" s="6"/>
      <c r="E3" s="17">
        <v>2.0</v>
      </c>
      <c r="F3" s="6" t="str">
        <f>IFERROR(__xludf.DUMMYFUNCTION("""COMPUTED_VALUE"""),"Canyon Crest A")</f>
        <v>Canyon Crest A</v>
      </c>
      <c r="G3" s="6">
        <f>IFERROR(__xludf.DUMMYFUNCTION("""COMPUTED_VALUE"""),16.5)</f>
        <v>16.5</v>
      </c>
      <c r="H3" s="6"/>
      <c r="I3" s="17">
        <v>2.0</v>
      </c>
      <c r="J3" s="6" t="str">
        <f>IFERROR(__xludf.DUMMYFUNCTION("""COMPUTED_VALUE"""),"Mission San Jose A")</f>
        <v>Mission San Jose A</v>
      </c>
      <c r="K3" s="6">
        <f>IFERROR(__xludf.DUMMYFUNCTION("""COMPUTED_VALUE"""),17.0)</f>
        <v>17</v>
      </c>
      <c r="L3" s="6"/>
      <c r="M3" s="17">
        <v>2.0</v>
      </c>
      <c r="N3" s="6" t="str">
        <f>IFERROR(__xludf.DUMMYFUNCTION("""COMPUTED_VALUE"""),"Lynbrook A")</f>
        <v>Lynbrook A</v>
      </c>
      <c r="O3" s="6">
        <f>IFERROR(__xludf.DUMMYFUNCTION("""COMPUTED_VALUE"""),13.5)</f>
        <v>13.5</v>
      </c>
      <c r="P3" s="6"/>
      <c r="Q3" s="17">
        <v>2.0</v>
      </c>
      <c r="R3" s="6" t="str">
        <f>IFERROR(__xludf.DUMMYFUNCTION("""COMPUTED_VALUE"""),"Lynbrook C")</f>
        <v>Lynbrook C</v>
      </c>
      <c r="S3" s="6">
        <f>IFERROR(__xludf.DUMMYFUNCTION("""COMPUTED_VALUE"""),16.0)</f>
        <v>16</v>
      </c>
      <c r="T3" s="6"/>
      <c r="U3" s="19">
        <v>2.0</v>
      </c>
      <c r="V3" s="10" t="str">
        <f>IFERROR(__xludf.DUMMYFUNCTION("""COMPUTED_VALUE"""),"Mission San Jose A")</f>
        <v>Mission San Jose A</v>
      </c>
      <c r="W3" s="20">
        <f>IFERROR(__xludf.DUMMYFUNCTION("""COMPUTED_VALUE"""),16.5)</f>
        <v>16.5</v>
      </c>
      <c r="X3" s="6"/>
      <c r="Y3" s="6"/>
      <c r="Z3" s="6"/>
    </row>
    <row r="4">
      <c r="A4" s="17">
        <v>3.0</v>
      </c>
      <c r="B4" s="6" t="str">
        <f>IFERROR(__xludf.DUMMYFUNCTION("""COMPUTED_VALUE"""),"Amador Valley A")</f>
        <v>Amador Valley A</v>
      </c>
      <c r="C4" s="6">
        <f>IFERROR(__xludf.DUMMYFUNCTION("""COMPUTED_VALUE"""),21.0)</f>
        <v>21</v>
      </c>
      <c r="D4" s="6"/>
      <c r="E4" s="17">
        <v>3.0</v>
      </c>
      <c r="F4" s="6" t="str">
        <f>IFERROR(__xludf.DUMMYFUNCTION("""COMPUTED_VALUE"""),"Lynbrook C")</f>
        <v>Lynbrook C</v>
      </c>
      <c r="G4" s="6">
        <f>IFERROR(__xludf.DUMMYFUNCTION("""COMPUTED_VALUE"""),16.0)</f>
        <v>16</v>
      </c>
      <c r="H4" s="6"/>
      <c r="I4" s="17">
        <v>3.0</v>
      </c>
      <c r="J4" s="6" t="str">
        <f>IFERROR(__xludf.DUMMYFUNCTION("""COMPUTED_VALUE"""),"Lynbrook A")</f>
        <v>Lynbrook A</v>
      </c>
      <c r="K4" s="6">
        <f>IFERROR(__xludf.DUMMYFUNCTION("""COMPUTED_VALUE"""),15.0)</f>
        <v>15</v>
      </c>
      <c r="L4" s="6"/>
      <c r="M4" s="17">
        <v>3.0</v>
      </c>
      <c r="N4" s="6" t="str">
        <f>IFERROR(__xludf.DUMMYFUNCTION("""COMPUTED_VALUE"""),"Cupertino A")</f>
        <v>Cupertino A</v>
      </c>
      <c r="O4" s="6">
        <f>IFERROR(__xludf.DUMMYFUNCTION("""COMPUTED_VALUE"""),12.0)</f>
        <v>12</v>
      </c>
      <c r="P4" s="6"/>
      <c r="Q4" s="17">
        <v>3.0</v>
      </c>
      <c r="R4" s="6" t="str">
        <f>IFERROR(__xludf.DUMMYFUNCTION("""COMPUTED_VALUE"""),"Saratoga")</f>
        <v>Saratoga</v>
      </c>
      <c r="S4" s="6">
        <f>IFERROR(__xludf.DUMMYFUNCTION("""COMPUTED_VALUE"""),15.5)</f>
        <v>15.5</v>
      </c>
      <c r="T4" s="6"/>
      <c r="U4" s="19">
        <v>3.0</v>
      </c>
      <c r="V4" s="10" t="str">
        <f>IFERROR(__xludf.DUMMYFUNCTION("""COMPUTED_VALUE"""),"Canyon Crest A")</f>
        <v>Canyon Crest A</v>
      </c>
      <c r="W4" s="20">
        <f>IFERROR(__xludf.DUMMYFUNCTION("""COMPUTED_VALUE"""),14.5)</f>
        <v>14.5</v>
      </c>
      <c r="X4" s="6"/>
      <c r="Y4" s="6"/>
      <c r="Z4" s="6"/>
    </row>
    <row r="5">
      <c r="A5" s="17">
        <v>4.0</v>
      </c>
      <c r="B5" s="6" t="str">
        <f>IFERROR(__xludf.DUMMYFUNCTION("""COMPUTED_VALUE"""),"Mission San Jose A")</f>
        <v>Mission San Jose A</v>
      </c>
      <c r="C5" s="6">
        <f>IFERROR(__xludf.DUMMYFUNCTION("""COMPUTED_VALUE"""),17.0)</f>
        <v>17</v>
      </c>
      <c r="D5" s="6"/>
      <c r="E5" s="17">
        <v>4.0</v>
      </c>
      <c r="F5" s="6" t="str">
        <f>IFERROR(__xludf.DUMMYFUNCTION("""COMPUTED_VALUE"""),"Lynbrook A")</f>
        <v>Lynbrook A</v>
      </c>
      <c r="G5" s="6">
        <f>IFERROR(__xludf.DUMMYFUNCTION("""COMPUTED_VALUE"""),15.5)</f>
        <v>15.5</v>
      </c>
      <c r="H5" s="6"/>
      <c r="I5" s="17">
        <v>4.0</v>
      </c>
      <c r="J5" s="6" t="str">
        <f>IFERROR(__xludf.DUMMYFUNCTION("""COMPUTED_VALUE"""),"Lynbrook C")</f>
        <v>Lynbrook C</v>
      </c>
      <c r="K5" s="6">
        <f>IFERROR(__xludf.DUMMYFUNCTION("""COMPUTED_VALUE"""),13.5)</f>
        <v>13.5</v>
      </c>
      <c r="L5" s="6"/>
      <c r="M5" s="17">
        <v>4.0</v>
      </c>
      <c r="N5" s="6" t="str">
        <f>IFERROR(__xludf.DUMMYFUNCTION("""COMPUTED_VALUE"""),"Saratoga")</f>
        <v>Saratoga</v>
      </c>
      <c r="O5" s="6">
        <f>IFERROR(__xludf.DUMMYFUNCTION("""COMPUTED_VALUE"""),11.5)</f>
        <v>11.5</v>
      </c>
      <c r="P5" s="6"/>
      <c r="Q5" s="17">
        <v>4.0</v>
      </c>
      <c r="R5" s="6" t="str">
        <f>IFERROR(__xludf.DUMMYFUNCTION("""COMPUTED_VALUE"""),"BASIS Independent A")</f>
        <v>BASIS Independent A</v>
      </c>
      <c r="S5" s="6">
        <f>IFERROR(__xludf.DUMMYFUNCTION("""COMPUTED_VALUE"""),15.0)</f>
        <v>15</v>
      </c>
      <c r="T5" s="6"/>
      <c r="U5" s="19">
        <v>4.0</v>
      </c>
      <c r="V5" s="10" t="str">
        <f>IFERROR(__xludf.DUMMYFUNCTION("""COMPUTED_VALUE"""),"Cupertino A")</f>
        <v>Cupertino A</v>
      </c>
      <c r="W5" s="20">
        <f>IFERROR(__xludf.DUMMYFUNCTION("""COMPUTED_VALUE"""),14.0)</f>
        <v>14</v>
      </c>
      <c r="X5" s="6"/>
      <c r="Y5" s="6"/>
      <c r="Z5" s="6"/>
    </row>
    <row r="6">
      <c r="A6" s="17">
        <v>5.0</v>
      </c>
      <c r="B6" s="6" t="str">
        <f>IFERROR(__xludf.DUMMYFUNCTION("""COMPUTED_VALUE"""),"Canyon Crest B")</f>
        <v>Canyon Crest B</v>
      </c>
      <c r="C6" s="6">
        <f>IFERROR(__xludf.DUMMYFUNCTION("""COMPUTED_VALUE"""),16.0)</f>
        <v>16</v>
      </c>
      <c r="D6" s="6"/>
      <c r="E6" s="17">
        <v>5.0</v>
      </c>
      <c r="F6" s="6" t="str">
        <f>IFERROR(__xludf.DUMMYFUNCTION("""COMPUTED_VALUE"""),"Mira Loma A")</f>
        <v>Mira Loma A</v>
      </c>
      <c r="G6" s="6">
        <f>IFERROR(__xludf.DUMMYFUNCTION("""COMPUTED_VALUE"""),14.5)</f>
        <v>14.5</v>
      </c>
      <c r="H6" s="6"/>
      <c r="I6" s="17">
        <v>5.0</v>
      </c>
      <c r="J6" s="6" t="str">
        <f>IFERROR(__xludf.DUMMYFUNCTION("""COMPUTED_VALUE"""),"Amador Valley A")</f>
        <v>Amador Valley A</v>
      </c>
      <c r="K6" s="6">
        <f>IFERROR(__xludf.DUMMYFUNCTION("""COMPUTED_VALUE"""),13.0)</f>
        <v>13</v>
      </c>
      <c r="L6" s="6"/>
      <c r="M6" s="17">
        <v>5.0</v>
      </c>
      <c r="N6" s="6" t="str">
        <f>IFERROR(__xludf.DUMMYFUNCTION("""COMPUTED_VALUE"""),"Amador Valley A")</f>
        <v>Amador Valley A</v>
      </c>
      <c r="O6" s="6">
        <f>IFERROR(__xludf.DUMMYFUNCTION("""COMPUTED_VALUE"""),11.0)</f>
        <v>11</v>
      </c>
      <c r="P6" s="6"/>
      <c r="Q6" s="17">
        <v>5.0</v>
      </c>
      <c r="R6" s="6" t="str">
        <f>IFERROR(__xludf.DUMMYFUNCTION("""COMPUTED_VALUE"""),"Canyon Crest A")</f>
        <v>Canyon Crest A</v>
      </c>
      <c r="S6" s="6">
        <f>IFERROR(__xludf.DUMMYFUNCTION("""COMPUTED_VALUE"""),14.0)</f>
        <v>14</v>
      </c>
      <c r="T6" s="6"/>
      <c r="U6" s="19">
        <v>5.0</v>
      </c>
      <c r="V6" s="10" t="str">
        <f>IFERROR(__xludf.DUMMYFUNCTION("""COMPUTED_VALUE"""),"Mira Loma A")</f>
        <v>Mira Loma A</v>
      </c>
      <c r="W6" s="20">
        <f>IFERROR(__xludf.DUMMYFUNCTION("""COMPUTED_VALUE"""),13.5)</f>
        <v>13.5</v>
      </c>
      <c r="X6" s="6"/>
      <c r="Y6" s="6"/>
      <c r="Z6" s="6"/>
    </row>
    <row r="7">
      <c r="A7" s="17">
        <v>6.0</v>
      </c>
      <c r="B7" s="6" t="str">
        <f>IFERROR(__xludf.DUMMYFUNCTION("""COMPUTED_VALUE"""),"Mira Loma A")</f>
        <v>Mira Loma A</v>
      </c>
      <c r="C7" s="6">
        <f>IFERROR(__xludf.DUMMYFUNCTION("""COMPUTED_VALUE"""),15.5)</f>
        <v>15.5</v>
      </c>
      <c r="D7" s="6"/>
      <c r="E7" s="17">
        <v>5.0</v>
      </c>
      <c r="F7" s="6" t="str">
        <f>IFERROR(__xludf.DUMMYFUNCTION("""COMPUTED_VALUE"""),"Cupertino A")</f>
        <v>Cupertino A</v>
      </c>
      <c r="G7" s="6">
        <f>IFERROR(__xludf.DUMMYFUNCTION("""COMPUTED_VALUE"""),14.5)</f>
        <v>14.5</v>
      </c>
      <c r="H7" s="6"/>
      <c r="I7" s="17">
        <v>6.0</v>
      </c>
      <c r="J7" s="6" t="str">
        <f>IFERROR(__xludf.DUMMYFUNCTION("""COMPUTED_VALUE"""),"Mira Loma A")</f>
        <v>Mira Loma A</v>
      </c>
      <c r="K7" s="6">
        <f>IFERROR(__xludf.DUMMYFUNCTION("""COMPUTED_VALUE"""),12.5)</f>
        <v>12.5</v>
      </c>
      <c r="L7" s="6"/>
      <c r="M7" s="17">
        <v>6.0</v>
      </c>
      <c r="N7" s="6" t="str">
        <f>IFERROR(__xludf.DUMMYFUNCTION("""COMPUTED_VALUE"""),"Archbishop Mitty B")</f>
        <v>Archbishop Mitty B</v>
      </c>
      <c r="O7" s="6">
        <f>IFERROR(__xludf.DUMMYFUNCTION("""COMPUTED_VALUE"""),10.5)</f>
        <v>10.5</v>
      </c>
      <c r="P7" s="6"/>
      <c r="Q7" s="17">
        <v>5.0</v>
      </c>
      <c r="R7" s="6" t="str">
        <f>IFERROR(__xludf.DUMMYFUNCTION("""COMPUTED_VALUE"""),"Canyon Crest B")</f>
        <v>Canyon Crest B</v>
      </c>
      <c r="S7" s="6">
        <f>IFERROR(__xludf.DUMMYFUNCTION("""COMPUTED_VALUE"""),14.0)</f>
        <v>14</v>
      </c>
      <c r="T7" s="6"/>
      <c r="U7" s="19">
        <v>6.0</v>
      </c>
      <c r="V7" s="10" t="str">
        <f>IFERROR(__xludf.DUMMYFUNCTION("""COMPUTED_VALUE"""),"Monta Vista A")</f>
        <v>Monta Vista A</v>
      </c>
      <c r="W7" s="20">
        <f>IFERROR(__xludf.DUMMYFUNCTION("""COMPUTED_VALUE"""),13.0)</f>
        <v>13</v>
      </c>
      <c r="X7" s="6"/>
      <c r="Y7" s="6"/>
      <c r="Z7" s="6"/>
    </row>
    <row r="8">
      <c r="A8" s="17">
        <v>6.0</v>
      </c>
      <c r="B8" s="6" t="str">
        <f>IFERROR(__xludf.DUMMYFUNCTION("""COMPUTED_VALUE"""),"Lynbrook C")</f>
        <v>Lynbrook C</v>
      </c>
      <c r="C8" s="6">
        <f>IFERROR(__xludf.DUMMYFUNCTION("""COMPUTED_VALUE"""),15.5)</f>
        <v>15.5</v>
      </c>
      <c r="D8" s="6"/>
      <c r="E8" s="17">
        <v>7.0</v>
      </c>
      <c r="F8" s="6" t="str">
        <f>IFERROR(__xludf.DUMMYFUNCTION("""COMPUTED_VALUE"""),"Palo Alto A")</f>
        <v>Palo Alto A</v>
      </c>
      <c r="G8" s="6">
        <f>IFERROR(__xludf.DUMMYFUNCTION("""COMPUTED_VALUE"""),14.0)</f>
        <v>14</v>
      </c>
      <c r="H8" s="6"/>
      <c r="I8" s="17">
        <v>7.0</v>
      </c>
      <c r="J8" s="6" t="str">
        <f>IFERROR(__xludf.DUMMYFUNCTION("""COMPUTED_VALUE"""),"Mission San Jose B")</f>
        <v>Mission San Jose B</v>
      </c>
      <c r="K8" s="6">
        <f>IFERROR(__xludf.DUMMYFUNCTION("""COMPUTED_VALUE"""),12.0)</f>
        <v>12</v>
      </c>
      <c r="L8" s="6"/>
      <c r="M8" s="17">
        <v>7.0</v>
      </c>
      <c r="N8" s="6" t="str">
        <f>IFERROR(__xludf.DUMMYFUNCTION("""COMPUTED_VALUE"""),"Saint Francis")</f>
        <v>Saint Francis</v>
      </c>
      <c r="O8" s="6">
        <f>IFERROR(__xludf.DUMMYFUNCTION("""COMPUTED_VALUE"""),10.0)</f>
        <v>10</v>
      </c>
      <c r="P8" s="6"/>
      <c r="Q8" s="17">
        <v>5.0</v>
      </c>
      <c r="R8" s="6" t="str">
        <f>IFERROR(__xludf.DUMMYFUNCTION("""COMPUTED_VALUE"""),"Mira Loma A")</f>
        <v>Mira Loma A</v>
      </c>
      <c r="S8" s="6">
        <f>IFERROR(__xludf.DUMMYFUNCTION("""COMPUTED_VALUE"""),14.0)</f>
        <v>14</v>
      </c>
      <c r="T8" s="6"/>
      <c r="U8" s="19">
        <v>7.0</v>
      </c>
      <c r="V8" s="10" t="str">
        <f>IFERROR(__xludf.DUMMYFUNCTION("""COMPUTED_VALUE"""),"Saint Francis")</f>
        <v>Saint Francis</v>
      </c>
      <c r="W8" s="20">
        <f>IFERROR(__xludf.DUMMYFUNCTION("""COMPUTED_VALUE"""),12.5)</f>
        <v>12.5</v>
      </c>
      <c r="X8" s="6"/>
      <c r="Y8" s="6"/>
      <c r="Z8" s="6"/>
    </row>
    <row r="9">
      <c r="A9" s="17">
        <v>6.0</v>
      </c>
      <c r="B9" s="6" t="str">
        <f>IFERROR(__xludf.DUMMYFUNCTION("""COMPUTED_VALUE"""),"Lynbrook A")</f>
        <v>Lynbrook A</v>
      </c>
      <c r="C9" s="6">
        <f>IFERROR(__xludf.DUMMYFUNCTION("""COMPUTED_VALUE"""),15.5)</f>
        <v>15.5</v>
      </c>
      <c r="D9" s="6"/>
      <c r="E9" s="17">
        <v>7.0</v>
      </c>
      <c r="F9" s="6" t="str">
        <f>IFERROR(__xludf.DUMMYFUNCTION("""COMPUTED_VALUE"""),"Monta Vista A")</f>
        <v>Monta Vista A</v>
      </c>
      <c r="G9" s="6">
        <f>IFERROR(__xludf.DUMMYFUNCTION("""COMPUTED_VALUE"""),14.0)</f>
        <v>14</v>
      </c>
      <c r="H9" s="6"/>
      <c r="I9" s="17">
        <v>7.0</v>
      </c>
      <c r="J9" s="6" t="str">
        <f>IFERROR(__xludf.DUMMYFUNCTION("""COMPUTED_VALUE"""),"Cupertino A")</f>
        <v>Cupertino A</v>
      </c>
      <c r="K9" s="6">
        <f>IFERROR(__xludf.DUMMYFUNCTION("""COMPUTED_VALUE"""),12.0)</f>
        <v>12</v>
      </c>
      <c r="L9" s="6"/>
      <c r="M9" s="17">
        <v>7.0</v>
      </c>
      <c r="N9" s="6" t="str">
        <f>IFERROR(__xludf.DUMMYFUNCTION("""COMPUTED_VALUE"""),"Canyon Crest B")</f>
        <v>Canyon Crest B</v>
      </c>
      <c r="O9" s="6">
        <f>IFERROR(__xludf.DUMMYFUNCTION("""COMPUTED_VALUE"""),10.0)</f>
        <v>10</v>
      </c>
      <c r="P9" s="6"/>
      <c r="Q9" s="17">
        <v>5.0</v>
      </c>
      <c r="R9" s="6" t="str">
        <f>IFERROR(__xludf.DUMMYFUNCTION("""COMPUTED_VALUE"""),"Amador Valley A")</f>
        <v>Amador Valley A</v>
      </c>
      <c r="S9" s="6">
        <f>IFERROR(__xludf.DUMMYFUNCTION("""COMPUTED_VALUE"""),14.0)</f>
        <v>14</v>
      </c>
      <c r="T9" s="6"/>
      <c r="U9" s="19">
        <v>8.0</v>
      </c>
      <c r="V9" s="10" t="str">
        <f>IFERROR(__xludf.DUMMYFUNCTION("""COMPUTED_VALUE"""),"North Hollywood")</f>
        <v>North Hollywood</v>
      </c>
      <c r="W9" s="20">
        <f>IFERROR(__xludf.DUMMYFUNCTION("""COMPUTED_VALUE"""),11.5)</f>
        <v>11.5</v>
      </c>
      <c r="X9" s="6"/>
      <c r="Y9" s="6"/>
      <c r="Z9" s="6"/>
    </row>
    <row r="10">
      <c r="A10" s="17">
        <v>9.0</v>
      </c>
      <c r="B10" s="6" t="str">
        <f>IFERROR(__xludf.DUMMYFUNCTION("""COMPUTED_VALUE"""),"Cupertino A")</f>
        <v>Cupertino A</v>
      </c>
      <c r="C10" s="6">
        <f>IFERROR(__xludf.DUMMYFUNCTION("""COMPUTED_VALUE"""),15.0)</f>
        <v>15</v>
      </c>
      <c r="D10" s="6"/>
      <c r="E10" s="17">
        <v>9.0</v>
      </c>
      <c r="F10" s="6" t="str">
        <f>IFERROR(__xludf.DUMMYFUNCTION("""COMPUTED_VALUE"""),"Saint Francis")</f>
        <v>Saint Francis</v>
      </c>
      <c r="G10" s="6">
        <f>IFERROR(__xludf.DUMMYFUNCTION("""COMPUTED_VALUE"""),13.0)</f>
        <v>13</v>
      </c>
      <c r="H10" s="6"/>
      <c r="I10" s="17">
        <v>9.0</v>
      </c>
      <c r="J10" s="6" t="str">
        <f>IFERROR(__xludf.DUMMYFUNCTION("""COMPUTED_VALUE"""),"Saint Francis")</f>
        <v>Saint Francis</v>
      </c>
      <c r="K10" s="6">
        <f>IFERROR(__xludf.DUMMYFUNCTION("""COMPUTED_VALUE"""),11.5)</f>
        <v>11.5</v>
      </c>
      <c r="L10" s="6"/>
      <c r="M10" s="17">
        <v>7.0</v>
      </c>
      <c r="N10" s="6" t="str">
        <f>IFERROR(__xludf.DUMMYFUNCTION("""COMPUTED_VALUE"""),"Mission San Jose A")</f>
        <v>Mission San Jose A</v>
      </c>
      <c r="O10" s="6">
        <f>IFERROR(__xludf.DUMMYFUNCTION("""COMPUTED_VALUE"""),10.0)</f>
        <v>10</v>
      </c>
      <c r="P10" s="6"/>
      <c r="Q10" s="17">
        <v>5.0</v>
      </c>
      <c r="R10" s="6" t="str">
        <f>IFERROR(__xludf.DUMMYFUNCTION("""COMPUTED_VALUE"""),"Lynbrook B")</f>
        <v>Lynbrook B</v>
      </c>
      <c r="S10" s="6">
        <f>IFERROR(__xludf.DUMMYFUNCTION("""COMPUTED_VALUE"""),14.0)</f>
        <v>14</v>
      </c>
      <c r="T10" s="6"/>
      <c r="U10" s="19">
        <v>9.0</v>
      </c>
      <c r="V10" s="10" t="str">
        <f>IFERROR(__xludf.DUMMYFUNCTION("""COMPUTED_VALUE"""),"Palo Alto B")</f>
        <v>Palo Alto B</v>
      </c>
      <c r="W10" s="20">
        <f>IFERROR(__xludf.DUMMYFUNCTION("""COMPUTED_VALUE"""),11.0)</f>
        <v>11</v>
      </c>
      <c r="X10" s="6"/>
      <c r="Y10" s="6"/>
      <c r="Z10" s="6"/>
    </row>
    <row r="11">
      <c r="A11" s="17">
        <v>10.0</v>
      </c>
      <c r="B11" s="6" t="str">
        <f>IFERROR(__xludf.DUMMYFUNCTION("""COMPUTED_VALUE"""),"Lynbrook B")</f>
        <v>Lynbrook B</v>
      </c>
      <c r="C11" s="6">
        <f>IFERROR(__xludf.DUMMYFUNCTION("""COMPUTED_VALUE"""),13.5)</f>
        <v>13.5</v>
      </c>
      <c r="D11" s="6"/>
      <c r="E11" s="17">
        <v>10.0</v>
      </c>
      <c r="F11" s="6" t="str">
        <f>IFERROR(__xludf.DUMMYFUNCTION("""COMPUTED_VALUE"""),"BASIS Independent A")</f>
        <v>BASIS Independent A</v>
      </c>
      <c r="G11" s="6">
        <f>IFERROR(__xludf.DUMMYFUNCTION("""COMPUTED_VALUE"""),10.5)</f>
        <v>10.5</v>
      </c>
      <c r="H11" s="6"/>
      <c r="I11" s="17">
        <v>10.0</v>
      </c>
      <c r="J11" s="6" t="str">
        <f>IFERROR(__xludf.DUMMYFUNCTION("""COMPUTED_VALUE"""),"BASIS Independent A")</f>
        <v>BASIS Independent A</v>
      </c>
      <c r="K11" s="6">
        <f>IFERROR(__xludf.DUMMYFUNCTION("""COMPUTED_VALUE"""),11.0)</f>
        <v>11</v>
      </c>
      <c r="L11" s="6"/>
      <c r="M11" s="17">
        <v>10.0</v>
      </c>
      <c r="N11" s="6" t="str">
        <f>IFERROR(__xludf.DUMMYFUNCTION("""COMPUTED_VALUE"""),"North Hollywood")</f>
        <v>North Hollywood</v>
      </c>
      <c r="O11" s="6">
        <f>IFERROR(__xludf.DUMMYFUNCTION("""COMPUTED_VALUE"""),9.0)</f>
        <v>9</v>
      </c>
      <c r="P11" s="6"/>
      <c r="Q11" s="17">
        <v>10.0</v>
      </c>
      <c r="R11" s="6" t="str">
        <f>IFERROR(__xludf.DUMMYFUNCTION("""COMPUTED_VALUE"""),"American A")</f>
        <v>American A</v>
      </c>
      <c r="S11" s="6">
        <f>IFERROR(__xludf.DUMMYFUNCTION("""COMPUTED_VALUE"""),13.5)</f>
        <v>13.5</v>
      </c>
      <c r="T11" s="6"/>
      <c r="U11" s="19">
        <v>10.0</v>
      </c>
      <c r="V11" s="10" t="str">
        <f>IFERROR(__xludf.DUMMYFUNCTION("""COMPUTED_VALUE"""),"American A")</f>
        <v>American A</v>
      </c>
      <c r="W11" s="20">
        <f>IFERROR(__xludf.DUMMYFUNCTION("""COMPUTED_VALUE"""),10.0)</f>
        <v>10</v>
      </c>
      <c r="X11" s="6"/>
      <c r="Y11" s="6"/>
      <c r="Z11" s="6"/>
    </row>
    <row r="12">
      <c r="A12" s="17">
        <v>11.0</v>
      </c>
      <c r="B12" s="6" t="str">
        <f>IFERROR(__xludf.DUMMYFUNCTION("""COMPUTED_VALUE"""),"Foothill A")</f>
        <v>Foothill A</v>
      </c>
      <c r="C12" s="15">
        <f>IFERROR(__xludf.DUMMYFUNCTION("""COMPUTED_VALUE"""),11.5)</f>
        <v>11.5</v>
      </c>
      <c r="D12" s="6"/>
      <c r="E12" s="17">
        <v>11.0</v>
      </c>
      <c r="F12" s="6" t="str">
        <f>IFERROR(__xludf.DUMMYFUNCTION("""COMPUTED_VALUE"""),"American A")</f>
        <v>American A</v>
      </c>
      <c r="G12" s="6">
        <f>IFERROR(__xludf.DUMMYFUNCTION("""COMPUTED_VALUE"""),9.0)</f>
        <v>9</v>
      </c>
      <c r="H12" s="6"/>
      <c r="I12" s="17">
        <v>10.0</v>
      </c>
      <c r="J12" s="6" t="str">
        <f>IFERROR(__xludf.DUMMYFUNCTION("""COMPUTED_VALUE"""),"Mira Loma B")</f>
        <v>Mira Loma B</v>
      </c>
      <c r="K12" s="6">
        <f>IFERROR(__xludf.DUMMYFUNCTION("""COMPUTED_VALUE"""),11.0)</f>
        <v>11</v>
      </c>
      <c r="L12" s="6"/>
      <c r="M12" s="17">
        <v>11.0</v>
      </c>
      <c r="N12" s="6" t="str">
        <f>IFERROR(__xludf.DUMMYFUNCTION("""COMPUTED_VALUE"""),"BASIS Independent A")</f>
        <v>BASIS Independent A</v>
      </c>
      <c r="O12" s="6">
        <f>IFERROR(__xludf.DUMMYFUNCTION("""COMPUTED_VALUE"""),7.5)</f>
        <v>7.5</v>
      </c>
      <c r="P12" s="6"/>
      <c r="Q12" s="17">
        <v>11.0</v>
      </c>
      <c r="R12" s="6" t="str">
        <f>IFERROR(__xludf.DUMMYFUNCTION("""COMPUTED_VALUE"""),"Mission San Jose B")</f>
        <v>Mission San Jose B</v>
      </c>
      <c r="S12" s="6">
        <f>IFERROR(__xludf.DUMMYFUNCTION("""COMPUTED_VALUE"""),12.5)</f>
        <v>12.5</v>
      </c>
      <c r="T12" s="6"/>
      <c r="U12" s="19">
        <v>11.0</v>
      </c>
      <c r="V12" s="10" t="str">
        <f>IFERROR(__xludf.DUMMYFUNCTION("""COMPUTED_VALUE"""),"Dougherty Valley A")</f>
        <v>Dougherty Valley A</v>
      </c>
      <c r="W12" s="20">
        <f>IFERROR(__xludf.DUMMYFUNCTION("""COMPUTED_VALUE"""),9.5)</f>
        <v>9.5</v>
      </c>
      <c r="X12" s="6"/>
      <c r="Y12" s="6"/>
      <c r="Z12" s="6"/>
    </row>
    <row r="13">
      <c r="A13" s="17">
        <v>11.0</v>
      </c>
      <c r="B13" s="6" t="str">
        <f>IFERROR(__xludf.DUMMYFUNCTION("""COMPUTED_VALUE"""),"American A")</f>
        <v>American A</v>
      </c>
      <c r="C13" s="6">
        <f>IFERROR(__xludf.DUMMYFUNCTION("""COMPUTED_VALUE"""),11.5)</f>
        <v>11.5</v>
      </c>
      <c r="D13" s="6"/>
      <c r="E13" s="17">
        <v>11.0</v>
      </c>
      <c r="F13" s="6" t="str">
        <f>IFERROR(__xludf.DUMMYFUNCTION("""COMPUTED_VALUE"""),"Lynbrook B")</f>
        <v>Lynbrook B</v>
      </c>
      <c r="G13" s="6">
        <f>IFERROR(__xludf.DUMMYFUNCTION("""COMPUTED_VALUE"""),9.0)</f>
        <v>9</v>
      </c>
      <c r="H13" s="6"/>
      <c r="I13" s="17">
        <v>12.0</v>
      </c>
      <c r="J13" s="6" t="str">
        <f>IFERROR(__xludf.DUMMYFUNCTION("""COMPUTED_VALUE"""),"Lynbrook B")</f>
        <v>Lynbrook B</v>
      </c>
      <c r="K13" s="6">
        <f>IFERROR(__xludf.DUMMYFUNCTION("""COMPUTED_VALUE"""),10.5)</f>
        <v>10.5</v>
      </c>
      <c r="L13" s="6"/>
      <c r="M13" s="17">
        <v>12.0</v>
      </c>
      <c r="N13" s="6" t="str">
        <f>IFERROR(__xludf.DUMMYFUNCTION("""COMPUTED_VALUE"""),"Canyon Crest A")</f>
        <v>Canyon Crest A</v>
      </c>
      <c r="O13" s="6">
        <f>IFERROR(__xludf.DUMMYFUNCTION("""COMPUTED_VALUE"""),7.0)</f>
        <v>7</v>
      </c>
      <c r="P13" s="6"/>
      <c r="Q13" s="17">
        <v>12.0</v>
      </c>
      <c r="R13" s="6" t="str">
        <f>IFERROR(__xludf.DUMMYFUNCTION("""COMPUTED_VALUE"""),"Cupertino A")</f>
        <v>Cupertino A</v>
      </c>
      <c r="S13" s="6">
        <f>IFERROR(__xludf.DUMMYFUNCTION("""COMPUTED_VALUE"""),12.0)</f>
        <v>12</v>
      </c>
      <c r="T13" s="6"/>
      <c r="U13" s="19">
        <v>11.0</v>
      </c>
      <c r="V13" s="10" t="str">
        <f>IFERROR(__xludf.DUMMYFUNCTION("""COMPUTED_VALUE"""),"Amador Valley A")</f>
        <v>Amador Valley A</v>
      </c>
      <c r="W13" s="20">
        <f>IFERROR(__xludf.DUMMYFUNCTION("""COMPUTED_VALUE"""),9.5)</f>
        <v>9.5</v>
      </c>
      <c r="X13" s="6"/>
      <c r="Y13" s="6"/>
      <c r="Z13" s="6"/>
    </row>
    <row r="14">
      <c r="A14" s="17">
        <v>11.0</v>
      </c>
      <c r="B14" s="6" t="str">
        <f>IFERROR(__xludf.DUMMYFUNCTION("""COMPUTED_VALUE"""),"Stanford Online")</f>
        <v>Stanford Online</v>
      </c>
      <c r="C14" s="6">
        <f>IFERROR(__xludf.DUMMYFUNCTION("""COMPUTED_VALUE"""),11.5)</f>
        <v>11.5</v>
      </c>
      <c r="D14" s="6"/>
      <c r="E14" s="17">
        <v>13.0</v>
      </c>
      <c r="F14" s="6" t="str">
        <f>IFERROR(__xludf.DUMMYFUNCTION("""COMPUTED_VALUE"""),"California B")</f>
        <v>California B</v>
      </c>
      <c r="G14" s="6">
        <f>IFERROR(__xludf.DUMMYFUNCTION("""COMPUTED_VALUE"""),8.0)</f>
        <v>8</v>
      </c>
      <c r="H14" s="6"/>
      <c r="I14" s="17">
        <v>13.0</v>
      </c>
      <c r="J14" s="6" t="str">
        <f>IFERROR(__xludf.DUMMYFUNCTION("""COMPUTED_VALUE"""),"Monta Vista A")</f>
        <v>Monta Vista A</v>
      </c>
      <c r="K14" s="6">
        <f>IFERROR(__xludf.DUMMYFUNCTION("""COMPUTED_VALUE"""),9.0)</f>
        <v>9</v>
      </c>
      <c r="L14" s="6"/>
      <c r="M14" s="17">
        <v>13.0</v>
      </c>
      <c r="N14" s="6" t="str">
        <f>IFERROR(__xludf.DUMMYFUNCTION("""COMPUTED_VALUE"""),"Mission San Jose B")</f>
        <v>Mission San Jose B</v>
      </c>
      <c r="O14" s="6">
        <f>IFERROR(__xludf.DUMMYFUNCTION("""COMPUTED_VALUE"""),6.5)</f>
        <v>6.5</v>
      </c>
      <c r="P14" s="6"/>
      <c r="Q14" s="17">
        <v>12.0</v>
      </c>
      <c r="R14" s="6" t="str">
        <f>IFERROR(__xludf.DUMMYFUNCTION("""COMPUTED_VALUE"""),"Dougherty Valley A")</f>
        <v>Dougherty Valley A</v>
      </c>
      <c r="S14" s="6">
        <f>IFERROR(__xludf.DUMMYFUNCTION("""COMPUTED_VALUE"""),12.0)</f>
        <v>12</v>
      </c>
      <c r="T14" s="6"/>
      <c r="U14" s="19">
        <v>13.0</v>
      </c>
      <c r="V14" s="10" t="str">
        <f>IFERROR(__xludf.DUMMYFUNCTION("""COMPUTED_VALUE"""),"California A")</f>
        <v>California A</v>
      </c>
      <c r="W14" s="20">
        <f>IFERROR(__xludf.DUMMYFUNCTION("""COMPUTED_VALUE"""),9.0)</f>
        <v>9</v>
      </c>
      <c r="X14" s="6"/>
      <c r="Y14" s="6"/>
      <c r="Z14" s="6"/>
    </row>
    <row r="15">
      <c r="A15" s="17">
        <v>14.0</v>
      </c>
      <c r="B15" s="6" t="str">
        <f>IFERROR(__xludf.DUMMYFUNCTION("""COMPUTED_VALUE"""),"Saint Francis")</f>
        <v>Saint Francis</v>
      </c>
      <c r="C15" s="6">
        <f>IFERROR(__xludf.DUMMYFUNCTION("""COMPUTED_VALUE"""),10.5)</f>
        <v>10.5</v>
      </c>
      <c r="D15" s="6"/>
      <c r="E15" s="17">
        <v>13.0</v>
      </c>
      <c r="F15" s="6" t="str">
        <f>IFERROR(__xludf.DUMMYFUNCTION("""COMPUTED_VALUE"""),"Dougherty Valley A")</f>
        <v>Dougherty Valley A</v>
      </c>
      <c r="G15" s="6">
        <f>IFERROR(__xludf.DUMMYFUNCTION("""COMPUTED_VALUE"""),8.0)</f>
        <v>8</v>
      </c>
      <c r="H15" s="6"/>
      <c r="I15" s="17">
        <v>14.0</v>
      </c>
      <c r="J15" s="6" t="str">
        <f>IFERROR(__xludf.DUMMYFUNCTION("""COMPUTED_VALUE"""),"Palo Alto A")</f>
        <v>Palo Alto A</v>
      </c>
      <c r="K15" s="6">
        <f>IFERROR(__xludf.DUMMYFUNCTION("""COMPUTED_VALUE"""),7.5)</f>
        <v>7.5</v>
      </c>
      <c r="L15" s="6"/>
      <c r="M15" s="17">
        <v>14.0</v>
      </c>
      <c r="N15" s="6" t="str">
        <f>IFERROR(__xludf.DUMMYFUNCTION("""COMPUTED_VALUE"""),"American A")</f>
        <v>American A</v>
      </c>
      <c r="O15" s="6">
        <f>IFERROR(__xludf.DUMMYFUNCTION("""COMPUTED_VALUE"""),6.0)</f>
        <v>6</v>
      </c>
      <c r="P15" s="6"/>
      <c r="Q15" s="17">
        <v>14.0</v>
      </c>
      <c r="R15" s="6" t="str">
        <f>IFERROR(__xludf.DUMMYFUNCTION("""COMPUTED_VALUE"""),"Mission San Jose A")</f>
        <v>Mission San Jose A</v>
      </c>
      <c r="S15" s="6">
        <f>IFERROR(__xludf.DUMMYFUNCTION("""COMPUTED_VALUE"""),11.5)</f>
        <v>11.5</v>
      </c>
      <c r="T15" s="6"/>
      <c r="U15" s="19">
        <v>14.0</v>
      </c>
      <c r="V15" s="10" t="str">
        <f>IFERROR(__xludf.DUMMYFUNCTION("""COMPUTED_VALUE"""),"Foothill B")</f>
        <v>Foothill B</v>
      </c>
      <c r="W15" s="20">
        <f>IFERROR(__xludf.DUMMYFUNCTION("""COMPUTED_VALUE"""),8.0)</f>
        <v>8</v>
      </c>
      <c r="X15" s="6"/>
      <c r="Y15" s="6"/>
      <c r="Z15" s="6"/>
    </row>
    <row r="16">
      <c r="A16" s="17">
        <v>14.0</v>
      </c>
      <c r="B16" s="6" t="str">
        <f>IFERROR(__xludf.DUMMYFUNCTION("""COMPUTED_VALUE"""),"California A")</f>
        <v>California A</v>
      </c>
      <c r="C16" s="6">
        <f>IFERROR(__xludf.DUMMYFUNCTION("""COMPUTED_VALUE"""),10.5)</f>
        <v>10.5</v>
      </c>
      <c r="D16" s="6"/>
      <c r="E16" s="17">
        <v>15.0</v>
      </c>
      <c r="F16" s="6" t="str">
        <f>IFERROR(__xludf.DUMMYFUNCTION("""COMPUTED_VALUE"""),"BASIS Independent B")</f>
        <v>BASIS Independent B</v>
      </c>
      <c r="G16" s="6">
        <f>IFERROR(__xludf.DUMMYFUNCTION("""COMPUTED_VALUE"""),7.5)</f>
        <v>7.5</v>
      </c>
      <c r="H16" s="6"/>
      <c r="I16" s="17">
        <v>15.0</v>
      </c>
      <c r="J16" s="6" t="str">
        <f>IFERROR(__xludf.DUMMYFUNCTION("""COMPUTED_VALUE"""),"North Hollywood")</f>
        <v>North Hollywood</v>
      </c>
      <c r="K16" s="6">
        <f>IFERROR(__xludf.DUMMYFUNCTION("""COMPUTED_VALUE"""),7.0)</f>
        <v>7</v>
      </c>
      <c r="L16" s="6"/>
      <c r="M16" s="17">
        <v>14.0</v>
      </c>
      <c r="N16" s="6" t="str">
        <f>IFERROR(__xludf.DUMMYFUNCTION("""COMPUTED_VALUE"""),"Monta Vista A")</f>
        <v>Monta Vista A</v>
      </c>
      <c r="O16" s="6">
        <f>IFERROR(__xludf.DUMMYFUNCTION("""COMPUTED_VALUE"""),6.0)</f>
        <v>6</v>
      </c>
      <c r="P16" s="6"/>
      <c r="Q16" s="17">
        <v>14.0</v>
      </c>
      <c r="R16" s="6" t="str">
        <f>IFERROR(__xludf.DUMMYFUNCTION("""COMPUTED_VALUE"""),"Lynbrook A")</f>
        <v>Lynbrook A</v>
      </c>
      <c r="S16" s="6">
        <f>IFERROR(__xludf.DUMMYFUNCTION("""COMPUTED_VALUE"""),11.5)</f>
        <v>11.5</v>
      </c>
      <c r="T16" s="6"/>
      <c r="U16" s="19">
        <v>15.0</v>
      </c>
      <c r="V16" s="10" t="str">
        <f>IFERROR(__xludf.DUMMYFUNCTION("""COMPUTED_VALUE"""),"BASIS Independent A")</f>
        <v>BASIS Independent A</v>
      </c>
      <c r="W16" s="20">
        <f>IFERROR(__xludf.DUMMYFUNCTION("""COMPUTED_VALUE"""),7.5)</f>
        <v>7.5</v>
      </c>
      <c r="X16" s="6"/>
      <c r="Y16" s="6"/>
      <c r="Z16" s="6"/>
    </row>
    <row r="17">
      <c r="A17" s="17">
        <v>14.0</v>
      </c>
      <c r="B17" s="6" t="str">
        <f>IFERROR(__xludf.DUMMYFUNCTION("""COMPUTED_VALUE"""),"Cupertino B")</f>
        <v>Cupertino B</v>
      </c>
      <c r="C17" s="6">
        <f>IFERROR(__xludf.DUMMYFUNCTION("""COMPUTED_VALUE"""),10.5)</f>
        <v>10.5</v>
      </c>
      <c r="D17" s="6"/>
      <c r="E17" s="17">
        <v>15.0</v>
      </c>
      <c r="F17" s="6" t="str">
        <f>IFERROR(__xludf.DUMMYFUNCTION("""COMPUTED_VALUE"""),"Foothill B")</f>
        <v>Foothill B</v>
      </c>
      <c r="G17" s="6">
        <f>IFERROR(__xludf.DUMMYFUNCTION("""COMPUTED_VALUE"""),7.5)</f>
        <v>7.5</v>
      </c>
      <c r="H17" s="6"/>
      <c r="I17" s="17">
        <v>16.0</v>
      </c>
      <c r="J17" s="6" t="str">
        <f>IFERROR(__xludf.DUMMYFUNCTION("""COMPUTED_VALUE"""),"BASIS Independent B")</f>
        <v>BASIS Independent B</v>
      </c>
      <c r="K17" s="6">
        <f>IFERROR(__xludf.DUMMYFUNCTION("""COMPUTED_VALUE"""),6.0)</f>
        <v>6</v>
      </c>
      <c r="L17" s="6"/>
      <c r="M17" s="17">
        <v>16.0</v>
      </c>
      <c r="N17" s="6" t="str">
        <f>IFERROR(__xludf.DUMMYFUNCTION("""COMPUTED_VALUE"""),"Lynbrook C")</f>
        <v>Lynbrook C</v>
      </c>
      <c r="O17" s="6">
        <f>IFERROR(__xludf.DUMMYFUNCTION("""COMPUTED_VALUE"""),5.5)</f>
        <v>5.5</v>
      </c>
      <c r="P17" s="6"/>
      <c r="Q17" s="17">
        <v>16.0</v>
      </c>
      <c r="R17" s="6" t="str">
        <f>IFERROR(__xludf.DUMMYFUNCTION("""COMPUTED_VALUE"""),"Archbishop Mitty B")</f>
        <v>Archbishop Mitty B</v>
      </c>
      <c r="S17" s="6">
        <f>IFERROR(__xludf.DUMMYFUNCTION("""COMPUTED_VALUE"""),11.0)</f>
        <v>11</v>
      </c>
      <c r="T17" s="6"/>
      <c r="U17" s="19">
        <v>15.0</v>
      </c>
      <c r="V17" s="10" t="str">
        <f>IFERROR(__xludf.DUMMYFUNCTION("""COMPUTED_VALUE"""),"Canyon Crest B")</f>
        <v>Canyon Crest B</v>
      </c>
      <c r="W17" s="20">
        <f>IFERROR(__xludf.DUMMYFUNCTION("""COMPUTED_VALUE"""),7.5)</f>
        <v>7.5</v>
      </c>
      <c r="X17" s="6"/>
      <c r="Y17" s="6"/>
      <c r="Z17" s="6"/>
    </row>
    <row r="18">
      <c r="A18" s="17">
        <v>14.0</v>
      </c>
      <c r="B18" s="6" t="str">
        <f>IFERROR(__xludf.DUMMYFUNCTION("""COMPUTED_VALUE"""),"Monta Vista A")</f>
        <v>Monta Vista A</v>
      </c>
      <c r="C18" s="6">
        <f>IFERROR(__xludf.DUMMYFUNCTION("""COMPUTED_VALUE"""),10.5)</f>
        <v>10.5</v>
      </c>
      <c r="D18" s="6"/>
      <c r="E18" s="17">
        <v>15.0</v>
      </c>
      <c r="F18" s="6" t="str">
        <f>IFERROR(__xludf.DUMMYFUNCTION("""COMPUTED_VALUE"""),"Stanford Online")</f>
        <v>Stanford Online</v>
      </c>
      <c r="G18" s="6">
        <f>IFERROR(__xludf.DUMMYFUNCTION("""COMPUTED_VALUE"""),7.5)</f>
        <v>7.5</v>
      </c>
      <c r="H18" s="6"/>
      <c r="I18" s="17">
        <v>16.0</v>
      </c>
      <c r="J18" s="6" t="str">
        <f>IFERROR(__xludf.DUMMYFUNCTION("""COMPUTED_VALUE"""),"Archbishop Mitty A")</f>
        <v>Archbishop Mitty A</v>
      </c>
      <c r="K18" s="6">
        <f>IFERROR(__xludf.DUMMYFUNCTION("""COMPUTED_VALUE"""),6.0)</f>
        <v>6</v>
      </c>
      <c r="L18" s="6"/>
      <c r="M18" s="17">
        <v>16.0</v>
      </c>
      <c r="N18" s="6" t="str">
        <f>IFERROR(__xludf.DUMMYFUNCTION("""COMPUTED_VALUE"""),"Dougherty Valley B")</f>
        <v>Dougherty Valley B</v>
      </c>
      <c r="O18" s="6">
        <f>IFERROR(__xludf.DUMMYFUNCTION("""COMPUTED_VALUE"""),5.5)</f>
        <v>5.5</v>
      </c>
      <c r="P18" s="6"/>
      <c r="Q18" s="17">
        <v>17.0</v>
      </c>
      <c r="R18" s="6" t="str">
        <f>IFERROR(__xludf.DUMMYFUNCTION("""COMPUTED_VALUE"""),"Saint Francis")</f>
        <v>Saint Francis</v>
      </c>
      <c r="S18" s="6">
        <f>IFERROR(__xludf.DUMMYFUNCTION("""COMPUTED_VALUE"""),9.0)</f>
        <v>9</v>
      </c>
      <c r="T18" s="6"/>
      <c r="U18" s="19">
        <v>15.0</v>
      </c>
      <c r="V18" s="10" t="str">
        <f>IFERROR(__xludf.DUMMYFUNCTION("""COMPUTED_VALUE"""),"Palo Alto A")</f>
        <v>Palo Alto A</v>
      </c>
      <c r="W18" s="20">
        <f>IFERROR(__xludf.DUMMYFUNCTION("""COMPUTED_VALUE"""),7.5)</f>
        <v>7.5</v>
      </c>
      <c r="X18" s="6"/>
      <c r="Y18" s="6"/>
      <c r="Z18" s="6"/>
    </row>
    <row r="19">
      <c r="A19" s="17">
        <v>18.0</v>
      </c>
      <c r="B19" s="6" t="str">
        <f>IFERROR(__xludf.DUMMYFUNCTION("""COMPUTED_VALUE"""),"American B")</f>
        <v>American B</v>
      </c>
      <c r="C19" s="6">
        <f>IFERROR(__xludf.DUMMYFUNCTION("""COMPUTED_VALUE"""),10.0)</f>
        <v>10</v>
      </c>
      <c r="D19" s="6"/>
      <c r="E19" s="17">
        <v>18.0</v>
      </c>
      <c r="F19" s="6" t="str">
        <f>IFERROR(__xludf.DUMMYFUNCTION("""COMPUTED_VALUE"""),"Mission San Jose B")</f>
        <v>Mission San Jose B</v>
      </c>
      <c r="G19" s="6">
        <f>IFERROR(__xludf.DUMMYFUNCTION("""COMPUTED_VALUE"""),7.0)</f>
        <v>7</v>
      </c>
      <c r="H19" s="6"/>
      <c r="I19" s="17">
        <v>16.0</v>
      </c>
      <c r="J19" s="6" t="str">
        <f>IFERROR(__xludf.DUMMYFUNCTION("""COMPUTED_VALUE"""),"Dougherty Valley A")</f>
        <v>Dougherty Valley A</v>
      </c>
      <c r="K19" s="6">
        <f>IFERROR(__xludf.DUMMYFUNCTION("""COMPUTED_VALUE"""),6.0)</f>
        <v>6</v>
      </c>
      <c r="L19" s="6"/>
      <c r="M19" s="17">
        <v>18.0</v>
      </c>
      <c r="N19" s="6" t="str">
        <f>IFERROR(__xludf.DUMMYFUNCTION("""COMPUTED_VALUE"""),"BASIS Independent B")</f>
        <v>BASIS Independent B</v>
      </c>
      <c r="O19" s="6">
        <f>IFERROR(__xludf.DUMMYFUNCTION("""COMPUTED_VALUE"""),5.0)</f>
        <v>5</v>
      </c>
      <c r="P19" s="6"/>
      <c r="Q19" s="17">
        <v>17.0</v>
      </c>
      <c r="R19" s="6" t="str">
        <f>IFERROR(__xludf.DUMMYFUNCTION("""COMPUTED_VALUE"""),"Mira Loma B")</f>
        <v>Mira Loma B</v>
      </c>
      <c r="S19" s="6">
        <f>IFERROR(__xludf.DUMMYFUNCTION("""COMPUTED_VALUE"""),9.0)</f>
        <v>9</v>
      </c>
      <c r="T19" s="6"/>
      <c r="U19" s="19">
        <v>18.0</v>
      </c>
      <c r="V19" s="10" t="str">
        <f>IFERROR(__xludf.DUMMYFUNCTION("""COMPUTED_VALUE"""),"Lynbrook C")</f>
        <v>Lynbrook C</v>
      </c>
      <c r="W19" s="20">
        <f>IFERROR(__xludf.DUMMYFUNCTION("""COMPUTED_VALUE"""),7.0)</f>
        <v>7</v>
      </c>
      <c r="X19" s="6"/>
      <c r="Y19" s="6"/>
      <c r="Z19" s="6"/>
    </row>
    <row r="20">
      <c r="A20" s="17">
        <v>19.0</v>
      </c>
      <c r="B20" s="6" t="str">
        <f>IFERROR(__xludf.DUMMYFUNCTION("""COMPUTED_VALUE"""),"Mira Loma B")</f>
        <v>Mira Loma B</v>
      </c>
      <c r="C20" s="6">
        <f>IFERROR(__xludf.DUMMYFUNCTION("""COMPUTED_VALUE"""),9.5)</f>
        <v>9.5</v>
      </c>
      <c r="D20" s="6"/>
      <c r="E20" s="17">
        <v>19.0</v>
      </c>
      <c r="F20" s="6" t="str">
        <f>IFERROR(__xludf.DUMMYFUNCTION("""COMPUTED_VALUE"""),"North Hollywood")</f>
        <v>North Hollywood</v>
      </c>
      <c r="G20" s="6">
        <f>IFERROR(__xludf.DUMMYFUNCTION("""COMPUTED_VALUE"""),6.5)</f>
        <v>6.5</v>
      </c>
      <c r="H20" s="6"/>
      <c r="I20" s="17">
        <v>19.0</v>
      </c>
      <c r="J20" s="6" t="str">
        <f>IFERROR(__xludf.DUMMYFUNCTION("""COMPUTED_VALUE"""),"Saratoga")</f>
        <v>Saratoga</v>
      </c>
      <c r="K20" s="6">
        <f>IFERROR(__xludf.DUMMYFUNCTION("""COMPUTED_VALUE"""),5.5)</f>
        <v>5.5</v>
      </c>
      <c r="L20" s="6"/>
      <c r="M20" s="17">
        <v>18.0</v>
      </c>
      <c r="N20" s="6" t="str">
        <f>IFERROR(__xludf.DUMMYFUNCTION("""COMPUTED_VALUE"""),"Palo Alto A")</f>
        <v>Palo Alto A</v>
      </c>
      <c r="O20" s="6">
        <f>IFERROR(__xludf.DUMMYFUNCTION("""COMPUTED_VALUE"""),5.0)</f>
        <v>5</v>
      </c>
      <c r="P20" s="6"/>
      <c r="Q20" s="17">
        <v>19.0</v>
      </c>
      <c r="R20" s="6" t="str">
        <f>IFERROR(__xludf.DUMMYFUNCTION("""COMPUTED_VALUE"""),"Foothill B")</f>
        <v>Foothill B</v>
      </c>
      <c r="S20" s="6">
        <f>IFERROR(__xludf.DUMMYFUNCTION("""COMPUTED_VALUE"""),8.0)</f>
        <v>8</v>
      </c>
      <c r="T20" s="6"/>
      <c r="U20" s="19">
        <v>19.0</v>
      </c>
      <c r="V20" s="10" t="str">
        <f>IFERROR(__xludf.DUMMYFUNCTION("""COMPUTED_VALUE"""),"Lynbrook B")</f>
        <v>Lynbrook B</v>
      </c>
      <c r="W20" s="20">
        <f>IFERROR(__xludf.DUMMYFUNCTION("""COMPUTED_VALUE"""),6.5)</f>
        <v>6.5</v>
      </c>
      <c r="X20" s="6"/>
      <c r="Y20" s="6"/>
      <c r="Z20" s="6"/>
    </row>
    <row r="21">
      <c r="A21" s="17">
        <v>19.0</v>
      </c>
      <c r="B21" s="6" t="str">
        <f>IFERROR(__xludf.DUMMYFUNCTION("""COMPUTED_VALUE"""),"Palo Alto A")</f>
        <v>Palo Alto A</v>
      </c>
      <c r="C21" s="6">
        <f>IFERROR(__xludf.DUMMYFUNCTION("""COMPUTED_VALUE"""),9.5)</f>
        <v>9.5</v>
      </c>
      <c r="D21" s="6"/>
      <c r="E21" s="17">
        <v>20.0</v>
      </c>
      <c r="F21" s="6" t="str">
        <f>IFERROR(__xludf.DUMMYFUNCTION("""COMPUTED_VALUE"""),"Archbishop Mitty A")</f>
        <v>Archbishop Mitty A</v>
      </c>
      <c r="G21" s="6">
        <f>IFERROR(__xludf.DUMMYFUNCTION("""COMPUTED_VALUE"""),6.0)</f>
        <v>6</v>
      </c>
      <c r="H21" s="6"/>
      <c r="I21" s="17">
        <v>19.0</v>
      </c>
      <c r="J21" s="6" t="str">
        <f>IFERROR(__xludf.DUMMYFUNCTION("""COMPUTED_VALUE"""),"American A")</f>
        <v>American A</v>
      </c>
      <c r="K21" s="6">
        <f>IFERROR(__xludf.DUMMYFUNCTION("""COMPUTED_VALUE"""),5.5)</f>
        <v>5.5</v>
      </c>
      <c r="L21" s="6"/>
      <c r="M21" s="17">
        <v>18.0</v>
      </c>
      <c r="N21" s="6" t="str">
        <f>IFERROR(__xludf.DUMMYFUNCTION("""COMPUTED_VALUE"""),"Dougherty Valley A")</f>
        <v>Dougherty Valley A</v>
      </c>
      <c r="O21" s="6">
        <f>IFERROR(__xludf.DUMMYFUNCTION("""COMPUTED_VALUE"""),5.0)</f>
        <v>5</v>
      </c>
      <c r="P21" s="6"/>
      <c r="Q21" s="17">
        <v>20.0</v>
      </c>
      <c r="R21" s="6" t="str">
        <f>IFERROR(__xludf.DUMMYFUNCTION("""COMPUTED_VALUE"""),"Palo Alto A")</f>
        <v>Palo Alto A</v>
      </c>
      <c r="S21" s="6">
        <f>IFERROR(__xludf.DUMMYFUNCTION("""COMPUTED_VALUE"""),7.0)</f>
        <v>7</v>
      </c>
      <c r="T21" s="6"/>
      <c r="U21" s="19">
        <v>20.0</v>
      </c>
      <c r="V21" s="10" t="str">
        <f>IFERROR(__xludf.DUMMYFUNCTION("""COMPUTED_VALUE"""),"Mira Loma B")</f>
        <v>Mira Loma B</v>
      </c>
      <c r="W21" s="20">
        <f>IFERROR(__xludf.DUMMYFUNCTION("""COMPUTED_VALUE"""),5.0)</f>
        <v>5</v>
      </c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3" t="s">
        <v>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B1:C1"/>
    <mergeCell ref="F1:G1"/>
    <mergeCell ref="J1:K1"/>
    <mergeCell ref="N1:O1"/>
    <mergeCell ref="R1:S1"/>
    <mergeCell ref="V1:W1"/>
    <mergeCell ref="B23:H23"/>
  </mergeCells>
  <conditionalFormatting sqref="B2:C22 B24:C1000">
    <cfRule type="notContainsBlanks" dxfId="1" priority="1">
      <formula>LEN(TRIM(B2))&gt;0</formula>
    </cfRule>
  </conditionalFormatting>
  <conditionalFormatting sqref="J2:K1000">
    <cfRule type="notContainsBlanks" dxfId="2" priority="2">
      <formula>LEN(TRIM(J2))&gt;0</formula>
    </cfRule>
  </conditionalFormatting>
  <conditionalFormatting sqref="F2:G22 F24:G1000">
    <cfRule type="notContainsBlanks" dxfId="3" priority="3">
      <formula>LEN(TRIM(F2))&gt;0</formula>
    </cfRule>
  </conditionalFormatting>
  <conditionalFormatting sqref="N2:O1000">
    <cfRule type="notContainsBlanks" dxfId="3" priority="4">
      <formula>LEN(TRIM(N2))&gt;0</formula>
    </cfRule>
  </conditionalFormatting>
  <conditionalFormatting sqref="R2:S1000">
    <cfRule type="notContainsBlanks" dxfId="2" priority="5">
      <formula>LEN(TRIM(R2))&gt;0</formula>
    </cfRule>
  </conditionalFormatting>
  <conditionalFormatting sqref="V2:W1000">
    <cfRule type="notContainsBlanks" dxfId="3" priority="6">
      <formula>LEN(TRIM(V2))&gt;0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38"/>
  </cols>
  <sheetData>
    <row r="1">
      <c r="A1" s="5" t="str">
        <f>IFERROR(__xludf.DUMMYFUNCTION("IMPORTRANGE(""https://docs.google.com/spreadsheets/d/1hF3sefURNb_ssJk7SkIRKX6ByBcDxRkk4SZazZtucFY/edit#gid=135815300"",""Round Robin Matchups!A1:W"")"),"Interface Index")</f>
        <v>Interface Index</v>
      </c>
      <c r="B1" s="8" t="str">
        <f>IFERROR(__xludf.DUMMYFUNCTION("""COMPUTED_VALUE"""),"First Team")</f>
        <v>First Team</v>
      </c>
      <c r="C1" s="8" t="str">
        <f>IFERROR(__xludf.DUMMYFUNCTION("""COMPUTED_VALUE"""),"Second Team")</f>
        <v>Second Team</v>
      </c>
      <c r="D1" s="8" t="str">
        <f>IFERROR(__xludf.DUMMYFUNCTION("""COMPUTED_VALUE"""),"Round #")</f>
        <v>Round #</v>
      </c>
      <c r="E1" s="8" t="str">
        <f>IFERROR(__xludf.DUMMYFUNCTION("""COMPUTED_VALUE"""),"Type")</f>
        <v>Type</v>
      </c>
      <c r="F1" s="8" t="str">
        <f>IFERROR(__xludf.DUMMYFUNCTION("""COMPUTED_VALUE"""),"Division")</f>
        <v>Division</v>
      </c>
      <c r="G1" s="8" t="str">
        <f>IFERROR(__xludf.DUMMYFUNCTION("""COMPUTED_VALUE"""),"Room")</f>
        <v>Room</v>
      </c>
      <c r="H1" s="8" t="str">
        <f>IFERROR(__xludf.DUMMYFUNCTION("""COMPUTED_VALUE"""),"Interface ID")</f>
        <v>Interface ID</v>
      </c>
      <c r="I1" s="8" t="str">
        <f>IFERROR(__xludf.DUMMYFUNCTION("""COMPUTED_VALUE"""),"Interface Link")</f>
        <v>Interface Link</v>
      </c>
      <c r="J1" s="8" t="str">
        <f>IFERROR(__xludf.DUMMYFUNCTION("""COMPUTED_VALUE"""),"Round Done")</f>
        <v>Round Done</v>
      </c>
      <c r="K1" s="8" t="str">
        <f>IFERROR(__xludf.DUMMYFUNCTION("""COMPUTED_VALUE"""),"First Team Score")</f>
        <v>First Team Score</v>
      </c>
      <c r="L1" s="8" t="str">
        <f>IFERROR(__xludf.DUMMYFUNCTION("""COMPUTED_VALUE"""),"Second Team Score")</f>
        <v>Second Team Score</v>
      </c>
      <c r="M1" s="8" t="str">
        <f>IFERROR(__xludf.DUMMYFUNCTION("""COMPUTED_VALUE"""),"T1, Student 1")</f>
        <v>T1, Student 1</v>
      </c>
      <c r="N1" s="8" t="str">
        <f>IFERROR(__xludf.DUMMYFUNCTION("""COMPUTED_VALUE"""),"T1, Student 2")</f>
        <v>T1, Student 2</v>
      </c>
      <c r="O1" s="8" t="str">
        <f>IFERROR(__xludf.DUMMYFUNCTION("""COMPUTED_VALUE"""),"T1, Student 3")</f>
        <v>T1, Student 3</v>
      </c>
      <c r="P1" s="8" t="str">
        <f>IFERROR(__xludf.DUMMYFUNCTION("""COMPUTED_VALUE"""),"T1, Student 4")</f>
        <v>T1, Student 4</v>
      </c>
      <c r="Q1" s="8" t="str">
        <f>IFERROR(__xludf.DUMMYFUNCTION("""COMPUTED_VALUE"""),"T1, Student 5")</f>
        <v>T1, Student 5</v>
      </c>
      <c r="R1" s="8" t="str">
        <f>IFERROR(__xludf.DUMMYFUNCTION("""COMPUTED_VALUE"""),"T2, Student 1")</f>
        <v>T2, Student 1</v>
      </c>
      <c r="S1" s="8" t="str">
        <f>IFERROR(__xludf.DUMMYFUNCTION("""COMPUTED_VALUE"""),"T2, Student 2")</f>
        <v>T2, Student 2</v>
      </c>
      <c r="T1" s="8" t="str">
        <f>IFERROR(__xludf.DUMMYFUNCTION("""COMPUTED_VALUE"""),"T2, Student 3")</f>
        <v>T2, Student 3</v>
      </c>
      <c r="U1" s="8" t="str">
        <f>IFERROR(__xludf.DUMMYFUNCTION("""COMPUTED_VALUE"""),"T2, Student 4")</f>
        <v>T2, Student 4</v>
      </c>
      <c r="V1" s="8" t="str">
        <f>IFERROR(__xludf.DUMMYFUNCTION("""COMPUTED_VALUE"""),"T2, Student 5")</f>
        <v>T2, Student 5</v>
      </c>
      <c r="W1" s="8" t="str">
        <f>IFERROR(__xludf.DUMMYFUNCTION("""COMPUTED_VALUE"""),"Folder ID")</f>
        <v>Folder ID</v>
      </c>
      <c r="X1" s="14"/>
      <c r="Y1" s="14"/>
      <c r="Z1" s="14"/>
    </row>
    <row r="2">
      <c r="A2" s="6">
        <f>IFERROR(__xludf.DUMMYFUNCTION("""COMPUTED_VALUE"""),1.0)</f>
        <v>1</v>
      </c>
      <c r="B2" s="6" t="str">
        <f>IFERROR(__xludf.DUMMYFUNCTION("""COMPUTED_VALUE"""),"Mission San Jose B")</f>
        <v>Mission San Jose B</v>
      </c>
      <c r="C2" s="6" t="str">
        <f>IFERROR(__xludf.DUMMYFUNCTION("""COMPUTED_VALUE"""),"Palo Alto B")</f>
        <v>Palo Alto B</v>
      </c>
      <c r="D2" s="6">
        <f>IFERROR(__xludf.DUMMYFUNCTION("""COMPUTED_VALUE"""),1.0)</f>
        <v>1</v>
      </c>
      <c r="E2" s="6" t="str">
        <f>IFERROR(__xludf.DUMMYFUNCTION("""COMPUTED_VALUE"""),"Round Robin")</f>
        <v>Round Robin</v>
      </c>
      <c r="F2" s="6" t="str">
        <f>IFERROR(__xludf.DUMMYFUNCTION("""COMPUTED_VALUE"""),"A")</f>
        <v>A</v>
      </c>
      <c r="G2" s="6" t="str">
        <f>IFERROR(__xludf.DUMMYFUNCTION("""COMPUTED_VALUE"""),"DWINELLE 87")</f>
        <v>DWINELLE 87</v>
      </c>
      <c r="H2" s="6" t="str">
        <f>IFERROR(__xludf.DUMMYFUNCTION("""COMPUTED_VALUE"""),"17E6ywICRh3DH2kuT_GY3LWRXJ-YRPGe96jB5rilwQBQ")</f>
        <v>17E6ywICRh3DH2kuT_GY3LWRXJ-YRPGe96jB5rilwQBQ</v>
      </c>
      <c r="I2" s="16" t="str">
        <f>IFERROR(__xludf.DUMMYFUNCTION("""COMPUTED_VALUE"""),"https://docs.google.com/spreadsheets/d/17E6ywICRh3DH2kuT_GY3LWRXJ-YRPGe96jB5rilwQBQ")</f>
        <v>https://docs.google.com/spreadsheets/d/17E6ywICRh3DH2kuT_GY3LWRXJ-YRPGe96jB5rilwQBQ</v>
      </c>
      <c r="J2" s="6" t="b">
        <f>IFERROR(__xludf.DUMMYFUNCTION("""COMPUTED_VALUE"""),TRUE)</f>
        <v>1</v>
      </c>
      <c r="K2" s="6">
        <f>IFERROR(__xludf.DUMMYFUNCTION("""COMPUTED_VALUE"""),126.0)</f>
        <v>126</v>
      </c>
      <c r="L2" s="6">
        <f>IFERROR(__xludf.DUMMYFUNCTION("""COMPUTED_VALUE"""),18.0)</f>
        <v>18</v>
      </c>
      <c r="M2" s="6" t="str">
        <f>IFERROR(__xludf.DUMMYFUNCTION("""COMPUTED_VALUE"""),"1.5,0,1,0,0,0")</f>
        <v>1.5,0,1,0,0,0</v>
      </c>
      <c r="N2" s="6" t="str">
        <f>IFERROR(__xludf.DUMMYFUNCTION("""COMPUTED_VALUE"""),"4.5,2,0,1,0,0")</f>
        <v>4.5,2,0,1,0,0</v>
      </c>
      <c r="O2" s="6" t="str">
        <f>IFERROR(__xludf.DUMMYFUNCTION("""COMPUTED_VALUE"""),"0,0,0,0,0,0")</f>
        <v>0,0,0,0,0,0</v>
      </c>
      <c r="P2" s="6" t="str">
        <f>IFERROR(__xludf.DUMMYFUNCTION("""COMPUTED_VALUE"""),"0,0,1.5,0,5,0")</f>
        <v>0,0,1.5,0,5,0</v>
      </c>
      <c r="Q2" s="6" t="str">
        <f>IFERROR(__xludf.DUMMYFUNCTION("""COMPUTED_VALUE"""),"0,0,0,0,0,0")</f>
        <v>0,0,0,0,0,0</v>
      </c>
      <c r="R2" s="6" t="str">
        <f>IFERROR(__xludf.DUMMYFUNCTION("""COMPUTED_VALUE"""),"0,0,0,0,0,0")</f>
        <v>0,0,0,0,0,0</v>
      </c>
      <c r="S2" s="6" t="str">
        <f>IFERROR(__xludf.DUMMYFUNCTION("""COMPUTED_VALUE"""),"0,0,0,0,0,0")</f>
        <v>0,0,0,0,0,0</v>
      </c>
      <c r="T2" s="6" t="str">
        <f>IFERROR(__xludf.DUMMYFUNCTION("""COMPUTED_VALUE"""),"0,0,0,0,0,1.5")</f>
        <v>0,0,0,0,0,1.5</v>
      </c>
      <c r="U2" s="6" t="str">
        <f>IFERROR(__xludf.DUMMYFUNCTION("""COMPUTED_VALUE"""),"0,0,0,0,0,0")</f>
        <v>0,0,0,0,0,0</v>
      </c>
      <c r="V2" s="6" t="str">
        <f>IFERROR(__xludf.DUMMYFUNCTION("""COMPUTED_VALUE"""),"0,0,0,0,0,0")</f>
        <v>0,0,0,0,0,0</v>
      </c>
      <c r="W2" s="6" t="str">
        <f>IFERROR(__xludf.DUMMYFUNCTION("""COMPUTED_VALUE"""),"1wU8ddNcIDYy_LNgK50_oAheTJQ7qxrnc")</f>
        <v>1wU8ddNcIDYy_LNgK50_oAheTJQ7qxrnc</v>
      </c>
    </row>
    <row r="3">
      <c r="A3" s="6">
        <f>IFERROR(__xludf.DUMMYFUNCTION("""COMPUTED_VALUE"""),2.0)</f>
        <v>2</v>
      </c>
      <c r="B3" s="6" t="str">
        <f>IFERROR(__xludf.DUMMYFUNCTION("""COMPUTED_VALUE"""),"Saint Francis")</f>
        <v>Saint Francis</v>
      </c>
      <c r="C3" s="6" t="str">
        <f>IFERROR(__xludf.DUMMYFUNCTION("""COMPUTED_VALUE"""),"Dougherty Valley A")</f>
        <v>Dougherty Valley A</v>
      </c>
      <c r="D3" s="6">
        <f>IFERROR(__xludf.DUMMYFUNCTION("""COMPUTED_VALUE"""),1.0)</f>
        <v>1</v>
      </c>
      <c r="E3" s="6" t="str">
        <f>IFERROR(__xludf.DUMMYFUNCTION("""COMPUTED_VALUE"""),"Round Robin")</f>
        <v>Round Robin</v>
      </c>
      <c r="F3" s="6" t="str">
        <f>IFERROR(__xludf.DUMMYFUNCTION("""COMPUTED_VALUE"""),"A")</f>
        <v>A</v>
      </c>
      <c r="G3" s="6" t="str">
        <f>IFERROR(__xludf.DUMMYFUNCTION("""COMPUTED_VALUE"""),"DWINELLE 88")</f>
        <v>DWINELLE 88</v>
      </c>
      <c r="H3" s="6" t="str">
        <f>IFERROR(__xludf.DUMMYFUNCTION("""COMPUTED_VALUE"""),"170z1HffuXseDb5NpZ_nzJQINmBXrztcqgbYM9hO5_BM")</f>
        <v>170z1HffuXseDb5NpZ_nzJQINmBXrztcqgbYM9hO5_BM</v>
      </c>
      <c r="I3" s="16" t="str">
        <f>IFERROR(__xludf.DUMMYFUNCTION("""COMPUTED_VALUE"""),"https://docs.google.com/spreadsheets/d/170z1HffuXseDb5NpZ_nzJQINmBXrztcqgbYM9hO5_BM")</f>
        <v>https://docs.google.com/spreadsheets/d/170z1HffuXseDb5NpZ_nzJQINmBXrztcqgbYM9hO5_BM</v>
      </c>
      <c r="J3" s="6" t="b">
        <f>IFERROR(__xludf.DUMMYFUNCTION("""COMPUTED_VALUE"""),TRUE)</f>
        <v>1</v>
      </c>
      <c r="K3" s="6">
        <f>IFERROR(__xludf.DUMMYFUNCTION("""COMPUTED_VALUE"""),114.0)</f>
        <v>114</v>
      </c>
      <c r="L3" s="6">
        <f>IFERROR(__xludf.DUMMYFUNCTION("""COMPUTED_VALUE"""),82.0)</f>
        <v>82</v>
      </c>
      <c r="M3" s="6" t="str">
        <f>IFERROR(__xludf.DUMMYFUNCTION("""COMPUTED_VALUE"""),"3.5,4,1.5,3,0,0")</f>
        <v>3.5,4,1.5,3,0,0</v>
      </c>
      <c r="N3" s="6" t="str">
        <f>IFERROR(__xludf.DUMMYFUNCTION("""COMPUTED_VALUE"""),"#N/A")</f>
        <v>#N/A</v>
      </c>
      <c r="O3" s="6" t="str">
        <f>IFERROR(__xludf.DUMMYFUNCTION("""COMPUTED_VALUE"""),"0,0,0,1,0,1.5")</f>
        <v>0,0,0,1,0,1.5</v>
      </c>
      <c r="P3" s="6" t="str">
        <f>IFERROR(__xludf.DUMMYFUNCTION("""COMPUTED_VALUE"""),"0,0,0,0,0,0")</f>
        <v>0,0,0,0,0,0</v>
      </c>
      <c r="Q3" s="6" t="str">
        <f>IFERROR(__xludf.DUMMYFUNCTION("""COMPUTED_VALUE"""),"0,0,0,0,0,0")</f>
        <v>0,0,0,0,0,0</v>
      </c>
      <c r="R3" s="6" t="str">
        <f>IFERROR(__xludf.DUMMYFUNCTION("""COMPUTED_VALUE"""),"0,0,0,0,0,0")</f>
        <v>0,0,0,0,0,0</v>
      </c>
      <c r="S3" s="6" t="str">
        <f>IFERROR(__xludf.DUMMYFUNCTION("""COMPUTED_VALUE"""),"0,0,1,0,5,3")</f>
        <v>0,0,1,0,5,3</v>
      </c>
      <c r="T3" s="6" t="str">
        <f>IFERROR(__xludf.DUMMYFUNCTION("""COMPUTED_VALUE"""),"0,0,0,0,0,0")</f>
        <v>0,0,0,0,0,0</v>
      </c>
      <c r="U3" s="6" t="str">
        <f>IFERROR(__xludf.DUMMYFUNCTION("""COMPUTED_VALUE"""),"1.5,0,0,0,0,0")</f>
        <v>1.5,0,0,0,0,0</v>
      </c>
      <c r="V3" s="6" t="str">
        <f>IFERROR(__xludf.DUMMYFUNCTION("""COMPUTED_VALUE"""),",,,,,")</f>
        <v>,,,,,</v>
      </c>
      <c r="W3" s="6" t="str">
        <f>IFERROR(__xludf.DUMMYFUNCTION("""COMPUTED_VALUE"""),"103JTGMew8yagYGeIoIvugJ7A3dBmouHQ")</f>
        <v>103JTGMew8yagYGeIoIvugJ7A3dBmouHQ</v>
      </c>
    </row>
    <row r="4">
      <c r="A4" s="6">
        <f>IFERROR(__xludf.DUMMYFUNCTION("""COMPUTED_VALUE"""),3.0)</f>
        <v>3</v>
      </c>
      <c r="B4" s="6" t="str">
        <f>IFERROR(__xludf.DUMMYFUNCTION("""COMPUTED_VALUE"""),"BASIS Independent B")</f>
        <v>BASIS Independent B</v>
      </c>
      <c r="C4" s="6" t="str">
        <f>IFERROR(__xludf.DUMMYFUNCTION("""COMPUTED_VALUE"""),"Stanford Online")</f>
        <v>Stanford Online</v>
      </c>
      <c r="D4" s="6">
        <f>IFERROR(__xludf.DUMMYFUNCTION("""COMPUTED_VALUE"""),1.0)</f>
        <v>1</v>
      </c>
      <c r="E4" s="6" t="str">
        <f>IFERROR(__xludf.DUMMYFUNCTION("""COMPUTED_VALUE"""),"Round Robin")</f>
        <v>Round Robin</v>
      </c>
      <c r="F4" s="6" t="str">
        <f>IFERROR(__xludf.DUMMYFUNCTION("""COMPUTED_VALUE"""),"A")</f>
        <v>A</v>
      </c>
      <c r="G4" s="6" t="str">
        <f>IFERROR(__xludf.DUMMYFUNCTION("""COMPUTED_VALUE"""),"DWINELLE 89")</f>
        <v>DWINELLE 89</v>
      </c>
      <c r="H4" s="6" t="str">
        <f>IFERROR(__xludf.DUMMYFUNCTION("""COMPUTED_VALUE"""),"1itbJVFJOyyBh0337RHlvKAm74IA5JbzVGvQpcQSZE-A")</f>
        <v>1itbJVFJOyyBh0337RHlvKAm74IA5JbzVGvQpcQSZE-A</v>
      </c>
      <c r="I4" s="16" t="str">
        <f>IFERROR(__xludf.DUMMYFUNCTION("""COMPUTED_VALUE"""),"https://docs.google.com/spreadsheets/d/1itbJVFJOyyBh0337RHlvKAm74IA5JbzVGvQpcQSZE-A")</f>
        <v>https://docs.google.com/spreadsheets/d/1itbJVFJOyyBh0337RHlvKAm74IA5JbzVGvQpcQSZE-A</v>
      </c>
      <c r="J4" s="6" t="b">
        <f>IFERROR(__xludf.DUMMYFUNCTION("""COMPUTED_VALUE"""),TRUE)</f>
        <v>1</v>
      </c>
      <c r="K4" s="6">
        <f>IFERROR(__xludf.DUMMYFUNCTION("""COMPUTED_VALUE"""),48.0)</f>
        <v>48</v>
      </c>
      <c r="L4" s="6">
        <f>IFERROR(__xludf.DUMMYFUNCTION("""COMPUTED_VALUE"""),76.0)</f>
        <v>76</v>
      </c>
      <c r="M4" s="6" t="str">
        <f>IFERROR(__xludf.DUMMYFUNCTION("""COMPUTED_VALUE"""),"0,1,0,1,1,0")</f>
        <v>0,1,0,1,1,0</v>
      </c>
      <c r="N4" s="6" t="str">
        <f>IFERROR(__xludf.DUMMYFUNCTION("""COMPUTED_VALUE"""),"0,0,1,0,1.5,0")</f>
        <v>0,0,1,0,1.5,0</v>
      </c>
      <c r="O4" s="6" t="str">
        <f>IFERROR(__xludf.DUMMYFUNCTION("""COMPUTED_VALUE"""),"1.5,0,0,0,0,0")</f>
        <v>1.5,0,0,0,0,0</v>
      </c>
      <c r="P4" s="6" t="str">
        <f>IFERROR(__xludf.DUMMYFUNCTION("""COMPUTED_VALUE"""),"0,0,0,0,0,0")</f>
        <v>0,0,0,0,0,0</v>
      </c>
      <c r="Q4" s="6" t="str">
        <f>IFERROR(__xludf.DUMMYFUNCTION("""COMPUTED_VALUE"""),",,,,,")</f>
        <v>,,,,,</v>
      </c>
      <c r="R4" s="6" t="str">
        <f>IFERROR(__xludf.DUMMYFUNCTION("""COMPUTED_VALUE"""),"-1,1.5,0,0,0,1.5")</f>
        <v>-1,1.5,0,0,0,1.5</v>
      </c>
      <c r="S4" s="6" t="str">
        <f>IFERROR(__xludf.DUMMYFUNCTION("""COMPUTED_VALUE"""),"3,0,1,0,0,0")</f>
        <v>3,0,1,0,0,0</v>
      </c>
      <c r="T4" s="6" t="str">
        <f>IFERROR(__xludf.DUMMYFUNCTION("""COMPUTED_VALUE"""),"1.5,1.5,0,0,0,1")</f>
        <v>1.5,1.5,0,0,0,1</v>
      </c>
      <c r="U4" s="6" t="str">
        <f>IFERROR(__xludf.DUMMYFUNCTION("""COMPUTED_VALUE"""),"0,0,0,0,1,0")</f>
        <v>0,0,0,0,1,0</v>
      </c>
      <c r="V4" s="6" t="str">
        <f>IFERROR(__xludf.DUMMYFUNCTION("""COMPUTED_VALUE"""),",,,,,")</f>
        <v>,,,,,</v>
      </c>
      <c r="W4" s="6" t="str">
        <f>IFERROR(__xludf.DUMMYFUNCTION("""COMPUTED_VALUE"""),"1iE_5-GNdmwZ6YBR19NoryqpaMeSaQNwX")</f>
        <v>1iE_5-GNdmwZ6YBR19NoryqpaMeSaQNwX</v>
      </c>
    </row>
    <row r="5">
      <c r="A5" s="6">
        <f>IFERROR(__xludf.DUMMYFUNCTION("""COMPUTED_VALUE"""),4.0)</f>
        <v>4</v>
      </c>
      <c r="B5" s="6" t="str">
        <f>IFERROR(__xludf.DUMMYFUNCTION("""COMPUTED_VALUE"""),"California B")</f>
        <v>California B</v>
      </c>
      <c r="C5" s="6" t="str">
        <f>IFERROR(__xludf.DUMMYFUNCTION("""COMPUTED_VALUE"""),"North Hollywood")</f>
        <v>North Hollywood</v>
      </c>
      <c r="D5" s="6">
        <f>IFERROR(__xludf.DUMMYFUNCTION("""COMPUTED_VALUE"""),1.0)</f>
        <v>1</v>
      </c>
      <c r="E5" s="6" t="str">
        <f>IFERROR(__xludf.DUMMYFUNCTION("""COMPUTED_VALUE"""),"Round Robin")</f>
        <v>Round Robin</v>
      </c>
      <c r="F5" s="6" t="str">
        <f>IFERROR(__xludf.DUMMYFUNCTION("""COMPUTED_VALUE"""),"B")</f>
        <v>B</v>
      </c>
      <c r="G5" s="6" t="str">
        <f>IFERROR(__xludf.DUMMYFUNCTION("""COMPUTED_VALUE"""),"DWINELLE 105")</f>
        <v>DWINELLE 105</v>
      </c>
      <c r="H5" s="6" t="str">
        <f>IFERROR(__xludf.DUMMYFUNCTION("""COMPUTED_VALUE"""),"1n-s0YJuErF_1mcp_jaKFpVqRd7PZSnZN8omjpo3pH2k")</f>
        <v>1n-s0YJuErF_1mcp_jaKFpVqRd7PZSnZN8omjpo3pH2k</v>
      </c>
      <c r="I5" s="16" t="str">
        <f>IFERROR(__xludf.DUMMYFUNCTION("""COMPUTED_VALUE"""),"https://docs.google.com/spreadsheets/d/1n-s0YJuErF_1mcp_jaKFpVqRd7PZSnZN8omjpo3pH2k")</f>
        <v>https://docs.google.com/spreadsheets/d/1n-s0YJuErF_1mcp_jaKFpVqRd7PZSnZN8omjpo3pH2k</v>
      </c>
      <c r="J5" s="6" t="b">
        <f>IFERROR(__xludf.DUMMYFUNCTION("""COMPUTED_VALUE"""),TRUE)</f>
        <v>1</v>
      </c>
      <c r="K5" s="6">
        <f>IFERROR(__xludf.DUMMYFUNCTION("""COMPUTED_VALUE"""),26.0)</f>
        <v>26</v>
      </c>
      <c r="L5" s="6">
        <f>IFERROR(__xludf.DUMMYFUNCTION("""COMPUTED_VALUE"""),202.0)</f>
        <v>202</v>
      </c>
      <c r="M5" s="6" t="str">
        <f>IFERROR(__xludf.DUMMYFUNCTION("""COMPUTED_VALUE"""),"0,1,0,0,0,0")</f>
        <v>0,1,0,0,0,0</v>
      </c>
      <c r="N5" s="6" t="str">
        <f>IFERROR(__xludf.DUMMYFUNCTION("""COMPUTED_VALUE"""),"0,0,0,0,0,0")</f>
        <v>0,0,0,0,0,0</v>
      </c>
      <c r="O5" s="6" t="str">
        <f>IFERROR(__xludf.DUMMYFUNCTION("""COMPUTED_VALUE"""),"#N/A")</f>
        <v>#N/A</v>
      </c>
      <c r="P5" s="6" t="str">
        <f>IFERROR(__xludf.DUMMYFUNCTION("""COMPUTED_VALUE"""),"0,0,0,0,0,0")</f>
        <v>0,0,0,0,0,0</v>
      </c>
      <c r="Q5" s="6" t="str">
        <f>IFERROR(__xludf.DUMMYFUNCTION("""COMPUTED_VALUE"""),"1.5,0,1,0,0,0")</f>
        <v>1.5,0,1,0,0,0</v>
      </c>
      <c r="R5" s="6" t="str">
        <f>IFERROR(__xludf.DUMMYFUNCTION("""COMPUTED_VALUE"""),"0,0,0,0,4.5,5.5")</f>
        <v>0,0,0,0,4.5,5.5</v>
      </c>
      <c r="S5" s="6" t="str">
        <f>IFERROR(__xludf.DUMMYFUNCTION("""COMPUTED_VALUE"""),"0,2,2.5,2.5,0,0")</f>
        <v>0,2,2.5,2.5,0,0</v>
      </c>
      <c r="T5" s="6" t="str">
        <f>IFERROR(__xludf.DUMMYFUNCTION("""COMPUTED_VALUE"""),"0,0,0,0,1.5,0")</f>
        <v>0,0,0,0,1.5,0</v>
      </c>
      <c r="U5" s="6" t="str">
        <f>IFERROR(__xludf.DUMMYFUNCTION("""COMPUTED_VALUE"""),"4.5,0,0.5,0,0,0")</f>
        <v>4.5,0,0.5,0,0,0</v>
      </c>
      <c r="V5" s="6" t="str">
        <f>IFERROR(__xludf.DUMMYFUNCTION("""COMPUTED_VALUE"""),",,,,,")</f>
        <v>,,,,,</v>
      </c>
      <c r="W5" s="6" t="str">
        <f>IFERROR(__xludf.DUMMYFUNCTION("""COMPUTED_VALUE"""),"1fnjyoidcVE3Yg85FHmTdFy4Wd_jCu9Cr")</f>
        <v>1fnjyoidcVE3Yg85FHmTdFy4Wd_jCu9Cr</v>
      </c>
    </row>
    <row r="6">
      <c r="A6" s="6">
        <f>IFERROR(__xludf.DUMMYFUNCTION("""COMPUTED_VALUE"""),5.0)</f>
        <v>5</v>
      </c>
      <c r="B6" s="6" t="str">
        <f>IFERROR(__xludf.DUMMYFUNCTION("""COMPUTED_VALUE"""),"Irvington")</f>
        <v>Irvington</v>
      </c>
      <c r="C6" s="6" t="str">
        <f>IFERROR(__xludf.DUMMYFUNCTION("""COMPUTED_VALUE"""),"Monta Vista A")</f>
        <v>Monta Vista A</v>
      </c>
      <c r="D6" s="6">
        <f>IFERROR(__xludf.DUMMYFUNCTION("""COMPUTED_VALUE"""),1.0)</f>
        <v>1</v>
      </c>
      <c r="E6" s="6" t="str">
        <f>IFERROR(__xludf.DUMMYFUNCTION("""COMPUTED_VALUE"""),"Round Robin")</f>
        <v>Round Robin</v>
      </c>
      <c r="F6" s="6" t="str">
        <f>IFERROR(__xludf.DUMMYFUNCTION("""COMPUTED_VALUE"""),"B")</f>
        <v>B</v>
      </c>
      <c r="G6" s="6" t="str">
        <f>IFERROR(__xludf.DUMMYFUNCTION("""COMPUTED_VALUE"""),"DWINELLE 106")</f>
        <v>DWINELLE 106</v>
      </c>
      <c r="H6" s="6" t="str">
        <f>IFERROR(__xludf.DUMMYFUNCTION("""COMPUTED_VALUE"""),"1TJaMxgFa2jxLQiqO1KBcyvvIBe1e1-goS1fUn82KIyY")</f>
        <v>1TJaMxgFa2jxLQiqO1KBcyvvIBe1e1-goS1fUn82KIyY</v>
      </c>
      <c r="I6" s="16" t="str">
        <f>IFERROR(__xludf.DUMMYFUNCTION("""COMPUTED_VALUE"""),"https://docs.google.com/spreadsheets/d/1TJaMxgFa2jxLQiqO1KBcyvvIBe1e1-goS1fUn82KIyY")</f>
        <v>https://docs.google.com/spreadsheets/d/1TJaMxgFa2jxLQiqO1KBcyvvIBe1e1-goS1fUn82KIyY</v>
      </c>
      <c r="J6" s="6" t="b">
        <f>IFERROR(__xludf.DUMMYFUNCTION("""COMPUTED_VALUE"""),TRUE)</f>
        <v>1</v>
      </c>
      <c r="K6" s="6">
        <f>IFERROR(__xludf.DUMMYFUNCTION("""COMPUTED_VALUE"""),36.0)</f>
        <v>36</v>
      </c>
      <c r="L6" s="6">
        <f>IFERROR(__xludf.DUMMYFUNCTION("""COMPUTED_VALUE"""),162.0)</f>
        <v>162</v>
      </c>
      <c r="M6" s="6" t="str">
        <f>IFERROR(__xludf.DUMMYFUNCTION("""COMPUTED_VALUE"""),"0,0,0,0,0,0")</f>
        <v>0,0,0,0,0,0</v>
      </c>
      <c r="N6" s="6" t="str">
        <f>IFERROR(__xludf.DUMMYFUNCTION("""COMPUTED_VALUE"""),"1.5,0,0,0,0,0")</f>
        <v>1.5,0,0,0,0,0</v>
      </c>
      <c r="O6" s="6" t="str">
        <f>IFERROR(__xludf.DUMMYFUNCTION("""COMPUTED_VALUE"""),"0,0,0,0,1,0")</f>
        <v>0,0,0,0,1,0</v>
      </c>
      <c r="P6" s="6" t="str">
        <f>IFERROR(__xludf.DUMMYFUNCTION("""COMPUTED_VALUE"""),"1.5,0,0,1,0,0")</f>
        <v>1.5,0,0,1,0,0</v>
      </c>
      <c r="Q6" s="6" t="str">
        <f>IFERROR(__xludf.DUMMYFUNCTION("""COMPUTED_VALUE"""),"0,0,0,0,0,0")</f>
        <v>0,0,0,0,0,0</v>
      </c>
      <c r="R6" s="6" t="str">
        <f>IFERROR(__xludf.DUMMYFUNCTION("""COMPUTED_VALUE"""),"0,0,0,3,0,1.5")</f>
        <v>0,0,0,3,0,1.5</v>
      </c>
      <c r="S6" s="6" t="str">
        <f>IFERROR(__xludf.DUMMYFUNCTION("""COMPUTED_VALUE"""),"3,3,4.5,0,2.5,1.5")</f>
        <v>3,3,4.5,0,2.5,1.5</v>
      </c>
      <c r="T6" s="6" t="str">
        <f>IFERROR(__xludf.DUMMYFUNCTION("""COMPUTED_VALUE"""),"0,0,0,0,0,0")</f>
        <v>0,0,0,0,0,0</v>
      </c>
      <c r="U6" s="6" t="str">
        <f>IFERROR(__xludf.DUMMYFUNCTION("""COMPUTED_VALUE"""),"0,0,0,0,0,0")</f>
        <v>0,0,0,0,0,0</v>
      </c>
      <c r="V6" s="6" t="str">
        <f>IFERROR(__xludf.DUMMYFUNCTION("""COMPUTED_VALUE"""),"0,0,0,0,0,0")</f>
        <v>0,0,0,0,0,0</v>
      </c>
      <c r="W6" s="6" t="str">
        <f>IFERROR(__xludf.DUMMYFUNCTION("""COMPUTED_VALUE"""),"1ZOcpmnz6rsr8oUEZv7nnQmus2y0zN2kl")</f>
        <v>1ZOcpmnz6rsr8oUEZv7nnQmus2y0zN2kl</v>
      </c>
    </row>
    <row r="7">
      <c r="A7" s="6">
        <f>IFERROR(__xludf.DUMMYFUNCTION("""COMPUTED_VALUE"""),6.0)</f>
        <v>6</v>
      </c>
      <c r="B7" s="6" t="str">
        <f>IFERROR(__xludf.DUMMYFUNCTION("""COMPUTED_VALUE"""),"Amador Valley A")</f>
        <v>Amador Valley A</v>
      </c>
      <c r="C7" s="6" t="str">
        <f>IFERROR(__xludf.DUMMYFUNCTION("""COMPUTED_VALUE"""),"Foothill B")</f>
        <v>Foothill B</v>
      </c>
      <c r="D7" s="6">
        <f>IFERROR(__xludf.DUMMYFUNCTION("""COMPUTED_VALUE"""),1.0)</f>
        <v>1</v>
      </c>
      <c r="E7" s="6" t="str">
        <f>IFERROR(__xludf.DUMMYFUNCTION("""COMPUTED_VALUE"""),"Round Robin")</f>
        <v>Round Robin</v>
      </c>
      <c r="F7" s="6" t="str">
        <f>IFERROR(__xludf.DUMMYFUNCTION("""COMPUTED_VALUE"""),"B")</f>
        <v>B</v>
      </c>
      <c r="G7" s="6" t="str">
        <f>IFERROR(__xludf.DUMMYFUNCTION("""COMPUTED_VALUE"""),"DWINELLE 109")</f>
        <v>DWINELLE 109</v>
      </c>
      <c r="H7" s="6" t="str">
        <f>IFERROR(__xludf.DUMMYFUNCTION("""COMPUTED_VALUE"""),"1t58nQj26-XOO-UqFhk4aRMZPO5SwqhPUHtWUX6CLeJA")</f>
        <v>1t58nQj26-XOO-UqFhk4aRMZPO5SwqhPUHtWUX6CLeJA</v>
      </c>
      <c r="I7" s="16" t="str">
        <f>IFERROR(__xludf.DUMMYFUNCTION("""COMPUTED_VALUE"""),"https://docs.google.com/spreadsheets/d/1t58nQj26-XOO-UqFhk4aRMZPO5SwqhPUHtWUX6CLeJA")</f>
        <v>https://docs.google.com/spreadsheets/d/1t58nQj26-XOO-UqFhk4aRMZPO5SwqhPUHtWUX6CLeJA</v>
      </c>
      <c r="J7" s="6" t="b">
        <f>IFERROR(__xludf.DUMMYFUNCTION("""COMPUTED_VALUE"""),TRUE)</f>
        <v>1</v>
      </c>
      <c r="K7" s="6">
        <f>IFERROR(__xludf.DUMMYFUNCTION("""COMPUTED_VALUE"""),188.0)</f>
        <v>188</v>
      </c>
      <c r="L7" s="6">
        <f>IFERROR(__xludf.DUMMYFUNCTION("""COMPUTED_VALUE"""),60.0)</f>
        <v>60</v>
      </c>
      <c r="M7" s="6" t="str">
        <f>IFERROR(__xludf.DUMMYFUNCTION("""COMPUTED_VALUE"""),"0,0.5,1,1,0,0")</f>
        <v>0,0.5,1,1,0,0</v>
      </c>
      <c r="N7" s="6" t="str">
        <f>IFERROR(__xludf.DUMMYFUNCTION("""COMPUTED_VALUE"""),"4.5,0,0.5,1.5,0,0")</f>
        <v>4.5,0,0.5,1.5,0,0</v>
      </c>
      <c r="O7" s="6" t="str">
        <f>IFERROR(__xludf.DUMMYFUNCTION("""COMPUTED_VALUE"""),"0,0,0,0,0,0")</f>
        <v>0,0,0,0,0,0</v>
      </c>
      <c r="P7" s="6" t="str">
        <f>IFERROR(__xludf.DUMMYFUNCTION("""COMPUTED_VALUE"""),"0,0.5,-1,0,3.5,-0.5")</f>
        <v>0,0.5,-1,0,3.5,-0.5</v>
      </c>
      <c r="Q7" s="6" t="str">
        <f>IFERROR(__xludf.DUMMYFUNCTION("""COMPUTED_VALUE"""),"1.5,0,0,0,0,0")</f>
        <v>1.5,0,0,0,0,0</v>
      </c>
      <c r="R7" s="6" t="str">
        <f>IFERROR(__xludf.DUMMYFUNCTION("""COMPUTED_VALUE"""),"#N/A")</f>
        <v>#N/A</v>
      </c>
      <c r="S7" s="6" t="str">
        <f>IFERROR(__xludf.DUMMYFUNCTION("""COMPUTED_VALUE"""),"0,0,-1,0,0,0")</f>
        <v>0,0,-1,0,0,0</v>
      </c>
      <c r="T7" s="6" t="str">
        <f>IFERROR(__xludf.DUMMYFUNCTION("""COMPUTED_VALUE"""),"0,-1,0,0,0,0")</f>
        <v>0,-1,0,0,0,0</v>
      </c>
      <c r="U7" s="6" t="str">
        <f>IFERROR(__xludf.DUMMYFUNCTION("""COMPUTED_VALUE"""),"0,1.5,0,-1,0,0")</f>
        <v>0,1.5,0,-1,0,0</v>
      </c>
      <c r="V7" s="6" t="str">
        <f>IFERROR(__xludf.DUMMYFUNCTION("""COMPUTED_VALUE"""),"0,0,0,0,1.5,1")</f>
        <v>0,0,0,0,1.5,1</v>
      </c>
      <c r="W7" s="6" t="str">
        <f>IFERROR(__xludf.DUMMYFUNCTION("""COMPUTED_VALUE"""),"1ivbxAGj__h08xVy2FRbo7iHDWDbLgwNl")</f>
        <v>1ivbxAGj__h08xVy2FRbo7iHDWDbLgwNl</v>
      </c>
    </row>
    <row r="8">
      <c r="A8" s="6">
        <f>IFERROR(__xludf.DUMMYFUNCTION("""COMPUTED_VALUE"""),7.0)</f>
        <v>7</v>
      </c>
      <c r="B8" s="6" t="str">
        <f>IFERROR(__xludf.DUMMYFUNCTION("""COMPUTED_VALUE"""),"Cupertino B")</f>
        <v>Cupertino B</v>
      </c>
      <c r="C8" s="6" t="str">
        <f>IFERROR(__xludf.DUMMYFUNCTION("""COMPUTED_VALUE"""),"Lynbrook B")</f>
        <v>Lynbrook B</v>
      </c>
      <c r="D8" s="6">
        <f>IFERROR(__xludf.DUMMYFUNCTION("""COMPUTED_VALUE"""),1.0)</f>
        <v>1</v>
      </c>
      <c r="E8" s="6" t="str">
        <f>IFERROR(__xludf.DUMMYFUNCTION("""COMPUTED_VALUE"""),"Round Robin")</f>
        <v>Round Robin</v>
      </c>
      <c r="F8" s="6" t="str">
        <f>IFERROR(__xludf.DUMMYFUNCTION("""COMPUTED_VALUE"""),"C")</f>
        <v>C</v>
      </c>
      <c r="G8" s="6" t="str">
        <f>IFERROR(__xludf.DUMMYFUNCTION("""COMPUTED_VALUE"""),"DWINELLE 179")</f>
        <v>DWINELLE 179</v>
      </c>
      <c r="H8" s="6" t="str">
        <f>IFERROR(__xludf.DUMMYFUNCTION("""COMPUTED_VALUE"""),"1S7-Gm4US0JFHQf67oHxVY2NMjKYtXwffpRKWSfj-DOk")</f>
        <v>1S7-Gm4US0JFHQf67oHxVY2NMjKYtXwffpRKWSfj-DOk</v>
      </c>
      <c r="I8" s="16" t="str">
        <f>IFERROR(__xludf.DUMMYFUNCTION("""COMPUTED_VALUE"""),"https://docs.google.com/spreadsheets/d/1S7-Gm4US0JFHQf67oHxVY2NMjKYtXwffpRKWSfj-DOk")</f>
        <v>https://docs.google.com/spreadsheets/d/1S7-Gm4US0JFHQf67oHxVY2NMjKYtXwffpRKWSfj-DOk</v>
      </c>
      <c r="J8" s="6" t="b">
        <f>IFERROR(__xludf.DUMMYFUNCTION("""COMPUTED_VALUE"""),TRUE)</f>
        <v>1</v>
      </c>
      <c r="K8" s="6">
        <f>IFERROR(__xludf.DUMMYFUNCTION("""COMPUTED_VALUE"""),24.0)</f>
        <v>24</v>
      </c>
      <c r="L8" s="6">
        <f>IFERROR(__xludf.DUMMYFUNCTION("""COMPUTED_VALUE"""),134.0)</f>
        <v>134</v>
      </c>
      <c r="M8" s="6" t="str">
        <f>IFERROR(__xludf.DUMMYFUNCTION("""COMPUTED_VALUE"""),"2,1,0,0,0,0")</f>
        <v>2,1,0,0,0,0</v>
      </c>
      <c r="N8" s="6" t="str">
        <f>IFERROR(__xludf.DUMMYFUNCTION("""COMPUTED_VALUE"""),"0,0,0,0,1,0")</f>
        <v>0,0,0,0,1,0</v>
      </c>
      <c r="O8" s="6" t="str">
        <f>IFERROR(__xludf.DUMMYFUNCTION("""COMPUTED_VALUE"""),"0,0,0,0,0,0")</f>
        <v>0,0,0,0,0,0</v>
      </c>
      <c r="P8" s="6" t="str">
        <f>IFERROR(__xludf.DUMMYFUNCTION("""COMPUTED_VALUE"""),"0,0,0,0,0,0")</f>
        <v>0,0,0,0,0,0</v>
      </c>
      <c r="Q8" s="6" t="str">
        <f>IFERROR(__xludf.DUMMYFUNCTION("""COMPUTED_VALUE"""),"0,0,0,0,0,0")</f>
        <v>0,0,0,0,0,0</v>
      </c>
      <c r="R8" s="6" t="str">
        <f>IFERROR(__xludf.DUMMYFUNCTION("""COMPUTED_VALUE"""),"0,0,0,0,1.5,1.5")</f>
        <v>0,0,0,0,1.5,1.5</v>
      </c>
      <c r="S8" s="6" t="str">
        <f>IFERROR(__xludf.DUMMYFUNCTION("""COMPUTED_VALUE"""),"0,0.5,0,1.5,0,0")</f>
        <v>0,0.5,0,1.5,0,0</v>
      </c>
      <c r="T8" s="6" t="str">
        <f>IFERROR(__xludf.DUMMYFUNCTION("""COMPUTED_VALUE"""),"0,0,0,0,3,-1")</f>
        <v>0,0,0,0,3,-1</v>
      </c>
      <c r="U8" s="6" t="str">
        <f>IFERROR(__xludf.DUMMYFUNCTION("""COMPUTED_VALUE"""),"0,0,1.5,0,0,0")</f>
        <v>0,0,1.5,0,0,0</v>
      </c>
      <c r="V8" s="6" t="str">
        <f>IFERROR(__xludf.DUMMYFUNCTION("""COMPUTED_VALUE"""),"3,0,1,1,0,0")</f>
        <v>3,0,1,1,0,0</v>
      </c>
      <c r="W8" s="6" t="str">
        <f>IFERROR(__xludf.DUMMYFUNCTION("""COMPUTED_VALUE"""),"1VhY5duZynZljzs0fA-JdTCNRRkzQRGTm")</f>
        <v>1VhY5duZynZljzs0fA-JdTCNRRkzQRGTm</v>
      </c>
    </row>
    <row r="9">
      <c r="A9" s="6">
        <f>IFERROR(__xludf.DUMMYFUNCTION("""COMPUTED_VALUE"""),8.0)</f>
        <v>8</v>
      </c>
      <c r="B9" s="6" t="str">
        <f>IFERROR(__xludf.DUMMYFUNCTION("""COMPUTED_VALUE"""),"Mira Loma A")</f>
        <v>Mira Loma A</v>
      </c>
      <c r="C9" s="6" t="str">
        <f>IFERROR(__xludf.DUMMYFUNCTION("""COMPUTED_VALUE"""),"Amador Valley B")</f>
        <v>Amador Valley B</v>
      </c>
      <c r="D9" s="6">
        <f>IFERROR(__xludf.DUMMYFUNCTION("""COMPUTED_VALUE"""),1.0)</f>
        <v>1</v>
      </c>
      <c r="E9" s="6" t="str">
        <f>IFERROR(__xludf.DUMMYFUNCTION("""COMPUTED_VALUE"""),"Round Robin")</f>
        <v>Round Robin</v>
      </c>
      <c r="F9" s="6" t="str">
        <f>IFERROR(__xludf.DUMMYFUNCTION("""COMPUTED_VALUE"""),"C")</f>
        <v>C</v>
      </c>
      <c r="G9" s="6" t="str">
        <f>IFERROR(__xludf.DUMMYFUNCTION("""COMPUTED_VALUE"""),"DWINELLE 182")</f>
        <v>DWINELLE 182</v>
      </c>
      <c r="H9" s="6" t="str">
        <f>IFERROR(__xludf.DUMMYFUNCTION("""COMPUTED_VALUE"""),"1kwiq07x4hUtrFeczb2a_prZuSqTS3yLlg5loMnZabX0")</f>
        <v>1kwiq07x4hUtrFeczb2a_prZuSqTS3yLlg5loMnZabX0</v>
      </c>
      <c r="I9" s="16" t="str">
        <f>IFERROR(__xludf.DUMMYFUNCTION("""COMPUTED_VALUE"""),"https://docs.google.com/spreadsheets/d/1kwiq07x4hUtrFeczb2a_prZuSqTS3yLlg5loMnZabX0")</f>
        <v>https://docs.google.com/spreadsheets/d/1kwiq07x4hUtrFeczb2a_prZuSqTS3yLlg5loMnZabX0</v>
      </c>
      <c r="J9" s="6" t="b">
        <f>IFERROR(__xludf.DUMMYFUNCTION("""COMPUTED_VALUE"""),TRUE)</f>
        <v>1</v>
      </c>
      <c r="K9" s="6">
        <f>IFERROR(__xludf.DUMMYFUNCTION("""COMPUTED_VALUE"""),162.0)</f>
        <v>162</v>
      </c>
      <c r="L9" s="6">
        <f>IFERROR(__xludf.DUMMYFUNCTION("""COMPUTED_VALUE"""),32.0)</f>
        <v>32</v>
      </c>
      <c r="M9" s="6" t="str">
        <f>IFERROR(__xludf.DUMMYFUNCTION("""COMPUTED_VALUE"""),"0,0,0,1,1.5,0")</f>
        <v>0,0,0,1,1.5,0</v>
      </c>
      <c r="N9" s="6" t="str">
        <f>IFERROR(__xludf.DUMMYFUNCTION("""COMPUTED_VALUE"""),"0,1.5,0,1.5,0,-1")</f>
        <v>0,1.5,0,1.5,0,-1</v>
      </c>
      <c r="O9" s="6" t="str">
        <f>IFERROR(__xludf.DUMMYFUNCTION("""COMPUTED_VALUE"""),"0,1.5,0,0,0,0")</f>
        <v>0,1.5,0,0,0,0</v>
      </c>
      <c r="P9" s="6" t="str">
        <f>IFERROR(__xludf.DUMMYFUNCTION("""COMPUTED_VALUE"""),"0,1.5,0,0,0,0")</f>
        <v>0,1.5,0,0,0,0</v>
      </c>
      <c r="Q9" s="6" t="str">
        <f>IFERROR(__xludf.DUMMYFUNCTION("""COMPUTED_VALUE"""),"4.5,0,1.5,1.5,0.5,0")</f>
        <v>4.5,0,1.5,1.5,0.5,0</v>
      </c>
      <c r="R9" s="6" t="str">
        <f>IFERROR(__xludf.DUMMYFUNCTION("""COMPUTED_VALUE"""),"0,0,0,0,0,0")</f>
        <v>0,0,0,0,0,0</v>
      </c>
      <c r="S9" s="6" t="str">
        <f>IFERROR(__xludf.DUMMYFUNCTION("""COMPUTED_VALUE"""),"0,0,0,0,0,0")</f>
        <v>0,0,0,0,0,0</v>
      </c>
      <c r="T9" s="6" t="str">
        <f>IFERROR(__xludf.DUMMYFUNCTION("""COMPUTED_VALUE"""),"1,0,1,0,1,1")</f>
        <v>1,0,1,0,1,1</v>
      </c>
      <c r="U9" s="6" t="str">
        <f>IFERROR(__xludf.DUMMYFUNCTION("""COMPUTED_VALUE"""),"0,0,1,0,0,0")</f>
        <v>0,0,1,0,0,0</v>
      </c>
      <c r="V9" s="6" t="str">
        <f>IFERROR(__xludf.DUMMYFUNCTION("""COMPUTED_VALUE"""),",,,,,")</f>
        <v>,,,,,</v>
      </c>
      <c r="W9" s="6" t="str">
        <f>IFERROR(__xludf.DUMMYFUNCTION("""COMPUTED_VALUE"""),"1ZWlRd0tVUxuNmZQwbNvEW7lU7lmJQorm")</f>
        <v>1ZWlRd0tVUxuNmZQwbNvEW7lU7lmJQorm</v>
      </c>
    </row>
    <row r="10">
      <c r="A10" s="6">
        <f>IFERROR(__xludf.DUMMYFUNCTION("""COMPUTED_VALUE"""),9.0)</f>
        <v>9</v>
      </c>
      <c r="B10" s="6" t="str">
        <f>IFERROR(__xludf.DUMMYFUNCTION("""COMPUTED_VALUE"""),"Archbishop Mitty B")</f>
        <v>Archbishop Mitty B</v>
      </c>
      <c r="C10" s="6" t="str">
        <f>IFERROR(__xludf.DUMMYFUNCTION("""COMPUTED_VALUE"""),"Canyon Crest A")</f>
        <v>Canyon Crest A</v>
      </c>
      <c r="D10" s="6">
        <f>IFERROR(__xludf.DUMMYFUNCTION("""COMPUTED_VALUE"""),1.0)</f>
        <v>1</v>
      </c>
      <c r="E10" s="6" t="str">
        <f>IFERROR(__xludf.DUMMYFUNCTION("""COMPUTED_VALUE"""),"Round Robin")</f>
        <v>Round Robin</v>
      </c>
      <c r="F10" s="6" t="str">
        <f>IFERROR(__xludf.DUMMYFUNCTION("""COMPUTED_VALUE"""),"C")</f>
        <v>C</v>
      </c>
      <c r="G10" s="6" t="str">
        <f>IFERROR(__xludf.DUMMYFUNCTION("""COMPUTED_VALUE"""),"DWINELLE 183")</f>
        <v>DWINELLE 183</v>
      </c>
      <c r="H10" s="6" t="str">
        <f>IFERROR(__xludf.DUMMYFUNCTION("""COMPUTED_VALUE"""),"19UESqgDbGVXljzEMc2TV2bzvnTzMYWT6InzREbK4pvA")</f>
        <v>19UESqgDbGVXljzEMc2TV2bzvnTzMYWT6InzREbK4pvA</v>
      </c>
      <c r="I10" s="16" t="str">
        <f>IFERROR(__xludf.DUMMYFUNCTION("""COMPUTED_VALUE"""),"https://docs.google.com/spreadsheets/d/19UESqgDbGVXljzEMc2TV2bzvnTzMYWT6InzREbK4pvA")</f>
        <v>https://docs.google.com/spreadsheets/d/19UESqgDbGVXljzEMc2TV2bzvnTzMYWT6InzREbK4pvA</v>
      </c>
      <c r="J10" s="6" t="b">
        <f>IFERROR(__xludf.DUMMYFUNCTION("""COMPUTED_VALUE"""),TRUE)</f>
        <v>1</v>
      </c>
      <c r="K10" s="6">
        <f>IFERROR(__xludf.DUMMYFUNCTION("""COMPUTED_VALUE"""),26.0)</f>
        <v>26</v>
      </c>
      <c r="L10" s="6">
        <f>IFERROR(__xludf.DUMMYFUNCTION("""COMPUTED_VALUE"""),184.0)</f>
        <v>184</v>
      </c>
      <c r="M10" s="6" t="str">
        <f>IFERROR(__xludf.DUMMYFUNCTION("""COMPUTED_VALUE"""),"0,0,0,0,0,0")</f>
        <v>0,0,0,0,0,0</v>
      </c>
      <c r="N10" s="6" t="str">
        <f>IFERROR(__xludf.DUMMYFUNCTION("""COMPUTED_VALUE"""),"0,0,0,0,2,0")</f>
        <v>0,0,0,0,2,0</v>
      </c>
      <c r="O10" s="6" t="str">
        <f>IFERROR(__xludf.DUMMYFUNCTION("""COMPUTED_VALUE"""),"0,0,0,1.5,0,0")</f>
        <v>0,0,0,1.5,0,0</v>
      </c>
      <c r="P10" s="6" t="str">
        <f>IFERROR(__xludf.DUMMYFUNCTION("""COMPUTED_VALUE"""),"0,0,0,1.5,0,0")</f>
        <v>0,0,0,1.5,0,0</v>
      </c>
      <c r="Q10" s="6" t="str">
        <f>IFERROR(__xludf.DUMMYFUNCTION("""COMPUTED_VALUE"""),",,,,,")</f>
        <v>,,,,,</v>
      </c>
      <c r="R10" s="6" t="str">
        <f>IFERROR(__xludf.DUMMYFUNCTION("""COMPUTED_VALUE"""),"1.5,5.5,0,1,0,0")</f>
        <v>1.5,5.5,0,1,0,0</v>
      </c>
      <c r="S10" s="6" t="str">
        <f>IFERROR(__xludf.DUMMYFUNCTION("""COMPUTED_VALUE"""),"0,0,1.5,0,0,0")</f>
        <v>0,0,1.5,0,0,0</v>
      </c>
      <c r="T10" s="6" t="str">
        <f>IFERROR(__xludf.DUMMYFUNCTION("""COMPUTED_VALUE"""),"4.5,0,1,0,0,0")</f>
        <v>4.5,0,1,0,0,0</v>
      </c>
      <c r="U10" s="6" t="str">
        <f>IFERROR(__xludf.DUMMYFUNCTION("""COMPUTED_VALUE"""),"0,0,0,0,3,4")</f>
        <v>0,0,0,0,3,4</v>
      </c>
      <c r="V10" s="6" t="str">
        <f>IFERROR(__xludf.DUMMYFUNCTION("""COMPUTED_VALUE"""),",,,,,")</f>
        <v>,,,,,</v>
      </c>
      <c r="W10" s="6" t="str">
        <f>IFERROR(__xludf.DUMMYFUNCTION("""COMPUTED_VALUE"""),"1kCYgKAw3Bdw0Zvfxh3KTs44KLK8OXdlZ")</f>
        <v>1kCYgKAw3Bdw0Zvfxh3KTs44KLK8OXdlZ</v>
      </c>
    </row>
    <row r="11">
      <c r="A11" s="6">
        <f>IFERROR(__xludf.DUMMYFUNCTION("""COMPUTED_VALUE"""),10.0)</f>
        <v>10</v>
      </c>
      <c r="B11" s="6" t="str">
        <f>IFERROR(__xludf.DUMMYFUNCTION("""COMPUTED_VALUE"""),"Monta Vista B")</f>
        <v>Monta Vista B</v>
      </c>
      <c r="C11" s="6" t="str">
        <f>IFERROR(__xludf.DUMMYFUNCTION("""COMPUTED_VALUE"""),"Canyon Crest B")</f>
        <v>Canyon Crest B</v>
      </c>
      <c r="D11" s="6">
        <f>IFERROR(__xludf.DUMMYFUNCTION("""COMPUTED_VALUE"""),1.0)</f>
        <v>1</v>
      </c>
      <c r="E11" s="6" t="str">
        <f>IFERROR(__xludf.DUMMYFUNCTION("""COMPUTED_VALUE"""),"Round Robin")</f>
        <v>Round Robin</v>
      </c>
      <c r="F11" s="6" t="str">
        <f>IFERROR(__xludf.DUMMYFUNCTION("""COMPUTED_VALUE"""),"D")</f>
        <v>D</v>
      </c>
      <c r="G11" s="6" t="str">
        <f>IFERROR(__xludf.DUMMYFUNCTION("""COMPUTED_VALUE"""),"DWINELLE 189")</f>
        <v>DWINELLE 189</v>
      </c>
      <c r="H11" s="6" t="str">
        <f>IFERROR(__xludf.DUMMYFUNCTION("""COMPUTED_VALUE"""),"1ooSRLWY0MLwT7bADGPSBq_d_C6aks-iCdjbpVF3gRyg")</f>
        <v>1ooSRLWY0MLwT7bADGPSBq_d_C6aks-iCdjbpVF3gRyg</v>
      </c>
      <c r="I11" s="16" t="str">
        <f>IFERROR(__xludf.DUMMYFUNCTION("""COMPUTED_VALUE"""),"https://docs.google.com/spreadsheets/d/1ooSRLWY0MLwT7bADGPSBq_d_C6aks-iCdjbpVF3gRyg")</f>
        <v>https://docs.google.com/spreadsheets/d/1ooSRLWY0MLwT7bADGPSBq_d_C6aks-iCdjbpVF3gRyg</v>
      </c>
      <c r="J11" s="6" t="b">
        <f>IFERROR(__xludf.DUMMYFUNCTION("""COMPUTED_VALUE"""),TRUE)</f>
        <v>1</v>
      </c>
      <c r="K11" s="6">
        <f>IFERROR(__xludf.DUMMYFUNCTION("""COMPUTED_VALUE"""),54.0)</f>
        <v>54</v>
      </c>
      <c r="L11" s="6">
        <f>IFERROR(__xludf.DUMMYFUNCTION("""COMPUTED_VALUE"""),76.0)</f>
        <v>76</v>
      </c>
      <c r="M11" s="6" t="str">
        <f>IFERROR(__xludf.DUMMYFUNCTION("""COMPUTED_VALUE"""),"0,0,0,0,0,0")</f>
        <v>0,0,0,0,0,0</v>
      </c>
      <c r="N11" s="6" t="str">
        <f>IFERROR(__xludf.DUMMYFUNCTION("""COMPUTED_VALUE"""),"0,0,2.5,1.5,1.5,0")</f>
        <v>0,0,2.5,1.5,1.5,0</v>
      </c>
      <c r="O11" s="6" t="str">
        <f>IFERROR(__xludf.DUMMYFUNCTION("""COMPUTED_VALUE"""),"0,0,0,0,0,0")</f>
        <v>0,0,0,0,0,0</v>
      </c>
      <c r="P11" s="6" t="str">
        <f>IFERROR(__xludf.DUMMYFUNCTION("""COMPUTED_VALUE"""),"#N/A")</f>
        <v>#N/A</v>
      </c>
      <c r="Q11" s="6" t="str">
        <f>IFERROR(__xludf.DUMMYFUNCTION("""COMPUTED_VALUE"""),"1,0,0,0,0,0")</f>
        <v>1,0,0,0,0,0</v>
      </c>
      <c r="R11" s="6" t="str">
        <f>IFERROR(__xludf.DUMMYFUNCTION("""COMPUTED_VALUE"""),"2.5,0,-1,1,3,0")</f>
        <v>2.5,0,-1,1,3,0</v>
      </c>
      <c r="S11" s="6" t="str">
        <f>IFERROR(__xludf.DUMMYFUNCTION("""COMPUTED_VALUE"""),"1.5,1,0,0,0,0")</f>
        <v>1.5,1,0,0,0,0</v>
      </c>
      <c r="T11" s="6" t="str">
        <f>IFERROR(__xludf.DUMMYFUNCTION("""COMPUTED_VALUE"""),"0,0,0,0,1.5,1")</f>
        <v>0,0,0,0,1.5,1</v>
      </c>
      <c r="U11" s="6" t="str">
        <f>IFERROR(__xludf.DUMMYFUNCTION("""COMPUTED_VALUE"""),"0,0,0,0,0,0")</f>
        <v>0,0,0,0,0,0</v>
      </c>
      <c r="V11" s="6" t="str">
        <f>IFERROR(__xludf.DUMMYFUNCTION("""COMPUTED_VALUE"""),",,,,,")</f>
        <v>,,,,,</v>
      </c>
      <c r="W11" s="6" t="str">
        <f>IFERROR(__xludf.DUMMYFUNCTION("""COMPUTED_VALUE"""),"1SugmEQju9xy78Wv1Su4-qpjFyVCOG0t1")</f>
        <v>1SugmEQju9xy78Wv1Su4-qpjFyVCOG0t1</v>
      </c>
    </row>
    <row r="12">
      <c r="A12" s="6">
        <f>IFERROR(__xludf.DUMMYFUNCTION("""COMPUTED_VALUE"""),11.0)</f>
        <v>11</v>
      </c>
      <c r="B12" s="6" t="str">
        <f>IFERROR(__xludf.DUMMYFUNCTION("""COMPUTED_VALUE"""),"Palo Alto A")</f>
        <v>Palo Alto A</v>
      </c>
      <c r="C12" s="6" t="str">
        <f>IFERROR(__xludf.DUMMYFUNCTION("""COMPUTED_VALUE"""),"Lynbrook A")</f>
        <v>Lynbrook A</v>
      </c>
      <c r="D12" s="6">
        <f>IFERROR(__xludf.DUMMYFUNCTION("""COMPUTED_VALUE"""),1.0)</f>
        <v>1</v>
      </c>
      <c r="E12" s="6" t="str">
        <f>IFERROR(__xludf.DUMMYFUNCTION("""COMPUTED_VALUE"""),"Round Robin")</f>
        <v>Round Robin</v>
      </c>
      <c r="F12" s="6" t="str">
        <f>IFERROR(__xludf.DUMMYFUNCTION("""COMPUTED_VALUE"""),"D")</f>
        <v>D</v>
      </c>
      <c r="G12" s="6" t="str">
        <f>IFERROR(__xludf.DUMMYFUNCTION("""COMPUTED_VALUE"""),"DWINELLE 204")</f>
        <v>DWINELLE 204</v>
      </c>
      <c r="H12" s="6" t="str">
        <f>IFERROR(__xludf.DUMMYFUNCTION("""COMPUTED_VALUE"""),"1EHyzq7KFutBZei5wYGNzkRWFhZhtuoApn_wtllAWcRU")</f>
        <v>1EHyzq7KFutBZei5wYGNzkRWFhZhtuoApn_wtllAWcRU</v>
      </c>
      <c r="I12" s="21" t="str">
        <f>IFERROR(__xludf.DUMMYFUNCTION("""COMPUTED_VALUE"""),"https://docs.google.com/spreadsheets/d/1EHyzq7KFutBZei5wYGNzkRWFhZhtuoApn_wtllAWcRU")</f>
        <v>https://docs.google.com/spreadsheets/d/1EHyzq7KFutBZei5wYGNzkRWFhZhtuoApn_wtllAWcRU</v>
      </c>
      <c r="J12" s="6" t="b">
        <f>IFERROR(__xludf.DUMMYFUNCTION("""COMPUTED_VALUE"""),TRUE)</f>
        <v>1</v>
      </c>
      <c r="K12" s="6">
        <f>IFERROR(__xludf.DUMMYFUNCTION("""COMPUTED_VALUE"""),72.0)</f>
        <v>72</v>
      </c>
      <c r="L12" s="6">
        <f>IFERROR(__xludf.DUMMYFUNCTION("""COMPUTED_VALUE"""),212.0)</f>
        <v>212</v>
      </c>
      <c r="M12" s="6" t="str">
        <f>IFERROR(__xludf.DUMMYFUNCTION("""COMPUTED_VALUE"""),"0,0,0,1.5,0,-1")</f>
        <v>0,0,0,1.5,0,-1</v>
      </c>
      <c r="N12" s="6" t="str">
        <f>IFERROR(__xludf.DUMMYFUNCTION("""COMPUTED_VALUE"""),"0,0,0,0,0,0")</f>
        <v>0,0,0,0,0,0</v>
      </c>
      <c r="O12" s="6" t="str">
        <f>IFERROR(__xludf.DUMMYFUNCTION("""COMPUTED_VALUE"""),"3,0,0,0,0,0")</f>
        <v>3,0,0,0,0,0</v>
      </c>
      <c r="P12" s="6" t="str">
        <f>IFERROR(__xludf.DUMMYFUNCTION("""COMPUTED_VALUE"""),"0,0,0,0,2.5,0")</f>
        <v>0,0,0,0,2.5,0</v>
      </c>
      <c r="Q12" s="6" t="str">
        <f>IFERROR(__xludf.DUMMYFUNCTION("""COMPUTED_VALUE"""),"#N/A")</f>
        <v>#N/A</v>
      </c>
      <c r="R12" s="6" t="str">
        <f>IFERROR(__xludf.DUMMYFUNCTION("""COMPUTED_VALUE"""),"1,0,0,1.5,0,0")</f>
        <v>1,0,0,1.5,0,0</v>
      </c>
      <c r="S12" s="6" t="str">
        <f>IFERROR(__xludf.DUMMYFUNCTION("""COMPUTED_VALUE"""),"0,1.5,0,1,2,3")</f>
        <v>0,1.5,0,1,2,3</v>
      </c>
      <c r="T12" s="6" t="str">
        <f>IFERROR(__xludf.DUMMYFUNCTION("""COMPUTED_VALUE"""),"0,0,3,0,0,0")</f>
        <v>0,0,3,0,0,0</v>
      </c>
      <c r="U12" s="6" t="str">
        <f>IFERROR(__xludf.DUMMYFUNCTION("""COMPUTED_VALUE"""),"0,3,1.5,0,0,1.5")</f>
        <v>0,3,1.5,0,0,1.5</v>
      </c>
      <c r="V12" s="6" t="str">
        <f>IFERROR(__xludf.DUMMYFUNCTION("""COMPUTED_VALUE"""),"0,1.5,1.5,0,0,0")</f>
        <v>0,1.5,1.5,0,0,0</v>
      </c>
      <c r="W12" s="6" t="str">
        <f>IFERROR(__xludf.DUMMYFUNCTION("""COMPUTED_VALUE"""),"1Mt9Xksd_TdHkCUOFuH_LJ7Nfrgu0axBx")</f>
        <v>1Mt9Xksd_TdHkCUOFuH_LJ7Nfrgu0axBx</v>
      </c>
    </row>
    <row r="13">
      <c r="A13" s="6">
        <f>IFERROR(__xludf.DUMMYFUNCTION("""COMPUTED_VALUE"""),12.0)</f>
        <v>12</v>
      </c>
      <c r="B13" s="6" t="str">
        <f>IFERROR(__xludf.DUMMYFUNCTION("""COMPUTED_VALUE"""),"Arnold O. Beckman A")</f>
        <v>Arnold O. Beckman A</v>
      </c>
      <c r="C13" s="6" t="str">
        <f>IFERROR(__xludf.DUMMYFUNCTION("""COMPUTED_VALUE"""),"BASIS Independent A")</f>
        <v>BASIS Independent A</v>
      </c>
      <c r="D13" s="6">
        <f>IFERROR(__xludf.DUMMYFUNCTION("""COMPUTED_VALUE"""),1.0)</f>
        <v>1</v>
      </c>
      <c r="E13" s="6" t="str">
        <f>IFERROR(__xludf.DUMMYFUNCTION("""COMPUTED_VALUE"""),"Round Robin")</f>
        <v>Round Robin</v>
      </c>
      <c r="F13" s="6" t="str">
        <f>IFERROR(__xludf.DUMMYFUNCTION("""COMPUTED_VALUE"""),"D")</f>
        <v>D</v>
      </c>
      <c r="G13" s="6" t="str">
        <f>IFERROR(__xludf.DUMMYFUNCTION("""COMPUTED_VALUE"""),"DWINELLE 206")</f>
        <v>DWINELLE 206</v>
      </c>
      <c r="H13" s="6" t="str">
        <f>IFERROR(__xludf.DUMMYFUNCTION("""COMPUTED_VALUE"""),"1PHz6ZeiKIrPRSveV8BhccTSS54OSWbIjFjNdToC1_T4")</f>
        <v>1PHz6ZeiKIrPRSveV8BhccTSS54OSWbIjFjNdToC1_T4</v>
      </c>
      <c r="I13" s="16" t="str">
        <f>IFERROR(__xludf.DUMMYFUNCTION("""COMPUTED_VALUE"""),"https://docs.google.com/spreadsheets/d/1PHz6ZeiKIrPRSveV8BhccTSS54OSWbIjFjNdToC1_T4")</f>
        <v>https://docs.google.com/spreadsheets/d/1PHz6ZeiKIrPRSveV8BhccTSS54OSWbIjFjNdToC1_T4</v>
      </c>
      <c r="J13" s="6" t="b">
        <f>IFERROR(__xludf.DUMMYFUNCTION("""COMPUTED_VALUE"""),TRUE)</f>
        <v>1</v>
      </c>
      <c r="K13" s="6">
        <f>IFERROR(__xludf.DUMMYFUNCTION("""COMPUTED_VALUE"""),22.0)</f>
        <v>22</v>
      </c>
      <c r="L13" s="6">
        <f>IFERROR(__xludf.DUMMYFUNCTION("""COMPUTED_VALUE"""),136.0)</f>
        <v>136</v>
      </c>
      <c r="M13" s="6" t="str">
        <f>IFERROR(__xludf.DUMMYFUNCTION("""COMPUTED_VALUE"""),"0,0,0,0,0,0")</f>
        <v>0,0,0,0,0,0</v>
      </c>
      <c r="N13" s="6" t="str">
        <f>IFERROR(__xludf.DUMMYFUNCTION("""COMPUTED_VALUE"""),"0,0,1,0,0,1")</f>
        <v>0,0,1,0,0,1</v>
      </c>
      <c r="O13" s="6" t="str">
        <f>IFERROR(__xludf.DUMMYFUNCTION("""COMPUTED_VALUE"""),"1.5,0,0,0,0,0")</f>
        <v>1.5,0,0,0,0,0</v>
      </c>
      <c r="P13" s="6" t="str">
        <f>IFERROR(__xludf.DUMMYFUNCTION("""COMPUTED_VALUE"""),"0,0,0,0,0,0")</f>
        <v>0,0,0,0,0,0</v>
      </c>
      <c r="Q13" s="6" t="str">
        <f>IFERROR(__xludf.DUMMYFUNCTION("""COMPUTED_VALUE"""),",,,,,")</f>
        <v>,,,,,</v>
      </c>
      <c r="R13" s="6" t="str">
        <f>IFERROR(__xludf.DUMMYFUNCTION("""COMPUTED_VALUE"""),"0,0,0,0,4.5,0")</f>
        <v>0,0,0,0,4.5,0</v>
      </c>
      <c r="S13" s="6" t="str">
        <f>IFERROR(__xludf.DUMMYFUNCTION("""COMPUTED_VALUE"""),"0,3,2.5,1,1.5,0")</f>
        <v>0,3,2.5,1,1.5,0</v>
      </c>
      <c r="T13" s="6" t="str">
        <f>IFERROR(__xludf.DUMMYFUNCTION("""COMPUTED_VALUE"""),"3.5,0,0,1,0,0")</f>
        <v>3.5,0,0,1,0,0</v>
      </c>
      <c r="U13" s="6" t="str">
        <f>IFERROR(__xludf.DUMMYFUNCTION("""COMPUTED_VALUE"""),"#N/A")</f>
        <v>#N/A</v>
      </c>
      <c r="V13" s="6" t="str">
        <f>IFERROR(__xludf.DUMMYFUNCTION("""COMPUTED_VALUE"""),"0,0,1.5,0,0,0")</f>
        <v>0,0,1.5,0,0,0</v>
      </c>
      <c r="W13" s="6" t="str">
        <f>IFERROR(__xludf.DUMMYFUNCTION("""COMPUTED_VALUE"""),"1R8Q7gRcKc9BVAL76Yk7Shtq5EWg_4_YO")</f>
        <v>1R8Q7gRcKc9BVAL76Yk7Shtq5EWg_4_YO</v>
      </c>
    </row>
    <row r="14">
      <c r="A14" s="6">
        <f>IFERROR(__xludf.DUMMYFUNCTION("""COMPUTED_VALUE"""),13.0)</f>
        <v>13</v>
      </c>
      <c r="B14" s="6" t="str">
        <f>IFERROR(__xludf.DUMMYFUNCTION("""COMPUTED_VALUE"""),"Mission San Jose A")</f>
        <v>Mission San Jose A</v>
      </c>
      <c r="C14" s="6" t="str">
        <f>IFERROR(__xludf.DUMMYFUNCTION("""COMPUTED_VALUE"""),"Saratoga")</f>
        <v>Saratoga</v>
      </c>
      <c r="D14" s="6">
        <f>IFERROR(__xludf.DUMMYFUNCTION("""COMPUTED_VALUE"""),1.0)</f>
        <v>1</v>
      </c>
      <c r="E14" s="6" t="str">
        <f>IFERROR(__xludf.DUMMYFUNCTION("""COMPUTED_VALUE"""),"Round Robin")</f>
        <v>Round Robin</v>
      </c>
      <c r="F14" s="6" t="str">
        <f>IFERROR(__xludf.DUMMYFUNCTION("""COMPUTED_VALUE"""),"E")</f>
        <v>E</v>
      </c>
      <c r="G14" s="6" t="str">
        <f>IFERROR(__xludf.DUMMYFUNCTION("""COMPUTED_VALUE"""),"DWINELLE 209")</f>
        <v>DWINELLE 209</v>
      </c>
      <c r="H14" s="6" t="str">
        <f>IFERROR(__xludf.DUMMYFUNCTION("""COMPUTED_VALUE"""),"18XReYd_p1qjohejY0YecE5skkIsZdlrwQkUCr_o51NE")</f>
        <v>18XReYd_p1qjohejY0YecE5skkIsZdlrwQkUCr_o51NE</v>
      </c>
      <c r="I14" s="16" t="str">
        <f>IFERROR(__xludf.DUMMYFUNCTION("""COMPUTED_VALUE"""),"https://docs.google.com/spreadsheets/d/18XReYd_p1qjohejY0YecE5skkIsZdlrwQkUCr_o51NE")</f>
        <v>https://docs.google.com/spreadsheets/d/18XReYd_p1qjohejY0YecE5skkIsZdlrwQkUCr_o51NE</v>
      </c>
      <c r="J14" s="6" t="b">
        <f>IFERROR(__xludf.DUMMYFUNCTION("""COMPUTED_VALUE"""),TRUE)</f>
        <v>1</v>
      </c>
      <c r="K14" s="6">
        <f>IFERROR(__xludf.DUMMYFUNCTION("""COMPUTED_VALUE"""),152.0)</f>
        <v>152</v>
      </c>
      <c r="L14" s="6">
        <f>IFERROR(__xludf.DUMMYFUNCTION("""COMPUTED_VALUE"""),116.0)</f>
        <v>116</v>
      </c>
      <c r="M14" s="6" t="str">
        <f>IFERROR(__xludf.DUMMYFUNCTION("""COMPUTED_VALUE"""),"0,0,0,1.5,0,1.5")</f>
        <v>0,0,0,1.5,0,1.5</v>
      </c>
      <c r="N14" s="6" t="str">
        <f>IFERROR(__xludf.DUMMYFUNCTION("""COMPUTED_VALUE"""),"0,4.5,0,0,0,0")</f>
        <v>0,4.5,0,0,0,0</v>
      </c>
      <c r="O14" s="6" t="str">
        <f>IFERROR(__xludf.DUMMYFUNCTION("""COMPUTED_VALUE"""),"0,0,0,0,0,1")</f>
        <v>0,0,0,0,0,1</v>
      </c>
      <c r="P14" s="6" t="str">
        <f>IFERROR(__xludf.DUMMYFUNCTION("""COMPUTED_VALUE"""),"1.5,0,3,0,0,0")</f>
        <v>1.5,0,3,0,0,0</v>
      </c>
      <c r="Q14" s="6" t="str">
        <f>IFERROR(__xludf.DUMMYFUNCTION("""COMPUTED_VALUE"""),"3,0,0,0,0,0")</f>
        <v>3,0,0,0,0,0</v>
      </c>
      <c r="R14" s="6" t="str">
        <f>IFERROR(__xludf.DUMMYFUNCTION("""COMPUTED_VALUE"""),"1.5,1.5,0.5,0,6,0")</f>
        <v>1.5,1.5,0.5,0,6,0</v>
      </c>
      <c r="S14" s="6" t="str">
        <f>IFERROR(__xludf.DUMMYFUNCTION("""COMPUTED_VALUE"""),"0,0,0,0,0,0")</f>
        <v>0,0,0,0,0,0</v>
      </c>
      <c r="T14" s="6" t="str">
        <f>IFERROR(__xludf.DUMMYFUNCTION("""COMPUTED_VALUE"""),"0,0,0,0,0,0")</f>
        <v>0,0,0,0,0,0</v>
      </c>
      <c r="U14" s="6" t="str">
        <f>IFERROR(__xludf.DUMMYFUNCTION("""COMPUTED_VALUE"""),"0,-1,1.5,1,0,0")</f>
        <v>0,-1,1.5,1,0,0</v>
      </c>
      <c r="V14" s="6" t="str">
        <f>IFERROR(__xludf.DUMMYFUNCTION("""COMPUTED_VALUE"""),"0,0,0,0,0,0")</f>
        <v>0,0,0,0,0,0</v>
      </c>
      <c r="W14" s="6" t="str">
        <f>IFERROR(__xludf.DUMMYFUNCTION("""COMPUTED_VALUE"""),"1ceIlOa2fB7WrLZM2CEwKD06R4jlBCRMA")</f>
        <v>1ceIlOa2fB7WrLZM2CEwKD06R4jlBCRMA</v>
      </c>
    </row>
    <row r="15">
      <c r="A15" s="6">
        <f>IFERROR(__xludf.DUMMYFUNCTION("""COMPUTED_VALUE"""),14.0)</f>
        <v>14</v>
      </c>
      <c r="B15" s="6" t="str">
        <f>IFERROR(__xludf.DUMMYFUNCTION("""COMPUTED_VALUE"""),"California A")</f>
        <v>California A</v>
      </c>
      <c r="C15" s="6" t="str">
        <f>IFERROR(__xludf.DUMMYFUNCTION("""COMPUTED_VALUE"""),"Abraham Lincoln")</f>
        <v>Abraham Lincoln</v>
      </c>
      <c r="D15" s="6">
        <f>IFERROR(__xludf.DUMMYFUNCTION("""COMPUTED_VALUE"""),1.0)</f>
        <v>1</v>
      </c>
      <c r="E15" s="6" t="str">
        <f>IFERROR(__xludf.DUMMYFUNCTION("""COMPUTED_VALUE"""),"Round Robin")</f>
        <v>Round Robin</v>
      </c>
      <c r="F15" s="6" t="str">
        <f>IFERROR(__xludf.DUMMYFUNCTION("""COMPUTED_VALUE"""),"E")</f>
        <v>E</v>
      </c>
      <c r="G15" s="6" t="str">
        <f>IFERROR(__xludf.DUMMYFUNCTION("""COMPUTED_VALUE"""),"DWINELLE 210")</f>
        <v>DWINELLE 210</v>
      </c>
      <c r="H15" s="6" t="str">
        <f>IFERROR(__xludf.DUMMYFUNCTION("""COMPUTED_VALUE"""),"14Pdi4yhF9f_tge-QGgsPsg8F2yj6BoU6Xou5k2Asd7E")</f>
        <v>14Pdi4yhF9f_tge-QGgsPsg8F2yj6BoU6Xou5k2Asd7E</v>
      </c>
      <c r="I15" s="16" t="str">
        <f>IFERROR(__xludf.DUMMYFUNCTION("""COMPUTED_VALUE"""),"https://docs.google.com/spreadsheets/d/14Pdi4yhF9f_tge-QGgsPsg8F2yj6BoU6Xou5k2Asd7E")</f>
        <v>https://docs.google.com/spreadsheets/d/14Pdi4yhF9f_tge-QGgsPsg8F2yj6BoU6Xou5k2Asd7E</v>
      </c>
      <c r="J15" s="6" t="b">
        <f>IFERROR(__xludf.DUMMYFUNCTION("""COMPUTED_VALUE"""),TRUE)</f>
        <v>1</v>
      </c>
      <c r="K15" s="6">
        <f>IFERROR(__xludf.DUMMYFUNCTION("""COMPUTED_VALUE"""),54.0)</f>
        <v>54</v>
      </c>
      <c r="L15" s="6">
        <f>IFERROR(__xludf.DUMMYFUNCTION("""COMPUTED_VALUE"""),8.0)</f>
        <v>8</v>
      </c>
      <c r="M15" s="6" t="str">
        <f>IFERROR(__xludf.DUMMYFUNCTION("""COMPUTED_VALUE"""),"0,0,0,0,0,0")</f>
        <v>0,0,0,0,0,0</v>
      </c>
      <c r="N15" s="6" t="str">
        <f>IFERROR(__xludf.DUMMYFUNCTION("""COMPUTED_VALUE"""),"0,0,0,0,1.5,0")</f>
        <v>0,0,0,0,1.5,0</v>
      </c>
      <c r="O15" s="6" t="str">
        <f>IFERROR(__xludf.DUMMYFUNCTION("""COMPUTED_VALUE"""),"0,0,0,0,0,0")</f>
        <v>0,0,0,0,0,0</v>
      </c>
      <c r="P15" s="6" t="str">
        <f>IFERROR(__xludf.DUMMYFUNCTION("""COMPUTED_VALUE"""),"0,0,0,0,0,2")</f>
        <v>0,0,0,0,0,2</v>
      </c>
      <c r="Q15" s="6" t="str">
        <f>IFERROR(__xludf.DUMMYFUNCTION("""COMPUTED_VALUE"""),"4,0,0,0,0,0")</f>
        <v>4,0,0,0,0,0</v>
      </c>
      <c r="R15" s="6" t="str">
        <f>IFERROR(__xludf.DUMMYFUNCTION("""COMPUTED_VALUE"""),"1,0,0,0,0,0")</f>
        <v>1,0,0,0,0,0</v>
      </c>
      <c r="S15" s="6" t="str">
        <f>IFERROR(__xludf.DUMMYFUNCTION("""COMPUTED_VALUE"""),"0,0,0,0,0,0")</f>
        <v>0,0,0,0,0,0</v>
      </c>
      <c r="T15" s="6" t="str">
        <f>IFERROR(__xludf.DUMMYFUNCTION("""COMPUTED_VALUE"""),"0,0,0,0,0,0")</f>
        <v>0,0,0,0,0,0</v>
      </c>
      <c r="U15" s="6" t="str">
        <f>IFERROR(__xludf.DUMMYFUNCTION("""COMPUTED_VALUE"""),"0,0,0,1,0,0")</f>
        <v>0,0,0,1,0,0</v>
      </c>
      <c r="V15" s="6" t="str">
        <f>IFERROR(__xludf.DUMMYFUNCTION("""COMPUTED_VALUE"""),"0,0,0,0,0,0")</f>
        <v>0,0,0,0,0,0</v>
      </c>
      <c r="W15" s="6" t="str">
        <f>IFERROR(__xludf.DUMMYFUNCTION("""COMPUTED_VALUE"""),"1_FRkf4EGoH4VxGtiBWR6Sp7-OliBOiic")</f>
        <v>1_FRkf4EGoH4VxGtiBWR6Sp7-OliBOiic</v>
      </c>
    </row>
    <row r="16">
      <c r="A16" s="6">
        <f>IFERROR(__xludf.DUMMYFUNCTION("""COMPUTED_VALUE"""),15.0)</f>
        <v>15</v>
      </c>
      <c r="B16" s="6" t="str">
        <f>IFERROR(__xludf.DUMMYFUNCTION("""COMPUTED_VALUE"""),"Archbishop Mitty A")</f>
        <v>Archbishop Mitty A</v>
      </c>
      <c r="C16" s="6" t="str">
        <f>IFERROR(__xludf.DUMMYFUNCTION("""COMPUTED_VALUE"""),"Lynbrook C")</f>
        <v>Lynbrook C</v>
      </c>
      <c r="D16" s="6">
        <f>IFERROR(__xludf.DUMMYFUNCTION("""COMPUTED_VALUE"""),1.0)</f>
        <v>1</v>
      </c>
      <c r="E16" s="6" t="str">
        <f>IFERROR(__xludf.DUMMYFUNCTION("""COMPUTED_VALUE"""),"Round Robin")</f>
        <v>Round Robin</v>
      </c>
      <c r="F16" s="6" t="str">
        <f>IFERROR(__xludf.DUMMYFUNCTION("""COMPUTED_VALUE"""),"E")</f>
        <v>E</v>
      </c>
      <c r="G16" s="6" t="str">
        <f>IFERROR(__xludf.DUMMYFUNCTION("""COMPUTED_VALUE"""),"DWINELLE 215")</f>
        <v>DWINELLE 215</v>
      </c>
      <c r="H16" s="6" t="str">
        <f>IFERROR(__xludf.DUMMYFUNCTION("""COMPUTED_VALUE"""),"1oq0etYk7dFKlGRjABeukRkVrQUZfRot1ximMdAbe2mY")</f>
        <v>1oq0etYk7dFKlGRjABeukRkVrQUZfRot1ximMdAbe2mY</v>
      </c>
      <c r="I16" s="16" t="str">
        <f>IFERROR(__xludf.DUMMYFUNCTION("""COMPUTED_VALUE"""),"https://docs.google.com/spreadsheets/d/1oq0etYk7dFKlGRjABeukRkVrQUZfRot1ximMdAbe2mY")</f>
        <v>https://docs.google.com/spreadsheets/d/1oq0etYk7dFKlGRjABeukRkVrQUZfRot1ximMdAbe2mY</v>
      </c>
      <c r="J16" s="6" t="b">
        <f>IFERROR(__xludf.DUMMYFUNCTION("""COMPUTED_VALUE"""),TRUE)</f>
        <v>1</v>
      </c>
      <c r="K16" s="6">
        <f>IFERROR(__xludf.DUMMYFUNCTION("""COMPUTED_VALUE"""),60.0)</f>
        <v>60</v>
      </c>
      <c r="L16" s="6">
        <f>IFERROR(__xludf.DUMMYFUNCTION("""COMPUTED_VALUE"""),130.0)</f>
        <v>130</v>
      </c>
      <c r="M16" s="6" t="str">
        <f>IFERROR(__xludf.DUMMYFUNCTION("""COMPUTED_VALUE"""),"0,0,0,0.5,0,0")</f>
        <v>0,0,0,0.5,0,0</v>
      </c>
      <c r="N16" s="6" t="str">
        <f>IFERROR(__xludf.DUMMYFUNCTION("""COMPUTED_VALUE"""),"0,0,0,0,0,0")</f>
        <v>0,0,0,0,0,0</v>
      </c>
      <c r="O16" s="6" t="str">
        <f>IFERROR(__xludf.DUMMYFUNCTION("""COMPUTED_VALUE"""),"-1,0,1.5,0,0,0")</f>
        <v>-1,0,1.5,0,0,0</v>
      </c>
      <c r="P16" s="6" t="str">
        <f>IFERROR(__xludf.DUMMYFUNCTION("""COMPUTED_VALUE"""),"2,0,0,0,0,0")</f>
        <v>2,0,0,0,0,0</v>
      </c>
      <c r="Q16" s="6" t="str">
        <f>IFERROR(__xludf.DUMMYFUNCTION("""COMPUTED_VALUE"""),",,,,,")</f>
        <v>,,,,,</v>
      </c>
      <c r="R16" s="6" t="str">
        <f>IFERROR(__xludf.DUMMYFUNCTION("""COMPUTED_VALUE"""),"0,0,0,0,0,0")</f>
        <v>0,0,0,0,0,0</v>
      </c>
      <c r="S16" s="6" t="str">
        <f>IFERROR(__xludf.DUMMYFUNCTION("""COMPUTED_VALUE"""),"3,0,0,0,1.5,0")</f>
        <v>3,0,0,0,1.5,0</v>
      </c>
      <c r="T16" s="6" t="str">
        <f>IFERROR(__xludf.DUMMYFUNCTION("""COMPUTED_VALUE"""),"#N/A")</f>
        <v>#N/A</v>
      </c>
      <c r="U16" s="6" t="str">
        <f>IFERROR(__xludf.DUMMYFUNCTION("""COMPUTED_VALUE"""),"0,1.5,1.5,0,0,0")</f>
        <v>0,1.5,1.5,0,0,0</v>
      </c>
      <c r="V16" s="6" t="str">
        <f>IFERROR(__xludf.DUMMYFUNCTION("""COMPUTED_VALUE"""),"0,2.5,0,1,1.5,2.5")</f>
        <v>0,2.5,0,1,1.5,2.5</v>
      </c>
      <c r="W16" s="6" t="str">
        <f>IFERROR(__xludf.DUMMYFUNCTION("""COMPUTED_VALUE"""),"1Qna1pYsoUSO2n7l_awkcAfh7nAFZQZGE")</f>
        <v>1Qna1pYsoUSO2n7l_awkcAfh7nAFZQZGE</v>
      </c>
    </row>
    <row r="17">
      <c r="A17" s="6">
        <f>IFERROR(__xludf.DUMMYFUNCTION("""COMPUTED_VALUE"""),16.0)</f>
        <v>16</v>
      </c>
      <c r="B17" s="6" t="str">
        <f>IFERROR(__xludf.DUMMYFUNCTION("""COMPUTED_VALUE"""),"Dougherty Valley B")</f>
        <v>Dougherty Valley B</v>
      </c>
      <c r="C17" s="6" t="str">
        <f>IFERROR(__xludf.DUMMYFUNCTION("""COMPUTED_VALUE"""),"Foothill A")</f>
        <v>Foothill A</v>
      </c>
      <c r="D17" s="6">
        <f>IFERROR(__xludf.DUMMYFUNCTION("""COMPUTED_VALUE"""),1.0)</f>
        <v>1</v>
      </c>
      <c r="E17" s="6" t="str">
        <f>IFERROR(__xludf.DUMMYFUNCTION("""COMPUTED_VALUE"""),"Round Robin")</f>
        <v>Round Robin</v>
      </c>
      <c r="F17" s="6" t="str">
        <f>IFERROR(__xludf.DUMMYFUNCTION("""COMPUTED_VALUE"""),"F")</f>
        <v>F</v>
      </c>
      <c r="G17" s="6" t="str">
        <f>IFERROR(__xludf.DUMMYFUNCTION("""COMPUTED_VALUE"""),"DWINELLE 246")</f>
        <v>DWINELLE 246</v>
      </c>
      <c r="H17" s="6" t="str">
        <f>IFERROR(__xludf.DUMMYFUNCTION("""COMPUTED_VALUE"""),"1LycAKXU4yQ36c_ByiW6MFphFsJ7E-fFB8dPuDCb9thk")</f>
        <v>1LycAKXU4yQ36c_ByiW6MFphFsJ7E-fFB8dPuDCb9thk</v>
      </c>
      <c r="I17" s="16" t="str">
        <f>IFERROR(__xludf.DUMMYFUNCTION("""COMPUTED_VALUE"""),"https://docs.google.com/spreadsheets/d/1LycAKXU4yQ36c_ByiW6MFphFsJ7E-fFB8dPuDCb9thk")</f>
        <v>https://docs.google.com/spreadsheets/d/1LycAKXU4yQ36c_ByiW6MFphFsJ7E-fFB8dPuDCb9thk</v>
      </c>
      <c r="J17" s="6" t="b">
        <f>IFERROR(__xludf.DUMMYFUNCTION("""COMPUTED_VALUE"""),TRUE)</f>
        <v>1</v>
      </c>
      <c r="K17" s="6">
        <f>IFERROR(__xludf.DUMMYFUNCTION("""COMPUTED_VALUE"""),44.0)</f>
        <v>44</v>
      </c>
      <c r="L17" s="6">
        <f>IFERROR(__xludf.DUMMYFUNCTION("""COMPUTED_VALUE"""),62.0)</f>
        <v>62</v>
      </c>
      <c r="M17" s="6" t="str">
        <f>IFERROR(__xludf.DUMMYFUNCTION("""COMPUTED_VALUE"""),"0,0,0,0,0,0")</f>
        <v>0,0,0,0,0,0</v>
      </c>
      <c r="N17" s="6" t="str">
        <f>IFERROR(__xludf.DUMMYFUNCTION("""COMPUTED_VALUE"""),"#N/A")</f>
        <v>#N/A</v>
      </c>
      <c r="O17" s="6" t="str">
        <f>IFERROR(__xludf.DUMMYFUNCTION("""COMPUTED_VALUE"""),"#N/A")</f>
        <v>#N/A</v>
      </c>
      <c r="P17" s="6" t="str">
        <f>IFERROR(__xludf.DUMMYFUNCTION("""COMPUTED_VALUE"""),"0,0,1.5,1.5,1,0")</f>
        <v>0,0,1.5,1.5,1,0</v>
      </c>
      <c r="Q17" s="6" t="str">
        <f>IFERROR(__xludf.DUMMYFUNCTION("""COMPUTED_VALUE"""),"0,0,0,0,0,0")</f>
        <v>0,0,0,0,0,0</v>
      </c>
      <c r="R17" s="6" t="str">
        <f>IFERROR(__xludf.DUMMYFUNCTION("""COMPUTED_VALUE"""),"3,0,0,0,0,0")</f>
        <v>3,0,0,0,0,0</v>
      </c>
      <c r="S17" s="6" t="str">
        <f>IFERROR(__xludf.DUMMYFUNCTION("""COMPUTED_VALUE"""),"0,0,0,0,0,0")</f>
        <v>0,0,0,0,0,0</v>
      </c>
      <c r="T17" s="6" t="str">
        <f>IFERROR(__xludf.DUMMYFUNCTION("""COMPUTED_VALUE"""),"1.5,0,-1,1,0,0")</f>
        <v>1.5,0,-1,1,0,0</v>
      </c>
      <c r="U17" s="6" t="str">
        <f>IFERROR(__xludf.DUMMYFUNCTION("""COMPUTED_VALUE"""),"0,0,0,0,0,0")</f>
        <v>0,0,0,0,0,0</v>
      </c>
      <c r="V17" s="6" t="str">
        <f>IFERROR(__xludf.DUMMYFUNCTION("""COMPUTED_VALUE"""),"0,0,0,0,2,0")</f>
        <v>0,0,0,0,2,0</v>
      </c>
      <c r="W17" s="6" t="str">
        <f>IFERROR(__xludf.DUMMYFUNCTION("""COMPUTED_VALUE"""),"1ZMUmrgOLjgL9cryFCDoYsJzMfRQXQGA0")</f>
        <v>1ZMUmrgOLjgL9cryFCDoYsJzMfRQXQGA0</v>
      </c>
    </row>
    <row r="18">
      <c r="A18" s="6">
        <f>IFERROR(__xludf.DUMMYFUNCTION("""COMPUTED_VALUE"""),17.0)</f>
        <v>17</v>
      </c>
      <c r="B18" s="6" t="str">
        <f>IFERROR(__xludf.DUMMYFUNCTION("""COMPUTED_VALUE"""),"Mira Loma B")</f>
        <v>Mira Loma B</v>
      </c>
      <c r="C18" s="6" t="str">
        <f>IFERROR(__xludf.DUMMYFUNCTION("""COMPUTED_VALUE"""),"American B")</f>
        <v>American B</v>
      </c>
      <c r="D18" s="6">
        <f>IFERROR(__xludf.DUMMYFUNCTION("""COMPUTED_VALUE"""),1.0)</f>
        <v>1</v>
      </c>
      <c r="E18" s="6" t="str">
        <f>IFERROR(__xludf.DUMMYFUNCTION("""COMPUTED_VALUE"""),"Round Robin")</f>
        <v>Round Robin</v>
      </c>
      <c r="F18" s="6" t="str">
        <f>IFERROR(__xludf.DUMMYFUNCTION("""COMPUTED_VALUE"""),"F")</f>
        <v>F</v>
      </c>
      <c r="G18" s="6" t="str">
        <f>IFERROR(__xludf.DUMMYFUNCTION("""COMPUTED_VALUE"""),"DWINELLE 262")</f>
        <v>DWINELLE 262</v>
      </c>
      <c r="H18" s="6" t="str">
        <f>IFERROR(__xludf.DUMMYFUNCTION("""COMPUTED_VALUE"""),"1GF1BnJ8VUgGoRwXwlK5vF_rId00anSciWW8_wui9dh4")</f>
        <v>1GF1BnJ8VUgGoRwXwlK5vF_rId00anSciWW8_wui9dh4</v>
      </c>
      <c r="I18" s="16" t="str">
        <f>IFERROR(__xludf.DUMMYFUNCTION("""COMPUTED_VALUE"""),"https://docs.google.com/spreadsheets/d/1GF1BnJ8VUgGoRwXwlK5vF_rId00anSciWW8_wui9dh4")</f>
        <v>https://docs.google.com/spreadsheets/d/1GF1BnJ8VUgGoRwXwlK5vF_rId00anSciWW8_wui9dh4</v>
      </c>
      <c r="J18" s="6" t="b">
        <f>IFERROR(__xludf.DUMMYFUNCTION("""COMPUTED_VALUE"""),TRUE)</f>
        <v>1</v>
      </c>
      <c r="K18" s="6">
        <f>IFERROR(__xludf.DUMMYFUNCTION("""COMPUTED_VALUE"""),104.0)</f>
        <v>104</v>
      </c>
      <c r="L18" s="6">
        <f>IFERROR(__xludf.DUMMYFUNCTION("""COMPUTED_VALUE"""),44.0)</f>
        <v>44</v>
      </c>
      <c r="M18" s="6" t="str">
        <f>IFERROR(__xludf.DUMMYFUNCTION("""COMPUTED_VALUE"""),"3,1.5,1.5,1,0,0")</f>
        <v>3,1.5,1.5,1,0,0</v>
      </c>
      <c r="N18" s="6" t="str">
        <f>IFERROR(__xludf.DUMMYFUNCTION("""COMPUTED_VALUE"""),"0,1.5,-1,0,1,1")</f>
        <v>0,1.5,-1,0,1,1</v>
      </c>
      <c r="O18" s="6" t="str">
        <f>IFERROR(__xludf.DUMMYFUNCTION("""COMPUTED_VALUE"""),"0,0,0,0,1.5,0")</f>
        <v>0,0,0,0,1.5,0</v>
      </c>
      <c r="P18" s="6" t="str">
        <f>IFERROR(__xludf.DUMMYFUNCTION("""COMPUTED_VALUE"""),"0,0,0,-1,1,0")</f>
        <v>0,0,0,-1,1,0</v>
      </c>
      <c r="Q18" s="6" t="str">
        <f>IFERROR(__xludf.DUMMYFUNCTION("""COMPUTED_VALUE"""),"#N/A")</f>
        <v>#N/A</v>
      </c>
      <c r="R18" s="6" t="str">
        <f>IFERROR(__xludf.DUMMYFUNCTION("""COMPUTED_VALUE"""),"2.5,0,0,0,0,0")</f>
        <v>2.5,0,0,0,0,0</v>
      </c>
      <c r="S18" s="6" t="str">
        <f>IFERROR(__xludf.DUMMYFUNCTION("""COMPUTED_VALUE"""),"#N/A")</f>
        <v>#N/A</v>
      </c>
      <c r="T18" s="6" t="str">
        <f>IFERROR(__xludf.DUMMYFUNCTION("""COMPUTED_VALUE"""),"0,0,0,0,-1,0")</f>
        <v>0,0,0,0,-1,0</v>
      </c>
      <c r="U18" s="6" t="str">
        <f>IFERROR(__xludf.DUMMYFUNCTION("""COMPUTED_VALUE"""),"0,0,0,0,0,0")</f>
        <v>0,0,0,0,0,0</v>
      </c>
      <c r="V18" s="6" t="str">
        <f>IFERROR(__xludf.DUMMYFUNCTION("""COMPUTED_VALUE"""),"0,0,1.5,0,1,0")</f>
        <v>0,0,1.5,0,1,0</v>
      </c>
      <c r="W18" s="6" t="str">
        <f>IFERROR(__xludf.DUMMYFUNCTION("""COMPUTED_VALUE"""),"1Vl5Oa0oSlbk2HzPsQjyl20DkDyVwWOEm")</f>
        <v>1Vl5Oa0oSlbk2HzPsQjyl20DkDyVwWOEm</v>
      </c>
    </row>
    <row r="19">
      <c r="A19" s="6">
        <f>IFERROR(__xludf.DUMMYFUNCTION("""COMPUTED_VALUE"""),18.0)</f>
        <v>18</v>
      </c>
      <c r="B19" s="6" t="str">
        <f>IFERROR(__xludf.DUMMYFUNCTION("""COMPUTED_VALUE"""),"American A")</f>
        <v>American A</v>
      </c>
      <c r="C19" s="6" t="str">
        <f>IFERROR(__xludf.DUMMYFUNCTION("""COMPUTED_VALUE"""),"Cupertino A")</f>
        <v>Cupertino A</v>
      </c>
      <c r="D19" s="6">
        <f>IFERROR(__xludf.DUMMYFUNCTION("""COMPUTED_VALUE"""),1.0)</f>
        <v>1</v>
      </c>
      <c r="E19" s="6" t="str">
        <f>IFERROR(__xludf.DUMMYFUNCTION("""COMPUTED_VALUE"""),"Round Robin")</f>
        <v>Round Robin</v>
      </c>
      <c r="F19" s="6" t="str">
        <f>IFERROR(__xludf.DUMMYFUNCTION("""COMPUTED_VALUE"""),"F")</f>
        <v>F</v>
      </c>
      <c r="G19" s="6" t="str">
        <f>IFERROR(__xludf.DUMMYFUNCTION("""COMPUTED_VALUE"""),"DWINELLE 263")</f>
        <v>DWINELLE 263</v>
      </c>
      <c r="H19" s="6" t="str">
        <f>IFERROR(__xludf.DUMMYFUNCTION("""COMPUTED_VALUE"""),"10LV_FiupHXd9ZDCKPFHP02Wuhc1sYGfotQYs3SZMK2I")</f>
        <v>10LV_FiupHXd9ZDCKPFHP02Wuhc1sYGfotQYs3SZMK2I</v>
      </c>
      <c r="I19" s="16" t="str">
        <f>IFERROR(__xludf.DUMMYFUNCTION("""COMPUTED_VALUE"""),"https://docs.google.com/spreadsheets/d/10LV_FiupHXd9ZDCKPFHP02Wuhc1sYGfotQYs3SZMK2I")</f>
        <v>https://docs.google.com/spreadsheets/d/10LV_FiupHXd9ZDCKPFHP02Wuhc1sYGfotQYs3SZMK2I</v>
      </c>
      <c r="J19" s="6" t="b">
        <f>IFERROR(__xludf.DUMMYFUNCTION("""COMPUTED_VALUE"""),TRUE)</f>
        <v>1</v>
      </c>
      <c r="K19" s="6">
        <f>IFERROR(__xludf.DUMMYFUNCTION("""COMPUTED_VALUE"""),72.0)</f>
        <v>72</v>
      </c>
      <c r="L19" s="6">
        <f>IFERROR(__xludf.DUMMYFUNCTION("""COMPUTED_VALUE"""),148.0)</f>
        <v>148</v>
      </c>
      <c r="M19" s="6" t="str">
        <f>IFERROR(__xludf.DUMMYFUNCTION("""COMPUTED_VALUE"""),"2.5,1.5,0,0,0,1")</f>
        <v>2.5,1.5,0,0,0,1</v>
      </c>
      <c r="N19" s="6" t="str">
        <f>IFERROR(__xludf.DUMMYFUNCTION("""COMPUTED_VALUE"""),"#N/A")</f>
        <v>#N/A</v>
      </c>
      <c r="O19" s="6" t="str">
        <f>IFERROR(__xludf.DUMMYFUNCTION("""COMPUTED_VALUE"""),"0,0,0,1,1.5,0")</f>
        <v>0,0,0,1,1.5,0</v>
      </c>
      <c r="P19" s="6" t="str">
        <f>IFERROR(__xludf.DUMMYFUNCTION("""COMPUTED_VALUE"""),"0,0,1,0,0,0")</f>
        <v>0,0,1,0,0,0</v>
      </c>
      <c r="Q19" s="6" t="str">
        <f>IFERROR(__xludf.DUMMYFUNCTION("""COMPUTED_VALUE"""),"0,0,0,0,1.5,0")</f>
        <v>0,0,0,0,1.5,0</v>
      </c>
      <c r="R19" s="6" t="str">
        <f>IFERROR(__xludf.DUMMYFUNCTION("""COMPUTED_VALUE"""),"0,4.5,0,1.5,0,0")</f>
        <v>0,4.5,0,1.5,0,0</v>
      </c>
      <c r="S19" s="6" t="str">
        <f>IFERROR(__xludf.DUMMYFUNCTION("""COMPUTED_VALUE"""),"1.5,0,4,1.5,1,1")</f>
        <v>1.5,0,4,1.5,1,1</v>
      </c>
      <c r="T19" s="6" t="str">
        <f>IFERROR(__xludf.DUMMYFUNCTION("""COMPUTED_VALUE"""),"0,0,0,0,0,0")</f>
        <v>0,0,0,0,0,0</v>
      </c>
      <c r="U19" s="6" t="str">
        <f>IFERROR(__xludf.DUMMYFUNCTION("""COMPUTED_VALUE"""),"1.5,0,0,0,1.5,0")</f>
        <v>1.5,0,0,0,1.5,0</v>
      </c>
      <c r="V19" s="6" t="str">
        <f>IFERROR(__xludf.DUMMYFUNCTION("""COMPUTED_VALUE"""),"#N/A")</f>
        <v>#N/A</v>
      </c>
      <c r="W19" s="6" t="str">
        <f>IFERROR(__xludf.DUMMYFUNCTION("""COMPUTED_VALUE"""),"1iSlolT830hPWUFNO8QFe1M73jdBAFnII")</f>
        <v>1iSlolT830hPWUFNO8QFe1M73jdBAFnII</v>
      </c>
    </row>
    <row r="20">
      <c r="A20" s="6">
        <f>IFERROR(__xludf.DUMMYFUNCTION("""COMPUTED_VALUE"""),19.0)</f>
        <v>19</v>
      </c>
      <c r="B20" s="6" t="str">
        <f>IFERROR(__xludf.DUMMYFUNCTION("""COMPUTED_VALUE"""),"Mission San Jose B")</f>
        <v>Mission San Jose B</v>
      </c>
      <c r="C20" s="6" t="str">
        <f>IFERROR(__xludf.DUMMYFUNCTION("""COMPUTED_VALUE"""),"Dougherty Valley A")</f>
        <v>Dougherty Valley A</v>
      </c>
      <c r="D20" s="6">
        <f>IFERROR(__xludf.DUMMYFUNCTION("""COMPUTED_VALUE"""),2.0)</f>
        <v>2</v>
      </c>
      <c r="E20" s="6" t="str">
        <f>IFERROR(__xludf.DUMMYFUNCTION("""COMPUTED_VALUE"""),"Round Robin")</f>
        <v>Round Robin</v>
      </c>
      <c r="F20" s="6" t="str">
        <f>IFERROR(__xludf.DUMMYFUNCTION("""COMPUTED_VALUE"""),"A")</f>
        <v>A</v>
      </c>
      <c r="G20" s="6" t="str">
        <f>IFERROR(__xludf.DUMMYFUNCTION("""COMPUTED_VALUE"""),"DWINELLE 87")</f>
        <v>DWINELLE 87</v>
      </c>
      <c r="H20" s="6" t="str">
        <f>IFERROR(__xludf.DUMMYFUNCTION("""COMPUTED_VALUE"""),"181dKvntxkY-vLRLlcVy8V69_okp_25ubM5QCFqeB1uI")</f>
        <v>181dKvntxkY-vLRLlcVy8V69_okp_25ubM5QCFqeB1uI</v>
      </c>
      <c r="I20" s="16" t="str">
        <f>IFERROR(__xludf.DUMMYFUNCTION("""COMPUTED_VALUE"""),"https://docs.google.com/spreadsheets/d/181dKvntxkY-vLRLlcVy8V69_okp_25ubM5QCFqeB1uI")</f>
        <v>https://docs.google.com/spreadsheets/d/181dKvntxkY-vLRLlcVy8V69_okp_25ubM5QCFqeB1uI</v>
      </c>
      <c r="J20" s="6" t="b">
        <f>IFERROR(__xludf.DUMMYFUNCTION("""COMPUTED_VALUE"""),TRUE)</f>
        <v>1</v>
      </c>
      <c r="K20" s="6">
        <f>IFERROR(__xludf.DUMMYFUNCTION("""COMPUTED_VALUE"""),136.0)</f>
        <v>136</v>
      </c>
      <c r="L20" s="6">
        <f>IFERROR(__xludf.DUMMYFUNCTION("""COMPUTED_VALUE"""),84.0)</f>
        <v>84</v>
      </c>
      <c r="M20" s="6" t="str">
        <f>IFERROR(__xludf.DUMMYFUNCTION("""COMPUTED_VALUE"""),"0,0,0,0,0,0")</f>
        <v>0,0,0,0,0,0</v>
      </c>
      <c r="N20" s="6" t="str">
        <f>IFERROR(__xludf.DUMMYFUNCTION("""COMPUTED_VALUE"""),"2,2.5,1,0.5,1.5,1.5")</f>
        <v>2,2.5,1,0.5,1.5,1.5</v>
      </c>
      <c r="O20" s="6" t="str">
        <f>IFERROR(__xludf.DUMMYFUNCTION("""COMPUTED_VALUE"""),"#N/A")</f>
        <v>#N/A</v>
      </c>
      <c r="P20" s="6" t="str">
        <f>IFERROR(__xludf.DUMMYFUNCTION("""COMPUTED_VALUE"""),"0,0,0,0,1.5,1.5")</f>
        <v>0,0,0,0,1.5,1.5</v>
      </c>
      <c r="Q20" s="6" t="str">
        <f>IFERROR(__xludf.DUMMYFUNCTION("""COMPUTED_VALUE"""),"0,-1,0,0,0,0")</f>
        <v>0,-1,0,0,0,0</v>
      </c>
      <c r="R20" s="6" t="str">
        <f>IFERROR(__xludf.DUMMYFUNCTION("""COMPUTED_VALUE"""),"0,3,1,0,0,0")</f>
        <v>0,3,1,0,0,0</v>
      </c>
      <c r="S20" s="6" t="str">
        <f>IFERROR(__xludf.DUMMYFUNCTION("""COMPUTED_VALUE"""),"0,0,1,0,1.5,0")</f>
        <v>0,0,1,0,1.5,0</v>
      </c>
      <c r="T20" s="6" t="str">
        <f>IFERROR(__xludf.DUMMYFUNCTION("""COMPUTED_VALUE"""),"-1,0,0,0,0,0")</f>
        <v>-1,0,0,0,0,0</v>
      </c>
      <c r="U20" s="6" t="str">
        <f>IFERROR(__xludf.DUMMYFUNCTION("""COMPUTED_VALUE"""),"-1,0,0,1.5,0,0")</f>
        <v>-1,0,0,1.5,0,0</v>
      </c>
      <c r="V20" s="6" t="str">
        <f>IFERROR(__xludf.DUMMYFUNCTION("""COMPUTED_VALUE"""),",,,,,")</f>
        <v>,,,,,</v>
      </c>
      <c r="W20" s="6" t="str">
        <f>IFERROR(__xludf.DUMMYFUNCTION("""COMPUTED_VALUE"""),"1wU8ddNcIDYy_LNgK50_oAheTJQ7qxrnc")</f>
        <v>1wU8ddNcIDYy_LNgK50_oAheTJQ7qxrnc</v>
      </c>
    </row>
    <row r="21">
      <c r="A21" s="6">
        <f>IFERROR(__xludf.DUMMYFUNCTION("""COMPUTED_VALUE"""),20.0)</f>
        <v>20</v>
      </c>
      <c r="B21" s="6" t="str">
        <f>IFERROR(__xludf.DUMMYFUNCTION("""COMPUTED_VALUE"""),"BASIS Independent B")</f>
        <v>BASIS Independent B</v>
      </c>
      <c r="C21" s="6" t="str">
        <f>IFERROR(__xludf.DUMMYFUNCTION("""COMPUTED_VALUE"""),"Palo Alto B")</f>
        <v>Palo Alto B</v>
      </c>
      <c r="D21" s="6">
        <f>IFERROR(__xludf.DUMMYFUNCTION("""COMPUTED_VALUE"""),2.0)</f>
        <v>2</v>
      </c>
      <c r="E21" s="6" t="str">
        <f>IFERROR(__xludf.DUMMYFUNCTION("""COMPUTED_VALUE"""),"Round Robin")</f>
        <v>Round Robin</v>
      </c>
      <c r="F21" s="6" t="str">
        <f>IFERROR(__xludf.DUMMYFUNCTION("""COMPUTED_VALUE"""),"A")</f>
        <v>A</v>
      </c>
      <c r="G21" s="6" t="str">
        <f>IFERROR(__xludf.DUMMYFUNCTION("""COMPUTED_VALUE"""),"DWINELLE 88")</f>
        <v>DWINELLE 88</v>
      </c>
      <c r="H21" s="6" t="str">
        <f>IFERROR(__xludf.DUMMYFUNCTION("""COMPUTED_VALUE"""),"1fdgtRjAgnSm3y69-VooshsVIi3IFPCWFvnMTAfUbl1g")</f>
        <v>1fdgtRjAgnSm3y69-VooshsVIi3IFPCWFvnMTAfUbl1g</v>
      </c>
      <c r="I21" s="16" t="str">
        <f>IFERROR(__xludf.DUMMYFUNCTION("""COMPUTED_VALUE"""),"https://docs.google.com/spreadsheets/d/1fdgtRjAgnSm3y69-VooshsVIi3IFPCWFvnMTAfUbl1g")</f>
        <v>https://docs.google.com/spreadsheets/d/1fdgtRjAgnSm3y69-VooshsVIi3IFPCWFvnMTAfUbl1g</v>
      </c>
      <c r="J21" s="6" t="b">
        <f>IFERROR(__xludf.DUMMYFUNCTION("""COMPUTED_VALUE"""),TRUE)</f>
        <v>1</v>
      </c>
      <c r="K21" s="6">
        <f>IFERROR(__xludf.DUMMYFUNCTION("""COMPUTED_VALUE"""),80.0)</f>
        <v>80</v>
      </c>
      <c r="L21" s="6">
        <f>IFERROR(__xludf.DUMMYFUNCTION("""COMPUTED_VALUE"""),64.0)</f>
        <v>64</v>
      </c>
      <c r="M21" s="6" t="str">
        <f>IFERROR(__xludf.DUMMYFUNCTION("""COMPUTED_VALUE"""),"0,1.5,0,1.5,0,0")</f>
        <v>0,1.5,0,1.5,0,0</v>
      </c>
      <c r="N21" s="6" t="str">
        <f>IFERROR(__xludf.DUMMYFUNCTION("""COMPUTED_VALUE"""),"1.5,0,2,0,0,0")</f>
        <v>1.5,0,2,0,0,0</v>
      </c>
      <c r="O21" s="6" t="str">
        <f>IFERROR(__xludf.DUMMYFUNCTION("""COMPUTED_VALUE"""),"0,0,0,0,0,0")</f>
        <v>0,0,0,0,0,0</v>
      </c>
      <c r="P21" s="6" t="str">
        <f>IFERROR(__xludf.DUMMYFUNCTION("""COMPUTED_VALUE"""),"0,1,0,1.5,0,0")</f>
        <v>0,1,0,1.5,0,0</v>
      </c>
      <c r="Q21" s="6" t="str">
        <f>IFERROR(__xludf.DUMMYFUNCTION("""COMPUTED_VALUE"""),",,,,,")</f>
        <v>,,,,,</v>
      </c>
      <c r="R21" s="6" t="str">
        <f>IFERROR(__xludf.DUMMYFUNCTION("""COMPUTED_VALUE"""),"0.5,0,-1,0,0,0")</f>
        <v>0.5,0,-1,0,0,0</v>
      </c>
      <c r="S21" s="6" t="str">
        <f>IFERROR(__xludf.DUMMYFUNCTION("""COMPUTED_VALUE"""),"0.5,0,1.5,0,0,0")</f>
        <v>0.5,0,1.5,0,0,0</v>
      </c>
      <c r="T21" s="6" t="str">
        <f>IFERROR(__xludf.DUMMYFUNCTION("""COMPUTED_VALUE"""),"0,0,0,0,0,1.5")</f>
        <v>0,0,0,0,0,1.5</v>
      </c>
      <c r="U21" s="6" t="str">
        <f>IFERROR(__xludf.DUMMYFUNCTION("""COMPUTED_VALUE"""),"0,1,0,0,0,0")</f>
        <v>0,1,0,0,0,0</v>
      </c>
      <c r="V21" s="6" t="str">
        <f>IFERROR(__xludf.DUMMYFUNCTION("""COMPUTED_VALUE"""),"0,0,0,0,0,1.5")</f>
        <v>0,0,0,0,0,1.5</v>
      </c>
      <c r="W21" s="6" t="str">
        <f>IFERROR(__xludf.DUMMYFUNCTION("""COMPUTED_VALUE"""),"103JTGMew8yagYGeIoIvugJ7A3dBmouHQ")</f>
        <v>103JTGMew8yagYGeIoIvugJ7A3dBmouHQ</v>
      </c>
    </row>
    <row r="22">
      <c r="A22" s="6">
        <f>IFERROR(__xludf.DUMMYFUNCTION("""COMPUTED_VALUE"""),21.0)</f>
        <v>21</v>
      </c>
      <c r="B22" s="6" t="str">
        <f>IFERROR(__xludf.DUMMYFUNCTION("""COMPUTED_VALUE"""),"Saint Francis")</f>
        <v>Saint Francis</v>
      </c>
      <c r="C22" s="6" t="str">
        <f>IFERROR(__xludf.DUMMYFUNCTION("""COMPUTED_VALUE"""),"Stanford Online")</f>
        <v>Stanford Online</v>
      </c>
      <c r="D22" s="6">
        <f>IFERROR(__xludf.DUMMYFUNCTION("""COMPUTED_VALUE"""),2.0)</f>
        <v>2</v>
      </c>
      <c r="E22" s="6" t="str">
        <f>IFERROR(__xludf.DUMMYFUNCTION("""COMPUTED_VALUE"""),"Round Robin")</f>
        <v>Round Robin</v>
      </c>
      <c r="F22" s="6" t="str">
        <f>IFERROR(__xludf.DUMMYFUNCTION("""COMPUTED_VALUE"""),"A")</f>
        <v>A</v>
      </c>
      <c r="G22" s="6" t="str">
        <f>IFERROR(__xludf.DUMMYFUNCTION("""COMPUTED_VALUE"""),"DWINELLE 89")</f>
        <v>DWINELLE 89</v>
      </c>
      <c r="H22" s="6" t="str">
        <f>IFERROR(__xludf.DUMMYFUNCTION("""COMPUTED_VALUE"""),"1fxnjLoO8Xw5Rwn9s-iWd73EsAFchG8Ujs5rqe46f74w")</f>
        <v>1fxnjLoO8Xw5Rwn9s-iWd73EsAFchG8Ujs5rqe46f74w</v>
      </c>
      <c r="I22" s="16" t="str">
        <f>IFERROR(__xludf.DUMMYFUNCTION("""COMPUTED_VALUE"""),"https://docs.google.com/spreadsheets/d/1fxnjLoO8Xw5Rwn9s-iWd73EsAFchG8Ujs5rqe46f74w")</f>
        <v>https://docs.google.com/spreadsheets/d/1fxnjLoO8Xw5Rwn9s-iWd73EsAFchG8Ujs5rqe46f74w</v>
      </c>
      <c r="J22" s="6" t="b">
        <f>IFERROR(__xludf.DUMMYFUNCTION("""COMPUTED_VALUE"""),TRUE)</f>
        <v>1</v>
      </c>
      <c r="K22" s="6">
        <f>IFERROR(__xludf.DUMMYFUNCTION("""COMPUTED_VALUE"""),140.0)</f>
        <v>140</v>
      </c>
      <c r="L22" s="6">
        <f>IFERROR(__xludf.DUMMYFUNCTION("""COMPUTED_VALUE"""),22.0)</f>
        <v>22</v>
      </c>
      <c r="M22" s="6" t="str">
        <f>IFERROR(__xludf.DUMMYFUNCTION("""COMPUTED_VALUE"""),"1,3.5,2.5,3,1.5,0")</f>
        <v>1,3.5,2.5,3,1.5,0</v>
      </c>
      <c r="N22" s="6" t="str">
        <f>IFERROR(__xludf.DUMMYFUNCTION("""COMPUTED_VALUE"""),"0,0,1.5,0,0,1.5")</f>
        <v>0,0,1.5,0,0,1.5</v>
      </c>
      <c r="O22" s="6" t="str">
        <f>IFERROR(__xludf.DUMMYFUNCTION("""COMPUTED_VALUE"""),"0,0,0,0,0,1.5")</f>
        <v>0,0,0,0,0,1.5</v>
      </c>
      <c r="P22" s="6" t="str">
        <f>IFERROR(__xludf.DUMMYFUNCTION("""COMPUTED_VALUE"""),"1.5,0,0,0,1,1.5")</f>
        <v>1.5,0,0,0,1,1.5</v>
      </c>
      <c r="Q22" s="6" t="str">
        <f>IFERROR(__xludf.DUMMYFUNCTION("""COMPUTED_VALUE"""),"#N/A")</f>
        <v>#N/A</v>
      </c>
      <c r="R22" s="6" t="str">
        <f>IFERROR(__xludf.DUMMYFUNCTION("""COMPUTED_VALUE"""),"0,1,0,0,0,0")</f>
        <v>0,1,0,0,0,0</v>
      </c>
      <c r="S22" s="6" t="str">
        <f>IFERROR(__xludf.DUMMYFUNCTION("""COMPUTED_VALUE"""),"0,0,0,0,0,0")</f>
        <v>0,0,0,0,0,0</v>
      </c>
      <c r="T22" s="6" t="str">
        <f>IFERROR(__xludf.DUMMYFUNCTION("""COMPUTED_VALUE"""),"0,0,0,1.5,1,0")</f>
        <v>0,0,0,1.5,1,0</v>
      </c>
      <c r="U22" s="6" t="str">
        <f>IFERROR(__xludf.DUMMYFUNCTION("""COMPUTED_VALUE"""),"0,0,0,0,0,0")</f>
        <v>0,0,0,0,0,0</v>
      </c>
      <c r="V22" s="6" t="str">
        <f>IFERROR(__xludf.DUMMYFUNCTION("""COMPUTED_VALUE"""),",,,,,")</f>
        <v>,,,,,</v>
      </c>
      <c r="W22" s="6" t="str">
        <f>IFERROR(__xludf.DUMMYFUNCTION("""COMPUTED_VALUE"""),"1iE_5-GNdmwZ6YBR19NoryqpaMeSaQNwX")</f>
        <v>1iE_5-GNdmwZ6YBR19NoryqpaMeSaQNwX</v>
      </c>
    </row>
    <row r="23">
      <c r="A23" s="6">
        <f>IFERROR(__xludf.DUMMYFUNCTION("""COMPUTED_VALUE"""),22.0)</f>
        <v>22</v>
      </c>
      <c r="B23" s="6" t="str">
        <f>IFERROR(__xludf.DUMMYFUNCTION("""COMPUTED_VALUE"""),"California B")</f>
        <v>California B</v>
      </c>
      <c r="C23" s="6" t="str">
        <f>IFERROR(__xludf.DUMMYFUNCTION("""COMPUTED_VALUE"""),"Monta Vista A")</f>
        <v>Monta Vista A</v>
      </c>
      <c r="D23" s="6">
        <f>IFERROR(__xludf.DUMMYFUNCTION("""COMPUTED_VALUE"""),2.0)</f>
        <v>2</v>
      </c>
      <c r="E23" s="6" t="str">
        <f>IFERROR(__xludf.DUMMYFUNCTION("""COMPUTED_VALUE"""),"Round Robin")</f>
        <v>Round Robin</v>
      </c>
      <c r="F23" s="6" t="str">
        <f>IFERROR(__xludf.DUMMYFUNCTION("""COMPUTED_VALUE"""),"B")</f>
        <v>B</v>
      </c>
      <c r="G23" s="6" t="str">
        <f>IFERROR(__xludf.DUMMYFUNCTION("""COMPUTED_VALUE"""),"DWINELLE 105")</f>
        <v>DWINELLE 105</v>
      </c>
      <c r="H23" s="6" t="str">
        <f>IFERROR(__xludf.DUMMYFUNCTION("""COMPUTED_VALUE"""),"1l2L_nR_5DqTU6t6vq9cgjWWVkrneymRfeFLWehR7nz0")</f>
        <v>1l2L_nR_5DqTU6t6vq9cgjWWVkrneymRfeFLWehR7nz0</v>
      </c>
      <c r="I23" s="30" t="str">
        <f>IFERROR(__xludf.DUMMYFUNCTION("""COMPUTED_VALUE"""),"https://docs.google.com/spreadsheets/d/1l2L_nR_5DqTU6t6vq9cgjWWVkrneymRfeFLWehR7nz0")</f>
        <v>https://docs.google.com/spreadsheets/d/1l2L_nR_5DqTU6t6vq9cgjWWVkrneymRfeFLWehR7nz0</v>
      </c>
      <c r="J23" s="6" t="b">
        <f>IFERROR(__xludf.DUMMYFUNCTION("""COMPUTED_VALUE"""),TRUE)</f>
        <v>1</v>
      </c>
      <c r="K23" s="6">
        <f>IFERROR(__xludf.DUMMYFUNCTION("""COMPUTED_VALUE"""),40.0)</f>
        <v>40</v>
      </c>
      <c r="L23" s="6">
        <f>IFERROR(__xludf.DUMMYFUNCTION("""COMPUTED_VALUE"""),130.0)</f>
        <v>130</v>
      </c>
      <c r="M23" s="6" t="str">
        <f>IFERROR(__xludf.DUMMYFUNCTION("""COMPUTED_VALUE"""),"0,0,1,1.5,0,0")</f>
        <v>0,0,1,1.5,0,0</v>
      </c>
      <c r="N23" s="6" t="str">
        <f>IFERROR(__xludf.DUMMYFUNCTION("""COMPUTED_VALUE"""),"#N/A")</f>
        <v>#N/A</v>
      </c>
      <c r="O23" s="6" t="str">
        <f>IFERROR(__xludf.DUMMYFUNCTION("""COMPUTED_VALUE"""),"-1,0,0,0,0,0")</f>
        <v>-1,0,0,0,0,0</v>
      </c>
      <c r="P23" s="6" t="str">
        <f>IFERROR(__xludf.DUMMYFUNCTION("""COMPUTED_VALUE"""),"0,0,0,0,0,0")</f>
        <v>0,0,0,0,0,0</v>
      </c>
      <c r="Q23" s="6" t="str">
        <f>IFERROR(__xludf.DUMMYFUNCTION("""COMPUTED_VALUE"""),"1.5,0,0,0,0,0")</f>
        <v>1.5,0,0,0,0,0</v>
      </c>
      <c r="R23" s="6" t="str">
        <f>IFERROR(__xludf.DUMMYFUNCTION("""COMPUTED_VALUE"""),"1.5,2.5,0,0,0,0")</f>
        <v>1.5,2.5,0,0,0,0</v>
      </c>
      <c r="S23" s="6" t="str">
        <f>IFERROR(__xludf.DUMMYFUNCTION("""COMPUTED_VALUE"""),"0.5,2.5,0,0,0,4.5")</f>
        <v>0.5,2.5,0,0,0,4.5</v>
      </c>
      <c r="T23" s="6" t="str">
        <f>IFERROR(__xludf.DUMMYFUNCTION("""COMPUTED_VALUE"""),"0,0,0,0,0,0")</f>
        <v>0,0,0,0,0,0</v>
      </c>
      <c r="U23" s="6" t="str">
        <f>IFERROR(__xludf.DUMMYFUNCTION("""COMPUTED_VALUE"""),"0,0,2,0,0,0")</f>
        <v>0,0,2,0,0,0</v>
      </c>
      <c r="V23" s="6" t="str">
        <f>IFERROR(__xludf.DUMMYFUNCTION("""COMPUTED_VALUE"""),"0,0,0,0,3,0")</f>
        <v>0,0,0,0,3,0</v>
      </c>
      <c r="W23" s="6" t="str">
        <f>IFERROR(__xludf.DUMMYFUNCTION("""COMPUTED_VALUE"""),"1fnjyoidcVE3Yg85FHmTdFy4Wd_jCu9Cr")</f>
        <v>1fnjyoidcVE3Yg85FHmTdFy4Wd_jCu9Cr</v>
      </c>
    </row>
    <row r="24">
      <c r="A24" s="6">
        <f>IFERROR(__xludf.DUMMYFUNCTION("""COMPUTED_VALUE"""),23.0)</f>
        <v>23</v>
      </c>
      <c r="B24" s="6" t="str">
        <f>IFERROR(__xludf.DUMMYFUNCTION("""COMPUTED_VALUE"""),"Amador Valley A")</f>
        <v>Amador Valley A</v>
      </c>
      <c r="C24" s="6" t="str">
        <f>IFERROR(__xludf.DUMMYFUNCTION("""COMPUTED_VALUE"""),"North Hollywood")</f>
        <v>North Hollywood</v>
      </c>
      <c r="D24" s="6">
        <f>IFERROR(__xludf.DUMMYFUNCTION("""COMPUTED_VALUE"""),2.0)</f>
        <v>2</v>
      </c>
      <c r="E24" s="6" t="str">
        <f>IFERROR(__xludf.DUMMYFUNCTION("""COMPUTED_VALUE"""),"Round Robin")</f>
        <v>Round Robin</v>
      </c>
      <c r="F24" s="6" t="str">
        <f>IFERROR(__xludf.DUMMYFUNCTION("""COMPUTED_VALUE"""),"B")</f>
        <v>B</v>
      </c>
      <c r="G24" s="6" t="str">
        <f>IFERROR(__xludf.DUMMYFUNCTION("""COMPUTED_VALUE"""),"DWINELLE 106")</f>
        <v>DWINELLE 106</v>
      </c>
      <c r="H24" s="6" t="str">
        <f>IFERROR(__xludf.DUMMYFUNCTION("""COMPUTED_VALUE"""),"1psyoKuYj5k0EMJxqye7i1hhi1x4Y4_vLJ4uEg1xRiFU")</f>
        <v>1psyoKuYj5k0EMJxqye7i1hhi1x4Y4_vLJ4uEg1xRiFU</v>
      </c>
      <c r="I24" s="16" t="str">
        <f>IFERROR(__xludf.DUMMYFUNCTION("""COMPUTED_VALUE"""),"https://docs.google.com/spreadsheets/d/1psyoKuYj5k0EMJxqye7i1hhi1x4Y4_vLJ4uEg1xRiFU")</f>
        <v>https://docs.google.com/spreadsheets/d/1psyoKuYj5k0EMJxqye7i1hhi1x4Y4_vLJ4uEg1xRiFU</v>
      </c>
      <c r="J24" s="6" t="b">
        <f>IFERROR(__xludf.DUMMYFUNCTION("""COMPUTED_VALUE"""),TRUE)</f>
        <v>1</v>
      </c>
      <c r="K24" s="6">
        <f>IFERROR(__xludf.DUMMYFUNCTION("""COMPUTED_VALUE"""),168.0)</f>
        <v>168</v>
      </c>
      <c r="L24" s="6">
        <f>IFERROR(__xludf.DUMMYFUNCTION("""COMPUTED_VALUE"""),96.0)</f>
        <v>96</v>
      </c>
      <c r="M24" s="6" t="str">
        <f>IFERROR(__xludf.DUMMYFUNCTION("""COMPUTED_VALUE"""),"0,1.5,2.5,0,0,1.5")</f>
        <v>0,1.5,2.5,0,0,1.5</v>
      </c>
      <c r="N24" s="6" t="str">
        <f>IFERROR(__xludf.DUMMYFUNCTION("""COMPUTED_VALUE"""),"2,-1,1.5,1.5,0,0")</f>
        <v>2,-1,1.5,1.5,0,0</v>
      </c>
      <c r="O24" s="6" t="str">
        <f>IFERROR(__xludf.DUMMYFUNCTION("""COMPUTED_VALUE"""),"0,0,0,0,0,0")</f>
        <v>0,0,0,0,0,0</v>
      </c>
      <c r="P24" s="6" t="str">
        <f>IFERROR(__xludf.DUMMYFUNCTION("""COMPUTED_VALUE"""),"0,1.5,0,0,3,2.5")</f>
        <v>0,1.5,0,0,3,2.5</v>
      </c>
      <c r="Q24" s="6" t="str">
        <f>IFERROR(__xludf.DUMMYFUNCTION("""COMPUTED_VALUE"""),"0,0,0,0,0,0")</f>
        <v>0,0,0,0,0,0</v>
      </c>
      <c r="R24" s="6" t="str">
        <f>IFERROR(__xludf.DUMMYFUNCTION("""COMPUTED_VALUE"""),"0,0,0,0,1.5,0")</f>
        <v>0,0,0,0,1.5,0</v>
      </c>
      <c r="S24" s="6" t="str">
        <f>IFERROR(__xludf.DUMMYFUNCTION("""COMPUTED_VALUE"""),"0,0,0,1.5,0,0")</f>
        <v>0,0,0,1.5,0,0</v>
      </c>
      <c r="T24" s="6" t="str">
        <f>IFERROR(__xludf.DUMMYFUNCTION("""COMPUTED_VALUE"""),"0,0,0,0,1.5,0")</f>
        <v>0,0,0,0,1.5,0</v>
      </c>
      <c r="U24" s="6" t="str">
        <f>IFERROR(__xludf.DUMMYFUNCTION("""COMPUTED_VALUE"""),"-0.5,0,1.5,1.5,-1,0")</f>
        <v>-0.5,0,1.5,1.5,-1,0</v>
      </c>
      <c r="V24" s="6" t="str">
        <f>IFERROR(__xludf.DUMMYFUNCTION("""COMPUTED_VALUE"""),",,,,,")</f>
        <v>,,,,,</v>
      </c>
      <c r="W24" s="6" t="str">
        <f>IFERROR(__xludf.DUMMYFUNCTION("""COMPUTED_VALUE"""),"1ZOcpmnz6rsr8oUEZv7nnQmus2y0zN2kl")</f>
        <v>1ZOcpmnz6rsr8oUEZv7nnQmus2y0zN2kl</v>
      </c>
    </row>
    <row r="25">
      <c r="A25" s="6">
        <f>IFERROR(__xludf.DUMMYFUNCTION("""COMPUTED_VALUE"""),24.0)</f>
        <v>24</v>
      </c>
      <c r="B25" s="6" t="str">
        <f>IFERROR(__xludf.DUMMYFUNCTION("""COMPUTED_VALUE"""),"Irvington")</f>
        <v>Irvington</v>
      </c>
      <c r="C25" s="6" t="str">
        <f>IFERROR(__xludf.DUMMYFUNCTION("""COMPUTED_VALUE"""),"Foothill B")</f>
        <v>Foothill B</v>
      </c>
      <c r="D25" s="6">
        <f>IFERROR(__xludf.DUMMYFUNCTION("""COMPUTED_VALUE"""),2.0)</f>
        <v>2</v>
      </c>
      <c r="E25" s="6" t="str">
        <f>IFERROR(__xludf.DUMMYFUNCTION("""COMPUTED_VALUE"""),"Round Robin")</f>
        <v>Round Robin</v>
      </c>
      <c r="F25" s="6" t="str">
        <f>IFERROR(__xludf.DUMMYFUNCTION("""COMPUTED_VALUE"""),"B")</f>
        <v>B</v>
      </c>
      <c r="G25" s="6" t="str">
        <f>IFERROR(__xludf.DUMMYFUNCTION("""COMPUTED_VALUE"""),"DWINELLE 109")</f>
        <v>DWINELLE 109</v>
      </c>
      <c r="H25" s="6" t="str">
        <f>IFERROR(__xludf.DUMMYFUNCTION("""COMPUTED_VALUE"""),"1WZS2U78kESsK6DFQOaBNOGkFnJhul0_YJIUcM8p6g04")</f>
        <v>1WZS2U78kESsK6DFQOaBNOGkFnJhul0_YJIUcM8p6g04</v>
      </c>
      <c r="I25" s="16" t="str">
        <f>IFERROR(__xludf.DUMMYFUNCTION("""COMPUTED_VALUE"""),"https://docs.google.com/spreadsheets/d/1WZS2U78kESsK6DFQOaBNOGkFnJhul0_YJIUcM8p6g04")</f>
        <v>https://docs.google.com/spreadsheets/d/1WZS2U78kESsK6DFQOaBNOGkFnJhul0_YJIUcM8p6g04</v>
      </c>
      <c r="J25" s="6" t="b">
        <f>IFERROR(__xludf.DUMMYFUNCTION("""COMPUTED_VALUE"""),TRUE)</f>
        <v>1</v>
      </c>
      <c r="K25" s="6">
        <f>IFERROR(__xludf.DUMMYFUNCTION("""COMPUTED_VALUE"""),52.0)</f>
        <v>52</v>
      </c>
      <c r="L25" s="6">
        <f>IFERROR(__xludf.DUMMYFUNCTION("""COMPUTED_VALUE"""),98.0)</f>
        <v>98</v>
      </c>
      <c r="M25" s="6" t="str">
        <f>IFERROR(__xludf.DUMMYFUNCTION("""COMPUTED_VALUE"""),"0,0,1,0,0,0")</f>
        <v>0,0,1,0,0,0</v>
      </c>
      <c r="N25" s="6" t="str">
        <f>IFERROR(__xludf.DUMMYFUNCTION("""COMPUTED_VALUE"""),"2,0,1,1.5,0,0")</f>
        <v>2,0,1,1.5,0,0</v>
      </c>
      <c r="O25" s="6" t="str">
        <f>IFERROR(__xludf.DUMMYFUNCTION("""COMPUTED_VALUE"""),"0,0,0,0,0.5,0")</f>
        <v>0,0,0,0,0.5,0</v>
      </c>
      <c r="P25" s="6" t="str">
        <f>IFERROR(__xludf.DUMMYFUNCTION("""COMPUTED_VALUE"""),"-1,0,0,0,0,0")</f>
        <v>-1,0,0,0,0,0</v>
      </c>
      <c r="Q25" s="6" t="str">
        <f>IFERROR(__xludf.DUMMYFUNCTION("""COMPUTED_VALUE"""),"#N/A")</f>
        <v>#N/A</v>
      </c>
      <c r="R25" s="6" t="str">
        <f>IFERROR(__xludf.DUMMYFUNCTION("""COMPUTED_VALUE"""),"0,1.5,0,0,0,0")</f>
        <v>0,1.5,0,0,0,0</v>
      </c>
      <c r="S25" s="6" t="str">
        <f>IFERROR(__xludf.DUMMYFUNCTION("""COMPUTED_VALUE"""),"-1,1.5,1,0.5,0,0")</f>
        <v>-1,1.5,1,0.5,0,0</v>
      </c>
      <c r="T25" s="6" t="str">
        <f>IFERROR(__xludf.DUMMYFUNCTION("""COMPUTED_VALUE"""),"0,1,0,0,0,0")</f>
        <v>0,1,0,0,0,0</v>
      </c>
      <c r="U25" s="6" t="str">
        <f>IFERROR(__xludf.DUMMYFUNCTION("""COMPUTED_VALUE"""),"#N/A")</f>
        <v>#N/A</v>
      </c>
      <c r="V25" s="6" t="str">
        <f>IFERROR(__xludf.DUMMYFUNCTION("""COMPUTED_VALUE"""),"1,0,0,0,1,4.5")</f>
        <v>1,0,0,0,1,4.5</v>
      </c>
      <c r="W25" s="6" t="str">
        <f>IFERROR(__xludf.DUMMYFUNCTION("""COMPUTED_VALUE"""),"1ivbxAGj__h08xVy2FRbo7iHDWDbLgwNl")</f>
        <v>1ivbxAGj__h08xVy2FRbo7iHDWDbLgwNl</v>
      </c>
    </row>
    <row r="26">
      <c r="A26" s="6">
        <f>IFERROR(__xludf.DUMMYFUNCTION("""COMPUTED_VALUE"""),25.0)</f>
        <v>25</v>
      </c>
      <c r="B26" s="6" t="str">
        <f>IFERROR(__xludf.DUMMYFUNCTION("""COMPUTED_VALUE"""),"Cupertino B")</f>
        <v>Cupertino B</v>
      </c>
      <c r="C26" s="6" t="str">
        <f>IFERROR(__xludf.DUMMYFUNCTION("""COMPUTED_VALUE"""),"Amador Valley B")</f>
        <v>Amador Valley B</v>
      </c>
      <c r="D26" s="6">
        <f>IFERROR(__xludf.DUMMYFUNCTION("""COMPUTED_VALUE"""),2.0)</f>
        <v>2</v>
      </c>
      <c r="E26" s="6" t="str">
        <f>IFERROR(__xludf.DUMMYFUNCTION("""COMPUTED_VALUE"""),"Round Robin")</f>
        <v>Round Robin</v>
      </c>
      <c r="F26" s="6" t="str">
        <f>IFERROR(__xludf.DUMMYFUNCTION("""COMPUTED_VALUE"""),"C")</f>
        <v>C</v>
      </c>
      <c r="G26" s="6" t="str">
        <f>IFERROR(__xludf.DUMMYFUNCTION("""COMPUTED_VALUE"""),"DWINELLE 179")</f>
        <v>DWINELLE 179</v>
      </c>
      <c r="H26" s="6" t="str">
        <f>IFERROR(__xludf.DUMMYFUNCTION("""COMPUTED_VALUE"""),"194443TwzddBqVxo1mmJrh7FWEl-75zCFhy1nTVvWz7U")</f>
        <v>194443TwzddBqVxo1mmJrh7FWEl-75zCFhy1nTVvWz7U</v>
      </c>
      <c r="I26" s="16" t="str">
        <f>IFERROR(__xludf.DUMMYFUNCTION("""COMPUTED_VALUE"""),"https://docs.google.com/spreadsheets/d/194443TwzddBqVxo1mmJrh7FWEl-75zCFhy1nTVvWz7U")</f>
        <v>https://docs.google.com/spreadsheets/d/194443TwzddBqVxo1mmJrh7FWEl-75zCFhy1nTVvWz7U</v>
      </c>
      <c r="J26" s="6" t="b">
        <f>IFERROR(__xludf.DUMMYFUNCTION("""COMPUTED_VALUE"""),TRUE)</f>
        <v>1</v>
      </c>
      <c r="K26" s="6">
        <f>IFERROR(__xludf.DUMMYFUNCTION("""COMPUTED_VALUE"""),70.0)</f>
        <v>70</v>
      </c>
      <c r="L26" s="6">
        <f>IFERROR(__xludf.DUMMYFUNCTION("""COMPUTED_VALUE"""),62.0)</f>
        <v>62</v>
      </c>
      <c r="M26" s="6" t="str">
        <f>IFERROR(__xludf.DUMMYFUNCTION("""COMPUTED_VALUE"""),"1,-1,1,1,1.5,0")</f>
        <v>1,-1,1,1,1.5,0</v>
      </c>
      <c r="N26" s="6" t="str">
        <f>IFERROR(__xludf.DUMMYFUNCTION("""COMPUTED_VALUE"""),"0,0,0,1.5,0,1.5")</f>
        <v>0,0,0,1.5,0,1.5</v>
      </c>
      <c r="O26" s="6" t="str">
        <f>IFERROR(__xludf.DUMMYFUNCTION("""COMPUTED_VALUE"""),"1,0,0,1,0,0")</f>
        <v>1,0,0,1,0,0</v>
      </c>
      <c r="P26" s="6" t="str">
        <f>IFERROR(__xludf.DUMMYFUNCTION("""COMPUTED_VALUE"""),"0,0,0,0,0,0")</f>
        <v>0,0,0,0,0,0</v>
      </c>
      <c r="Q26" s="6" t="str">
        <f>IFERROR(__xludf.DUMMYFUNCTION("""COMPUTED_VALUE"""),"#N/A")</f>
        <v>#N/A</v>
      </c>
      <c r="R26" s="6" t="str">
        <f>IFERROR(__xludf.DUMMYFUNCTION("""COMPUTED_VALUE"""),"0,0,-1,-1,0,0")</f>
        <v>0,0,-1,-1,0,0</v>
      </c>
      <c r="S26" s="6" t="str">
        <f>IFERROR(__xludf.DUMMYFUNCTION("""COMPUTED_VALUE"""),"0,1,0,0,0,0")</f>
        <v>0,1,0,0,0,0</v>
      </c>
      <c r="T26" s="6" t="str">
        <f>IFERROR(__xludf.DUMMYFUNCTION("""COMPUTED_VALUE"""),"0,1.5,1,0,2.5,1")</f>
        <v>0,1.5,1,0,2.5,1</v>
      </c>
      <c r="U26" s="6" t="str">
        <f>IFERROR(__xludf.DUMMYFUNCTION("""COMPUTED_VALUE"""),"1.5,0,0,0,0,0")</f>
        <v>1.5,0,0,0,0,0</v>
      </c>
      <c r="V26" s="6" t="str">
        <f>IFERROR(__xludf.DUMMYFUNCTION("""COMPUTED_VALUE"""),",,,,,")</f>
        <v>,,,,,</v>
      </c>
      <c r="W26" s="6" t="str">
        <f>IFERROR(__xludf.DUMMYFUNCTION("""COMPUTED_VALUE"""),"1VhY5duZynZljzs0fA-JdTCNRRkzQRGTm")</f>
        <v>1VhY5duZynZljzs0fA-JdTCNRRkzQRGTm</v>
      </c>
    </row>
    <row r="27">
      <c r="A27" s="6">
        <f>IFERROR(__xludf.DUMMYFUNCTION("""COMPUTED_VALUE"""),26.0)</f>
        <v>26</v>
      </c>
      <c r="B27" s="6" t="str">
        <f>IFERROR(__xludf.DUMMYFUNCTION("""COMPUTED_VALUE"""),"Archbishop Mitty B")</f>
        <v>Archbishop Mitty B</v>
      </c>
      <c r="C27" s="6" t="str">
        <f>IFERROR(__xludf.DUMMYFUNCTION("""COMPUTED_VALUE"""),"Lynbrook B")</f>
        <v>Lynbrook B</v>
      </c>
      <c r="D27" s="6">
        <f>IFERROR(__xludf.DUMMYFUNCTION("""COMPUTED_VALUE"""),2.0)</f>
        <v>2</v>
      </c>
      <c r="E27" s="6" t="str">
        <f>IFERROR(__xludf.DUMMYFUNCTION("""COMPUTED_VALUE"""),"Round Robin")</f>
        <v>Round Robin</v>
      </c>
      <c r="F27" s="6" t="str">
        <f>IFERROR(__xludf.DUMMYFUNCTION("""COMPUTED_VALUE"""),"C")</f>
        <v>C</v>
      </c>
      <c r="G27" s="6" t="str">
        <f>IFERROR(__xludf.DUMMYFUNCTION("""COMPUTED_VALUE"""),"DWINELLE 182")</f>
        <v>DWINELLE 182</v>
      </c>
      <c r="H27" s="6" t="str">
        <f>IFERROR(__xludf.DUMMYFUNCTION("""COMPUTED_VALUE"""),"10e8bcV3N3AN2tdjrdZOw-gvaHtrNdjk3sZCJrfUr_G4")</f>
        <v>10e8bcV3N3AN2tdjrdZOw-gvaHtrNdjk3sZCJrfUr_G4</v>
      </c>
      <c r="I27" s="16" t="str">
        <f>IFERROR(__xludf.DUMMYFUNCTION("""COMPUTED_VALUE"""),"https://docs.google.com/spreadsheets/d/10e8bcV3N3AN2tdjrdZOw-gvaHtrNdjk3sZCJrfUr_G4")</f>
        <v>https://docs.google.com/spreadsheets/d/10e8bcV3N3AN2tdjrdZOw-gvaHtrNdjk3sZCJrfUr_G4</v>
      </c>
      <c r="J27" s="6" t="b">
        <f>IFERROR(__xludf.DUMMYFUNCTION("""COMPUTED_VALUE"""),TRUE)</f>
        <v>1</v>
      </c>
      <c r="K27" s="6">
        <f>IFERROR(__xludf.DUMMYFUNCTION("""COMPUTED_VALUE"""),60.0)</f>
        <v>60</v>
      </c>
      <c r="L27" s="6">
        <f>IFERROR(__xludf.DUMMYFUNCTION("""COMPUTED_VALUE"""),180.0)</f>
        <v>180</v>
      </c>
      <c r="M27" s="6" t="str">
        <f>IFERROR(__xludf.DUMMYFUNCTION("""COMPUTED_VALUE"""),"-2,-1,0,1.5,0,0")</f>
        <v>-2,-1,0,1.5,0,0</v>
      </c>
      <c r="N27" s="6" t="str">
        <f>IFERROR(__xludf.DUMMYFUNCTION("""COMPUTED_VALUE"""),"0,0,0,0,2.5,1.5")</f>
        <v>0,0,0,0,2.5,1.5</v>
      </c>
      <c r="O27" s="6" t="str">
        <f>IFERROR(__xludf.DUMMYFUNCTION("""COMPUTED_VALUE"""),"0,0,0,1.5,0,0")</f>
        <v>0,0,0,1.5,0,0</v>
      </c>
      <c r="P27" s="6" t="str">
        <f>IFERROR(__xludf.DUMMYFUNCTION("""COMPUTED_VALUE"""),"0,0,0,0,0,0")</f>
        <v>0,0,0,0,0,0</v>
      </c>
      <c r="Q27" s="6" t="str">
        <f>IFERROR(__xludf.DUMMYFUNCTION("""COMPUTED_VALUE"""),",,,,,")</f>
        <v>,,,,,</v>
      </c>
      <c r="R27" s="6" t="str">
        <f>IFERROR(__xludf.DUMMYFUNCTION("""COMPUTED_VALUE"""),"0,0,0,0,1,0")</f>
        <v>0,0,0,0,1,0</v>
      </c>
      <c r="S27" s="6" t="str">
        <f>IFERROR(__xludf.DUMMYFUNCTION("""COMPUTED_VALUE"""),"1.5,4.5,1.5,0,0,0")</f>
        <v>1.5,4.5,1.5,0,0,0</v>
      </c>
      <c r="T27" s="6" t="str">
        <f>IFERROR(__xludf.DUMMYFUNCTION("""COMPUTED_VALUE"""),"0,0,0,1.5,1.5,1.5")</f>
        <v>0,0,0,1.5,1.5,1.5</v>
      </c>
      <c r="U27" s="6" t="str">
        <f>IFERROR(__xludf.DUMMYFUNCTION("""COMPUTED_VALUE"""),"3,0,4.5,0,0,1.5")</f>
        <v>3,0,4.5,0,0,1.5</v>
      </c>
      <c r="V27" s="6" t="str">
        <f>IFERROR(__xludf.DUMMYFUNCTION("""COMPUTED_VALUE"""),"1.5,0,0,0,0,0")</f>
        <v>1.5,0,0,0,0,0</v>
      </c>
      <c r="W27" s="6" t="str">
        <f>IFERROR(__xludf.DUMMYFUNCTION("""COMPUTED_VALUE"""),"1ZWlRd0tVUxuNmZQwbNvEW7lU7lmJQorm")</f>
        <v>1ZWlRd0tVUxuNmZQwbNvEW7lU7lmJQorm</v>
      </c>
    </row>
    <row r="28">
      <c r="A28" s="6">
        <f>IFERROR(__xludf.DUMMYFUNCTION("""COMPUTED_VALUE"""),27.0)</f>
        <v>27</v>
      </c>
      <c r="B28" s="6" t="str">
        <f>IFERROR(__xludf.DUMMYFUNCTION("""COMPUTED_VALUE"""),"Mira Loma A")</f>
        <v>Mira Loma A</v>
      </c>
      <c r="C28" s="6" t="str">
        <f>IFERROR(__xludf.DUMMYFUNCTION("""COMPUTED_VALUE"""),"Canyon Crest A")</f>
        <v>Canyon Crest A</v>
      </c>
      <c r="D28" s="6">
        <f>IFERROR(__xludf.DUMMYFUNCTION("""COMPUTED_VALUE"""),2.0)</f>
        <v>2</v>
      </c>
      <c r="E28" s="6" t="str">
        <f>IFERROR(__xludf.DUMMYFUNCTION("""COMPUTED_VALUE"""),"Round Robin")</f>
        <v>Round Robin</v>
      </c>
      <c r="F28" s="6" t="str">
        <f>IFERROR(__xludf.DUMMYFUNCTION("""COMPUTED_VALUE"""),"C")</f>
        <v>C</v>
      </c>
      <c r="G28" s="6" t="str">
        <f>IFERROR(__xludf.DUMMYFUNCTION("""COMPUTED_VALUE"""),"DWINELLE 183")</f>
        <v>DWINELLE 183</v>
      </c>
      <c r="H28" s="6" t="str">
        <f>IFERROR(__xludf.DUMMYFUNCTION("""COMPUTED_VALUE"""),"1J5cm-u2EVHySSt4bDNYemFVoTVFmDBlevQ65OIAszfk")</f>
        <v>1J5cm-u2EVHySSt4bDNYemFVoTVFmDBlevQ65OIAszfk</v>
      </c>
      <c r="I28" s="16" t="str">
        <f>IFERROR(__xludf.DUMMYFUNCTION("""COMPUTED_VALUE"""),"https://docs.google.com/spreadsheets/d/1J5cm-u2EVHySSt4bDNYemFVoTVFmDBlevQ65OIAszfk")</f>
        <v>https://docs.google.com/spreadsheets/d/1J5cm-u2EVHySSt4bDNYemFVoTVFmDBlevQ65OIAszfk</v>
      </c>
      <c r="J28" s="6" t="b">
        <f>IFERROR(__xludf.DUMMYFUNCTION("""COMPUTED_VALUE"""),TRUE)</f>
        <v>1</v>
      </c>
      <c r="K28" s="6">
        <f>IFERROR(__xludf.DUMMYFUNCTION("""COMPUTED_VALUE"""),96.0)</f>
        <v>96</v>
      </c>
      <c r="L28" s="6">
        <f>IFERROR(__xludf.DUMMYFUNCTION("""COMPUTED_VALUE"""),142.0)</f>
        <v>142</v>
      </c>
      <c r="M28" s="6" t="str">
        <f>IFERROR(__xludf.DUMMYFUNCTION("""COMPUTED_VALUE"""),"0,0,0,0,0,1.5")</f>
        <v>0,0,0,0,0,1.5</v>
      </c>
      <c r="N28" s="6" t="str">
        <f>IFERROR(__xludf.DUMMYFUNCTION("""COMPUTED_VALUE"""),"0,0,0,0,0,0")</f>
        <v>0,0,0,0,0,0</v>
      </c>
      <c r="O28" s="6" t="str">
        <f>IFERROR(__xludf.DUMMYFUNCTION("""COMPUTED_VALUE"""),"0,0,0,0,0,0")</f>
        <v>0,0,0,0,0,0</v>
      </c>
      <c r="P28" s="6" t="str">
        <f>IFERROR(__xludf.DUMMYFUNCTION("""COMPUTED_VALUE"""),"0,1,0,0,0,0")</f>
        <v>0,1,0,0,0,0</v>
      </c>
      <c r="Q28" s="6" t="str">
        <f>IFERROR(__xludf.DUMMYFUNCTION("""COMPUTED_VALUE"""),"-1,1.5,0,3,1.5,1.5")</f>
        <v>-1,1.5,0,3,1.5,1.5</v>
      </c>
      <c r="R28" s="6" t="str">
        <f>IFERROR(__xludf.DUMMYFUNCTION("""COMPUTED_VALUE"""),"3,0,3,0.5,0,3")</f>
        <v>3,0,3,0.5,0,3</v>
      </c>
      <c r="S28" s="6" t="str">
        <f>IFERROR(__xludf.DUMMYFUNCTION("""COMPUTED_VALUE"""),"0,0,3,0,0,0")</f>
        <v>0,0,3,0,0,0</v>
      </c>
      <c r="T28" s="6" t="str">
        <f>IFERROR(__xludf.DUMMYFUNCTION("""COMPUTED_VALUE"""),"1.5,0,0,0,0,0")</f>
        <v>1.5,0,0,0,0,0</v>
      </c>
      <c r="U28" s="6" t="str">
        <f>IFERROR(__xludf.DUMMYFUNCTION("""COMPUTED_VALUE"""),"0,0,0,0,1.5,0")</f>
        <v>0,0,0,0,1.5,0</v>
      </c>
      <c r="V28" s="6" t="str">
        <f>IFERROR(__xludf.DUMMYFUNCTION("""COMPUTED_VALUE"""),",,,,,")</f>
        <v>,,,,,</v>
      </c>
      <c r="W28" s="6" t="str">
        <f>IFERROR(__xludf.DUMMYFUNCTION("""COMPUTED_VALUE"""),"1kCYgKAw3Bdw0Zvfxh3KTs44KLK8OXdlZ")</f>
        <v>1kCYgKAw3Bdw0Zvfxh3KTs44KLK8OXdlZ</v>
      </c>
    </row>
    <row r="29">
      <c r="A29" s="6">
        <f>IFERROR(__xludf.DUMMYFUNCTION("""COMPUTED_VALUE"""),28.0)</f>
        <v>28</v>
      </c>
      <c r="B29" s="6" t="str">
        <f>IFERROR(__xludf.DUMMYFUNCTION("""COMPUTED_VALUE"""),"Monta Vista B")</f>
        <v>Monta Vista B</v>
      </c>
      <c r="C29" s="6" t="str">
        <f>IFERROR(__xludf.DUMMYFUNCTION("""COMPUTED_VALUE"""),"Lynbrook A")</f>
        <v>Lynbrook A</v>
      </c>
      <c r="D29" s="6">
        <f>IFERROR(__xludf.DUMMYFUNCTION("""COMPUTED_VALUE"""),2.0)</f>
        <v>2</v>
      </c>
      <c r="E29" s="6" t="str">
        <f>IFERROR(__xludf.DUMMYFUNCTION("""COMPUTED_VALUE"""),"Round Robin")</f>
        <v>Round Robin</v>
      </c>
      <c r="F29" s="6" t="str">
        <f>IFERROR(__xludf.DUMMYFUNCTION("""COMPUTED_VALUE"""),"D")</f>
        <v>D</v>
      </c>
      <c r="G29" s="6" t="str">
        <f>IFERROR(__xludf.DUMMYFUNCTION("""COMPUTED_VALUE"""),"DWINELLE 189")</f>
        <v>DWINELLE 189</v>
      </c>
      <c r="H29" s="6" t="str">
        <f>IFERROR(__xludf.DUMMYFUNCTION("""COMPUTED_VALUE"""),"1i1SoQ2kNNzwNcps4z3XYiGPe906hyO7f6mxiZP0vIAs")</f>
        <v>1i1SoQ2kNNzwNcps4z3XYiGPe906hyO7f6mxiZP0vIAs</v>
      </c>
      <c r="I29" s="16" t="str">
        <f>IFERROR(__xludf.DUMMYFUNCTION("""COMPUTED_VALUE"""),"https://docs.google.com/spreadsheets/d/1i1SoQ2kNNzwNcps4z3XYiGPe906hyO7f6mxiZP0vIAs")</f>
        <v>https://docs.google.com/spreadsheets/d/1i1SoQ2kNNzwNcps4z3XYiGPe906hyO7f6mxiZP0vIAs</v>
      </c>
      <c r="J29" s="6" t="b">
        <f>IFERROR(__xludf.DUMMYFUNCTION("""COMPUTED_VALUE"""),TRUE)</f>
        <v>1</v>
      </c>
      <c r="K29" s="6">
        <f>IFERROR(__xludf.DUMMYFUNCTION("""COMPUTED_VALUE"""),30.0)</f>
        <v>30</v>
      </c>
      <c r="L29" s="6">
        <f>IFERROR(__xludf.DUMMYFUNCTION("""COMPUTED_VALUE"""),186.0)</f>
        <v>186</v>
      </c>
      <c r="M29" s="6" t="str">
        <f>IFERROR(__xludf.DUMMYFUNCTION("""COMPUTED_VALUE"""),"0,0,0,0,1.5,0")</f>
        <v>0,0,0,0,1.5,0</v>
      </c>
      <c r="N29" s="6" t="str">
        <f>IFERROR(__xludf.DUMMYFUNCTION("""COMPUTED_VALUE"""),"0,0,1,0,0,0")</f>
        <v>0,0,1,0,0,0</v>
      </c>
      <c r="O29" s="6" t="str">
        <f>IFERROR(__xludf.DUMMYFUNCTION("""COMPUTED_VALUE"""),"0,0,0,0,0,0")</f>
        <v>0,0,0,0,0,0</v>
      </c>
      <c r="P29" s="6" t="str">
        <f>IFERROR(__xludf.DUMMYFUNCTION("""COMPUTED_VALUE"""),"0,0,0,0,0,0")</f>
        <v>0,0,0,0,0,0</v>
      </c>
      <c r="Q29" s="6" t="str">
        <f>IFERROR(__xludf.DUMMYFUNCTION("""COMPUTED_VALUE"""),"#N/A")</f>
        <v>#N/A</v>
      </c>
      <c r="R29" s="6" t="str">
        <f>IFERROR(__xludf.DUMMYFUNCTION("""COMPUTED_VALUE"""),"1.5,0,0,0,-1,0")</f>
        <v>1.5,0,0,0,-1,0</v>
      </c>
      <c r="S29" s="6" t="str">
        <f>IFERROR(__xludf.DUMMYFUNCTION("""COMPUTED_VALUE"""),"0,0,0,0,1.5,3")</f>
        <v>0,0,0,0,1.5,3</v>
      </c>
      <c r="T29" s="6" t="str">
        <f>IFERROR(__xludf.DUMMYFUNCTION("""COMPUTED_VALUE"""),"0,0,1.5,1.5,0,0")</f>
        <v>0,0,1.5,1.5,0,0</v>
      </c>
      <c r="U29" s="6" t="str">
        <f>IFERROR(__xludf.DUMMYFUNCTION("""COMPUTED_VALUE"""),"0,3,0,1.5,0,1.5")</f>
        <v>0,3,0,1.5,0,1.5</v>
      </c>
      <c r="V29" s="6" t="str">
        <f>IFERROR(__xludf.DUMMYFUNCTION("""COMPUTED_VALUE"""),"1.5,1.5,-1,1.5,0,0")</f>
        <v>1.5,1.5,-1,1.5,0,0</v>
      </c>
      <c r="W29" s="6" t="str">
        <f>IFERROR(__xludf.DUMMYFUNCTION("""COMPUTED_VALUE"""),"1SugmEQju9xy78Wv1Su4-qpjFyVCOG0t1")</f>
        <v>1SugmEQju9xy78Wv1Su4-qpjFyVCOG0t1</v>
      </c>
    </row>
    <row r="30">
      <c r="A30" s="6">
        <f>IFERROR(__xludf.DUMMYFUNCTION("""COMPUTED_VALUE"""),29.0)</f>
        <v>29</v>
      </c>
      <c r="B30" s="6" t="str">
        <f>IFERROR(__xludf.DUMMYFUNCTION("""COMPUTED_VALUE"""),"Arnold O. Beckman A")</f>
        <v>Arnold O. Beckman A</v>
      </c>
      <c r="C30" s="6" t="str">
        <f>IFERROR(__xludf.DUMMYFUNCTION("""COMPUTED_VALUE"""),"Canyon Crest B")</f>
        <v>Canyon Crest B</v>
      </c>
      <c r="D30" s="6">
        <f>IFERROR(__xludf.DUMMYFUNCTION("""COMPUTED_VALUE"""),2.0)</f>
        <v>2</v>
      </c>
      <c r="E30" s="6" t="str">
        <f>IFERROR(__xludf.DUMMYFUNCTION("""COMPUTED_VALUE"""),"Round Robin")</f>
        <v>Round Robin</v>
      </c>
      <c r="F30" s="6" t="str">
        <f>IFERROR(__xludf.DUMMYFUNCTION("""COMPUTED_VALUE"""),"D")</f>
        <v>D</v>
      </c>
      <c r="G30" s="6" t="str">
        <f>IFERROR(__xludf.DUMMYFUNCTION("""COMPUTED_VALUE"""),"DWINELLE 204")</f>
        <v>DWINELLE 204</v>
      </c>
      <c r="H30" s="6" t="str">
        <f>IFERROR(__xludf.DUMMYFUNCTION("""COMPUTED_VALUE"""),"1amfu6epaHdtUHw0CAdEjTuyv-GPkgLpvV-KkUTxeCKw")</f>
        <v>1amfu6epaHdtUHw0CAdEjTuyv-GPkgLpvV-KkUTxeCKw</v>
      </c>
      <c r="I30" s="16" t="str">
        <f>IFERROR(__xludf.DUMMYFUNCTION("""COMPUTED_VALUE"""),"https://docs.google.com/spreadsheets/d/1amfu6epaHdtUHw0CAdEjTuyv-GPkgLpvV-KkUTxeCKw")</f>
        <v>https://docs.google.com/spreadsheets/d/1amfu6epaHdtUHw0CAdEjTuyv-GPkgLpvV-KkUTxeCKw</v>
      </c>
      <c r="J30" s="6" t="b">
        <f>IFERROR(__xludf.DUMMYFUNCTION("""COMPUTED_VALUE"""),TRUE)</f>
        <v>1</v>
      </c>
      <c r="K30" s="6">
        <f>IFERROR(__xludf.DUMMYFUNCTION("""COMPUTED_VALUE"""),40.0)</f>
        <v>40</v>
      </c>
      <c r="L30" s="6">
        <f>IFERROR(__xludf.DUMMYFUNCTION("""COMPUTED_VALUE"""),102.0)</f>
        <v>102</v>
      </c>
      <c r="M30" s="6" t="str">
        <f>IFERROR(__xludf.DUMMYFUNCTION("""COMPUTED_VALUE"""),"0,0,0,0,1.5,0")</f>
        <v>0,0,0,0,1.5,0</v>
      </c>
      <c r="N30" s="6" t="str">
        <f>IFERROR(__xludf.DUMMYFUNCTION("""COMPUTED_VALUE"""),"1,2.5,1,0,0,0")</f>
        <v>1,2.5,1,0,0,0</v>
      </c>
      <c r="O30" s="6" t="str">
        <f>IFERROR(__xludf.DUMMYFUNCTION("""COMPUTED_VALUE"""),"0,0,0,0,0,0")</f>
        <v>0,0,0,0,0,0</v>
      </c>
      <c r="P30" s="6" t="str">
        <f>IFERROR(__xludf.DUMMYFUNCTION("""COMPUTED_VALUE"""),"0,0,0,0,0,0")</f>
        <v>0,0,0,0,0,0</v>
      </c>
      <c r="Q30" s="6" t="str">
        <f>IFERROR(__xludf.DUMMYFUNCTION("""COMPUTED_VALUE"""),",,,,,")</f>
        <v>,,,,,</v>
      </c>
      <c r="R30" s="6" t="str">
        <f>IFERROR(__xludf.DUMMYFUNCTION("""COMPUTED_VALUE"""),"2.5,1,0,4,2.5,0")</f>
        <v>2.5,1,0,4,2.5,0</v>
      </c>
      <c r="S30" s="6" t="str">
        <f>IFERROR(__xludf.DUMMYFUNCTION("""COMPUTED_VALUE"""),"0,1,1,0,0,0")</f>
        <v>0,1,1,0,0,0</v>
      </c>
      <c r="T30" s="6" t="str">
        <f>IFERROR(__xludf.DUMMYFUNCTION("""COMPUTED_VALUE"""),"0,0,1,0,0,2.5")</f>
        <v>0,0,1,0,0,2.5</v>
      </c>
      <c r="U30" s="6" t="str">
        <f>IFERROR(__xludf.DUMMYFUNCTION("""COMPUTED_VALUE"""),"0,0,0,0,0,0")</f>
        <v>0,0,0,0,0,0</v>
      </c>
      <c r="V30" s="6" t="str">
        <f>IFERROR(__xludf.DUMMYFUNCTION("""COMPUTED_VALUE"""),",,,,,")</f>
        <v>,,,,,</v>
      </c>
      <c r="W30" s="6" t="str">
        <f>IFERROR(__xludf.DUMMYFUNCTION("""COMPUTED_VALUE"""),"1Mt9Xksd_TdHkCUOFuH_LJ7Nfrgu0axBx")</f>
        <v>1Mt9Xksd_TdHkCUOFuH_LJ7Nfrgu0axBx</v>
      </c>
    </row>
    <row r="31">
      <c r="A31" s="6">
        <f>IFERROR(__xludf.DUMMYFUNCTION("""COMPUTED_VALUE"""),30.0)</f>
        <v>30</v>
      </c>
      <c r="B31" s="6" t="str">
        <f>IFERROR(__xludf.DUMMYFUNCTION("""COMPUTED_VALUE"""),"Palo Alto A")</f>
        <v>Palo Alto A</v>
      </c>
      <c r="C31" s="6" t="str">
        <f>IFERROR(__xludf.DUMMYFUNCTION("""COMPUTED_VALUE"""),"BASIS Independent A")</f>
        <v>BASIS Independent A</v>
      </c>
      <c r="D31" s="6">
        <f>IFERROR(__xludf.DUMMYFUNCTION("""COMPUTED_VALUE"""),2.0)</f>
        <v>2</v>
      </c>
      <c r="E31" s="6" t="str">
        <f>IFERROR(__xludf.DUMMYFUNCTION("""COMPUTED_VALUE"""),"Round Robin")</f>
        <v>Round Robin</v>
      </c>
      <c r="F31" s="6" t="str">
        <f>IFERROR(__xludf.DUMMYFUNCTION("""COMPUTED_VALUE"""),"D")</f>
        <v>D</v>
      </c>
      <c r="G31" s="6" t="str">
        <f>IFERROR(__xludf.DUMMYFUNCTION("""COMPUTED_VALUE"""),"DWINELLE 206")</f>
        <v>DWINELLE 206</v>
      </c>
      <c r="H31" s="6" t="str">
        <f>IFERROR(__xludf.DUMMYFUNCTION("""COMPUTED_VALUE"""),"1_sIPptnkezVclXMOdVxpS7FlaRJjB0MMU2a8cKvYXQM")</f>
        <v>1_sIPptnkezVclXMOdVxpS7FlaRJjB0MMU2a8cKvYXQM</v>
      </c>
      <c r="I31" s="16" t="str">
        <f>IFERROR(__xludf.DUMMYFUNCTION("""COMPUTED_VALUE"""),"https://docs.google.com/spreadsheets/d/1_sIPptnkezVclXMOdVxpS7FlaRJjB0MMU2a8cKvYXQM")</f>
        <v>https://docs.google.com/spreadsheets/d/1_sIPptnkezVclXMOdVxpS7FlaRJjB0MMU2a8cKvYXQM</v>
      </c>
      <c r="J31" s="6" t="b">
        <f>IFERROR(__xludf.DUMMYFUNCTION("""COMPUTED_VALUE"""),TRUE)</f>
        <v>1</v>
      </c>
      <c r="K31" s="6">
        <f>IFERROR(__xludf.DUMMYFUNCTION("""COMPUTED_VALUE"""),44.0)</f>
        <v>44</v>
      </c>
      <c r="L31" s="6">
        <f>IFERROR(__xludf.DUMMYFUNCTION("""COMPUTED_VALUE"""),90.0)</f>
        <v>90</v>
      </c>
      <c r="M31" s="6" t="str">
        <f>IFERROR(__xludf.DUMMYFUNCTION("""COMPUTED_VALUE"""),"0,1,0,0,0,2.5")</f>
        <v>0,1,0,0,0,2.5</v>
      </c>
      <c r="N31" s="6" t="str">
        <f>IFERROR(__xludf.DUMMYFUNCTION("""COMPUTED_VALUE"""),"0,0,0,0,0,0")</f>
        <v>0,0,0,0,0,0</v>
      </c>
      <c r="O31" s="6" t="str">
        <f>IFERROR(__xludf.DUMMYFUNCTION("""COMPUTED_VALUE"""),"#N/A")</f>
        <v>#N/A</v>
      </c>
      <c r="P31" s="6" t="str">
        <f>IFERROR(__xludf.DUMMYFUNCTION("""COMPUTED_VALUE"""),"0,0,0,0,1,0")</f>
        <v>0,0,0,0,1,0</v>
      </c>
      <c r="Q31" s="6" t="str">
        <f>IFERROR(__xludf.DUMMYFUNCTION("""COMPUTED_VALUE"""),"1.5,0,0,0,0,0")</f>
        <v>1.5,0,0,0,0,0</v>
      </c>
      <c r="R31" s="6" t="str">
        <f>IFERROR(__xludf.DUMMYFUNCTION("""COMPUTED_VALUE"""),"0,0,0,0,3.5,1.5")</f>
        <v>0,0,0,0,3.5,1.5</v>
      </c>
      <c r="S31" s="6" t="str">
        <f>IFERROR(__xludf.DUMMYFUNCTION("""COMPUTED_VALUE"""),"0,2.5,2,1.5,0,0")</f>
        <v>0,2.5,2,1.5,0,0</v>
      </c>
      <c r="T31" s="6" t="str">
        <f>IFERROR(__xludf.DUMMYFUNCTION("""COMPUTED_VALUE"""),"0,0,-1,1.5,0,0")</f>
        <v>0,0,-1,1.5,0,0</v>
      </c>
      <c r="U31" s="6" t="str">
        <f>IFERROR(__xludf.DUMMYFUNCTION("""COMPUTED_VALUE"""),"0,0,0,0,0,0")</f>
        <v>0,0,0,0,0,0</v>
      </c>
      <c r="V31" s="6" t="str">
        <f>IFERROR(__xludf.DUMMYFUNCTION("""COMPUTED_VALUE"""),"#N/A")</f>
        <v>#N/A</v>
      </c>
      <c r="W31" s="6" t="str">
        <f>IFERROR(__xludf.DUMMYFUNCTION("""COMPUTED_VALUE"""),"1R8Q7gRcKc9BVAL76Yk7Shtq5EWg_4_YO")</f>
        <v>1R8Q7gRcKc9BVAL76Yk7Shtq5EWg_4_YO</v>
      </c>
    </row>
    <row r="32">
      <c r="A32" s="6">
        <f>IFERROR(__xludf.DUMMYFUNCTION("""COMPUTED_VALUE"""),31.0)</f>
        <v>31</v>
      </c>
      <c r="B32" s="6" t="str">
        <f>IFERROR(__xludf.DUMMYFUNCTION("""COMPUTED_VALUE"""),"Mission San Jose A")</f>
        <v>Mission San Jose A</v>
      </c>
      <c r="C32" s="6" t="str">
        <f>IFERROR(__xludf.DUMMYFUNCTION("""COMPUTED_VALUE"""),"Abraham Lincoln")</f>
        <v>Abraham Lincoln</v>
      </c>
      <c r="D32" s="6">
        <f>IFERROR(__xludf.DUMMYFUNCTION("""COMPUTED_VALUE"""),2.0)</f>
        <v>2</v>
      </c>
      <c r="E32" s="6" t="str">
        <f>IFERROR(__xludf.DUMMYFUNCTION("""COMPUTED_VALUE"""),"Round Robin")</f>
        <v>Round Robin</v>
      </c>
      <c r="F32" s="6" t="str">
        <f>IFERROR(__xludf.DUMMYFUNCTION("""COMPUTED_VALUE"""),"E")</f>
        <v>E</v>
      </c>
      <c r="G32" s="6" t="str">
        <f>IFERROR(__xludf.DUMMYFUNCTION("""COMPUTED_VALUE"""),"DWINELLE 209")</f>
        <v>DWINELLE 209</v>
      </c>
      <c r="H32" s="6" t="str">
        <f>IFERROR(__xludf.DUMMYFUNCTION("""COMPUTED_VALUE"""),"12OBVp6FmFVyfUv5PsoMW9euUWiazJLtFPPEx-V3lOP8")</f>
        <v>12OBVp6FmFVyfUv5PsoMW9euUWiazJLtFPPEx-V3lOP8</v>
      </c>
      <c r="I32" s="16" t="str">
        <f>IFERROR(__xludf.DUMMYFUNCTION("""COMPUTED_VALUE"""),"https://docs.google.com/spreadsheets/d/12OBVp6FmFVyfUv5PsoMW9euUWiazJLtFPPEx-V3lOP8")</f>
        <v>https://docs.google.com/spreadsheets/d/12OBVp6FmFVyfUv5PsoMW9euUWiazJLtFPPEx-V3lOP8</v>
      </c>
      <c r="J32" s="6" t="b">
        <f>IFERROR(__xludf.DUMMYFUNCTION("""COMPUTED_VALUE"""),TRUE)</f>
        <v>1</v>
      </c>
      <c r="K32" s="6">
        <f>IFERROR(__xludf.DUMMYFUNCTION("""COMPUTED_VALUE"""),216.0)</f>
        <v>216</v>
      </c>
      <c r="L32" s="6">
        <f>IFERROR(__xludf.DUMMYFUNCTION("""COMPUTED_VALUE"""),8.0)</f>
        <v>8</v>
      </c>
      <c r="M32" s="6" t="str">
        <f>IFERROR(__xludf.DUMMYFUNCTION("""COMPUTED_VALUE"""),"0,0,0,0,1.5,1.5")</f>
        <v>0,0,0,0,1.5,1.5</v>
      </c>
      <c r="N32" s="6" t="str">
        <f>IFERROR(__xludf.DUMMYFUNCTION("""COMPUTED_VALUE"""),"0,5.5,1.5,1.5,0,0")</f>
        <v>0,5.5,1.5,1.5,0,0</v>
      </c>
      <c r="O32" s="6" t="str">
        <f>IFERROR(__xludf.DUMMYFUNCTION("""COMPUTED_VALUE"""),"0,0,0,0,1.5,1.5")</f>
        <v>0,0,0,0,1.5,1.5</v>
      </c>
      <c r="P32" s="6" t="str">
        <f>IFERROR(__xludf.DUMMYFUNCTION("""COMPUTED_VALUE"""),"0,0,4,0,1.5,1.5")</f>
        <v>0,0,4,0,1.5,1.5</v>
      </c>
      <c r="Q32" s="6" t="str">
        <f>IFERROR(__xludf.DUMMYFUNCTION("""COMPUTED_VALUE"""),"1.5,0,0,1.5,0,0")</f>
        <v>1.5,0,0,1.5,0,0</v>
      </c>
      <c r="R32" s="6" t="str">
        <f>IFERROR(__xludf.DUMMYFUNCTION("""COMPUTED_VALUE"""),"0,0,0,0,0,0")</f>
        <v>0,0,0,0,0,0</v>
      </c>
      <c r="S32" s="6" t="str">
        <f>IFERROR(__xludf.DUMMYFUNCTION("""COMPUTED_VALUE"""),"0,0,0,0,0,0")</f>
        <v>0,0,0,0,0,0</v>
      </c>
      <c r="T32" s="6" t="str">
        <f>IFERROR(__xludf.DUMMYFUNCTION("""COMPUTED_VALUE"""),"0,0,0,0,0,0")</f>
        <v>0,0,0,0,0,0</v>
      </c>
      <c r="U32" s="6" t="str">
        <f>IFERROR(__xludf.DUMMYFUNCTION("""COMPUTED_VALUE"""),"0,0,0,1,0,-1")</f>
        <v>0,0,0,1,0,-1</v>
      </c>
      <c r="V32" s="6" t="str">
        <f>IFERROR(__xludf.DUMMYFUNCTION("""COMPUTED_VALUE"""),"0,0,0,0,0,0")</f>
        <v>0,0,0,0,0,0</v>
      </c>
      <c r="W32" s="6" t="str">
        <f>IFERROR(__xludf.DUMMYFUNCTION("""COMPUTED_VALUE"""),"1ceIlOa2fB7WrLZM2CEwKD06R4jlBCRMA")</f>
        <v>1ceIlOa2fB7WrLZM2CEwKD06R4jlBCRMA</v>
      </c>
    </row>
    <row r="33">
      <c r="A33" s="6">
        <f>IFERROR(__xludf.DUMMYFUNCTION("""COMPUTED_VALUE"""),32.0)</f>
        <v>32</v>
      </c>
      <c r="B33" s="6" t="str">
        <f>IFERROR(__xludf.DUMMYFUNCTION("""COMPUTED_VALUE"""),"Archbishop Mitty A")</f>
        <v>Archbishop Mitty A</v>
      </c>
      <c r="C33" s="6" t="str">
        <f>IFERROR(__xludf.DUMMYFUNCTION("""COMPUTED_VALUE"""),"Saratoga")</f>
        <v>Saratoga</v>
      </c>
      <c r="D33" s="6">
        <f>IFERROR(__xludf.DUMMYFUNCTION("""COMPUTED_VALUE"""),2.0)</f>
        <v>2</v>
      </c>
      <c r="E33" s="6" t="str">
        <f>IFERROR(__xludf.DUMMYFUNCTION("""COMPUTED_VALUE"""),"Round Robin")</f>
        <v>Round Robin</v>
      </c>
      <c r="F33" s="6" t="str">
        <f>IFERROR(__xludf.DUMMYFUNCTION("""COMPUTED_VALUE"""),"E")</f>
        <v>E</v>
      </c>
      <c r="G33" s="6" t="str">
        <f>IFERROR(__xludf.DUMMYFUNCTION("""COMPUTED_VALUE"""),"DWINELLE 210")</f>
        <v>DWINELLE 210</v>
      </c>
      <c r="H33" s="6" t="str">
        <f>IFERROR(__xludf.DUMMYFUNCTION("""COMPUTED_VALUE"""),"1myJM8yU8LHRIJyhtDjBchtML2DIxB4FclCvmE4plevM")</f>
        <v>1myJM8yU8LHRIJyhtDjBchtML2DIxB4FclCvmE4plevM</v>
      </c>
      <c r="I33" s="16" t="str">
        <f>IFERROR(__xludf.DUMMYFUNCTION("""COMPUTED_VALUE"""),"https://docs.google.com/spreadsheets/d/1myJM8yU8LHRIJyhtDjBchtML2DIxB4FclCvmE4plevM")</f>
        <v>https://docs.google.com/spreadsheets/d/1myJM8yU8LHRIJyhtDjBchtML2DIxB4FclCvmE4plevM</v>
      </c>
      <c r="J33" s="6" t="b">
        <f>IFERROR(__xludf.DUMMYFUNCTION("""COMPUTED_VALUE"""),TRUE)</f>
        <v>1</v>
      </c>
      <c r="K33" s="6">
        <f>IFERROR(__xludf.DUMMYFUNCTION("""COMPUTED_VALUE"""),68.0)</f>
        <v>68</v>
      </c>
      <c r="L33" s="6">
        <f>IFERROR(__xludf.DUMMYFUNCTION("""COMPUTED_VALUE"""),118.0)</f>
        <v>118</v>
      </c>
      <c r="M33" s="6" t="str">
        <f>IFERROR(__xludf.DUMMYFUNCTION("""COMPUTED_VALUE"""),"1.5,1,1,0,0,0")</f>
        <v>1.5,1,1,0,0,0</v>
      </c>
      <c r="N33" s="6" t="str">
        <f>IFERROR(__xludf.DUMMYFUNCTION("""COMPUTED_VALUE"""),"0,0,0,0,0,0")</f>
        <v>0,0,0,0,0,0</v>
      </c>
      <c r="O33" s="6" t="str">
        <f>IFERROR(__xludf.DUMMYFUNCTION("""COMPUTED_VALUE"""),"0,0,0,0,0,1")</f>
        <v>0,0,0,0,0,1</v>
      </c>
      <c r="P33" s="6" t="str">
        <f>IFERROR(__xludf.DUMMYFUNCTION("""COMPUTED_VALUE"""),"2,1.5,0,0,0,0")</f>
        <v>2,1.5,0,0,0,0</v>
      </c>
      <c r="Q33" s="6" t="str">
        <f>IFERROR(__xludf.DUMMYFUNCTION("""COMPUTED_VALUE"""),",,,,,")</f>
        <v>,,,,,</v>
      </c>
      <c r="R33" s="6" t="str">
        <f>IFERROR(__xludf.DUMMYFUNCTION("""COMPUTED_VALUE"""),"0,0.5,2.5,3,4,-1")</f>
        <v>0,0.5,2.5,3,4,-1</v>
      </c>
      <c r="S33" s="6" t="str">
        <f>IFERROR(__xludf.DUMMYFUNCTION("""COMPUTED_VALUE"""),"-2,0,0,0,0,0")</f>
        <v>-2,0,0,0,0,0</v>
      </c>
      <c r="T33" s="6" t="str">
        <f>IFERROR(__xludf.DUMMYFUNCTION("""COMPUTED_VALUE"""),"0,0,0,0,0,0")</f>
        <v>0,0,0,0,0,0</v>
      </c>
      <c r="U33" s="6" t="str">
        <f>IFERROR(__xludf.DUMMYFUNCTION("""COMPUTED_VALUE"""),"1,0,0,0,0,0")</f>
        <v>1,0,0,0,0,0</v>
      </c>
      <c r="V33" s="6" t="str">
        <f>IFERROR(__xludf.DUMMYFUNCTION("""COMPUTED_VALUE"""),"0,0,0,1.5,0,1")</f>
        <v>0,0,0,1.5,0,1</v>
      </c>
      <c r="W33" s="6" t="str">
        <f>IFERROR(__xludf.DUMMYFUNCTION("""COMPUTED_VALUE"""),"1_FRkf4EGoH4VxGtiBWR6Sp7-OliBOiic")</f>
        <v>1_FRkf4EGoH4VxGtiBWR6Sp7-OliBOiic</v>
      </c>
    </row>
    <row r="34">
      <c r="A34" s="6">
        <f>IFERROR(__xludf.DUMMYFUNCTION("""COMPUTED_VALUE"""),33.0)</f>
        <v>33</v>
      </c>
      <c r="B34" s="6" t="str">
        <f>IFERROR(__xludf.DUMMYFUNCTION("""COMPUTED_VALUE"""),"California A")</f>
        <v>California A</v>
      </c>
      <c r="C34" s="6" t="str">
        <f>IFERROR(__xludf.DUMMYFUNCTION("""COMPUTED_VALUE"""),"Lynbrook C")</f>
        <v>Lynbrook C</v>
      </c>
      <c r="D34" s="6">
        <f>IFERROR(__xludf.DUMMYFUNCTION("""COMPUTED_VALUE"""),2.0)</f>
        <v>2</v>
      </c>
      <c r="E34" s="6" t="str">
        <f>IFERROR(__xludf.DUMMYFUNCTION("""COMPUTED_VALUE"""),"Round Robin")</f>
        <v>Round Robin</v>
      </c>
      <c r="F34" s="6" t="str">
        <f>IFERROR(__xludf.DUMMYFUNCTION("""COMPUTED_VALUE"""),"E")</f>
        <v>E</v>
      </c>
      <c r="G34" s="6" t="str">
        <f>IFERROR(__xludf.DUMMYFUNCTION("""COMPUTED_VALUE"""),"DWINELLE 215")</f>
        <v>DWINELLE 215</v>
      </c>
      <c r="H34" s="6" t="str">
        <f>IFERROR(__xludf.DUMMYFUNCTION("""COMPUTED_VALUE"""),"1cir3Q58uI7HHdiqsGyG0dW-Fbq-ODt6kMVIxs-wTfjE")</f>
        <v>1cir3Q58uI7HHdiqsGyG0dW-Fbq-ODt6kMVIxs-wTfjE</v>
      </c>
      <c r="I34" s="16" t="str">
        <f>IFERROR(__xludf.DUMMYFUNCTION("""COMPUTED_VALUE"""),"https://docs.google.com/spreadsheets/d/1cir3Q58uI7HHdiqsGyG0dW-Fbq-ODt6kMVIxs-wTfjE")</f>
        <v>https://docs.google.com/spreadsheets/d/1cir3Q58uI7HHdiqsGyG0dW-Fbq-ODt6kMVIxs-wTfjE</v>
      </c>
      <c r="J34" s="6" t="b">
        <f>IFERROR(__xludf.DUMMYFUNCTION("""COMPUTED_VALUE"""),TRUE)</f>
        <v>1</v>
      </c>
      <c r="K34" s="6">
        <f>IFERROR(__xludf.DUMMYFUNCTION("""COMPUTED_VALUE"""),36.0)</f>
        <v>36</v>
      </c>
      <c r="L34" s="6">
        <f>IFERROR(__xludf.DUMMYFUNCTION("""COMPUTED_VALUE"""),170.0)</f>
        <v>170</v>
      </c>
      <c r="M34" s="6" t="str">
        <f>IFERROR(__xludf.DUMMYFUNCTION("""COMPUTED_VALUE"""),"0,0,0,0,0,0")</f>
        <v>0,0,0,0,0,0</v>
      </c>
      <c r="N34" s="6" t="str">
        <f>IFERROR(__xludf.DUMMYFUNCTION("""COMPUTED_VALUE"""),"0,0,0,1.5,0,1")</f>
        <v>0,0,0,1.5,0,1</v>
      </c>
      <c r="O34" s="6" t="str">
        <f>IFERROR(__xludf.DUMMYFUNCTION("""COMPUTED_VALUE"""),"0,0,0,0,0,0")</f>
        <v>0,0,0,0,0,0</v>
      </c>
      <c r="P34" s="6" t="str">
        <f>IFERROR(__xludf.DUMMYFUNCTION("""COMPUTED_VALUE"""),"0,0,0,0,0,0")</f>
        <v>0,0,0,0,0,0</v>
      </c>
      <c r="Q34" s="6" t="str">
        <f>IFERROR(__xludf.DUMMYFUNCTION("""COMPUTED_VALUE"""),"0.5,0,0,1,0,0")</f>
        <v>0.5,0,0,1,0,0</v>
      </c>
      <c r="R34" s="6" t="str">
        <f>IFERROR(__xludf.DUMMYFUNCTION("""COMPUTED_VALUE"""),"0,1.5,0,0,0,0")</f>
        <v>0,1.5,0,0,0,0</v>
      </c>
      <c r="S34" s="6" t="str">
        <f>IFERROR(__xludf.DUMMYFUNCTION("""COMPUTED_VALUE"""),"1.5,0,1.5,0,0,0")</f>
        <v>1.5,0,1.5,0,0,0</v>
      </c>
      <c r="T34" s="6" t="str">
        <f>IFERROR(__xludf.DUMMYFUNCTION("""COMPUTED_VALUE"""),"0,0,0,0,3,0")</f>
        <v>0,0,0,0,3,0</v>
      </c>
      <c r="U34" s="6" t="str">
        <f>IFERROR(__xludf.DUMMYFUNCTION("""COMPUTED_VALUE"""),"1.5,1.5,3,1.5,0,0")</f>
        <v>1.5,1.5,3,1.5,0,0</v>
      </c>
      <c r="V34" s="6" t="str">
        <f>IFERROR(__xludf.DUMMYFUNCTION("""COMPUTED_VALUE"""),"0,3,0,0,1.5,1.5")</f>
        <v>0,3,0,0,1.5,1.5</v>
      </c>
      <c r="W34" s="6" t="str">
        <f>IFERROR(__xludf.DUMMYFUNCTION("""COMPUTED_VALUE"""),"1Qna1pYsoUSO2n7l_awkcAfh7nAFZQZGE")</f>
        <v>1Qna1pYsoUSO2n7l_awkcAfh7nAFZQZGE</v>
      </c>
    </row>
    <row r="35">
      <c r="A35" s="6">
        <f>IFERROR(__xludf.DUMMYFUNCTION("""COMPUTED_VALUE"""),34.0)</f>
        <v>34</v>
      </c>
      <c r="B35" s="6" t="str">
        <f>IFERROR(__xludf.DUMMYFUNCTION("""COMPUTED_VALUE"""),"Dougherty Valley B")</f>
        <v>Dougherty Valley B</v>
      </c>
      <c r="C35" s="6" t="str">
        <f>IFERROR(__xludf.DUMMYFUNCTION("""COMPUTED_VALUE"""),"American B")</f>
        <v>American B</v>
      </c>
      <c r="D35" s="6">
        <f>IFERROR(__xludf.DUMMYFUNCTION("""COMPUTED_VALUE"""),2.0)</f>
        <v>2</v>
      </c>
      <c r="E35" s="6" t="str">
        <f>IFERROR(__xludf.DUMMYFUNCTION("""COMPUTED_VALUE"""),"Round Robin")</f>
        <v>Round Robin</v>
      </c>
      <c r="F35" s="6" t="str">
        <f>IFERROR(__xludf.DUMMYFUNCTION("""COMPUTED_VALUE"""),"F")</f>
        <v>F</v>
      </c>
      <c r="G35" s="6" t="str">
        <f>IFERROR(__xludf.DUMMYFUNCTION("""COMPUTED_VALUE"""),"DWINELLE 246")</f>
        <v>DWINELLE 246</v>
      </c>
      <c r="H35" s="6" t="str">
        <f>IFERROR(__xludf.DUMMYFUNCTION("""COMPUTED_VALUE"""),"1oE5chvLKtsyie62WbKFTd_PYF7_rw6--ffJF3567ths")</f>
        <v>1oE5chvLKtsyie62WbKFTd_PYF7_rw6--ffJF3567ths</v>
      </c>
      <c r="I35" s="16" t="str">
        <f>IFERROR(__xludf.DUMMYFUNCTION("""COMPUTED_VALUE"""),"https://docs.google.com/spreadsheets/d/1oE5chvLKtsyie62WbKFTd_PYF7_rw6--ffJF3567ths")</f>
        <v>https://docs.google.com/spreadsheets/d/1oE5chvLKtsyie62WbKFTd_PYF7_rw6--ffJF3567ths</v>
      </c>
      <c r="J35" s="6" t="b">
        <f>IFERROR(__xludf.DUMMYFUNCTION("""COMPUTED_VALUE"""),TRUE)</f>
        <v>1</v>
      </c>
      <c r="K35" s="6">
        <f>IFERROR(__xludf.DUMMYFUNCTION("""COMPUTED_VALUE"""),104.0)</f>
        <v>104</v>
      </c>
      <c r="L35" s="6">
        <f>IFERROR(__xludf.DUMMYFUNCTION("""COMPUTED_VALUE"""),54.0)</f>
        <v>54</v>
      </c>
      <c r="M35" s="6" t="str">
        <f>IFERROR(__xludf.DUMMYFUNCTION("""COMPUTED_VALUE"""),"3,0,0,1.5,1,1.5")</f>
        <v>3,0,0,1.5,1,1.5</v>
      </c>
      <c r="N35" s="6" t="str">
        <f>IFERROR(__xludf.DUMMYFUNCTION("""COMPUTED_VALUE"""),"#N/A")</f>
        <v>#N/A</v>
      </c>
      <c r="O35" s="6" t="str">
        <f>IFERROR(__xludf.DUMMYFUNCTION("""COMPUTED_VALUE"""),"#N/A")</f>
        <v>#N/A</v>
      </c>
      <c r="P35" s="6" t="str">
        <f>IFERROR(__xludf.DUMMYFUNCTION("""COMPUTED_VALUE"""),"1.5,1,2,1.5,0,0")</f>
        <v>1.5,1,2,1.5,0,0</v>
      </c>
      <c r="Q35" s="6" t="str">
        <f>IFERROR(__xludf.DUMMYFUNCTION("""COMPUTED_VALUE"""),"0,0,0,0,0,0")</f>
        <v>0,0,0,0,0,0</v>
      </c>
      <c r="R35" s="6" t="str">
        <f>IFERROR(__xludf.DUMMYFUNCTION("""COMPUTED_VALUE"""),"0.5,0,0,0,0,0")</f>
        <v>0.5,0,0,0,0,0</v>
      </c>
      <c r="S35" s="6" t="str">
        <f>IFERROR(__xludf.DUMMYFUNCTION("""COMPUTED_VALUE"""),"0,1,0,0,0,0")</f>
        <v>0,1,0,0,0,0</v>
      </c>
      <c r="T35" s="6" t="str">
        <f>IFERROR(__xludf.DUMMYFUNCTION("""COMPUTED_VALUE"""),"0,2.5,0,0,0,0")</f>
        <v>0,2.5,0,0,0,0</v>
      </c>
      <c r="U35" s="6" t="str">
        <f>IFERROR(__xludf.DUMMYFUNCTION("""COMPUTED_VALUE"""),"#N/A")</f>
        <v>#N/A</v>
      </c>
      <c r="V35" s="6" t="str">
        <f>IFERROR(__xludf.DUMMYFUNCTION("""COMPUTED_VALUE"""),"0,0,1,1.5,0,0")</f>
        <v>0,0,1,1.5,0,0</v>
      </c>
      <c r="W35" s="6" t="str">
        <f>IFERROR(__xludf.DUMMYFUNCTION("""COMPUTED_VALUE"""),"1ZMUmrgOLjgL9cryFCDoYsJzMfRQXQGA0")</f>
        <v>1ZMUmrgOLjgL9cryFCDoYsJzMfRQXQGA0</v>
      </c>
    </row>
    <row r="36">
      <c r="A36" s="6">
        <f>IFERROR(__xludf.DUMMYFUNCTION("""COMPUTED_VALUE"""),35.0)</f>
        <v>35</v>
      </c>
      <c r="B36" s="6" t="str">
        <f>IFERROR(__xludf.DUMMYFUNCTION("""COMPUTED_VALUE"""),"American A")</f>
        <v>American A</v>
      </c>
      <c r="C36" s="6" t="str">
        <f>IFERROR(__xludf.DUMMYFUNCTION("""COMPUTED_VALUE"""),"Foothill A")</f>
        <v>Foothill A</v>
      </c>
      <c r="D36" s="6">
        <f>IFERROR(__xludf.DUMMYFUNCTION("""COMPUTED_VALUE"""),2.0)</f>
        <v>2</v>
      </c>
      <c r="E36" s="6" t="str">
        <f>IFERROR(__xludf.DUMMYFUNCTION("""COMPUTED_VALUE"""),"Round Robin")</f>
        <v>Round Robin</v>
      </c>
      <c r="F36" s="6" t="str">
        <f>IFERROR(__xludf.DUMMYFUNCTION("""COMPUTED_VALUE"""),"F")</f>
        <v>F</v>
      </c>
      <c r="G36" s="6" t="str">
        <f>IFERROR(__xludf.DUMMYFUNCTION("""COMPUTED_VALUE"""),"DWINELLE 262")</f>
        <v>DWINELLE 262</v>
      </c>
      <c r="H36" s="6" t="str">
        <f>IFERROR(__xludf.DUMMYFUNCTION("""COMPUTED_VALUE"""),"1jz1InpoQjqokcFkViczCK3lyPGSJI_ZYzevN2V8JvlE")</f>
        <v>1jz1InpoQjqokcFkViczCK3lyPGSJI_ZYzevN2V8JvlE</v>
      </c>
      <c r="I36" s="16" t="str">
        <f>IFERROR(__xludf.DUMMYFUNCTION("""COMPUTED_VALUE"""),"https://docs.google.com/spreadsheets/d/1jz1InpoQjqokcFkViczCK3lyPGSJI_ZYzevN2V8JvlE")</f>
        <v>https://docs.google.com/spreadsheets/d/1jz1InpoQjqokcFkViczCK3lyPGSJI_ZYzevN2V8JvlE</v>
      </c>
      <c r="J36" s="6" t="b">
        <f>IFERROR(__xludf.DUMMYFUNCTION("""COMPUTED_VALUE"""),TRUE)</f>
        <v>1</v>
      </c>
      <c r="K36" s="6">
        <f>IFERROR(__xludf.DUMMYFUNCTION("""COMPUTED_VALUE"""),142.0)</f>
        <v>142</v>
      </c>
      <c r="L36" s="6">
        <f>IFERROR(__xludf.DUMMYFUNCTION("""COMPUTED_VALUE"""),40.0)</f>
        <v>40</v>
      </c>
      <c r="M36" s="6" t="str">
        <f>IFERROR(__xludf.DUMMYFUNCTION("""COMPUTED_VALUE"""),"1.5,0,0,3,0,3")</f>
        <v>1.5,0,0,3,0,3</v>
      </c>
      <c r="N36" s="6" t="str">
        <f>IFERROR(__xludf.DUMMYFUNCTION("""COMPUTED_VALUE"""),"0,1.5,0,0,0,0")</f>
        <v>0,1.5,0,0,0,0</v>
      </c>
      <c r="O36" s="6" t="str">
        <f>IFERROR(__xludf.DUMMYFUNCTION("""COMPUTED_VALUE"""),"0,1.5,0,0,1,1.5")</f>
        <v>0,1.5,0,0,1,1.5</v>
      </c>
      <c r="P36" s="6" t="str">
        <f>IFERROR(__xludf.DUMMYFUNCTION("""COMPUTED_VALUE"""),"0,0,0,0,0,0")</f>
        <v>0,0,0,0,0,0</v>
      </c>
      <c r="Q36" s="6" t="str">
        <f>IFERROR(__xludf.DUMMYFUNCTION("""COMPUTED_VALUE"""),"0,0,1.5,0,2.5,0")</f>
        <v>0,0,1.5,0,2.5,0</v>
      </c>
      <c r="R36" s="6" t="str">
        <f>IFERROR(__xludf.DUMMYFUNCTION("""COMPUTED_VALUE"""),"0,0,0,0,0,0")</f>
        <v>0,0,0,0,0,0</v>
      </c>
      <c r="S36" s="6" t="str">
        <f>IFERROR(__xludf.DUMMYFUNCTION("""COMPUTED_VALUE"""),"1,0,0,0,0,0")</f>
        <v>1,0,0,0,0,0</v>
      </c>
      <c r="T36" s="6" t="str">
        <f>IFERROR(__xludf.DUMMYFUNCTION("""COMPUTED_VALUE"""),"0,0,2.5,1.5,0,0")</f>
        <v>0,0,2.5,1.5,0,0</v>
      </c>
      <c r="U36" s="6" t="str">
        <f>IFERROR(__xludf.DUMMYFUNCTION("""COMPUTED_VALUE"""),"0,0,0,0,0,0")</f>
        <v>0,0,0,0,0,0</v>
      </c>
      <c r="V36" s="6" t="str">
        <f>IFERROR(__xludf.DUMMYFUNCTION("""COMPUTED_VALUE"""),"0,0,0,0,0,0")</f>
        <v>0,0,0,0,0,0</v>
      </c>
      <c r="W36" s="6" t="str">
        <f>IFERROR(__xludf.DUMMYFUNCTION("""COMPUTED_VALUE"""),"1Vl5Oa0oSlbk2HzPsQjyl20DkDyVwWOEm")</f>
        <v>1Vl5Oa0oSlbk2HzPsQjyl20DkDyVwWOEm</v>
      </c>
    </row>
    <row r="37">
      <c r="A37" s="6">
        <f>IFERROR(__xludf.DUMMYFUNCTION("""COMPUTED_VALUE"""),36.0)</f>
        <v>36</v>
      </c>
      <c r="B37" s="6" t="str">
        <f>IFERROR(__xludf.DUMMYFUNCTION("""COMPUTED_VALUE"""),"Mira Loma B")</f>
        <v>Mira Loma B</v>
      </c>
      <c r="C37" s="6" t="str">
        <f>IFERROR(__xludf.DUMMYFUNCTION("""COMPUTED_VALUE"""),"Cupertino A")</f>
        <v>Cupertino A</v>
      </c>
      <c r="D37" s="6">
        <f>IFERROR(__xludf.DUMMYFUNCTION("""COMPUTED_VALUE"""),2.0)</f>
        <v>2</v>
      </c>
      <c r="E37" s="6" t="str">
        <f>IFERROR(__xludf.DUMMYFUNCTION("""COMPUTED_VALUE"""),"Round Robin")</f>
        <v>Round Robin</v>
      </c>
      <c r="F37" s="6" t="str">
        <f>IFERROR(__xludf.DUMMYFUNCTION("""COMPUTED_VALUE"""),"F")</f>
        <v>F</v>
      </c>
      <c r="G37" s="6" t="str">
        <f>IFERROR(__xludf.DUMMYFUNCTION("""COMPUTED_VALUE"""),"DWINELLE 263")</f>
        <v>DWINELLE 263</v>
      </c>
      <c r="H37" s="6" t="str">
        <f>IFERROR(__xludf.DUMMYFUNCTION("""COMPUTED_VALUE"""),"1hQda1iH1uvvrknkqTyxKyPMEgb-VCoHaSPhXt1pTo1Y")</f>
        <v>1hQda1iH1uvvrknkqTyxKyPMEgb-VCoHaSPhXt1pTo1Y</v>
      </c>
      <c r="I37" s="16" t="str">
        <f>IFERROR(__xludf.DUMMYFUNCTION("""COMPUTED_VALUE"""),"https://docs.google.com/spreadsheets/d/1hQda1iH1uvvrknkqTyxKyPMEgb-VCoHaSPhXt1pTo1Y")</f>
        <v>https://docs.google.com/spreadsheets/d/1hQda1iH1uvvrknkqTyxKyPMEgb-VCoHaSPhXt1pTo1Y</v>
      </c>
      <c r="J37" s="6" t="b">
        <f>IFERROR(__xludf.DUMMYFUNCTION("""COMPUTED_VALUE"""),TRUE)</f>
        <v>1</v>
      </c>
      <c r="K37" s="6">
        <f>IFERROR(__xludf.DUMMYFUNCTION("""COMPUTED_VALUE"""),44.0)</f>
        <v>44</v>
      </c>
      <c r="L37" s="6">
        <f>IFERROR(__xludf.DUMMYFUNCTION("""COMPUTED_VALUE"""),132.0)</f>
        <v>132</v>
      </c>
      <c r="M37" s="6" t="str">
        <f>IFERROR(__xludf.DUMMYFUNCTION("""COMPUTED_VALUE"""),"2.5,-1,1,0,2,0")</f>
        <v>2.5,-1,1,0,2,0</v>
      </c>
      <c r="N37" s="6" t="str">
        <f>IFERROR(__xludf.DUMMYFUNCTION("""COMPUTED_VALUE"""),"0,0,0,0,0,0")</f>
        <v>0,0,0,0,0,0</v>
      </c>
      <c r="O37" s="6" t="str">
        <f>IFERROR(__xludf.DUMMYFUNCTION("""COMPUTED_VALUE"""),"0,0,0,1.5,0,0")</f>
        <v>0,0,0,1.5,0,0</v>
      </c>
      <c r="P37" s="6" t="str">
        <f>IFERROR(__xludf.DUMMYFUNCTION("""COMPUTED_VALUE"""),"0,0,0,0,0,0")</f>
        <v>0,0,0,0,0,0</v>
      </c>
      <c r="Q37" s="6" t="str">
        <f>IFERROR(__xludf.DUMMYFUNCTION("""COMPUTED_VALUE"""),"0,0,0,0,0,0")</f>
        <v>0,0,0,0,0,0</v>
      </c>
      <c r="R37" s="6" t="str">
        <f>IFERROR(__xludf.DUMMYFUNCTION("""COMPUTED_VALUE"""),"1.5,2.5,0,1.5,0,0")</f>
        <v>1.5,2.5,0,1.5,0,0</v>
      </c>
      <c r="S37" s="6" t="str">
        <f>IFERROR(__xludf.DUMMYFUNCTION("""COMPUTED_VALUE"""),"0,2.5,2.5,1.5,0,4.5")</f>
        <v>0,2.5,2.5,1.5,0,4.5</v>
      </c>
      <c r="T37" s="6" t="str">
        <f>IFERROR(__xludf.DUMMYFUNCTION("""COMPUTED_VALUE"""),"0,0,0,0,0,0")</f>
        <v>0,0,0,0,0,0</v>
      </c>
      <c r="U37" s="6" t="str">
        <f>IFERROR(__xludf.DUMMYFUNCTION("""COMPUTED_VALUE"""),"0,0,0,0,0,0")</f>
        <v>0,0,0,0,0,0</v>
      </c>
      <c r="V37" s="6" t="str">
        <f>IFERROR(__xludf.DUMMYFUNCTION("""COMPUTED_VALUE"""),"0,0,0,0,0,0")</f>
        <v>0,0,0,0,0,0</v>
      </c>
      <c r="W37" s="6" t="str">
        <f>IFERROR(__xludf.DUMMYFUNCTION("""COMPUTED_VALUE"""),"1iSlolT830hPWUFNO8QFe1M73jdBAFnII")</f>
        <v>1iSlolT830hPWUFNO8QFe1M73jdBAFnII</v>
      </c>
    </row>
    <row r="38">
      <c r="A38" s="6">
        <f>IFERROR(__xludf.DUMMYFUNCTION("""COMPUTED_VALUE"""),37.0)</f>
        <v>37</v>
      </c>
      <c r="B38" s="6" t="str">
        <f>IFERROR(__xludf.DUMMYFUNCTION("""COMPUTED_VALUE"""),"Stanford Online")</f>
        <v>Stanford Online</v>
      </c>
      <c r="C38" s="6" t="str">
        <f>IFERROR(__xludf.DUMMYFUNCTION("""COMPUTED_VALUE"""),"Dougherty Valley A")</f>
        <v>Dougherty Valley A</v>
      </c>
      <c r="D38" s="6">
        <f>IFERROR(__xludf.DUMMYFUNCTION("""COMPUTED_VALUE"""),3.0)</f>
        <v>3</v>
      </c>
      <c r="E38" s="6" t="str">
        <f>IFERROR(__xludf.DUMMYFUNCTION("""COMPUTED_VALUE"""),"Round Robin")</f>
        <v>Round Robin</v>
      </c>
      <c r="F38" s="6" t="str">
        <f>IFERROR(__xludf.DUMMYFUNCTION("""COMPUTED_VALUE"""),"A")</f>
        <v>A</v>
      </c>
      <c r="G38" s="6" t="str">
        <f>IFERROR(__xludf.DUMMYFUNCTION("""COMPUTED_VALUE"""),"DWINELLE 87")</f>
        <v>DWINELLE 87</v>
      </c>
      <c r="H38" s="6" t="str">
        <f>IFERROR(__xludf.DUMMYFUNCTION("""COMPUTED_VALUE"""),"1zI1PWNVOSgtrQ5h8hb5Rfx0SG-_8HCGABj8HQhJQJyo")</f>
        <v>1zI1PWNVOSgtrQ5h8hb5Rfx0SG-_8HCGABj8HQhJQJyo</v>
      </c>
      <c r="I38" s="16" t="str">
        <f>IFERROR(__xludf.DUMMYFUNCTION("""COMPUTED_VALUE"""),"https://docs.google.com/spreadsheets/d/1zI1PWNVOSgtrQ5h8hb5Rfx0SG-_8HCGABj8HQhJQJyo")</f>
        <v>https://docs.google.com/spreadsheets/d/1zI1PWNVOSgtrQ5h8hb5Rfx0SG-_8HCGABj8HQhJQJyo</v>
      </c>
      <c r="J38" s="6" t="b">
        <f>IFERROR(__xludf.DUMMYFUNCTION("""COMPUTED_VALUE"""),TRUE)</f>
        <v>1</v>
      </c>
      <c r="K38" s="6">
        <f>IFERROR(__xludf.DUMMYFUNCTION("""COMPUTED_VALUE"""),84.0)</f>
        <v>84</v>
      </c>
      <c r="L38" s="6">
        <f>IFERROR(__xludf.DUMMYFUNCTION("""COMPUTED_VALUE"""),90.0)</f>
        <v>90</v>
      </c>
      <c r="M38" s="6" t="str">
        <f>IFERROR(__xludf.DUMMYFUNCTION("""COMPUTED_VALUE"""),"2.5,-1,1,1,1.5,-1")</f>
        <v>2.5,-1,1,1,1.5,-1</v>
      </c>
      <c r="N38" s="6" t="str">
        <f>IFERROR(__xludf.DUMMYFUNCTION("""COMPUTED_VALUE"""),"0,0,0,0,0,0")</f>
        <v>0,0,0,0,0,0</v>
      </c>
      <c r="O38" s="6" t="str">
        <f>IFERROR(__xludf.DUMMYFUNCTION("""COMPUTED_VALUE"""),"3,0,0,0,0,1")</f>
        <v>3,0,0,0,0,1</v>
      </c>
      <c r="P38" s="6" t="str">
        <f>IFERROR(__xludf.DUMMYFUNCTION("""COMPUTED_VALUE"""),"0,0,0,0,0,0")</f>
        <v>0,0,0,0,0,0</v>
      </c>
      <c r="Q38" s="6" t="str">
        <f>IFERROR(__xludf.DUMMYFUNCTION("""COMPUTED_VALUE"""),",,,,,")</f>
        <v>,,,,,</v>
      </c>
      <c r="R38" s="6" t="str">
        <f>IFERROR(__xludf.DUMMYFUNCTION("""COMPUTED_VALUE"""),"0,2.5,0,0,0,0")</f>
        <v>0,2.5,0,0,0,0</v>
      </c>
      <c r="S38" s="6" t="str">
        <f>IFERROR(__xludf.DUMMYFUNCTION("""COMPUTED_VALUE"""),"0,0,0,0,1.5,3")</f>
        <v>0,0,0,0,1.5,3</v>
      </c>
      <c r="T38" s="6" t="str">
        <f>IFERROR(__xludf.DUMMYFUNCTION("""COMPUTED_VALUE"""),"-1,0,0,-1,0,0")</f>
        <v>-1,0,0,-1,0,0</v>
      </c>
      <c r="U38" s="6" t="str">
        <f>IFERROR(__xludf.DUMMYFUNCTION("""COMPUTED_VALUE"""),"1.5,0,1,0,0,0")</f>
        <v>1.5,0,1,0,0,0</v>
      </c>
      <c r="V38" s="6" t="str">
        <f>IFERROR(__xludf.DUMMYFUNCTION("""COMPUTED_VALUE"""),",,,,,")</f>
        <v>,,,,,</v>
      </c>
      <c r="W38" s="6" t="str">
        <f>IFERROR(__xludf.DUMMYFUNCTION("""COMPUTED_VALUE"""),"1wU8ddNcIDYy_LNgK50_oAheTJQ7qxrnc")</f>
        <v>1wU8ddNcIDYy_LNgK50_oAheTJQ7qxrnc</v>
      </c>
    </row>
    <row r="39">
      <c r="A39" s="6">
        <f>IFERROR(__xludf.DUMMYFUNCTION("""COMPUTED_VALUE"""),38.0)</f>
        <v>38</v>
      </c>
      <c r="B39" s="6" t="str">
        <f>IFERROR(__xludf.DUMMYFUNCTION("""COMPUTED_VALUE"""),"Mission San Jose B")</f>
        <v>Mission San Jose B</v>
      </c>
      <c r="C39" s="6" t="str">
        <f>IFERROR(__xludf.DUMMYFUNCTION("""COMPUTED_VALUE"""),"BASIS Independent B")</f>
        <v>BASIS Independent B</v>
      </c>
      <c r="D39" s="6">
        <f>IFERROR(__xludf.DUMMYFUNCTION("""COMPUTED_VALUE"""),3.0)</f>
        <v>3</v>
      </c>
      <c r="E39" s="6" t="str">
        <f>IFERROR(__xludf.DUMMYFUNCTION("""COMPUTED_VALUE"""),"Round Robin")</f>
        <v>Round Robin</v>
      </c>
      <c r="F39" s="6" t="str">
        <f>IFERROR(__xludf.DUMMYFUNCTION("""COMPUTED_VALUE"""),"A")</f>
        <v>A</v>
      </c>
      <c r="G39" s="6" t="str">
        <f>IFERROR(__xludf.DUMMYFUNCTION("""COMPUTED_VALUE"""),"DWINELLE 88")</f>
        <v>DWINELLE 88</v>
      </c>
      <c r="H39" s="6" t="str">
        <f>IFERROR(__xludf.DUMMYFUNCTION("""COMPUTED_VALUE"""),"1w4cCeNC-mn0KD69XaM-x7uPnGFLE8D77x4niZHm8Rmg")</f>
        <v>1w4cCeNC-mn0KD69XaM-x7uPnGFLE8D77x4niZHm8Rmg</v>
      </c>
      <c r="I39" s="16" t="str">
        <f>IFERROR(__xludf.DUMMYFUNCTION("""COMPUTED_VALUE"""),"https://docs.google.com/spreadsheets/d/1w4cCeNC-mn0KD69XaM-x7uPnGFLE8D77x4niZHm8Rmg")</f>
        <v>https://docs.google.com/spreadsheets/d/1w4cCeNC-mn0KD69XaM-x7uPnGFLE8D77x4niZHm8Rmg</v>
      </c>
      <c r="J39" s="6" t="b">
        <f>IFERROR(__xludf.DUMMYFUNCTION("""COMPUTED_VALUE"""),TRUE)</f>
        <v>1</v>
      </c>
      <c r="K39" s="6">
        <f>IFERROR(__xludf.DUMMYFUNCTION("""COMPUTED_VALUE"""),144.0)</f>
        <v>144</v>
      </c>
      <c r="L39" s="6">
        <f>IFERROR(__xludf.DUMMYFUNCTION("""COMPUTED_VALUE"""),32.0)</f>
        <v>32</v>
      </c>
      <c r="M39" s="6" t="str">
        <f>IFERROR(__xludf.DUMMYFUNCTION("""COMPUTED_VALUE"""),"3,0,3,0,0,0")</f>
        <v>3,0,3,0,0,0</v>
      </c>
      <c r="N39" s="6" t="str">
        <f>IFERROR(__xludf.DUMMYFUNCTION("""COMPUTED_VALUE"""),"4.5,-1,0.5,-1,0,-1")</f>
        <v>4.5,-1,0.5,-1,0,-1</v>
      </c>
      <c r="O39" s="6" t="str">
        <f>IFERROR(__xludf.DUMMYFUNCTION("""COMPUTED_VALUE"""),"0,0,0,0,0,0")</f>
        <v>0,0,0,0,0,0</v>
      </c>
      <c r="P39" s="6" t="str">
        <f>IFERROR(__xludf.DUMMYFUNCTION("""COMPUTED_VALUE"""),"0,0,0,0,3,0")</f>
        <v>0,0,0,0,3,0</v>
      </c>
      <c r="Q39" s="6" t="str">
        <f>IFERROR(__xludf.DUMMYFUNCTION("""COMPUTED_VALUE"""),"#N/A")</f>
        <v>#N/A</v>
      </c>
      <c r="R39" s="6" t="str">
        <f>IFERROR(__xludf.DUMMYFUNCTION("""COMPUTED_VALUE"""),"0,1,0,0,0,0")</f>
        <v>0,1,0,0,0,0</v>
      </c>
      <c r="S39" s="6" t="str">
        <f>IFERROR(__xludf.DUMMYFUNCTION("""COMPUTED_VALUE"""),"0,0,1,0,0,0")</f>
        <v>0,0,1,0,0,0</v>
      </c>
      <c r="T39" s="6" t="str">
        <f>IFERROR(__xludf.DUMMYFUNCTION("""COMPUTED_VALUE"""),"0,0,0,0,0,0")</f>
        <v>0,0,0,0,0,0</v>
      </c>
      <c r="U39" s="6" t="str">
        <f>IFERROR(__xludf.DUMMYFUNCTION("""COMPUTED_VALUE"""),"0,1,0,0,0,0")</f>
        <v>0,1,0,0,0,0</v>
      </c>
      <c r="V39" s="6" t="str">
        <f>IFERROR(__xludf.DUMMYFUNCTION("""COMPUTED_VALUE"""),",,,,,")</f>
        <v>,,,,,</v>
      </c>
      <c r="W39" s="6" t="str">
        <f>IFERROR(__xludf.DUMMYFUNCTION("""COMPUTED_VALUE"""),"103JTGMew8yagYGeIoIvugJ7A3dBmouHQ")</f>
        <v>103JTGMew8yagYGeIoIvugJ7A3dBmouHQ</v>
      </c>
    </row>
    <row r="40">
      <c r="A40" s="6">
        <f>IFERROR(__xludf.DUMMYFUNCTION("""COMPUTED_VALUE"""),39.0)</f>
        <v>39</v>
      </c>
      <c r="B40" s="6" t="str">
        <f>IFERROR(__xludf.DUMMYFUNCTION("""COMPUTED_VALUE"""),"Saint Francis")</f>
        <v>Saint Francis</v>
      </c>
      <c r="C40" s="6" t="str">
        <f>IFERROR(__xludf.DUMMYFUNCTION("""COMPUTED_VALUE"""),"Palo Alto B")</f>
        <v>Palo Alto B</v>
      </c>
      <c r="D40" s="6">
        <f>IFERROR(__xludf.DUMMYFUNCTION("""COMPUTED_VALUE"""),3.0)</f>
        <v>3</v>
      </c>
      <c r="E40" s="6" t="str">
        <f>IFERROR(__xludf.DUMMYFUNCTION("""COMPUTED_VALUE"""),"Round Robin")</f>
        <v>Round Robin</v>
      </c>
      <c r="F40" s="6" t="str">
        <f>IFERROR(__xludf.DUMMYFUNCTION("""COMPUTED_VALUE"""),"A")</f>
        <v>A</v>
      </c>
      <c r="G40" s="6" t="str">
        <f>IFERROR(__xludf.DUMMYFUNCTION("""COMPUTED_VALUE"""),"DWINELLE 89")</f>
        <v>DWINELLE 89</v>
      </c>
      <c r="H40" s="6" t="str">
        <f>IFERROR(__xludf.DUMMYFUNCTION("""COMPUTED_VALUE"""),"1K04BvVsiWWGFgANH7uLrTk9g4XbGEvFzPG7nzsMDa6o")</f>
        <v>1K04BvVsiWWGFgANH7uLrTk9g4XbGEvFzPG7nzsMDa6o</v>
      </c>
      <c r="I40" s="16" t="str">
        <f>IFERROR(__xludf.DUMMYFUNCTION("""COMPUTED_VALUE"""),"https://docs.google.com/spreadsheets/d/1K04BvVsiWWGFgANH7uLrTk9g4XbGEvFzPG7nzsMDa6o")</f>
        <v>https://docs.google.com/spreadsheets/d/1K04BvVsiWWGFgANH7uLrTk9g4XbGEvFzPG7nzsMDa6o</v>
      </c>
      <c r="J40" s="6" t="b">
        <f>IFERROR(__xludf.DUMMYFUNCTION("""COMPUTED_VALUE"""),TRUE)</f>
        <v>1</v>
      </c>
      <c r="K40" s="6">
        <f>IFERROR(__xludf.DUMMYFUNCTION("""COMPUTED_VALUE"""),106.0)</f>
        <v>106</v>
      </c>
      <c r="L40" s="6">
        <f>IFERROR(__xludf.DUMMYFUNCTION("""COMPUTED_VALUE"""),48.0)</f>
        <v>48</v>
      </c>
      <c r="M40" s="6" t="str">
        <f>IFERROR(__xludf.DUMMYFUNCTION("""COMPUTED_VALUE"""),"4.5,-1,2,1.5,1.5,0")</f>
        <v>4.5,-1,2,1.5,1.5,0</v>
      </c>
      <c r="N40" s="6" t="str">
        <f>IFERROR(__xludf.DUMMYFUNCTION("""COMPUTED_VALUE"""),"0,0,0,0,0,0")</f>
        <v>0,0,0,0,0,0</v>
      </c>
      <c r="O40" s="6" t="str">
        <f>IFERROR(__xludf.DUMMYFUNCTION("""COMPUTED_VALUE"""),"0,0,0,0,0,-1")</f>
        <v>0,0,0,0,0,-1</v>
      </c>
      <c r="P40" s="6" t="str">
        <f>IFERROR(__xludf.DUMMYFUNCTION("""COMPUTED_VALUE"""),"0,1.5,0,0,1.5,0")</f>
        <v>0,1.5,0,0,1.5,0</v>
      </c>
      <c r="Q40" s="6" t="str">
        <f>IFERROR(__xludf.DUMMYFUNCTION("""COMPUTED_VALUE"""),"0,0,0,0,0,0")</f>
        <v>0,0,0,0,0,0</v>
      </c>
      <c r="R40" s="6" t="str">
        <f>IFERROR(__xludf.DUMMYFUNCTION("""COMPUTED_VALUE"""),"0,0,0,0,0,0")</f>
        <v>0,0,0,0,0,0</v>
      </c>
      <c r="S40" s="6" t="str">
        <f>IFERROR(__xludf.DUMMYFUNCTION("""COMPUTED_VALUE"""),"3,0,0,0,0,1")</f>
        <v>3,0,0,0,0,1</v>
      </c>
      <c r="T40" s="6" t="str">
        <f>IFERROR(__xludf.DUMMYFUNCTION("""COMPUTED_VALUE"""),"0,1,0,0,0,0")</f>
        <v>0,1,0,0,0,0</v>
      </c>
      <c r="U40" s="6" t="str">
        <f>IFERROR(__xludf.DUMMYFUNCTION("""COMPUTED_VALUE"""),"0,0,0,0,0,0")</f>
        <v>0,0,0,0,0,0</v>
      </c>
      <c r="V40" s="6" t="str">
        <f>IFERROR(__xludf.DUMMYFUNCTION("""COMPUTED_VALUE"""),"0,0,0,0,0,1")</f>
        <v>0,0,0,0,0,1</v>
      </c>
      <c r="W40" s="6" t="str">
        <f>IFERROR(__xludf.DUMMYFUNCTION("""COMPUTED_VALUE"""),"1iE_5-GNdmwZ6YBR19NoryqpaMeSaQNwX")</f>
        <v>1iE_5-GNdmwZ6YBR19NoryqpaMeSaQNwX</v>
      </c>
    </row>
    <row r="41">
      <c r="A41" s="6">
        <f>IFERROR(__xludf.DUMMYFUNCTION("""COMPUTED_VALUE"""),40.0)</f>
        <v>40</v>
      </c>
      <c r="B41" s="6" t="str">
        <f>IFERROR(__xludf.DUMMYFUNCTION("""COMPUTED_VALUE"""),"Foothill B")</f>
        <v>Foothill B</v>
      </c>
      <c r="C41" s="6" t="str">
        <f>IFERROR(__xludf.DUMMYFUNCTION("""COMPUTED_VALUE"""),"Monta Vista A")</f>
        <v>Monta Vista A</v>
      </c>
      <c r="D41" s="6">
        <f>IFERROR(__xludf.DUMMYFUNCTION("""COMPUTED_VALUE"""),3.0)</f>
        <v>3</v>
      </c>
      <c r="E41" s="6" t="str">
        <f>IFERROR(__xludf.DUMMYFUNCTION("""COMPUTED_VALUE"""),"Round Robin")</f>
        <v>Round Robin</v>
      </c>
      <c r="F41" s="6" t="str">
        <f>IFERROR(__xludf.DUMMYFUNCTION("""COMPUTED_VALUE"""),"B")</f>
        <v>B</v>
      </c>
      <c r="G41" s="6" t="str">
        <f>IFERROR(__xludf.DUMMYFUNCTION("""COMPUTED_VALUE"""),"DWINELLE 105")</f>
        <v>DWINELLE 105</v>
      </c>
      <c r="H41" s="6" t="str">
        <f>IFERROR(__xludf.DUMMYFUNCTION("""COMPUTED_VALUE"""),"1a9dFMqieyAAfWOgCCyfkxVaTZwa4Ozu3u5RLvdM--n0")</f>
        <v>1a9dFMqieyAAfWOgCCyfkxVaTZwa4Ozu3u5RLvdM--n0</v>
      </c>
      <c r="I41" s="16" t="str">
        <f>IFERROR(__xludf.DUMMYFUNCTION("""COMPUTED_VALUE"""),"https://docs.google.com/spreadsheets/d/1a9dFMqieyAAfWOgCCyfkxVaTZwa4Ozu3u5RLvdM--n0")</f>
        <v>https://docs.google.com/spreadsheets/d/1a9dFMqieyAAfWOgCCyfkxVaTZwa4Ozu3u5RLvdM--n0</v>
      </c>
      <c r="J41" s="6" t="b">
        <f>IFERROR(__xludf.DUMMYFUNCTION("""COMPUTED_VALUE"""),TRUE)</f>
        <v>1</v>
      </c>
      <c r="K41" s="6">
        <f>IFERROR(__xludf.DUMMYFUNCTION("""COMPUTED_VALUE"""),74.0)</f>
        <v>74</v>
      </c>
      <c r="L41" s="6">
        <f>IFERROR(__xludf.DUMMYFUNCTION("""COMPUTED_VALUE"""),106.0)</f>
        <v>106</v>
      </c>
      <c r="M41" s="6" t="str">
        <f>IFERROR(__xludf.DUMMYFUNCTION("""COMPUTED_VALUE"""),"0,1,0,1,0,0")</f>
        <v>0,1,0,1,0,0</v>
      </c>
      <c r="N41" s="6" t="str">
        <f>IFERROR(__xludf.DUMMYFUNCTION("""COMPUTED_VALUE"""),"0,0,0,1,0,0")</f>
        <v>0,0,0,1,0,0</v>
      </c>
      <c r="O41" s="6" t="str">
        <f>IFERROR(__xludf.DUMMYFUNCTION("""COMPUTED_VALUE"""),"1.5,0,0,0,0,0")</f>
        <v>1.5,0,0,0,0,0</v>
      </c>
      <c r="P41" s="6" t="str">
        <f>IFERROR(__xludf.DUMMYFUNCTION("""COMPUTED_VALUE"""),"1.5,0,2.5,0,0,0")</f>
        <v>1.5,0,2.5,0,0,0</v>
      </c>
      <c r="Q41" s="6" t="str">
        <f>IFERROR(__xludf.DUMMYFUNCTION("""COMPUTED_VALUE"""),"0,0,0,0,2.5,0")</f>
        <v>0,0,0,0,2.5,0</v>
      </c>
      <c r="R41" s="6" t="str">
        <f>IFERROR(__xludf.DUMMYFUNCTION("""COMPUTED_VALUE"""),"1.5,0,0,0,0,0")</f>
        <v>1.5,0,0,0,0,0</v>
      </c>
      <c r="S41" s="6" t="str">
        <f>IFERROR(__xludf.DUMMYFUNCTION("""COMPUTED_VALUE"""),"3,3.5,0,0,0,0")</f>
        <v>3,3.5,0,0,0,0</v>
      </c>
      <c r="T41" s="6" t="str">
        <f>IFERROR(__xludf.DUMMYFUNCTION("""COMPUTED_VALUE"""),"0,0,0,0,0,0")</f>
        <v>0,0,0,0,0,0</v>
      </c>
      <c r="U41" s="6" t="str">
        <f>IFERROR(__xludf.DUMMYFUNCTION("""COMPUTED_VALUE"""),"0,0,1.5,0,0,0")</f>
        <v>0,0,1.5,0,0,0</v>
      </c>
      <c r="V41" s="6" t="str">
        <f>IFERROR(__xludf.DUMMYFUNCTION("""COMPUTED_VALUE"""),"0,0,0,0,0,1.5")</f>
        <v>0,0,0,0,0,1.5</v>
      </c>
      <c r="W41" s="6" t="str">
        <f>IFERROR(__xludf.DUMMYFUNCTION("""COMPUTED_VALUE"""),"1fnjyoidcVE3Yg85FHmTdFy4Wd_jCu9Cr")</f>
        <v>1fnjyoidcVE3Yg85FHmTdFy4Wd_jCu9Cr</v>
      </c>
    </row>
    <row r="42">
      <c r="A42" s="6">
        <f>IFERROR(__xludf.DUMMYFUNCTION("""COMPUTED_VALUE"""),41.0)</f>
        <v>41</v>
      </c>
      <c r="B42" s="6" t="str">
        <f>IFERROR(__xludf.DUMMYFUNCTION("""COMPUTED_VALUE"""),"California B")</f>
        <v>California B</v>
      </c>
      <c r="C42" s="6" t="str">
        <f>IFERROR(__xludf.DUMMYFUNCTION("""COMPUTED_VALUE"""),"Amador Valley A")</f>
        <v>Amador Valley A</v>
      </c>
      <c r="D42" s="6">
        <f>IFERROR(__xludf.DUMMYFUNCTION("""COMPUTED_VALUE"""),3.0)</f>
        <v>3</v>
      </c>
      <c r="E42" s="6" t="str">
        <f>IFERROR(__xludf.DUMMYFUNCTION("""COMPUTED_VALUE"""),"Round Robin")</f>
        <v>Round Robin</v>
      </c>
      <c r="F42" s="6" t="str">
        <f>IFERROR(__xludf.DUMMYFUNCTION("""COMPUTED_VALUE"""),"B")</f>
        <v>B</v>
      </c>
      <c r="G42" s="6" t="str">
        <f>IFERROR(__xludf.DUMMYFUNCTION("""COMPUTED_VALUE"""),"DWINELLE 106")</f>
        <v>DWINELLE 106</v>
      </c>
      <c r="H42" s="6" t="str">
        <f>IFERROR(__xludf.DUMMYFUNCTION("""COMPUTED_VALUE"""),"1w6y4qo4egYm2wMazMTpIGvtphZT9S447kg1dOxB6ARA")</f>
        <v>1w6y4qo4egYm2wMazMTpIGvtphZT9S447kg1dOxB6ARA</v>
      </c>
      <c r="I42" s="16" t="str">
        <f>IFERROR(__xludf.DUMMYFUNCTION("""COMPUTED_VALUE"""),"https://docs.google.com/spreadsheets/d/1w6y4qo4egYm2wMazMTpIGvtphZT9S447kg1dOxB6ARA")</f>
        <v>https://docs.google.com/spreadsheets/d/1w6y4qo4egYm2wMazMTpIGvtphZT9S447kg1dOxB6ARA</v>
      </c>
      <c r="J42" s="6" t="b">
        <f>IFERROR(__xludf.DUMMYFUNCTION("""COMPUTED_VALUE"""),TRUE)</f>
        <v>1</v>
      </c>
      <c r="K42" s="6">
        <f>IFERROR(__xludf.DUMMYFUNCTION("""COMPUTED_VALUE"""),76.0)</f>
        <v>76</v>
      </c>
      <c r="L42" s="6">
        <f>IFERROR(__xludf.DUMMYFUNCTION("""COMPUTED_VALUE"""),124.0)</f>
        <v>124</v>
      </c>
      <c r="M42" s="6" t="str">
        <f>IFERROR(__xludf.DUMMYFUNCTION("""COMPUTED_VALUE"""),"2.5,0,1,0,0,-1")</f>
        <v>2.5,0,1,0,0,-1</v>
      </c>
      <c r="N42" s="6" t="str">
        <f>IFERROR(__xludf.DUMMYFUNCTION("""COMPUTED_VALUE"""),"0,1,0,0,0,0")</f>
        <v>0,1,0,0,0,0</v>
      </c>
      <c r="O42" s="6" t="str">
        <f>IFERROR(__xludf.DUMMYFUNCTION("""COMPUTED_VALUE"""),"0,0,0,0,0,0")</f>
        <v>0,0,0,0,0,0</v>
      </c>
      <c r="P42" s="6" t="str">
        <f>IFERROR(__xludf.DUMMYFUNCTION("""COMPUTED_VALUE"""),"#N/A")</f>
        <v>#N/A</v>
      </c>
      <c r="Q42" s="6" t="str">
        <f>IFERROR(__xludf.DUMMYFUNCTION("""COMPUTED_VALUE"""),"0,1.5,0,0,0,0")</f>
        <v>0,1.5,0,0,0,0</v>
      </c>
      <c r="R42" s="6" t="str">
        <f>IFERROR(__xludf.DUMMYFUNCTION("""COMPUTED_VALUE"""),"0,0.5,0,0,0,0")</f>
        <v>0,0.5,0,0,0,0</v>
      </c>
      <c r="S42" s="6" t="str">
        <f>IFERROR(__xludf.DUMMYFUNCTION("""COMPUTED_VALUE"""),"0.5,-1,1,0.5,0,0")</f>
        <v>0.5,-1,1,0.5,0,0</v>
      </c>
      <c r="T42" s="6" t="str">
        <f>IFERROR(__xludf.DUMMYFUNCTION("""COMPUTED_VALUE"""),"1.5,0,-1,0,0,0")</f>
        <v>1.5,0,-1,0,0,0</v>
      </c>
      <c r="U42" s="6" t="str">
        <f>IFERROR(__xludf.DUMMYFUNCTION("""COMPUTED_VALUE"""),"0,0,1.5,0,0.5,0.5")</f>
        <v>0,0,1.5,0,0.5,0.5</v>
      </c>
      <c r="V42" s="6" t="str">
        <f>IFERROR(__xludf.DUMMYFUNCTION("""COMPUTED_VALUE"""),"1.5,-1,0,0,0,0")</f>
        <v>1.5,-1,0,0,0,0</v>
      </c>
      <c r="W42" s="6" t="str">
        <f>IFERROR(__xludf.DUMMYFUNCTION("""COMPUTED_VALUE"""),"1ZOcpmnz6rsr8oUEZv7nnQmus2y0zN2kl")</f>
        <v>1ZOcpmnz6rsr8oUEZv7nnQmus2y0zN2kl</v>
      </c>
    </row>
    <row r="43">
      <c r="A43" s="6">
        <f>IFERROR(__xludf.DUMMYFUNCTION("""COMPUTED_VALUE"""),42.0)</f>
        <v>42</v>
      </c>
      <c r="B43" s="6" t="str">
        <f>IFERROR(__xludf.DUMMYFUNCTION("""COMPUTED_VALUE"""),"Irvington")</f>
        <v>Irvington</v>
      </c>
      <c r="C43" s="6" t="str">
        <f>IFERROR(__xludf.DUMMYFUNCTION("""COMPUTED_VALUE"""),"North Hollywood")</f>
        <v>North Hollywood</v>
      </c>
      <c r="D43" s="6">
        <f>IFERROR(__xludf.DUMMYFUNCTION("""COMPUTED_VALUE"""),3.0)</f>
        <v>3</v>
      </c>
      <c r="E43" s="6" t="str">
        <f>IFERROR(__xludf.DUMMYFUNCTION("""COMPUTED_VALUE"""),"Round Robin")</f>
        <v>Round Robin</v>
      </c>
      <c r="F43" s="6" t="str">
        <f>IFERROR(__xludf.DUMMYFUNCTION("""COMPUTED_VALUE"""),"B")</f>
        <v>B</v>
      </c>
      <c r="G43" s="6" t="str">
        <f>IFERROR(__xludf.DUMMYFUNCTION("""COMPUTED_VALUE"""),"DWINELLE 109")</f>
        <v>DWINELLE 109</v>
      </c>
      <c r="H43" s="6" t="str">
        <f>IFERROR(__xludf.DUMMYFUNCTION("""COMPUTED_VALUE"""),"1SvjRYVeNNRJcQ3VJKdMXBT7714tdtmQHERgUpVSWxX8")</f>
        <v>1SvjRYVeNNRJcQ3VJKdMXBT7714tdtmQHERgUpVSWxX8</v>
      </c>
      <c r="I43" s="16" t="str">
        <f>IFERROR(__xludf.DUMMYFUNCTION("""COMPUTED_VALUE"""),"https://docs.google.com/spreadsheets/d/1SvjRYVeNNRJcQ3VJKdMXBT7714tdtmQHERgUpVSWxX8")</f>
        <v>https://docs.google.com/spreadsheets/d/1SvjRYVeNNRJcQ3VJKdMXBT7714tdtmQHERgUpVSWxX8</v>
      </c>
      <c r="J43" s="6" t="b">
        <f>IFERROR(__xludf.DUMMYFUNCTION("""COMPUTED_VALUE"""),TRUE)</f>
        <v>1</v>
      </c>
      <c r="K43" s="6">
        <f>IFERROR(__xludf.DUMMYFUNCTION("""COMPUTED_VALUE"""),16.0)</f>
        <v>16</v>
      </c>
      <c r="L43" s="6">
        <f>IFERROR(__xludf.DUMMYFUNCTION("""COMPUTED_VALUE"""),218.0)</f>
        <v>218</v>
      </c>
      <c r="M43" s="6" t="str">
        <f>IFERROR(__xludf.DUMMYFUNCTION("""COMPUTED_VALUE"""),"0,1,0,0,0,0")</f>
        <v>0,1,0,0,0,0</v>
      </c>
      <c r="N43" s="6" t="str">
        <f>IFERROR(__xludf.DUMMYFUNCTION("""COMPUTED_VALUE"""),"1,0,0,1,0,0")</f>
        <v>1,0,0,1,0,0</v>
      </c>
      <c r="O43" s="6" t="str">
        <f>IFERROR(__xludf.DUMMYFUNCTION("""COMPUTED_VALUE"""),"0,0,0,0,0,0")</f>
        <v>0,0,0,0,0,0</v>
      </c>
      <c r="P43" s="6" t="str">
        <f>IFERROR(__xludf.DUMMYFUNCTION("""COMPUTED_VALUE"""),"#N/A")</f>
        <v>#N/A</v>
      </c>
      <c r="Q43" s="6" t="str">
        <f>IFERROR(__xludf.DUMMYFUNCTION("""COMPUTED_VALUE"""),"0,0,0,0,0,0")</f>
        <v>0,0,0,0,0,0</v>
      </c>
      <c r="R43" s="6" t="str">
        <f>IFERROR(__xludf.DUMMYFUNCTION("""COMPUTED_VALUE"""),"0,0,0,0,3,3")</f>
        <v>0,0,0,0,3,3</v>
      </c>
      <c r="S43" s="6" t="str">
        <f>IFERROR(__xludf.DUMMYFUNCTION("""COMPUTED_VALUE"""),"0,1.5,1.5,0,1.5,0")</f>
        <v>0,1.5,1.5,0,1.5,0</v>
      </c>
      <c r="T43" s="6" t="str">
        <f>IFERROR(__xludf.DUMMYFUNCTION("""COMPUTED_VALUE"""),"0,0,0,0,0,0")</f>
        <v>0,0,0,0,0,0</v>
      </c>
      <c r="U43" s="6" t="str">
        <f>IFERROR(__xludf.DUMMYFUNCTION("""COMPUTED_VALUE"""),"#N/A")</f>
        <v>#N/A</v>
      </c>
      <c r="V43" s="6" t="str">
        <f>IFERROR(__xludf.DUMMYFUNCTION("""COMPUTED_VALUE"""),",,,,,")</f>
        <v>,,,,,</v>
      </c>
      <c r="W43" s="6" t="str">
        <f>IFERROR(__xludf.DUMMYFUNCTION("""COMPUTED_VALUE"""),"1ivbxAGj__h08xVy2FRbo7iHDWDbLgwNl")</f>
        <v>1ivbxAGj__h08xVy2FRbo7iHDWDbLgwNl</v>
      </c>
    </row>
    <row r="44">
      <c r="A44" s="6">
        <f>IFERROR(__xludf.DUMMYFUNCTION("""COMPUTED_VALUE"""),43.0)</f>
        <v>43</v>
      </c>
      <c r="B44" s="6" t="str">
        <f>IFERROR(__xludf.DUMMYFUNCTION("""COMPUTED_VALUE"""),"Canyon Crest A")</f>
        <v>Canyon Crest A</v>
      </c>
      <c r="C44" s="6" t="str">
        <f>IFERROR(__xludf.DUMMYFUNCTION("""COMPUTED_VALUE"""),"Amador Valley B")</f>
        <v>Amador Valley B</v>
      </c>
      <c r="D44" s="6">
        <f>IFERROR(__xludf.DUMMYFUNCTION("""COMPUTED_VALUE"""),3.0)</f>
        <v>3</v>
      </c>
      <c r="E44" s="6" t="str">
        <f>IFERROR(__xludf.DUMMYFUNCTION("""COMPUTED_VALUE"""),"Round Robin")</f>
        <v>Round Robin</v>
      </c>
      <c r="F44" s="6" t="str">
        <f>IFERROR(__xludf.DUMMYFUNCTION("""COMPUTED_VALUE"""),"C")</f>
        <v>C</v>
      </c>
      <c r="G44" s="6" t="str">
        <f>IFERROR(__xludf.DUMMYFUNCTION("""COMPUTED_VALUE"""),"DWINELLE 179")</f>
        <v>DWINELLE 179</v>
      </c>
      <c r="H44" s="6" t="str">
        <f>IFERROR(__xludf.DUMMYFUNCTION("""COMPUTED_VALUE"""),"1ae4-ykuFF1vYkgHxCJ3J0GDldvUADQP8UfbMJJrASgE")</f>
        <v>1ae4-ykuFF1vYkgHxCJ3J0GDldvUADQP8UfbMJJrASgE</v>
      </c>
      <c r="I44" s="16" t="str">
        <f>IFERROR(__xludf.DUMMYFUNCTION("""COMPUTED_VALUE"""),"https://docs.google.com/spreadsheets/d/1ae4-ykuFF1vYkgHxCJ3J0GDldvUADQP8UfbMJJrASgE")</f>
        <v>https://docs.google.com/spreadsheets/d/1ae4-ykuFF1vYkgHxCJ3J0GDldvUADQP8UfbMJJrASgE</v>
      </c>
      <c r="J44" s="6" t="b">
        <f>IFERROR(__xludf.DUMMYFUNCTION("""COMPUTED_VALUE"""),TRUE)</f>
        <v>1</v>
      </c>
      <c r="K44" s="6">
        <f>IFERROR(__xludf.DUMMYFUNCTION("""COMPUTED_VALUE"""),192.0)</f>
        <v>192</v>
      </c>
      <c r="L44" s="6">
        <f>IFERROR(__xludf.DUMMYFUNCTION("""COMPUTED_VALUE"""),26.0)</f>
        <v>26</v>
      </c>
      <c r="M44" s="6" t="str">
        <f>IFERROR(__xludf.DUMMYFUNCTION("""COMPUTED_VALUE"""),"0,4.5,0,0,1.5,3.5")</f>
        <v>0,4.5,0,0,1.5,3.5</v>
      </c>
      <c r="N44" s="6" t="str">
        <f>IFERROR(__xludf.DUMMYFUNCTION("""COMPUTED_VALUE"""),"1.5,0,4.5,0,0,0")</f>
        <v>1.5,0,4.5,0,0,0</v>
      </c>
      <c r="O44" s="6" t="str">
        <f>IFERROR(__xludf.DUMMYFUNCTION("""COMPUTED_VALUE"""),"4.5,0,1.5,-1,0,0")</f>
        <v>4.5,0,1.5,-1,0,0</v>
      </c>
      <c r="P44" s="6" t="str">
        <f>IFERROR(__xludf.DUMMYFUNCTION("""COMPUTED_VALUE"""),"0,0,0,0,2.5,0")</f>
        <v>0,0,0,0,2.5,0</v>
      </c>
      <c r="Q44" s="6" t="str">
        <f>IFERROR(__xludf.DUMMYFUNCTION("""COMPUTED_VALUE"""),",,,,,")</f>
        <v>,,,,,</v>
      </c>
      <c r="R44" s="6" t="str">
        <f>IFERROR(__xludf.DUMMYFUNCTION("""COMPUTED_VALUE"""),"0,0,0,0,0,0")</f>
        <v>0,0,0,0,0,0</v>
      </c>
      <c r="S44" s="6" t="str">
        <f>IFERROR(__xludf.DUMMYFUNCTION("""COMPUTED_VALUE"""),"0,1,0,0,0,0")</f>
        <v>0,1,0,0,0,0</v>
      </c>
      <c r="T44" s="6" t="str">
        <f>IFERROR(__xludf.DUMMYFUNCTION("""COMPUTED_VALUE"""),"1.5,0,0,0,-1,0")</f>
        <v>1.5,0,0,0,-1,0</v>
      </c>
      <c r="U44" s="6" t="str">
        <f>IFERROR(__xludf.DUMMYFUNCTION("""COMPUTED_VALUE"""),"0,0,0,1,0,0")</f>
        <v>0,0,0,1,0,0</v>
      </c>
      <c r="V44" s="6" t="str">
        <f>IFERROR(__xludf.DUMMYFUNCTION("""COMPUTED_VALUE"""),",,,,,")</f>
        <v>,,,,,</v>
      </c>
      <c r="W44" s="6" t="str">
        <f>IFERROR(__xludf.DUMMYFUNCTION("""COMPUTED_VALUE"""),"1VhY5duZynZljzs0fA-JdTCNRRkzQRGTm")</f>
        <v>1VhY5duZynZljzs0fA-JdTCNRRkzQRGTm</v>
      </c>
    </row>
    <row r="45">
      <c r="A45" s="6">
        <f>IFERROR(__xludf.DUMMYFUNCTION("""COMPUTED_VALUE"""),44.0)</f>
        <v>44</v>
      </c>
      <c r="B45" s="6" t="str">
        <f>IFERROR(__xludf.DUMMYFUNCTION("""COMPUTED_VALUE"""),"Cupertino B")</f>
        <v>Cupertino B</v>
      </c>
      <c r="C45" s="6" t="str">
        <f>IFERROR(__xludf.DUMMYFUNCTION("""COMPUTED_VALUE"""),"Archbishop Mitty B")</f>
        <v>Archbishop Mitty B</v>
      </c>
      <c r="D45" s="6">
        <f>IFERROR(__xludf.DUMMYFUNCTION("""COMPUTED_VALUE"""),3.0)</f>
        <v>3</v>
      </c>
      <c r="E45" s="6" t="str">
        <f>IFERROR(__xludf.DUMMYFUNCTION("""COMPUTED_VALUE"""),"Round Robin")</f>
        <v>Round Robin</v>
      </c>
      <c r="F45" s="6" t="str">
        <f>IFERROR(__xludf.DUMMYFUNCTION("""COMPUTED_VALUE"""),"C")</f>
        <v>C</v>
      </c>
      <c r="G45" s="6" t="str">
        <f>IFERROR(__xludf.DUMMYFUNCTION("""COMPUTED_VALUE"""),"DWINELLE 182")</f>
        <v>DWINELLE 182</v>
      </c>
      <c r="H45" s="6" t="str">
        <f>IFERROR(__xludf.DUMMYFUNCTION("""COMPUTED_VALUE"""),"1RJypWp2wTqihwoFhBJ_qzMuRkRjJi0pIq_EYAhiIu04")</f>
        <v>1RJypWp2wTqihwoFhBJ_qzMuRkRjJi0pIq_EYAhiIu04</v>
      </c>
      <c r="I45" s="16" t="str">
        <f>IFERROR(__xludf.DUMMYFUNCTION("""COMPUTED_VALUE"""),"https://docs.google.com/spreadsheets/d/1RJypWp2wTqihwoFhBJ_qzMuRkRjJi0pIq_EYAhiIu04")</f>
        <v>https://docs.google.com/spreadsheets/d/1RJypWp2wTqihwoFhBJ_qzMuRkRjJi0pIq_EYAhiIu04</v>
      </c>
      <c r="J45" s="6" t="b">
        <f>IFERROR(__xludf.DUMMYFUNCTION("""COMPUTED_VALUE"""),TRUE)</f>
        <v>1</v>
      </c>
      <c r="K45" s="6">
        <f>IFERROR(__xludf.DUMMYFUNCTION("""COMPUTED_VALUE"""),36.0)</f>
        <v>36</v>
      </c>
      <c r="L45" s="6">
        <f>IFERROR(__xludf.DUMMYFUNCTION("""COMPUTED_VALUE"""),90.0)</f>
        <v>90</v>
      </c>
      <c r="M45" s="6" t="str">
        <f>IFERROR(__xludf.DUMMYFUNCTION("""COMPUTED_VALUE"""),"1.5,2,0,0,0,0")</f>
        <v>1.5,2,0,0,0,0</v>
      </c>
      <c r="N45" s="6" t="str">
        <f>IFERROR(__xludf.DUMMYFUNCTION("""COMPUTED_VALUE"""),"0,0,0,0,0,-1")</f>
        <v>0,0,0,0,0,-1</v>
      </c>
      <c r="O45" s="6" t="str">
        <f>IFERROR(__xludf.DUMMYFUNCTION("""COMPUTED_VALUE"""),"0,0,0,0,0,0")</f>
        <v>0,0,0,0,0,0</v>
      </c>
      <c r="P45" s="6" t="str">
        <f>IFERROR(__xludf.DUMMYFUNCTION("""COMPUTED_VALUE"""),"1.5,0,0,0,0,0")</f>
        <v>1.5,0,0,0,0,0</v>
      </c>
      <c r="Q45" s="6" t="str">
        <f>IFERROR(__xludf.DUMMYFUNCTION("""COMPUTED_VALUE"""),"0,0,0,0,0,0")</f>
        <v>0,0,0,0,0,0</v>
      </c>
      <c r="R45" s="6" t="str">
        <f>IFERROR(__xludf.DUMMYFUNCTION("""COMPUTED_VALUE"""),"0,2.5,0,1,0,1.5")</f>
        <v>0,2.5,0,1,0,1.5</v>
      </c>
      <c r="S45" s="6" t="str">
        <f>IFERROR(__xludf.DUMMYFUNCTION("""COMPUTED_VALUE"""),"1.5,0,0,0,2.5,0")</f>
        <v>1.5,0,0,0,2.5,0</v>
      </c>
      <c r="T45" s="6" t="str">
        <f>IFERROR(__xludf.DUMMYFUNCTION("""COMPUTED_VALUE"""),"0,0,1.5,0,0,0")</f>
        <v>0,0,1.5,0,0,0</v>
      </c>
      <c r="U45" s="6" t="str">
        <f>IFERROR(__xludf.DUMMYFUNCTION("""COMPUTED_VALUE"""),"0,0,1,0,0,0")</f>
        <v>0,0,1,0,0,0</v>
      </c>
      <c r="V45" s="6" t="str">
        <f>IFERROR(__xludf.DUMMYFUNCTION("""COMPUTED_VALUE"""),",,,,,")</f>
        <v>,,,,,</v>
      </c>
      <c r="W45" s="6" t="str">
        <f>IFERROR(__xludf.DUMMYFUNCTION("""COMPUTED_VALUE"""),"1ZWlRd0tVUxuNmZQwbNvEW7lU7lmJQorm")</f>
        <v>1ZWlRd0tVUxuNmZQwbNvEW7lU7lmJQorm</v>
      </c>
    </row>
    <row r="46">
      <c r="A46" s="6">
        <f>IFERROR(__xludf.DUMMYFUNCTION("""COMPUTED_VALUE"""),45.0)</f>
        <v>45</v>
      </c>
      <c r="B46" s="6" t="str">
        <f>IFERROR(__xludf.DUMMYFUNCTION("""COMPUTED_VALUE"""),"Mira Loma A")</f>
        <v>Mira Loma A</v>
      </c>
      <c r="C46" s="6" t="str">
        <f>IFERROR(__xludf.DUMMYFUNCTION("""COMPUTED_VALUE"""),"Lynbrook B")</f>
        <v>Lynbrook B</v>
      </c>
      <c r="D46" s="6">
        <f>IFERROR(__xludf.DUMMYFUNCTION("""COMPUTED_VALUE"""),3.0)</f>
        <v>3</v>
      </c>
      <c r="E46" s="6" t="str">
        <f>IFERROR(__xludf.DUMMYFUNCTION("""COMPUTED_VALUE"""),"Round Robin")</f>
        <v>Round Robin</v>
      </c>
      <c r="F46" s="6" t="str">
        <f>IFERROR(__xludf.DUMMYFUNCTION("""COMPUTED_VALUE"""),"C")</f>
        <v>C</v>
      </c>
      <c r="G46" s="6" t="str">
        <f>IFERROR(__xludf.DUMMYFUNCTION("""COMPUTED_VALUE"""),"DWINELLE 183")</f>
        <v>DWINELLE 183</v>
      </c>
      <c r="H46" s="6" t="str">
        <f>IFERROR(__xludf.DUMMYFUNCTION("""COMPUTED_VALUE"""),"1OuYgOzRyIuXDDyPDZKnA62MT3xLFFhxtGiGa_bcQG7A")</f>
        <v>1OuYgOzRyIuXDDyPDZKnA62MT3xLFFhxtGiGa_bcQG7A</v>
      </c>
      <c r="I46" s="16" t="str">
        <f>IFERROR(__xludf.DUMMYFUNCTION("""COMPUTED_VALUE"""),"https://docs.google.com/spreadsheets/d/1OuYgOzRyIuXDDyPDZKnA62MT3xLFFhxtGiGa_bcQG7A")</f>
        <v>https://docs.google.com/spreadsheets/d/1OuYgOzRyIuXDDyPDZKnA62MT3xLFFhxtGiGa_bcQG7A</v>
      </c>
      <c r="J46" s="6" t="b">
        <f>IFERROR(__xludf.DUMMYFUNCTION("""COMPUTED_VALUE"""),TRUE)</f>
        <v>1</v>
      </c>
      <c r="K46" s="6">
        <f>IFERROR(__xludf.DUMMYFUNCTION("""COMPUTED_VALUE"""),166.0)</f>
        <v>166</v>
      </c>
      <c r="L46" s="6">
        <f>IFERROR(__xludf.DUMMYFUNCTION("""COMPUTED_VALUE"""),68.0)</f>
        <v>68</v>
      </c>
      <c r="M46" s="6" t="str">
        <f>IFERROR(__xludf.DUMMYFUNCTION("""COMPUTED_VALUE"""),"0,0,0,0,1.5,1")</f>
        <v>0,0,0,0,1.5,1</v>
      </c>
      <c r="N46" s="6" t="str">
        <f>IFERROR(__xludf.DUMMYFUNCTION("""COMPUTED_VALUE"""),"3,1,0,0,0,3")</f>
        <v>3,1,0,0,0,3</v>
      </c>
      <c r="O46" s="6" t="str">
        <f>IFERROR(__xludf.DUMMYFUNCTION("""COMPUTED_VALUE"""),"0,0.5,0,0,0,0")</f>
        <v>0,0.5,0,0,0,0</v>
      </c>
      <c r="P46" s="6" t="str">
        <f>IFERROR(__xludf.DUMMYFUNCTION("""COMPUTED_VALUE"""),"0,0,1.5,1.5,0,0")</f>
        <v>0,0,1.5,1.5,0,0</v>
      </c>
      <c r="Q46" s="6" t="str">
        <f>IFERROR(__xludf.DUMMYFUNCTION("""COMPUTED_VALUE"""),"1,-1,1.5,1.5,1.5,0")</f>
        <v>1,-1,1.5,1.5,1.5,0</v>
      </c>
      <c r="R46" s="6" t="str">
        <f>IFERROR(__xludf.DUMMYFUNCTION("""COMPUTED_VALUE"""),"0,1.5,0,0,0,0")</f>
        <v>0,1.5,0,0,0,0</v>
      </c>
      <c r="S46" s="6" t="str">
        <f>IFERROR(__xludf.DUMMYFUNCTION("""COMPUTED_VALUE"""),"0,0,0,0,0,0")</f>
        <v>0,0,0,0,0,0</v>
      </c>
      <c r="T46" s="6" t="str">
        <f>IFERROR(__xludf.DUMMYFUNCTION("""COMPUTED_VALUE"""),"0,0,0,0,1,-1")</f>
        <v>0,0,0,0,1,-1</v>
      </c>
      <c r="U46" s="6" t="str">
        <f>IFERROR(__xludf.DUMMYFUNCTION("""COMPUTED_VALUE"""),"1.5,0,-0.5,0,0,0")</f>
        <v>1.5,0,-0.5,0,0,0</v>
      </c>
      <c r="V46" s="6" t="str">
        <f>IFERROR(__xludf.DUMMYFUNCTION("""COMPUTED_VALUE"""),"0.5,0,0,-1,0,0")</f>
        <v>0.5,0,0,-1,0,0</v>
      </c>
      <c r="W46" s="6" t="str">
        <f>IFERROR(__xludf.DUMMYFUNCTION("""COMPUTED_VALUE"""),"1kCYgKAw3Bdw0Zvfxh3KTs44KLK8OXdlZ")</f>
        <v>1kCYgKAw3Bdw0Zvfxh3KTs44KLK8OXdlZ</v>
      </c>
    </row>
    <row r="47">
      <c r="A47" s="6">
        <f>IFERROR(__xludf.DUMMYFUNCTION("""COMPUTED_VALUE"""),46.0)</f>
        <v>46</v>
      </c>
      <c r="B47" s="6" t="str">
        <f>IFERROR(__xludf.DUMMYFUNCTION("""COMPUTED_VALUE"""),"BASIS Independent A")</f>
        <v>BASIS Independent A</v>
      </c>
      <c r="C47" s="6" t="str">
        <f>IFERROR(__xludf.DUMMYFUNCTION("""COMPUTED_VALUE"""),"Lynbrook A")</f>
        <v>Lynbrook A</v>
      </c>
      <c r="D47" s="6">
        <f>IFERROR(__xludf.DUMMYFUNCTION("""COMPUTED_VALUE"""),3.0)</f>
        <v>3</v>
      </c>
      <c r="E47" s="6" t="str">
        <f>IFERROR(__xludf.DUMMYFUNCTION("""COMPUTED_VALUE"""),"Round Robin")</f>
        <v>Round Robin</v>
      </c>
      <c r="F47" s="6" t="str">
        <f>IFERROR(__xludf.DUMMYFUNCTION("""COMPUTED_VALUE"""),"D")</f>
        <v>D</v>
      </c>
      <c r="G47" s="6" t="str">
        <f>IFERROR(__xludf.DUMMYFUNCTION("""COMPUTED_VALUE"""),"DWINELLE 189")</f>
        <v>DWINELLE 189</v>
      </c>
      <c r="H47" s="6" t="str">
        <f>IFERROR(__xludf.DUMMYFUNCTION("""COMPUTED_VALUE"""),"13XPMYQM8C2biZ2W8kr0wOIAsZHS-GZ_pGjl7rE07T_g")</f>
        <v>13XPMYQM8C2biZ2W8kr0wOIAsZHS-GZ_pGjl7rE07T_g</v>
      </c>
      <c r="I47" s="16" t="str">
        <f>IFERROR(__xludf.DUMMYFUNCTION("""COMPUTED_VALUE"""),"https://docs.google.com/spreadsheets/d/13XPMYQM8C2biZ2W8kr0wOIAsZHS-GZ_pGjl7rE07T_g")</f>
        <v>https://docs.google.com/spreadsheets/d/13XPMYQM8C2biZ2W8kr0wOIAsZHS-GZ_pGjl7rE07T_g</v>
      </c>
      <c r="J47" s="6" t="b">
        <f>IFERROR(__xludf.DUMMYFUNCTION("""COMPUTED_VALUE"""),TRUE)</f>
        <v>1</v>
      </c>
      <c r="K47" s="6">
        <f>IFERROR(__xludf.DUMMYFUNCTION("""COMPUTED_VALUE"""),70.0)</f>
        <v>70</v>
      </c>
      <c r="L47" s="6">
        <f>IFERROR(__xludf.DUMMYFUNCTION("""COMPUTED_VALUE"""),158.0)</f>
        <v>158</v>
      </c>
      <c r="M47" s="6" t="str">
        <f>IFERROR(__xludf.DUMMYFUNCTION("""COMPUTED_VALUE"""),"0,0,0,0,1,0")</f>
        <v>0,0,0,0,1,0</v>
      </c>
      <c r="N47" s="6" t="str">
        <f>IFERROR(__xludf.DUMMYFUNCTION("""COMPUTED_VALUE"""),"0,3,1.5,0,0,1.5")</f>
        <v>0,3,1.5,0,0,1.5</v>
      </c>
      <c r="O47" s="6" t="str">
        <f>IFERROR(__xludf.DUMMYFUNCTION("""COMPUTED_VALUE"""),"1.5,0,0,0,0,0")</f>
        <v>1.5,0,0,0,0,0</v>
      </c>
      <c r="P47" s="6" t="str">
        <f>IFERROR(__xludf.DUMMYFUNCTION("""COMPUTED_VALUE"""),"#N/A")</f>
        <v>#N/A</v>
      </c>
      <c r="Q47" s="6" t="str">
        <f>IFERROR(__xludf.DUMMYFUNCTION("""COMPUTED_VALUE"""),"0,0,0,0,0,0")</f>
        <v>0,0,0,0,0,0</v>
      </c>
      <c r="R47" s="6" t="str">
        <f>IFERROR(__xludf.DUMMYFUNCTION("""COMPUTED_VALUE"""),"3.5,-1,0,1,0,0")</f>
        <v>3.5,-1,0,1,0,0</v>
      </c>
      <c r="S47" s="6" t="str">
        <f>IFERROR(__xludf.DUMMYFUNCTION("""COMPUTED_VALUE"""),"0,0,1.5,0,4.5,3")</f>
        <v>0,0,1.5,0,4.5,3</v>
      </c>
      <c r="T47" s="6" t="str">
        <f>IFERROR(__xludf.DUMMYFUNCTION("""COMPUTED_VALUE"""),"0,0,1.5,0,0,0")</f>
        <v>0,0,1.5,0,0,0</v>
      </c>
      <c r="U47" s="6" t="str">
        <f>IFERROR(__xludf.DUMMYFUNCTION("""COMPUTED_VALUE"""),"0,1.5,-1,0,0,0")</f>
        <v>0,1.5,-1,0,0,0</v>
      </c>
      <c r="V47" s="6" t="str">
        <f>IFERROR(__xludf.DUMMYFUNCTION("""COMPUTED_VALUE"""),"0,0,0,0,0,0")</f>
        <v>0,0,0,0,0,0</v>
      </c>
      <c r="W47" s="6" t="str">
        <f>IFERROR(__xludf.DUMMYFUNCTION("""COMPUTED_VALUE"""),"1SugmEQju9xy78Wv1Su4-qpjFyVCOG0t1")</f>
        <v>1SugmEQju9xy78Wv1Su4-qpjFyVCOG0t1</v>
      </c>
    </row>
    <row r="48">
      <c r="A48" s="6">
        <f>IFERROR(__xludf.DUMMYFUNCTION("""COMPUTED_VALUE"""),47.0)</f>
        <v>47</v>
      </c>
      <c r="B48" s="6" t="str">
        <f>IFERROR(__xludf.DUMMYFUNCTION("""COMPUTED_VALUE"""),"Monta Vista B")</f>
        <v>Monta Vista B</v>
      </c>
      <c r="C48" s="6" t="str">
        <f>IFERROR(__xludf.DUMMYFUNCTION("""COMPUTED_VALUE"""),"Arnold O. Beckman A")</f>
        <v>Arnold O. Beckman A</v>
      </c>
      <c r="D48" s="6">
        <f>IFERROR(__xludf.DUMMYFUNCTION("""COMPUTED_VALUE"""),3.0)</f>
        <v>3</v>
      </c>
      <c r="E48" s="6" t="str">
        <f>IFERROR(__xludf.DUMMYFUNCTION("""COMPUTED_VALUE"""),"Round Robin")</f>
        <v>Round Robin</v>
      </c>
      <c r="F48" s="6" t="str">
        <f>IFERROR(__xludf.DUMMYFUNCTION("""COMPUTED_VALUE"""),"D")</f>
        <v>D</v>
      </c>
      <c r="G48" s="6" t="str">
        <f>IFERROR(__xludf.DUMMYFUNCTION("""COMPUTED_VALUE"""),"DWINELLE 204")</f>
        <v>DWINELLE 204</v>
      </c>
      <c r="H48" s="6" t="str">
        <f>IFERROR(__xludf.DUMMYFUNCTION("""COMPUTED_VALUE"""),"1rvYxLrmq_QWmap-brWZJY_K0-21z1J1nGLTXZCZyeR0")</f>
        <v>1rvYxLrmq_QWmap-brWZJY_K0-21z1J1nGLTXZCZyeR0</v>
      </c>
      <c r="I48" s="16" t="str">
        <f>IFERROR(__xludf.DUMMYFUNCTION("""COMPUTED_VALUE"""),"https://docs.google.com/spreadsheets/d/1rvYxLrmq_QWmap-brWZJY_K0-21z1J1nGLTXZCZyeR0")</f>
        <v>https://docs.google.com/spreadsheets/d/1rvYxLrmq_QWmap-brWZJY_K0-21z1J1nGLTXZCZyeR0</v>
      </c>
      <c r="J48" s="6" t="b">
        <f>IFERROR(__xludf.DUMMYFUNCTION("""COMPUTED_VALUE"""),TRUE)</f>
        <v>1</v>
      </c>
      <c r="K48" s="6">
        <f>IFERROR(__xludf.DUMMYFUNCTION("""COMPUTED_VALUE"""),40.0)</f>
        <v>40</v>
      </c>
      <c r="L48" s="6">
        <f>IFERROR(__xludf.DUMMYFUNCTION("""COMPUTED_VALUE"""),72.0)</f>
        <v>72</v>
      </c>
      <c r="M48" s="6" t="str">
        <f>IFERROR(__xludf.DUMMYFUNCTION("""COMPUTED_VALUE"""),"0,0,0,0,0,0")</f>
        <v>0,0,0,0,0,0</v>
      </c>
      <c r="N48" s="6" t="str">
        <f>IFERROR(__xludf.DUMMYFUNCTION("""COMPUTED_VALUE"""),"0,0,2.5,0,2,1.5")</f>
        <v>0,0,2.5,0,2,1.5</v>
      </c>
      <c r="O48" s="6" t="str">
        <f>IFERROR(__xludf.DUMMYFUNCTION("""COMPUTED_VALUE"""),"#N/A")</f>
        <v>#N/A</v>
      </c>
      <c r="P48" s="6" t="str">
        <f>IFERROR(__xludf.DUMMYFUNCTION("""COMPUTED_VALUE"""),"0,0,0,0,0,0")</f>
        <v>0,0,0,0,0,0</v>
      </c>
      <c r="Q48" s="6" t="str">
        <f>IFERROR(__xludf.DUMMYFUNCTION("""COMPUTED_VALUE"""),"0,0,0,0,0,0")</f>
        <v>0,0,0,0,0,0</v>
      </c>
      <c r="R48" s="6" t="str">
        <f>IFERROR(__xludf.DUMMYFUNCTION("""COMPUTED_VALUE"""),"3,0,0,1,0,0")</f>
        <v>3,0,0,1,0,0</v>
      </c>
      <c r="S48" s="6" t="str">
        <f>IFERROR(__xludf.DUMMYFUNCTION("""COMPUTED_VALUE"""),"3,2,0,1,0,0")</f>
        <v>3,2,0,1,0,0</v>
      </c>
      <c r="T48" s="6" t="str">
        <f>IFERROR(__xludf.DUMMYFUNCTION("""COMPUTED_VALUE"""),"0,0,0,0,0,0")</f>
        <v>0,0,0,0,0,0</v>
      </c>
      <c r="U48" s="6" t="str">
        <f>IFERROR(__xludf.DUMMYFUNCTION("""COMPUTED_VALUE"""),"0,0,0,0,0,0")</f>
        <v>0,0,0,0,0,0</v>
      </c>
      <c r="V48" s="6" t="str">
        <f>IFERROR(__xludf.DUMMYFUNCTION("""COMPUTED_VALUE"""),",,,,,")</f>
        <v>,,,,,</v>
      </c>
      <c r="W48" s="6" t="str">
        <f>IFERROR(__xludf.DUMMYFUNCTION("""COMPUTED_VALUE"""),"1Mt9Xksd_TdHkCUOFuH_LJ7Nfrgu0axBx")</f>
        <v>1Mt9Xksd_TdHkCUOFuH_LJ7Nfrgu0axBx</v>
      </c>
    </row>
    <row r="49">
      <c r="A49" s="6">
        <f>IFERROR(__xludf.DUMMYFUNCTION("""COMPUTED_VALUE"""),48.0)</f>
        <v>48</v>
      </c>
      <c r="B49" s="6" t="str">
        <f>IFERROR(__xludf.DUMMYFUNCTION("""COMPUTED_VALUE"""),"Palo Alto A")</f>
        <v>Palo Alto A</v>
      </c>
      <c r="C49" s="6" t="str">
        <f>IFERROR(__xludf.DUMMYFUNCTION("""COMPUTED_VALUE"""),"Canyon Crest B")</f>
        <v>Canyon Crest B</v>
      </c>
      <c r="D49" s="6">
        <f>IFERROR(__xludf.DUMMYFUNCTION("""COMPUTED_VALUE"""),3.0)</f>
        <v>3</v>
      </c>
      <c r="E49" s="6" t="str">
        <f>IFERROR(__xludf.DUMMYFUNCTION("""COMPUTED_VALUE"""),"Round Robin")</f>
        <v>Round Robin</v>
      </c>
      <c r="F49" s="6" t="str">
        <f>IFERROR(__xludf.DUMMYFUNCTION("""COMPUTED_VALUE"""),"D")</f>
        <v>D</v>
      </c>
      <c r="G49" s="6" t="str">
        <f>IFERROR(__xludf.DUMMYFUNCTION("""COMPUTED_VALUE"""),"DWINELLE 206")</f>
        <v>DWINELLE 206</v>
      </c>
      <c r="H49" s="6" t="str">
        <f>IFERROR(__xludf.DUMMYFUNCTION("""COMPUTED_VALUE"""),"1EUUYnZtlfgnkfE7cO3K_pxdwsqLS58A-dJXpHAmO7ZI")</f>
        <v>1EUUYnZtlfgnkfE7cO3K_pxdwsqLS58A-dJXpHAmO7ZI</v>
      </c>
      <c r="I49" s="16" t="str">
        <f>IFERROR(__xludf.DUMMYFUNCTION("""COMPUTED_VALUE"""),"https://docs.google.com/spreadsheets/d/1EUUYnZtlfgnkfE7cO3K_pxdwsqLS58A-dJXpHAmO7ZI")</f>
        <v>https://docs.google.com/spreadsheets/d/1EUUYnZtlfgnkfE7cO3K_pxdwsqLS58A-dJXpHAmO7ZI</v>
      </c>
      <c r="J49" s="6" t="b">
        <f>IFERROR(__xludf.DUMMYFUNCTION("""COMPUTED_VALUE"""),TRUE)</f>
        <v>1</v>
      </c>
      <c r="K49" s="6">
        <f>IFERROR(__xludf.DUMMYFUNCTION("""COMPUTED_VALUE"""),118.0)</f>
        <v>118</v>
      </c>
      <c r="L49" s="6">
        <f>IFERROR(__xludf.DUMMYFUNCTION("""COMPUTED_VALUE"""),68.0)</f>
        <v>68</v>
      </c>
      <c r="M49" s="6" t="str">
        <f>IFERROR(__xludf.DUMMYFUNCTION("""COMPUTED_VALUE"""),"0,5.5,2,0,1,3")</f>
        <v>0,5.5,2,0,1,3</v>
      </c>
      <c r="N49" s="6" t="str">
        <f>IFERROR(__xludf.DUMMYFUNCTION("""COMPUTED_VALUE"""),"0,0,0,0,0,0")</f>
        <v>0,0,0,0,0,0</v>
      </c>
      <c r="O49" s="6" t="str">
        <f>IFERROR(__xludf.DUMMYFUNCTION("""COMPUTED_VALUE"""),"3,0,0,1,0,0")</f>
        <v>3,0,0,1,0,0</v>
      </c>
      <c r="P49" s="6" t="str">
        <f>IFERROR(__xludf.DUMMYFUNCTION("""COMPUTED_VALUE"""),"0,0,0,0,-1,0")</f>
        <v>0,0,0,0,-1,0</v>
      </c>
      <c r="Q49" s="6" t="str">
        <f>IFERROR(__xludf.DUMMYFUNCTION("""COMPUTED_VALUE"""),"#N/A")</f>
        <v>#N/A</v>
      </c>
      <c r="R49" s="6" t="str">
        <f>IFERROR(__xludf.DUMMYFUNCTION("""COMPUTED_VALUE"""),"4.5,0,0,1,0,1")</f>
        <v>4.5,0,0,1,0,1</v>
      </c>
      <c r="S49" s="6" t="str">
        <f>IFERROR(__xludf.DUMMYFUNCTION("""COMPUTED_VALUE"""),"0,0,0,0,0,0")</f>
        <v>0,0,0,0,0,0</v>
      </c>
      <c r="T49" s="6" t="str">
        <f>IFERROR(__xludf.DUMMYFUNCTION("""COMPUTED_VALUE"""),"0,0,0,0,1.5,0")</f>
        <v>0,0,0,0,1.5,0</v>
      </c>
      <c r="U49" s="6" t="str">
        <f>IFERROR(__xludf.DUMMYFUNCTION("""COMPUTED_VALUE"""),"0,0,0,0,0,0")</f>
        <v>0,0,0,0,0,0</v>
      </c>
      <c r="V49" s="6" t="str">
        <f>IFERROR(__xludf.DUMMYFUNCTION("""COMPUTED_VALUE"""),",,,,,")</f>
        <v>,,,,,</v>
      </c>
      <c r="W49" s="6" t="str">
        <f>IFERROR(__xludf.DUMMYFUNCTION("""COMPUTED_VALUE"""),"1R8Q7gRcKc9BVAL76Yk7Shtq5EWg_4_YO")</f>
        <v>1R8Q7gRcKc9BVAL76Yk7Shtq5EWg_4_YO</v>
      </c>
    </row>
    <row r="50">
      <c r="A50" s="6">
        <f>IFERROR(__xludf.DUMMYFUNCTION("""COMPUTED_VALUE"""),49.0)</f>
        <v>49</v>
      </c>
      <c r="B50" s="6" t="str">
        <f>IFERROR(__xludf.DUMMYFUNCTION("""COMPUTED_VALUE"""),"Lynbrook C")</f>
        <v>Lynbrook C</v>
      </c>
      <c r="C50" s="6" t="str">
        <f>IFERROR(__xludf.DUMMYFUNCTION("""COMPUTED_VALUE"""),"Abraham Lincoln")</f>
        <v>Abraham Lincoln</v>
      </c>
      <c r="D50" s="6">
        <f>IFERROR(__xludf.DUMMYFUNCTION("""COMPUTED_VALUE"""),3.0)</f>
        <v>3</v>
      </c>
      <c r="E50" s="6" t="str">
        <f>IFERROR(__xludf.DUMMYFUNCTION("""COMPUTED_VALUE"""),"Round Robin")</f>
        <v>Round Robin</v>
      </c>
      <c r="F50" s="6" t="str">
        <f>IFERROR(__xludf.DUMMYFUNCTION("""COMPUTED_VALUE"""),"E")</f>
        <v>E</v>
      </c>
      <c r="G50" s="6" t="str">
        <f>IFERROR(__xludf.DUMMYFUNCTION("""COMPUTED_VALUE"""),"DWINELLE 209")</f>
        <v>DWINELLE 209</v>
      </c>
      <c r="H50" s="6" t="str">
        <f>IFERROR(__xludf.DUMMYFUNCTION("""COMPUTED_VALUE"""),"1LMQvb6yKDgmBDDhQsiEp9ohs1bGMmNIx2Nyiz6enHHU")</f>
        <v>1LMQvb6yKDgmBDDhQsiEp9ohs1bGMmNIx2Nyiz6enHHU</v>
      </c>
      <c r="I50" s="16" t="str">
        <f>IFERROR(__xludf.DUMMYFUNCTION("""COMPUTED_VALUE"""),"https://docs.google.com/spreadsheets/d/1LMQvb6yKDgmBDDhQsiEp9ohs1bGMmNIx2Nyiz6enHHU")</f>
        <v>https://docs.google.com/spreadsheets/d/1LMQvb6yKDgmBDDhQsiEp9ohs1bGMmNIx2Nyiz6enHHU</v>
      </c>
      <c r="J50" s="6" t="b">
        <f>IFERROR(__xludf.DUMMYFUNCTION("""COMPUTED_VALUE"""),TRUE)</f>
        <v>1</v>
      </c>
      <c r="K50" s="6">
        <f>IFERROR(__xludf.DUMMYFUNCTION("""COMPUTED_VALUE"""),168.0)</f>
        <v>168</v>
      </c>
      <c r="L50" s="6">
        <f>IFERROR(__xludf.DUMMYFUNCTION("""COMPUTED_VALUE"""),8.0)</f>
        <v>8</v>
      </c>
      <c r="M50" s="6" t="str">
        <f>IFERROR(__xludf.DUMMYFUNCTION("""COMPUTED_VALUE"""),"0,1,0,0,0,0")</f>
        <v>0,1,0,0,0,0</v>
      </c>
      <c r="N50" s="6" t="str">
        <f>IFERROR(__xludf.DUMMYFUNCTION("""COMPUTED_VALUE"""),"4,0,0,1,0,0")</f>
        <v>4,0,0,1,0,0</v>
      </c>
      <c r="O50" s="6" t="str">
        <f>IFERROR(__xludf.DUMMYFUNCTION("""COMPUTED_VALUE"""),"1.5,0,0,0,3,0")</f>
        <v>1.5,0,0,0,3,0</v>
      </c>
      <c r="P50" s="6" t="str">
        <f>IFERROR(__xludf.DUMMYFUNCTION("""COMPUTED_VALUE"""),"1.5,1.5,4,1,0,0")</f>
        <v>1.5,1.5,4,1,0,0</v>
      </c>
      <c r="Q50" s="6" t="str">
        <f>IFERROR(__xludf.DUMMYFUNCTION("""COMPUTED_VALUE"""),"0,0,0,0,0,1.5")</f>
        <v>0,0,0,0,0,1.5</v>
      </c>
      <c r="R50" s="6" t="str">
        <f>IFERROR(__xludf.DUMMYFUNCTION("""COMPUTED_VALUE"""),"0,0,0,0,0,0")</f>
        <v>0,0,0,0,0,0</v>
      </c>
      <c r="S50" s="6" t="str">
        <f>IFERROR(__xludf.DUMMYFUNCTION("""COMPUTED_VALUE"""),"0,0,0,0,0,0")</f>
        <v>0,0,0,0,0,0</v>
      </c>
      <c r="T50" s="6" t="str">
        <f>IFERROR(__xludf.DUMMYFUNCTION("""COMPUTED_VALUE"""),"0,0,0,0,0,1")</f>
        <v>0,0,0,0,0,1</v>
      </c>
      <c r="U50" s="6" t="str">
        <f>IFERROR(__xludf.DUMMYFUNCTION("""COMPUTED_VALUE"""),"0,0,-1,0,1,-1")</f>
        <v>0,0,-1,0,1,-1</v>
      </c>
      <c r="V50" s="6" t="str">
        <f>IFERROR(__xludf.DUMMYFUNCTION("""COMPUTED_VALUE"""),"0,0,0,0,0,0")</f>
        <v>0,0,0,0,0,0</v>
      </c>
      <c r="W50" s="6" t="str">
        <f>IFERROR(__xludf.DUMMYFUNCTION("""COMPUTED_VALUE"""),"1ceIlOa2fB7WrLZM2CEwKD06R4jlBCRMA")</f>
        <v>1ceIlOa2fB7WrLZM2CEwKD06R4jlBCRMA</v>
      </c>
    </row>
    <row r="51">
      <c r="A51" s="6">
        <f>IFERROR(__xludf.DUMMYFUNCTION("""COMPUTED_VALUE"""),50.0)</f>
        <v>50</v>
      </c>
      <c r="B51" s="6" t="str">
        <f>IFERROR(__xludf.DUMMYFUNCTION("""COMPUTED_VALUE"""),"Mission San Jose A")</f>
        <v>Mission San Jose A</v>
      </c>
      <c r="C51" s="6" t="str">
        <f>IFERROR(__xludf.DUMMYFUNCTION("""COMPUTED_VALUE"""),"Archbishop Mitty A")</f>
        <v>Archbishop Mitty A</v>
      </c>
      <c r="D51" s="6">
        <f>IFERROR(__xludf.DUMMYFUNCTION("""COMPUTED_VALUE"""),3.0)</f>
        <v>3</v>
      </c>
      <c r="E51" s="6" t="str">
        <f>IFERROR(__xludf.DUMMYFUNCTION("""COMPUTED_VALUE"""),"Round Robin")</f>
        <v>Round Robin</v>
      </c>
      <c r="F51" s="6" t="str">
        <f>IFERROR(__xludf.DUMMYFUNCTION("""COMPUTED_VALUE"""),"E")</f>
        <v>E</v>
      </c>
      <c r="G51" s="6" t="str">
        <f>IFERROR(__xludf.DUMMYFUNCTION("""COMPUTED_VALUE"""),"DWINELLE 210")</f>
        <v>DWINELLE 210</v>
      </c>
      <c r="H51" s="6" t="str">
        <f>IFERROR(__xludf.DUMMYFUNCTION("""COMPUTED_VALUE"""),"13Bd-bqWBCu3GGnoEaA4xWzd1bSZLXOjvs_90tWsZIEU")</f>
        <v>13Bd-bqWBCu3GGnoEaA4xWzd1bSZLXOjvs_90tWsZIEU</v>
      </c>
      <c r="I51" s="16" t="str">
        <f>IFERROR(__xludf.DUMMYFUNCTION("""COMPUTED_VALUE"""),"https://docs.google.com/spreadsheets/d/13Bd-bqWBCu3GGnoEaA4xWzd1bSZLXOjvs_90tWsZIEU")</f>
        <v>https://docs.google.com/spreadsheets/d/13Bd-bqWBCu3GGnoEaA4xWzd1bSZLXOjvs_90tWsZIEU</v>
      </c>
      <c r="J51" s="6" t="b">
        <f>IFERROR(__xludf.DUMMYFUNCTION("""COMPUTED_VALUE"""),TRUE)</f>
        <v>1</v>
      </c>
      <c r="K51" s="6">
        <f>IFERROR(__xludf.DUMMYFUNCTION("""COMPUTED_VALUE"""),212.0)</f>
        <v>212</v>
      </c>
      <c r="L51" s="6">
        <f>IFERROR(__xludf.DUMMYFUNCTION("""COMPUTED_VALUE"""),28.0)</f>
        <v>28</v>
      </c>
      <c r="M51" s="6" t="str">
        <f>IFERROR(__xludf.DUMMYFUNCTION("""COMPUTED_VALUE"""),"#N/A")</f>
        <v>#N/A</v>
      </c>
      <c r="N51" s="6" t="str">
        <f>IFERROR(__xludf.DUMMYFUNCTION("""COMPUTED_VALUE"""),"0,6,0,0,0,0")</f>
        <v>0,6,0,0,0,0</v>
      </c>
      <c r="O51" s="6" t="str">
        <f>IFERROR(__xludf.DUMMYFUNCTION("""COMPUTED_VALUE"""),"0,0,0,0,4.5,2.5")</f>
        <v>0,0,0,0,4.5,2.5</v>
      </c>
      <c r="P51" s="6" t="str">
        <f>IFERROR(__xludf.DUMMYFUNCTION("""COMPUTED_VALUE"""),"0,0,3,0,0,1")</f>
        <v>0,0,3,0,0,1</v>
      </c>
      <c r="Q51" s="6" t="str">
        <f>IFERROR(__xludf.DUMMYFUNCTION("""COMPUTED_VALUE"""),"5.5,0,0,2.5,0,0")</f>
        <v>5.5,0,0,2.5,0,0</v>
      </c>
      <c r="R51" s="6" t="str">
        <f>IFERROR(__xludf.DUMMYFUNCTION("""COMPUTED_VALUE"""),"0,0,1.5,0,0,0")</f>
        <v>0,0,1.5,0,0,0</v>
      </c>
      <c r="S51" s="6" t="str">
        <f>IFERROR(__xludf.DUMMYFUNCTION("""COMPUTED_VALUE"""),"0,0,0,0,0,0")</f>
        <v>0,0,0,0,0,0</v>
      </c>
      <c r="T51" s="6" t="str">
        <f>IFERROR(__xludf.DUMMYFUNCTION("""COMPUTED_VALUE"""),"0,0,0,0,0,0")</f>
        <v>0,0,0,0,0,0</v>
      </c>
      <c r="U51" s="6" t="str">
        <f>IFERROR(__xludf.DUMMYFUNCTION("""COMPUTED_VALUE"""),"1.5,0,0,0,0,0")</f>
        <v>1.5,0,0,0,0,0</v>
      </c>
      <c r="V51" s="6" t="str">
        <f>IFERROR(__xludf.DUMMYFUNCTION("""COMPUTED_VALUE"""),",,,,,")</f>
        <v>,,,,,</v>
      </c>
      <c r="W51" s="6" t="str">
        <f>IFERROR(__xludf.DUMMYFUNCTION("""COMPUTED_VALUE"""),"1_FRkf4EGoH4VxGtiBWR6Sp7-OliBOiic")</f>
        <v>1_FRkf4EGoH4VxGtiBWR6Sp7-OliBOiic</v>
      </c>
    </row>
    <row r="52">
      <c r="A52" s="6">
        <f>IFERROR(__xludf.DUMMYFUNCTION("""COMPUTED_VALUE"""),51.0)</f>
        <v>51</v>
      </c>
      <c r="B52" s="6" t="str">
        <f>IFERROR(__xludf.DUMMYFUNCTION("""COMPUTED_VALUE"""),"California A")</f>
        <v>California A</v>
      </c>
      <c r="C52" s="6" t="str">
        <f>IFERROR(__xludf.DUMMYFUNCTION("""COMPUTED_VALUE"""),"Saratoga")</f>
        <v>Saratoga</v>
      </c>
      <c r="D52" s="6">
        <f>IFERROR(__xludf.DUMMYFUNCTION("""COMPUTED_VALUE"""),3.0)</f>
        <v>3</v>
      </c>
      <c r="E52" s="6" t="str">
        <f>IFERROR(__xludf.DUMMYFUNCTION("""COMPUTED_VALUE"""),"Round Robin")</f>
        <v>Round Robin</v>
      </c>
      <c r="F52" s="6" t="str">
        <f>IFERROR(__xludf.DUMMYFUNCTION("""COMPUTED_VALUE"""),"E")</f>
        <v>E</v>
      </c>
      <c r="G52" s="6" t="str">
        <f>IFERROR(__xludf.DUMMYFUNCTION("""COMPUTED_VALUE"""),"DWINELLE 215")</f>
        <v>DWINELLE 215</v>
      </c>
      <c r="H52" s="6" t="str">
        <f>IFERROR(__xludf.DUMMYFUNCTION("""COMPUTED_VALUE"""),"1sVDiZ-AllZSijY6rfpTYKwZvmhojeu8yfnkzkIjpwZk")</f>
        <v>1sVDiZ-AllZSijY6rfpTYKwZvmhojeu8yfnkzkIjpwZk</v>
      </c>
      <c r="I52" s="16" t="str">
        <f>IFERROR(__xludf.DUMMYFUNCTION("""COMPUTED_VALUE"""),"https://docs.google.com/spreadsheets/d/1sVDiZ-AllZSijY6rfpTYKwZvmhojeu8yfnkzkIjpwZk")</f>
        <v>https://docs.google.com/spreadsheets/d/1sVDiZ-AllZSijY6rfpTYKwZvmhojeu8yfnkzkIjpwZk</v>
      </c>
      <c r="J52" s="6" t="b">
        <f>IFERROR(__xludf.DUMMYFUNCTION("""COMPUTED_VALUE"""),TRUE)</f>
        <v>1</v>
      </c>
      <c r="K52" s="6">
        <f>IFERROR(__xludf.DUMMYFUNCTION("""COMPUTED_VALUE"""),82.0)</f>
        <v>82</v>
      </c>
      <c r="L52" s="6">
        <f>IFERROR(__xludf.DUMMYFUNCTION("""COMPUTED_VALUE"""),106.0)</f>
        <v>106</v>
      </c>
      <c r="M52" s="6" t="str">
        <f>IFERROR(__xludf.DUMMYFUNCTION("""COMPUTED_VALUE"""),"0,0,0,0,0,0")</f>
        <v>0,0,0,0,0,0</v>
      </c>
      <c r="N52" s="6" t="str">
        <f>IFERROR(__xludf.DUMMYFUNCTION("""COMPUTED_VALUE"""),"1.5,0,0,1,0,0")</f>
        <v>1.5,0,0,1,0,0</v>
      </c>
      <c r="O52" s="6" t="str">
        <f>IFERROR(__xludf.DUMMYFUNCTION("""COMPUTED_VALUE"""),"0,0,0,0,0,0")</f>
        <v>0,0,0,0,0,0</v>
      </c>
      <c r="P52" s="6" t="str">
        <f>IFERROR(__xludf.DUMMYFUNCTION("""COMPUTED_VALUE"""),"0,1,0,0,0,3")</f>
        <v>0,1,0,0,0,3</v>
      </c>
      <c r="Q52" s="6" t="str">
        <f>IFERROR(__xludf.DUMMYFUNCTION("""COMPUTED_VALUE"""),"1,0,0,-1,0,0")</f>
        <v>1,0,0,-1,0,0</v>
      </c>
      <c r="R52" s="6" t="str">
        <f>IFERROR(__xludf.DUMMYFUNCTION("""COMPUTED_VALUE"""),"3,-0.5,0,0,3,-0.5")</f>
        <v>3,-0.5,0,0,3,-0.5</v>
      </c>
      <c r="S52" s="6" t="str">
        <f>IFERROR(__xludf.DUMMYFUNCTION("""COMPUTED_VALUE"""),"#N/A")</f>
        <v>#N/A</v>
      </c>
      <c r="T52" s="6" t="str">
        <f>IFERROR(__xludf.DUMMYFUNCTION("""COMPUTED_VALUE"""),"0,0,0,0,0,0")</f>
        <v>0,0,0,0,0,0</v>
      </c>
      <c r="U52" s="6" t="str">
        <f>IFERROR(__xludf.DUMMYFUNCTION("""COMPUTED_VALUE"""),"-1,0,1,-1,0,0")</f>
        <v>-1,0,1,-1,0,0</v>
      </c>
      <c r="V52" s="6" t="str">
        <f>IFERROR(__xludf.DUMMYFUNCTION("""COMPUTED_VALUE"""),"0.5,0,0,0,0,0")</f>
        <v>0.5,0,0,0,0,0</v>
      </c>
      <c r="W52" s="6" t="str">
        <f>IFERROR(__xludf.DUMMYFUNCTION("""COMPUTED_VALUE"""),"1Qna1pYsoUSO2n7l_awkcAfh7nAFZQZGE")</f>
        <v>1Qna1pYsoUSO2n7l_awkcAfh7nAFZQZGE</v>
      </c>
    </row>
    <row r="53">
      <c r="A53" s="6">
        <f>IFERROR(__xludf.DUMMYFUNCTION("""COMPUTED_VALUE"""),52.0)</f>
        <v>52</v>
      </c>
      <c r="B53" s="6" t="str">
        <f>IFERROR(__xludf.DUMMYFUNCTION("""COMPUTED_VALUE"""),"Cupertino A")</f>
        <v>Cupertino A</v>
      </c>
      <c r="C53" s="6" t="str">
        <f>IFERROR(__xludf.DUMMYFUNCTION("""COMPUTED_VALUE"""),"American B")</f>
        <v>American B</v>
      </c>
      <c r="D53" s="6">
        <f>IFERROR(__xludf.DUMMYFUNCTION("""COMPUTED_VALUE"""),3.0)</f>
        <v>3</v>
      </c>
      <c r="E53" s="6" t="str">
        <f>IFERROR(__xludf.DUMMYFUNCTION("""COMPUTED_VALUE"""),"Round Robin")</f>
        <v>Round Robin</v>
      </c>
      <c r="F53" s="6" t="str">
        <f>IFERROR(__xludf.DUMMYFUNCTION("""COMPUTED_VALUE"""),"F")</f>
        <v>F</v>
      </c>
      <c r="G53" s="6" t="str">
        <f>IFERROR(__xludf.DUMMYFUNCTION("""COMPUTED_VALUE"""),"DWINELLE 246")</f>
        <v>DWINELLE 246</v>
      </c>
      <c r="H53" s="6" t="str">
        <f>IFERROR(__xludf.DUMMYFUNCTION("""COMPUTED_VALUE"""),"12y120mY4N-gmawfNChhZnsZMMOI1Oo_-eAfEvbiZP6Y")</f>
        <v>12y120mY4N-gmawfNChhZnsZMMOI1Oo_-eAfEvbiZP6Y</v>
      </c>
      <c r="I53" s="16" t="str">
        <f>IFERROR(__xludf.DUMMYFUNCTION("""COMPUTED_VALUE"""),"https://docs.google.com/spreadsheets/d/12y120mY4N-gmawfNChhZnsZMMOI1Oo_-eAfEvbiZP6Y")</f>
        <v>https://docs.google.com/spreadsheets/d/12y120mY4N-gmawfNChhZnsZMMOI1Oo_-eAfEvbiZP6Y</v>
      </c>
      <c r="J53" s="6" t="b">
        <f>IFERROR(__xludf.DUMMYFUNCTION("""COMPUTED_VALUE"""),TRUE)</f>
        <v>1</v>
      </c>
      <c r="K53" s="6">
        <f>IFERROR(__xludf.DUMMYFUNCTION("""COMPUTED_VALUE"""),94.0)</f>
        <v>94</v>
      </c>
      <c r="L53" s="6">
        <f>IFERROR(__xludf.DUMMYFUNCTION("""COMPUTED_VALUE"""),50.0)</f>
        <v>50</v>
      </c>
      <c r="M53" s="6" t="str">
        <f>IFERROR(__xludf.DUMMYFUNCTION("""COMPUTED_VALUE"""),"0,-1,1.5,0,0,0")</f>
        <v>0,-1,1.5,0,0,0</v>
      </c>
      <c r="N53" s="6" t="str">
        <f>IFERROR(__xludf.DUMMYFUNCTION("""COMPUTED_VALUE"""),"0,2.5,1,0,2.5,3")</f>
        <v>0,2.5,1,0,2.5,3</v>
      </c>
      <c r="O53" s="6" t="str">
        <f>IFERROR(__xludf.DUMMYFUNCTION("""COMPUTED_VALUE"""),"1.5,0,0,0,0,0")</f>
        <v>1.5,0,0,0,0,0</v>
      </c>
      <c r="P53" s="6" t="str">
        <f>IFERROR(__xludf.DUMMYFUNCTION("""COMPUTED_VALUE"""),"1.5,0,0,0,0,0")</f>
        <v>1.5,0,0,0,0,0</v>
      </c>
      <c r="Q53" s="6" t="str">
        <f>IFERROR(__xludf.DUMMYFUNCTION("""COMPUTED_VALUE"""),"#N/A")</f>
        <v>#N/A</v>
      </c>
      <c r="R53" s="6" t="str">
        <f>IFERROR(__xludf.DUMMYFUNCTION("""COMPUTED_VALUE"""),"4.5,0,1,0,0,0")</f>
        <v>4.5,0,1,0,0,0</v>
      </c>
      <c r="S53" s="6" t="str">
        <f>IFERROR(__xludf.DUMMYFUNCTION("""COMPUTED_VALUE"""),"0,0,0,0,0,0")</f>
        <v>0,0,0,0,0,0</v>
      </c>
      <c r="T53" s="6" t="str">
        <f>IFERROR(__xludf.DUMMYFUNCTION("""COMPUTED_VALUE"""),"#N/A")</f>
        <v>#N/A</v>
      </c>
      <c r="U53" s="6" t="str">
        <f>IFERROR(__xludf.DUMMYFUNCTION("""COMPUTED_VALUE"""),"0,0,0,0,0,0")</f>
        <v>0,0,0,0,0,0</v>
      </c>
      <c r="V53" s="6" t="str">
        <f>IFERROR(__xludf.DUMMYFUNCTION("""COMPUTED_VALUE"""),"0,0,0,0,0,0")</f>
        <v>0,0,0,0,0,0</v>
      </c>
      <c r="W53" s="6" t="str">
        <f>IFERROR(__xludf.DUMMYFUNCTION("""COMPUTED_VALUE"""),"1ZMUmrgOLjgL9cryFCDoYsJzMfRQXQGA0")</f>
        <v>1ZMUmrgOLjgL9cryFCDoYsJzMfRQXQGA0</v>
      </c>
    </row>
    <row r="54">
      <c r="A54" s="6">
        <f>IFERROR(__xludf.DUMMYFUNCTION("""COMPUTED_VALUE"""),53.0)</f>
        <v>53</v>
      </c>
      <c r="B54" s="6" t="str">
        <f>IFERROR(__xludf.DUMMYFUNCTION("""COMPUTED_VALUE"""),"Dougherty Valley B")</f>
        <v>Dougherty Valley B</v>
      </c>
      <c r="C54" s="6" t="str">
        <f>IFERROR(__xludf.DUMMYFUNCTION("""COMPUTED_VALUE"""),"American A")</f>
        <v>American A</v>
      </c>
      <c r="D54" s="6">
        <f>IFERROR(__xludf.DUMMYFUNCTION("""COMPUTED_VALUE"""),3.0)</f>
        <v>3</v>
      </c>
      <c r="E54" s="6" t="str">
        <f>IFERROR(__xludf.DUMMYFUNCTION("""COMPUTED_VALUE"""),"Round Robin")</f>
        <v>Round Robin</v>
      </c>
      <c r="F54" s="6" t="str">
        <f>IFERROR(__xludf.DUMMYFUNCTION("""COMPUTED_VALUE"""),"F")</f>
        <v>F</v>
      </c>
      <c r="G54" s="6" t="str">
        <f>IFERROR(__xludf.DUMMYFUNCTION("""COMPUTED_VALUE"""),"DWINELLE 262")</f>
        <v>DWINELLE 262</v>
      </c>
      <c r="H54" s="6" t="str">
        <f>IFERROR(__xludf.DUMMYFUNCTION("""COMPUTED_VALUE"""),"1dat29IjjIE6fBfJTYwykStsWxjax40VoTB3N5FSIyDc")</f>
        <v>1dat29IjjIE6fBfJTYwykStsWxjax40VoTB3N5FSIyDc</v>
      </c>
      <c r="I54" s="16" t="str">
        <f>IFERROR(__xludf.DUMMYFUNCTION("""COMPUTED_VALUE"""),"https://docs.google.com/spreadsheets/d/1dat29IjjIE6fBfJTYwykStsWxjax40VoTB3N5FSIyDc")</f>
        <v>https://docs.google.com/spreadsheets/d/1dat29IjjIE6fBfJTYwykStsWxjax40VoTB3N5FSIyDc</v>
      </c>
      <c r="J54" s="6" t="b">
        <f>IFERROR(__xludf.DUMMYFUNCTION("""COMPUTED_VALUE"""),TRUE)</f>
        <v>1</v>
      </c>
      <c r="K54" s="6">
        <f>IFERROR(__xludf.DUMMYFUNCTION("""COMPUTED_VALUE"""),32.0)</f>
        <v>32</v>
      </c>
      <c r="L54" s="6">
        <f>IFERROR(__xludf.DUMMYFUNCTION("""COMPUTED_VALUE"""),102.0)</f>
        <v>102</v>
      </c>
      <c r="M54" s="6" t="str">
        <f>IFERROR(__xludf.DUMMYFUNCTION("""COMPUTED_VALUE"""),"1.5,0,0,0,0,0")</f>
        <v>1.5,0,0,0,0,0</v>
      </c>
      <c r="N54" s="6" t="str">
        <f>IFERROR(__xludf.DUMMYFUNCTION("""COMPUTED_VALUE"""),"#N/A")</f>
        <v>#N/A</v>
      </c>
      <c r="O54" s="6" t="str">
        <f>IFERROR(__xludf.DUMMYFUNCTION("""COMPUTED_VALUE"""),"0,0,0,0,0,0")</f>
        <v>0,0,0,0,0,0</v>
      </c>
      <c r="P54" s="6" t="str">
        <f>IFERROR(__xludf.DUMMYFUNCTION("""COMPUTED_VALUE"""),"1.5,0,0,0,0,0")</f>
        <v>1.5,0,0,0,0,0</v>
      </c>
      <c r="Q54" s="6" t="str">
        <f>IFERROR(__xludf.DUMMYFUNCTION("""COMPUTED_VALUE"""),"0,0,0,0,0,0")</f>
        <v>0,0,0,0,0,0</v>
      </c>
      <c r="R54" s="6" t="str">
        <f>IFERROR(__xludf.DUMMYFUNCTION("""COMPUTED_VALUE"""),"1.5,0,0.5,1,0,1")</f>
        <v>1.5,0,0.5,1,0,1</v>
      </c>
      <c r="S54" s="6" t="str">
        <f>IFERROR(__xludf.DUMMYFUNCTION("""COMPUTED_VALUE"""),"#N/A")</f>
        <v>#N/A</v>
      </c>
      <c r="T54" s="6" t="str">
        <f>IFERROR(__xludf.DUMMYFUNCTION("""COMPUTED_VALUE"""),"1.5,2.5,2.5,0,3,2")</f>
        <v>1.5,2.5,2.5,0,3,2</v>
      </c>
      <c r="U54" s="6" t="str">
        <f>IFERROR(__xludf.DUMMYFUNCTION("""COMPUTED_VALUE"""),"0,0,0,0,0,0")</f>
        <v>0,0,0,0,0,0</v>
      </c>
      <c r="V54" s="6" t="str">
        <f>IFERROR(__xludf.DUMMYFUNCTION("""COMPUTED_VALUE"""),"0,0,0,0,0,0")</f>
        <v>0,0,0,0,0,0</v>
      </c>
      <c r="W54" s="6" t="str">
        <f>IFERROR(__xludf.DUMMYFUNCTION("""COMPUTED_VALUE"""),"1Vl5Oa0oSlbk2HzPsQjyl20DkDyVwWOEm")</f>
        <v>1Vl5Oa0oSlbk2HzPsQjyl20DkDyVwWOEm</v>
      </c>
    </row>
    <row r="55">
      <c r="A55" s="6">
        <f>IFERROR(__xludf.DUMMYFUNCTION("""COMPUTED_VALUE"""),54.0)</f>
        <v>54</v>
      </c>
      <c r="B55" s="6" t="str">
        <f>IFERROR(__xludf.DUMMYFUNCTION("""COMPUTED_VALUE"""),"Mira Loma B")</f>
        <v>Mira Loma B</v>
      </c>
      <c r="C55" s="6" t="str">
        <f>IFERROR(__xludf.DUMMYFUNCTION("""COMPUTED_VALUE"""),"Foothill A")</f>
        <v>Foothill A</v>
      </c>
      <c r="D55" s="6">
        <f>IFERROR(__xludf.DUMMYFUNCTION("""COMPUTED_VALUE"""),3.0)</f>
        <v>3</v>
      </c>
      <c r="E55" s="6" t="str">
        <f>IFERROR(__xludf.DUMMYFUNCTION("""COMPUTED_VALUE"""),"Round Robin")</f>
        <v>Round Robin</v>
      </c>
      <c r="F55" s="6" t="str">
        <f>IFERROR(__xludf.DUMMYFUNCTION("""COMPUTED_VALUE"""),"F")</f>
        <v>F</v>
      </c>
      <c r="G55" s="6" t="str">
        <f>IFERROR(__xludf.DUMMYFUNCTION("""COMPUTED_VALUE"""),"DWINELLE 263")</f>
        <v>DWINELLE 263</v>
      </c>
      <c r="H55" s="6" t="str">
        <f>IFERROR(__xludf.DUMMYFUNCTION("""COMPUTED_VALUE"""),"1vcwKmZTh5D4mGndni1KD5-rROoEhonNPvoMpcbEaVrs")</f>
        <v>1vcwKmZTh5D4mGndni1KD5-rROoEhonNPvoMpcbEaVrs</v>
      </c>
      <c r="I55" s="16" t="str">
        <f>IFERROR(__xludf.DUMMYFUNCTION("""COMPUTED_VALUE"""),"https://docs.google.com/spreadsheets/d/1vcwKmZTh5D4mGndni1KD5-rROoEhonNPvoMpcbEaVrs")</f>
        <v>https://docs.google.com/spreadsheets/d/1vcwKmZTh5D4mGndni1KD5-rROoEhonNPvoMpcbEaVrs</v>
      </c>
      <c r="J55" s="6" t="b">
        <f>IFERROR(__xludf.DUMMYFUNCTION("""COMPUTED_VALUE"""),TRUE)</f>
        <v>1</v>
      </c>
      <c r="K55" s="6">
        <f>IFERROR(__xludf.DUMMYFUNCTION("""COMPUTED_VALUE"""),62.0)</f>
        <v>62</v>
      </c>
      <c r="L55" s="6">
        <f>IFERROR(__xludf.DUMMYFUNCTION("""COMPUTED_VALUE"""),90.0)</f>
        <v>90</v>
      </c>
      <c r="M55" s="6" t="str">
        <f>IFERROR(__xludf.DUMMYFUNCTION("""COMPUTED_VALUE"""),"0,0,1.5,0,1.5,1")</f>
        <v>0,0,1.5,0,1.5,1</v>
      </c>
      <c r="N55" s="6" t="str">
        <f>IFERROR(__xludf.DUMMYFUNCTION("""COMPUTED_VALUE"""),"0,1,3,0,0,0")</f>
        <v>0,1,3,0,0,0</v>
      </c>
      <c r="O55" s="6" t="str">
        <f>IFERROR(__xludf.DUMMYFUNCTION("""COMPUTED_VALUE"""),"0,0,0,0,0,0")</f>
        <v>0,0,0,0,0,0</v>
      </c>
      <c r="P55" s="6" t="str">
        <f>IFERROR(__xludf.DUMMYFUNCTION("""COMPUTED_VALUE"""),"0,0,0,0,0,0")</f>
        <v>0,0,0,0,0,0</v>
      </c>
      <c r="Q55" s="6" t="str">
        <f>IFERROR(__xludf.DUMMYFUNCTION("""COMPUTED_VALUE"""),"0,0,0,0,0,0")</f>
        <v>0,0,0,0,0,0</v>
      </c>
      <c r="R55" s="6" t="str">
        <f>IFERROR(__xludf.DUMMYFUNCTION("""COMPUTED_VALUE"""),"3,1.5,0,0,0,0")</f>
        <v>3,1.5,0,0,0,0</v>
      </c>
      <c r="S55" s="6" t="str">
        <f>IFERROR(__xludf.DUMMYFUNCTION("""COMPUTED_VALUE"""),"1.5,-1,0,0,0,0")</f>
        <v>1.5,-1,0,0,0,0</v>
      </c>
      <c r="T55" s="6" t="str">
        <f>IFERROR(__xludf.DUMMYFUNCTION("""COMPUTED_VALUE"""),"1.5,1.5,1,0,0,0")</f>
        <v>1.5,1.5,1,0,0,0</v>
      </c>
      <c r="U55" s="6" t="str">
        <f>IFERROR(__xludf.DUMMYFUNCTION("""COMPUTED_VALUE"""),"0,0,0,0,0,0")</f>
        <v>0,0,0,0,0,0</v>
      </c>
      <c r="V55" s="6" t="str">
        <f>IFERROR(__xludf.DUMMYFUNCTION("""COMPUTED_VALUE"""),"0,0,0,0,2.5,0")</f>
        <v>0,0,0,0,2.5,0</v>
      </c>
      <c r="W55" s="6" t="str">
        <f>IFERROR(__xludf.DUMMYFUNCTION("""COMPUTED_VALUE"""),"1iSlolT830hPWUFNO8QFe1M73jdBAFnII")</f>
        <v>1iSlolT830hPWUFNO8QFe1M73jdBAFnII</v>
      </c>
    </row>
    <row r="56">
      <c r="A56" s="6">
        <f>IFERROR(__xludf.DUMMYFUNCTION("""COMPUTED_VALUE"""),55.0)</f>
        <v>55</v>
      </c>
      <c r="B56" s="6" t="str">
        <f>IFERROR(__xludf.DUMMYFUNCTION("""COMPUTED_VALUE"""),"Saint Francis")</f>
        <v>Saint Francis</v>
      </c>
      <c r="C56" s="6" t="str">
        <f>IFERROR(__xludf.DUMMYFUNCTION("""COMPUTED_VALUE"""),"BASIS Independent B")</f>
        <v>BASIS Independent B</v>
      </c>
      <c r="D56" s="6">
        <f>IFERROR(__xludf.DUMMYFUNCTION("""COMPUTED_VALUE"""),4.0)</f>
        <v>4</v>
      </c>
      <c r="E56" s="6" t="str">
        <f>IFERROR(__xludf.DUMMYFUNCTION("""COMPUTED_VALUE"""),"Round Robin")</f>
        <v>Round Robin</v>
      </c>
      <c r="F56" s="6" t="str">
        <f>IFERROR(__xludf.DUMMYFUNCTION("""COMPUTED_VALUE"""),"A")</f>
        <v>A</v>
      </c>
      <c r="G56" s="6" t="str">
        <f>IFERROR(__xludf.DUMMYFUNCTION("""COMPUTED_VALUE"""),"DWINELLE 87")</f>
        <v>DWINELLE 87</v>
      </c>
      <c r="H56" s="6" t="str">
        <f>IFERROR(__xludf.DUMMYFUNCTION("""COMPUTED_VALUE"""),"1yoDh3W1ITqXUrfksMWaa2hwrW6QigKpNer8vxsWOGf8")</f>
        <v>1yoDh3W1ITqXUrfksMWaa2hwrW6QigKpNer8vxsWOGf8</v>
      </c>
      <c r="I56" s="16" t="str">
        <f>IFERROR(__xludf.DUMMYFUNCTION("""COMPUTED_VALUE"""),"https://docs.google.com/spreadsheets/d/1yoDh3W1ITqXUrfksMWaa2hwrW6QigKpNer8vxsWOGf8")</f>
        <v>https://docs.google.com/spreadsheets/d/1yoDh3W1ITqXUrfksMWaa2hwrW6QigKpNer8vxsWOGf8</v>
      </c>
      <c r="J56" s="6" t="b">
        <f>IFERROR(__xludf.DUMMYFUNCTION("""COMPUTED_VALUE"""),TRUE)</f>
        <v>1</v>
      </c>
      <c r="K56" s="6">
        <f>IFERROR(__xludf.DUMMYFUNCTION("""COMPUTED_VALUE"""),74.0)</f>
        <v>74</v>
      </c>
      <c r="L56" s="6">
        <f>IFERROR(__xludf.DUMMYFUNCTION("""COMPUTED_VALUE"""),24.0)</f>
        <v>24</v>
      </c>
      <c r="M56" s="6" t="str">
        <f>IFERROR(__xludf.DUMMYFUNCTION("""COMPUTED_VALUE"""),"1,2,2.5,0,1.5,1")</f>
        <v>1,2,2.5,0,1.5,1</v>
      </c>
      <c r="N56" s="6" t="str">
        <f>IFERROR(__xludf.DUMMYFUNCTION("""COMPUTED_VALUE"""),"-1,0,0,1.5,0,0")</f>
        <v>-1,0,0,1.5,0,0</v>
      </c>
      <c r="O56" s="6" t="str">
        <f>IFERROR(__xludf.DUMMYFUNCTION("""COMPUTED_VALUE"""),"0,0,-1,0,0,2")</f>
        <v>0,0,-1,0,0,2</v>
      </c>
      <c r="P56" s="6" t="str">
        <f>IFERROR(__xludf.DUMMYFUNCTION("""COMPUTED_VALUE"""),"0,0,0,0,1,0")</f>
        <v>0,0,0,0,1,0</v>
      </c>
      <c r="Q56" s="6" t="str">
        <f>IFERROR(__xludf.DUMMYFUNCTION("""COMPUTED_VALUE"""),"#N/A")</f>
        <v>#N/A</v>
      </c>
      <c r="R56" s="6" t="str">
        <f>IFERROR(__xludf.DUMMYFUNCTION("""COMPUTED_VALUE"""),"0,0,0,0,0,0")</f>
        <v>0,0,0,0,0,0</v>
      </c>
      <c r="S56" s="6" t="str">
        <f>IFERROR(__xludf.DUMMYFUNCTION("""COMPUTED_VALUE"""),"1,0,1,0,0,1")</f>
        <v>1,0,1,0,0,1</v>
      </c>
      <c r="T56" s="6" t="str">
        <f>IFERROR(__xludf.DUMMYFUNCTION("""COMPUTED_VALUE"""),"0,0,0,0,0,0")</f>
        <v>0,0,0,0,0,0</v>
      </c>
      <c r="U56" s="6" t="str">
        <f>IFERROR(__xludf.DUMMYFUNCTION("""COMPUTED_VALUE"""),"0,0,0,1,0,0")</f>
        <v>0,0,0,1,0,0</v>
      </c>
      <c r="V56" s="6" t="str">
        <f>IFERROR(__xludf.DUMMYFUNCTION("""COMPUTED_VALUE"""),",,,,,")</f>
        <v>,,,,,</v>
      </c>
      <c r="W56" s="6" t="str">
        <f>IFERROR(__xludf.DUMMYFUNCTION("""COMPUTED_VALUE"""),"1wU8ddNcIDYy_LNgK50_oAheTJQ7qxrnc")</f>
        <v>1wU8ddNcIDYy_LNgK50_oAheTJQ7qxrnc</v>
      </c>
    </row>
    <row r="57">
      <c r="A57" s="6">
        <f>IFERROR(__xludf.DUMMYFUNCTION("""COMPUTED_VALUE"""),56.0)</f>
        <v>56</v>
      </c>
      <c r="B57" s="6" t="str">
        <f>IFERROR(__xludf.DUMMYFUNCTION("""COMPUTED_VALUE"""),"Mission San Jose B")</f>
        <v>Mission San Jose B</v>
      </c>
      <c r="C57" s="6" t="str">
        <f>IFERROR(__xludf.DUMMYFUNCTION("""COMPUTED_VALUE"""),"Stanford Online")</f>
        <v>Stanford Online</v>
      </c>
      <c r="D57" s="6">
        <f>IFERROR(__xludf.DUMMYFUNCTION("""COMPUTED_VALUE"""),4.0)</f>
        <v>4</v>
      </c>
      <c r="E57" s="6" t="str">
        <f>IFERROR(__xludf.DUMMYFUNCTION("""COMPUTED_VALUE"""),"Round Robin")</f>
        <v>Round Robin</v>
      </c>
      <c r="F57" s="6" t="str">
        <f>IFERROR(__xludf.DUMMYFUNCTION("""COMPUTED_VALUE"""),"A")</f>
        <v>A</v>
      </c>
      <c r="G57" s="6" t="str">
        <f>IFERROR(__xludf.DUMMYFUNCTION("""COMPUTED_VALUE"""),"DWINELLE 88")</f>
        <v>DWINELLE 88</v>
      </c>
      <c r="H57" s="6" t="str">
        <f>IFERROR(__xludf.DUMMYFUNCTION("""COMPUTED_VALUE"""),"1oJx7uxe12wurcomzNtl-0xiDYkMz5lihmlK8dAx291s")</f>
        <v>1oJx7uxe12wurcomzNtl-0xiDYkMz5lihmlK8dAx291s</v>
      </c>
      <c r="I57" s="16" t="str">
        <f>IFERROR(__xludf.DUMMYFUNCTION("""COMPUTED_VALUE"""),"https://docs.google.com/spreadsheets/d/1oJx7uxe12wurcomzNtl-0xiDYkMz5lihmlK8dAx291s")</f>
        <v>https://docs.google.com/spreadsheets/d/1oJx7uxe12wurcomzNtl-0xiDYkMz5lihmlK8dAx291s</v>
      </c>
      <c r="J57" s="6" t="b">
        <f>IFERROR(__xludf.DUMMYFUNCTION("""COMPUTED_VALUE"""),TRUE)</f>
        <v>1</v>
      </c>
      <c r="K57" s="6">
        <f>IFERROR(__xludf.DUMMYFUNCTION("""COMPUTED_VALUE"""),134.0)</f>
        <v>134</v>
      </c>
      <c r="L57" s="6">
        <f>IFERROR(__xludf.DUMMYFUNCTION("""COMPUTED_VALUE"""),52.0)</f>
        <v>52</v>
      </c>
      <c r="M57" s="6" t="str">
        <f>IFERROR(__xludf.DUMMYFUNCTION("""COMPUTED_VALUE"""),"0,0,0,0,0,0")</f>
        <v>0,0,0,0,0,0</v>
      </c>
      <c r="N57" s="6" t="str">
        <f>IFERROR(__xludf.DUMMYFUNCTION("""COMPUTED_VALUE"""),"4.5,2.5,4.5,2.5,0,-1")</f>
        <v>4.5,2.5,4.5,2.5,0,-1</v>
      </c>
      <c r="O57" s="6" t="str">
        <f>IFERROR(__xludf.DUMMYFUNCTION("""COMPUTED_VALUE"""),"#N/A")</f>
        <v>#N/A</v>
      </c>
      <c r="P57" s="6" t="str">
        <f>IFERROR(__xludf.DUMMYFUNCTION("""COMPUTED_VALUE"""),"0,0,0,0,0.5,0")</f>
        <v>0,0,0,0,0.5,0</v>
      </c>
      <c r="Q57" s="6" t="str">
        <f>IFERROR(__xludf.DUMMYFUNCTION("""COMPUTED_VALUE"""),"0,0,0,-1,0,0")</f>
        <v>0,0,0,-1,0,0</v>
      </c>
      <c r="R57" s="6" t="str">
        <f>IFERROR(__xludf.DUMMYFUNCTION("""COMPUTED_VALUE"""),"1,0,0,1.5,0,0")</f>
        <v>1,0,0,1.5,0,0</v>
      </c>
      <c r="S57" s="6" t="str">
        <f>IFERROR(__xludf.DUMMYFUNCTION("""COMPUTED_VALUE"""),"0,0,0,0,0,0")</f>
        <v>0,0,0,0,0,0</v>
      </c>
      <c r="T57" s="6" t="str">
        <f>IFERROR(__xludf.DUMMYFUNCTION("""COMPUTED_VALUE"""),"0,1,0,0,1.5,1")</f>
        <v>0,1,0,0,1.5,1</v>
      </c>
      <c r="U57" s="6" t="str">
        <f>IFERROR(__xludf.DUMMYFUNCTION("""COMPUTED_VALUE"""),"0,0,0,0,0,0")</f>
        <v>0,0,0,0,0,0</v>
      </c>
      <c r="V57" s="6" t="str">
        <f>IFERROR(__xludf.DUMMYFUNCTION("""COMPUTED_VALUE"""),",,,,,")</f>
        <v>,,,,,</v>
      </c>
      <c r="W57" s="6" t="str">
        <f>IFERROR(__xludf.DUMMYFUNCTION("""COMPUTED_VALUE"""),"103JTGMew8yagYGeIoIvugJ7A3dBmouHQ")</f>
        <v>103JTGMew8yagYGeIoIvugJ7A3dBmouHQ</v>
      </c>
    </row>
    <row r="58">
      <c r="A58" s="6">
        <f>IFERROR(__xludf.DUMMYFUNCTION("""COMPUTED_VALUE"""),57.0)</f>
        <v>57</v>
      </c>
      <c r="B58" s="6" t="str">
        <f>IFERROR(__xludf.DUMMYFUNCTION("""COMPUTED_VALUE"""),"Dougherty Valley A")</f>
        <v>Dougherty Valley A</v>
      </c>
      <c r="C58" s="6" t="str">
        <f>IFERROR(__xludf.DUMMYFUNCTION("""COMPUTED_VALUE"""),"Palo Alto B")</f>
        <v>Palo Alto B</v>
      </c>
      <c r="D58" s="6">
        <f>IFERROR(__xludf.DUMMYFUNCTION("""COMPUTED_VALUE"""),4.0)</f>
        <v>4</v>
      </c>
      <c r="E58" s="6" t="str">
        <f>IFERROR(__xludf.DUMMYFUNCTION("""COMPUTED_VALUE"""),"Round Robin")</f>
        <v>Round Robin</v>
      </c>
      <c r="F58" s="6" t="str">
        <f>IFERROR(__xludf.DUMMYFUNCTION("""COMPUTED_VALUE"""),"A")</f>
        <v>A</v>
      </c>
      <c r="G58" s="6" t="str">
        <f>IFERROR(__xludf.DUMMYFUNCTION("""COMPUTED_VALUE"""),"DWINELLE 89")</f>
        <v>DWINELLE 89</v>
      </c>
      <c r="H58" s="6" t="str">
        <f>IFERROR(__xludf.DUMMYFUNCTION("""COMPUTED_VALUE"""),"1nqwHknryRci-yxxBDbEbvC-vj-4Hsieo-sOCx9NhBSQ")</f>
        <v>1nqwHknryRci-yxxBDbEbvC-vj-4Hsieo-sOCx9NhBSQ</v>
      </c>
      <c r="I58" s="16" t="str">
        <f>IFERROR(__xludf.DUMMYFUNCTION("""COMPUTED_VALUE"""),"https://docs.google.com/spreadsheets/d/1nqwHknryRci-yxxBDbEbvC-vj-4Hsieo-sOCx9NhBSQ")</f>
        <v>https://docs.google.com/spreadsheets/d/1nqwHknryRci-yxxBDbEbvC-vj-4Hsieo-sOCx9NhBSQ</v>
      </c>
      <c r="J58" s="6" t="b">
        <f>IFERROR(__xludf.DUMMYFUNCTION("""COMPUTED_VALUE"""),TRUE)</f>
        <v>1</v>
      </c>
      <c r="K58" s="6">
        <f>IFERROR(__xludf.DUMMYFUNCTION("""COMPUTED_VALUE"""),68.0)</f>
        <v>68</v>
      </c>
      <c r="L58" s="6">
        <f>IFERROR(__xludf.DUMMYFUNCTION("""COMPUTED_VALUE"""),46.0)</f>
        <v>46</v>
      </c>
      <c r="M58" s="6" t="str">
        <f>IFERROR(__xludf.DUMMYFUNCTION("""COMPUTED_VALUE"""),"0,0,1,0,0,0")</f>
        <v>0,0,1,0,0,0</v>
      </c>
      <c r="N58" s="6" t="str">
        <f>IFERROR(__xludf.DUMMYFUNCTION("""COMPUTED_VALUE"""),"0,1,0,0,0.5,-1")</f>
        <v>0,1,0,0,0.5,-1</v>
      </c>
      <c r="O58" s="6" t="str">
        <f>IFERROR(__xludf.DUMMYFUNCTION("""COMPUTED_VALUE"""),"1.5,0,0,1.5,0,0")</f>
        <v>1.5,0,0,1.5,0,0</v>
      </c>
      <c r="P58" s="6" t="str">
        <f>IFERROR(__xludf.DUMMYFUNCTION("""COMPUTED_VALUE"""),"1.5,0,0,0,0,0")</f>
        <v>1.5,0,0,0,0,0</v>
      </c>
      <c r="Q58" s="6" t="str">
        <f>IFERROR(__xludf.DUMMYFUNCTION("""COMPUTED_VALUE"""),",,,,,")</f>
        <v>,,,,,</v>
      </c>
      <c r="R58" s="6" t="str">
        <f>IFERROR(__xludf.DUMMYFUNCTION("""COMPUTED_VALUE"""),"0,0,1,0,0,0")</f>
        <v>0,0,1,0,0,0</v>
      </c>
      <c r="S58" s="6" t="str">
        <f>IFERROR(__xludf.DUMMYFUNCTION("""COMPUTED_VALUE"""),"0,0,0,0,0,0")</f>
        <v>0,0,0,0,0,0</v>
      </c>
      <c r="T58" s="6" t="str">
        <f>IFERROR(__xludf.DUMMYFUNCTION("""COMPUTED_VALUE"""),"0,0,0,0,2.5,1")</f>
        <v>0,0,0,0,2.5,1</v>
      </c>
      <c r="U58" s="6" t="str">
        <f>IFERROR(__xludf.DUMMYFUNCTION("""COMPUTED_VALUE"""),"0,0,0,1,0,0")</f>
        <v>0,0,0,1,0,0</v>
      </c>
      <c r="V58" s="6" t="str">
        <f>IFERROR(__xludf.DUMMYFUNCTION("""COMPUTED_VALUE"""),"0,0,0,0,0,1")</f>
        <v>0,0,0,0,0,1</v>
      </c>
      <c r="W58" s="6" t="str">
        <f>IFERROR(__xludf.DUMMYFUNCTION("""COMPUTED_VALUE"""),"1iE_5-GNdmwZ6YBR19NoryqpaMeSaQNwX")</f>
        <v>1iE_5-GNdmwZ6YBR19NoryqpaMeSaQNwX</v>
      </c>
    </row>
    <row r="59">
      <c r="A59" s="6">
        <f>IFERROR(__xludf.DUMMYFUNCTION("""COMPUTED_VALUE"""),58.0)</f>
        <v>58</v>
      </c>
      <c r="B59" s="6" t="str">
        <f>IFERROR(__xludf.DUMMYFUNCTION("""COMPUTED_VALUE"""),"Irvington")</f>
        <v>Irvington</v>
      </c>
      <c r="C59" s="6" t="str">
        <f>IFERROR(__xludf.DUMMYFUNCTION("""COMPUTED_VALUE"""),"Amador Valley A")</f>
        <v>Amador Valley A</v>
      </c>
      <c r="D59" s="6">
        <f>IFERROR(__xludf.DUMMYFUNCTION("""COMPUTED_VALUE"""),4.0)</f>
        <v>4</v>
      </c>
      <c r="E59" s="6" t="str">
        <f>IFERROR(__xludf.DUMMYFUNCTION("""COMPUTED_VALUE"""),"Round Robin")</f>
        <v>Round Robin</v>
      </c>
      <c r="F59" s="6" t="str">
        <f>IFERROR(__xludf.DUMMYFUNCTION("""COMPUTED_VALUE"""),"B")</f>
        <v>B</v>
      </c>
      <c r="G59" s="6" t="str">
        <f>IFERROR(__xludf.DUMMYFUNCTION("""COMPUTED_VALUE"""),"DWINELLE 105")</f>
        <v>DWINELLE 105</v>
      </c>
      <c r="H59" s="6" t="str">
        <f>IFERROR(__xludf.DUMMYFUNCTION("""COMPUTED_VALUE"""),"1hIDDa5xJi-hdSDVPevFVAG1PXw-jEA2Yhbq1hnTF898")</f>
        <v>1hIDDa5xJi-hdSDVPevFVAG1PXw-jEA2Yhbq1hnTF898</v>
      </c>
      <c r="I59" s="16" t="str">
        <f>IFERROR(__xludf.DUMMYFUNCTION("""COMPUTED_VALUE"""),"https://docs.google.com/spreadsheets/d/1hIDDa5xJi-hdSDVPevFVAG1PXw-jEA2Yhbq1hnTF898")</f>
        <v>https://docs.google.com/spreadsheets/d/1hIDDa5xJi-hdSDVPevFVAG1PXw-jEA2Yhbq1hnTF898</v>
      </c>
      <c r="J59" s="6" t="b">
        <f>IFERROR(__xludf.DUMMYFUNCTION("""COMPUTED_VALUE"""),TRUE)</f>
        <v>1</v>
      </c>
      <c r="K59" s="6">
        <f>IFERROR(__xludf.DUMMYFUNCTION("""COMPUTED_VALUE"""),16.0)</f>
        <v>16</v>
      </c>
      <c r="L59" s="6">
        <f>IFERROR(__xludf.DUMMYFUNCTION("""COMPUTED_VALUE"""),138.0)</f>
        <v>138</v>
      </c>
      <c r="M59" s="6" t="str">
        <f>IFERROR(__xludf.DUMMYFUNCTION("""COMPUTED_VALUE"""),"0,0,0,0,0,1")</f>
        <v>0,0,0,0,0,1</v>
      </c>
      <c r="N59" s="6" t="str">
        <f>IFERROR(__xludf.DUMMYFUNCTION("""COMPUTED_VALUE"""),"0,0,0,0,0,0")</f>
        <v>0,0,0,0,0,0</v>
      </c>
      <c r="O59" s="6" t="str">
        <f>IFERROR(__xludf.DUMMYFUNCTION("""COMPUTED_VALUE"""),"0,0,0,0,0,1")</f>
        <v>0,0,0,0,0,1</v>
      </c>
      <c r="P59" s="6" t="str">
        <f>IFERROR(__xludf.DUMMYFUNCTION("""COMPUTED_VALUE"""),"0,0,0,0,-1,0")</f>
        <v>0,0,0,0,-1,0</v>
      </c>
      <c r="Q59" s="6" t="str">
        <f>IFERROR(__xludf.DUMMYFUNCTION("""COMPUTED_VALUE"""),"0,0,0,0,0,0")</f>
        <v>0,0,0,0,0,0</v>
      </c>
      <c r="R59" s="6" t="str">
        <f>IFERROR(__xludf.DUMMYFUNCTION("""COMPUTED_VALUE"""),"0,0,0,1,0,0")</f>
        <v>0,0,0,1,0,0</v>
      </c>
      <c r="S59" s="6" t="str">
        <f>IFERROR(__xludf.DUMMYFUNCTION("""COMPUTED_VALUE"""),"4,1,1.5,2.5,0,0")</f>
        <v>4,1,1.5,2.5,0,0</v>
      </c>
      <c r="T59" s="6" t="str">
        <f>IFERROR(__xludf.DUMMYFUNCTION("""COMPUTED_VALUE"""),"0,0,1,0,0,0")</f>
        <v>0,0,1,0,0,0</v>
      </c>
      <c r="U59" s="6" t="str">
        <f>IFERROR(__xludf.DUMMYFUNCTION("""COMPUTED_VALUE"""),"1.5,0,0,0,2.5,2.5")</f>
        <v>1.5,0,0,0,2.5,2.5</v>
      </c>
      <c r="V59" s="6" t="str">
        <f>IFERROR(__xludf.DUMMYFUNCTION("""COMPUTED_VALUE"""),"0,0,0,0,0,0")</f>
        <v>0,0,0,0,0,0</v>
      </c>
      <c r="W59" s="6" t="str">
        <f>IFERROR(__xludf.DUMMYFUNCTION("""COMPUTED_VALUE"""),"1fnjyoidcVE3Yg85FHmTdFy4Wd_jCu9Cr")</f>
        <v>1fnjyoidcVE3Yg85FHmTdFy4Wd_jCu9Cr</v>
      </c>
    </row>
    <row r="60">
      <c r="A60" s="6">
        <f>IFERROR(__xludf.DUMMYFUNCTION("""COMPUTED_VALUE"""),59.0)</f>
        <v>59</v>
      </c>
      <c r="B60" s="6" t="str">
        <f>IFERROR(__xludf.DUMMYFUNCTION("""COMPUTED_VALUE"""),"California B")</f>
        <v>California B</v>
      </c>
      <c r="C60" s="6" t="str">
        <f>IFERROR(__xludf.DUMMYFUNCTION("""COMPUTED_VALUE"""),"Foothill B")</f>
        <v>Foothill B</v>
      </c>
      <c r="D60" s="6">
        <f>IFERROR(__xludf.DUMMYFUNCTION("""COMPUTED_VALUE"""),4.0)</f>
        <v>4</v>
      </c>
      <c r="E60" s="6" t="str">
        <f>IFERROR(__xludf.DUMMYFUNCTION("""COMPUTED_VALUE"""),"Round Robin")</f>
        <v>Round Robin</v>
      </c>
      <c r="F60" s="6" t="str">
        <f>IFERROR(__xludf.DUMMYFUNCTION("""COMPUTED_VALUE"""),"B")</f>
        <v>B</v>
      </c>
      <c r="G60" s="6" t="str">
        <f>IFERROR(__xludf.DUMMYFUNCTION("""COMPUTED_VALUE"""),"DWINELLE 106")</f>
        <v>DWINELLE 106</v>
      </c>
      <c r="H60" s="6" t="str">
        <f>IFERROR(__xludf.DUMMYFUNCTION("""COMPUTED_VALUE"""),"16ckLtRWgW1Oan39tMvIg-dbKTU_RszQB7KSmEtGvN2c")</f>
        <v>16ckLtRWgW1Oan39tMvIg-dbKTU_RszQB7KSmEtGvN2c</v>
      </c>
      <c r="I60" s="16" t="str">
        <f>IFERROR(__xludf.DUMMYFUNCTION("""COMPUTED_VALUE"""),"https://docs.google.com/spreadsheets/d/16ckLtRWgW1Oan39tMvIg-dbKTU_RszQB7KSmEtGvN2c")</f>
        <v>https://docs.google.com/spreadsheets/d/16ckLtRWgW1Oan39tMvIg-dbKTU_RszQB7KSmEtGvN2c</v>
      </c>
      <c r="J60" s="6" t="b">
        <f>IFERROR(__xludf.DUMMYFUNCTION("""COMPUTED_VALUE"""),TRUE)</f>
        <v>1</v>
      </c>
      <c r="K60" s="6">
        <f>IFERROR(__xludf.DUMMYFUNCTION("""COMPUTED_VALUE"""),34.0)</f>
        <v>34</v>
      </c>
      <c r="L60" s="6">
        <f>IFERROR(__xludf.DUMMYFUNCTION("""COMPUTED_VALUE"""),62.0)</f>
        <v>62</v>
      </c>
      <c r="M60" s="6" t="str">
        <f>IFERROR(__xludf.DUMMYFUNCTION("""COMPUTED_VALUE"""),"#N/A")</f>
        <v>#N/A</v>
      </c>
      <c r="N60" s="6" t="str">
        <f>IFERROR(__xludf.DUMMYFUNCTION("""COMPUTED_VALUE"""),"0,0,0,0,0,0")</f>
        <v>0,0,0,0,0,0</v>
      </c>
      <c r="O60" s="6" t="str">
        <f>IFERROR(__xludf.DUMMYFUNCTION("""COMPUTED_VALUE"""),"1.5,0,0,0,0,0")</f>
        <v>1.5,0,0,0,0,0</v>
      </c>
      <c r="P60" s="6" t="str">
        <f>IFERROR(__xludf.DUMMYFUNCTION("""COMPUTED_VALUE"""),"0,1,1,1,0,0")</f>
        <v>0,1,1,1,0,0</v>
      </c>
      <c r="Q60" s="6" t="str">
        <f>IFERROR(__xludf.DUMMYFUNCTION("""COMPUTED_VALUE"""),"1,0,0,0,0,0")</f>
        <v>1,0,0,0,0,0</v>
      </c>
      <c r="R60" s="6" t="str">
        <f>IFERROR(__xludf.DUMMYFUNCTION("""COMPUTED_VALUE"""),"1.5,2,0,0,0,0")</f>
        <v>1.5,2,0,0,0,0</v>
      </c>
      <c r="S60" s="6" t="str">
        <f>IFERROR(__xludf.DUMMYFUNCTION("""COMPUTED_VALUE"""),"0,0,1,0,0,0")</f>
        <v>0,0,1,0,0,0</v>
      </c>
      <c r="T60" s="6" t="str">
        <f>IFERROR(__xludf.DUMMYFUNCTION("""COMPUTED_VALUE"""),"0,0,0,1.5,0,0")</f>
        <v>0,0,0,1.5,0,0</v>
      </c>
      <c r="U60" s="6" t="str">
        <f>IFERROR(__xludf.DUMMYFUNCTION("""COMPUTED_VALUE"""),"0,0,0,0,0,0")</f>
        <v>0,0,0,0,0,0</v>
      </c>
      <c r="V60" s="6" t="str">
        <f>IFERROR(__xludf.DUMMYFUNCTION("""COMPUTED_VALUE"""),"0,0,0,0,1.5,1")</f>
        <v>0,0,0,0,1.5,1</v>
      </c>
      <c r="W60" s="6" t="str">
        <f>IFERROR(__xludf.DUMMYFUNCTION("""COMPUTED_VALUE"""),"1ZOcpmnz6rsr8oUEZv7nnQmus2y0zN2kl")</f>
        <v>1ZOcpmnz6rsr8oUEZv7nnQmus2y0zN2kl</v>
      </c>
    </row>
    <row r="61">
      <c r="A61" s="6">
        <f>IFERROR(__xludf.DUMMYFUNCTION("""COMPUTED_VALUE"""),60.0)</f>
        <v>60</v>
      </c>
      <c r="B61" s="6" t="str">
        <f>IFERROR(__xludf.DUMMYFUNCTION("""COMPUTED_VALUE"""),"Monta Vista A")</f>
        <v>Monta Vista A</v>
      </c>
      <c r="C61" s="6" t="str">
        <f>IFERROR(__xludf.DUMMYFUNCTION("""COMPUTED_VALUE"""),"North Hollywood")</f>
        <v>North Hollywood</v>
      </c>
      <c r="D61" s="6">
        <f>IFERROR(__xludf.DUMMYFUNCTION("""COMPUTED_VALUE"""),4.0)</f>
        <v>4</v>
      </c>
      <c r="E61" s="6" t="str">
        <f>IFERROR(__xludf.DUMMYFUNCTION("""COMPUTED_VALUE"""),"Round Robin")</f>
        <v>Round Robin</v>
      </c>
      <c r="F61" s="6" t="str">
        <f>IFERROR(__xludf.DUMMYFUNCTION("""COMPUTED_VALUE"""),"B")</f>
        <v>B</v>
      </c>
      <c r="G61" s="6" t="str">
        <f>IFERROR(__xludf.DUMMYFUNCTION("""COMPUTED_VALUE"""),"DWINELLE 109")</f>
        <v>DWINELLE 109</v>
      </c>
      <c r="H61" s="6" t="str">
        <f>IFERROR(__xludf.DUMMYFUNCTION("""COMPUTED_VALUE"""),"1_MddAIWUuQf3ApW4wmqPwwfcHyvrQRf5UoEhbDX2new")</f>
        <v>1_MddAIWUuQf3ApW4wmqPwwfcHyvrQRf5UoEhbDX2new</v>
      </c>
      <c r="I61" s="16" t="str">
        <f>IFERROR(__xludf.DUMMYFUNCTION("""COMPUTED_VALUE"""),"https://docs.google.com/spreadsheets/d/1_MddAIWUuQf3ApW4wmqPwwfcHyvrQRf5UoEhbDX2new")</f>
        <v>https://docs.google.com/spreadsheets/d/1_MddAIWUuQf3ApW4wmqPwwfcHyvrQRf5UoEhbDX2new</v>
      </c>
      <c r="J61" s="6" t="b">
        <f>IFERROR(__xludf.DUMMYFUNCTION("""COMPUTED_VALUE"""),TRUE)</f>
        <v>1</v>
      </c>
      <c r="K61" s="6">
        <f>IFERROR(__xludf.DUMMYFUNCTION("""COMPUTED_VALUE"""),60.0)</f>
        <v>60</v>
      </c>
      <c r="L61" s="6">
        <f>IFERROR(__xludf.DUMMYFUNCTION("""COMPUTED_VALUE"""),136.0)</f>
        <v>136</v>
      </c>
      <c r="M61" s="6" t="str">
        <f>IFERROR(__xludf.DUMMYFUNCTION("""COMPUTED_VALUE"""),"0,1,0,1.5,0,0")</f>
        <v>0,1,0,1.5,0,0</v>
      </c>
      <c r="N61" s="6" t="str">
        <f>IFERROR(__xludf.DUMMYFUNCTION("""COMPUTED_VALUE"""),"1,-1,1,0,0,2.5")</f>
        <v>1,-1,1,0,0,2.5</v>
      </c>
      <c r="O61" s="6" t="str">
        <f>IFERROR(__xludf.DUMMYFUNCTION("""COMPUTED_VALUE"""),"0,0,0,0,0,0")</f>
        <v>0,0,0,0,0,0</v>
      </c>
      <c r="P61" s="6" t="str">
        <f>IFERROR(__xludf.DUMMYFUNCTION("""COMPUTED_VALUE"""),"0,0,0,0,0,0")</f>
        <v>0,0,0,0,0,0</v>
      </c>
      <c r="Q61" s="6" t="str">
        <f>IFERROR(__xludf.DUMMYFUNCTION("""COMPUTED_VALUE"""),"0,0,0,0,-1,0")</f>
        <v>0,0,0,0,-1,0</v>
      </c>
      <c r="R61" s="6" t="str">
        <f>IFERROR(__xludf.DUMMYFUNCTION("""COMPUTED_VALUE"""),"0,0,0,0,4,0")</f>
        <v>0,0,0,0,4,0</v>
      </c>
      <c r="S61" s="6" t="str">
        <f>IFERROR(__xludf.DUMMYFUNCTION("""COMPUTED_VALUE"""),"0,0.5,-0.5,1.5,0,1.5")</f>
        <v>0,0.5,-0.5,1.5,0,1.5</v>
      </c>
      <c r="T61" s="6" t="str">
        <f>IFERROR(__xludf.DUMMYFUNCTION("""COMPUTED_VALUE"""),"0,0,0,0,1.5,0")</f>
        <v>0,0,0,0,1.5,0</v>
      </c>
      <c r="U61" s="6" t="str">
        <f>IFERROR(__xludf.DUMMYFUNCTION("""COMPUTED_VALUE"""),"3,0,1.5,0.5,0,0")</f>
        <v>3,0,1.5,0.5,0,0</v>
      </c>
      <c r="V61" s="6" t="str">
        <f>IFERROR(__xludf.DUMMYFUNCTION("""COMPUTED_VALUE"""),",,,,,")</f>
        <v>,,,,,</v>
      </c>
      <c r="W61" s="6" t="str">
        <f>IFERROR(__xludf.DUMMYFUNCTION("""COMPUTED_VALUE"""),"1ivbxAGj__h08xVy2FRbo7iHDWDbLgwNl")</f>
        <v>1ivbxAGj__h08xVy2FRbo7iHDWDbLgwNl</v>
      </c>
    </row>
    <row r="62">
      <c r="A62" s="6">
        <f>IFERROR(__xludf.DUMMYFUNCTION("""COMPUTED_VALUE"""),61.0)</f>
        <v>61</v>
      </c>
      <c r="B62" s="6" t="str">
        <f>IFERROR(__xludf.DUMMYFUNCTION("""COMPUTED_VALUE"""),"Mira Loma A")</f>
        <v>Mira Loma A</v>
      </c>
      <c r="C62" s="6" t="str">
        <f>IFERROR(__xludf.DUMMYFUNCTION("""COMPUTED_VALUE"""),"Archbishop Mitty B")</f>
        <v>Archbishop Mitty B</v>
      </c>
      <c r="D62" s="6">
        <f>IFERROR(__xludf.DUMMYFUNCTION("""COMPUTED_VALUE"""),4.0)</f>
        <v>4</v>
      </c>
      <c r="E62" s="6" t="str">
        <f>IFERROR(__xludf.DUMMYFUNCTION("""COMPUTED_VALUE"""),"Round Robin")</f>
        <v>Round Robin</v>
      </c>
      <c r="F62" s="6" t="str">
        <f>IFERROR(__xludf.DUMMYFUNCTION("""COMPUTED_VALUE"""),"C")</f>
        <v>C</v>
      </c>
      <c r="G62" s="6" t="str">
        <f>IFERROR(__xludf.DUMMYFUNCTION("""COMPUTED_VALUE"""),"DWINELLE 179")</f>
        <v>DWINELLE 179</v>
      </c>
      <c r="H62" s="6" t="str">
        <f>IFERROR(__xludf.DUMMYFUNCTION("""COMPUTED_VALUE"""),"1sy3DZSPxHrm25bmUbnxUv5zrlgT0kMG1gSQxAEjLQqM")</f>
        <v>1sy3DZSPxHrm25bmUbnxUv5zrlgT0kMG1gSQxAEjLQqM</v>
      </c>
      <c r="I62" s="16" t="str">
        <f>IFERROR(__xludf.DUMMYFUNCTION("""COMPUTED_VALUE"""),"https://docs.google.com/spreadsheets/d/1sy3DZSPxHrm25bmUbnxUv5zrlgT0kMG1gSQxAEjLQqM")</f>
        <v>https://docs.google.com/spreadsheets/d/1sy3DZSPxHrm25bmUbnxUv5zrlgT0kMG1gSQxAEjLQqM</v>
      </c>
      <c r="J62" s="6" t="b">
        <f>IFERROR(__xludf.DUMMYFUNCTION("""COMPUTED_VALUE"""),TRUE)</f>
        <v>1</v>
      </c>
      <c r="K62" s="6">
        <f>IFERROR(__xludf.DUMMYFUNCTION("""COMPUTED_VALUE"""),146.0)</f>
        <v>146</v>
      </c>
      <c r="L62" s="6">
        <f>IFERROR(__xludf.DUMMYFUNCTION("""COMPUTED_VALUE"""),4.0)</f>
        <v>4</v>
      </c>
      <c r="M62" s="6" t="str">
        <f>IFERROR(__xludf.DUMMYFUNCTION("""COMPUTED_VALUE"""),"0,0,1,0,1.5,4.5")</f>
        <v>0,0,1,0,1.5,4.5</v>
      </c>
      <c r="N62" s="6" t="str">
        <f>IFERROR(__xludf.DUMMYFUNCTION("""COMPUTED_VALUE"""),"1.5,1.5,1.5,0,0,0")</f>
        <v>1.5,1.5,1.5,0,0,0</v>
      </c>
      <c r="O62" s="6" t="str">
        <f>IFERROR(__xludf.DUMMYFUNCTION("""COMPUTED_VALUE"""),"0,1.5,0,1,0,0")</f>
        <v>0,1.5,0,1,0,0</v>
      </c>
      <c r="P62" s="6" t="str">
        <f>IFERROR(__xludf.DUMMYFUNCTION("""COMPUTED_VALUE"""),"0,0,1,0,0,0")</f>
        <v>0,0,1,0,0,0</v>
      </c>
      <c r="Q62" s="6" t="str">
        <f>IFERROR(__xludf.DUMMYFUNCTION("""COMPUTED_VALUE"""),"2.5,1.5,1.5,1.5,2.5,0")</f>
        <v>2.5,1.5,1.5,1.5,2.5,0</v>
      </c>
      <c r="R62" s="6" t="str">
        <f>IFERROR(__xludf.DUMMYFUNCTION("""COMPUTED_VALUE"""),"0,0,0,0,0,0")</f>
        <v>0,0,0,0,0,0</v>
      </c>
      <c r="S62" s="6" t="str">
        <f>IFERROR(__xludf.DUMMYFUNCTION("""COMPUTED_VALUE"""),"0,0,0,0,1,0")</f>
        <v>0,0,0,0,1,0</v>
      </c>
      <c r="T62" s="6" t="str">
        <f>IFERROR(__xludf.DUMMYFUNCTION("""COMPUTED_VALUE"""),"0,0,0,0,0,0")</f>
        <v>0,0,0,0,0,0</v>
      </c>
      <c r="U62" s="6" t="str">
        <f>IFERROR(__xludf.DUMMYFUNCTION("""COMPUTED_VALUE"""),"0,0,0,0,0,0")</f>
        <v>0,0,0,0,0,0</v>
      </c>
      <c r="V62" s="6" t="str">
        <f>IFERROR(__xludf.DUMMYFUNCTION("""COMPUTED_VALUE"""),",,,,,")</f>
        <v>,,,,,</v>
      </c>
      <c r="W62" s="6" t="str">
        <f>IFERROR(__xludf.DUMMYFUNCTION("""COMPUTED_VALUE"""),"1VhY5duZynZljzs0fA-JdTCNRRkzQRGTm")</f>
        <v>1VhY5duZynZljzs0fA-JdTCNRRkzQRGTm</v>
      </c>
    </row>
    <row r="63">
      <c r="A63" s="6">
        <f>IFERROR(__xludf.DUMMYFUNCTION("""COMPUTED_VALUE"""),62.0)</f>
        <v>62</v>
      </c>
      <c r="B63" s="6" t="str">
        <f>IFERROR(__xludf.DUMMYFUNCTION("""COMPUTED_VALUE"""),"Cupertino B")</f>
        <v>Cupertino B</v>
      </c>
      <c r="C63" s="6" t="str">
        <f>IFERROR(__xludf.DUMMYFUNCTION("""COMPUTED_VALUE"""),"Canyon Crest A")</f>
        <v>Canyon Crest A</v>
      </c>
      <c r="D63" s="6">
        <f>IFERROR(__xludf.DUMMYFUNCTION("""COMPUTED_VALUE"""),4.0)</f>
        <v>4</v>
      </c>
      <c r="E63" s="6" t="str">
        <f>IFERROR(__xludf.DUMMYFUNCTION("""COMPUTED_VALUE"""),"Round Robin")</f>
        <v>Round Robin</v>
      </c>
      <c r="F63" s="6" t="str">
        <f>IFERROR(__xludf.DUMMYFUNCTION("""COMPUTED_VALUE"""),"C")</f>
        <v>C</v>
      </c>
      <c r="G63" s="6" t="str">
        <f>IFERROR(__xludf.DUMMYFUNCTION("""COMPUTED_VALUE"""),"DWINELLE 182")</f>
        <v>DWINELLE 182</v>
      </c>
      <c r="H63" s="6" t="str">
        <f>IFERROR(__xludf.DUMMYFUNCTION("""COMPUTED_VALUE"""),"1cMqQRri3ONcPrOXzxdzLfvXVYpIcmlnK_Tl8-bKDI8E")</f>
        <v>1cMqQRri3ONcPrOXzxdzLfvXVYpIcmlnK_Tl8-bKDI8E</v>
      </c>
      <c r="I63" s="16" t="str">
        <f>IFERROR(__xludf.DUMMYFUNCTION("""COMPUTED_VALUE"""),"https://docs.google.com/spreadsheets/d/1cMqQRri3ONcPrOXzxdzLfvXVYpIcmlnK_Tl8-bKDI8E")</f>
        <v>https://docs.google.com/spreadsheets/d/1cMqQRri3ONcPrOXzxdzLfvXVYpIcmlnK_Tl8-bKDI8E</v>
      </c>
      <c r="J63" s="6" t="b">
        <f>IFERROR(__xludf.DUMMYFUNCTION("""COMPUTED_VALUE"""),TRUE)</f>
        <v>1</v>
      </c>
      <c r="K63" s="6">
        <f>IFERROR(__xludf.DUMMYFUNCTION("""COMPUTED_VALUE"""),12.0)</f>
        <v>12</v>
      </c>
      <c r="L63" s="6">
        <f>IFERROR(__xludf.DUMMYFUNCTION("""COMPUTED_VALUE"""),154.0)</f>
        <v>154</v>
      </c>
      <c r="M63" s="6" t="str">
        <f>IFERROR(__xludf.DUMMYFUNCTION("""COMPUTED_VALUE"""),"1,0,0,0,0,0")</f>
        <v>1,0,0,0,0,0</v>
      </c>
      <c r="N63" s="6" t="str">
        <f>IFERROR(__xludf.DUMMYFUNCTION("""COMPUTED_VALUE"""),"0,0,0,0,0,0")</f>
        <v>0,0,0,0,0,0</v>
      </c>
      <c r="O63" s="6" t="str">
        <f>IFERROR(__xludf.DUMMYFUNCTION("""COMPUTED_VALUE"""),"0,0,0,0,0,0")</f>
        <v>0,0,0,0,0,0</v>
      </c>
      <c r="P63" s="6" t="str">
        <f>IFERROR(__xludf.DUMMYFUNCTION("""COMPUTED_VALUE"""),"1,0,0,1,0,0")</f>
        <v>1,0,0,1,0,0</v>
      </c>
      <c r="Q63" s="6" t="str">
        <f>IFERROR(__xludf.DUMMYFUNCTION("""COMPUTED_VALUE"""),"0,0,0,0,0,0")</f>
        <v>0,0,0,0,0,0</v>
      </c>
      <c r="R63" s="6" t="str">
        <f>IFERROR(__xludf.DUMMYFUNCTION("""COMPUTED_VALUE"""),"0,2.5,1.5,1,0,1")</f>
        <v>0,2.5,1.5,1,0,1</v>
      </c>
      <c r="S63" s="6" t="str">
        <f>IFERROR(__xludf.DUMMYFUNCTION("""COMPUTED_VALUE"""),"0,0,4,1,0,0")</f>
        <v>0,0,4,1,0,0</v>
      </c>
      <c r="T63" s="6" t="str">
        <f>IFERROR(__xludf.DUMMYFUNCTION("""COMPUTED_VALUE"""),"1,3,0,0,0,0")</f>
        <v>1,3,0,0,0,0</v>
      </c>
      <c r="U63" s="6" t="str">
        <f>IFERROR(__xludf.DUMMYFUNCTION("""COMPUTED_VALUE"""),"0,0,0,0,5.5,0")</f>
        <v>0,0,0,0,5.5,0</v>
      </c>
      <c r="V63" s="6" t="str">
        <f>IFERROR(__xludf.DUMMYFUNCTION("""COMPUTED_VALUE"""),",,,,,")</f>
        <v>,,,,,</v>
      </c>
      <c r="W63" s="6" t="str">
        <f>IFERROR(__xludf.DUMMYFUNCTION("""COMPUTED_VALUE"""),"1ZWlRd0tVUxuNmZQwbNvEW7lU7lmJQorm")</f>
        <v>1ZWlRd0tVUxuNmZQwbNvEW7lU7lmJQorm</v>
      </c>
    </row>
    <row r="64">
      <c r="A64" s="6">
        <f>IFERROR(__xludf.DUMMYFUNCTION("""COMPUTED_VALUE"""),63.0)</f>
        <v>63</v>
      </c>
      <c r="B64" s="6" t="str">
        <f>IFERROR(__xludf.DUMMYFUNCTION("""COMPUTED_VALUE"""),"Amador Valley B")</f>
        <v>Amador Valley B</v>
      </c>
      <c r="C64" s="6" t="str">
        <f>IFERROR(__xludf.DUMMYFUNCTION("""COMPUTED_VALUE"""),"Lynbrook B")</f>
        <v>Lynbrook B</v>
      </c>
      <c r="D64" s="6">
        <f>IFERROR(__xludf.DUMMYFUNCTION("""COMPUTED_VALUE"""),4.0)</f>
        <v>4</v>
      </c>
      <c r="E64" s="6" t="str">
        <f>IFERROR(__xludf.DUMMYFUNCTION("""COMPUTED_VALUE"""),"Round Robin")</f>
        <v>Round Robin</v>
      </c>
      <c r="F64" s="6" t="str">
        <f>IFERROR(__xludf.DUMMYFUNCTION("""COMPUTED_VALUE"""),"C")</f>
        <v>C</v>
      </c>
      <c r="G64" s="6" t="str">
        <f>IFERROR(__xludf.DUMMYFUNCTION("""COMPUTED_VALUE"""),"DWINELLE 183")</f>
        <v>DWINELLE 183</v>
      </c>
      <c r="H64" s="6" t="str">
        <f>IFERROR(__xludf.DUMMYFUNCTION("""COMPUTED_VALUE"""),"1yujQrqFP9_F7MdieQreZmf82hNWkPywC6p90aocO27E")</f>
        <v>1yujQrqFP9_F7MdieQreZmf82hNWkPywC6p90aocO27E</v>
      </c>
      <c r="I64" s="16" t="str">
        <f>IFERROR(__xludf.DUMMYFUNCTION("""COMPUTED_VALUE"""),"https://docs.google.com/spreadsheets/d/1yujQrqFP9_F7MdieQreZmf82hNWkPywC6p90aocO27E")</f>
        <v>https://docs.google.com/spreadsheets/d/1yujQrqFP9_F7MdieQreZmf82hNWkPywC6p90aocO27E</v>
      </c>
      <c r="J64" s="6" t="b">
        <f>IFERROR(__xludf.DUMMYFUNCTION("""COMPUTED_VALUE"""),TRUE)</f>
        <v>1</v>
      </c>
      <c r="K64" s="6">
        <f>IFERROR(__xludf.DUMMYFUNCTION("""COMPUTED_VALUE"""),34.0)</f>
        <v>34</v>
      </c>
      <c r="L64" s="6">
        <f>IFERROR(__xludf.DUMMYFUNCTION("""COMPUTED_VALUE"""),70.0)</f>
        <v>70</v>
      </c>
      <c r="M64" s="6" t="str">
        <f>IFERROR(__xludf.DUMMYFUNCTION("""COMPUTED_VALUE"""),"0,0,0,0,0,0")</f>
        <v>0,0,0,0,0,0</v>
      </c>
      <c r="N64" s="6" t="str">
        <f>IFERROR(__xludf.DUMMYFUNCTION("""COMPUTED_VALUE"""),"0,1,0,1,0,0")</f>
        <v>0,1,0,1,0,0</v>
      </c>
      <c r="O64" s="6" t="str">
        <f>IFERROR(__xludf.DUMMYFUNCTION("""COMPUTED_VALUE"""),"1,0,0,0,0,0")</f>
        <v>1,0,0,0,0,0</v>
      </c>
      <c r="P64" s="6" t="str">
        <f>IFERROR(__xludf.DUMMYFUNCTION("""COMPUTED_VALUE"""),"0,0,0,0,1.5,0")</f>
        <v>0,0,0,0,1.5,0</v>
      </c>
      <c r="Q64" s="6" t="str">
        <f>IFERROR(__xludf.DUMMYFUNCTION("""COMPUTED_VALUE"""),",,,,,")</f>
        <v>,,,,,</v>
      </c>
      <c r="R64" s="6" t="str">
        <f>IFERROR(__xludf.DUMMYFUNCTION("""COMPUTED_VALUE"""),"0,0,0,0,0,0")</f>
        <v>0,0,0,0,0,0</v>
      </c>
      <c r="S64" s="6" t="str">
        <f>IFERROR(__xludf.DUMMYFUNCTION("""COMPUTED_VALUE"""),"2.5,1,1,0,0,0")</f>
        <v>2.5,1,1,0,0,0</v>
      </c>
      <c r="T64" s="6" t="str">
        <f>IFERROR(__xludf.DUMMYFUNCTION("""COMPUTED_VALUE"""),"0,0,0,1,2.5,1")</f>
        <v>0,0,0,1,2.5,1</v>
      </c>
      <c r="U64" s="6" t="str">
        <f>IFERROR(__xludf.DUMMYFUNCTION("""COMPUTED_VALUE"""),"0,0,1.5,0,-1,0")</f>
        <v>0,0,1.5,0,-1,0</v>
      </c>
      <c r="V64" s="6" t="str">
        <f>IFERROR(__xludf.DUMMYFUNCTION("""COMPUTED_VALUE"""),"0,0,1,-1,0,0")</f>
        <v>0,0,1,-1,0,0</v>
      </c>
      <c r="W64" s="6" t="str">
        <f>IFERROR(__xludf.DUMMYFUNCTION("""COMPUTED_VALUE"""),"1kCYgKAw3Bdw0Zvfxh3KTs44KLK8OXdlZ")</f>
        <v>1kCYgKAw3Bdw0Zvfxh3KTs44KLK8OXdlZ</v>
      </c>
    </row>
    <row r="65">
      <c r="A65" s="6">
        <f>IFERROR(__xludf.DUMMYFUNCTION("""COMPUTED_VALUE"""),64.0)</f>
        <v>64</v>
      </c>
      <c r="B65" s="6" t="str">
        <f>IFERROR(__xludf.DUMMYFUNCTION("""COMPUTED_VALUE"""),"Palo Alto A")</f>
        <v>Palo Alto A</v>
      </c>
      <c r="C65" s="6" t="str">
        <f>IFERROR(__xludf.DUMMYFUNCTION("""COMPUTED_VALUE"""),"Arnold O. Beckman A")</f>
        <v>Arnold O. Beckman A</v>
      </c>
      <c r="D65" s="6">
        <f>IFERROR(__xludf.DUMMYFUNCTION("""COMPUTED_VALUE"""),4.0)</f>
        <v>4</v>
      </c>
      <c r="E65" s="6" t="str">
        <f>IFERROR(__xludf.DUMMYFUNCTION("""COMPUTED_VALUE"""),"Round Robin")</f>
        <v>Round Robin</v>
      </c>
      <c r="F65" s="6" t="str">
        <f>IFERROR(__xludf.DUMMYFUNCTION("""COMPUTED_VALUE"""),"D")</f>
        <v>D</v>
      </c>
      <c r="G65" s="6" t="str">
        <f>IFERROR(__xludf.DUMMYFUNCTION("""COMPUTED_VALUE"""),"DWINELLE 189")</f>
        <v>DWINELLE 189</v>
      </c>
      <c r="H65" s="6" t="str">
        <f>IFERROR(__xludf.DUMMYFUNCTION("""COMPUTED_VALUE"""),"1dyQMT-PdpNhTDLNybHolH89iGK8cV0_Y0lBpM__WYDA")</f>
        <v>1dyQMT-PdpNhTDLNybHolH89iGK8cV0_Y0lBpM__WYDA</v>
      </c>
      <c r="I65" s="16" t="str">
        <f>IFERROR(__xludf.DUMMYFUNCTION("""COMPUTED_VALUE"""),"https://docs.google.com/spreadsheets/d/1dyQMT-PdpNhTDLNybHolH89iGK8cV0_Y0lBpM__WYDA")</f>
        <v>https://docs.google.com/spreadsheets/d/1dyQMT-PdpNhTDLNybHolH89iGK8cV0_Y0lBpM__WYDA</v>
      </c>
      <c r="J65" s="6" t="b">
        <f>IFERROR(__xludf.DUMMYFUNCTION("""COMPUTED_VALUE"""),TRUE)</f>
        <v>1</v>
      </c>
      <c r="K65" s="6">
        <f>IFERROR(__xludf.DUMMYFUNCTION("""COMPUTED_VALUE"""),84.0)</f>
        <v>84</v>
      </c>
      <c r="L65" s="6">
        <f>IFERROR(__xludf.DUMMYFUNCTION("""COMPUTED_VALUE"""),30.0)</f>
        <v>30</v>
      </c>
      <c r="M65" s="6" t="str">
        <f>IFERROR(__xludf.DUMMYFUNCTION("""COMPUTED_VALUE"""),"1,3,2.5,0,1.5,2.5")</f>
        <v>1,3,2.5,0,1.5,2.5</v>
      </c>
      <c r="N65" s="6" t="str">
        <f>IFERROR(__xludf.DUMMYFUNCTION("""COMPUTED_VALUE"""),"0,0,0,1.5,0,0")</f>
        <v>0,0,0,1.5,0,0</v>
      </c>
      <c r="O65" s="6" t="str">
        <f>IFERROR(__xludf.DUMMYFUNCTION("""COMPUTED_VALUE"""),"#N/A")</f>
        <v>#N/A</v>
      </c>
      <c r="P65" s="6" t="str">
        <f>IFERROR(__xludf.DUMMYFUNCTION("""COMPUTED_VALUE"""),"0,0,0,0,0,0")</f>
        <v>0,0,0,0,0,0</v>
      </c>
      <c r="Q65" s="6" t="str">
        <f>IFERROR(__xludf.DUMMYFUNCTION("""COMPUTED_VALUE"""),"0,0,0,0,0,0")</f>
        <v>0,0,0,0,0,0</v>
      </c>
      <c r="R65" s="6" t="str">
        <f>IFERROR(__xludf.DUMMYFUNCTION("""COMPUTED_VALUE"""),"-1,0,0,0,1,0")</f>
        <v>-1,0,0,0,1,0</v>
      </c>
      <c r="S65" s="6" t="str">
        <f>IFERROR(__xludf.DUMMYFUNCTION("""COMPUTED_VALUE"""),"1.5,0,0,0,1,0")</f>
        <v>1.5,0,0,0,1,0</v>
      </c>
      <c r="T65" s="6" t="str">
        <f>IFERROR(__xludf.DUMMYFUNCTION("""COMPUTED_VALUE"""),"0,0,1,1,0,0")</f>
        <v>0,0,1,1,0,0</v>
      </c>
      <c r="U65" s="6" t="str">
        <f>IFERROR(__xludf.DUMMYFUNCTION("""COMPUTED_VALUE"""),"0,0,0,0,0,0")</f>
        <v>0,0,0,0,0,0</v>
      </c>
      <c r="V65" s="6" t="str">
        <f>IFERROR(__xludf.DUMMYFUNCTION("""COMPUTED_VALUE"""),",,,,,")</f>
        <v>,,,,,</v>
      </c>
      <c r="W65" s="6" t="str">
        <f>IFERROR(__xludf.DUMMYFUNCTION("""COMPUTED_VALUE"""),"1SugmEQju9xy78Wv1Su4-qpjFyVCOG0t1")</f>
        <v>1SugmEQju9xy78Wv1Su4-qpjFyVCOG0t1</v>
      </c>
    </row>
    <row r="66">
      <c r="A66" s="6">
        <f>IFERROR(__xludf.DUMMYFUNCTION("""COMPUTED_VALUE"""),65.0)</f>
        <v>65</v>
      </c>
      <c r="B66" s="6" t="str">
        <f>IFERROR(__xludf.DUMMYFUNCTION("""COMPUTED_VALUE"""),"Monta Vista B")</f>
        <v>Monta Vista B</v>
      </c>
      <c r="C66" s="6" t="str">
        <f>IFERROR(__xludf.DUMMYFUNCTION("""COMPUTED_VALUE"""),"BASIS Independent A")</f>
        <v>BASIS Independent A</v>
      </c>
      <c r="D66" s="6">
        <f>IFERROR(__xludf.DUMMYFUNCTION("""COMPUTED_VALUE"""),4.0)</f>
        <v>4</v>
      </c>
      <c r="E66" s="6" t="str">
        <f>IFERROR(__xludf.DUMMYFUNCTION("""COMPUTED_VALUE"""),"Round Robin")</f>
        <v>Round Robin</v>
      </c>
      <c r="F66" s="6" t="str">
        <f>IFERROR(__xludf.DUMMYFUNCTION("""COMPUTED_VALUE"""),"D")</f>
        <v>D</v>
      </c>
      <c r="G66" s="6" t="str">
        <f>IFERROR(__xludf.DUMMYFUNCTION("""COMPUTED_VALUE"""),"DWINELLE 204")</f>
        <v>DWINELLE 204</v>
      </c>
      <c r="H66" s="6" t="str">
        <f>IFERROR(__xludf.DUMMYFUNCTION("""COMPUTED_VALUE"""),"1et755FsCKX63WiZ3VGIVv5iF-0OanzJcZygbsZjRMys")</f>
        <v>1et755FsCKX63WiZ3VGIVv5iF-0OanzJcZygbsZjRMys</v>
      </c>
      <c r="I66" s="16" t="str">
        <f>IFERROR(__xludf.DUMMYFUNCTION("""COMPUTED_VALUE"""),"https://docs.google.com/spreadsheets/d/1et755FsCKX63WiZ3VGIVv5iF-0OanzJcZygbsZjRMys")</f>
        <v>https://docs.google.com/spreadsheets/d/1et755FsCKX63WiZ3VGIVv5iF-0OanzJcZygbsZjRMys</v>
      </c>
      <c r="J66" s="6" t="b">
        <f>IFERROR(__xludf.DUMMYFUNCTION("""COMPUTED_VALUE"""),TRUE)</f>
        <v>1</v>
      </c>
      <c r="K66" s="6">
        <f>IFERROR(__xludf.DUMMYFUNCTION("""COMPUTED_VALUE"""),4.0)</f>
        <v>4</v>
      </c>
      <c r="L66" s="6">
        <f>IFERROR(__xludf.DUMMYFUNCTION("""COMPUTED_VALUE"""),106.0)</f>
        <v>106</v>
      </c>
      <c r="M66" s="6" t="str">
        <f>IFERROR(__xludf.DUMMYFUNCTION("""COMPUTED_VALUE"""),"0,0,0,0,0,0")</f>
        <v>0,0,0,0,0,0</v>
      </c>
      <c r="N66" s="6" t="str">
        <f>IFERROR(__xludf.DUMMYFUNCTION("""COMPUTED_VALUE"""),"0,0,0,0,-1,0")</f>
        <v>0,0,0,0,-1,0</v>
      </c>
      <c r="O66" s="6" t="str">
        <f>IFERROR(__xludf.DUMMYFUNCTION("""COMPUTED_VALUE"""),"#N/A")</f>
        <v>#N/A</v>
      </c>
      <c r="P66" s="6" t="str">
        <f>IFERROR(__xludf.DUMMYFUNCTION("""COMPUTED_VALUE"""),"0,0,0,0,0,0")</f>
        <v>0,0,0,0,0,0</v>
      </c>
      <c r="Q66" s="6" t="str">
        <f>IFERROR(__xludf.DUMMYFUNCTION("""COMPUTED_VALUE"""),"1,0,0,0,0,0")</f>
        <v>1,0,0,0,0,0</v>
      </c>
      <c r="R66" s="6" t="str">
        <f>IFERROR(__xludf.DUMMYFUNCTION("""COMPUTED_VALUE"""),"0,0,0,0,1.5,0")</f>
        <v>0,0,0,0,1.5,0</v>
      </c>
      <c r="S66" s="6" t="str">
        <f>IFERROR(__xludf.DUMMYFUNCTION("""COMPUTED_VALUE"""),"2.5,2,1,1,3,2")</f>
        <v>2.5,2,1,1,3,2</v>
      </c>
      <c r="T66" s="6" t="str">
        <f>IFERROR(__xludf.DUMMYFUNCTION("""COMPUTED_VALUE"""),"0,0,1,0,0,0")</f>
        <v>0,0,1,0,0,0</v>
      </c>
      <c r="U66" s="6" t="str">
        <f>IFERROR(__xludf.DUMMYFUNCTION("""COMPUTED_VALUE"""),"0,0,0,1.5,0,0")</f>
        <v>0,0,0,1.5,0,0</v>
      </c>
      <c r="V66" s="6" t="str">
        <f>IFERROR(__xludf.DUMMYFUNCTION("""COMPUTED_VALUE"""),"#N/A")</f>
        <v>#N/A</v>
      </c>
      <c r="W66" s="6" t="str">
        <f>IFERROR(__xludf.DUMMYFUNCTION("""COMPUTED_VALUE"""),"1Mt9Xksd_TdHkCUOFuH_LJ7Nfrgu0axBx")</f>
        <v>1Mt9Xksd_TdHkCUOFuH_LJ7Nfrgu0axBx</v>
      </c>
    </row>
    <row r="67">
      <c r="A67" s="6">
        <f>IFERROR(__xludf.DUMMYFUNCTION("""COMPUTED_VALUE"""),66.0)</f>
        <v>66</v>
      </c>
      <c r="B67" s="6" t="str">
        <f>IFERROR(__xludf.DUMMYFUNCTION("""COMPUTED_VALUE"""),"Lynbrook A")</f>
        <v>Lynbrook A</v>
      </c>
      <c r="C67" s="6" t="str">
        <f>IFERROR(__xludf.DUMMYFUNCTION("""COMPUTED_VALUE"""),"Canyon Crest B")</f>
        <v>Canyon Crest B</v>
      </c>
      <c r="D67" s="6">
        <f>IFERROR(__xludf.DUMMYFUNCTION("""COMPUTED_VALUE"""),4.0)</f>
        <v>4</v>
      </c>
      <c r="E67" s="6" t="str">
        <f>IFERROR(__xludf.DUMMYFUNCTION("""COMPUTED_VALUE"""),"Round Robin")</f>
        <v>Round Robin</v>
      </c>
      <c r="F67" s="6" t="str">
        <f>IFERROR(__xludf.DUMMYFUNCTION("""COMPUTED_VALUE"""),"D")</f>
        <v>D</v>
      </c>
      <c r="G67" s="6" t="str">
        <f>IFERROR(__xludf.DUMMYFUNCTION("""COMPUTED_VALUE"""),"DWINELLE 206")</f>
        <v>DWINELLE 206</v>
      </c>
      <c r="H67" s="6" t="str">
        <f>IFERROR(__xludf.DUMMYFUNCTION("""COMPUTED_VALUE"""),"1eMyQ8Ot6t7mkE8-dH6yvnM9waK3ktnLXsNq3cZnpFzM")</f>
        <v>1eMyQ8Ot6t7mkE8-dH6yvnM9waK3ktnLXsNq3cZnpFzM</v>
      </c>
      <c r="I67" s="16" t="str">
        <f>IFERROR(__xludf.DUMMYFUNCTION("""COMPUTED_VALUE"""),"https://docs.google.com/spreadsheets/d/1eMyQ8Ot6t7mkE8-dH6yvnM9waK3ktnLXsNq3cZnpFzM")</f>
        <v>https://docs.google.com/spreadsheets/d/1eMyQ8Ot6t7mkE8-dH6yvnM9waK3ktnLXsNq3cZnpFzM</v>
      </c>
      <c r="J67" s="6" t="b">
        <f>IFERROR(__xludf.DUMMYFUNCTION("""COMPUTED_VALUE"""),TRUE)</f>
        <v>1</v>
      </c>
      <c r="K67" s="6">
        <f>IFERROR(__xludf.DUMMYFUNCTION("""COMPUTED_VALUE"""),126.0)</f>
        <v>126</v>
      </c>
      <c r="L67" s="6">
        <f>IFERROR(__xludf.DUMMYFUNCTION("""COMPUTED_VALUE"""),58.0)</f>
        <v>58</v>
      </c>
      <c r="M67" s="6" t="str">
        <f>IFERROR(__xludf.DUMMYFUNCTION("""COMPUTED_VALUE"""),"1.5,0,1.5,-1,0,0")</f>
        <v>1.5,0,1.5,-1,0,0</v>
      </c>
      <c r="N67" s="6" t="str">
        <f>IFERROR(__xludf.DUMMYFUNCTION("""COMPUTED_VALUE"""),"0,1.5,0,0,0.5,2.5")</f>
        <v>0,1.5,0,0,0.5,2.5</v>
      </c>
      <c r="O67" s="6" t="str">
        <f>IFERROR(__xludf.DUMMYFUNCTION("""COMPUTED_VALUE"""),"0,0,3,2.5,0,0")</f>
        <v>0,0,3,2.5,0,0</v>
      </c>
      <c r="P67" s="6" t="str">
        <f>IFERROR(__xludf.DUMMYFUNCTION("""COMPUTED_VALUE"""),"#N/A")</f>
        <v>#N/A</v>
      </c>
      <c r="Q67" s="6" t="str">
        <f>IFERROR(__xludf.DUMMYFUNCTION("""COMPUTED_VALUE"""),"1.5,1.5,0,0,0,1")</f>
        <v>1.5,1.5,0,0,0,1</v>
      </c>
      <c r="R67" s="6" t="str">
        <f>IFERROR(__xludf.DUMMYFUNCTION("""COMPUTED_VALUE"""),"1,0,0,-1,1.5,0")</f>
        <v>1,0,0,-1,1.5,0</v>
      </c>
      <c r="S67" s="6" t="str">
        <f>IFERROR(__xludf.DUMMYFUNCTION("""COMPUTED_VALUE"""),"1,0,0,1.5,0,0")</f>
        <v>1,0,0,1.5,0,0</v>
      </c>
      <c r="T67" s="6" t="str">
        <f>IFERROR(__xludf.DUMMYFUNCTION("""COMPUTED_VALUE"""),"0,0,0,0,1.5,0")</f>
        <v>0,0,0,0,1.5,0</v>
      </c>
      <c r="U67" s="6" t="str">
        <f>IFERROR(__xludf.DUMMYFUNCTION("""COMPUTED_VALUE"""),"0,0,0,0,0,0")</f>
        <v>0,0,0,0,0,0</v>
      </c>
      <c r="V67" s="6" t="str">
        <f>IFERROR(__xludf.DUMMYFUNCTION("""COMPUTED_VALUE"""),",,,,,")</f>
        <v>,,,,,</v>
      </c>
      <c r="W67" s="6" t="str">
        <f>IFERROR(__xludf.DUMMYFUNCTION("""COMPUTED_VALUE"""),"1R8Q7gRcKc9BVAL76Yk7Shtq5EWg_4_YO")</f>
        <v>1R8Q7gRcKc9BVAL76Yk7Shtq5EWg_4_YO</v>
      </c>
    </row>
    <row r="68">
      <c r="A68" s="6">
        <f>IFERROR(__xludf.DUMMYFUNCTION("""COMPUTED_VALUE"""),67.0)</f>
        <v>67</v>
      </c>
      <c r="B68" s="6" t="str">
        <f>IFERROR(__xludf.DUMMYFUNCTION("""COMPUTED_VALUE"""),"California A")</f>
        <v>California A</v>
      </c>
      <c r="C68" s="6" t="str">
        <f>IFERROR(__xludf.DUMMYFUNCTION("""COMPUTED_VALUE"""),"Archbishop Mitty A")</f>
        <v>Archbishop Mitty A</v>
      </c>
      <c r="D68" s="6">
        <f>IFERROR(__xludf.DUMMYFUNCTION("""COMPUTED_VALUE"""),4.0)</f>
        <v>4</v>
      </c>
      <c r="E68" s="6" t="str">
        <f>IFERROR(__xludf.DUMMYFUNCTION("""COMPUTED_VALUE"""),"Round Robin")</f>
        <v>Round Robin</v>
      </c>
      <c r="F68" s="6" t="str">
        <f>IFERROR(__xludf.DUMMYFUNCTION("""COMPUTED_VALUE"""),"E")</f>
        <v>E</v>
      </c>
      <c r="G68" s="6" t="str">
        <f>IFERROR(__xludf.DUMMYFUNCTION("""COMPUTED_VALUE"""),"DWINELLE 209")</f>
        <v>DWINELLE 209</v>
      </c>
      <c r="H68" s="6" t="str">
        <f>IFERROR(__xludf.DUMMYFUNCTION("""COMPUTED_VALUE"""),"1Rtv9Jv0ZV45P5t4iOe0edWcRLezGdad8xa1uk_RqpPY")</f>
        <v>1Rtv9Jv0ZV45P5t4iOe0edWcRLezGdad8xa1uk_RqpPY</v>
      </c>
      <c r="I68" s="16" t="str">
        <f>IFERROR(__xludf.DUMMYFUNCTION("""COMPUTED_VALUE"""),"https://docs.google.com/spreadsheets/d/1Rtv9Jv0ZV45P5t4iOe0edWcRLezGdad8xa1uk_RqpPY")</f>
        <v>https://docs.google.com/spreadsheets/d/1Rtv9Jv0ZV45P5t4iOe0edWcRLezGdad8xa1uk_RqpPY</v>
      </c>
      <c r="J68" s="6" t="b">
        <f>IFERROR(__xludf.DUMMYFUNCTION("""COMPUTED_VALUE"""),TRUE)</f>
        <v>1</v>
      </c>
      <c r="K68" s="6">
        <f>IFERROR(__xludf.DUMMYFUNCTION("""COMPUTED_VALUE"""),44.0)</f>
        <v>44</v>
      </c>
      <c r="L68" s="6">
        <f>IFERROR(__xludf.DUMMYFUNCTION("""COMPUTED_VALUE"""),56.0)</f>
        <v>56</v>
      </c>
      <c r="M68" s="6" t="str">
        <f>IFERROR(__xludf.DUMMYFUNCTION("""COMPUTED_VALUE"""),"0,0,0,0,0,0")</f>
        <v>0,0,0,0,0,0</v>
      </c>
      <c r="N68" s="6" t="str">
        <f>IFERROR(__xludf.DUMMYFUNCTION("""COMPUTED_VALUE"""),"1.5,0,0,0,0,1.5")</f>
        <v>1.5,0,0,0,0,1.5</v>
      </c>
      <c r="O68" s="6" t="str">
        <f>IFERROR(__xludf.DUMMYFUNCTION("""COMPUTED_VALUE"""),"0,0,0,0,0,0")</f>
        <v>0,0,0,0,0,0</v>
      </c>
      <c r="P68" s="6" t="str">
        <f>IFERROR(__xludf.DUMMYFUNCTION("""COMPUTED_VALUE"""),"0,0,0,0,1,0")</f>
        <v>0,0,0,0,1,0</v>
      </c>
      <c r="Q68" s="6" t="str">
        <f>IFERROR(__xludf.DUMMYFUNCTION("""COMPUTED_VALUE"""),"1,0,0,0,0,0")</f>
        <v>1,0,0,0,0,0</v>
      </c>
      <c r="R68" s="6" t="str">
        <f>IFERROR(__xludf.DUMMYFUNCTION("""COMPUTED_VALUE"""),"0,0,2,2.5,0,1")</f>
        <v>0,0,2,2.5,0,1</v>
      </c>
      <c r="S68" s="6" t="str">
        <f>IFERROR(__xludf.DUMMYFUNCTION("""COMPUTED_VALUE"""),"0,0,1,0,-1,0")</f>
        <v>0,0,1,0,-1,0</v>
      </c>
      <c r="T68" s="6" t="str">
        <f>IFERROR(__xludf.DUMMYFUNCTION("""COMPUTED_VALUE"""),"0,0,0,0,1,0")</f>
        <v>0,0,0,0,1,0</v>
      </c>
      <c r="U68" s="6" t="str">
        <f>IFERROR(__xludf.DUMMYFUNCTION("""COMPUTED_VALUE"""),"0,1.5,0,0,0,0")</f>
        <v>0,1.5,0,0,0,0</v>
      </c>
      <c r="V68" s="6" t="str">
        <f>IFERROR(__xludf.DUMMYFUNCTION("""COMPUTED_VALUE"""),",,,,,")</f>
        <v>,,,,,</v>
      </c>
      <c r="W68" s="6" t="str">
        <f>IFERROR(__xludf.DUMMYFUNCTION("""COMPUTED_VALUE"""),"1ceIlOa2fB7WrLZM2CEwKD06R4jlBCRMA")</f>
        <v>1ceIlOa2fB7WrLZM2CEwKD06R4jlBCRMA</v>
      </c>
    </row>
    <row r="69">
      <c r="A69" s="6">
        <f>IFERROR(__xludf.DUMMYFUNCTION("""COMPUTED_VALUE"""),68.0)</f>
        <v>68</v>
      </c>
      <c r="B69" s="6" t="str">
        <f>IFERROR(__xludf.DUMMYFUNCTION("""COMPUTED_VALUE"""),"Mission San Jose A")</f>
        <v>Mission San Jose A</v>
      </c>
      <c r="C69" s="6" t="str">
        <f>IFERROR(__xludf.DUMMYFUNCTION("""COMPUTED_VALUE"""),"Lynbrook C")</f>
        <v>Lynbrook C</v>
      </c>
      <c r="D69" s="6">
        <f>IFERROR(__xludf.DUMMYFUNCTION("""COMPUTED_VALUE"""),4.0)</f>
        <v>4</v>
      </c>
      <c r="E69" s="6" t="str">
        <f>IFERROR(__xludf.DUMMYFUNCTION("""COMPUTED_VALUE"""),"Round Robin")</f>
        <v>Round Robin</v>
      </c>
      <c r="F69" s="6" t="str">
        <f>IFERROR(__xludf.DUMMYFUNCTION("""COMPUTED_VALUE"""),"E")</f>
        <v>E</v>
      </c>
      <c r="G69" s="6" t="str">
        <f>IFERROR(__xludf.DUMMYFUNCTION("""COMPUTED_VALUE"""),"DWINELLE 210")</f>
        <v>DWINELLE 210</v>
      </c>
      <c r="H69" s="6" t="str">
        <f>IFERROR(__xludf.DUMMYFUNCTION("""COMPUTED_VALUE"""),"1_SZPsollYXXSfgKeoM6Rb4wtvBNOlhgf7Eq3KwD_9Fk")</f>
        <v>1_SZPsollYXXSfgKeoM6Rb4wtvBNOlhgf7Eq3KwD_9Fk</v>
      </c>
      <c r="I69" s="16" t="str">
        <f>IFERROR(__xludf.DUMMYFUNCTION("""COMPUTED_VALUE"""),"https://docs.google.com/spreadsheets/d/1_SZPsollYXXSfgKeoM6Rb4wtvBNOlhgf7Eq3KwD_9Fk")</f>
        <v>https://docs.google.com/spreadsheets/d/1_SZPsollYXXSfgKeoM6Rb4wtvBNOlhgf7Eq3KwD_9Fk</v>
      </c>
      <c r="J69" s="6" t="b">
        <f>IFERROR(__xludf.DUMMYFUNCTION("""COMPUTED_VALUE"""),TRUE)</f>
        <v>1</v>
      </c>
      <c r="K69" s="6">
        <f>IFERROR(__xludf.DUMMYFUNCTION("""COMPUTED_VALUE"""),120.0)</f>
        <v>120</v>
      </c>
      <c r="L69" s="6">
        <f>IFERROR(__xludf.DUMMYFUNCTION("""COMPUTED_VALUE"""),70.0)</f>
        <v>70</v>
      </c>
      <c r="M69" s="6" t="str">
        <f>IFERROR(__xludf.DUMMYFUNCTION("""COMPUTED_VALUE"""),"0,0,0,0,1.5,0")</f>
        <v>0,0,0,0,1.5,0</v>
      </c>
      <c r="N69" s="6" t="str">
        <f>IFERROR(__xludf.DUMMYFUNCTION("""COMPUTED_VALUE"""),"0,0,0,0,0,0")</f>
        <v>0,0,0,0,0,0</v>
      </c>
      <c r="O69" s="6" t="str">
        <f>IFERROR(__xludf.DUMMYFUNCTION("""COMPUTED_VALUE"""),"0,0,0,0,0,0")</f>
        <v>0,0,0,0,0,0</v>
      </c>
      <c r="P69" s="6" t="str">
        <f>IFERROR(__xludf.DUMMYFUNCTION("""COMPUTED_VALUE"""),"0,1.5,2.5,1.5,-1,1.5")</f>
        <v>0,1.5,2.5,1.5,-1,1.5</v>
      </c>
      <c r="Q69" s="6" t="str">
        <f>IFERROR(__xludf.DUMMYFUNCTION("""COMPUTED_VALUE"""),"2,0,0,1.5,0,0")</f>
        <v>2,0,0,1.5,0,0</v>
      </c>
      <c r="R69" s="6" t="str">
        <f>IFERROR(__xludf.DUMMYFUNCTION("""COMPUTED_VALUE"""),"#N/A")</f>
        <v>#N/A</v>
      </c>
      <c r="S69" s="6" t="str">
        <f>IFERROR(__xludf.DUMMYFUNCTION("""COMPUTED_VALUE"""),"2.5,0,0,1,0,0")</f>
        <v>2.5,0,0,1,0,0</v>
      </c>
      <c r="T69" s="6" t="str">
        <f>IFERROR(__xludf.DUMMYFUNCTION("""COMPUTED_VALUE"""),"0,0,0,0,3,0")</f>
        <v>0,0,0,0,3,0</v>
      </c>
      <c r="U69" s="6" t="str">
        <f>IFERROR(__xludf.DUMMYFUNCTION("""COMPUTED_VALUE"""),"0,0,0,0,0,0")</f>
        <v>0,0,0,0,0,0</v>
      </c>
      <c r="V69" s="6" t="str">
        <f>IFERROR(__xludf.DUMMYFUNCTION("""COMPUTED_VALUE"""),"0,2,0,0,0,0")</f>
        <v>0,2,0,0,0,0</v>
      </c>
      <c r="W69" s="6" t="str">
        <f>IFERROR(__xludf.DUMMYFUNCTION("""COMPUTED_VALUE"""),"1_FRkf4EGoH4VxGtiBWR6Sp7-OliBOiic")</f>
        <v>1_FRkf4EGoH4VxGtiBWR6Sp7-OliBOiic</v>
      </c>
    </row>
    <row r="70">
      <c r="A70" s="6">
        <f>IFERROR(__xludf.DUMMYFUNCTION("""COMPUTED_VALUE"""),69.0)</f>
        <v>69</v>
      </c>
      <c r="B70" s="6" t="str">
        <f>IFERROR(__xludf.DUMMYFUNCTION("""COMPUTED_VALUE"""),"Abraham Lincoln")</f>
        <v>Abraham Lincoln</v>
      </c>
      <c r="C70" s="6" t="str">
        <f>IFERROR(__xludf.DUMMYFUNCTION("""COMPUTED_VALUE"""),"Saratoga")</f>
        <v>Saratoga</v>
      </c>
      <c r="D70" s="6">
        <f>IFERROR(__xludf.DUMMYFUNCTION("""COMPUTED_VALUE"""),4.0)</f>
        <v>4</v>
      </c>
      <c r="E70" s="6" t="str">
        <f>IFERROR(__xludf.DUMMYFUNCTION("""COMPUTED_VALUE"""),"Round Robin")</f>
        <v>Round Robin</v>
      </c>
      <c r="F70" s="6" t="str">
        <f>IFERROR(__xludf.DUMMYFUNCTION("""COMPUTED_VALUE"""),"E")</f>
        <v>E</v>
      </c>
      <c r="G70" s="6" t="str">
        <f>IFERROR(__xludf.DUMMYFUNCTION("""COMPUTED_VALUE"""),"DWINELLE 215")</f>
        <v>DWINELLE 215</v>
      </c>
      <c r="H70" s="6" t="str">
        <f>IFERROR(__xludf.DUMMYFUNCTION("""COMPUTED_VALUE"""),"1FwttEd6AOZYdF1XCZjI7x29ZoFjzRSgr9Dnv-5JZeTE")</f>
        <v>1FwttEd6AOZYdF1XCZjI7x29ZoFjzRSgr9Dnv-5JZeTE</v>
      </c>
      <c r="I70" s="16" t="str">
        <f>IFERROR(__xludf.DUMMYFUNCTION("""COMPUTED_VALUE"""),"https://docs.google.com/spreadsheets/d/1FwttEd6AOZYdF1XCZjI7x29ZoFjzRSgr9Dnv-5JZeTE")</f>
        <v>https://docs.google.com/spreadsheets/d/1FwttEd6AOZYdF1XCZjI7x29ZoFjzRSgr9Dnv-5JZeTE</v>
      </c>
      <c r="J70" s="6" t="b">
        <f>IFERROR(__xludf.DUMMYFUNCTION("""COMPUTED_VALUE"""),TRUE)</f>
        <v>1</v>
      </c>
      <c r="K70" s="6">
        <f>IFERROR(__xludf.DUMMYFUNCTION("""COMPUTED_VALUE"""),24.0)</f>
        <v>24</v>
      </c>
      <c r="L70" s="6">
        <f>IFERROR(__xludf.DUMMYFUNCTION("""COMPUTED_VALUE"""),64.0)</f>
        <v>64</v>
      </c>
      <c r="M70" s="6" t="str">
        <f>IFERROR(__xludf.DUMMYFUNCTION("""COMPUTED_VALUE"""),"2,0,0,0,0,0")</f>
        <v>2,0,0,0,0,0</v>
      </c>
      <c r="N70" s="6" t="str">
        <f>IFERROR(__xludf.DUMMYFUNCTION("""COMPUTED_VALUE"""),"0,0,0,0,0,0")</f>
        <v>0,0,0,0,0,0</v>
      </c>
      <c r="O70" s="6" t="str">
        <f>IFERROR(__xludf.DUMMYFUNCTION("""COMPUTED_VALUE"""),"0,0,0,0,0,0")</f>
        <v>0,0,0,0,0,0</v>
      </c>
      <c r="P70" s="6" t="str">
        <f>IFERROR(__xludf.DUMMYFUNCTION("""COMPUTED_VALUE"""),"0,1,0,1,0,0")</f>
        <v>0,1,0,1,0,0</v>
      </c>
      <c r="Q70" s="6" t="str">
        <f>IFERROR(__xludf.DUMMYFUNCTION("""COMPUTED_VALUE"""),"0,0,0,0,0,0")</f>
        <v>0,0,0,0,0,0</v>
      </c>
      <c r="R70" s="6" t="str">
        <f>IFERROR(__xludf.DUMMYFUNCTION("""COMPUTED_VALUE"""),"1,1,1,1.5,2.5,1")</f>
        <v>1,1,1,1.5,2.5,1</v>
      </c>
      <c r="S70" s="6" t="str">
        <f>IFERROR(__xludf.DUMMYFUNCTION("""COMPUTED_VALUE"""),"0,0,0,1.5,0,0")</f>
        <v>0,0,0,1.5,0,0</v>
      </c>
      <c r="T70" s="6" t="str">
        <f>IFERROR(__xludf.DUMMYFUNCTION("""COMPUTED_VALUE"""),"0,0,0,0,0,0")</f>
        <v>0,0,0,0,0,0</v>
      </c>
      <c r="U70" s="6" t="str">
        <f>IFERROR(__xludf.DUMMYFUNCTION("""COMPUTED_VALUE"""),"-1,0,0,0,0,1")</f>
        <v>-1,0,0,0,0,1</v>
      </c>
      <c r="V70" s="6" t="str">
        <f>IFERROR(__xludf.DUMMYFUNCTION("""COMPUTED_VALUE"""),"0,0,1,0,0,0")</f>
        <v>0,0,1,0,0,0</v>
      </c>
      <c r="W70" s="6" t="str">
        <f>IFERROR(__xludf.DUMMYFUNCTION("""COMPUTED_VALUE"""),"1Qna1pYsoUSO2n7l_awkcAfh7nAFZQZGE")</f>
        <v>1Qna1pYsoUSO2n7l_awkcAfh7nAFZQZGE</v>
      </c>
    </row>
    <row r="71">
      <c r="A71" s="6">
        <f>IFERROR(__xludf.DUMMYFUNCTION("""COMPUTED_VALUE"""),70.0)</f>
        <v>70</v>
      </c>
      <c r="B71" s="6" t="str">
        <f>IFERROR(__xludf.DUMMYFUNCTION("""COMPUTED_VALUE"""),"Mira Loma B")</f>
        <v>Mira Loma B</v>
      </c>
      <c r="C71" s="6" t="str">
        <f>IFERROR(__xludf.DUMMYFUNCTION("""COMPUTED_VALUE"""),"American A")</f>
        <v>American A</v>
      </c>
      <c r="D71" s="6">
        <f>IFERROR(__xludf.DUMMYFUNCTION("""COMPUTED_VALUE"""),4.0)</f>
        <v>4</v>
      </c>
      <c r="E71" s="6" t="str">
        <f>IFERROR(__xludf.DUMMYFUNCTION("""COMPUTED_VALUE"""),"Round Robin")</f>
        <v>Round Robin</v>
      </c>
      <c r="F71" s="6" t="str">
        <f>IFERROR(__xludf.DUMMYFUNCTION("""COMPUTED_VALUE"""),"F")</f>
        <v>F</v>
      </c>
      <c r="G71" s="6" t="str">
        <f>IFERROR(__xludf.DUMMYFUNCTION("""COMPUTED_VALUE"""),"DWINELLE 246")</f>
        <v>DWINELLE 246</v>
      </c>
      <c r="H71" s="6" t="str">
        <f>IFERROR(__xludf.DUMMYFUNCTION("""COMPUTED_VALUE"""),"1ZW2O9s2IvWXYVprzm0MEnCDKzU3sGRbjcaIRe_kDd4o")</f>
        <v>1ZW2O9s2IvWXYVprzm0MEnCDKzU3sGRbjcaIRe_kDd4o</v>
      </c>
      <c r="I71" s="16" t="str">
        <f>IFERROR(__xludf.DUMMYFUNCTION("""COMPUTED_VALUE"""),"https://docs.google.com/spreadsheets/d/1ZW2O9s2IvWXYVprzm0MEnCDKzU3sGRbjcaIRe_kDd4o")</f>
        <v>https://docs.google.com/spreadsheets/d/1ZW2O9s2IvWXYVprzm0MEnCDKzU3sGRbjcaIRe_kDd4o</v>
      </c>
      <c r="J71" s="6" t="b">
        <f>IFERROR(__xludf.DUMMYFUNCTION("""COMPUTED_VALUE"""),TRUE)</f>
        <v>1</v>
      </c>
      <c r="K71" s="6">
        <f>IFERROR(__xludf.DUMMYFUNCTION("""COMPUTED_VALUE"""),56.0)</f>
        <v>56</v>
      </c>
      <c r="L71" s="6">
        <f>IFERROR(__xludf.DUMMYFUNCTION("""COMPUTED_VALUE"""),28.0)</f>
        <v>28</v>
      </c>
      <c r="M71" s="6" t="str">
        <f>IFERROR(__xludf.DUMMYFUNCTION("""COMPUTED_VALUE"""),"1,0,1.5,0,0,2")</f>
        <v>1,0,1.5,0,0,2</v>
      </c>
      <c r="N71" s="6" t="str">
        <f>IFERROR(__xludf.DUMMYFUNCTION("""COMPUTED_VALUE"""),"0,0,2.5,1,0,0")</f>
        <v>0,0,2.5,1,0,0</v>
      </c>
      <c r="O71" s="6" t="str">
        <f>IFERROR(__xludf.DUMMYFUNCTION("""COMPUTED_VALUE"""),"0,0,0,0,0,0")</f>
        <v>0,0,0,0,0,0</v>
      </c>
      <c r="P71" s="6" t="str">
        <f>IFERROR(__xludf.DUMMYFUNCTION("""COMPUTED_VALUE"""),"0,0,0,0,1,0")</f>
        <v>0,0,0,0,1,0</v>
      </c>
      <c r="Q71" s="6" t="str">
        <f>IFERROR(__xludf.DUMMYFUNCTION("""COMPUTED_VALUE"""),"0,0,0,0,0,0")</f>
        <v>0,0,0,0,0,0</v>
      </c>
      <c r="R71" s="6" t="str">
        <f>IFERROR(__xludf.DUMMYFUNCTION("""COMPUTED_VALUE"""),"2,0,0,0,1,0")</f>
        <v>2,0,0,0,1,0</v>
      </c>
      <c r="S71" s="6" t="str">
        <f>IFERROR(__xludf.DUMMYFUNCTION("""COMPUTED_VALUE"""),"#N/A")</f>
        <v>#N/A</v>
      </c>
      <c r="T71" s="6" t="str">
        <f>IFERROR(__xludf.DUMMYFUNCTION("""COMPUTED_VALUE"""),"0,1,0,0,0,0")</f>
        <v>0,1,0,0,0,0</v>
      </c>
      <c r="U71" s="6" t="str">
        <f>IFERROR(__xludf.DUMMYFUNCTION("""COMPUTED_VALUE"""),"0,0,0,0,0,0")</f>
        <v>0,0,0,0,0,0</v>
      </c>
      <c r="V71" s="6" t="str">
        <f>IFERROR(__xludf.DUMMYFUNCTION("""COMPUTED_VALUE"""),"0,0,1,1,0,0")</f>
        <v>0,0,1,1,0,0</v>
      </c>
      <c r="W71" s="6" t="str">
        <f>IFERROR(__xludf.DUMMYFUNCTION("""COMPUTED_VALUE"""),"1ZMUmrgOLjgL9cryFCDoYsJzMfRQXQGA0")</f>
        <v>1ZMUmrgOLjgL9cryFCDoYsJzMfRQXQGA0</v>
      </c>
    </row>
    <row r="72">
      <c r="A72" s="6">
        <f>IFERROR(__xludf.DUMMYFUNCTION("""COMPUTED_VALUE"""),71.0)</f>
        <v>71</v>
      </c>
      <c r="B72" s="6" t="str">
        <f>IFERROR(__xludf.DUMMYFUNCTION("""COMPUTED_VALUE"""),"Dougherty Valley B")</f>
        <v>Dougherty Valley B</v>
      </c>
      <c r="C72" s="6" t="str">
        <f>IFERROR(__xludf.DUMMYFUNCTION("""COMPUTED_VALUE"""),"Cupertino A")</f>
        <v>Cupertino A</v>
      </c>
      <c r="D72" s="6">
        <f>IFERROR(__xludf.DUMMYFUNCTION("""COMPUTED_VALUE"""),4.0)</f>
        <v>4</v>
      </c>
      <c r="E72" s="6" t="str">
        <f>IFERROR(__xludf.DUMMYFUNCTION("""COMPUTED_VALUE"""),"Round Robin")</f>
        <v>Round Robin</v>
      </c>
      <c r="F72" s="6" t="str">
        <f>IFERROR(__xludf.DUMMYFUNCTION("""COMPUTED_VALUE"""),"F")</f>
        <v>F</v>
      </c>
      <c r="G72" s="6" t="str">
        <f>IFERROR(__xludf.DUMMYFUNCTION("""COMPUTED_VALUE"""),"DWINELLE 262")</f>
        <v>DWINELLE 262</v>
      </c>
      <c r="H72" s="6" t="str">
        <f>IFERROR(__xludf.DUMMYFUNCTION("""COMPUTED_VALUE"""),"1RRnt2fnMLOxyAC8170uL4CMjOIYG4lKvhy_BDL7ry8I")</f>
        <v>1RRnt2fnMLOxyAC8170uL4CMjOIYG4lKvhy_BDL7ry8I</v>
      </c>
      <c r="I72" s="16" t="str">
        <f>IFERROR(__xludf.DUMMYFUNCTION("""COMPUTED_VALUE"""),"https://docs.google.com/spreadsheets/d/1RRnt2fnMLOxyAC8170uL4CMjOIYG4lKvhy_BDL7ry8I")</f>
        <v>https://docs.google.com/spreadsheets/d/1RRnt2fnMLOxyAC8170uL4CMjOIYG4lKvhy_BDL7ry8I</v>
      </c>
      <c r="J72" s="6" t="b">
        <f>IFERROR(__xludf.DUMMYFUNCTION("""COMPUTED_VALUE"""),TRUE)</f>
        <v>1</v>
      </c>
      <c r="K72" s="6">
        <f>IFERROR(__xludf.DUMMYFUNCTION("""COMPUTED_VALUE"""),12.0)</f>
        <v>12</v>
      </c>
      <c r="L72" s="6">
        <f>IFERROR(__xludf.DUMMYFUNCTION("""COMPUTED_VALUE"""),154.0)</f>
        <v>154</v>
      </c>
      <c r="M72" s="6" t="str">
        <f>IFERROR(__xludf.DUMMYFUNCTION("""COMPUTED_VALUE"""),"0,0,0,0,0,0")</f>
        <v>0,0,0,0,0,0</v>
      </c>
      <c r="N72" s="6" t="str">
        <f>IFERROR(__xludf.DUMMYFUNCTION("""COMPUTED_VALUE"""),"#N/A")</f>
        <v>#N/A</v>
      </c>
      <c r="O72" s="6" t="str">
        <f>IFERROR(__xludf.DUMMYFUNCTION("""COMPUTED_VALUE"""),"0,0,0,0,0,0")</f>
        <v>0,0,0,0,0,0</v>
      </c>
      <c r="P72" s="6" t="str">
        <f>IFERROR(__xludf.DUMMYFUNCTION("""COMPUTED_VALUE"""),"0,0,1,0,0,0")</f>
        <v>0,0,1,0,0,0</v>
      </c>
      <c r="Q72" s="6" t="str">
        <f>IFERROR(__xludf.DUMMYFUNCTION("""COMPUTED_VALUE"""),"0,0,1,0,0,0")</f>
        <v>0,0,1,0,0,0</v>
      </c>
      <c r="R72" s="6" t="str">
        <f>IFERROR(__xludf.DUMMYFUNCTION("""COMPUTED_VALUE"""),"3,0,0,2.5,1.5,0")</f>
        <v>3,0,0,2.5,1.5,0</v>
      </c>
      <c r="S72" s="6" t="str">
        <f>IFERROR(__xludf.DUMMYFUNCTION("""COMPUTED_VALUE"""),"0,1,1.5,1.5,0,4")</f>
        <v>0,1,1.5,1.5,0,4</v>
      </c>
      <c r="T72" s="6" t="str">
        <f>IFERROR(__xludf.DUMMYFUNCTION("""COMPUTED_VALUE"""),"1.5,1,0,0,1.5,0")</f>
        <v>1.5,1,0,0,1.5,0</v>
      </c>
      <c r="U72" s="6" t="str">
        <f>IFERROR(__xludf.DUMMYFUNCTION("""COMPUTED_VALUE"""),"0,0,0,0,1.5,0")</f>
        <v>0,0,0,0,1.5,0</v>
      </c>
      <c r="V72" s="6" t="str">
        <f>IFERROR(__xludf.DUMMYFUNCTION("""COMPUTED_VALUE"""),"#N/A")</f>
        <v>#N/A</v>
      </c>
      <c r="W72" s="6" t="str">
        <f>IFERROR(__xludf.DUMMYFUNCTION("""COMPUTED_VALUE"""),"1Vl5Oa0oSlbk2HzPsQjyl20DkDyVwWOEm")</f>
        <v>1Vl5Oa0oSlbk2HzPsQjyl20DkDyVwWOEm</v>
      </c>
    </row>
    <row r="73">
      <c r="A73" s="6">
        <f>IFERROR(__xludf.DUMMYFUNCTION("""COMPUTED_VALUE"""),72.0)</f>
        <v>72</v>
      </c>
      <c r="B73" s="6" t="str">
        <f>IFERROR(__xludf.DUMMYFUNCTION("""COMPUTED_VALUE"""),"American B")</f>
        <v>American B</v>
      </c>
      <c r="C73" s="6" t="str">
        <f>IFERROR(__xludf.DUMMYFUNCTION("""COMPUTED_VALUE"""),"Foothill A")</f>
        <v>Foothill A</v>
      </c>
      <c r="D73" s="6">
        <f>IFERROR(__xludf.DUMMYFUNCTION("""COMPUTED_VALUE"""),4.0)</f>
        <v>4</v>
      </c>
      <c r="E73" s="6" t="str">
        <f>IFERROR(__xludf.DUMMYFUNCTION("""COMPUTED_VALUE"""),"Round Robin")</f>
        <v>Round Robin</v>
      </c>
      <c r="F73" s="6" t="str">
        <f>IFERROR(__xludf.DUMMYFUNCTION("""COMPUTED_VALUE"""),"F")</f>
        <v>F</v>
      </c>
      <c r="G73" s="6" t="str">
        <f>IFERROR(__xludf.DUMMYFUNCTION("""COMPUTED_VALUE"""),"DWINELLE 263")</f>
        <v>DWINELLE 263</v>
      </c>
      <c r="H73" s="6" t="str">
        <f>IFERROR(__xludf.DUMMYFUNCTION("""COMPUTED_VALUE"""),"1Nb9BPYqn5j1_YJ2D-U3pkGbJ9sEJPizBFDCRT6B_O3U")</f>
        <v>1Nb9BPYqn5j1_YJ2D-U3pkGbJ9sEJPizBFDCRT6B_O3U</v>
      </c>
      <c r="I73" s="16" t="str">
        <f>IFERROR(__xludf.DUMMYFUNCTION("""COMPUTED_VALUE"""),"https://docs.google.com/spreadsheets/d/1Nb9BPYqn5j1_YJ2D-U3pkGbJ9sEJPizBFDCRT6B_O3U")</f>
        <v>https://docs.google.com/spreadsheets/d/1Nb9BPYqn5j1_YJ2D-U3pkGbJ9sEJPizBFDCRT6B_O3U</v>
      </c>
      <c r="J73" s="6" t="b">
        <f>IFERROR(__xludf.DUMMYFUNCTION("""COMPUTED_VALUE"""),TRUE)</f>
        <v>1</v>
      </c>
      <c r="K73" s="6">
        <f>IFERROR(__xludf.DUMMYFUNCTION("""COMPUTED_VALUE"""),28.0)</f>
        <v>28</v>
      </c>
      <c r="L73" s="6">
        <f>IFERROR(__xludf.DUMMYFUNCTION("""COMPUTED_VALUE"""),16.0)</f>
        <v>16</v>
      </c>
      <c r="M73" s="6" t="str">
        <f>IFERROR(__xludf.DUMMYFUNCTION("""COMPUTED_VALUE"""),"0,0,0,0,0,0")</f>
        <v>0,0,0,0,0,0</v>
      </c>
      <c r="N73" s="6" t="str">
        <f>IFERROR(__xludf.DUMMYFUNCTION("""COMPUTED_VALUE"""),"0,0,-1,0,0,0")</f>
        <v>0,0,-1,0,0,0</v>
      </c>
      <c r="O73" s="6" t="str">
        <f>IFERROR(__xludf.DUMMYFUNCTION("""COMPUTED_VALUE"""),"1,1,0,1,0,0")</f>
        <v>1,1,0,1,0,0</v>
      </c>
      <c r="P73" s="6" t="str">
        <f>IFERROR(__xludf.DUMMYFUNCTION("""COMPUTED_VALUE"""),"0,0,1,0,2,0")</f>
        <v>0,0,1,0,2,0</v>
      </c>
      <c r="Q73" s="6" t="str">
        <f>IFERROR(__xludf.DUMMYFUNCTION("""COMPUTED_VALUE"""),"0,0,0,0,0,0")</f>
        <v>0,0,0,0,0,0</v>
      </c>
      <c r="R73" s="6" t="str">
        <f>IFERROR(__xludf.DUMMYFUNCTION("""COMPUTED_VALUE"""),"1,0,0,0,0,0")</f>
        <v>1,0,0,0,0,0</v>
      </c>
      <c r="S73" s="6" t="str">
        <f>IFERROR(__xludf.DUMMYFUNCTION("""COMPUTED_VALUE"""),"0,1,0,0,0,0")</f>
        <v>0,1,0,0,0,0</v>
      </c>
      <c r="T73" s="6" t="str">
        <f>IFERROR(__xludf.DUMMYFUNCTION("""COMPUTED_VALUE"""),"0,0,-1,0,0,0")</f>
        <v>0,0,-1,0,0,0</v>
      </c>
      <c r="U73" s="6" t="str">
        <f>IFERROR(__xludf.DUMMYFUNCTION("""COMPUTED_VALUE"""),"0,0,0,0,0,0")</f>
        <v>0,0,0,0,0,0</v>
      </c>
      <c r="V73" s="6" t="str">
        <f>IFERROR(__xludf.DUMMYFUNCTION("""COMPUTED_VALUE"""),"0,0,0,0,0,1")</f>
        <v>0,0,0,0,0,1</v>
      </c>
      <c r="W73" s="6" t="str">
        <f>IFERROR(__xludf.DUMMYFUNCTION("""COMPUTED_VALUE"""),"1iSlolT830hPWUFNO8QFe1M73jdBAFnII")</f>
        <v>1iSlolT830hPWUFNO8QFe1M73jdBAFnII</v>
      </c>
    </row>
    <row r="74">
      <c r="A74" s="6">
        <f>IFERROR(__xludf.DUMMYFUNCTION("""COMPUTED_VALUE"""),73.0)</f>
        <v>73</v>
      </c>
      <c r="B74" s="6" t="str">
        <f>IFERROR(__xludf.DUMMYFUNCTION("""COMPUTED_VALUE"""),"BASIS Independent B")</f>
        <v>BASIS Independent B</v>
      </c>
      <c r="C74" s="6" t="str">
        <f>IFERROR(__xludf.DUMMYFUNCTION("""COMPUTED_VALUE"""),"Dougherty Valley A")</f>
        <v>Dougherty Valley A</v>
      </c>
      <c r="D74" s="6">
        <f>IFERROR(__xludf.DUMMYFUNCTION("""COMPUTED_VALUE"""),5.0)</f>
        <v>5</v>
      </c>
      <c r="E74" s="6" t="str">
        <f>IFERROR(__xludf.DUMMYFUNCTION("""COMPUTED_VALUE"""),"Round Robin")</f>
        <v>Round Robin</v>
      </c>
      <c r="F74" s="6" t="str">
        <f>IFERROR(__xludf.DUMMYFUNCTION("""COMPUTED_VALUE"""),"A")</f>
        <v>A</v>
      </c>
      <c r="G74" s="6" t="str">
        <f>IFERROR(__xludf.DUMMYFUNCTION("""COMPUTED_VALUE"""),"DWINELLE 87")</f>
        <v>DWINELLE 87</v>
      </c>
      <c r="H74" s="6" t="str">
        <f>IFERROR(__xludf.DUMMYFUNCTION("""COMPUTED_VALUE"""),"153ZRTEbB8kW-DOoC7vXrj6Tt4iWL-ozi-X2oO-mtkxM")</f>
        <v>153ZRTEbB8kW-DOoC7vXrj6Tt4iWL-ozi-X2oO-mtkxM</v>
      </c>
      <c r="I74" s="16" t="str">
        <f>IFERROR(__xludf.DUMMYFUNCTION("""COMPUTED_VALUE"""),"https://docs.google.com/spreadsheets/d/153ZRTEbB8kW-DOoC7vXrj6Tt4iWL-ozi-X2oO-mtkxM")</f>
        <v>https://docs.google.com/spreadsheets/d/153ZRTEbB8kW-DOoC7vXrj6Tt4iWL-ozi-X2oO-mtkxM</v>
      </c>
      <c r="J74" s="6" t="b">
        <f>IFERROR(__xludf.DUMMYFUNCTION("""COMPUTED_VALUE"""),TRUE)</f>
        <v>1</v>
      </c>
      <c r="K74" s="6">
        <f>IFERROR(__xludf.DUMMYFUNCTION("""COMPUTED_VALUE"""),16.0)</f>
        <v>16</v>
      </c>
      <c r="L74" s="6">
        <f>IFERROR(__xludf.DUMMYFUNCTION("""COMPUTED_VALUE"""),102.0)</f>
        <v>102</v>
      </c>
      <c r="M74" s="6" t="str">
        <f>IFERROR(__xludf.DUMMYFUNCTION("""COMPUTED_VALUE"""),"0,2,0,0,0,0")</f>
        <v>0,2,0,0,0,0</v>
      </c>
      <c r="N74" s="6" t="str">
        <f>IFERROR(__xludf.DUMMYFUNCTION("""COMPUTED_VALUE"""),"1,0,1,0,0,0")</f>
        <v>1,0,1,0,0,0</v>
      </c>
      <c r="O74" s="6" t="str">
        <f>IFERROR(__xludf.DUMMYFUNCTION("""COMPUTED_VALUE"""),"0,0,0,0,0,0")</f>
        <v>0,0,0,0,0,0</v>
      </c>
      <c r="P74" s="6" t="str">
        <f>IFERROR(__xludf.DUMMYFUNCTION("""COMPUTED_VALUE"""),"0,0,0,0,0,0")</f>
        <v>0,0,0,0,0,0</v>
      </c>
      <c r="Q74" s="6" t="str">
        <f>IFERROR(__xludf.DUMMYFUNCTION("""COMPUTED_VALUE"""),",,,,,")</f>
        <v>,,,,,</v>
      </c>
      <c r="R74" s="6" t="str">
        <f>IFERROR(__xludf.DUMMYFUNCTION("""COMPUTED_VALUE"""),"0,1.5,0,0,0,0")</f>
        <v>0,1.5,0,0,0,0</v>
      </c>
      <c r="S74" s="6" t="str">
        <f>IFERROR(__xludf.DUMMYFUNCTION("""COMPUTED_VALUE"""),"0,0,1,0,3.5,4.5")</f>
        <v>0,0,1,0,3.5,4.5</v>
      </c>
      <c r="T74" s="6" t="str">
        <f>IFERROR(__xludf.DUMMYFUNCTION("""COMPUTED_VALUE"""),"1,0,0,1.5,0,0")</f>
        <v>1,0,0,1.5,0,0</v>
      </c>
      <c r="U74" s="6" t="str">
        <f>IFERROR(__xludf.DUMMYFUNCTION("""COMPUTED_VALUE"""),"1.5,0,0,1.5,0,0")</f>
        <v>1.5,0,0,1.5,0,0</v>
      </c>
      <c r="V74" s="6" t="str">
        <f>IFERROR(__xludf.DUMMYFUNCTION("""COMPUTED_VALUE"""),",,,,,")</f>
        <v>,,,,,</v>
      </c>
      <c r="W74" s="6" t="str">
        <f>IFERROR(__xludf.DUMMYFUNCTION("""COMPUTED_VALUE"""),"1wU8ddNcIDYy_LNgK50_oAheTJQ7qxrnc")</f>
        <v>1wU8ddNcIDYy_LNgK50_oAheTJQ7qxrnc</v>
      </c>
    </row>
    <row r="75">
      <c r="A75" s="6">
        <f>IFERROR(__xludf.DUMMYFUNCTION("""COMPUTED_VALUE"""),74.0)</f>
        <v>74</v>
      </c>
      <c r="B75" s="6" t="str">
        <f>IFERROR(__xludf.DUMMYFUNCTION("""COMPUTED_VALUE"""),"Stanford Online")</f>
        <v>Stanford Online</v>
      </c>
      <c r="C75" s="6" t="str">
        <f>IFERROR(__xludf.DUMMYFUNCTION("""COMPUTED_VALUE"""),"Palo Alto B")</f>
        <v>Palo Alto B</v>
      </c>
      <c r="D75" s="6">
        <f>IFERROR(__xludf.DUMMYFUNCTION("""COMPUTED_VALUE"""),5.0)</f>
        <v>5</v>
      </c>
      <c r="E75" s="6" t="str">
        <f>IFERROR(__xludf.DUMMYFUNCTION("""COMPUTED_VALUE"""),"Round Robin")</f>
        <v>Round Robin</v>
      </c>
      <c r="F75" s="6" t="str">
        <f>IFERROR(__xludf.DUMMYFUNCTION("""COMPUTED_VALUE"""),"A")</f>
        <v>A</v>
      </c>
      <c r="G75" s="6" t="str">
        <f>IFERROR(__xludf.DUMMYFUNCTION("""COMPUTED_VALUE"""),"DWINELLE 88")</f>
        <v>DWINELLE 88</v>
      </c>
      <c r="H75" s="6" t="str">
        <f>IFERROR(__xludf.DUMMYFUNCTION("""COMPUTED_VALUE"""),"1He4ncRqLA-maOFTgKoiRQfr_BSHD1HG2hs-tUjvSSKI")</f>
        <v>1He4ncRqLA-maOFTgKoiRQfr_BSHD1HG2hs-tUjvSSKI</v>
      </c>
      <c r="I75" s="16" t="str">
        <f>IFERROR(__xludf.DUMMYFUNCTION("""COMPUTED_VALUE"""),"https://docs.google.com/spreadsheets/d/1He4ncRqLA-maOFTgKoiRQfr_BSHD1HG2hs-tUjvSSKI")</f>
        <v>https://docs.google.com/spreadsheets/d/1He4ncRqLA-maOFTgKoiRQfr_BSHD1HG2hs-tUjvSSKI</v>
      </c>
      <c r="J75" s="6" t="b">
        <f>IFERROR(__xludf.DUMMYFUNCTION("""COMPUTED_VALUE"""),TRUE)</f>
        <v>1</v>
      </c>
      <c r="K75" s="6">
        <f>IFERROR(__xludf.DUMMYFUNCTION("""COMPUTED_VALUE"""),68.0)</f>
        <v>68</v>
      </c>
      <c r="L75" s="6">
        <f>IFERROR(__xludf.DUMMYFUNCTION("""COMPUTED_VALUE"""),62.0)</f>
        <v>62</v>
      </c>
      <c r="M75" s="6" t="str">
        <f>IFERROR(__xludf.DUMMYFUNCTION("""COMPUTED_VALUE"""),"0,2.5,1.5,0,0,0")</f>
        <v>0,2.5,1.5,0,0,0</v>
      </c>
      <c r="N75" s="6" t="str">
        <f>IFERROR(__xludf.DUMMYFUNCTION("""COMPUTED_VALUE"""),"1.5,0,0,0,0,1.5")</f>
        <v>1.5,0,0,0,0,1.5</v>
      </c>
      <c r="O75" s="6" t="str">
        <f>IFERROR(__xludf.DUMMYFUNCTION("""COMPUTED_VALUE"""),"0,0,0,0,0,0")</f>
        <v>0,0,0,0,0,0</v>
      </c>
      <c r="P75" s="6" t="str">
        <f>IFERROR(__xludf.DUMMYFUNCTION("""COMPUTED_VALUE"""),"0,1,0,0,0,0")</f>
        <v>0,1,0,0,0,0</v>
      </c>
      <c r="Q75" s="6" t="str">
        <f>IFERROR(__xludf.DUMMYFUNCTION("""COMPUTED_VALUE"""),",,,,,")</f>
        <v>,,,,,</v>
      </c>
      <c r="R75" s="6" t="str">
        <f>IFERROR(__xludf.DUMMYFUNCTION("""COMPUTED_VALUE"""),"2,0,1,0,0,0")</f>
        <v>2,0,1,0,0,0</v>
      </c>
      <c r="S75" s="6" t="str">
        <f>IFERROR(__xludf.DUMMYFUNCTION("""COMPUTED_VALUE"""),"0,0,3,0,0,0")</f>
        <v>0,0,3,0,0,0</v>
      </c>
      <c r="T75" s="6" t="str">
        <f>IFERROR(__xludf.DUMMYFUNCTION("""COMPUTED_VALUE"""),"0,0,0,0,0,1")</f>
        <v>0,0,0,0,0,1</v>
      </c>
      <c r="U75" s="6" t="str">
        <f>IFERROR(__xludf.DUMMYFUNCTION("""COMPUTED_VALUE"""),"0,0,0,0,0,0")</f>
        <v>0,0,0,0,0,0</v>
      </c>
      <c r="V75" s="6" t="str">
        <f>IFERROR(__xludf.DUMMYFUNCTION("""COMPUTED_VALUE"""),"0,0,0,0,0,1.5")</f>
        <v>0,0,0,0,0,1.5</v>
      </c>
      <c r="W75" s="6" t="str">
        <f>IFERROR(__xludf.DUMMYFUNCTION("""COMPUTED_VALUE"""),"103JTGMew8yagYGeIoIvugJ7A3dBmouHQ")</f>
        <v>103JTGMew8yagYGeIoIvugJ7A3dBmouHQ</v>
      </c>
    </row>
    <row r="76">
      <c r="A76" s="6">
        <f>IFERROR(__xludf.DUMMYFUNCTION("""COMPUTED_VALUE"""),75.0)</f>
        <v>75</v>
      </c>
      <c r="B76" s="6" t="str">
        <f>IFERROR(__xludf.DUMMYFUNCTION("""COMPUTED_VALUE"""),"Mission San Jose B")</f>
        <v>Mission San Jose B</v>
      </c>
      <c r="C76" s="6" t="str">
        <f>IFERROR(__xludf.DUMMYFUNCTION("""COMPUTED_VALUE"""),"Saint Francis")</f>
        <v>Saint Francis</v>
      </c>
      <c r="D76" s="6">
        <f>IFERROR(__xludf.DUMMYFUNCTION("""COMPUTED_VALUE"""),5.0)</f>
        <v>5</v>
      </c>
      <c r="E76" s="6" t="str">
        <f>IFERROR(__xludf.DUMMYFUNCTION("""COMPUTED_VALUE"""),"Round Robin")</f>
        <v>Round Robin</v>
      </c>
      <c r="F76" s="6" t="str">
        <f>IFERROR(__xludf.DUMMYFUNCTION("""COMPUTED_VALUE"""),"A")</f>
        <v>A</v>
      </c>
      <c r="G76" s="6" t="str">
        <f>IFERROR(__xludf.DUMMYFUNCTION("""COMPUTED_VALUE"""),"DWINELLE 89")</f>
        <v>DWINELLE 89</v>
      </c>
      <c r="H76" s="6" t="str">
        <f>IFERROR(__xludf.DUMMYFUNCTION("""COMPUTED_VALUE"""),"13LBeVsgo8N4DGHb2s90Uuu8VXWM4Mcr0SYKB69NJ6v8")</f>
        <v>13LBeVsgo8N4DGHb2s90Uuu8VXWM4Mcr0SYKB69NJ6v8</v>
      </c>
      <c r="I76" s="16" t="str">
        <f>IFERROR(__xludf.DUMMYFUNCTION("""COMPUTED_VALUE"""),"https://docs.google.com/spreadsheets/d/13LBeVsgo8N4DGHb2s90Uuu8VXWM4Mcr0SYKB69NJ6v8")</f>
        <v>https://docs.google.com/spreadsheets/d/13LBeVsgo8N4DGHb2s90Uuu8VXWM4Mcr0SYKB69NJ6v8</v>
      </c>
      <c r="J76" s="6" t="b">
        <f>IFERROR(__xludf.DUMMYFUNCTION("""COMPUTED_VALUE"""),TRUE)</f>
        <v>1</v>
      </c>
      <c r="K76" s="6">
        <f>IFERROR(__xludf.DUMMYFUNCTION("""COMPUTED_VALUE"""),114.0)</f>
        <v>114</v>
      </c>
      <c r="L76" s="6">
        <f>IFERROR(__xludf.DUMMYFUNCTION("""COMPUTED_VALUE"""),100.0)</f>
        <v>100</v>
      </c>
      <c r="M76" s="6" t="str">
        <f>IFERROR(__xludf.DUMMYFUNCTION("""COMPUTED_VALUE"""),"0,0,0,0,0,0")</f>
        <v>0,0,0,0,0,0</v>
      </c>
      <c r="N76" s="6" t="str">
        <f>IFERROR(__xludf.DUMMYFUNCTION("""COMPUTED_VALUE"""),"5.5,2,1.5,4.5,0,-1")</f>
        <v>5.5,2,1.5,4.5,0,-1</v>
      </c>
      <c r="O76" s="6" t="str">
        <f>IFERROR(__xludf.DUMMYFUNCTION("""COMPUTED_VALUE"""),"0,0,0,0,0,0")</f>
        <v>0,0,0,0,0,0</v>
      </c>
      <c r="P76" s="6" t="str">
        <f>IFERROR(__xludf.DUMMYFUNCTION("""COMPUTED_VALUE"""),"0,0,0,0,1,0")</f>
        <v>0,0,0,0,1,0</v>
      </c>
      <c r="Q76" s="6" t="str">
        <f>IFERROR(__xludf.DUMMYFUNCTION("""COMPUTED_VALUE"""),"0,0,-1,0,0,0")</f>
        <v>0,0,-1,0,0,0</v>
      </c>
      <c r="R76" s="6" t="str">
        <f>IFERROR(__xludf.DUMMYFUNCTION("""COMPUTED_VALUE"""),"0,3,1,0,0,1.5")</f>
        <v>0,3,1,0,0,1.5</v>
      </c>
      <c r="S76" s="6" t="str">
        <f>IFERROR(__xludf.DUMMYFUNCTION("""COMPUTED_VALUE"""),"0,0,1.5,0,0,0")</f>
        <v>0,0,1.5,0,0,0</v>
      </c>
      <c r="T76" s="6" t="str">
        <f>IFERROR(__xludf.DUMMYFUNCTION("""COMPUTED_VALUE"""),"0,0,0,0,0,3")</f>
        <v>0,0,0,0,0,3</v>
      </c>
      <c r="U76" s="6" t="str">
        <f>IFERROR(__xludf.DUMMYFUNCTION("""COMPUTED_VALUE"""),"0,0,0,0,1,0")</f>
        <v>0,0,0,0,1,0</v>
      </c>
      <c r="V76" s="6" t="str">
        <f>IFERROR(__xludf.DUMMYFUNCTION("""COMPUTED_VALUE"""),"#N/A")</f>
        <v>#N/A</v>
      </c>
      <c r="W76" s="6" t="str">
        <f>IFERROR(__xludf.DUMMYFUNCTION("""COMPUTED_VALUE"""),"1iE_5-GNdmwZ6YBR19NoryqpaMeSaQNwX")</f>
        <v>1iE_5-GNdmwZ6YBR19NoryqpaMeSaQNwX</v>
      </c>
    </row>
    <row r="77">
      <c r="A77" s="6">
        <f>IFERROR(__xludf.DUMMYFUNCTION("""COMPUTED_VALUE"""),76.0)</f>
        <v>76</v>
      </c>
      <c r="B77" s="6" t="str">
        <f>IFERROR(__xludf.DUMMYFUNCTION("""COMPUTED_VALUE"""),"Amador Valley A")</f>
        <v>Amador Valley A</v>
      </c>
      <c r="C77" s="6" t="str">
        <f>IFERROR(__xludf.DUMMYFUNCTION("""COMPUTED_VALUE"""),"Monta Vista A")</f>
        <v>Monta Vista A</v>
      </c>
      <c r="D77" s="6">
        <f>IFERROR(__xludf.DUMMYFUNCTION("""COMPUTED_VALUE"""),5.0)</f>
        <v>5</v>
      </c>
      <c r="E77" s="6" t="str">
        <f>IFERROR(__xludf.DUMMYFUNCTION("""COMPUTED_VALUE"""),"Round Robin")</f>
        <v>Round Robin</v>
      </c>
      <c r="F77" s="6" t="str">
        <f>IFERROR(__xludf.DUMMYFUNCTION("""COMPUTED_VALUE"""),"B")</f>
        <v>B</v>
      </c>
      <c r="G77" s="6" t="str">
        <f>IFERROR(__xludf.DUMMYFUNCTION("""COMPUTED_VALUE"""),"DWINELLE 105")</f>
        <v>DWINELLE 105</v>
      </c>
      <c r="H77" s="6" t="str">
        <f>IFERROR(__xludf.DUMMYFUNCTION("""COMPUTED_VALUE"""),"11U0qOhNgrJR6u28yysLgY1k_8OMU-guBK1bINDTEv64")</f>
        <v>11U0qOhNgrJR6u28yysLgY1k_8OMU-guBK1bINDTEv64</v>
      </c>
      <c r="I77" s="16" t="str">
        <f>IFERROR(__xludf.DUMMYFUNCTION("""COMPUTED_VALUE"""),"https://docs.google.com/spreadsheets/d/11U0qOhNgrJR6u28yysLgY1k_8OMU-guBK1bINDTEv64")</f>
        <v>https://docs.google.com/spreadsheets/d/11U0qOhNgrJR6u28yysLgY1k_8OMU-guBK1bINDTEv64</v>
      </c>
      <c r="J77" s="6" t="b">
        <f>IFERROR(__xludf.DUMMYFUNCTION("""COMPUTED_VALUE"""),TRUE)</f>
        <v>1</v>
      </c>
      <c r="K77" s="6">
        <f>IFERROR(__xludf.DUMMYFUNCTION("""COMPUTED_VALUE"""),154.0)</f>
        <v>154</v>
      </c>
      <c r="L77" s="6">
        <f>IFERROR(__xludf.DUMMYFUNCTION("""COMPUTED_VALUE"""),46.0)</f>
        <v>46</v>
      </c>
      <c r="M77" s="6" t="str">
        <f>IFERROR(__xludf.DUMMYFUNCTION("""COMPUTED_VALUE"""),"0,0,1.5,0,0,0")</f>
        <v>0,0,1.5,0,0,0</v>
      </c>
      <c r="N77" s="6" t="str">
        <f>IFERROR(__xludf.DUMMYFUNCTION("""COMPUTED_VALUE"""),"4,1.5,1.5,1.5,0,0")</f>
        <v>4,1.5,1.5,1.5,0,0</v>
      </c>
      <c r="O77" s="6" t="str">
        <f>IFERROR(__xludf.DUMMYFUNCTION("""COMPUTED_VALUE"""),"0,0,0,0,0,0")</f>
        <v>0,0,0,0,0,0</v>
      </c>
      <c r="P77" s="6" t="str">
        <f>IFERROR(__xludf.DUMMYFUNCTION("""COMPUTED_VALUE"""),"0,0,1.5,0,4.5,3")</f>
        <v>0,0,1.5,0,4.5,3</v>
      </c>
      <c r="Q77" s="6" t="str">
        <f>IFERROR(__xludf.DUMMYFUNCTION("""COMPUTED_VALUE"""),"0,0,0,1.5,0,0")</f>
        <v>0,0,0,1.5,0,0</v>
      </c>
      <c r="R77" s="6" t="str">
        <f>IFERROR(__xludf.DUMMYFUNCTION("""COMPUTED_VALUE"""),"0,0,0,0,0,0")</f>
        <v>0,0,0,0,0,0</v>
      </c>
      <c r="S77" s="6" t="str">
        <f>IFERROR(__xludf.DUMMYFUNCTION("""COMPUTED_VALUE"""),"0,2.5,0,1.5,0,0")</f>
        <v>0,2.5,0,1.5,0,0</v>
      </c>
      <c r="T77" s="6" t="str">
        <f>IFERROR(__xludf.DUMMYFUNCTION("""COMPUTED_VALUE"""),"0,0,0,0,0,0")</f>
        <v>0,0,0,0,0,0</v>
      </c>
      <c r="U77" s="6" t="str">
        <f>IFERROR(__xludf.DUMMYFUNCTION("""COMPUTED_VALUE"""),"0,0,0,0,0,0")</f>
        <v>0,0,0,0,0,0</v>
      </c>
      <c r="V77" s="6" t="str">
        <f>IFERROR(__xludf.DUMMYFUNCTION("""COMPUTED_VALUE"""),"0,0,0,0,0,1.5")</f>
        <v>0,0,0,0,0,1.5</v>
      </c>
      <c r="W77" s="6" t="str">
        <f>IFERROR(__xludf.DUMMYFUNCTION("""COMPUTED_VALUE"""),"1fnjyoidcVE3Yg85FHmTdFy4Wd_jCu9Cr")</f>
        <v>1fnjyoidcVE3Yg85FHmTdFy4Wd_jCu9Cr</v>
      </c>
    </row>
    <row r="78">
      <c r="A78" s="6">
        <f>IFERROR(__xludf.DUMMYFUNCTION("""COMPUTED_VALUE"""),77.0)</f>
        <v>77</v>
      </c>
      <c r="B78" s="6" t="str">
        <f>IFERROR(__xludf.DUMMYFUNCTION("""COMPUTED_VALUE"""),"Foothill B")</f>
        <v>Foothill B</v>
      </c>
      <c r="C78" s="6" t="str">
        <f>IFERROR(__xludf.DUMMYFUNCTION("""COMPUTED_VALUE"""),"North Hollywood")</f>
        <v>North Hollywood</v>
      </c>
      <c r="D78" s="6">
        <f>IFERROR(__xludf.DUMMYFUNCTION("""COMPUTED_VALUE"""),5.0)</f>
        <v>5</v>
      </c>
      <c r="E78" s="6" t="str">
        <f>IFERROR(__xludf.DUMMYFUNCTION("""COMPUTED_VALUE"""),"Round Robin")</f>
        <v>Round Robin</v>
      </c>
      <c r="F78" s="6" t="str">
        <f>IFERROR(__xludf.DUMMYFUNCTION("""COMPUTED_VALUE"""),"B")</f>
        <v>B</v>
      </c>
      <c r="G78" s="6" t="str">
        <f>IFERROR(__xludf.DUMMYFUNCTION("""COMPUTED_VALUE"""),"DWINELLE 106")</f>
        <v>DWINELLE 106</v>
      </c>
      <c r="H78" s="6" t="str">
        <f>IFERROR(__xludf.DUMMYFUNCTION("""COMPUTED_VALUE"""),"1H_FQw_HfKWNoF7xL7nw7dBLYqVXqsKSYuE7cZ_0X4eU")</f>
        <v>1H_FQw_HfKWNoF7xL7nw7dBLYqVXqsKSYuE7cZ_0X4eU</v>
      </c>
      <c r="I78" s="16" t="str">
        <f>IFERROR(__xludf.DUMMYFUNCTION("""COMPUTED_VALUE"""),"https://docs.google.com/spreadsheets/d/1H_FQw_HfKWNoF7xL7nw7dBLYqVXqsKSYuE7cZ_0X4eU")</f>
        <v>https://docs.google.com/spreadsheets/d/1H_FQw_HfKWNoF7xL7nw7dBLYqVXqsKSYuE7cZ_0X4eU</v>
      </c>
      <c r="J78" s="6" t="b">
        <f>IFERROR(__xludf.DUMMYFUNCTION("""COMPUTED_VALUE"""),TRUE)</f>
        <v>1</v>
      </c>
      <c r="K78" s="6">
        <f>IFERROR(__xludf.DUMMYFUNCTION("""COMPUTED_VALUE"""),32.0)</f>
        <v>32</v>
      </c>
      <c r="L78" s="6">
        <f>IFERROR(__xludf.DUMMYFUNCTION("""COMPUTED_VALUE"""),196.0)</f>
        <v>196</v>
      </c>
      <c r="M78" s="6" t="str">
        <f>IFERROR(__xludf.DUMMYFUNCTION("""COMPUTED_VALUE"""),"0,0,0,0,0,0")</f>
        <v>0,0,0,0,0,0</v>
      </c>
      <c r="N78" s="6" t="str">
        <f>IFERROR(__xludf.DUMMYFUNCTION("""COMPUTED_VALUE"""),"0,0,-1,0,0,0")</f>
        <v>0,0,-1,0,0,0</v>
      </c>
      <c r="O78" s="6" t="str">
        <f>IFERROR(__xludf.DUMMYFUNCTION("""COMPUTED_VALUE"""),"0,0,0,0,0,0")</f>
        <v>0,0,0,0,0,0</v>
      </c>
      <c r="P78" s="6" t="str">
        <f>IFERROR(__xludf.DUMMYFUNCTION("""COMPUTED_VALUE"""),"#N/A")</f>
        <v>#N/A</v>
      </c>
      <c r="Q78" s="6" t="str">
        <f>IFERROR(__xludf.DUMMYFUNCTION("""COMPUTED_VALUE"""),"0,0,0,0,1.5,1.5")</f>
        <v>0,0,0,0,1.5,1.5</v>
      </c>
      <c r="R78" s="6" t="str">
        <f>IFERROR(__xludf.DUMMYFUNCTION("""COMPUTED_VALUE"""),"1,1.5,0,0,1,0")</f>
        <v>1,1.5,0,0,1,0</v>
      </c>
      <c r="S78" s="6" t="str">
        <f>IFERROR(__xludf.DUMMYFUNCTION("""COMPUTED_VALUE"""),"0,1,0,1.5,0,1.5")</f>
        <v>0,1,0,1.5,0,1.5</v>
      </c>
      <c r="T78" s="6" t="str">
        <f>IFERROR(__xludf.DUMMYFUNCTION("""COMPUTED_VALUE"""),"0,0,0,0,0,0")</f>
        <v>0,0,0,0,0,0</v>
      </c>
      <c r="U78" s="6" t="str">
        <f>IFERROR(__xludf.DUMMYFUNCTION("""COMPUTED_VALUE"""),"#N/A")</f>
        <v>#N/A</v>
      </c>
      <c r="V78" s="6" t="str">
        <f>IFERROR(__xludf.DUMMYFUNCTION("""COMPUTED_VALUE"""),",,,,,")</f>
        <v>,,,,,</v>
      </c>
      <c r="W78" s="6" t="str">
        <f>IFERROR(__xludf.DUMMYFUNCTION("""COMPUTED_VALUE"""),"1ZOcpmnz6rsr8oUEZv7nnQmus2y0zN2kl")</f>
        <v>1ZOcpmnz6rsr8oUEZv7nnQmus2y0zN2kl</v>
      </c>
    </row>
    <row r="79">
      <c r="A79" s="6">
        <f>IFERROR(__xludf.DUMMYFUNCTION("""COMPUTED_VALUE"""),78.0)</f>
        <v>78</v>
      </c>
      <c r="B79" s="6" t="str">
        <f>IFERROR(__xludf.DUMMYFUNCTION("""COMPUTED_VALUE"""),"California B")</f>
        <v>California B</v>
      </c>
      <c r="C79" s="6" t="str">
        <f>IFERROR(__xludf.DUMMYFUNCTION("""COMPUTED_VALUE"""),"Irvington")</f>
        <v>Irvington</v>
      </c>
      <c r="D79" s="6">
        <f>IFERROR(__xludf.DUMMYFUNCTION("""COMPUTED_VALUE"""),5.0)</f>
        <v>5</v>
      </c>
      <c r="E79" s="6" t="str">
        <f>IFERROR(__xludf.DUMMYFUNCTION("""COMPUTED_VALUE"""),"Round Robin")</f>
        <v>Round Robin</v>
      </c>
      <c r="F79" s="6" t="str">
        <f>IFERROR(__xludf.DUMMYFUNCTION("""COMPUTED_VALUE"""),"B")</f>
        <v>B</v>
      </c>
      <c r="G79" s="6" t="str">
        <f>IFERROR(__xludf.DUMMYFUNCTION("""COMPUTED_VALUE"""),"DWINELLE 109")</f>
        <v>DWINELLE 109</v>
      </c>
      <c r="H79" s="6" t="str">
        <f>IFERROR(__xludf.DUMMYFUNCTION("""COMPUTED_VALUE"""),"1V3lXd6TxDuAvO4OcdezALwzT5XGFtQWd0aGbzb5aU94")</f>
        <v>1V3lXd6TxDuAvO4OcdezALwzT5XGFtQWd0aGbzb5aU94</v>
      </c>
      <c r="I79" s="16" t="str">
        <f>IFERROR(__xludf.DUMMYFUNCTION("""COMPUTED_VALUE"""),"https://docs.google.com/spreadsheets/d/1V3lXd6TxDuAvO4OcdezALwzT5XGFtQWd0aGbzb5aU94")</f>
        <v>https://docs.google.com/spreadsheets/d/1V3lXd6TxDuAvO4OcdezALwzT5XGFtQWd0aGbzb5aU94</v>
      </c>
      <c r="J79" s="6" t="b">
        <f>IFERROR(__xludf.DUMMYFUNCTION("""COMPUTED_VALUE"""),TRUE)</f>
        <v>1</v>
      </c>
      <c r="K79" s="6">
        <f>IFERROR(__xludf.DUMMYFUNCTION("""COMPUTED_VALUE"""),58.0)</f>
        <v>58</v>
      </c>
      <c r="L79" s="6">
        <f>IFERROR(__xludf.DUMMYFUNCTION("""COMPUTED_VALUE"""),22.0)</f>
        <v>22</v>
      </c>
      <c r="M79" s="6" t="str">
        <f>IFERROR(__xludf.DUMMYFUNCTION("""COMPUTED_VALUE"""),"0,0,0,0,0,0")</f>
        <v>0,0,0,0,0,0</v>
      </c>
      <c r="N79" s="6" t="str">
        <f>IFERROR(__xludf.DUMMYFUNCTION("""COMPUTED_VALUE"""),"0,0,0,0,0,0")</f>
        <v>0,0,0,0,0,0</v>
      </c>
      <c r="O79" s="6" t="str">
        <f>IFERROR(__xludf.DUMMYFUNCTION("""COMPUTED_VALUE"""),"1,0,1,1,0,0")</f>
        <v>1,0,1,1,0,0</v>
      </c>
      <c r="P79" s="6" t="str">
        <f>IFERROR(__xludf.DUMMYFUNCTION("""COMPUTED_VALUE"""),"1,3.5,0,0,0,1")</f>
        <v>1,3.5,0,0,0,1</v>
      </c>
      <c r="Q79" s="6" t="str">
        <f>IFERROR(__xludf.DUMMYFUNCTION("""COMPUTED_VALUE"""),"#N/A")</f>
        <v>#N/A</v>
      </c>
      <c r="R79" s="6" t="str">
        <f>IFERROR(__xludf.DUMMYFUNCTION("""COMPUTED_VALUE"""),"0,0,0,0,0,0")</f>
        <v>0,0,0,0,0,0</v>
      </c>
      <c r="S79" s="6" t="str">
        <f>IFERROR(__xludf.DUMMYFUNCTION("""COMPUTED_VALUE"""),"0,0,0,0,0,0")</f>
        <v>0,0,0,0,0,0</v>
      </c>
      <c r="T79" s="6" t="str">
        <f>IFERROR(__xludf.DUMMYFUNCTION("""COMPUTED_VALUE"""),"0,0,0,0,1.5,0")</f>
        <v>0,0,0,0,1.5,0</v>
      </c>
      <c r="U79" s="6" t="str">
        <f>IFERROR(__xludf.DUMMYFUNCTION("""COMPUTED_VALUE"""),"-1,0,-2,1,0,0")</f>
        <v>-1,0,-2,1,0,0</v>
      </c>
      <c r="V79" s="6" t="str">
        <f>IFERROR(__xludf.DUMMYFUNCTION("""COMPUTED_VALUE"""),"0,0,0,0,0,0")</f>
        <v>0,0,0,0,0,0</v>
      </c>
      <c r="W79" s="6" t="str">
        <f>IFERROR(__xludf.DUMMYFUNCTION("""COMPUTED_VALUE"""),"1ivbxAGj__h08xVy2FRbo7iHDWDbLgwNl")</f>
        <v>1ivbxAGj__h08xVy2FRbo7iHDWDbLgwNl</v>
      </c>
    </row>
    <row r="80">
      <c r="A80" s="6">
        <f>IFERROR(__xludf.DUMMYFUNCTION("""COMPUTED_VALUE"""),79.0)</f>
        <v>79</v>
      </c>
      <c r="B80" s="6" t="str">
        <f>IFERROR(__xludf.DUMMYFUNCTION("""COMPUTED_VALUE"""),"Archbishop Mitty B")</f>
        <v>Archbishop Mitty B</v>
      </c>
      <c r="C80" s="6" t="str">
        <f>IFERROR(__xludf.DUMMYFUNCTION("""COMPUTED_VALUE"""),"Amador Valley B")</f>
        <v>Amador Valley B</v>
      </c>
      <c r="D80" s="6">
        <f>IFERROR(__xludf.DUMMYFUNCTION("""COMPUTED_VALUE"""),5.0)</f>
        <v>5</v>
      </c>
      <c r="E80" s="6" t="str">
        <f>IFERROR(__xludf.DUMMYFUNCTION("""COMPUTED_VALUE"""),"Round Robin")</f>
        <v>Round Robin</v>
      </c>
      <c r="F80" s="6" t="str">
        <f>IFERROR(__xludf.DUMMYFUNCTION("""COMPUTED_VALUE"""),"C")</f>
        <v>C</v>
      </c>
      <c r="G80" s="6" t="str">
        <f>IFERROR(__xludf.DUMMYFUNCTION("""COMPUTED_VALUE"""),"DWINELLE 179")</f>
        <v>DWINELLE 179</v>
      </c>
      <c r="H80" s="6" t="str">
        <f>IFERROR(__xludf.DUMMYFUNCTION("""COMPUTED_VALUE"""),"1fIVowQ8AjotMagIJfOAwB2UynjTkfxDz4APG4QFbayk")</f>
        <v>1fIVowQ8AjotMagIJfOAwB2UynjTkfxDz4APG4QFbayk</v>
      </c>
      <c r="I80" s="16" t="str">
        <f>IFERROR(__xludf.DUMMYFUNCTION("""COMPUTED_VALUE"""),"https://docs.google.com/spreadsheets/d/1fIVowQ8AjotMagIJfOAwB2UynjTkfxDz4APG4QFbayk")</f>
        <v>https://docs.google.com/spreadsheets/d/1fIVowQ8AjotMagIJfOAwB2UynjTkfxDz4APG4QFbayk</v>
      </c>
      <c r="J80" s="6" t="b">
        <f>IFERROR(__xludf.DUMMYFUNCTION("""COMPUTED_VALUE"""),TRUE)</f>
        <v>1</v>
      </c>
      <c r="K80" s="6">
        <f>IFERROR(__xludf.DUMMYFUNCTION("""COMPUTED_VALUE"""),78.0)</f>
        <v>78</v>
      </c>
      <c r="L80" s="6">
        <f>IFERROR(__xludf.DUMMYFUNCTION("""COMPUTED_VALUE"""),20.0)</f>
        <v>20</v>
      </c>
      <c r="M80" s="6" t="str">
        <f>IFERROR(__xludf.DUMMYFUNCTION("""COMPUTED_VALUE"""),"1.5,1,0,2.5,1,0")</f>
        <v>1.5,1,0,2.5,1,0</v>
      </c>
      <c r="N80" s="6" t="str">
        <f>IFERROR(__xludf.DUMMYFUNCTION("""COMPUTED_VALUE"""),"0,1.5,1,0,2,0")</f>
        <v>0,1.5,1,0,2,0</v>
      </c>
      <c r="O80" s="6" t="str">
        <f>IFERROR(__xludf.DUMMYFUNCTION("""COMPUTED_VALUE"""),"0,0,0,1,0,0")</f>
        <v>0,0,0,1,0,0</v>
      </c>
      <c r="P80" s="6" t="str">
        <f>IFERROR(__xludf.DUMMYFUNCTION("""COMPUTED_VALUE"""),"0,0,0,0,0,0")</f>
        <v>0,0,0,0,0,0</v>
      </c>
      <c r="Q80" s="6" t="str">
        <f>IFERROR(__xludf.DUMMYFUNCTION("""COMPUTED_VALUE"""),",,,,,")</f>
        <v>,,,,,</v>
      </c>
      <c r="R80" s="6" t="str">
        <f>IFERROR(__xludf.DUMMYFUNCTION("""COMPUTED_VALUE"""),"-1,0,0,0,0,0")</f>
        <v>-1,0,0,0,0,0</v>
      </c>
      <c r="S80" s="6" t="str">
        <f>IFERROR(__xludf.DUMMYFUNCTION("""COMPUTED_VALUE"""),"0,0,1,0,0,0")</f>
        <v>0,0,1,0,0,0</v>
      </c>
      <c r="T80" s="6" t="str">
        <f>IFERROR(__xludf.DUMMYFUNCTION("""COMPUTED_VALUE"""),"0,0,1,0,1,0")</f>
        <v>0,0,1,0,1,0</v>
      </c>
      <c r="U80" s="6" t="str">
        <f>IFERROR(__xludf.DUMMYFUNCTION("""COMPUTED_VALUE"""),"1,0,0,0,0,0")</f>
        <v>1,0,0,0,0,0</v>
      </c>
      <c r="V80" s="6" t="str">
        <f>IFERROR(__xludf.DUMMYFUNCTION("""COMPUTED_VALUE"""),",,,,,")</f>
        <v>,,,,,</v>
      </c>
      <c r="W80" s="6" t="str">
        <f>IFERROR(__xludf.DUMMYFUNCTION("""COMPUTED_VALUE"""),"1VhY5duZynZljzs0fA-JdTCNRRkzQRGTm")</f>
        <v>1VhY5duZynZljzs0fA-JdTCNRRkzQRGTm</v>
      </c>
    </row>
    <row r="81">
      <c r="A81" s="6">
        <f>IFERROR(__xludf.DUMMYFUNCTION("""COMPUTED_VALUE"""),80.0)</f>
        <v>80</v>
      </c>
      <c r="B81" s="6" t="str">
        <f>IFERROR(__xludf.DUMMYFUNCTION("""COMPUTED_VALUE"""),"Canyon Crest A")</f>
        <v>Canyon Crest A</v>
      </c>
      <c r="C81" s="6" t="str">
        <f>IFERROR(__xludf.DUMMYFUNCTION("""COMPUTED_VALUE"""),"Lynbrook B")</f>
        <v>Lynbrook B</v>
      </c>
      <c r="D81" s="6">
        <f>IFERROR(__xludf.DUMMYFUNCTION("""COMPUTED_VALUE"""),5.0)</f>
        <v>5</v>
      </c>
      <c r="E81" s="6" t="str">
        <f>IFERROR(__xludf.DUMMYFUNCTION("""COMPUTED_VALUE"""),"Round Robin")</f>
        <v>Round Robin</v>
      </c>
      <c r="F81" s="6" t="str">
        <f>IFERROR(__xludf.DUMMYFUNCTION("""COMPUTED_VALUE"""),"C")</f>
        <v>C</v>
      </c>
      <c r="G81" s="6" t="str">
        <f>IFERROR(__xludf.DUMMYFUNCTION("""COMPUTED_VALUE"""),"DWINELLE 182")</f>
        <v>DWINELLE 182</v>
      </c>
      <c r="H81" s="6" t="str">
        <f>IFERROR(__xludf.DUMMYFUNCTION("""COMPUTED_VALUE"""),"1lmynrMYWpb3_BfzgFRHTClIgGAByvXKyM4APc2i6o2Y")</f>
        <v>1lmynrMYWpb3_BfzgFRHTClIgGAByvXKyM4APc2i6o2Y</v>
      </c>
      <c r="I81" s="16" t="str">
        <f>IFERROR(__xludf.DUMMYFUNCTION("""COMPUTED_VALUE"""),"https://docs.google.com/spreadsheets/d/1lmynrMYWpb3_BfzgFRHTClIgGAByvXKyM4APc2i6o2Y")</f>
        <v>https://docs.google.com/spreadsheets/d/1lmynrMYWpb3_BfzgFRHTClIgGAByvXKyM4APc2i6o2Y</v>
      </c>
      <c r="J81" s="6" t="b">
        <f>IFERROR(__xludf.DUMMYFUNCTION("""COMPUTED_VALUE"""),TRUE)</f>
        <v>1</v>
      </c>
      <c r="K81" s="6">
        <f>IFERROR(__xludf.DUMMYFUNCTION("""COMPUTED_VALUE"""),146.0)</f>
        <v>146</v>
      </c>
      <c r="L81" s="6">
        <f>IFERROR(__xludf.DUMMYFUNCTION("""COMPUTED_VALUE"""),76.0)</f>
        <v>76</v>
      </c>
      <c r="M81" s="6" t="str">
        <f>IFERROR(__xludf.DUMMYFUNCTION("""COMPUTED_VALUE"""),"0,1,1.5,1.5,0,3")</f>
        <v>0,1,1.5,1.5,0,3</v>
      </c>
      <c r="N81" s="6" t="str">
        <f>IFERROR(__xludf.DUMMYFUNCTION("""COMPUTED_VALUE"""),"0,0,2,1.5,0,0")</f>
        <v>0,0,2,1.5,0,0</v>
      </c>
      <c r="O81" s="6" t="str">
        <f>IFERROR(__xludf.DUMMYFUNCTION("""COMPUTED_VALUE"""),"4,0,0,1.5,0,0")</f>
        <v>4,0,0,1.5,0,0</v>
      </c>
      <c r="P81" s="6" t="str">
        <f>IFERROR(__xludf.DUMMYFUNCTION("""COMPUTED_VALUE"""),"0,0,0,0,0,0")</f>
        <v>0,0,0,0,0,0</v>
      </c>
      <c r="Q81" s="6" t="str">
        <f>IFERROR(__xludf.DUMMYFUNCTION("""COMPUTED_VALUE"""),",,,,,")</f>
        <v>,,,,,</v>
      </c>
      <c r="R81" s="6" t="str">
        <f>IFERROR(__xludf.DUMMYFUNCTION("""COMPUTED_VALUE"""),"0,0,0,0,0,0")</f>
        <v>0,0,0,0,0,0</v>
      </c>
      <c r="S81" s="6" t="str">
        <f>IFERROR(__xludf.DUMMYFUNCTION("""COMPUTED_VALUE"""),"#N/A")</f>
        <v>#N/A</v>
      </c>
      <c r="T81" s="6" t="str">
        <f>IFERROR(__xludf.DUMMYFUNCTION("""COMPUTED_VALUE"""),"0,1.5,0,0,4.5,3")</f>
        <v>0,1.5,0,0,4.5,3</v>
      </c>
      <c r="U81" s="6" t="str">
        <f>IFERROR(__xludf.DUMMYFUNCTION("""COMPUTED_VALUE"""),"0,0,-1,0,0,0")</f>
        <v>0,0,-1,0,0,0</v>
      </c>
      <c r="V81" s="6" t="str">
        <f>IFERROR(__xludf.DUMMYFUNCTION("""COMPUTED_VALUE"""),"0,0,0,0,0,0")</f>
        <v>0,0,0,0,0,0</v>
      </c>
      <c r="W81" s="6" t="str">
        <f>IFERROR(__xludf.DUMMYFUNCTION("""COMPUTED_VALUE"""),"1ZWlRd0tVUxuNmZQwbNvEW7lU7lmJQorm")</f>
        <v>1ZWlRd0tVUxuNmZQwbNvEW7lU7lmJQorm</v>
      </c>
    </row>
    <row r="82">
      <c r="A82" s="6">
        <f>IFERROR(__xludf.DUMMYFUNCTION("""COMPUTED_VALUE"""),81.0)</f>
        <v>81</v>
      </c>
      <c r="B82" s="6" t="str">
        <f>IFERROR(__xludf.DUMMYFUNCTION("""COMPUTED_VALUE"""),"Cupertino B")</f>
        <v>Cupertino B</v>
      </c>
      <c r="C82" s="6" t="str">
        <f>IFERROR(__xludf.DUMMYFUNCTION("""COMPUTED_VALUE"""),"Mira Loma A")</f>
        <v>Mira Loma A</v>
      </c>
      <c r="D82" s="6">
        <f>IFERROR(__xludf.DUMMYFUNCTION("""COMPUTED_VALUE"""),5.0)</f>
        <v>5</v>
      </c>
      <c r="E82" s="6" t="str">
        <f>IFERROR(__xludf.DUMMYFUNCTION("""COMPUTED_VALUE"""),"Round Robin")</f>
        <v>Round Robin</v>
      </c>
      <c r="F82" s="6" t="str">
        <f>IFERROR(__xludf.DUMMYFUNCTION("""COMPUTED_VALUE"""),"C")</f>
        <v>C</v>
      </c>
      <c r="G82" s="6" t="str">
        <f>IFERROR(__xludf.DUMMYFUNCTION("""COMPUTED_VALUE"""),"DWINELLE 183")</f>
        <v>DWINELLE 183</v>
      </c>
      <c r="H82" s="6" t="str">
        <f>IFERROR(__xludf.DUMMYFUNCTION("""COMPUTED_VALUE"""),"1hOOxU0m8MDPAiqirRfrgfSYL2KwH9frDs4OGy7MIjIE")</f>
        <v>1hOOxU0m8MDPAiqirRfrgfSYL2KwH9frDs4OGy7MIjIE</v>
      </c>
      <c r="I82" s="16" t="str">
        <f>IFERROR(__xludf.DUMMYFUNCTION("""COMPUTED_VALUE"""),"https://docs.google.com/spreadsheets/d/1hOOxU0m8MDPAiqirRfrgfSYL2KwH9frDs4OGy7MIjIE")</f>
        <v>https://docs.google.com/spreadsheets/d/1hOOxU0m8MDPAiqirRfrgfSYL2KwH9frDs4OGy7MIjIE</v>
      </c>
      <c r="J82" s="6" t="b">
        <f>IFERROR(__xludf.DUMMYFUNCTION("""COMPUTED_VALUE"""),TRUE)</f>
        <v>1</v>
      </c>
      <c r="K82" s="6">
        <f>IFERROR(__xludf.DUMMYFUNCTION("""COMPUTED_VALUE"""),18.0)</f>
        <v>18</v>
      </c>
      <c r="L82" s="6">
        <f>IFERROR(__xludf.DUMMYFUNCTION("""COMPUTED_VALUE"""),146.0)</f>
        <v>146</v>
      </c>
      <c r="M82" s="6" t="str">
        <f>IFERROR(__xludf.DUMMYFUNCTION("""COMPUTED_VALUE"""),"0,1,0,0,0,0")</f>
        <v>0,1,0,0,0,0</v>
      </c>
      <c r="N82" s="6" t="str">
        <f>IFERROR(__xludf.DUMMYFUNCTION("""COMPUTED_VALUE"""),"0,0,0,0,0,0")</f>
        <v>0,0,0,0,0,0</v>
      </c>
      <c r="O82" s="6" t="str">
        <f>IFERROR(__xludf.DUMMYFUNCTION("""COMPUTED_VALUE"""),"1.5,0,0,0,0,0")</f>
        <v>1.5,0,0,0,0,0</v>
      </c>
      <c r="P82" s="6" t="str">
        <f>IFERROR(__xludf.DUMMYFUNCTION("""COMPUTED_VALUE"""),"0,0,0,0,0,0")</f>
        <v>0,0,0,0,0,0</v>
      </c>
      <c r="Q82" s="6" t="str">
        <f>IFERROR(__xludf.DUMMYFUNCTION("""COMPUTED_VALUE"""),"0,0,0,0,0,0")</f>
        <v>0,0,0,0,0,0</v>
      </c>
      <c r="R82" s="6" t="str">
        <f>IFERROR(__xludf.DUMMYFUNCTION("""COMPUTED_VALUE"""),"0,0,0,0,2,0")</f>
        <v>0,0,0,0,2,0</v>
      </c>
      <c r="S82" s="6" t="str">
        <f>IFERROR(__xludf.DUMMYFUNCTION("""COMPUTED_VALUE"""),"1.5,1.5,1.5,1.5,0,3")</f>
        <v>1.5,1.5,1.5,1.5,0,3</v>
      </c>
      <c r="T82" s="6" t="str">
        <f>IFERROR(__xludf.DUMMYFUNCTION("""COMPUTED_VALUE"""),"0,0,0,0,0,0")</f>
        <v>0,0,0,0,0,0</v>
      </c>
      <c r="U82" s="6" t="str">
        <f>IFERROR(__xludf.DUMMYFUNCTION("""COMPUTED_VALUE"""),"0,1,1.5,0,0,0")</f>
        <v>0,1,1.5,0,0,0</v>
      </c>
      <c r="V82" s="6" t="str">
        <f>IFERROR(__xludf.DUMMYFUNCTION("""COMPUTED_VALUE"""),"2.5,0,0,1.5,1.5,0")</f>
        <v>2.5,0,0,1.5,1.5,0</v>
      </c>
      <c r="W82" s="6" t="str">
        <f>IFERROR(__xludf.DUMMYFUNCTION("""COMPUTED_VALUE"""),"1kCYgKAw3Bdw0Zvfxh3KTs44KLK8OXdlZ")</f>
        <v>1kCYgKAw3Bdw0Zvfxh3KTs44KLK8OXdlZ</v>
      </c>
    </row>
    <row r="83">
      <c r="A83" s="6">
        <f>IFERROR(__xludf.DUMMYFUNCTION("""COMPUTED_VALUE"""),82.0)</f>
        <v>82</v>
      </c>
      <c r="B83" s="6" t="str">
        <f>IFERROR(__xludf.DUMMYFUNCTION("""COMPUTED_VALUE"""),"Arnold O. Beckman A")</f>
        <v>Arnold O. Beckman A</v>
      </c>
      <c r="C83" s="6" t="str">
        <f>IFERROR(__xludf.DUMMYFUNCTION("""COMPUTED_VALUE"""),"Lynbrook A")</f>
        <v>Lynbrook A</v>
      </c>
      <c r="D83" s="6">
        <f>IFERROR(__xludf.DUMMYFUNCTION("""COMPUTED_VALUE"""),5.0)</f>
        <v>5</v>
      </c>
      <c r="E83" s="6" t="str">
        <f>IFERROR(__xludf.DUMMYFUNCTION("""COMPUTED_VALUE"""),"Round Robin")</f>
        <v>Round Robin</v>
      </c>
      <c r="F83" s="6" t="str">
        <f>IFERROR(__xludf.DUMMYFUNCTION("""COMPUTED_VALUE"""),"D")</f>
        <v>D</v>
      </c>
      <c r="G83" s="6" t="str">
        <f>IFERROR(__xludf.DUMMYFUNCTION("""COMPUTED_VALUE"""),"DWINELLE 189")</f>
        <v>DWINELLE 189</v>
      </c>
      <c r="H83" s="6" t="str">
        <f>IFERROR(__xludf.DUMMYFUNCTION("""COMPUTED_VALUE"""),"15deHYgYzEdUNH9GPJLjgOugTRe7nz3RHY-_ycHMNBVc")</f>
        <v>15deHYgYzEdUNH9GPJLjgOugTRe7nz3RHY-_ycHMNBVc</v>
      </c>
      <c r="I83" s="16" t="str">
        <f>IFERROR(__xludf.DUMMYFUNCTION("""COMPUTED_VALUE"""),"https://docs.google.com/spreadsheets/d/15deHYgYzEdUNH9GPJLjgOugTRe7nz3RHY-_ycHMNBVc")</f>
        <v>https://docs.google.com/spreadsheets/d/15deHYgYzEdUNH9GPJLjgOugTRe7nz3RHY-_ycHMNBVc</v>
      </c>
      <c r="J83" s="6" t="b">
        <f>IFERROR(__xludf.DUMMYFUNCTION("""COMPUTED_VALUE"""),TRUE)</f>
        <v>1</v>
      </c>
      <c r="K83" s="6">
        <f>IFERROR(__xludf.DUMMYFUNCTION("""COMPUTED_VALUE"""),12.0)</f>
        <v>12</v>
      </c>
      <c r="L83" s="6">
        <f>IFERROR(__xludf.DUMMYFUNCTION("""COMPUTED_VALUE"""),160.0)</f>
        <v>160</v>
      </c>
      <c r="M83" s="6" t="str">
        <f>IFERROR(__xludf.DUMMYFUNCTION("""COMPUTED_VALUE"""),"0,0,1,0,0,0")</f>
        <v>0,0,1,0,0,0</v>
      </c>
      <c r="N83" s="6" t="str">
        <f>IFERROR(__xludf.DUMMYFUNCTION("""COMPUTED_VALUE"""),"0,0,-1,0,0,1")</f>
        <v>0,0,-1,0,0,1</v>
      </c>
      <c r="O83" s="6" t="str">
        <f>IFERROR(__xludf.DUMMYFUNCTION("""COMPUTED_VALUE"""),"0,0,0,0,0,0")</f>
        <v>0,0,0,0,0,0</v>
      </c>
      <c r="P83" s="6" t="str">
        <f>IFERROR(__xludf.DUMMYFUNCTION("""COMPUTED_VALUE"""),"0,0,0,0,0,0")</f>
        <v>0,0,0,0,0,0</v>
      </c>
      <c r="Q83" s="6" t="str">
        <f>IFERROR(__xludf.DUMMYFUNCTION("""COMPUTED_VALUE"""),",,,,,")</f>
        <v>,,,,,</v>
      </c>
      <c r="R83" s="6" t="str">
        <f>IFERROR(__xludf.DUMMYFUNCTION("""COMPUTED_VALUE"""),"1.5,0,0,1,0,0")</f>
        <v>1.5,0,0,1,0,0</v>
      </c>
      <c r="S83" s="6" t="str">
        <f>IFERROR(__xludf.DUMMYFUNCTION("""COMPUTED_VALUE"""),"1.5,1.5,0,1.5,4,1.5")</f>
        <v>1.5,1.5,0,1.5,4,1.5</v>
      </c>
      <c r="T83" s="6" t="str">
        <f>IFERROR(__xludf.DUMMYFUNCTION("""COMPUTED_VALUE"""),"0,0,0.5,0,0,0")</f>
        <v>0,0,0.5,0,0,0</v>
      </c>
      <c r="U83" s="6" t="str">
        <f>IFERROR(__xludf.DUMMYFUNCTION("""COMPUTED_VALUE"""),"2,0,0,0,0,0")</f>
        <v>2,0,0,0,0,0</v>
      </c>
      <c r="V83" s="6" t="str">
        <f>IFERROR(__xludf.DUMMYFUNCTION("""COMPUTED_VALUE"""),"0,0,1.5,1.5,0,0")</f>
        <v>0,0,1.5,1.5,0,0</v>
      </c>
      <c r="W83" s="6" t="str">
        <f>IFERROR(__xludf.DUMMYFUNCTION("""COMPUTED_VALUE"""),"1SugmEQju9xy78Wv1Su4-qpjFyVCOG0t1")</f>
        <v>1SugmEQju9xy78Wv1Su4-qpjFyVCOG0t1</v>
      </c>
    </row>
    <row r="84">
      <c r="A84" s="6">
        <f>IFERROR(__xludf.DUMMYFUNCTION("""COMPUTED_VALUE"""),83.0)</f>
        <v>83</v>
      </c>
      <c r="B84" s="6" t="str">
        <f>IFERROR(__xludf.DUMMYFUNCTION("""COMPUTED_VALUE"""),"BASIS Independent A")</f>
        <v>BASIS Independent A</v>
      </c>
      <c r="C84" s="6" t="str">
        <f>IFERROR(__xludf.DUMMYFUNCTION("""COMPUTED_VALUE"""),"Canyon Crest B")</f>
        <v>Canyon Crest B</v>
      </c>
      <c r="D84" s="6">
        <f>IFERROR(__xludf.DUMMYFUNCTION("""COMPUTED_VALUE"""),5.0)</f>
        <v>5</v>
      </c>
      <c r="E84" s="6" t="str">
        <f>IFERROR(__xludf.DUMMYFUNCTION("""COMPUTED_VALUE"""),"Round Robin")</f>
        <v>Round Robin</v>
      </c>
      <c r="F84" s="6" t="str">
        <f>IFERROR(__xludf.DUMMYFUNCTION("""COMPUTED_VALUE"""),"D")</f>
        <v>D</v>
      </c>
      <c r="G84" s="6" t="str">
        <f>IFERROR(__xludf.DUMMYFUNCTION("""COMPUTED_VALUE"""),"DWINELLE 204")</f>
        <v>DWINELLE 204</v>
      </c>
      <c r="H84" s="6" t="str">
        <f>IFERROR(__xludf.DUMMYFUNCTION("""COMPUTED_VALUE"""),"1VwCoZsplWg7fDrBy2auubkGB27xiStZ9H93BLd7pwso")</f>
        <v>1VwCoZsplWg7fDrBy2auubkGB27xiStZ9H93BLd7pwso</v>
      </c>
      <c r="I84" s="16" t="str">
        <f>IFERROR(__xludf.DUMMYFUNCTION("""COMPUTED_VALUE"""),"https://docs.google.com/spreadsheets/d/1VwCoZsplWg7fDrBy2auubkGB27xiStZ9H93BLd7pwso")</f>
        <v>https://docs.google.com/spreadsheets/d/1VwCoZsplWg7fDrBy2auubkGB27xiStZ9H93BLd7pwso</v>
      </c>
      <c r="J84" s="6" t="b">
        <f>IFERROR(__xludf.DUMMYFUNCTION("""COMPUTED_VALUE"""),TRUE)</f>
        <v>1</v>
      </c>
      <c r="K84" s="6">
        <f>IFERROR(__xludf.DUMMYFUNCTION("""COMPUTED_VALUE"""),40.0)</f>
        <v>40</v>
      </c>
      <c r="L84" s="6">
        <f>IFERROR(__xludf.DUMMYFUNCTION("""COMPUTED_VALUE"""),104.0)</f>
        <v>104</v>
      </c>
      <c r="M84" s="6" t="str">
        <f>IFERROR(__xludf.DUMMYFUNCTION("""COMPUTED_VALUE"""),"0,0,0,0,0,0")</f>
        <v>0,0,0,0,0,0</v>
      </c>
      <c r="N84" s="6" t="str">
        <f>IFERROR(__xludf.DUMMYFUNCTION("""COMPUTED_VALUE"""),"0,0,1.5,0,0,2.5")</f>
        <v>0,0,1.5,0,0,2.5</v>
      </c>
      <c r="O84" s="6" t="str">
        <f>IFERROR(__xludf.DUMMYFUNCTION("""COMPUTED_VALUE"""),"0,0,0,0,0,0")</f>
        <v>0,0,0,0,0,0</v>
      </c>
      <c r="P84" s="6" t="str">
        <f>IFERROR(__xludf.DUMMYFUNCTION("""COMPUTED_VALUE"""),"0,0,1,0,0,0")</f>
        <v>0,0,1,0,0,0</v>
      </c>
      <c r="Q84" s="6" t="str">
        <f>IFERROR(__xludf.DUMMYFUNCTION("""COMPUTED_VALUE"""),"0,0,0,0,0,0")</f>
        <v>0,0,0,0,0,0</v>
      </c>
      <c r="R84" s="6" t="str">
        <f>IFERROR(__xludf.DUMMYFUNCTION("""COMPUTED_VALUE"""),"1.5,1.5,0,2,0,1.5")</f>
        <v>1.5,1.5,0,2,0,1.5</v>
      </c>
      <c r="S84" s="6" t="str">
        <f>IFERROR(__xludf.DUMMYFUNCTION("""COMPUTED_VALUE"""),"1.5,0,-1,0,0,0")</f>
        <v>1.5,0,-1,0,0,0</v>
      </c>
      <c r="T84" s="6" t="str">
        <f>IFERROR(__xludf.DUMMYFUNCTION("""COMPUTED_VALUE"""),"0,0,1,1.5,1.5,1.5")</f>
        <v>0,0,1,1.5,1.5,1.5</v>
      </c>
      <c r="U84" s="6" t="str">
        <f>IFERROR(__xludf.DUMMYFUNCTION("""COMPUTED_VALUE"""),"0,0,0,0,1,0")</f>
        <v>0,0,0,0,1,0</v>
      </c>
      <c r="V84" s="6" t="str">
        <f>IFERROR(__xludf.DUMMYFUNCTION("""COMPUTED_VALUE"""),",,,,,")</f>
        <v>,,,,,</v>
      </c>
      <c r="W84" s="6" t="str">
        <f>IFERROR(__xludf.DUMMYFUNCTION("""COMPUTED_VALUE"""),"1Mt9Xksd_TdHkCUOFuH_LJ7Nfrgu0axBx")</f>
        <v>1Mt9Xksd_TdHkCUOFuH_LJ7Nfrgu0axBx</v>
      </c>
    </row>
    <row r="85">
      <c r="A85" s="6">
        <f>IFERROR(__xludf.DUMMYFUNCTION("""COMPUTED_VALUE"""),84.0)</f>
        <v>84</v>
      </c>
      <c r="B85" s="6" t="str">
        <f>IFERROR(__xludf.DUMMYFUNCTION("""COMPUTED_VALUE"""),"Monta Vista B")</f>
        <v>Monta Vista B</v>
      </c>
      <c r="C85" s="6" t="str">
        <f>IFERROR(__xludf.DUMMYFUNCTION("""COMPUTED_VALUE"""),"Palo Alto A")</f>
        <v>Palo Alto A</v>
      </c>
      <c r="D85" s="6">
        <f>IFERROR(__xludf.DUMMYFUNCTION("""COMPUTED_VALUE"""),5.0)</f>
        <v>5</v>
      </c>
      <c r="E85" s="6" t="str">
        <f>IFERROR(__xludf.DUMMYFUNCTION("""COMPUTED_VALUE"""),"Round Robin")</f>
        <v>Round Robin</v>
      </c>
      <c r="F85" s="6" t="str">
        <f>IFERROR(__xludf.DUMMYFUNCTION("""COMPUTED_VALUE"""),"D")</f>
        <v>D</v>
      </c>
      <c r="G85" s="6" t="str">
        <f>IFERROR(__xludf.DUMMYFUNCTION("""COMPUTED_VALUE"""),"DWINELLE 206")</f>
        <v>DWINELLE 206</v>
      </c>
      <c r="H85" s="6" t="str">
        <f>IFERROR(__xludf.DUMMYFUNCTION("""COMPUTED_VALUE"""),"10oipfe3eGVZaBx9dbZWUxZkLRYvtqD1Hu-HGGDAGCkI")</f>
        <v>10oipfe3eGVZaBx9dbZWUxZkLRYvtqD1Hu-HGGDAGCkI</v>
      </c>
      <c r="I85" s="16" t="str">
        <f>IFERROR(__xludf.DUMMYFUNCTION("""COMPUTED_VALUE"""),"https://docs.google.com/spreadsheets/d/10oipfe3eGVZaBx9dbZWUxZkLRYvtqD1Hu-HGGDAGCkI")</f>
        <v>https://docs.google.com/spreadsheets/d/10oipfe3eGVZaBx9dbZWUxZkLRYvtqD1Hu-HGGDAGCkI</v>
      </c>
      <c r="J85" s="6" t="b">
        <f>IFERROR(__xludf.DUMMYFUNCTION("""COMPUTED_VALUE"""),TRUE)</f>
        <v>1</v>
      </c>
      <c r="K85" s="6">
        <f>IFERROR(__xludf.DUMMYFUNCTION("""COMPUTED_VALUE"""),54.0)</f>
        <v>54</v>
      </c>
      <c r="L85" s="6">
        <f>IFERROR(__xludf.DUMMYFUNCTION("""COMPUTED_VALUE"""),98.0)</f>
        <v>98</v>
      </c>
      <c r="M85" s="6" t="str">
        <f>IFERROR(__xludf.DUMMYFUNCTION("""COMPUTED_VALUE"""),"0,0,0,0,0,0")</f>
        <v>0,0,0,0,0,0</v>
      </c>
      <c r="N85" s="6" t="str">
        <f>IFERROR(__xludf.DUMMYFUNCTION("""COMPUTED_VALUE"""),"0,0,-1,0,0,3")</f>
        <v>0,0,-1,0,0,3</v>
      </c>
      <c r="O85" s="6" t="str">
        <f>IFERROR(__xludf.DUMMYFUNCTION("""COMPUTED_VALUE"""),"0,0,0,0,1.5,0")</f>
        <v>0,0,0,0,1.5,0</v>
      </c>
      <c r="P85" s="6" t="str">
        <f>IFERROR(__xludf.DUMMYFUNCTION("""COMPUTED_VALUE"""),"#N/A")</f>
        <v>#N/A</v>
      </c>
      <c r="Q85" s="6" t="str">
        <f>IFERROR(__xludf.DUMMYFUNCTION("""COMPUTED_VALUE"""),"0,0,0,1,0,0")</f>
        <v>0,0,0,1,0,0</v>
      </c>
      <c r="R85" s="6" t="str">
        <f>IFERROR(__xludf.DUMMYFUNCTION("""COMPUTED_VALUE"""),"0,4.5,1.5,0,0,0.5")</f>
        <v>0,4.5,1.5,0,0,0.5</v>
      </c>
      <c r="S85" s="6" t="str">
        <f>IFERROR(__xludf.DUMMYFUNCTION("""COMPUTED_VALUE"""),"1,0,1.5,0,0,0")</f>
        <v>1,0,1.5,0,0,0</v>
      </c>
      <c r="T85" s="6" t="str">
        <f>IFERROR(__xludf.DUMMYFUNCTION("""COMPUTED_VALUE"""),"0,0,0,1,0,0")</f>
        <v>0,0,0,1,0,0</v>
      </c>
      <c r="U85" s="6" t="str">
        <f>IFERROR(__xludf.DUMMYFUNCTION("""COMPUTED_VALUE"""),"0,0,0,0,2,0")</f>
        <v>0,0,0,0,2,0</v>
      </c>
      <c r="V85" s="6" t="str">
        <f>IFERROR(__xludf.DUMMYFUNCTION("""COMPUTED_VALUE"""),"#N/A")</f>
        <v>#N/A</v>
      </c>
      <c r="W85" s="6" t="str">
        <f>IFERROR(__xludf.DUMMYFUNCTION("""COMPUTED_VALUE"""),"1R8Q7gRcKc9BVAL76Yk7Shtq5EWg_4_YO")</f>
        <v>1R8Q7gRcKc9BVAL76Yk7Shtq5EWg_4_YO</v>
      </c>
    </row>
    <row r="86">
      <c r="A86" s="6">
        <f>IFERROR(__xludf.DUMMYFUNCTION("""COMPUTED_VALUE"""),85.0)</f>
        <v>85</v>
      </c>
      <c r="B86" s="6" t="str">
        <f>IFERROR(__xludf.DUMMYFUNCTION("""COMPUTED_VALUE"""),"Archbishop Mitty A")</f>
        <v>Archbishop Mitty A</v>
      </c>
      <c r="C86" s="6" t="str">
        <f>IFERROR(__xludf.DUMMYFUNCTION("""COMPUTED_VALUE"""),"Abraham Lincoln")</f>
        <v>Abraham Lincoln</v>
      </c>
      <c r="D86" s="6">
        <f>IFERROR(__xludf.DUMMYFUNCTION("""COMPUTED_VALUE"""),5.0)</f>
        <v>5</v>
      </c>
      <c r="E86" s="6" t="str">
        <f>IFERROR(__xludf.DUMMYFUNCTION("""COMPUTED_VALUE"""),"Round Robin")</f>
        <v>Round Robin</v>
      </c>
      <c r="F86" s="6" t="str">
        <f>IFERROR(__xludf.DUMMYFUNCTION("""COMPUTED_VALUE"""),"E")</f>
        <v>E</v>
      </c>
      <c r="G86" s="6" t="str">
        <f>IFERROR(__xludf.DUMMYFUNCTION("""COMPUTED_VALUE"""),"DWINELLE 209")</f>
        <v>DWINELLE 209</v>
      </c>
      <c r="H86" s="6" t="str">
        <f>IFERROR(__xludf.DUMMYFUNCTION("""COMPUTED_VALUE"""),"11KZfWuBj-vuhPkhvYhtZpe9byoY9STAV6vQ4qnwi8-4")</f>
        <v>11KZfWuBj-vuhPkhvYhtZpe9byoY9STAV6vQ4qnwi8-4</v>
      </c>
      <c r="I86" s="16" t="str">
        <f>IFERROR(__xludf.DUMMYFUNCTION("""COMPUTED_VALUE"""),"https://docs.google.com/spreadsheets/d/11KZfWuBj-vuhPkhvYhtZpe9byoY9STAV6vQ4qnwi8-4")</f>
        <v>https://docs.google.com/spreadsheets/d/11KZfWuBj-vuhPkhvYhtZpe9byoY9STAV6vQ4qnwi8-4</v>
      </c>
      <c r="J86" s="6" t="b">
        <f>IFERROR(__xludf.DUMMYFUNCTION("""COMPUTED_VALUE"""),TRUE)</f>
        <v>1</v>
      </c>
      <c r="K86" s="6">
        <f>IFERROR(__xludf.DUMMYFUNCTION("""COMPUTED_VALUE"""),58.0)</f>
        <v>58</v>
      </c>
      <c r="L86" s="6">
        <f>IFERROR(__xludf.DUMMYFUNCTION("""COMPUTED_VALUE"""),16.0)</f>
        <v>16</v>
      </c>
      <c r="M86" s="6" t="str">
        <f>IFERROR(__xludf.DUMMYFUNCTION("""COMPUTED_VALUE"""),"1.5,1,0,0,0,1.5")</f>
        <v>1.5,1,0,0,0,1.5</v>
      </c>
      <c r="N86" s="6" t="str">
        <f>IFERROR(__xludf.DUMMYFUNCTION("""COMPUTED_VALUE"""),"0,0,-1,0,0,0")</f>
        <v>0,0,-1,0,0,0</v>
      </c>
      <c r="O86" s="6" t="str">
        <f>IFERROR(__xludf.DUMMYFUNCTION("""COMPUTED_VALUE"""),"0,0,0,0,-1,0")</f>
        <v>0,0,0,0,-1,0</v>
      </c>
      <c r="P86" s="6" t="str">
        <f>IFERROR(__xludf.DUMMYFUNCTION("""COMPUTED_VALUE"""),"1.5,1,0,1.5,0,0")</f>
        <v>1.5,1,0,1.5,0,0</v>
      </c>
      <c r="Q86" s="6" t="str">
        <f>IFERROR(__xludf.DUMMYFUNCTION("""COMPUTED_VALUE"""),",,,,,")</f>
        <v>,,,,,</v>
      </c>
      <c r="R86" s="6" t="str">
        <f>IFERROR(__xludf.DUMMYFUNCTION("""COMPUTED_VALUE"""),"0,0,0,0,0,0")</f>
        <v>0,0,0,0,0,0</v>
      </c>
      <c r="S86" s="6" t="str">
        <f>IFERROR(__xludf.DUMMYFUNCTION("""COMPUTED_VALUE"""),"0,0,2,0,0,-1")</f>
        <v>0,0,2,0,0,-1</v>
      </c>
      <c r="T86" s="6" t="str">
        <f>IFERROR(__xludf.DUMMYFUNCTION("""COMPUTED_VALUE"""),"0,0,0,0,0,0")</f>
        <v>0,0,0,0,0,0</v>
      </c>
      <c r="U86" s="6" t="str">
        <f>IFERROR(__xludf.DUMMYFUNCTION("""COMPUTED_VALUE"""),"0,0,0,0,0,0")</f>
        <v>0,0,0,0,0,0</v>
      </c>
      <c r="V86" s="6" t="str">
        <f>IFERROR(__xludf.DUMMYFUNCTION("""COMPUTED_VALUE"""),"0,0,0,0,0,0")</f>
        <v>0,0,0,0,0,0</v>
      </c>
      <c r="W86" s="6" t="str">
        <f>IFERROR(__xludf.DUMMYFUNCTION("""COMPUTED_VALUE"""),"1ceIlOa2fB7WrLZM2CEwKD06R4jlBCRMA")</f>
        <v>1ceIlOa2fB7WrLZM2CEwKD06R4jlBCRMA</v>
      </c>
    </row>
    <row r="87">
      <c r="A87" s="6">
        <f>IFERROR(__xludf.DUMMYFUNCTION("""COMPUTED_VALUE"""),86.0)</f>
        <v>86</v>
      </c>
      <c r="B87" s="6" t="str">
        <f>IFERROR(__xludf.DUMMYFUNCTION("""COMPUTED_VALUE"""),"Lynbrook C")</f>
        <v>Lynbrook C</v>
      </c>
      <c r="C87" s="6" t="str">
        <f>IFERROR(__xludf.DUMMYFUNCTION("""COMPUTED_VALUE"""),"Saratoga")</f>
        <v>Saratoga</v>
      </c>
      <c r="D87" s="6">
        <f>IFERROR(__xludf.DUMMYFUNCTION("""COMPUTED_VALUE"""),5.0)</f>
        <v>5</v>
      </c>
      <c r="E87" s="6" t="str">
        <f>IFERROR(__xludf.DUMMYFUNCTION("""COMPUTED_VALUE"""),"Round Robin")</f>
        <v>Round Robin</v>
      </c>
      <c r="F87" s="6" t="str">
        <f>IFERROR(__xludf.DUMMYFUNCTION("""COMPUTED_VALUE"""),"E")</f>
        <v>E</v>
      </c>
      <c r="G87" s="6" t="str">
        <f>IFERROR(__xludf.DUMMYFUNCTION("""COMPUTED_VALUE"""),"DWINELLE 210")</f>
        <v>DWINELLE 210</v>
      </c>
      <c r="H87" s="6" t="str">
        <f>IFERROR(__xludf.DUMMYFUNCTION("""COMPUTED_VALUE"""),"1eueRrNkhjdTQZv95xecFh6l-YNKa_kgdln1Xwluspwc")</f>
        <v>1eueRrNkhjdTQZv95xecFh6l-YNKa_kgdln1Xwluspwc</v>
      </c>
      <c r="I87" s="16" t="str">
        <f>IFERROR(__xludf.DUMMYFUNCTION("""COMPUTED_VALUE"""),"https://docs.google.com/spreadsheets/d/1eueRrNkhjdTQZv95xecFh6l-YNKa_kgdln1Xwluspwc")</f>
        <v>https://docs.google.com/spreadsheets/d/1eueRrNkhjdTQZv95xecFh6l-YNKa_kgdln1Xwluspwc</v>
      </c>
      <c r="J87" s="6" t="b">
        <f>IFERROR(__xludf.DUMMYFUNCTION("""COMPUTED_VALUE"""),TRUE)</f>
        <v>1</v>
      </c>
      <c r="K87" s="6">
        <f>IFERROR(__xludf.DUMMYFUNCTION("""COMPUTED_VALUE"""),80.0)</f>
        <v>80</v>
      </c>
      <c r="L87" s="6">
        <f>IFERROR(__xludf.DUMMYFUNCTION("""COMPUTED_VALUE"""),78.0)</f>
        <v>78</v>
      </c>
      <c r="M87" s="6" t="str">
        <f>IFERROR(__xludf.DUMMYFUNCTION("""COMPUTED_VALUE"""),"#N/A")</f>
        <v>#N/A</v>
      </c>
      <c r="N87" s="6" t="str">
        <f>IFERROR(__xludf.DUMMYFUNCTION("""COMPUTED_VALUE"""),"0,0,0,0,0,0")</f>
        <v>0,0,0,0,0,0</v>
      </c>
      <c r="O87" s="6" t="str">
        <f>IFERROR(__xludf.DUMMYFUNCTION("""COMPUTED_VALUE"""),"0,0,0,0,1,0")</f>
        <v>0,0,0,0,1,0</v>
      </c>
      <c r="P87" s="6" t="str">
        <f>IFERROR(__xludf.DUMMYFUNCTION("""COMPUTED_VALUE"""),"0,0,3.5,0,0,0")</f>
        <v>0,0,3.5,0,0,0</v>
      </c>
      <c r="Q87" s="6" t="str">
        <f>IFERROR(__xludf.DUMMYFUNCTION("""COMPUTED_VALUE"""),"0,1.5,0,0,1.5,1.5")</f>
        <v>0,1.5,0,0,1.5,1.5</v>
      </c>
      <c r="R87" s="6" t="str">
        <f>IFERROR(__xludf.DUMMYFUNCTION("""COMPUTED_VALUE"""),"1,1.5,-1,1.5,0,2.5")</f>
        <v>1,1.5,-1,1.5,0,2.5</v>
      </c>
      <c r="S87" s="6" t="str">
        <f>IFERROR(__xludf.DUMMYFUNCTION("""COMPUTED_VALUE"""),"1,1,0,1.5,0,0")</f>
        <v>1,1,0,1.5,0,0</v>
      </c>
      <c r="T87" s="6" t="str">
        <f>IFERROR(__xludf.DUMMYFUNCTION("""COMPUTED_VALUE"""),"0,0,0,0,0,0")</f>
        <v>0,0,0,0,0,0</v>
      </c>
      <c r="U87" s="6" t="str">
        <f>IFERROR(__xludf.DUMMYFUNCTION("""COMPUTED_VALUE"""),"1,0,-1,0,0,0")</f>
        <v>1,0,-1,0,0,0</v>
      </c>
      <c r="V87" s="6" t="str">
        <f>IFERROR(__xludf.DUMMYFUNCTION("""COMPUTED_VALUE"""),"1,0,0,1,0,0")</f>
        <v>1,0,0,1,0,0</v>
      </c>
      <c r="W87" s="6" t="str">
        <f>IFERROR(__xludf.DUMMYFUNCTION("""COMPUTED_VALUE"""),"1_FRkf4EGoH4VxGtiBWR6Sp7-OliBOiic")</f>
        <v>1_FRkf4EGoH4VxGtiBWR6Sp7-OliBOiic</v>
      </c>
    </row>
    <row r="88">
      <c r="A88" s="6">
        <f>IFERROR(__xludf.DUMMYFUNCTION("""COMPUTED_VALUE"""),87.0)</f>
        <v>87</v>
      </c>
      <c r="B88" s="6" t="str">
        <f>IFERROR(__xludf.DUMMYFUNCTION("""COMPUTED_VALUE"""),"Mission San Jose A")</f>
        <v>Mission San Jose A</v>
      </c>
      <c r="C88" s="6" t="str">
        <f>IFERROR(__xludf.DUMMYFUNCTION("""COMPUTED_VALUE"""),"California A")</f>
        <v>California A</v>
      </c>
      <c r="D88" s="6">
        <f>IFERROR(__xludf.DUMMYFUNCTION("""COMPUTED_VALUE"""),5.0)</f>
        <v>5</v>
      </c>
      <c r="E88" s="6" t="str">
        <f>IFERROR(__xludf.DUMMYFUNCTION("""COMPUTED_VALUE"""),"Round Robin")</f>
        <v>Round Robin</v>
      </c>
      <c r="F88" s="6" t="str">
        <f>IFERROR(__xludf.DUMMYFUNCTION("""COMPUTED_VALUE"""),"E")</f>
        <v>E</v>
      </c>
      <c r="G88" s="6" t="str">
        <f>IFERROR(__xludf.DUMMYFUNCTION("""COMPUTED_VALUE"""),"DWINELLE 215")</f>
        <v>DWINELLE 215</v>
      </c>
      <c r="H88" s="6" t="str">
        <f>IFERROR(__xludf.DUMMYFUNCTION("""COMPUTED_VALUE"""),"1Cws9bQzxmjiH1GnphYp2bO5wiJgxZyIeUVMD9oG_lKs")</f>
        <v>1Cws9bQzxmjiH1GnphYp2bO5wiJgxZyIeUVMD9oG_lKs</v>
      </c>
      <c r="I88" s="16" t="str">
        <f>IFERROR(__xludf.DUMMYFUNCTION("""COMPUTED_VALUE"""),"https://docs.google.com/spreadsheets/d/1Cws9bQzxmjiH1GnphYp2bO5wiJgxZyIeUVMD9oG_lKs")</f>
        <v>https://docs.google.com/spreadsheets/d/1Cws9bQzxmjiH1GnphYp2bO5wiJgxZyIeUVMD9oG_lKs</v>
      </c>
      <c r="J88" s="6" t="b">
        <f>IFERROR(__xludf.DUMMYFUNCTION("""COMPUTED_VALUE"""),TRUE)</f>
        <v>1</v>
      </c>
      <c r="K88" s="6">
        <f>IFERROR(__xludf.DUMMYFUNCTION("""COMPUTED_VALUE"""),142.0)</f>
        <v>142</v>
      </c>
      <c r="L88" s="6">
        <f>IFERROR(__xludf.DUMMYFUNCTION("""COMPUTED_VALUE"""),40.0)</f>
        <v>40</v>
      </c>
      <c r="M88" s="6" t="str">
        <f>IFERROR(__xludf.DUMMYFUNCTION("""COMPUTED_VALUE"""),"0,1.5,0,0,1,1.5")</f>
        <v>0,1.5,0,0,1,1.5</v>
      </c>
      <c r="N88" s="6" t="str">
        <f>IFERROR(__xludf.DUMMYFUNCTION("""COMPUTED_VALUE"""),"0,3,0,0,0,0")</f>
        <v>0,3,0,0,0,0</v>
      </c>
      <c r="O88" s="6" t="str">
        <f>IFERROR(__xludf.DUMMYFUNCTION("""COMPUTED_VALUE"""),"#N/A")</f>
        <v>#N/A</v>
      </c>
      <c r="P88" s="6" t="str">
        <f>IFERROR(__xludf.DUMMYFUNCTION("""COMPUTED_VALUE"""),"0,0,3,0,1,0")</f>
        <v>0,0,3,0,1,0</v>
      </c>
      <c r="Q88" s="6" t="str">
        <f>IFERROR(__xludf.DUMMYFUNCTION("""COMPUTED_VALUE"""),"3.5,0,0,0,0,3")</f>
        <v>3.5,0,0,0,0,3</v>
      </c>
      <c r="R88" s="6" t="str">
        <f>IFERROR(__xludf.DUMMYFUNCTION("""COMPUTED_VALUE"""),"0,0,0,0,0,0")</f>
        <v>0,0,0,0,0,0</v>
      </c>
      <c r="S88" s="6" t="str">
        <f>IFERROR(__xludf.DUMMYFUNCTION("""COMPUTED_VALUE"""),"1,0,1.5,0,0,1.5")</f>
        <v>1,0,1.5,0,0,1.5</v>
      </c>
      <c r="T88" s="6" t="str">
        <f>IFERROR(__xludf.DUMMYFUNCTION("""COMPUTED_VALUE"""),"0,0,0,0,0,0")</f>
        <v>0,0,0,0,0,0</v>
      </c>
      <c r="U88" s="6" t="str">
        <f>IFERROR(__xludf.DUMMYFUNCTION("""COMPUTED_VALUE"""),"0,0,0,0,0,0")</f>
        <v>0,0,0,0,0,0</v>
      </c>
      <c r="V88" s="6" t="str">
        <f>IFERROR(__xludf.DUMMYFUNCTION("""COMPUTED_VALUE"""),"0,0,0,2,0,0")</f>
        <v>0,0,0,2,0,0</v>
      </c>
      <c r="W88" s="6" t="str">
        <f>IFERROR(__xludf.DUMMYFUNCTION("""COMPUTED_VALUE"""),"1Qna1pYsoUSO2n7l_awkcAfh7nAFZQZGE")</f>
        <v>1Qna1pYsoUSO2n7l_awkcAfh7nAFZQZGE</v>
      </c>
    </row>
    <row r="89">
      <c r="A89" s="6">
        <f>IFERROR(__xludf.DUMMYFUNCTION("""COMPUTED_VALUE"""),88.0)</f>
        <v>88</v>
      </c>
      <c r="B89" s="6" t="str">
        <f>IFERROR(__xludf.DUMMYFUNCTION("""COMPUTED_VALUE"""),"American A")</f>
        <v>American A</v>
      </c>
      <c r="C89" s="6" t="str">
        <f>IFERROR(__xludf.DUMMYFUNCTION("""COMPUTED_VALUE"""),"American B")</f>
        <v>American B</v>
      </c>
      <c r="D89" s="6">
        <f>IFERROR(__xludf.DUMMYFUNCTION("""COMPUTED_VALUE"""),5.0)</f>
        <v>5</v>
      </c>
      <c r="E89" s="6" t="str">
        <f>IFERROR(__xludf.DUMMYFUNCTION("""COMPUTED_VALUE"""),"Round Robin")</f>
        <v>Round Robin</v>
      </c>
      <c r="F89" s="6" t="str">
        <f>IFERROR(__xludf.DUMMYFUNCTION("""COMPUTED_VALUE"""),"F")</f>
        <v>F</v>
      </c>
      <c r="G89" s="6" t="str">
        <f>IFERROR(__xludf.DUMMYFUNCTION("""COMPUTED_VALUE"""),"DWINELLE 246")</f>
        <v>DWINELLE 246</v>
      </c>
      <c r="H89" s="6" t="str">
        <f>IFERROR(__xludf.DUMMYFUNCTION("""COMPUTED_VALUE"""),"1K-NH0X77wrQ8zAxVDEev6nPqbKSdNlTkU9oGSLdGOBs")</f>
        <v>1K-NH0X77wrQ8zAxVDEev6nPqbKSdNlTkU9oGSLdGOBs</v>
      </c>
      <c r="I89" s="16" t="str">
        <f>IFERROR(__xludf.DUMMYFUNCTION("""COMPUTED_VALUE"""),"https://docs.google.com/spreadsheets/d/1K-NH0X77wrQ8zAxVDEev6nPqbKSdNlTkU9oGSLdGOBs")</f>
        <v>https://docs.google.com/spreadsheets/d/1K-NH0X77wrQ8zAxVDEev6nPqbKSdNlTkU9oGSLdGOBs</v>
      </c>
      <c r="J89" s="6" t="b">
        <f>IFERROR(__xludf.DUMMYFUNCTION("""COMPUTED_VALUE"""),TRUE)</f>
        <v>1</v>
      </c>
      <c r="K89" s="6">
        <f>IFERROR(__xludf.DUMMYFUNCTION("""COMPUTED_VALUE"""),52.0)</f>
        <v>52</v>
      </c>
      <c r="L89" s="6">
        <f>IFERROR(__xludf.DUMMYFUNCTION("""COMPUTED_VALUE"""),38.0)</f>
        <v>38</v>
      </c>
      <c r="M89" s="6" t="str">
        <f>IFERROR(__xludf.DUMMYFUNCTION("""COMPUTED_VALUE"""),"0,1,-1,0,1,1.5")</f>
        <v>0,1,-1,0,1,1.5</v>
      </c>
      <c r="N89" s="6" t="str">
        <f>IFERROR(__xludf.DUMMYFUNCTION("""COMPUTED_VALUE"""),"0,0,0,0,0,0")</f>
        <v>0,0,0,0,0,0</v>
      </c>
      <c r="O89" s="6" t="str">
        <f>IFERROR(__xludf.DUMMYFUNCTION("""COMPUTED_VALUE"""),"2.5,0,1,0,1,0")</f>
        <v>2.5,0,1,0,1,0</v>
      </c>
      <c r="P89" s="6" t="str">
        <f>IFERROR(__xludf.DUMMYFUNCTION("""COMPUTED_VALUE"""),"0,0,0,0,0,0")</f>
        <v>0,0,0,0,0,0</v>
      </c>
      <c r="Q89" s="6" t="str">
        <f>IFERROR(__xludf.DUMMYFUNCTION("""COMPUTED_VALUE"""),"0,0,-1,0,1,0")</f>
        <v>0,0,-1,0,1,0</v>
      </c>
      <c r="R89" s="6" t="str">
        <f>IFERROR(__xludf.DUMMYFUNCTION("""COMPUTED_VALUE"""),"1.5,1,0,1,0,0")</f>
        <v>1.5,1,0,1,0,0</v>
      </c>
      <c r="S89" s="6" t="str">
        <f>IFERROR(__xludf.DUMMYFUNCTION("""COMPUTED_VALUE"""),"0,0,0,0,0,0")</f>
        <v>0,0,0,0,0,0</v>
      </c>
      <c r="T89" s="6" t="str">
        <f>IFERROR(__xludf.DUMMYFUNCTION("""COMPUTED_VALUE"""),"0,0,0,0,0,0")</f>
        <v>0,0,0,0,0,0</v>
      </c>
      <c r="U89" s="6" t="str">
        <f>IFERROR(__xludf.DUMMYFUNCTION("""COMPUTED_VALUE"""),"0,0,1,0,0,0")</f>
        <v>0,0,1,0,0,0</v>
      </c>
      <c r="V89" s="6" t="str">
        <f>IFERROR(__xludf.DUMMYFUNCTION("""COMPUTED_VALUE"""),"0,0,0,0,1,0")</f>
        <v>0,0,0,0,1,0</v>
      </c>
      <c r="W89" s="6" t="str">
        <f>IFERROR(__xludf.DUMMYFUNCTION("""COMPUTED_VALUE"""),"1ZMUmrgOLjgL9cryFCDoYsJzMfRQXQGA0")</f>
        <v>1ZMUmrgOLjgL9cryFCDoYsJzMfRQXQGA0</v>
      </c>
    </row>
    <row r="90">
      <c r="A90" s="6">
        <f>IFERROR(__xludf.DUMMYFUNCTION("""COMPUTED_VALUE"""),89.0)</f>
        <v>89</v>
      </c>
      <c r="B90" s="6" t="str">
        <f>IFERROR(__xludf.DUMMYFUNCTION("""COMPUTED_VALUE"""),"Cupertino A")</f>
        <v>Cupertino A</v>
      </c>
      <c r="C90" s="6" t="str">
        <f>IFERROR(__xludf.DUMMYFUNCTION("""COMPUTED_VALUE"""),"Foothill A")</f>
        <v>Foothill A</v>
      </c>
      <c r="D90" s="6">
        <f>IFERROR(__xludf.DUMMYFUNCTION("""COMPUTED_VALUE"""),5.0)</f>
        <v>5</v>
      </c>
      <c r="E90" s="6" t="str">
        <f>IFERROR(__xludf.DUMMYFUNCTION("""COMPUTED_VALUE"""),"Round Robin")</f>
        <v>Round Robin</v>
      </c>
      <c r="F90" s="6" t="str">
        <f>IFERROR(__xludf.DUMMYFUNCTION("""COMPUTED_VALUE"""),"F")</f>
        <v>F</v>
      </c>
      <c r="G90" s="6" t="str">
        <f>IFERROR(__xludf.DUMMYFUNCTION("""COMPUTED_VALUE"""),"DWINELLE 262")</f>
        <v>DWINELLE 262</v>
      </c>
      <c r="H90" s="6" t="str">
        <f>IFERROR(__xludf.DUMMYFUNCTION("""COMPUTED_VALUE"""),"1T4lZAtGWa34IrBg919CpYhgD34qWdRLqH9BCtAL8enQ")</f>
        <v>1T4lZAtGWa34IrBg919CpYhgD34qWdRLqH9BCtAL8enQ</v>
      </c>
      <c r="I90" s="16" t="str">
        <f>IFERROR(__xludf.DUMMYFUNCTION("""COMPUTED_VALUE"""),"https://docs.google.com/spreadsheets/d/1T4lZAtGWa34IrBg919CpYhgD34qWdRLqH9BCtAL8enQ")</f>
        <v>https://docs.google.com/spreadsheets/d/1T4lZAtGWa34IrBg919CpYhgD34qWdRLqH9BCtAL8enQ</v>
      </c>
      <c r="J90" s="6" t="b">
        <f>IFERROR(__xludf.DUMMYFUNCTION("""COMPUTED_VALUE"""),TRUE)</f>
        <v>1</v>
      </c>
      <c r="K90" s="6">
        <f>IFERROR(__xludf.DUMMYFUNCTION("""COMPUTED_VALUE"""),98.0)</f>
        <v>98</v>
      </c>
      <c r="L90" s="6">
        <f>IFERROR(__xludf.DUMMYFUNCTION("""COMPUTED_VALUE"""),42.0)</f>
        <v>42</v>
      </c>
      <c r="M90" s="6" t="str">
        <f>IFERROR(__xludf.DUMMYFUNCTION("""COMPUTED_VALUE"""),"1.5,0,0,2,0,0")</f>
        <v>1.5,0,0,2,0,0</v>
      </c>
      <c r="N90" s="6" t="str">
        <f>IFERROR(__xludf.DUMMYFUNCTION("""COMPUTED_VALUE"""),"2.5,0,1.5,0,2.5,1.5")</f>
        <v>2.5,0,1.5,0,2.5,1.5</v>
      </c>
      <c r="O90" s="6" t="str">
        <f>IFERROR(__xludf.DUMMYFUNCTION("""COMPUTED_VALUE"""),"0,0,0,0,0,0")</f>
        <v>0,0,0,0,0,0</v>
      </c>
      <c r="P90" s="6" t="str">
        <f>IFERROR(__xludf.DUMMYFUNCTION("""COMPUTED_VALUE"""),"-1,1.5,0,0,0,0")</f>
        <v>-1,1.5,0,0,0,0</v>
      </c>
      <c r="Q90" s="6" t="str">
        <f>IFERROR(__xludf.DUMMYFUNCTION("""COMPUTED_VALUE"""),"0,0,0,0,0,0")</f>
        <v>0,0,0,0,0,0</v>
      </c>
      <c r="R90" s="6" t="str">
        <f>IFERROR(__xludf.DUMMYFUNCTION("""COMPUTED_VALUE"""),"-1,0,0,0,0,1")</f>
        <v>-1,0,0,0,0,1</v>
      </c>
      <c r="S90" s="6" t="str">
        <f>IFERROR(__xludf.DUMMYFUNCTION("""COMPUTED_VALUE"""),"0,2,0,0,0,0")</f>
        <v>0,2,0,0,0,0</v>
      </c>
      <c r="T90" s="6" t="str">
        <f>IFERROR(__xludf.DUMMYFUNCTION("""COMPUTED_VALUE"""),"0,0,1.5,0,0,0")</f>
        <v>0,0,1.5,0,0,0</v>
      </c>
      <c r="U90" s="6" t="str">
        <f>IFERROR(__xludf.DUMMYFUNCTION("""COMPUTED_VALUE"""),"0,0,0,0,1,0")</f>
        <v>0,0,0,0,1,0</v>
      </c>
      <c r="V90" s="6" t="str">
        <f>IFERROR(__xludf.DUMMYFUNCTION("""COMPUTED_VALUE"""),"0,0,0,1,0,0")</f>
        <v>0,0,0,1,0,0</v>
      </c>
      <c r="W90" s="6" t="str">
        <f>IFERROR(__xludf.DUMMYFUNCTION("""COMPUTED_VALUE"""),"1Vl5Oa0oSlbk2HzPsQjyl20DkDyVwWOEm")</f>
        <v>1Vl5Oa0oSlbk2HzPsQjyl20DkDyVwWOEm</v>
      </c>
    </row>
    <row r="91">
      <c r="A91" s="6">
        <f>IFERROR(__xludf.DUMMYFUNCTION("""COMPUTED_VALUE"""),90.0)</f>
        <v>90</v>
      </c>
      <c r="B91" s="6" t="str">
        <f>IFERROR(__xludf.DUMMYFUNCTION("""COMPUTED_VALUE"""),"Dougherty Valley B")</f>
        <v>Dougherty Valley B</v>
      </c>
      <c r="C91" s="6" t="str">
        <f>IFERROR(__xludf.DUMMYFUNCTION("""COMPUTED_VALUE"""),"Mira Loma B")</f>
        <v>Mira Loma B</v>
      </c>
      <c r="D91" s="6">
        <f>IFERROR(__xludf.DUMMYFUNCTION("""COMPUTED_VALUE"""),5.0)</f>
        <v>5</v>
      </c>
      <c r="E91" s="6" t="str">
        <f>IFERROR(__xludf.DUMMYFUNCTION("""COMPUTED_VALUE"""),"Round Robin")</f>
        <v>Round Robin</v>
      </c>
      <c r="F91" s="6" t="str">
        <f>IFERROR(__xludf.DUMMYFUNCTION("""COMPUTED_VALUE"""),"F")</f>
        <v>F</v>
      </c>
      <c r="G91" s="6" t="str">
        <f>IFERROR(__xludf.DUMMYFUNCTION("""COMPUTED_VALUE"""),"DWINELLE 263")</f>
        <v>DWINELLE 263</v>
      </c>
      <c r="H91" s="6" t="str">
        <f>IFERROR(__xludf.DUMMYFUNCTION("""COMPUTED_VALUE"""),"1K_2idOdGrMpnvplfk02FqmQmSPJmQkCU0H93U3paXQY")</f>
        <v>1K_2idOdGrMpnvplfk02FqmQmSPJmQkCU0H93U3paXQY</v>
      </c>
      <c r="I91" s="16" t="str">
        <f>IFERROR(__xludf.DUMMYFUNCTION("""COMPUTED_VALUE"""),"https://docs.google.com/spreadsheets/d/1K_2idOdGrMpnvplfk02FqmQmSPJmQkCU0H93U3paXQY")</f>
        <v>https://docs.google.com/spreadsheets/d/1K_2idOdGrMpnvplfk02FqmQmSPJmQkCU0H93U3paXQY</v>
      </c>
      <c r="J91" s="6" t="b">
        <f>IFERROR(__xludf.DUMMYFUNCTION("""COMPUTED_VALUE"""),TRUE)</f>
        <v>1</v>
      </c>
      <c r="K91" s="6">
        <f>IFERROR(__xludf.DUMMYFUNCTION("""COMPUTED_VALUE"""),16.0)</f>
        <v>16</v>
      </c>
      <c r="L91" s="6">
        <f>IFERROR(__xludf.DUMMYFUNCTION("""COMPUTED_VALUE"""),42.0)</f>
        <v>42</v>
      </c>
      <c r="M91" s="6" t="str">
        <f>IFERROR(__xludf.DUMMYFUNCTION("""COMPUTED_VALUE"""),"1,1,0,0,0,0")</f>
        <v>1,1,0,0,0,0</v>
      </c>
      <c r="N91" s="6" t="str">
        <f>IFERROR(__xludf.DUMMYFUNCTION("""COMPUTED_VALUE"""),"#N/A")</f>
        <v>#N/A</v>
      </c>
      <c r="O91" s="6" t="str">
        <f>IFERROR(__xludf.DUMMYFUNCTION("""COMPUTED_VALUE"""),"#N/A")</f>
        <v>#N/A</v>
      </c>
      <c r="P91" s="6" t="str">
        <f>IFERROR(__xludf.DUMMYFUNCTION("""COMPUTED_VALUE"""),"0,0,0,1,0,0")</f>
        <v>0,0,0,1,0,0</v>
      </c>
      <c r="Q91" s="6" t="str">
        <f>IFERROR(__xludf.DUMMYFUNCTION("""COMPUTED_VALUE"""),"0,0,0,0,0,0")</f>
        <v>0,0,0,0,0,0</v>
      </c>
      <c r="R91" s="6" t="str">
        <f>IFERROR(__xludf.DUMMYFUNCTION("""COMPUTED_VALUE"""),"2,0,0,0,1,0")</f>
        <v>2,0,0,0,1,0</v>
      </c>
      <c r="S91" s="6" t="str">
        <f>IFERROR(__xludf.DUMMYFUNCTION("""COMPUTED_VALUE"""),"0,0,2,1.5,0,1")</f>
        <v>0,0,2,1.5,0,1</v>
      </c>
      <c r="T91" s="6" t="str">
        <f>IFERROR(__xludf.DUMMYFUNCTION("""COMPUTED_VALUE"""),"0,0,0,0,0,0")</f>
        <v>0,0,0,0,0,0</v>
      </c>
      <c r="U91" s="6" t="str">
        <f>IFERROR(__xludf.DUMMYFUNCTION("""COMPUTED_VALUE"""),"1,0,-1,0,0,0")</f>
        <v>1,0,-1,0,0,0</v>
      </c>
      <c r="V91" s="6" t="str">
        <f>IFERROR(__xludf.DUMMYFUNCTION("""COMPUTED_VALUE"""),"0,0,0,0,0,0")</f>
        <v>0,0,0,0,0,0</v>
      </c>
      <c r="W91" s="6" t="str">
        <f>IFERROR(__xludf.DUMMYFUNCTION("""COMPUTED_VALUE"""),"1iSlolT830hPWUFNO8QFe1M73jdBAFnII")</f>
        <v>1iSlolT830hPWUFNO8QFe1M73jdBAFnII</v>
      </c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</hyperlinks>
  <drawing r:id="rId9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2">
        <f>IFERROR(__xludf.DUMMYFUNCTION("IMPORTRANGE(""https://docs.google.com/spreadsheets/d/1hF3sefURNb_ssJk7SkIRKX6ByBcDxRkk4SZazZtucFY/edit#gid=82493956"",""Biology MVP!A1:I"")"),1.0)</f>
        <v>1</v>
      </c>
      <c r="B1" s="23">
        <f>IFERROR(__xludf.DUMMYFUNCTION("""COMPUTED_VALUE"""),1.0)</f>
        <v>1</v>
      </c>
      <c r="C1" s="23">
        <f>IFERROR(__xludf.DUMMYFUNCTION("""COMPUTED_VALUE"""),2.0)</f>
        <v>2</v>
      </c>
      <c r="D1" s="23">
        <f>IFERROR(__xludf.DUMMYFUNCTION("""COMPUTED_VALUE"""),3.0)</f>
        <v>3</v>
      </c>
      <c r="E1" s="23">
        <f>IFERROR(__xludf.DUMMYFUNCTION("""COMPUTED_VALUE"""),4.0)</f>
        <v>4</v>
      </c>
      <c r="F1" s="23">
        <f>IFERROR(__xludf.DUMMYFUNCTION("""COMPUTED_VALUE"""),5.0)</f>
        <v>5</v>
      </c>
      <c r="G1" s="24" t="str">
        <f>IFERROR(__xludf.DUMMYFUNCTION("""COMPUTED_VALUE"""),"All")</f>
        <v>All</v>
      </c>
      <c r="H1" s="24"/>
      <c r="I1" s="25" t="str">
        <f>IFERROR(__xludf.DUMMYFUNCTION("""COMPUTED_VALUE"""),"Biology MVP:")</f>
        <v>Biology MVP: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6" t="str">
        <f>IFERROR(__xludf.DUMMYFUNCTION("""COMPUTED_VALUE"""),"Abraham Lincoln")</f>
        <v>Abraham Lincoln</v>
      </c>
      <c r="B2" s="27">
        <f>IFERROR(__xludf.DUMMYFUNCTION("""COMPUTED_VALUE"""),3.0)</f>
        <v>3</v>
      </c>
      <c r="C2" s="27">
        <f>IFERROR(__xludf.DUMMYFUNCTION("""COMPUTED_VALUE"""),0.0)</f>
        <v>0</v>
      </c>
      <c r="D2" s="27">
        <f>IFERROR(__xludf.DUMMYFUNCTION("""COMPUTED_VALUE"""),0.0)</f>
        <v>0</v>
      </c>
      <c r="E2" s="27">
        <f>IFERROR(__xludf.DUMMYFUNCTION("""COMPUTED_VALUE"""),0.0)</f>
        <v>0</v>
      </c>
      <c r="F2" s="28">
        <f>IFERROR(__xludf.DUMMYFUNCTION("""COMPUTED_VALUE"""),0.0)</f>
        <v>0</v>
      </c>
      <c r="G2" s="24">
        <f>IFERROR(__xludf.DUMMYFUNCTION("""COMPUTED_VALUE"""),3.0)</f>
        <v>3</v>
      </c>
      <c r="H2" s="24" t="str">
        <f>IFERROR(__xludf.DUMMYFUNCTION("""COMPUTED_VALUE"""),"Mission San Jose B")</f>
        <v>Mission San Jose B</v>
      </c>
      <c r="I2" s="29" t="str">
        <f>IFERROR(__xludf.DUMMYFUNCTION("""COMPUTED_VALUE"""),"Theenash Sengupta")</f>
        <v>Theenash Sengupta</v>
      </c>
      <c r="J2" s="24"/>
      <c r="K2" s="24" t="str">
        <f t="array" ref="K2:M181">{A2:A37,B2:B37,'Check-in Import'!E2:E37;A2:A37,C2:C37,'Check-in Import'!F2:F37;A2:A37,D2:D37,'Check-in Import'!G2:G37;A2:A37,E2:E37,'Check-in Import'!H2:H37;A2:A37,F2:F37,'Check-in Import'!I2:I37}</f>
        <v>Abraham Lincoln</v>
      </c>
      <c r="L2" s="24">
        <v>3.0</v>
      </c>
      <c r="M2" s="24" t="s">
        <v>17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6" t="str">
        <f>IFERROR(__xludf.DUMMYFUNCTION("""COMPUTED_VALUE"""),"Saratoga")</f>
        <v>Saratoga</v>
      </c>
      <c r="B3" s="27">
        <f>IFERROR(__xludf.DUMMYFUNCTION("""COMPUTED_VALUE"""),6.5)</f>
        <v>6.5</v>
      </c>
      <c r="C3" s="27">
        <f>IFERROR(__xludf.DUMMYFUNCTION("""COMPUTED_VALUE"""),-1.0)</f>
        <v>-1</v>
      </c>
      <c r="D3" s="27">
        <f>IFERROR(__xludf.DUMMYFUNCTION("""COMPUTED_VALUE"""),0.0)</f>
        <v>0</v>
      </c>
      <c r="E3" s="27">
        <f>IFERROR(__xludf.DUMMYFUNCTION("""COMPUTED_VALUE"""),0.0)</f>
        <v>0</v>
      </c>
      <c r="F3" s="28">
        <f>IFERROR(__xludf.DUMMYFUNCTION("""COMPUTED_VALUE"""),1.5)</f>
        <v>1.5</v>
      </c>
      <c r="G3" s="24">
        <f>IFERROR(__xludf.DUMMYFUNCTION("""COMPUTED_VALUE"""),7.0)</f>
        <v>7</v>
      </c>
      <c r="H3" s="27">
        <f>IFERROR(__xludf.DUMMYFUNCTION("""COMPUTED_VALUE"""),21.0)</f>
        <v>21</v>
      </c>
      <c r="I3" s="24"/>
      <c r="J3" s="24"/>
      <c r="K3" s="24" t="s">
        <v>18</v>
      </c>
      <c r="L3" s="24">
        <v>6.5</v>
      </c>
      <c r="M3" s="24" t="s"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tr">
        <f>IFERROR(__xludf.DUMMYFUNCTION("""COMPUTED_VALUE"""),"Irvington")</f>
        <v>Irvington</v>
      </c>
      <c r="B4" s="27">
        <f>IFERROR(__xludf.DUMMYFUNCTION("""COMPUTED_VALUE"""),0.0)</f>
        <v>0</v>
      </c>
      <c r="C4" s="27">
        <f>IFERROR(__xludf.DUMMYFUNCTION("""COMPUTED_VALUE"""),4.5)</f>
        <v>4.5</v>
      </c>
      <c r="D4" s="27">
        <f>IFERROR(__xludf.DUMMYFUNCTION("""COMPUTED_VALUE"""),0.0)</f>
        <v>0</v>
      </c>
      <c r="E4" s="27">
        <f>IFERROR(__xludf.DUMMYFUNCTION("""COMPUTED_VALUE"""),-0.5)</f>
        <v>-0.5</v>
      </c>
      <c r="F4" s="28">
        <f>IFERROR(__xludf.DUMMYFUNCTION("""COMPUTED_VALUE"""),0.0)</f>
        <v>0</v>
      </c>
      <c r="G4" s="24">
        <f>IFERROR(__xludf.DUMMYFUNCTION("""COMPUTED_VALUE"""),4.0)</f>
        <v>4</v>
      </c>
      <c r="H4" s="24"/>
      <c r="I4" s="24"/>
      <c r="J4" s="24"/>
      <c r="K4" s="24" t="s">
        <v>20</v>
      </c>
      <c r="L4" s="24">
        <v>0.0</v>
      </c>
      <c r="M4" s="24" t="s">
        <v>21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tr">
        <f>IFERROR(__xludf.DUMMYFUNCTION("""COMPUTED_VALUE"""),"Saint Francis")</f>
        <v>Saint Francis</v>
      </c>
      <c r="B5" s="27">
        <f>IFERROR(__xludf.DUMMYFUNCTION("""COMPUTED_VALUE"""),10.0)</f>
        <v>10</v>
      </c>
      <c r="C5" s="27">
        <f>IFERROR(__xludf.DUMMYFUNCTION("""COMPUTED_VALUE"""),-1.0)</f>
        <v>-1</v>
      </c>
      <c r="D5" s="27">
        <f>IFERROR(__xludf.DUMMYFUNCTION("""COMPUTED_VALUE"""),0.0)</f>
        <v>0</v>
      </c>
      <c r="E5" s="27">
        <f>IFERROR(__xludf.DUMMYFUNCTION("""COMPUTED_VALUE"""),1.5)</f>
        <v>1.5</v>
      </c>
      <c r="F5" s="28">
        <f>IFERROR(__xludf.DUMMYFUNCTION("""COMPUTED_VALUE"""),0.0)</f>
        <v>0</v>
      </c>
      <c r="G5" s="24">
        <f>IFERROR(__xludf.DUMMYFUNCTION("""COMPUTED_VALUE"""),10.5)</f>
        <v>10.5</v>
      </c>
      <c r="H5" s="24"/>
      <c r="I5" s="24"/>
      <c r="J5" s="24"/>
      <c r="K5" s="24" t="s">
        <v>22</v>
      </c>
      <c r="L5" s="24">
        <v>10.0</v>
      </c>
      <c r="M5" s="24" t="s">
        <v>23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tr">
        <f>IFERROR(__xludf.DUMMYFUNCTION("""COMPUTED_VALUE"""),"BASIS Independent A")</f>
        <v>BASIS Independent A</v>
      </c>
      <c r="B6" s="27">
        <f>IFERROR(__xludf.DUMMYFUNCTION("""COMPUTED_VALUE"""),0.0)</f>
        <v>0</v>
      </c>
      <c r="C6" s="27">
        <f>IFERROR(__xludf.DUMMYFUNCTION("""COMPUTED_VALUE"""),2.5)</f>
        <v>2.5</v>
      </c>
      <c r="D6" s="27">
        <f>IFERROR(__xludf.DUMMYFUNCTION("""COMPUTED_VALUE"""),5.0)</f>
        <v>5</v>
      </c>
      <c r="E6" s="27">
        <f>IFERROR(__xludf.DUMMYFUNCTION("""COMPUTED_VALUE"""),0.0)</f>
        <v>0</v>
      </c>
      <c r="F6" s="28">
        <f>IFERROR(__xludf.DUMMYFUNCTION("""COMPUTED_VALUE"""),0.0)</f>
        <v>0</v>
      </c>
      <c r="G6" s="24">
        <f>IFERROR(__xludf.DUMMYFUNCTION("""COMPUTED_VALUE"""),7.5)</f>
        <v>7.5</v>
      </c>
      <c r="H6" s="24" t="str">
        <f>IFERROR(__xludf.DUMMYFUNCTION("""COMPUTED_VALUE"""),"First Places:")</f>
        <v>First Places:</v>
      </c>
      <c r="I6" s="24"/>
      <c r="J6" s="24"/>
      <c r="K6" s="24" t="s">
        <v>24</v>
      </c>
      <c r="L6" s="24">
        <v>0.0</v>
      </c>
      <c r="M6" s="24" t="s">
        <v>25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tr">
        <f>IFERROR(__xludf.DUMMYFUNCTION("""COMPUTED_VALUE"""),"BASIS Independent B")</f>
        <v>BASIS Independent B</v>
      </c>
      <c r="B7" s="27">
        <f>IFERROR(__xludf.DUMMYFUNCTION("""COMPUTED_VALUE"""),0.0)</f>
        <v>0</v>
      </c>
      <c r="C7" s="27">
        <f>IFERROR(__xludf.DUMMYFUNCTION("""COMPUTED_VALUE"""),3.5)</f>
        <v>3.5</v>
      </c>
      <c r="D7" s="27">
        <f>IFERROR(__xludf.DUMMYFUNCTION("""COMPUTED_VALUE"""),1.5)</f>
        <v>1.5</v>
      </c>
      <c r="E7" s="27">
        <f>IFERROR(__xludf.DUMMYFUNCTION("""COMPUTED_VALUE"""),0.0)</f>
        <v>0</v>
      </c>
      <c r="F7" s="28">
        <f>IFERROR(__xludf.DUMMYFUNCTION("""COMPUTED_VALUE"""),0.0)</f>
        <v>0</v>
      </c>
      <c r="G7" s="24">
        <f>IFERROR(__xludf.DUMMYFUNCTION("""COMPUTED_VALUE"""),5.0)</f>
        <v>5</v>
      </c>
      <c r="H7" s="27">
        <f>IFERROR(__xludf.DUMMYFUNCTION("""COMPUTED_VALUE"""),1.0)</f>
        <v>1</v>
      </c>
      <c r="I7" s="24"/>
      <c r="J7" s="24"/>
      <c r="K7" s="24" t="s">
        <v>26</v>
      </c>
      <c r="L7" s="24">
        <v>0.0</v>
      </c>
      <c r="M7" s="24" t="s">
        <v>27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tr">
        <f>IFERROR(__xludf.DUMMYFUNCTION("""COMPUTED_VALUE"""),"Canyon Crest A")</f>
        <v>Canyon Crest A</v>
      </c>
      <c r="B8" s="27">
        <f>IFERROR(__xludf.DUMMYFUNCTION("""COMPUTED_VALUE"""),4.5)</f>
        <v>4.5</v>
      </c>
      <c r="C8" s="27">
        <f>IFERROR(__xludf.DUMMYFUNCTION("""COMPUTED_VALUE"""),1.5)</f>
        <v>1.5</v>
      </c>
      <c r="D8" s="27">
        <f>IFERROR(__xludf.DUMMYFUNCTION("""COMPUTED_VALUE"""),15.5)</f>
        <v>15.5</v>
      </c>
      <c r="E8" s="27">
        <f>IFERROR(__xludf.DUMMYFUNCTION("""COMPUTED_VALUE"""),0.0)</f>
        <v>0</v>
      </c>
      <c r="F8" s="28">
        <f>IFERROR(__xludf.DUMMYFUNCTION("""COMPUTED_VALUE"""),0.0)</f>
        <v>0</v>
      </c>
      <c r="G8" s="24">
        <f>IFERROR(__xludf.DUMMYFUNCTION("""COMPUTED_VALUE"""),21.5)</f>
        <v>21.5</v>
      </c>
      <c r="H8" s="24"/>
      <c r="I8" s="24"/>
      <c r="J8" s="24"/>
      <c r="K8" s="24" t="s">
        <v>28</v>
      </c>
      <c r="L8" s="24">
        <v>4.5</v>
      </c>
      <c r="M8" s="24" t="s">
        <v>29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tr">
        <f>IFERROR(__xludf.DUMMYFUNCTION("""COMPUTED_VALUE"""),"Canyon Crest B")</f>
        <v>Canyon Crest B</v>
      </c>
      <c r="B9" s="27">
        <f>IFERROR(__xludf.DUMMYFUNCTION("""COMPUTED_VALUE"""),12.0)</f>
        <v>12</v>
      </c>
      <c r="C9" s="27">
        <f>IFERROR(__xludf.DUMMYFUNCTION("""COMPUTED_VALUE"""),4.0)</f>
        <v>4</v>
      </c>
      <c r="D9" s="27">
        <f>IFERROR(__xludf.DUMMYFUNCTION("""COMPUTED_VALUE"""),0.0)</f>
        <v>0</v>
      </c>
      <c r="E9" s="27">
        <f>IFERROR(__xludf.DUMMYFUNCTION("""COMPUTED_VALUE"""),0.0)</f>
        <v>0</v>
      </c>
      <c r="F9" s="28">
        <f>IFERROR(__xludf.DUMMYFUNCTION("""COMPUTED_VALUE"""),0.0)</f>
        <v>0</v>
      </c>
      <c r="G9" s="24">
        <f>IFERROR(__xludf.DUMMYFUNCTION("""COMPUTED_VALUE"""),16.0)</f>
        <v>16</v>
      </c>
      <c r="H9" s="24"/>
      <c r="I9" s="24"/>
      <c r="J9" s="24"/>
      <c r="K9" s="24" t="s">
        <v>30</v>
      </c>
      <c r="L9" s="24">
        <v>12.0</v>
      </c>
      <c r="M9" s="24" t="s">
        <v>31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tr">
        <f>IFERROR(__xludf.DUMMYFUNCTION("""COMPUTED_VALUE"""),"Mira Loma A")</f>
        <v>Mira Loma A</v>
      </c>
      <c r="B10" s="27">
        <f>IFERROR(__xludf.DUMMYFUNCTION("""COMPUTED_VALUE"""),0.0)</f>
        <v>0</v>
      </c>
      <c r="C10" s="27">
        <f>IFERROR(__xludf.DUMMYFUNCTION("""COMPUTED_VALUE"""),6.0)</f>
        <v>6</v>
      </c>
      <c r="D10" s="27">
        <f>IFERROR(__xludf.DUMMYFUNCTION("""COMPUTED_VALUE"""),0.0)</f>
        <v>0</v>
      </c>
      <c r="E10" s="27">
        <f>IFERROR(__xludf.DUMMYFUNCTION("""COMPUTED_VALUE"""),0.0)</f>
        <v>0</v>
      </c>
      <c r="F10" s="28">
        <f>IFERROR(__xludf.DUMMYFUNCTION("""COMPUTED_VALUE"""),9.5)</f>
        <v>9.5</v>
      </c>
      <c r="G10" s="24">
        <f>IFERROR(__xludf.DUMMYFUNCTION("""COMPUTED_VALUE"""),15.5)</f>
        <v>15.5</v>
      </c>
      <c r="H10" s="24"/>
      <c r="I10" s="24"/>
      <c r="J10" s="24"/>
      <c r="K10" s="24" t="s">
        <v>32</v>
      </c>
      <c r="L10" s="24">
        <v>0.0</v>
      </c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tr">
        <f>IFERROR(__xludf.DUMMYFUNCTION("""COMPUTED_VALUE"""),"Mira Loma B")</f>
        <v>Mira Loma B</v>
      </c>
      <c r="B11" s="27">
        <f>IFERROR(__xludf.DUMMYFUNCTION("""COMPUTED_VALUE"""),8.5)</f>
        <v>8.5</v>
      </c>
      <c r="C11" s="27">
        <f>IFERROR(__xludf.DUMMYFUNCTION("""COMPUTED_VALUE"""),0.0)</f>
        <v>0</v>
      </c>
      <c r="D11" s="27">
        <f>IFERROR(__xludf.DUMMYFUNCTION("""COMPUTED_VALUE"""),0.0)</f>
        <v>0</v>
      </c>
      <c r="E11" s="27">
        <f>IFERROR(__xludf.DUMMYFUNCTION("""COMPUTED_VALUE"""),1.0)</f>
        <v>1</v>
      </c>
      <c r="F11" s="28">
        <f>IFERROR(__xludf.DUMMYFUNCTION("""COMPUTED_VALUE"""),0.0)</f>
        <v>0</v>
      </c>
      <c r="G11" s="24">
        <f>IFERROR(__xludf.DUMMYFUNCTION("""COMPUTED_VALUE"""),9.5)</f>
        <v>9.5</v>
      </c>
      <c r="H11" s="24"/>
      <c r="I11" s="24"/>
      <c r="J11" s="24"/>
      <c r="K11" s="24" t="s">
        <v>34</v>
      </c>
      <c r="L11" s="24">
        <v>8.5</v>
      </c>
      <c r="M11" s="24" t="s">
        <v>35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tr">
        <f>IFERROR(__xludf.DUMMYFUNCTION("""COMPUTED_VALUE"""),"Foothill A")</f>
        <v>Foothill A</v>
      </c>
      <c r="B12" s="27">
        <f>IFERROR(__xludf.DUMMYFUNCTION("""COMPUTED_VALUE"""),6.0)</f>
        <v>6</v>
      </c>
      <c r="C12" s="27">
        <f>IFERROR(__xludf.DUMMYFUNCTION("""COMPUTED_VALUE"""),2.5)</f>
        <v>2.5</v>
      </c>
      <c r="D12" s="27">
        <f>IFERROR(__xludf.DUMMYFUNCTION("""COMPUTED_VALUE"""),3.0)</f>
        <v>3</v>
      </c>
      <c r="E12" s="27">
        <f>IFERROR(__xludf.DUMMYFUNCTION("""COMPUTED_VALUE"""),0.0)</f>
        <v>0</v>
      </c>
      <c r="F12" s="28">
        <f>IFERROR(__xludf.DUMMYFUNCTION("""COMPUTED_VALUE"""),0.0)</f>
        <v>0</v>
      </c>
      <c r="G12" s="24">
        <f>IFERROR(__xludf.DUMMYFUNCTION("""COMPUTED_VALUE"""),11.5)</f>
        <v>11.5</v>
      </c>
      <c r="H12" s="24"/>
      <c r="I12" s="24"/>
      <c r="J12" s="24"/>
      <c r="K12" s="24" t="s">
        <v>36</v>
      </c>
      <c r="L12" s="24">
        <v>6.0</v>
      </c>
      <c r="M12" s="24" t="s">
        <v>37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tr">
        <f>IFERROR(__xludf.DUMMYFUNCTION("""COMPUTED_VALUE"""),"Foothill B")</f>
        <v>Foothill B</v>
      </c>
      <c r="B13" s="27">
        <f>IFERROR(__xludf.DUMMYFUNCTION("""COMPUTED_VALUE"""),1.5)</f>
        <v>1.5</v>
      </c>
      <c r="C13" s="27">
        <f>IFERROR(__xludf.DUMMYFUNCTION("""COMPUTED_VALUE"""),-1.0)</f>
        <v>-1</v>
      </c>
      <c r="D13" s="27">
        <f>IFERROR(__xludf.DUMMYFUNCTION("""COMPUTED_VALUE"""),1.5)</f>
        <v>1.5</v>
      </c>
      <c r="E13" s="27">
        <f>IFERROR(__xludf.DUMMYFUNCTION("""COMPUTED_VALUE"""),1.5)</f>
        <v>1.5</v>
      </c>
      <c r="F13" s="28">
        <f>IFERROR(__xludf.DUMMYFUNCTION("""COMPUTED_VALUE"""),1.0)</f>
        <v>1</v>
      </c>
      <c r="G13" s="24">
        <f>IFERROR(__xludf.DUMMYFUNCTION("""COMPUTED_VALUE"""),4.5)</f>
        <v>4.5</v>
      </c>
      <c r="H13" s="24"/>
      <c r="I13" s="24"/>
      <c r="J13" s="24"/>
      <c r="K13" s="24" t="s">
        <v>38</v>
      </c>
      <c r="L13" s="24">
        <v>1.5</v>
      </c>
      <c r="M13" s="24" t="s">
        <v>39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tr">
        <f>IFERROR(__xludf.DUMMYFUNCTION("""COMPUTED_VALUE"""),"Lynbrook C")</f>
        <v>Lynbrook C</v>
      </c>
      <c r="B14" s="27">
        <f>IFERROR(__xludf.DUMMYFUNCTION("""COMPUTED_VALUE"""),0.0)</f>
        <v>0</v>
      </c>
      <c r="C14" s="27">
        <f>IFERROR(__xludf.DUMMYFUNCTION("""COMPUTED_VALUE"""),11.0)</f>
        <v>11</v>
      </c>
      <c r="D14" s="27">
        <f>IFERROR(__xludf.DUMMYFUNCTION("""COMPUTED_VALUE"""),1.5)</f>
        <v>1.5</v>
      </c>
      <c r="E14" s="27">
        <f>IFERROR(__xludf.DUMMYFUNCTION("""COMPUTED_VALUE"""),3.0)</f>
        <v>3</v>
      </c>
      <c r="F14" s="28">
        <f>IFERROR(__xludf.DUMMYFUNCTION("""COMPUTED_VALUE"""),0.0)</f>
        <v>0</v>
      </c>
      <c r="G14" s="24">
        <f>IFERROR(__xludf.DUMMYFUNCTION("""COMPUTED_VALUE"""),15.5)</f>
        <v>15.5</v>
      </c>
      <c r="H14" s="24"/>
      <c r="I14" s="24"/>
      <c r="J14" s="24"/>
      <c r="K14" s="24" t="s">
        <v>40</v>
      </c>
      <c r="L14" s="24">
        <v>0.0</v>
      </c>
      <c r="M14" s="24" t="s">
        <v>41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tr">
        <f>IFERROR(__xludf.DUMMYFUNCTION("""COMPUTED_VALUE"""),"American A")</f>
        <v>American A</v>
      </c>
      <c r="B15" s="27">
        <f>IFERROR(__xludf.DUMMYFUNCTION("""COMPUTED_VALUE"""),7.5)</f>
        <v>7.5</v>
      </c>
      <c r="C15" s="27">
        <f>IFERROR(__xludf.DUMMYFUNCTION("""COMPUTED_VALUE"""),0.0)</f>
        <v>0</v>
      </c>
      <c r="D15" s="27">
        <f>IFERROR(__xludf.DUMMYFUNCTION("""COMPUTED_VALUE"""),4.0)</f>
        <v>4</v>
      </c>
      <c r="E15" s="27">
        <f>IFERROR(__xludf.DUMMYFUNCTION("""COMPUTED_VALUE"""),0.0)</f>
        <v>0</v>
      </c>
      <c r="F15" s="28">
        <f>IFERROR(__xludf.DUMMYFUNCTION("""COMPUTED_VALUE"""),0.0)</f>
        <v>0</v>
      </c>
      <c r="G15" s="24">
        <f>IFERROR(__xludf.DUMMYFUNCTION("""COMPUTED_VALUE"""),11.5)</f>
        <v>11.5</v>
      </c>
      <c r="H15" s="24"/>
      <c r="I15" s="24"/>
      <c r="J15" s="24"/>
      <c r="K15" s="24" t="s">
        <v>42</v>
      </c>
      <c r="L15" s="24">
        <v>7.5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tr">
        <f>IFERROR(__xludf.DUMMYFUNCTION("""COMPUTED_VALUE"""),"American B")</f>
        <v>American B</v>
      </c>
      <c r="B16" s="27">
        <f>IFERROR(__xludf.DUMMYFUNCTION("""COMPUTED_VALUE"""),9.0)</f>
        <v>9</v>
      </c>
      <c r="C16" s="27">
        <f>IFERROR(__xludf.DUMMYFUNCTION("""COMPUTED_VALUE"""),0.0)</f>
        <v>0</v>
      </c>
      <c r="D16" s="27">
        <f>IFERROR(__xludf.DUMMYFUNCTION("""COMPUTED_VALUE"""),1.0)</f>
        <v>1</v>
      </c>
      <c r="E16" s="27">
        <f>IFERROR(__xludf.DUMMYFUNCTION("""COMPUTED_VALUE"""),0.0)</f>
        <v>0</v>
      </c>
      <c r="F16" s="28">
        <f>IFERROR(__xludf.DUMMYFUNCTION("""COMPUTED_VALUE"""),0.0)</f>
        <v>0</v>
      </c>
      <c r="G16" s="24">
        <f>IFERROR(__xludf.DUMMYFUNCTION("""COMPUTED_VALUE"""),10.0)</f>
        <v>10</v>
      </c>
      <c r="H16" s="24"/>
      <c r="I16" s="24"/>
      <c r="J16" s="24"/>
      <c r="K16" s="24" t="s">
        <v>44</v>
      </c>
      <c r="L16" s="24">
        <v>9.0</v>
      </c>
      <c r="M16" s="24" t="s">
        <v>45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tr">
        <f>IFERROR(__xludf.DUMMYFUNCTION("""COMPUTED_VALUE"""),"Palo Alto A")</f>
        <v>Palo Alto A</v>
      </c>
      <c r="B17" s="27">
        <f>IFERROR(__xludf.DUMMYFUNCTION("""COMPUTED_VALUE"""),1.0)</f>
        <v>1</v>
      </c>
      <c r="C17" s="27">
        <f>IFERROR(__xludf.DUMMYFUNCTION("""COMPUTED_VALUE"""),1.0)</f>
        <v>1</v>
      </c>
      <c r="D17" s="27">
        <f>IFERROR(__xludf.DUMMYFUNCTION("""COMPUTED_VALUE"""),6.0)</f>
        <v>6</v>
      </c>
      <c r="E17" s="27">
        <f>IFERROR(__xludf.DUMMYFUNCTION("""COMPUTED_VALUE"""),0.0)</f>
        <v>0</v>
      </c>
      <c r="F17" s="28">
        <f>IFERROR(__xludf.DUMMYFUNCTION("""COMPUTED_VALUE"""),1.5)</f>
        <v>1.5</v>
      </c>
      <c r="G17" s="24">
        <f>IFERROR(__xludf.DUMMYFUNCTION("""COMPUTED_VALUE"""),9.5)</f>
        <v>9.5</v>
      </c>
      <c r="H17" s="24"/>
      <c r="I17" s="24"/>
      <c r="J17" s="24"/>
      <c r="K17" s="24" t="s">
        <v>46</v>
      </c>
      <c r="L17" s="24">
        <v>1.0</v>
      </c>
      <c r="M17" s="24" t="s">
        <v>47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tr">
        <f>IFERROR(__xludf.DUMMYFUNCTION("""COMPUTED_VALUE"""),"Palo Alto B")</f>
        <v>Palo Alto B</v>
      </c>
      <c r="B18" s="27">
        <f>IFERROR(__xludf.DUMMYFUNCTION("""COMPUTED_VALUE"""),2.5)</f>
        <v>2.5</v>
      </c>
      <c r="C18" s="27">
        <f>IFERROR(__xludf.DUMMYFUNCTION("""COMPUTED_VALUE"""),3.5)</f>
        <v>3.5</v>
      </c>
      <c r="D18" s="27">
        <f>IFERROR(__xludf.DUMMYFUNCTION("""COMPUTED_VALUE"""),0.0)</f>
        <v>0</v>
      </c>
      <c r="E18" s="27">
        <f>IFERROR(__xludf.DUMMYFUNCTION("""COMPUTED_VALUE"""),0.0)</f>
        <v>0</v>
      </c>
      <c r="F18" s="28">
        <f>IFERROR(__xludf.DUMMYFUNCTION("""COMPUTED_VALUE"""),0.0)</f>
        <v>0</v>
      </c>
      <c r="G18" s="24">
        <f>IFERROR(__xludf.DUMMYFUNCTION("""COMPUTED_VALUE"""),6.0)</f>
        <v>6</v>
      </c>
      <c r="H18" s="24"/>
      <c r="I18" s="24"/>
      <c r="J18" s="24"/>
      <c r="K18" s="24" t="s">
        <v>48</v>
      </c>
      <c r="L18" s="24">
        <v>2.5</v>
      </c>
      <c r="M18" s="24" t="s">
        <v>49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tr">
        <f>IFERROR(__xludf.DUMMYFUNCTION("""COMPUTED_VALUE"""),"California B")</f>
        <v>California B</v>
      </c>
      <c r="B19" s="27">
        <f>IFERROR(__xludf.DUMMYFUNCTION("""COMPUTED_VALUE"""),2.5)</f>
        <v>2.5</v>
      </c>
      <c r="C19" s="27">
        <f>IFERROR(__xludf.DUMMYFUNCTION("""COMPUTED_VALUE"""),0.0)</f>
        <v>0</v>
      </c>
      <c r="D19" s="27">
        <f>IFERROR(__xludf.DUMMYFUNCTION("""COMPUTED_VALUE"""),1.5)</f>
        <v>1.5</v>
      </c>
      <c r="E19" s="27">
        <f>IFERROR(__xludf.DUMMYFUNCTION("""COMPUTED_VALUE"""),1.0)</f>
        <v>1</v>
      </c>
      <c r="F19" s="28">
        <f>IFERROR(__xludf.DUMMYFUNCTION("""COMPUTED_VALUE"""),4.0)</f>
        <v>4</v>
      </c>
      <c r="G19" s="24">
        <f>IFERROR(__xludf.DUMMYFUNCTION("""COMPUTED_VALUE"""),9.0)</f>
        <v>9</v>
      </c>
      <c r="H19" s="24"/>
      <c r="I19" s="24"/>
      <c r="J19" s="24"/>
      <c r="K19" s="24" t="s">
        <v>50</v>
      </c>
      <c r="L19" s="24">
        <v>2.5</v>
      </c>
      <c r="M19" s="24" t="s">
        <v>51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tr">
        <f>IFERROR(__xludf.DUMMYFUNCTION("""COMPUTED_VALUE"""),"California A")</f>
        <v>California A</v>
      </c>
      <c r="B20" s="27">
        <f>IFERROR(__xludf.DUMMYFUNCTION("""COMPUTED_VALUE"""),0.0)</f>
        <v>0</v>
      </c>
      <c r="C20" s="27">
        <f>IFERROR(__xludf.DUMMYFUNCTION("""COMPUTED_VALUE"""),4.0)</f>
        <v>4</v>
      </c>
      <c r="D20" s="27">
        <f>IFERROR(__xludf.DUMMYFUNCTION("""COMPUTED_VALUE"""),0.0)</f>
        <v>0</v>
      </c>
      <c r="E20" s="27">
        <f>IFERROR(__xludf.DUMMYFUNCTION("""COMPUTED_VALUE"""),0.0)</f>
        <v>0</v>
      </c>
      <c r="F20" s="28">
        <f>IFERROR(__xludf.DUMMYFUNCTION("""COMPUTED_VALUE"""),6.5)</f>
        <v>6.5</v>
      </c>
      <c r="G20" s="24">
        <f>IFERROR(__xludf.DUMMYFUNCTION("""COMPUTED_VALUE"""),10.5)</f>
        <v>10.5</v>
      </c>
      <c r="H20" s="24"/>
      <c r="I20" s="24"/>
      <c r="J20" s="24"/>
      <c r="K20" s="24" t="s">
        <v>52</v>
      </c>
      <c r="L20" s="24">
        <v>0.0</v>
      </c>
      <c r="M20" s="24" t="s">
        <v>53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tr">
        <f>IFERROR(__xludf.DUMMYFUNCTION("""COMPUTED_VALUE"""),"Arnold O. Beckman A")</f>
        <v>Arnold O. Beckman A</v>
      </c>
      <c r="B21" s="27">
        <f>IFERROR(__xludf.DUMMYFUNCTION("""COMPUTED_VALUE"""),2.0)</f>
        <v>2</v>
      </c>
      <c r="C21" s="27">
        <f>IFERROR(__xludf.DUMMYFUNCTION("""COMPUTED_VALUE"""),5.5)</f>
        <v>5.5</v>
      </c>
      <c r="D21" s="27">
        <f>IFERROR(__xludf.DUMMYFUNCTION("""COMPUTED_VALUE"""),1.5)</f>
        <v>1.5</v>
      </c>
      <c r="E21" s="27">
        <f>IFERROR(__xludf.DUMMYFUNCTION("""COMPUTED_VALUE"""),0.0)</f>
        <v>0</v>
      </c>
      <c r="F21" s="28">
        <f>IFERROR(__xludf.DUMMYFUNCTION("""COMPUTED_VALUE"""),0.0)</f>
        <v>0</v>
      </c>
      <c r="G21" s="24">
        <f>IFERROR(__xludf.DUMMYFUNCTION("""COMPUTED_VALUE"""),9.0)</f>
        <v>9</v>
      </c>
      <c r="H21" s="24"/>
      <c r="I21" s="24"/>
      <c r="J21" s="24"/>
      <c r="K21" s="24" t="s">
        <v>54</v>
      </c>
      <c r="L21" s="24">
        <v>2.0</v>
      </c>
      <c r="M21" s="24" t="s">
        <v>55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tr">
        <f>IFERROR(__xludf.DUMMYFUNCTION("""COMPUTED_VALUE"""),"Archbishop Mitty A")</f>
        <v>Archbishop Mitty A</v>
      </c>
      <c r="B22" s="27">
        <f>IFERROR(__xludf.DUMMYFUNCTION("""COMPUTED_VALUE"""),3.0)</f>
        <v>3</v>
      </c>
      <c r="C22" s="27">
        <f>IFERROR(__xludf.DUMMYFUNCTION("""COMPUTED_VALUE"""),0.0)</f>
        <v>0</v>
      </c>
      <c r="D22" s="27">
        <f>IFERROR(__xludf.DUMMYFUNCTION("""COMPUTED_VALUE"""),-1.0)</f>
        <v>-1</v>
      </c>
      <c r="E22" s="27">
        <f>IFERROR(__xludf.DUMMYFUNCTION("""COMPUTED_VALUE"""),7.0)</f>
        <v>7</v>
      </c>
      <c r="F22" s="28">
        <f>IFERROR(__xludf.DUMMYFUNCTION("""COMPUTED_VALUE"""),0.0)</f>
        <v>0</v>
      </c>
      <c r="G22" s="24">
        <f>IFERROR(__xludf.DUMMYFUNCTION("""COMPUTED_VALUE"""),9.0)</f>
        <v>9</v>
      </c>
      <c r="H22" s="24"/>
      <c r="I22" s="24"/>
      <c r="J22" s="24"/>
      <c r="K22" s="24" t="s">
        <v>56</v>
      </c>
      <c r="L22" s="24">
        <v>3.0</v>
      </c>
      <c r="M22" s="24" t="s">
        <v>57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tr">
        <f>IFERROR(__xludf.DUMMYFUNCTION("""COMPUTED_VALUE"""),"Archbishop Mitty B")</f>
        <v>Archbishop Mitty B</v>
      </c>
      <c r="B23" s="27">
        <f>IFERROR(__xludf.DUMMYFUNCTION("""COMPUTED_VALUE"""),-0.5)</f>
        <v>-0.5</v>
      </c>
      <c r="C23" s="27">
        <f>IFERROR(__xludf.DUMMYFUNCTION("""COMPUTED_VALUE"""),1.5)</f>
        <v>1.5</v>
      </c>
      <c r="D23" s="27">
        <f>IFERROR(__xludf.DUMMYFUNCTION("""COMPUTED_VALUE"""),0.0)</f>
        <v>0</v>
      </c>
      <c r="E23" s="27">
        <f>IFERROR(__xludf.DUMMYFUNCTION("""COMPUTED_VALUE"""),0.0)</f>
        <v>0</v>
      </c>
      <c r="F23" s="28">
        <f>IFERROR(__xludf.DUMMYFUNCTION("""COMPUTED_VALUE"""),0.0)</f>
        <v>0</v>
      </c>
      <c r="G23" s="24">
        <f>IFERROR(__xludf.DUMMYFUNCTION("""COMPUTED_VALUE"""),1.0)</f>
        <v>1</v>
      </c>
      <c r="H23" s="24"/>
      <c r="I23" s="24"/>
      <c r="J23" s="24"/>
      <c r="K23" s="24" t="s">
        <v>58</v>
      </c>
      <c r="L23" s="24">
        <v>-0.5</v>
      </c>
      <c r="M23" s="24" t="s">
        <v>59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6" t="str">
        <f>IFERROR(__xludf.DUMMYFUNCTION("""COMPUTED_VALUE"""),"Mission San Jose A")</f>
        <v>Mission San Jose A</v>
      </c>
      <c r="B24" s="27">
        <f>IFERROR(__xludf.DUMMYFUNCTION("""COMPUTED_VALUE"""),0.0)</f>
        <v>0</v>
      </c>
      <c r="C24" s="27">
        <f>IFERROR(__xludf.DUMMYFUNCTION("""COMPUTED_VALUE"""),0.0)</f>
        <v>0</v>
      </c>
      <c r="D24" s="27">
        <f>IFERROR(__xludf.DUMMYFUNCTION("""COMPUTED_VALUE"""),0.0)</f>
        <v>0</v>
      </c>
      <c r="E24" s="27">
        <f>IFERROR(__xludf.DUMMYFUNCTION("""COMPUTED_VALUE"""),1.5)</f>
        <v>1.5</v>
      </c>
      <c r="F24" s="28">
        <f>IFERROR(__xludf.DUMMYFUNCTION("""COMPUTED_VALUE"""),15.5)</f>
        <v>15.5</v>
      </c>
      <c r="G24" s="24">
        <f>IFERROR(__xludf.DUMMYFUNCTION("""COMPUTED_VALUE"""),17.0)</f>
        <v>17</v>
      </c>
      <c r="H24" s="24"/>
      <c r="I24" s="24"/>
      <c r="J24" s="24"/>
      <c r="K24" s="24" t="s">
        <v>60</v>
      </c>
      <c r="L24" s="24">
        <v>0.0</v>
      </c>
      <c r="M24" s="24" t="s">
        <v>61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6" t="str">
        <f>IFERROR(__xludf.DUMMYFUNCTION("""COMPUTED_VALUE"""),"Mission San Jose B")</f>
        <v>Mission San Jose B</v>
      </c>
      <c r="B25" s="27">
        <f>IFERROR(__xludf.DUMMYFUNCTION("""COMPUTED_VALUE"""),4.5)</f>
        <v>4.5</v>
      </c>
      <c r="C25" s="27">
        <f>IFERROR(__xludf.DUMMYFUNCTION("""COMPUTED_VALUE"""),21.0)</f>
        <v>21</v>
      </c>
      <c r="D25" s="27">
        <f>IFERROR(__xludf.DUMMYFUNCTION("""COMPUTED_VALUE"""),0.0)</f>
        <v>0</v>
      </c>
      <c r="E25" s="27">
        <f>IFERROR(__xludf.DUMMYFUNCTION("""COMPUTED_VALUE"""),0.0)</f>
        <v>0</v>
      </c>
      <c r="F25" s="28">
        <f>IFERROR(__xludf.DUMMYFUNCTION("""COMPUTED_VALUE"""),0.0)</f>
        <v>0</v>
      </c>
      <c r="G25" s="24">
        <f>IFERROR(__xludf.DUMMYFUNCTION("""COMPUTED_VALUE"""),25.5)</f>
        <v>25.5</v>
      </c>
      <c r="H25" s="24"/>
      <c r="I25" s="24"/>
      <c r="J25" s="24"/>
      <c r="K25" s="24" t="s">
        <v>62</v>
      </c>
      <c r="L25" s="24">
        <v>4.5</v>
      </c>
      <c r="M25" s="24" t="s">
        <v>63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6" t="str">
        <f>IFERROR(__xludf.DUMMYFUNCTION("""COMPUTED_VALUE"""),"Stanford Online")</f>
        <v>Stanford Online</v>
      </c>
      <c r="B26" s="27">
        <f>IFERROR(__xludf.DUMMYFUNCTION("""COMPUTED_VALUE"""),2.5)</f>
        <v>2.5</v>
      </c>
      <c r="C26" s="27">
        <f>IFERROR(__xludf.DUMMYFUNCTION("""COMPUTED_VALUE"""),4.5)</f>
        <v>4.5</v>
      </c>
      <c r="D26" s="27">
        <f>IFERROR(__xludf.DUMMYFUNCTION("""COMPUTED_VALUE"""),4.5)</f>
        <v>4.5</v>
      </c>
      <c r="E26" s="27">
        <f>IFERROR(__xludf.DUMMYFUNCTION("""COMPUTED_VALUE"""),0.0)</f>
        <v>0</v>
      </c>
      <c r="F26" s="28">
        <f>IFERROR(__xludf.DUMMYFUNCTION("""COMPUTED_VALUE"""),0.0)</f>
        <v>0</v>
      </c>
      <c r="G26" s="24">
        <f>IFERROR(__xludf.DUMMYFUNCTION("""COMPUTED_VALUE"""),11.5)</f>
        <v>11.5</v>
      </c>
      <c r="H26" s="24"/>
      <c r="I26" s="24"/>
      <c r="J26" s="24"/>
      <c r="K26" s="24" t="s">
        <v>64</v>
      </c>
      <c r="L26" s="24">
        <v>2.5</v>
      </c>
      <c r="M26" s="24" t="s">
        <v>65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tr">
        <f>IFERROR(__xludf.DUMMYFUNCTION("""COMPUTED_VALUE"""),"Cupertino A")</f>
        <v>Cupertino A</v>
      </c>
      <c r="B27" s="27">
        <f>IFERROR(__xludf.DUMMYFUNCTION("""COMPUTED_VALUE"""),6.0)</f>
        <v>6</v>
      </c>
      <c r="C27" s="27">
        <f>IFERROR(__xludf.DUMMYFUNCTION("""COMPUTED_VALUE"""),4.0)</f>
        <v>4</v>
      </c>
      <c r="D27" s="27">
        <f>IFERROR(__xludf.DUMMYFUNCTION("""COMPUTED_VALUE"""),3.0)</f>
        <v>3</v>
      </c>
      <c r="E27" s="27">
        <f>IFERROR(__xludf.DUMMYFUNCTION("""COMPUTED_VALUE"""),2.0)</f>
        <v>2</v>
      </c>
      <c r="F27" s="28">
        <f>IFERROR(__xludf.DUMMYFUNCTION("""COMPUTED_VALUE"""),0.0)</f>
        <v>0</v>
      </c>
      <c r="G27" s="24">
        <f>IFERROR(__xludf.DUMMYFUNCTION("""COMPUTED_VALUE"""),15.0)</f>
        <v>15</v>
      </c>
      <c r="H27" s="24"/>
      <c r="I27" s="24"/>
      <c r="J27" s="24"/>
      <c r="K27" s="24" t="s">
        <v>9</v>
      </c>
      <c r="L27" s="24">
        <v>6.0</v>
      </c>
      <c r="M27" s="24" t="s">
        <v>66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6" t="str">
        <f>IFERROR(__xludf.DUMMYFUNCTION("""COMPUTED_VALUE"""),"Cupertino B")</f>
        <v>Cupertino B</v>
      </c>
      <c r="B28" s="27">
        <f>IFERROR(__xludf.DUMMYFUNCTION("""COMPUTED_VALUE"""),5.5)</f>
        <v>5.5</v>
      </c>
      <c r="C28" s="27">
        <f>IFERROR(__xludf.DUMMYFUNCTION("""COMPUTED_VALUE"""),0.0)</f>
        <v>0</v>
      </c>
      <c r="D28" s="27">
        <f>IFERROR(__xludf.DUMMYFUNCTION("""COMPUTED_VALUE"""),2.5)</f>
        <v>2.5</v>
      </c>
      <c r="E28" s="27">
        <f>IFERROR(__xludf.DUMMYFUNCTION("""COMPUTED_VALUE"""),2.5)</f>
        <v>2.5</v>
      </c>
      <c r="F28" s="28">
        <f>IFERROR(__xludf.DUMMYFUNCTION("""COMPUTED_VALUE"""),0.0)</f>
        <v>0</v>
      </c>
      <c r="G28" s="24">
        <f>IFERROR(__xludf.DUMMYFUNCTION("""COMPUTED_VALUE"""),10.5)</f>
        <v>10.5</v>
      </c>
      <c r="H28" s="24"/>
      <c r="I28" s="24"/>
      <c r="J28" s="24"/>
      <c r="K28" s="24" t="s">
        <v>67</v>
      </c>
      <c r="L28" s="24">
        <v>5.5</v>
      </c>
      <c r="M28" s="24" t="s">
        <v>68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6" t="str">
        <f>IFERROR(__xludf.DUMMYFUNCTION("""COMPUTED_VALUE"""),"Monta Vista A")</f>
        <v>Monta Vista A</v>
      </c>
      <c r="B29" s="27">
        <f>IFERROR(__xludf.DUMMYFUNCTION("""COMPUTED_VALUE"""),3.0)</f>
        <v>3</v>
      </c>
      <c r="C29" s="27">
        <f>IFERROR(__xludf.DUMMYFUNCTION("""COMPUTED_VALUE"""),7.5)</f>
        <v>7.5</v>
      </c>
      <c r="D29" s="27">
        <f>IFERROR(__xludf.DUMMYFUNCTION("""COMPUTED_VALUE"""),0.0)</f>
        <v>0</v>
      </c>
      <c r="E29" s="27">
        <f>IFERROR(__xludf.DUMMYFUNCTION("""COMPUTED_VALUE"""),0.0)</f>
        <v>0</v>
      </c>
      <c r="F29" s="28">
        <f>IFERROR(__xludf.DUMMYFUNCTION("""COMPUTED_VALUE"""),0.0)</f>
        <v>0</v>
      </c>
      <c r="G29" s="24">
        <f>IFERROR(__xludf.DUMMYFUNCTION("""COMPUTED_VALUE"""),10.5)</f>
        <v>10.5</v>
      </c>
      <c r="H29" s="24"/>
      <c r="I29" s="24"/>
      <c r="J29" s="24"/>
      <c r="K29" s="24" t="s">
        <v>69</v>
      </c>
      <c r="L29" s="24">
        <v>3.0</v>
      </c>
      <c r="M29" s="24" t="s">
        <v>70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6" t="str">
        <f>IFERROR(__xludf.DUMMYFUNCTION("""COMPUTED_VALUE"""),"Monta Vista B")</f>
        <v>Monta Vista B</v>
      </c>
      <c r="B30" s="27">
        <f>IFERROR(__xludf.DUMMYFUNCTION("""COMPUTED_VALUE"""),0.0)</f>
        <v>0</v>
      </c>
      <c r="C30" s="27">
        <f>IFERROR(__xludf.DUMMYFUNCTION("""COMPUTED_VALUE"""),0.0)</f>
        <v>0</v>
      </c>
      <c r="D30" s="27">
        <f>IFERROR(__xludf.DUMMYFUNCTION("""COMPUTED_VALUE"""),0.0)</f>
        <v>0</v>
      </c>
      <c r="E30" s="27">
        <f>IFERROR(__xludf.DUMMYFUNCTION("""COMPUTED_VALUE"""),0.0)</f>
        <v>0</v>
      </c>
      <c r="F30" s="28">
        <f>IFERROR(__xludf.DUMMYFUNCTION("""COMPUTED_VALUE"""),2.0)</f>
        <v>2</v>
      </c>
      <c r="G30" s="24">
        <f>IFERROR(__xludf.DUMMYFUNCTION("""COMPUTED_VALUE"""),2.0)</f>
        <v>2</v>
      </c>
      <c r="H30" s="24"/>
      <c r="I30" s="24"/>
      <c r="J30" s="24"/>
      <c r="K30" s="24" t="s">
        <v>71</v>
      </c>
      <c r="L30" s="24">
        <v>0.0</v>
      </c>
      <c r="M30" s="24" t="s">
        <v>72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6" t="str">
        <f>IFERROR(__xludf.DUMMYFUNCTION("""COMPUTED_VALUE"""),"North Hollywood")</f>
        <v>North Hollywood</v>
      </c>
      <c r="B31" s="27">
        <f>IFERROR(__xludf.DUMMYFUNCTION("""COMPUTED_VALUE"""),1.0)</f>
        <v>1</v>
      </c>
      <c r="C31" s="27">
        <f>IFERROR(__xludf.DUMMYFUNCTION("""COMPUTED_VALUE"""),0.0)</f>
        <v>0</v>
      </c>
      <c r="D31" s="27">
        <f>IFERROR(__xludf.DUMMYFUNCTION("""COMPUTED_VALUE"""),0.0)</f>
        <v>0</v>
      </c>
      <c r="E31" s="27">
        <f>IFERROR(__xludf.DUMMYFUNCTION("""COMPUTED_VALUE"""),7.0)</f>
        <v>7</v>
      </c>
      <c r="F31" s="28">
        <f>IFERROR(__xludf.DUMMYFUNCTION("""COMPUTED_VALUE"""),0.0)</f>
        <v>0</v>
      </c>
      <c r="G31" s="24">
        <f>IFERROR(__xludf.DUMMYFUNCTION("""COMPUTED_VALUE"""),8.0)</f>
        <v>8</v>
      </c>
      <c r="H31" s="24"/>
      <c r="I31" s="24"/>
      <c r="J31" s="24"/>
      <c r="K31" s="24" t="s">
        <v>73</v>
      </c>
      <c r="L31" s="24">
        <v>1.0</v>
      </c>
      <c r="M31" s="24" t="s">
        <v>74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tr">
        <f>IFERROR(__xludf.DUMMYFUNCTION("""COMPUTED_VALUE"""),"Dougherty Valley A")</f>
        <v>Dougherty Valley A</v>
      </c>
      <c r="B32" s="27">
        <f>IFERROR(__xludf.DUMMYFUNCTION("""COMPUTED_VALUE"""),0.0)</f>
        <v>0</v>
      </c>
      <c r="C32" s="27">
        <f>IFERROR(__xludf.DUMMYFUNCTION("""COMPUTED_VALUE"""),0.0)</f>
        <v>0</v>
      </c>
      <c r="D32" s="27">
        <f>IFERROR(__xludf.DUMMYFUNCTION("""COMPUTED_VALUE"""),0.5)</f>
        <v>0.5</v>
      </c>
      <c r="E32" s="27">
        <f>IFERROR(__xludf.DUMMYFUNCTION("""COMPUTED_VALUE"""),5.0)</f>
        <v>5</v>
      </c>
      <c r="F32" s="28">
        <f>IFERROR(__xludf.DUMMYFUNCTION("""COMPUTED_VALUE"""),0.0)</f>
        <v>0</v>
      </c>
      <c r="G32" s="24">
        <f>IFERROR(__xludf.DUMMYFUNCTION("""COMPUTED_VALUE"""),5.5)</f>
        <v>5.5</v>
      </c>
      <c r="H32" s="24"/>
      <c r="I32" s="24"/>
      <c r="J32" s="24"/>
      <c r="K32" s="24" t="s">
        <v>75</v>
      </c>
      <c r="L32" s="24">
        <v>0.0</v>
      </c>
      <c r="M32" s="24" t="s">
        <v>76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6" t="str">
        <f>IFERROR(__xludf.DUMMYFUNCTION("""COMPUTED_VALUE"""),"Dougherty Valley B")</f>
        <v>Dougherty Valley B</v>
      </c>
      <c r="B33" s="27">
        <f>IFERROR(__xludf.DUMMYFUNCTION("""COMPUTED_VALUE"""),5.5)</f>
        <v>5.5</v>
      </c>
      <c r="C33" s="24"/>
      <c r="D33" s="27">
        <f>IFERROR(__xludf.DUMMYFUNCTION("""COMPUTED_VALUE"""),0.0)</f>
        <v>0</v>
      </c>
      <c r="E33" s="27">
        <f>IFERROR(__xludf.DUMMYFUNCTION("""COMPUTED_VALUE"""),3.0)</f>
        <v>3</v>
      </c>
      <c r="F33" s="28">
        <f>IFERROR(__xludf.DUMMYFUNCTION("""COMPUTED_VALUE"""),0.0)</f>
        <v>0</v>
      </c>
      <c r="G33" s="24">
        <f>IFERROR(__xludf.DUMMYFUNCTION("""COMPUTED_VALUE"""),8.5)</f>
        <v>8.5</v>
      </c>
      <c r="H33" s="24"/>
      <c r="I33" s="24"/>
      <c r="J33" s="24"/>
      <c r="K33" s="24" t="s">
        <v>77</v>
      </c>
      <c r="L33" s="24">
        <v>5.5</v>
      </c>
      <c r="M33" s="24" t="s">
        <v>78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6" t="str">
        <f>IFERROR(__xludf.DUMMYFUNCTION("""COMPUTED_VALUE"""),"Amador Valley A")</f>
        <v>Amador Valley A</v>
      </c>
      <c r="B34" s="27">
        <f>IFERROR(__xludf.DUMMYFUNCTION("""COMPUTED_VALUE"""),0.0)</f>
        <v>0</v>
      </c>
      <c r="C34" s="27">
        <f>IFERROR(__xludf.DUMMYFUNCTION("""COMPUTED_VALUE"""),15.0)</f>
        <v>15</v>
      </c>
      <c r="D34" s="27">
        <f>IFERROR(__xludf.DUMMYFUNCTION("""COMPUTED_VALUE"""),1.5)</f>
        <v>1.5</v>
      </c>
      <c r="E34" s="27">
        <f>IFERROR(__xludf.DUMMYFUNCTION("""COMPUTED_VALUE"""),1.5)</f>
        <v>1.5</v>
      </c>
      <c r="F34" s="28">
        <f>IFERROR(__xludf.DUMMYFUNCTION("""COMPUTED_VALUE"""),3.0)</f>
        <v>3</v>
      </c>
      <c r="G34" s="24">
        <f>IFERROR(__xludf.DUMMYFUNCTION("""COMPUTED_VALUE"""),21.0)</f>
        <v>21</v>
      </c>
      <c r="H34" s="24"/>
      <c r="I34" s="24"/>
      <c r="J34" s="24"/>
      <c r="K34" s="24" t="s">
        <v>79</v>
      </c>
      <c r="L34" s="24">
        <v>0.0</v>
      </c>
      <c r="M34" s="24" t="s">
        <v>80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6" t="str">
        <f>IFERROR(__xludf.DUMMYFUNCTION("""COMPUTED_VALUE"""),"Amador Valley B")</f>
        <v>Amador Valley B</v>
      </c>
      <c r="B35" s="27">
        <f>IFERROR(__xludf.DUMMYFUNCTION("""COMPUTED_VALUE"""),-1.0)</f>
        <v>-1</v>
      </c>
      <c r="C35" s="27">
        <f>IFERROR(__xludf.DUMMYFUNCTION("""COMPUTED_VALUE"""),0.0)</f>
        <v>0</v>
      </c>
      <c r="D35" s="27">
        <f>IFERROR(__xludf.DUMMYFUNCTION("""COMPUTED_VALUE"""),3.5)</f>
        <v>3.5</v>
      </c>
      <c r="E35" s="27">
        <f>IFERROR(__xludf.DUMMYFUNCTION("""COMPUTED_VALUE"""),2.5)</f>
        <v>2.5</v>
      </c>
      <c r="F35" s="28">
        <f>IFERROR(__xludf.DUMMYFUNCTION("""COMPUTED_VALUE"""),0.0)</f>
        <v>0</v>
      </c>
      <c r="G35" s="24">
        <f>IFERROR(__xludf.DUMMYFUNCTION("""COMPUTED_VALUE"""),5.0)</f>
        <v>5</v>
      </c>
      <c r="H35" s="24"/>
      <c r="I35" s="24"/>
      <c r="J35" s="24"/>
      <c r="K35" s="24" t="s">
        <v>81</v>
      </c>
      <c r="L35" s="24">
        <v>-1.0</v>
      </c>
      <c r="M35" s="24" t="s">
        <v>82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6" t="str">
        <f>IFERROR(__xludf.DUMMYFUNCTION("""COMPUTED_VALUE"""),"Lynbrook A")</f>
        <v>Lynbrook A</v>
      </c>
      <c r="B36" s="27">
        <f>IFERROR(__xludf.DUMMYFUNCTION("""COMPUTED_VALUE"""),9.0)</f>
        <v>9</v>
      </c>
      <c r="C36" s="27">
        <f>IFERROR(__xludf.DUMMYFUNCTION("""COMPUTED_VALUE"""),1.5)</f>
        <v>1.5</v>
      </c>
      <c r="D36" s="27">
        <f>IFERROR(__xludf.DUMMYFUNCTION("""COMPUTED_VALUE"""),0.0)</f>
        <v>0</v>
      </c>
      <c r="E36" s="27">
        <f>IFERROR(__xludf.DUMMYFUNCTION("""COMPUTED_VALUE"""),2.0)</f>
        <v>2</v>
      </c>
      <c r="F36" s="28">
        <f>IFERROR(__xludf.DUMMYFUNCTION("""COMPUTED_VALUE"""),3.0)</f>
        <v>3</v>
      </c>
      <c r="G36" s="24">
        <f>IFERROR(__xludf.DUMMYFUNCTION("""COMPUTED_VALUE"""),15.5)</f>
        <v>15.5</v>
      </c>
      <c r="H36" s="24"/>
      <c r="I36" s="24"/>
      <c r="J36" s="24"/>
      <c r="K36" s="24" t="s">
        <v>83</v>
      </c>
      <c r="L36" s="24">
        <v>9.0</v>
      </c>
      <c r="M36" s="24" t="s">
        <v>84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6" t="str">
        <f>IFERROR(__xludf.DUMMYFUNCTION("""COMPUTED_VALUE"""),"Lynbrook B")</f>
        <v>Lynbrook B</v>
      </c>
      <c r="B37" s="23">
        <f>IFERROR(__xludf.DUMMYFUNCTION("""COMPUTED_VALUE"""),0.0)</f>
        <v>0</v>
      </c>
      <c r="C37" s="23">
        <f>IFERROR(__xludf.DUMMYFUNCTION("""COMPUTED_VALUE"""),4.0)</f>
        <v>4</v>
      </c>
      <c r="D37" s="23">
        <f>IFERROR(__xludf.DUMMYFUNCTION("""COMPUTED_VALUE"""),0.0)</f>
        <v>0</v>
      </c>
      <c r="E37" s="23">
        <f>IFERROR(__xludf.DUMMYFUNCTION("""COMPUTED_VALUE"""),4.5)</f>
        <v>4.5</v>
      </c>
      <c r="F37" s="31">
        <f>IFERROR(__xludf.DUMMYFUNCTION("""COMPUTED_VALUE"""),5.0)</f>
        <v>5</v>
      </c>
      <c r="G37" s="24">
        <f>IFERROR(__xludf.DUMMYFUNCTION("""COMPUTED_VALUE"""),13.5)</f>
        <v>13.5</v>
      </c>
      <c r="H37" s="24"/>
      <c r="I37" s="24"/>
      <c r="J37" s="24"/>
      <c r="K37" s="24" t="s">
        <v>85</v>
      </c>
      <c r="L37" s="24">
        <v>0.0</v>
      </c>
      <c r="M37" s="24" t="s">
        <v>86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tr">
        <f>IFERROR(__xludf.DUMMYFUNCTION("""COMPUTED_VALUE"""),"MAX Team")</f>
        <v>MAX Team</v>
      </c>
      <c r="B38" s="24" t="str">
        <f>IFERROR(__xludf.DUMMYFUNCTION("""COMPUTED_VALUE"""),"Canyon Crest B")</f>
        <v>Canyon Crest B</v>
      </c>
      <c r="C38" s="24" t="str">
        <f>IFERROR(__xludf.DUMMYFUNCTION("""COMPUTED_VALUE"""),"Mission San Jose B")</f>
        <v>Mission San Jose B</v>
      </c>
      <c r="D38" s="24" t="str">
        <f>IFERROR(__xludf.DUMMYFUNCTION("""COMPUTED_VALUE"""),"Canyon Crest A")</f>
        <v>Canyon Crest A</v>
      </c>
      <c r="E38" s="24" t="str">
        <f>IFERROR(__xludf.DUMMYFUNCTION("""COMPUTED_VALUE"""),"Archbishop Mitty A")</f>
        <v>Archbishop Mitty A</v>
      </c>
      <c r="F38" s="32" t="str">
        <f>IFERROR(__xludf.DUMMYFUNCTION("""COMPUTED_VALUE"""),"Mission San Jose A")</f>
        <v>Mission San Jose A</v>
      </c>
      <c r="G38" s="24"/>
      <c r="H38" s="24"/>
      <c r="I38" s="24"/>
      <c r="J38" s="24"/>
      <c r="K38" s="24" t="s">
        <v>87</v>
      </c>
      <c r="L38" s="24">
        <v>0.0</v>
      </c>
      <c r="M38" s="24" t="s">
        <v>88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tr">
        <f>IFERROR(__xludf.DUMMYFUNCTION("""COMPUTED_VALUE"""),"MAX Score")</f>
        <v>MAX Score</v>
      </c>
      <c r="B39" s="27">
        <f>IFERROR(__xludf.DUMMYFUNCTION("""COMPUTED_VALUE"""),12.0)</f>
        <v>12</v>
      </c>
      <c r="C39" s="27">
        <f>IFERROR(__xludf.DUMMYFUNCTION("""COMPUTED_VALUE"""),21.0)</f>
        <v>21</v>
      </c>
      <c r="D39" s="27">
        <f>IFERROR(__xludf.DUMMYFUNCTION("""COMPUTED_VALUE"""),15.5)</f>
        <v>15.5</v>
      </c>
      <c r="E39" s="27">
        <f>IFERROR(__xludf.DUMMYFUNCTION("""COMPUTED_VALUE"""),7.0)</f>
        <v>7</v>
      </c>
      <c r="F39" s="27">
        <f>IFERROR(__xludf.DUMMYFUNCTION("""COMPUTED_VALUE"""),15.5)</f>
        <v>15.5</v>
      </c>
      <c r="G39" s="24"/>
      <c r="H39" s="24"/>
      <c r="I39" s="24"/>
      <c r="J39" s="24"/>
      <c r="K39" s="24" t="s">
        <v>18</v>
      </c>
      <c r="L39" s="24">
        <v>-1.0</v>
      </c>
      <c r="M39" s="24" t="s">
        <v>89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 t="s">
        <v>20</v>
      </c>
      <c r="L40" s="24">
        <v>4.5</v>
      </c>
      <c r="M40" s="24" t="s">
        <v>90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 t="s">
        <v>22</v>
      </c>
      <c r="L41" s="24">
        <v>-1.0</v>
      </c>
      <c r="M41" s="24" t="s">
        <v>91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 t="s">
        <v>24</v>
      </c>
      <c r="L42" s="24">
        <v>2.5</v>
      </c>
      <c r="M42" s="24" t="s">
        <v>92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 t="s">
        <v>26</v>
      </c>
      <c r="L43" s="24">
        <v>3.5</v>
      </c>
      <c r="M43" s="24" t="s">
        <v>93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 t="s">
        <v>28</v>
      </c>
      <c r="L44" s="24">
        <v>1.5</v>
      </c>
      <c r="M44" s="24" t="s">
        <v>94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 t="s">
        <v>30</v>
      </c>
      <c r="L45" s="24">
        <v>4.0</v>
      </c>
      <c r="M45" s="24" t="s">
        <v>95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 t="s">
        <v>32</v>
      </c>
      <c r="L46" s="24">
        <v>6.0</v>
      </c>
      <c r="M46" s="24" t="s">
        <v>96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 t="s">
        <v>34</v>
      </c>
      <c r="L47" s="24">
        <v>0.0</v>
      </c>
      <c r="M47" s="24" t="s">
        <v>97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 t="s">
        <v>36</v>
      </c>
      <c r="L48" s="24">
        <v>2.5</v>
      </c>
      <c r="M48" s="24" t="s">
        <v>98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 t="s">
        <v>38</v>
      </c>
      <c r="L49" s="24">
        <v>-1.0</v>
      </c>
      <c r="M49" s="24" t="s">
        <v>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 t="s">
        <v>40</v>
      </c>
      <c r="L50" s="24">
        <v>11.0</v>
      </c>
      <c r="M50" s="24" t="s">
        <v>100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 t="s">
        <v>42</v>
      </c>
      <c r="L51" s="24">
        <v>0.0</v>
      </c>
      <c r="M51" s="24" t="s">
        <v>101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 t="s">
        <v>44</v>
      </c>
      <c r="L52" s="24">
        <v>0.0</v>
      </c>
      <c r="M52" s="24" t="s">
        <v>102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 t="s">
        <v>46</v>
      </c>
      <c r="L53" s="24">
        <v>1.0</v>
      </c>
      <c r="M53" s="24" t="s">
        <v>103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 t="s">
        <v>48</v>
      </c>
      <c r="L54" s="24">
        <v>3.5</v>
      </c>
      <c r="M54" s="24" t="s">
        <v>104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 t="s">
        <v>50</v>
      </c>
      <c r="L55" s="24">
        <v>0.0</v>
      </c>
      <c r="M55" s="24" t="s">
        <v>105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 t="s">
        <v>52</v>
      </c>
      <c r="L56" s="24">
        <v>4.0</v>
      </c>
      <c r="M56" s="24" t="s">
        <v>106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 t="s">
        <v>54</v>
      </c>
      <c r="L57" s="24">
        <v>5.5</v>
      </c>
      <c r="M57" s="24" t="s">
        <v>107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 t="s">
        <v>56</v>
      </c>
      <c r="L58" s="24">
        <v>0.0</v>
      </c>
      <c r="M58" s="24" t="s">
        <v>108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 t="s">
        <v>58</v>
      </c>
      <c r="L59" s="24">
        <v>1.5</v>
      </c>
      <c r="M59" s="24" t="s">
        <v>109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 t="s">
        <v>60</v>
      </c>
      <c r="L60" s="24">
        <v>0.0</v>
      </c>
      <c r="M60" s="24" t="s">
        <v>110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 t="s">
        <v>62</v>
      </c>
      <c r="L61" s="24">
        <v>21.0</v>
      </c>
      <c r="M61" s="24" t="s">
        <v>111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 t="s">
        <v>64</v>
      </c>
      <c r="L62" s="24">
        <v>4.5</v>
      </c>
      <c r="M62" s="24" t="s">
        <v>112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 t="s">
        <v>9</v>
      </c>
      <c r="L63" s="24">
        <v>4.0</v>
      </c>
      <c r="M63" s="24" t="s">
        <v>11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 t="s">
        <v>67</v>
      </c>
      <c r="L64" s="24">
        <v>0.0</v>
      </c>
      <c r="M64" s="24" t="s">
        <v>113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 t="s">
        <v>69</v>
      </c>
      <c r="L65" s="24">
        <v>7.5</v>
      </c>
      <c r="M65" s="24" t="s">
        <v>114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 t="s">
        <v>71</v>
      </c>
      <c r="L66" s="24">
        <v>0.0</v>
      </c>
      <c r="M66" s="24" t="s">
        <v>115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 t="s">
        <v>73</v>
      </c>
      <c r="L67" s="24">
        <v>0.0</v>
      </c>
      <c r="M67" s="24" t="s">
        <v>116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 t="s">
        <v>75</v>
      </c>
      <c r="L68" s="24">
        <v>0.0</v>
      </c>
      <c r="M68" s="24" t="s">
        <v>117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 t="s">
        <v>77</v>
      </c>
      <c r="L69" s="24"/>
      <c r="M69" s="24" t="s">
        <v>118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 t="s">
        <v>79</v>
      </c>
      <c r="L70" s="24">
        <v>15.0</v>
      </c>
      <c r="M70" s="24" t="s">
        <v>119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 t="s">
        <v>81</v>
      </c>
      <c r="L71" s="24">
        <v>0.0</v>
      </c>
      <c r="M71" s="24" t="s">
        <v>120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 t="s">
        <v>83</v>
      </c>
      <c r="L72" s="24">
        <v>1.5</v>
      </c>
      <c r="M72" s="24" t="s">
        <v>121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 t="s">
        <v>85</v>
      </c>
      <c r="L73" s="24">
        <v>4.0</v>
      </c>
      <c r="M73" s="24" t="s">
        <v>122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 t="s">
        <v>87</v>
      </c>
      <c r="L74" s="24">
        <v>0.0</v>
      </c>
      <c r="M74" s="24" t="s">
        <v>123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18</v>
      </c>
      <c r="L75" s="24">
        <v>0.0</v>
      </c>
      <c r="M75" s="24" t="s">
        <v>124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 t="s">
        <v>20</v>
      </c>
      <c r="L76" s="24">
        <v>0.0</v>
      </c>
      <c r="M76" s="24" t="s">
        <v>125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 t="s">
        <v>22</v>
      </c>
      <c r="L77" s="24">
        <v>0.0</v>
      </c>
      <c r="M77" s="24" t="s">
        <v>126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 t="s">
        <v>24</v>
      </c>
      <c r="L78" s="24">
        <v>5.0</v>
      </c>
      <c r="M78" s="24" t="s">
        <v>127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 t="s">
        <v>26</v>
      </c>
      <c r="L79" s="24">
        <v>1.5</v>
      </c>
      <c r="M79" s="24" t="s">
        <v>128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 t="s">
        <v>28</v>
      </c>
      <c r="L80" s="24">
        <v>15.5</v>
      </c>
      <c r="M80" s="24" t="s">
        <v>129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 t="s">
        <v>30</v>
      </c>
      <c r="L81" s="24">
        <v>0.0</v>
      </c>
      <c r="M81" s="24" t="s">
        <v>130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 t="s">
        <v>32</v>
      </c>
      <c r="L82" s="24">
        <v>0.0</v>
      </c>
      <c r="M82" s="24" t="s">
        <v>131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 t="s">
        <v>34</v>
      </c>
      <c r="L83" s="24">
        <v>0.0</v>
      </c>
      <c r="M83" s="24" t="s">
        <v>132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 t="s">
        <v>36</v>
      </c>
      <c r="L84" s="24">
        <v>3.0</v>
      </c>
      <c r="M84" s="24" t="s">
        <v>133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 t="s">
        <v>38</v>
      </c>
      <c r="L85" s="24">
        <v>1.5</v>
      </c>
      <c r="M85" s="24" t="s">
        <v>134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 t="s">
        <v>40</v>
      </c>
      <c r="L86" s="24">
        <v>1.5</v>
      </c>
      <c r="M86" s="24" t="s">
        <v>135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 t="s">
        <v>42</v>
      </c>
      <c r="L87" s="24">
        <v>4.0</v>
      </c>
      <c r="M87" s="24" t="s">
        <v>136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 t="s">
        <v>44</v>
      </c>
      <c r="L88" s="24">
        <v>1.0</v>
      </c>
      <c r="M88" s="24" t="s">
        <v>137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 t="s">
        <v>46</v>
      </c>
      <c r="L89" s="24">
        <v>6.0</v>
      </c>
      <c r="M89" s="24" t="s">
        <v>138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 t="s">
        <v>48</v>
      </c>
      <c r="L90" s="24">
        <v>0.0</v>
      </c>
      <c r="M90" s="24" t="s">
        <v>139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 t="s">
        <v>50</v>
      </c>
      <c r="L91" s="24">
        <v>1.5</v>
      </c>
      <c r="M91" s="24" t="s">
        <v>140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 t="s">
        <v>52</v>
      </c>
      <c r="L92" s="24">
        <v>0.0</v>
      </c>
      <c r="M92" s="24" t="s">
        <v>141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 t="s">
        <v>54</v>
      </c>
      <c r="L93" s="24">
        <v>1.5</v>
      </c>
      <c r="M93" s="24" t="s">
        <v>142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 t="s">
        <v>56</v>
      </c>
      <c r="L94" s="24">
        <v>-1.0</v>
      </c>
      <c r="M94" s="24" t="s">
        <v>143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 t="s">
        <v>58</v>
      </c>
      <c r="L95" s="24">
        <v>0.0</v>
      </c>
      <c r="M95" s="24" t="s">
        <v>144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 t="s">
        <v>60</v>
      </c>
      <c r="L96" s="24">
        <v>0.0</v>
      </c>
      <c r="M96" s="24" t="s">
        <v>145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 t="s">
        <v>62</v>
      </c>
      <c r="L97" s="24">
        <v>0.0</v>
      </c>
      <c r="M97" s="24" t="s">
        <v>146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 t="s">
        <v>64</v>
      </c>
      <c r="L98" s="24">
        <v>4.5</v>
      </c>
      <c r="M98" s="24" t="s">
        <v>147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 t="s">
        <v>9</v>
      </c>
      <c r="L99" s="24">
        <v>3.0</v>
      </c>
      <c r="M99" s="24" t="s">
        <v>12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 t="s">
        <v>67</v>
      </c>
      <c r="L100" s="24">
        <v>2.5</v>
      </c>
      <c r="M100" s="24" t="s">
        <v>148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69</v>
      </c>
      <c r="L101" s="24">
        <v>0.0</v>
      </c>
      <c r="M101" s="24" t="s">
        <v>149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 t="s">
        <v>71</v>
      </c>
      <c r="L102" s="24">
        <v>0.0</v>
      </c>
      <c r="M102" s="24" t="s">
        <v>150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 t="s">
        <v>73</v>
      </c>
      <c r="L103" s="24">
        <v>0.0</v>
      </c>
      <c r="M103" s="24" t="s">
        <v>151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 t="s">
        <v>75</v>
      </c>
      <c r="L104" s="24">
        <v>0.5</v>
      </c>
      <c r="M104" s="24" t="s">
        <v>152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 t="s">
        <v>77</v>
      </c>
      <c r="L105" s="24">
        <v>0.0</v>
      </c>
      <c r="M105" s="24" t="s">
        <v>153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 t="s">
        <v>79</v>
      </c>
      <c r="L106" s="24">
        <v>1.5</v>
      </c>
      <c r="M106" s="24" t="s">
        <v>154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 t="s">
        <v>81</v>
      </c>
      <c r="L107" s="24">
        <v>3.5</v>
      </c>
      <c r="M107" s="24" t="s">
        <v>155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 t="s">
        <v>83</v>
      </c>
      <c r="L108" s="24">
        <v>0.0</v>
      </c>
      <c r="M108" s="24" t="s">
        <v>156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 t="s">
        <v>85</v>
      </c>
      <c r="L109" s="24">
        <v>0.0</v>
      </c>
      <c r="M109" s="24" t="s">
        <v>157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 t="s">
        <v>87</v>
      </c>
      <c r="L110" s="24">
        <v>0.0</v>
      </c>
      <c r="M110" s="24" t="s">
        <v>158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 t="s">
        <v>18</v>
      </c>
      <c r="L111" s="24">
        <v>0.0</v>
      </c>
      <c r="M111" s="24" t="s">
        <v>159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 t="s">
        <v>20</v>
      </c>
      <c r="L112" s="24">
        <v>-0.5</v>
      </c>
      <c r="M112" s="24" t="s">
        <v>160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 t="s">
        <v>22</v>
      </c>
      <c r="L113" s="24">
        <v>1.5</v>
      </c>
      <c r="M113" s="24" t="s">
        <v>161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 t="s">
        <v>24</v>
      </c>
      <c r="L114" s="24">
        <v>0.0</v>
      </c>
      <c r="M114" s="24" t="s">
        <v>162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 t="s">
        <v>26</v>
      </c>
      <c r="L115" s="24">
        <v>0.0</v>
      </c>
      <c r="M115" s="24" t="s">
        <v>163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 t="s">
        <v>28</v>
      </c>
      <c r="L116" s="24">
        <v>0.0</v>
      </c>
      <c r="M116" s="24" t="s">
        <v>164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 t="s">
        <v>30</v>
      </c>
      <c r="L117" s="24">
        <v>0.0</v>
      </c>
      <c r="M117" s="24" t="s">
        <v>165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 t="s">
        <v>32</v>
      </c>
      <c r="L118" s="24">
        <v>0.0</v>
      </c>
      <c r="M118" s="24" t="s">
        <v>166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 t="s">
        <v>34</v>
      </c>
      <c r="L119" s="24">
        <v>1.0</v>
      </c>
      <c r="M119" s="24" t="s">
        <v>167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 t="s">
        <v>36</v>
      </c>
      <c r="L120" s="24">
        <v>0.0</v>
      </c>
      <c r="M120" s="24" t="s">
        <v>168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 t="s">
        <v>38</v>
      </c>
      <c r="L121" s="24">
        <v>1.5</v>
      </c>
      <c r="M121" s="24" t="s">
        <v>169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 t="s">
        <v>40</v>
      </c>
      <c r="L122" s="24">
        <v>3.0</v>
      </c>
      <c r="M122" s="24" t="s">
        <v>170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 t="s">
        <v>42</v>
      </c>
      <c r="L123" s="24">
        <v>0.0</v>
      </c>
      <c r="M123" s="24" t="s">
        <v>171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 t="s">
        <v>44</v>
      </c>
      <c r="L124" s="24">
        <v>0.0</v>
      </c>
      <c r="M124" s="24" t="s">
        <v>172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 t="s">
        <v>46</v>
      </c>
      <c r="L125" s="24">
        <v>0.0</v>
      </c>
      <c r="M125" s="24" t="s">
        <v>173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 t="s">
        <v>48</v>
      </c>
      <c r="L126" s="24">
        <v>0.0</v>
      </c>
      <c r="M126" s="24" t="s">
        <v>174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 t="s">
        <v>50</v>
      </c>
      <c r="L127" s="24">
        <v>1.0</v>
      </c>
      <c r="M127" s="24" t="s">
        <v>175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 t="s">
        <v>52</v>
      </c>
      <c r="L128" s="24">
        <v>0.0</v>
      </c>
      <c r="M128" s="24" t="s">
        <v>176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 t="s">
        <v>54</v>
      </c>
      <c r="L129" s="24">
        <v>0.0</v>
      </c>
      <c r="M129" s="24" t="s">
        <v>177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 t="s">
        <v>56</v>
      </c>
      <c r="L130" s="24">
        <v>7.0</v>
      </c>
      <c r="M130" s="24" t="s">
        <v>178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 t="s">
        <v>58</v>
      </c>
      <c r="L131" s="24">
        <v>0.0</v>
      </c>
      <c r="M131" s="24" t="s">
        <v>179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 t="s">
        <v>60</v>
      </c>
      <c r="L132" s="24">
        <v>1.5</v>
      </c>
      <c r="M132" s="24" t="s">
        <v>180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 t="s">
        <v>62</v>
      </c>
      <c r="L133" s="24">
        <v>0.0</v>
      </c>
      <c r="M133" s="24" t="s">
        <v>181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 t="s">
        <v>64</v>
      </c>
      <c r="L134" s="24">
        <v>0.0</v>
      </c>
      <c r="M134" s="24" t="s">
        <v>182</v>
      </c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 t="s">
        <v>9</v>
      </c>
      <c r="L135" s="24">
        <v>2.0</v>
      </c>
      <c r="M135" s="24" t="s">
        <v>13</v>
      </c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 t="s">
        <v>67</v>
      </c>
      <c r="L136" s="24">
        <v>2.5</v>
      </c>
      <c r="M136" s="24" t="s">
        <v>183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 t="s">
        <v>69</v>
      </c>
      <c r="L137" s="24">
        <v>0.0</v>
      </c>
      <c r="M137" s="24" t="s">
        <v>184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71</v>
      </c>
      <c r="L138" s="24">
        <v>0.0</v>
      </c>
      <c r="M138" s="24" t="s">
        <v>185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 t="s">
        <v>73</v>
      </c>
      <c r="L139" s="24">
        <v>7.0</v>
      </c>
      <c r="M139" s="24" t="s">
        <v>186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 t="s">
        <v>75</v>
      </c>
      <c r="L140" s="24">
        <v>5.0</v>
      </c>
      <c r="M140" s="24" t="s">
        <v>187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 t="s">
        <v>77</v>
      </c>
      <c r="L141" s="24">
        <v>3.0</v>
      </c>
      <c r="M141" s="24" t="s">
        <v>188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 t="s">
        <v>79</v>
      </c>
      <c r="L142" s="24">
        <v>1.5</v>
      </c>
      <c r="M142" s="24" t="s">
        <v>189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 t="s">
        <v>81</v>
      </c>
      <c r="L143" s="24">
        <v>2.5</v>
      </c>
      <c r="M143" s="24" t="s">
        <v>190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 t="s">
        <v>83</v>
      </c>
      <c r="L144" s="24">
        <v>2.0</v>
      </c>
      <c r="M144" s="24" t="s">
        <v>191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 t="s">
        <v>85</v>
      </c>
      <c r="L145" s="24">
        <v>4.5</v>
      </c>
      <c r="M145" s="24" t="s">
        <v>192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 t="s">
        <v>87</v>
      </c>
      <c r="L146" s="24">
        <v>0.0</v>
      </c>
      <c r="M146" s="24" t="s">
        <v>193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18</v>
      </c>
      <c r="L147" s="24">
        <v>1.5</v>
      </c>
      <c r="M147" s="24" t="s">
        <v>194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 t="s">
        <v>20</v>
      </c>
      <c r="L148" s="24">
        <v>0.0</v>
      </c>
      <c r="M148" s="24" t="s">
        <v>195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 t="s">
        <v>22</v>
      </c>
      <c r="L149" s="24">
        <v>0.0</v>
      </c>
      <c r="M149" s="24" t="s">
        <v>196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 t="s">
        <v>24</v>
      </c>
      <c r="L150" s="24">
        <v>0.0</v>
      </c>
      <c r="M150" s="24" t="s">
        <v>197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26</v>
      </c>
      <c r="L151" s="24">
        <v>0.0</v>
      </c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 t="s">
        <v>28</v>
      </c>
      <c r="L152" s="24">
        <v>0.0</v>
      </c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 t="s">
        <v>30</v>
      </c>
      <c r="L153" s="24">
        <v>0.0</v>
      </c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 t="s">
        <v>32</v>
      </c>
      <c r="L154" s="24">
        <v>9.5</v>
      </c>
      <c r="M154" s="24" t="s">
        <v>198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 t="s">
        <v>34</v>
      </c>
      <c r="L155" s="24">
        <v>0.0</v>
      </c>
      <c r="M155" s="24" t="s">
        <v>199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 t="s">
        <v>36</v>
      </c>
      <c r="L156" s="24">
        <v>0.0</v>
      </c>
      <c r="M156" s="24" t="s">
        <v>200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 t="s">
        <v>38</v>
      </c>
      <c r="L157" s="24">
        <v>1.0</v>
      </c>
      <c r="M157" s="24" t="s">
        <v>201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 t="s">
        <v>40</v>
      </c>
      <c r="L158" s="24">
        <v>0.0</v>
      </c>
      <c r="M158" s="24" t="s">
        <v>202</v>
      </c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 t="s">
        <v>42</v>
      </c>
      <c r="L159" s="24">
        <v>0.0</v>
      </c>
      <c r="M159" s="24" t="s">
        <v>203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 t="s">
        <v>44</v>
      </c>
      <c r="L160" s="24">
        <v>0.0</v>
      </c>
      <c r="M160" s="24" t="s">
        <v>204</v>
      </c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 t="s">
        <v>46</v>
      </c>
      <c r="L161" s="24">
        <v>1.5</v>
      </c>
      <c r="M161" s="24" t="s">
        <v>205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 t="s">
        <v>48</v>
      </c>
      <c r="L162" s="24">
        <v>0.0</v>
      </c>
      <c r="M162" s="24" t="s">
        <v>206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 t="s">
        <v>50</v>
      </c>
      <c r="L163" s="24">
        <v>4.0</v>
      </c>
      <c r="M163" s="24" t="s">
        <v>207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 t="s">
        <v>52</v>
      </c>
      <c r="L164" s="24">
        <v>6.5</v>
      </c>
      <c r="M164" s="24" t="s">
        <v>208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 t="s">
        <v>54</v>
      </c>
      <c r="L165" s="24">
        <v>0.0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 t="s">
        <v>56</v>
      </c>
      <c r="L166" s="24">
        <v>0.0</v>
      </c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 t="s">
        <v>58</v>
      </c>
      <c r="L167" s="24">
        <v>0.0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 t="s">
        <v>60</v>
      </c>
      <c r="L168" s="24">
        <v>15.5</v>
      </c>
      <c r="M168" s="24" t="s">
        <v>209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 t="s">
        <v>62</v>
      </c>
      <c r="L169" s="24">
        <v>0.0</v>
      </c>
      <c r="M169" s="24" t="s">
        <v>210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 t="s">
        <v>64</v>
      </c>
      <c r="L170" s="24">
        <v>0.0</v>
      </c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 t="s">
        <v>9</v>
      </c>
      <c r="L171" s="24">
        <v>0.0</v>
      </c>
      <c r="M171" s="24" t="s">
        <v>14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 t="s">
        <v>67</v>
      </c>
      <c r="L172" s="24">
        <v>0.0</v>
      </c>
      <c r="M172" s="24" t="s">
        <v>211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 t="s">
        <v>69</v>
      </c>
      <c r="L173" s="24">
        <v>0.0</v>
      </c>
      <c r="M173" s="24" t="s">
        <v>212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 t="s">
        <v>71</v>
      </c>
      <c r="L174" s="24">
        <v>2.0</v>
      </c>
      <c r="M174" s="24" t="s">
        <v>213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 t="s">
        <v>73</v>
      </c>
      <c r="L175" s="24">
        <v>0.0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 t="s">
        <v>75</v>
      </c>
      <c r="L176" s="24">
        <v>0.0</v>
      </c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 t="s">
        <v>77</v>
      </c>
      <c r="L177" s="24">
        <v>0.0</v>
      </c>
      <c r="M177" s="24" t="s">
        <v>214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79</v>
      </c>
      <c r="L178" s="24">
        <v>3.0</v>
      </c>
      <c r="M178" s="24" t="s">
        <v>215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 t="s">
        <v>81</v>
      </c>
      <c r="L179" s="24">
        <v>0.0</v>
      </c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 t="s">
        <v>83</v>
      </c>
      <c r="L180" s="24">
        <v>3.0</v>
      </c>
      <c r="M180" s="24" t="s">
        <v>216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 t="s">
        <v>85</v>
      </c>
      <c r="L181" s="24">
        <v>5.0</v>
      </c>
      <c r="M181" s="24" t="s">
        <v>217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2">
        <f>IFERROR(__xludf.DUMMYFUNCTION("IMPORTRANGE(""https://docs.google.com/spreadsheets/d/1hF3sefURNb_ssJk7SkIRKX6ByBcDxRkk4SZazZtucFY/edit#gid=82493956"",""Chemistry MVP!A1:I"")"),2.0)</f>
        <v>2</v>
      </c>
      <c r="B1" s="23">
        <f>IFERROR(__xludf.DUMMYFUNCTION("""COMPUTED_VALUE"""),1.0)</f>
        <v>1</v>
      </c>
      <c r="C1" s="23">
        <f>IFERROR(__xludf.DUMMYFUNCTION("""COMPUTED_VALUE"""),2.0)</f>
        <v>2</v>
      </c>
      <c r="D1" s="23">
        <f>IFERROR(__xludf.DUMMYFUNCTION("""COMPUTED_VALUE"""),3.0)</f>
        <v>3</v>
      </c>
      <c r="E1" s="23">
        <f>IFERROR(__xludf.DUMMYFUNCTION("""COMPUTED_VALUE"""),4.0)</f>
        <v>4</v>
      </c>
      <c r="F1" s="23">
        <f>IFERROR(__xludf.DUMMYFUNCTION("""COMPUTED_VALUE"""),5.0)</f>
        <v>5</v>
      </c>
      <c r="G1" s="24" t="str">
        <f>IFERROR(__xludf.DUMMYFUNCTION("""COMPUTED_VALUE"""),"All")</f>
        <v>All</v>
      </c>
      <c r="H1" s="24"/>
      <c r="I1" s="25" t="str">
        <f>IFERROR(__xludf.DUMMYFUNCTION("""COMPUTED_VALUE"""),"Chemistry MVP:")</f>
        <v>Chemistry MVP: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6" t="str">
        <f>IFERROR(__xludf.DUMMYFUNCTION("""COMPUTED_VALUE"""),"Abraham Lincoln")</f>
        <v>Abraham Lincoln</v>
      </c>
      <c r="B2" s="27">
        <f>IFERROR(__xludf.DUMMYFUNCTION("""COMPUTED_VALUE"""),0.0)</f>
        <v>0</v>
      </c>
      <c r="C2" s="27">
        <f>IFERROR(__xludf.DUMMYFUNCTION("""COMPUTED_VALUE"""),0.0)</f>
        <v>0</v>
      </c>
      <c r="D2" s="27">
        <f>IFERROR(__xludf.DUMMYFUNCTION("""COMPUTED_VALUE"""),0.0)</f>
        <v>0</v>
      </c>
      <c r="E2" s="27">
        <f>IFERROR(__xludf.DUMMYFUNCTION("""COMPUTED_VALUE"""),1.0)</f>
        <v>1</v>
      </c>
      <c r="F2" s="28">
        <f>IFERROR(__xludf.DUMMYFUNCTION("""COMPUTED_VALUE"""),0.0)</f>
        <v>0</v>
      </c>
      <c r="G2" s="24">
        <f>IFERROR(__xludf.DUMMYFUNCTION("""COMPUTED_VALUE"""),1.0)</f>
        <v>1</v>
      </c>
      <c r="H2" s="24" t="str">
        <f>IFERROR(__xludf.DUMMYFUNCTION("""COMPUTED_VALUE"""),"Mission San Jose A")</f>
        <v>Mission San Jose A</v>
      </c>
      <c r="I2" s="29" t="str">
        <f>IFERROR(__xludf.DUMMYFUNCTION("""COMPUTED_VALUE"""),"Annie Xu")</f>
        <v>Annie Xu</v>
      </c>
      <c r="J2" s="24"/>
      <c r="K2" s="24" t="str">
        <f t="array" ref="K2:M181">{A2:A37,B2:B37,'Check-in Import'!E2:E37;A2:A37,C2:C37,'Check-in Import'!F2:F37;A2:A37,D2:D37,'Check-in Import'!G2:G37;A2:A37,E2:E37,'Check-in Import'!H2:H37;A2:A37,F2:F37,'Check-in Import'!I2:I37}</f>
        <v>Abraham Lincoln</v>
      </c>
      <c r="L2" s="24">
        <v>0.0</v>
      </c>
      <c r="M2" s="24" t="s">
        <v>17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6" t="str">
        <f>IFERROR(__xludf.DUMMYFUNCTION("""COMPUTED_VALUE"""),"Saratoga")</f>
        <v>Saratoga</v>
      </c>
      <c r="B3" s="27">
        <f>IFERROR(__xludf.DUMMYFUNCTION("""COMPUTED_VALUE"""),4.0)</f>
        <v>4</v>
      </c>
      <c r="C3" s="27">
        <f>IFERROR(__xludf.DUMMYFUNCTION("""COMPUTED_VALUE"""),1.0)</f>
        <v>1</v>
      </c>
      <c r="D3" s="27">
        <f>IFERROR(__xludf.DUMMYFUNCTION("""COMPUTED_VALUE"""),0.0)</f>
        <v>0</v>
      </c>
      <c r="E3" s="27">
        <f>IFERROR(__xludf.DUMMYFUNCTION("""COMPUTED_VALUE"""),-1.0)</f>
        <v>-1</v>
      </c>
      <c r="F3" s="28">
        <f>IFERROR(__xludf.DUMMYFUNCTION("""COMPUTED_VALUE"""),0.0)</f>
        <v>0</v>
      </c>
      <c r="G3" s="24">
        <f>IFERROR(__xludf.DUMMYFUNCTION("""COMPUTED_VALUE"""),4.0)</f>
        <v>4</v>
      </c>
      <c r="H3" s="27">
        <f>IFERROR(__xludf.DUMMYFUNCTION("""COMPUTED_VALUE"""),19.0)</f>
        <v>19</v>
      </c>
      <c r="I3" s="24"/>
      <c r="J3" s="24"/>
      <c r="K3" s="24" t="s">
        <v>18</v>
      </c>
      <c r="L3" s="24">
        <v>4.0</v>
      </c>
      <c r="M3" s="24" t="s"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tr">
        <f>IFERROR(__xludf.DUMMYFUNCTION("""COMPUTED_VALUE"""),"Irvington")</f>
        <v>Irvington</v>
      </c>
      <c r="B4" s="27">
        <f>IFERROR(__xludf.DUMMYFUNCTION("""COMPUTED_VALUE"""),1.0)</f>
        <v>1</v>
      </c>
      <c r="C4" s="27">
        <f>IFERROR(__xludf.DUMMYFUNCTION("""COMPUTED_VALUE"""),0.0)</f>
        <v>0</v>
      </c>
      <c r="D4" s="27">
        <f>IFERROR(__xludf.DUMMYFUNCTION("""COMPUTED_VALUE"""),0.0)</f>
        <v>0</v>
      </c>
      <c r="E4" s="27">
        <f>IFERROR(__xludf.DUMMYFUNCTION("""COMPUTED_VALUE"""),0.0)</f>
        <v>0</v>
      </c>
      <c r="F4" s="28">
        <f>IFERROR(__xludf.DUMMYFUNCTION("""COMPUTED_VALUE"""),0.0)</f>
        <v>0</v>
      </c>
      <c r="G4" s="24">
        <f>IFERROR(__xludf.DUMMYFUNCTION("""COMPUTED_VALUE"""),1.0)</f>
        <v>1</v>
      </c>
      <c r="H4" s="24"/>
      <c r="I4" s="24"/>
      <c r="J4" s="24"/>
      <c r="K4" s="24" t="s">
        <v>20</v>
      </c>
      <c r="L4" s="24">
        <v>1.0</v>
      </c>
      <c r="M4" s="24" t="s">
        <v>21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tr">
        <f>IFERROR(__xludf.DUMMYFUNCTION("""COMPUTED_VALUE"""),"Saint Francis")</f>
        <v>Saint Francis</v>
      </c>
      <c r="B5" s="27">
        <f>IFERROR(__xludf.DUMMYFUNCTION("""COMPUTED_VALUE"""),11.5)</f>
        <v>11.5</v>
      </c>
      <c r="C5" s="27">
        <f>IFERROR(__xludf.DUMMYFUNCTION("""COMPUTED_VALUE"""),0.0)</f>
        <v>0</v>
      </c>
      <c r="D5" s="27">
        <f>IFERROR(__xludf.DUMMYFUNCTION("""COMPUTED_VALUE"""),0.0)</f>
        <v>0</v>
      </c>
      <c r="E5" s="27">
        <f>IFERROR(__xludf.DUMMYFUNCTION("""COMPUTED_VALUE"""),1.5)</f>
        <v>1.5</v>
      </c>
      <c r="F5" s="28">
        <f>IFERROR(__xludf.DUMMYFUNCTION("""COMPUTED_VALUE"""),0.0)</f>
        <v>0</v>
      </c>
      <c r="G5" s="24">
        <f>IFERROR(__xludf.DUMMYFUNCTION("""COMPUTED_VALUE"""),13.0)</f>
        <v>13</v>
      </c>
      <c r="H5" s="24"/>
      <c r="I5" s="24"/>
      <c r="J5" s="24"/>
      <c r="K5" s="24" t="s">
        <v>22</v>
      </c>
      <c r="L5" s="24">
        <v>11.5</v>
      </c>
      <c r="M5" s="24" t="s">
        <v>23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tr">
        <f>IFERROR(__xludf.DUMMYFUNCTION("""COMPUTED_VALUE"""),"BASIS Independent A")</f>
        <v>BASIS Independent A</v>
      </c>
      <c r="B6" s="27">
        <f>IFERROR(__xludf.DUMMYFUNCTION("""COMPUTED_VALUE"""),0.0)</f>
        <v>0</v>
      </c>
      <c r="C6" s="27">
        <f>IFERROR(__xludf.DUMMYFUNCTION("""COMPUTED_VALUE"""),10.5)</f>
        <v>10.5</v>
      </c>
      <c r="D6" s="27">
        <f>IFERROR(__xludf.DUMMYFUNCTION("""COMPUTED_VALUE"""),0.0)</f>
        <v>0</v>
      </c>
      <c r="E6" s="27">
        <f>IFERROR(__xludf.DUMMYFUNCTION("""COMPUTED_VALUE"""),0.0)</f>
        <v>0</v>
      </c>
      <c r="F6" s="28">
        <f>IFERROR(__xludf.DUMMYFUNCTION("""COMPUTED_VALUE"""),0.0)</f>
        <v>0</v>
      </c>
      <c r="G6" s="24">
        <f>IFERROR(__xludf.DUMMYFUNCTION("""COMPUTED_VALUE"""),10.5)</f>
        <v>10.5</v>
      </c>
      <c r="H6" s="24" t="str">
        <f>IFERROR(__xludf.DUMMYFUNCTION("""COMPUTED_VALUE"""),"First Places:")</f>
        <v>First Places:</v>
      </c>
      <c r="I6" s="24"/>
      <c r="J6" s="24"/>
      <c r="K6" s="24" t="s">
        <v>24</v>
      </c>
      <c r="L6" s="24">
        <v>0.0</v>
      </c>
      <c r="M6" s="24" t="s">
        <v>25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tr">
        <f>IFERROR(__xludf.DUMMYFUNCTION("""COMPUTED_VALUE"""),"BASIS Independent B")</f>
        <v>BASIS Independent B</v>
      </c>
      <c r="B7" s="27">
        <f>IFERROR(__xludf.DUMMYFUNCTION("""COMPUTED_VALUE"""),5.5)</f>
        <v>5.5</v>
      </c>
      <c r="C7" s="27">
        <f>IFERROR(__xludf.DUMMYFUNCTION("""COMPUTED_VALUE"""),0.0)</f>
        <v>0</v>
      </c>
      <c r="D7" s="27">
        <f>IFERROR(__xludf.DUMMYFUNCTION("""COMPUTED_VALUE"""),0.0)</f>
        <v>0</v>
      </c>
      <c r="E7" s="27">
        <f>IFERROR(__xludf.DUMMYFUNCTION("""COMPUTED_VALUE"""),2.0)</f>
        <v>2</v>
      </c>
      <c r="F7" s="28"/>
      <c r="G7" s="24">
        <f>IFERROR(__xludf.DUMMYFUNCTION("""COMPUTED_VALUE"""),7.5)</f>
        <v>7.5</v>
      </c>
      <c r="H7" s="27">
        <f>IFERROR(__xludf.DUMMYFUNCTION("""COMPUTED_VALUE"""),1.0)</f>
        <v>1</v>
      </c>
      <c r="I7" s="24"/>
      <c r="J7" s="24"/>
      <c r="K7" s="24" t="s">
        <v>26</v>
      </c>
      <c r="L7" s="24">
        <v>5.5</v>
      </c>
      <c r="M7" s="24" t="s">
        <v>27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tr">
        <f>IFERROR(__xludf.DUMMYFUNCTION("""COMPUTED_VALUE"""),"Canyon Crest A")</f>
        <v>Canyon Crest A</v>
      </c>
      <c r="B8" s="27">
        <f>IFERROR(__xludf.DUMMYFUNCTION("""COMPUTED_VALUE"""),13.5)</f>
        <v>13.5</v>
      </c>
      <c r="C8" s="27">
        <f>IFERROR(__xludf.DUMMYFUNCTION("""COMPUTED_VALUE"""),0.0)</f>
        <v>0</v>
      </c>
      <c r="D8" s="27">
        <f>IFERROR(__xludf.DUMMYFUNCTION("""COMPUTED_VALUE"""),3.0)</f>
        <v>3</v>
      </c>
      <c r="E8" s="27">
        <f>IFERROR(__xludf.DUMMYFUNCTION("""COMPUTED_VALUE"""),0.0)</f>
        <v>0</v>
      </c>
      <c r="F8" s="28"/>
      <c r="G8" s="24">
        <f>IFERROR(__xludf.DUMMYFUNCTION("""COMPUTED_VALUE"""),16.5)</f>
        <v>16.5</v>
      </c>
      <c r="H8" s="24"/>
      <c r="I8" s="24"/>
      <c r="J8" s="24"/>
      <c r="K8" s="24" t="s">
        <v>28</v>
      </c>
      <c r="L8" s="24">
        <v>13.5</v>
      </c>
      <c r="M8" s="24" t="s">
        <v>29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tr">
        <f>IFERROR(__xludf.DUMMYFUNCTION("""COMPUTED_VALUE"""),"Canyon Crest B")</f>
        <v>Canyon Crest B</v>
      </c>
      <c r="B9" s="27">
        <f>IFERROR(__xludf.DUMMYFUNCTION("""COMPUTED_VALUE"""),2.5)</f>
        <v>2.5</v>
      </c>
      <c r="C9" s="27">
        <f>IFERROR(__xludf.DUMMYFUNCTION("""COMPUTED_VALUE"""),2.0)</f>
        <v>2</v>
      </c>
      <c r="D9" s="27">
        <f>IFERROR(__xludf.DUMMYFUNCTION("""COMPUTED_VALUE"""),0.0)</f>
        <v>0</v>
      </c>
      <c r="E9" s="27">
        <f>IFERROR(__xludf.DUMMYFUNCTION("""COMPUTED_VALUE"""),0.0)</f>
        <v>0</v>
      </c>
      <c r="F9" s="28"/>
      <c r="G9" s="24">
        <f>IFERROR(__xludf.DUMMYFUNCTION("""COMPUTED_VALUE"""),4.5)</f>
        <v>4.5</v>
      </c>
      <c r="H9" s="24"/>
      <c r="I9" s="24"/>
      <c r="J9" s="24"/>
      <c r="K9" s="24" t="s">
        <v>30</v>
      </c>
      <c r="L9" s="24">
        <v>2.5</v>
      </c>
      <c r="M9" s="24" t="s">
        <v>31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tr">
        <f>IFERROR(__xludf.DUMMYFUNCTION("""COMPUTED_VALUE"""),"Mira Loma A")</f>
        <v>Mira Loma A</v>
      </c>
      <c r="B10" s="27">
        <f>IFERROR(__xludf.DUMMYFUNCTION("""COMPUTED_VALUE"""),0.0)</f>
        <v>0</v>
      </c>
      <c r="C10" s="27">
        <f>IFERROR(__xludf.DUMMYFUNCTION("""COMPUTED_VALUE"""),5.5)</f>
        <v>5.5</v>
      </c>
      <c r="D10" s="27">
        <f>IFERROR(__xludf.DUMMYFUNCTION("""COMPUTED_VALUE"""),3.5)</f>
        <v>3.5</v>
      </c>
      <c r="E10" s="27">
        <f>IFERROR(__xludf.DUMMYFUNCTION("""COMPUTED_VALUE"""),3.5)</f>
        <v>3.5</v>
      </c>
      <c r="F10" s="28">
        <f>IFERROR(__xludf.DUMMYFUNCTION("""COMPUTED_VALUE"""),2.0)</f>
        <v>2</v>
      </c>
      <c r="G10" s="24">
        <f>IFERROR(__xludf.DUMMYFUNCTION("""COMPUTED_VALUE"""),14.5)</f>
        <v>14.5</v>
      </c>
      <c r="H10" s="24"/>
      <c r="I10" s="24"/>
      <c r="J10" s="24"/>
      <c r="K10" s="24" t="s">
        <v>32</v>
      </c>
      <c r="L10" s="24">
        <v>0.0</v>
      </c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tr">
        <f>IFERROR(__xludf.DUMMYFUNCTION("""COMPUTED_VALUE"""),"Mira Loma B")</f>
        <v>Mira Loma B</v>
      </c>
      <c r="B11" s="27">
        <f>IFERROR(__xludf.DUMMYFUNCTION("""COMPUTED_VALUE"""),0.5)</f>
        <v>0.5</v>
      </c>
      <c r="C11" s="27">
        <f>IFERROR(__xludf.DUMMYFUNCTION("""COMPUTED_VALUE"""),2.5)</f>
        <v>2.5</v>
      </c>
      <c r="D11" s="27">
        <f>IFERROR(__xludf.DUMMYFUNCTION("""COMPUTED_VALUE"""),0.0)</f>
        <v>0</v>
      </c>
      <c r="E11" s="27">
        <f>IFERROR(__xludf.DUMMYFUNCTION("""COMPUTED_VALUE"""),0.0)</f>
        <v>0</v>
      </c>
      <c r="F11" s="28">
        <f>IFERROR(__xludf.DUMMYFUNCTION("""COMPUTED_VALUE"""),0.0)</f>
        <v>0</v>
      </c>
      <c r="G11" s="24">
        <f>IFERROR(__xludf.DUMMYFUNCTION("""COMPUTED_VALUE"""),3.0)</f>
        <v>3</v>
      </c>
      <c r="H11" s="24"/>
      <c r="I11" s="24"/>
      <c r="J11" s="24"/>
      <c r="K11" s="24" t="s">
        <v>34</v>
      </c>
      <c r="L11" s="24">
        <v>0.5</v>
      </c>
      <c r="M11" s="24" t="s">
        <v>35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tr">
        <f>IFERROR(__xludf.DUMMYFUNCTION("""COMPUTED_VALUE"""),"Foothill A")</f>
        <v>Foothill A</v>
      </c>
      <c r="B12" s="27">
        <f>IFERROR(__xludf.DUMMYFUNCTION("""COMPUTED_VALUE"""),1.5)</f>
        <v>1.5</v>
      </c>
      <c r="C12" s="27">
        <f>IFERROR(__xludf.DUMMYFUNCTION("""COMPUTED_VALUE"""),2.0)</f>
        <v>2</v>
      </c>
      <c r="D12" s="27">
        <f>IFERROR(__xludf.DUMMYFUNCTION("""COMPUTED_VALUE"""),1.5)</f>
        <v>1.5</v>
      </c>
      <c r="E12" s="27">
        <f>IFERROR(__xludf.DUMMYFUNCTION("""COMPUTED_VALUE"""),0.0)</f>
        <v>0</v>
      </c>
      <c r="F12" s="28">
        <f>IFERROR(__xludf.DUMMYFUNCTION("""COMPUTED_VALUE"""),0.0)</f>
        <v>0</v>
      </c>
      <c r="G12" s="24">
        <f>IFERROR(__xludf.DUMMYFUNCTION("""COMPUTED_VALUE"""),5.0)</f>
        <v>5</v>
      </c>
      <c r="H12" s="24"/>
      <c r="I12" s="24"/>
      <c r="J12" s="24"/>
      <c r="K12" s="24" t="s">
        <v>36</v>
      </c>
      <c r="L12" s="24">
        <v>1.5</v>
      </c>
      <c r="M12" s="24" t="s">
        <v>37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tr">
        <f>IFERROR(__xludf.DUMMYFUNCTION("""COMPUTED_VALUE"""),"Foothill B")</f>
        <v>Foothill B</v>
      </c>
      <c r="B13" s="27">
        <f>IFERROR(__xludf.DUMMYFUNCTION("""COMPUTED_VALUE"""),4.5)</f>
        <v>4.5</v>
      </c>
      <c r="C13" s="27">
        <f>IFERROR(__xludf.DUMMYFUNCTION("""COMPUTED_VALUE"""),1.5)</f>
        <v>1.5</v>
      </c>
      <c r="D13" s="27">
        <f>IFERROR(__xludf.DUMMYFUNCTION("""COMPUTED_VALUE"""),0.0)</f>
        <v>0</v>
      </c>
      <c r="E13" s="27">
        <f>IFERROR(__xludf.DUMMYFUNCTION("""COMPUTED_VALUE"""),1.5)</f>
        <v>1.5</v>
      </c>
      <c r="F13" s="28">
        <f>IFERROR(__xludf.DUMMYFUNCTION("""COMPUTED_VALUE"""),0.0)</f>
        <v>0</v>
      </c>
      <c r="G13" s="24">
        <f>IFERROR(__xludf.DUMMYFUNCTION("""COMPUTED_VALUE"""),7.5)</f>
        <v>7.5</v>
      </c>
      <c r="H13" s="24"/>
      <c r="I13" s="24"/>
      <c r="J13" s="24"/>
      <c r="K13" s="24" t="s">
        <v>38</v>
      </c>
      <c r="L13" s="24">
        <v>4.5</v>
      </c>
      <c r="M13" s="24" t="s">
        <v>39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tr">
        <f>IFERROR(__xludf.DUMMYFUNCTION("""COMPUTED_VALUE"""),"Lynbrook C")</f>
        <v>Lynbrook C</v>
      </c>
      <c r="B14" s="27">
        <f>IFERROR(__xludf.DUMMYFUNCTION("""COMPUTED_VALUE"""),2.5)</f>
        <v>2.5</v>
      </c>
      <c r="C14" s="27">
        <f>IFERROR(__xludf.DUMMYFUNCTION("""COMPUTED_VALUE"""),0.0)</f>
        <v>0</v>
      </c>
      <c r="D14" s="27">
        <f>IFERROR(__xludf.DUMMYFUNCTION("""COMPUTED_VALUE"""),0.0)</f>
        <v>0</v>
      </c>
      <c r="E14" s="27">
        <f>IFERROR(__xludf.DUMMYFUNCTION("""COMPUTED_VALUE"""),4.5)</f>
        <v>4.5</v>
      </c>
      <c r="F14" s="28">
        <f>IFERROR(__xludf.DUMMYFUNCTION("""COMPUTED_VALUE"""),9.0)</f>
        <v>9</v>
      </c>
      <c r="G14" s="24">
        <f>IFERROR(__xludf.DUMMYFUNCTION("""COMPUTED_VALUE"""),16.0)</f>
        <v>16</v>
      </c>
      <c r="H14" s="24"/>
      <c r="I14" s="24"/>
      <c r="J14" s="24"/>
      <c r="K14" s="24" t="s">
        <v>40</v>
      </c>
      <c r="L14" s="24">
        <v>2.5</v>
      </c>
      <c r="M14" s="24" t="s">
        <v>41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tr">
        <f>IFERROR(__xludf.DUMMYFUNCTION("""COMPUTED_VALUE"""),"American A")</f>
        <v>American A</v>
      </c>
      <c r="B15" s="27">
        <f>IFERROR(__xludf.DUMMYFUNCTION("""COMPUTED_VALUE"""),2.5)</f>
        <v>2.5</v>
      </c>
      <c r="C15" s="27">
        <f>IFERROR(__xludf.DUMMYFUNCTION("""COMPUTED_VALUE"""),1.5)</f>
        <v>1.5</v>
      </c>
      <c r="D15" s="27">
        <f>IFERROR(__xludf.DUMMYFUNCTION("""COMPUTED_VALUE"""),5.0)</f>
        <v>5</v>
      </c>
      <c r="E15" s="27">
        <f>IFERROR(__xludf.DUMMYFUNCTION("""COMPUTED_VALUE"""),0.0)</f>
        <v>0</v>
      </c>
      <c r="F15" s="28">
        <f>IFERROR(__xludf.DUMMYFUNCTION("""COMPUTED_VALUE"""),0.0)</f>
        <v>0</v>
      </c>
      <c r="G15" s="24">
        <f>IFERROR(__xludf.DUMMYFUNCTION("""COMPUTED_VALUE"""),9.0)</f>
        <v>9</v>
      </c>
      <c r="H15" s="24"/>
      <c r="I15" s="24"/>
      <c r="J15" s="24"/>
      <c r="K15" s="24" t="s">
        <v>42</v>
      </c>
      <c r="L15" s="24">
        <v>2.5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tr">
        <f>IFERROR(__xludf.DUMMYFUNCTION("""COMPUTED_VALUE"""),"American B")</f>
        <v>American B</v>
      </c>
      <c r="B16" s="27">
        <f>IFERROR(__xludf.DUMMYFUNCTION("""COMPUTED_VALUE"""),1.0)</f>
        <v>1</v>
      </c>
      <c r="C16" s="27">
        <f>IFERROR(__xludf.DUMMYFUNCTION("""COMPUTED_VALUE"""),1.0)</f>
        <v>1</v>
      </c>
      <c r="D16" s="27">
        <f>IFERROR(__xludf.DUMMYFUNCTION("""COMPUTED_VALUE"""),3.5)</f>
        <v>3.5</v>
      </c>
      <c r="E16" s="27">
        <f>IFERROR(__xludf.DUMMYFUNCTION("""COMPUTED_VALUE"""),0.0)</f>
        <v>0</v>
      </c>
      <c r="F16" s="28">
        <f>IFERROR(__xludf.DUMMYFUNCTION("""COMPUTED_VALUE"""),0.0)</f>
        <v>0</v>
      </c>
      <c r="G16" s="24">
        <f>IFERROR(__xludf.DUMMYFUNCTION("""COMPUTED_VALUE"""),5.5)</f>
        <v>5.5</v>
      </c>
      <c r="H16" s="24"/>
      <c r="I16" s="24"/>
      <c r="J16" s="24"/>
      <c r="K16" s="24" t="s">
        <v>44</v>
      </c>
      <c r="L16" s="24">
        <v>1.0</v>
      </c>
      <c r="M16" s="24" t="s">
        <v>45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tr">
        <f>IFERROR(__xludf.DUMMYFUNCTION("""COMPUTED_VALUE"""),"Palo Alto A")</f>
        <v>Palo Alto A</v>
      </c>
      <c r="B17" s="27">
        <f>IFERROR(__xludf.DUMMYFUNCTION("""COMPUTED_VALUE"""),14.0)</f>
        <v>14</v>
      </c>
      <c r="C17" s="27">
        <f>IFERROR(__xludf.DUMMYFUNCTION("""COMPUTED_VALUE"""),0.0)</f>
        <v>0</v>
      </c>
      <c r="D17" s="27">
        <f>IFERROR(__xludf.DUMMYFUNCTION("""COMPUTED_VALUE"""),0.0)</f>
        <v>0</v>
      </c>
      <c r="E17" s="27">
        <f>IFERROR(__xludf.DUMMYFUNCTION("""COMPUTED_VALUE"""),0.0)</f>
        <v>0</v>
      </c>
      <c r="F17" s="28">
        <f>IFERROR(__xludf.DUMMYFUNCTION("""COMPUTED_VALUE"""),0.0)</f>
        <v>0</v>
      </c>
      <c r="G17" s="24">
        <f>IFERROR(__xludf.DUMMYFUNCTION("""COMPUTED_VALUE"""),14.0)</f>
        <v>14</v>
      </c>
      <c r="H17" s="24"/>
      <c r="I17" s="24"/>
      <c r="J17" s="24"/>
      <c r="K17" s="24" t="s">
        <v>46</v>
      </c>
      <c r="L17" s="24">
        <v>14.0</v>
      </c>
      <c r="M17" s="24" t="s">
        <v>47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tr">
        <f>IFERROR(__xludf.DUMMYFUNCTION("""COMPUTED_VALUE"""),"Palo Alto B")</f>
        <v>Palo Alto B</v>
      </c>
      <c r="B18" s="27">
        <f>IFERROR(__xludf.DUMMYFUNCTION("""COMPUTED_VALUE"""),0.0)</f>
        <v>0</v>
      </c>
      <c r="C18" s="27">
        <f>IFERROR(__xludf.DUMMYFUNCTION("""COMPUTED_VALUE"""),0.0)</f>
        <v>0</v>
      </c>
      <c r="D18" s="27">
        <f>IFERROR(__xludf.DUMMYFUNCTION("""COMPUTED_VALUE"""),1.0)</f>
        <v>1</v>
      </c>
      <c r="E18" s="27">
        <f>IFERROR(__xludf.DUMMYFUNCTION("""COMPUTED_VALUE"""),1.0)</f>
        <v>1</v>
      </c>
      <c r="F18" s="28">
        <f>IFERROR(__xludf.DUMMYFUNCTION("""COMPUTED_VALUE"""),0.0)</f>
        <v>0</v>
      </c>
      <c r="G18" s="24">
        <f>IFERROR(__xludf.DUMMYFUNCTION("""COMPUTED_VALUE"""),2.0)</f>
        <v>2</v>
      </c>
      <c r="H18" s="24"/>
      <c r="I18" s="24"/>
      <c r="J18" s="24"/>
      <c r="K18" s="24" t="s">
        <v>48</v>
      </c>
      <c r="L18" s="24">
        <v>0.0</v>
      </c>
      <c r="M18" s="24" t="s">
        <v>49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tr">
        <f>IFERROR(__xludf.DUMMYFUNCTION("""COMPUTED_VALUE"""),"California B")</f>
        <v>California B</v>
      </c>
      <c r="B19" s="27">
        <f>IFERROR(__xludf.DUMMYFUNCTION("""COMPUTED_VALUE"""),1.0)</f>
        <v>1</v>
      </c>
      <c r="C19" s="27">
        <f>IFERROR(__xludf.DUMMYFUNCTION("""COMPUTED_VALUE"""),1.0)</f>
        <v>1</v>
      </c>
      <c r="D19" s="27">
        <f>IFERROR(__xludf.DUMMYFUNCTION("""COMPUTED_VALUE"""),0.0)</f>
        <v>0</v>
      </c>
      <c r="E19" s="27">
        <f>IFERROR(__xludf.DUMMYFUNCTION("""COMPUTED_VALUE"""),4.5)</f>
        <v>4.5</v>
      </c>
      <c r="F19" s="28">
        <f>IFERROR(__xludf.DUMMYFUNCTION("""COMPUTED_VALUE"""),1.5)</f>
        <v>1.5</v>
      </c>
      <c r="G19" s="24">
        <f>IFERROR(__xludf.DUMMYFUNCTION("""COMPUTED_VALUE"""),8.0)</f>
        <v>8</v>
      </c>
      <c r="H19" s="24"/>
      <c r="I19" s="24"/>
      <c r="J19" s="24"/>
      <c r="K19" s="24" t="s">
        <v>50</v>
      </c>
      <c r="L19" s="24">
        <v>1.0</v>
      </c>
      <c r="M19" s="24" t="s">
        <v>51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tr">
        <f>IFERROR(__xludf.DUMMYFUNCTION("""COMPUTED_VALUE"""),"California A")</f>
        <v>California A</v>
      </c>
      <c r="B20" s="27">
        <f>IFERROR(__xludf.DUMMYFUNCTION("""COMPUTED_VALUE"""),0.0)</f>
        <v>0</v>
      </c>
      <c r="C20" s="27">
        <f>IFERROR(__xludf.DUMMYFUNCTION("""COMPUTED_VALUE"""),0.0)</f>
        <v>0</v>
      </c>
      <c r="D20" s="27">
        <f>IFERROR(__xludf.DUMMYFUNCTION("""COMPUTED_VALUE"""),0.0)</f>
        <v>0</v>
      </c>
      <c r="E20" s="27">
        <f>IFERROR(__xludf.DUMMYFUNCTION("""COMPUTED_VALUE"""),1.0)</f>
        <v>1</v>
      </c>
      <c r="F20" s="28">
        <f>IFERROR(__xludf.DUMMYFUNCTION("""COMPUTED_VALUE"""),0.0)</f>
        <v>0</v>
      </c>
      <c r="G20" s="24">
        <f>IFERROR(__xludf.DUMMYFUNCTION("""COMPUTED_VALUE"""),1.0)</f>
        <v>1</v>
      </c>
      <c r="H20" s="24"/>
      <c r="I20" s="24"/>
      <c r="J20" s="24"/>
      <c r="K20" s="24" t="s">
        <v>52</v>
      </c>
      <c r="L20" s="24">
        <v>0.0</v>
      </c>
      <c r="M20" s="24" t="s">
        <v>53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tr">
        <f>IFERROR(__xludf.DUMMYFUNCTION("""COMPUTED_VALUE"""),"Arnold O. Beckman A")</f>
        <v>Arnold O. Beckman A</v>
      </c>
      <c r="B21" s="27">
        <f>IFERROR(__xludf.DUMMYFUNCTION("""COMPUTED_VALUE"""),0.0)</f>
        <v>0</v>
      </c>
      <c r="C21" s="27">
        <f>IFERROR(__xludf.DUMMYFUNCTION("""COMPUTED_VALUE"""),4.5)</f>
        <v>4.5</v>
      </c>
      <c r="D21" s="27">
        <f>IFERROR(__xludf.DUMMYFUNCTION("""COMPUTED_VALUE"""),0.0)</f>
        <v>0</v>
      </c>
      <c r="E21" s="27">
        <f>IFERROR(__xludf.DUMMYFUNCTION("""COMPUTED_VALUE"""),0.0)</f>
        <v>0</v>
      </c>
      <c r="F21" s="28"/>
      <c r="G21" s="24">
        <f>IFERROR(__xludf.DUMMYFUNCTION("""COMPUTED_VALUE"""),4.5)</f>
        <v>4.5</v>
      </c>
      <c r="H21" s="24"/>
      <c r="I21" s="24"/>
      <c r="J21" s="24"/>
      <c r="K21" s="24" t="s">
        <v>54</v>
      </c>
      <c r="L21" s="24">
        <v>0.0</v>
      </c>
      <c r="M21" s="24" t="s">
        <v>55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tr">
        <f>IFERROR(__xludf.DUMMYFUNCTION("""COMPUTED_VALUE"""),"Archbishop Mitty A")</f>
        <v>Archbishop Mitty A</v>
      </c>
      <c r="B22" s="27">
        <f>IFERROR(__xludf.DUMMYFUNCTION("""COMPUTED_VALUE"""),2.0)</f>
        <v>2</v>
      </c>
      <c r="C22" s="27">
        <f>IFERROR(__xludf.DUMMYFUNCTION("""COMPUTED_VALUE"""),0.0)</f>
        <v>0</v>
      </c>
      <c r="D22" s="27">
        <f>IFERROR(__xludf.DUMMYFUNCTION("""COMPUTED_VALUE"""),0.0)</f>
        <v>0</v>
      </c>
      <c r="E22" s="27">
        <f>IFERROR(__xludf.DUMMYFUNCTION("""COMPUTED_VALUE"""),4.0)</f>
        <v>4</v>
      </c>
      <c r="F22" s="28"/>
      <c r="G22" s="24">
        <f>IFERROR(__xludf.DUMMYFUNCTION("""COMPUTED_VALUE"""),6.0)</f>
        <v>6</v>
      </c>
      <c r="H22" s="24"/>
      <c r="I22" s="24"/>
      <c r="J22" s="24"/>
      <c r="K22" s="24" t="s">
        <v>56</v>
      </c>
      <c r="L22" s="24">
        <v>2.0</v>
      </c>
      <c r="M22" s="24" t="s">
        <v>57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tr">
        <f>IFERROR(__xludf.DUMMYFUNCTION("""COMPUTED_VALUE"""),"Archbishop Mitty B")</f>
        <v>Archbishop Mitty B</v>
      </c>
      <c r="B23" s="27">
        <f>IFERROR(__xludf.DUMMYFUNCTION("""COMPUTED_VALUE"""),2.5)</f>
        <v>2.5</v>
      </c>
      <c r="C23" s="27">
        <f>IFERROR(__xludf.DUMMYFUNCTION("""COMPUTED_VALUE"""),1.5)</f>
        <v>1.5</v>
      </c>
      <c r="D23" s="27">
        <f>IFERROR(__xludf.DUMMYFUNCTION("""COMPUTED_VALUE"""),0.0)</f>
        <v>0</v>
      </c>
      <c r="E23" s="27">
        <f>IFERROR(__xludf.DUMMYFUNCTION("""COMPUTED_VALUE"""),0.0)</f>
        <v>0</v>
      </c>
      <c r="F23" s="28"/>
      <c r="G23" s="24">
        <f>IFERROR(__xludf.DUMMYFUNCTION("""COMPUTED_VALUE"""),4.0)</f>
        <v>4</v>
      </c>
      <c r="H23" s="24"/>
      <c r="I23" s="24"/>
      <c r="J23" s="24"/>
      <c r="K23" s="24" t="s">
        <v>58</v>
      </c>
      <c r="L23" s="24">
        <v>2.5</v>
      </c>
      <c r="M23" s="24" t="s">
        <v>59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6" t="str">
        <f>IFERROR(__xludf.DUMMYFUNCTION("""COMPUTED_VALUE"""),"Mission San Jose A")</f>
        <v>Mission San Jose A</v>
      </c>
      <c r="B24" s="27">
        <f>IFERROR(__xludf.DUMMYFUNCTION("""COMPUTED_VALUE"""),1.5)</f>
        <v>1.5</v>
      </c>
      <c r="C24" s="27">
        <f>IFERROR(__xludf.DUMMYFUNCTION("""COMPUTED_VALUE"""),19.0)</f>
        <v>19</v>
      </c>
      <c r="D24" s="27">
        <f>IFERROR(__xludf.DUMMYFUNCTION("""COMPUTED_VALUE"""),0.0)</f>
        <v>0</v>
      </c>
      <c r="E24" s="27">
        <f>IFERROR(__xludf.DUMMYFUNCTION("""COMPUTED_VALUE"""),1.5)</f>
        <v>1.5</v>
      </c>
      <c r="F24" s="28">
        <f>IFERROR(__xludf.DUMMYFUNCTION("""COMPUTED_VALUE"""),0.0)</f>
        <v>0</v>
      </c>
      <c r="G24" s="24">
        <f>IFERROR(__xludf.DUMMYFUNCTION("""COMPUTED_VALUE"""),22.0)</f>
        <v>22</v>
      </c>
      <c r="H24" s="24"/>
      <c r="I24" s="24"/>
      <c r="J24" s="24"/>
      <c r="K24" s="24" t="s">
        <v>60</v>
      </c>
      <c r="L24" s="24">
        <v>1.5</v>
      </c>
      <c r="M24" s="24" t="s">
        <v>61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6" t="str">
        <f>IFERROR(__xludf.DUMMYFUNCTION("""COMPUTED_VALUE"""),"Mission San Jose B")</f>
        <v>Mission San Jose B</v>
      </c>
      <c r="B25" s="27">
        <f>IFERROR(__xludf.DUMMYFUNCTION("""COMPUTED_VALUE"""),0.0)</f>
        <v>0</v>
      </c>
      <c r="C25" s="27">
        <f>IFERROR(__xludf.DUMMYFUNCTION("""COMPUTED_VALUE"""),8.0)</f>
        <v>8</v>
      </c>
      <c r="D25" s="27">
        <f>IFERROR(__xludf.DUMMYFUNCTION("""COMPUTED_VALUE"""),0.0)</f>
        <v>0</v>
      </c>
      <c r="E25" s="27">
        <f>IFERROR(__xludf.DUMMYFUNCTION("""COMPUTED_VALUE"""),0.0)</f>
        <v>0</v>
      </c>
      <c r="F25" s="28">
        <f>IFERROR(__xludf.DUMMYFUNCTION("""COMPUTED_VALUE"""),-1.0)</f>
        <v>-1</v>
      </c>
      <c r="G25" s="24">
        <f>IFERROR(__xludf.DUMMYFUNCTION("""COMPUTED_VALUE"""),7.0)</f>
        <v>7</v>
      </c>
      <c r="H25" s="24"/>
      <c r="I25" s="24"/>
      <c r="J25" s="24"/>
      <c r="K25" s="24" t="s">
        <v>62</v>
      </c>
      <c r="L25" s="24">
        <v>0.0</v>
      </c>
      <c r="M25" s="24" t="s">
        <v>63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6" t="str">
        <f>IFERROR(__xludf.DUMMYFUNCTION("""COMPUTED_VALUE"""),"Stanford Online")</f>
        <v>Stanford Online</v>
      </c>
      <c r="B26" s="27">
        <f>IFERROR(__xludf.DUMMYFUNCTION("""COMPUTED_VALUE"""),4.0)</f>
        <v>4</v>
      </c>
      <c r="C26" s="27">
        <f>IFERROR(__xludf.DUMMYFUNCTION("""COMPUTED_VALUE"""),0.0)</f>
        <v>0</v>
      </c>
      <c r="D26" s="27">
        <f>IFERROR(__xludf.DUMMYFUNCTION("""COMPUTED_VALUE"""),2.5)</f>
        <v>2.5</v>
      </c>
      <c r="E26" s="27">
        <f>IFERROR(__xludf.DUMMYFUNCTION("""COMPUTED_VALUE"""),1.0)</f>
        <v>1</v>
      </c>
      <c r="F26" s="28"/>
      <c r="G26" s="24">
        <f>IFERROR(__xludf.DUMMYFUNCTION("""COMPUTED_VALUE"""),7.5)</f>
        <v>7.5</v>
      </c>
      <c r="H26" s="24"/>
      <c r="I26" s="24"/>
      <c r="J26" s="24"/>
      <c r="K26" s="24" t="s">
        <v>64</v>
      </c>
      <c r="L26" s="24">
        <v>4.0</v>
      </c>
      <c r="M26" s="24" t="s">
        <v>65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tr">
        <f>IFERROR(__xludf.DUMMYFUNCTION("""COMPUTED_VALUE"""),"Cupertino A")</f>
        <v>Cupertino A</v>
      </c>
      <c r="B27" s="27">
        <f>IFERROR(__xludf.DUMMYFUNCTION("""COMPUTED_VALUE"""),6.0)</f>
        <v>6</v>
      </c>
      <c r="C27" s="27">
        <f>IFERROR(__xludf.DUMMYFUNCTION("""COMPUTED_VALUE"""),6.0)</f>
        <v>6</v>
      </c>
      <c r="D27" s="27">
        <f>IFERROR(__xludf.DUMMYFUNCTION("""COMPUTED_VALUE"""),1.0)</f>
        <v>1</v>
      </c>
      <c r="E27" s="27">
        <f>IFERROR(__xludf.DUMMYFUNCTION("""COMPUTED_VALUE"""),1.5)</f>
        <v>1.5</v>
      </c>
      <c r="F27" s="28">
        <f>IFERROR(__xludf.DUMMYFUNCTION("""COMPUTED_VALUE"""),0.0)</f>
        <v>0</v>
      </c>
      <c r="G27" s="24">
        <f>IFERROR(__xludf.DUMMYFUNCTION("""COMPUTED_VALUE"""),14.5)</f>
        <v>14.5</v>
      </c>
      <c r="H27" s="24"/>
      <c r="I27" s="24"/>
      <c r="J27" s="24"/>
      <c r="K27" s="24" t="s">
        <v>9</v>
      </c>
      <c r="L27" s="24">
        <v>6.0</v>
      </c>
      <c r="M27" s="24" t="s">
        <v>66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6" t="str">
        <f>IFERROR(__xludf.DUMMYFUNCTION("""COMPUTED_VALUE"""),"Cupertino B")</f>
        <v>Cupertino B</v>
      </c>
      <c r="B28" s="27">
        <f>IFERROR(__xludf.DUMMYFUNCTION("""COMPUTED_VALUE"""),3.0)</f>
        <v>3</v>
      </c>
      <c r="C28" s="27">
        <f>IFERROR(__xludf.DUMMYFUNCTION("""COMPUTED_VALUE"""),0.0)</f>
        <v>0</v>
      </c>
      <c r="D28" s="27">
        <f>IFERROR(__xludf.DUMMYFUNCTION("""COMPUTED_VALUE"""),0.0)</f>
        <v>0</v>
      </c>
      <c r="E28" s="27">
        <f>IFERROR(__xludf.DUMMYFUNCTION("""COMPUTED_VALUE"""),0.0)</f>
        <v>0</v>
      </c>
      <c r="F28" s="28">
        <f>IFERROR(__xludf.DUMMYFUNCTION("""COMPUTED_VALUE"""),0.0)</f>
        <v>0</v>
      </c>
      <c r="G28" s="24">
        <f>IFERROR(__xludf.DUMMYFUNCTION("""COMPUTED_VALUE"""),3.0)</f>
        <v>3</v>
      </c>
      <c r="H28" s="24"/>
      <c r="I28" s="24"/>
      <c r="J28" s="24"/>
      <c r="K28" s="24" t="s">
        <v>67</v>
      </c>
      <c r="L28" s="24">
        <v>3.0</v>
      </c>
      <c r="M28" s="24" t="s">
        <v>68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6" t="str">
        <f>IFERROR(__xludf.DUMMYFUNCTION("""COMPUTED_VALUE"""),"Monta Vista A")</f>
        <v>Monta Vista A</v>
      </c>
      <c r="B29" s="27">
        <f>IFERROR(__xludf.DUMMYFUNCTION("""COMPUTED_VALUE"""),3.5)</f>
        <v>3.5</v>
      </c>
      <c r="C29" s="27">
        <f>IFERROR(__xludf.DUMMYFUNCTION("""COMPUTED_VALUE"""),10.5)</f>
        <v>10.5</v>
      </c>
      <c r="D29" s="27">
        <f>IFERROR(__xludf.DUMMYFUNCTION("""COMPUTED_VALUE"""),0.0)</f>
        <v>0</v>
      </c>
      <c r="E29" s="27">
        <f>IFERROR(__xludf.DUMMYFUNCTION("""COMPUTED_VALUE"""),0.0)</f>
        <v>0</v>
      </c>
      <c r="F29" s="28">
        <f>IFERROR(__xludf.DUMMYFUNCTION("""COMPUTED_VALUE"""),0.0)</f>
        <v>0</v>
      </c>
      <c r="G29" s="24">
        <f>IFERROR(__xludf.DUMMYFUNCTION("""COMPUTED_VALUE"""),14.0)</f>
        <v>14</v>
      </c>
      <c r="H29" s="24"/>
      <c r="I29" s="24"/>
      <c r="J29" s="24"/>
      <c r="K29" s="24" t="s">
        <v>69</v>
      </c>
      <c r="L29" s="24">
        <v>3.5</v>
      </c>
      <c r="M29" s="24" t="s">
        <v>70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6" t="str">
        <f>IFERROR(__xludf.DUMMYFUNCTION("""COMPUTED_VALUE"""),"Monta Vista B")</f>
        <v>Monta Vista B</v>
      </c>
      <c r="B30" s="27">
        <f>IFERROR(__xludf.DUMMYFUNCTION("""COMPUTED_VALUE"""),0.0)</f>
        <v>0</v>
      </c>
      <c r="C30" s="27">
        <f>IFERROR(__xludf.DUMMYFUNCTION("""COMPUTED_VALUE"""),0.0)</f>
        <v>0</v>
      </c>
      <c r="D30" s="27">
        <f>IFERROR(__xludf.DUMMYFUNCTION("""COMPUTED_VALUE"""),0.0)</f>
        <v>0</v>
      </c>
      <c r="E30" s="27">
        <f>IFERROR(__xludf.DUMMYFUNCTION("""COMPUTED_VALUE"""),0.0)</f>
        <v>0</v>
      </c>
      <c r="F30" s="28">
        <f>IFERROR(__xludf.DUMMYFUNCTION("""COMPUTED_VALUE"""),0.0)</f>
        <v>0</v>
      </c>
      <c r="G30" s="24">
        <f>IFERROR(__xludf.DUMMYFUNCTION("""COMPUTED_VALUE"""),0.0)</f>
        <v>0</v>
      </c>
      <c r="H30" s="24"/>
      <c r="I30" s="24"/>
      <c r="J30" s="24"/>
      <c r="K30" s="24" t="s">
        <v>71</v>
      </c>
      <c r="L30" s="24">
        <v>0.0</v>
      </c>
      <c r="M30" s="24" t="s">
        <v>72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6" t="str">
        <f>IFERROR(__xludf.DUMMYFUNCTION("""COMPUTED_VALUE"""),"North Hollywood")</f>
        <v>North Hollywood</v>
      </c>
      <c r="B31" s="27">
        <f>IFERROR(__xludf.DUMMYFUNCTION("""COMPUTED_VALUE"""),1.5)</f>
        <v>1.5</v>
      </c>
      <c r="C31" s="27">
        <f>IFERROR(__xludf.DUMMYFUNCTION("""COMPUTED_VALUE"""),5.0)</f>
        <v>5</v>
      </c>
      <c r="D31" s="27">
        <f>IFERROR(__xludf.DUMMYFUNCTION("""COMPUTED_VALUE"""),0.0)</f>
        <v>0</v>
      </c>
      <c r="E31" s="27">
        <f>IFERROR(__xludf.DUMMYFUNCTION("""COMPUTED_VALUE"""),0.0)</f>
        <v>0</v>
      </c>
      <c r="F31" s="28"/>
      <c r="G31" s="24">
        <f>IFERROR(__xludf.DUMMYFUNCTION("""COMPUTED_VALUE"""),6.5)</f>
        <v>6.5</v>
      </c>
      <c r="H31" s="24"/>
      <c r="I31" s="24"/>
      <c r="J31" s="24"/>
      <c r="K31" s="24" t="s">
        <v>73</v>
      </c>
      <c r="L31" s="24">
        <v>1.5</v>
      </c>
      <c r="M31" s="24" t="s">
        <v>74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tr">
        <f>IFERROR(__xludf.DUMMYFUNCTION("""COMPUTED_VALUE"""),"Dougherty Valley A")</f>
        <v>Dougherty Valley A</v>
      </c>
      <c r="B32" s="27">
        <f>IFERROR(__xludf.DUMMYFUNCTION("""COMPUTED_VALUE"""),7.0)</f>
        <v>7</v>
      </c>
      <c r="C32" s="27">
        <f>IFERROR(__xludf.DUMMYFUNCTION("""COMPUTED_VALUE"""),1.0)</f>
        <v>1</v>
      </c>
      <c r="D32" s="27">
        <f>IFERROR(__xludf.DUMMYFUNCTION("""COMPUTED_VALUE"""),0.0)</f>
        <v>0</v>
      </c>
      <c r="E32" s="27">
        <f>IFERROR(__xludf.DUMMYFUNCTION("""COMPUTED_VALUE"""),0.0)</f>
        <v>0</v>
      </c>
      <c r="F32" s="28"/>
      <c r="G32" s="24">
        <f>IFERROR(__xludf.DUMMYFUNCTION("""COMPUTED_VALUE"""),8.0)</f>
        <v>8</v>
      </c>
      <c r="H32" s="24"/>
      <c r="I32" s="24"/>
      <c r="J32" s="24"/>
      <c r="K32" s="24" t="s">
        <v>75</v>
      </c>
      <c r="L32" s="24">
        <v>7.0</v>
      </c>
      <c r="M32" s="24" t="s">
        <v>76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6" t="str">
        <f>IFERROR(__xludf.DUMMYFUNCTION("""COMPUTED_VALUE"""),"Dougherty Valley B")</f>
        <v>Dougherty Valley B</v>
      </c>
      <c r="B33" s="27">
        <f>IFERROR(__xludf.DUMMYFUNCTION("""COMPUTED_VALUE"""),1.0)</f>
        <v>1</v>
      </c>
      <c r="C33" s="24"/>
      <c r="D33" s="27">
        <f>IFERROR(__xludf.DUMMYFUNCTION("""COMPUTED_VALUE"""),0.0)</f>
        <v>0</v>
      </c>
      <c r="E33" s="27">
        <f>IFERROR(__xludf.DUMMYFUNCTION("""COMPUTED_VALUE"""),1.0)</f>
        <v>1</v>
      </c>
      <c r="F33" s="28">
        <f>IFERROR(__xludf.DUMMYFUNCTION("""COMPUTED_VALUE"""),0.0)</f>
        <v>0</v>
      </c>
      <c r="G33" s="24">
        <f>IFERROR(__xludf.DUMMYFUNCTION("""COMPUTED_VALUE"""),2.0)</f>
        <v>2</v>
      </c>
      <c r="H33" s="24"/>
      <c r="I33" s="24"/>
      <c r="J33" s="24"/>
      <c r="K33" s="24" t="s">
        <v>77</v>
      </c>
      <c r="L33" s="24">
        <v>1.0</v>
      </c>
      <c r="M33" s="24" t="s">
        <v>78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6" t="str">
        <f>IFERROR(__xludf.DUMMYFUNCTION("""COMPUTED_VALUE"""),"Amador Valley A")</f>
        <v>Amador Valley A</v>
      </c>
      <c r="B34" s="27">
        <f>IFERROR(__xludf.DUMMYFUNCTION("""COMPUTED_VALUE"""),2.5)</f>
        <v>2.5</v>
      </c>
      <c r="C34" s="27">
        <f>IFERROR(__xludf.DUMMYFUNCTION("""COMPUTED_VALUE"""),0.5)</f>
        <v>0.5</v>
      </c>
      <c r="D34" s="27">
        <f>IFERROR(__xludf.DUMMYFUNCTION("""COMPUTED_VALUE"""),0.0)</f>
        <v>0</v>
      </c>
      <c r="E34" s="27">
        <f>IFERROR(__xludf.DUMMYFUNCTION("""COMPUTED_VALUE"""),2.0)</f>
        <v>2</v>
      </c>
      <c r="F34" s="28">
        <f>IFERROR(__xludf.DUMMYFUNCTION("""COMPUTED_VALUE"""),-1.0)</f>
        <v>-1</v>
      </c>
      <c r="G34" s="24">
        <f>IFERROR(__xludf.DUMMYFUNCTION("""COMPUTED_VALUE"""),4.0)</f>
        <v>4</v>
      </c>
      <c r="H34" s="24"/>
      <c r="I34" s="24"/>
      <c r="J34" s="24"/>
      <c r="K34" s="24" t="s">
        <v>79</v>
      </c>
      <c r="L34" s="24">
        <v>2.5</v>
      </c>
      <c r="M34" s="24" t="s">
        <v>80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6" t="str">
        <f>IFERROR(__xludf.DUMMYFUNCTION("""COMPUTED_VALUE"""),"Amador Valley B")</f>
        <v>Amador Valley B</v>
      </c>
      <c r="B35" s="27">
        <f>IFERROR(__xludf.DUMMYFUNCTION("""COMPUTED_VALUE"""),0.0)</f>
        <v>0</v>
      </c>
      <c r="C35" s="27">
        <f>IFERROR(__xludf.DUMMYFUNCTION("""COMPUTED_VALUE"""),3.0)</f>
        <v>3</v>
      </c>
      <c r="D35" s="27">
        <f>IFERROR(__xludf.DUMMYFUNCTION("""COMPUTED_VALUE"""),1.5)</f>
        <v>1.5</v>
      </c>
      <c r="E35" s="27">
        <f>IFERROR(__xludf.DUMMYFUNCTION("""COMPUTED_VALUE"""),0.0)</f>
        <v>0</v>
      </c>
      <c r="F35" s="28"/>
      <c r="G35" s="24">
        <f>IFERROR(__xludf.DUMMYFUNCTION("""COMPUTED_VALUE"""),4.5)</f>
        <v>4.5</v>
      </c>
      <c r="H35" s="24"/>
      <c r="I35" s="24"/>
      <c r="J35" s="24"/>
      <c r="K35" s="24" t="s">
        <v>81</v>
      </c>
      <c r="L35" s="24">
        <v>0.0</v>
      </c>
      <c r="M35" s="24" t="s">
        <v>82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6" t="str">
        <f>IFERROR(__xludf.DUMMYFUNCTION("""COMPUTED_VALUE"""),"Lynbrook A")</f>
        <v>Lynbrook A</v>
      </c>
      <c r="B36" s="27">
        <f>IFERROR(__xludf.DUMMYFUNCTION("""COMPUTED_VALUE"""),-1.0)</f>
        <v>-1</v>
      </c>
      <c r="C36" s="27">
        <f>IFERROR(__xludf.DUMMYFUNCTION("""COMPUTED_VALUE"""),4.5)</f>
        <v>4.5</v>
      </c>
      <c r="D36" s="27">
        <f>IFERROR(__xludf.DUMMYFUNCTION("""COMPUTED_VALUE"""),0.0)</f>
        <v>0</v>
      </c>
      <c r="E36" s="27">
        <f>IFERROR(__xludf.DUMMYFUNCTION("""COMPUTED_VALUE"""),7.5)</f>
        <v>7.5</v>
      </c>
      <c r="F36" s="28">
        <f>IFERROR(__xludf.DUMMYFUNCTION("""COMPUTED_VALUE"""),4.5)</f>
        <v>4.5</v>
      </c>
      <c r="G36" s="24">
        <f>IFERROR(__xludf.DUMMYFUNCTION("""COMPUTED_VALUE"""),15.5)</f>
        <v>15.5</v>
      </c>
      <c r="H36" s="24"/>
      <c r="I36" s="24"/>
      <c r="J36" s="24"/>
      <c r="K36" s="24" t="s">
        <v>83</v>
      </c>
      <c r="L36" s="24">
        <v>-1.0</v>
      </c>
      <c r="M36" s="24" t="s">
        <v>84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6" t="str">
        <f>IFERROR(__xludf.DUMMYFUNCTION("""COMPUTED_VALUE"""),"Lynbrook B")</f>
        <v>Lynbrook B</v>
      </c>
      <c r="B37" s="23">
        <f>IFERROR(__xludf.DUMMYFUNCTION("""COMPUTED_VALUE"""),1.5)</f>
        <v>1.5</v>
      </c>
      <c r="C37" s="23">
        <f>IFERROR(__xludf.DUMMYFUNCTION("""COMPUTED_VALUE"""),6.0)</f>
        <v>6</v>
      </c>
      <c r="D37" s="23">
        <f>IFERROR(__xludf.DUMMYFUNCTION("""COMPUTED_VALUE"""),1.5)</f>
        <v>1.5</v>
      </c>
      <c r="E37" s="23">
        <f>IFERROR(__xludf.DUMMYFUNCTION("""COMPUTED_VALUE"""),0.0)</f>
        <v>0</v>
      </c>
      <c r="F37" s="31">
        <f>IFERROR(__xludf.DUMMYFUNCTION("""COMPUTED_VALUE"""),0.0)</f>
        <v>0</v>
      </c>
      <c r="G37" s="24">
        <f>IFERROR(__xludf.DUMMYFUNCTION("""COMPUTED_VALUE"""),9.0)</f>
        <v>9</v>
      </c>
      <c r="H37" s="24"/>
      <c r="I37" s="24"/>
      <c r="J37" s="24"/>
      <c r="K37" s="24" t="s">
        <v>85</v>
      </c>
      <c r="L37" s="24">
        <v>1.5</v>
      </c>
      <c r="M37" s="24" t="s">
        <v>86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tr">
        <f>IFERROR(__xludf.DUMMYFUNCTION("""COMPUTED_VALUE"""),"MAX Team")</f>
        <v>MAX Team</v>
      </c>
      <c r="B38" s="24" t="str">
        <f>IFERROR(__xludf.DUMMYFUNCTION("""COMPUTED_VALUE"""),"Palo Alto A")</f>
        <v>Palo Alto A</v>
      </c>
      <c r="C38" s="24" t="str">
        <f>IFERROR(__xludf.DUMMYFUNCTION("""COMPUTED_VALUE"""),"Mission San Jose A")</f>
        <v>Mission San Jose A</v>
      </c>
      <c r="D38" s="24" t="str">
        <f>IFERROR(__xludf.DUMMYFUNCTION("""COMPUTED_VALUE"""),"American A")</f>
        <v>American A</v>
      </c>
      <c r="E38" s="24" t="str">
        <f>IFERROR(__xludf.DUMMYFUNCTION("""COMPUTED_VALUE"""),"Lynbrook A")</f>
        <v>Lynbrook A</v>
      </c>
      <c r="F38" s="32" t="str">
        <f>IFERROR(__xludf.DUMMYFUNCTION("""COMPUTED_VALUE"""),"Lynbrook C")</f>
        <v>Lynbrook C</v>
      </c>
      <c r="G38" s="24"/>
      <c r="H38" s="24"/>
      <c r="I38" s="24"/>
      <c r="J38" s="24"/>
      <c r="K38" s="24" t="s">
        <v>87</v>
      </c>
      <c r="L38" s="24">
        <v>0.0</v>
      </c>
      <c r="M38" s="24" t="s">
        <v>88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tr">
        <f>IFERROR(__xludf.DUMMYFUNCTION("""COMPUTED_VALUE"""),"MAX Score")</f>
        <v>MAX Score</v>
      </c>
      <c r="B39" s="27">
        <f>IFERROR(__xludf.DUMMYFUNCTION("""COMPUTED_VALUE"""),14.0)</f>
        <v>14</v>
      </c>
      <c r="C39" s="27">
        <f>IFERROR(__xludf.DUMMYFUNCTION("""COMPUTED_VALUE"""),19.0)</f>
        <v>19</v>
      </c>
      <c r="D39" s="27">
        <f>IFERROR(__xludf.DUMMYFUNCTION("""COMPUTED_VALUE"""),5.0)</f>
        <v>5</v>
      </c>
      <c r="E39" s="27">
        <f>IFERROR(__xludf.DUMMYFUNCTION("""COMPUTED_VALUE"""),7.5)</f>
        <v>7.5</v>
      </c>
      <c r="F39" s="27">
        <f>IFERROR(__xludf.DUMMYFUNCTION("""COMPUTED_VALUE"""),9.0)</f>
        <v>9</v>
      </c>
      <c r="G39" s="24"/>
      <c r="H39" s="24"/>
      <c r="I39" s="24"/>
      <c r="J39" s="24"/>
      <c r="K39" s="24" t="s">
        <v>18</v>
      </c>
      <c r="L39" s="24">
        <v>1.0</v>
      </c>
      <c r="M39" s="24" t="s">
        <v>89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 t="s">
        <v>20</v>
      </c>
      <c r="L40" s="24">
        <v>0.0</v>
      </c>
      <c r="M40" s="24" t="s">
        <v>90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 t="s">
        <v>22</v>
      </c>
      <c r="L41" s="24">
        <v>0.0</v>
      </c>
      <c r="M41" s="24" t="s">
        <v>91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 t="s">
        <v>24</v>
      </c>
      <c r="L42" s="24">
        <v>10.5</v>
      </c>
      <c r="M42" s="24" t="s">
        <v>92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 t="s">
        <v>26</v>
      </c>
      <c r="L43" s="24">
        <v>0.0</v>
      </c>
      <c r="M43" s="24" t="s">
        <v>93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 t="s">
        <v>28</v>
      </c>
      <c r="L44" s="24">
        <v>0.0</v>
      </c>
      <c r="M44" s="24" t="s">
        <v>94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 t="s">
        <v>30</v>
      </c>
      <c r="L45" s="24">
        <v>2.0</v>
      </c>
      <c r="M45" s="24" t="s">
        <v>95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 t="s">
        <v>32</v>
      </c>
      <c r="L46" s="24">
        <v>5.5</v>
      </c>
      <c r="M46" s="24" t="s">
        <v>96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 t="s">
        <v>34</v>
      </c>
      <c r="L47" s="24">
        <v>2.5</v>
      </c>
      <c r="M47" s="24" t="s">
        <v>97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 t="s">
        <v>36</v>
      </c>
      <c r="L48" s="24">
        <v>2.0</v>
      </c>
      <c r="M48" s="24" t="s">
        <v>98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 t="s">
        <v>38</v>
      </c>
      <c r="L49" s="24">
        <v>1.5</v>
      </c>
      <c r="M49" s="24" t="s">
        <v>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 t="s">
        <v>40</v>
      </c>
      <c r="L50" s="24">
        <v>0.0</v>
      </c>
      <c r="M50" s="24" t="s">
        <v>100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 t="s">
        <v>42</v>
      </c>
      <c r="L51" s="24">
        <v>1.5</v>
      </c>
      <c r="M51" s="24" t="s">
        <v>101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 t="s">
        <v>44</v>
      </c>
      <c r="L52" s="24">
        <v>1.0</v>
      </c>
      <c r="M52" s="24" t="s">
        <v>102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 t="s">
        <v>46</v>
      </c>
      <c r="L53" s="24">
        <v>0.0</v>
      </c>
      <c r="M53" s="24" t="s">
        <v>103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 t="s">
        <v>48</v>
      </c>
      <c r="L54" s="24">
        <v>0.0</v>
      </c>
      <c r="M54" s="24" t="s">
        <v>104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 t="s">
        <v>50</v>
      </c>
      <c r="L55" s="24">
        <v>1.0</v>
      </c>
      <c r="M55" s="24" t="s">
        <v>105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 t="s">
        <v>52</v>
      </c>
      <c r="L56" s="24">
        <v>0.0</v>
      </c>
      <c r="M56" s="24" t="s">
        <v>106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 t="s">
        <v>54</v>
      </c>
      <c r="L57" s="24">
        <v>4.5</v>
      </c>
      <c r="M57" s="24" t="s">
        <v>107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 t="s">
        <v>56</v>
      </c>
      <c r="L58" s="24">
        <v>0.0</v>
      </c>
      <c r="M58" s="24" t="s">
        <v>108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 t="s">
        <v>58</v>
      </c>
      <c r="L59" s="24">
        <v>1.5</v>
      </c>
      <c r="M59" s="24" t="s">
        <v>109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 t="s">
        <v>60</v>
      </c>
      <c r="L60" s="24">
        <v>19.0</v>
      </c>
      <c r="M60" s="24" t="s">
        <v>110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 t="s">
        <v>62</v>
      </c>
      <c r="L61" s="24">
        <v>8.0</v>
      </c>
      <c r="M61" s="24" t="s">
        <v>111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 t="s">
        <v>64</v>
      </c>
      <c r="L62" s="24">
        <v>0.0</v>
      </c>
      <c r="M62" s="24" t="s">
        <v>112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 t="s">
        <v>9</v>
      </c>
      <c r="L63" s="24">
        <v>6.0</v>
      </c>
      <c r="M63" s="24" t="s">
        <v>11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 t="s">
        <v>67</v>
      </c>
      <c r="L64" s="24">
        <v>0.0</v>
      </c>
      <c r="M64" s="24" t="s">
        <v>113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 t="s">
        <v>69</v>
      </c>
      <c r="L65" s="24">
        <v>10.5</v>
      </c>
      <c r="M65" s="24" t="s">
        <v>114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 t="s">
        <v>71</v>
      </c>
      <c r="L66" s="24">
        <v>0.0</v>
      </c>
      <c r="M66" s="24" t="s">
        <v>115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 t="s">
        <v>73</v>
      </c>
      <c r="L67" s="24">
        <v>5.0</v>
      </c>
      <c r="M67" s="24" t="s">
        <v>116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 t="s">
        <v>75</v>
      </c>
      <c r="L68" s="24">
        <v>1.0</v>
      </c>
      <c r="M68" s="24" t="s">
        <v>117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 t="s">
        <v>77</v>
      </c>
      <c r="L69" s="24"/>
      <c r="M69" s="24" t="s">
        <v>118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 t="s">
        <v>79</v>
      </c>
      <c r="L70" s="24">
        <v>0.5</v>
      </c>
      <c r="M70" s="24" t="s">
        <v>119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 t="s">
        <v>81</v>
      </c>
      <c r="L71" s="24">
        <v>3.0</v>
      </c>
      <c r="M71" s="24" t="s">
        <v>120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 t="s">
        <v>83</v>
      </c>
      <c r="L72" s="24">
        <v>4.5</v>
      </c>
      <c r="M72" s="24" t="s">
        <v>121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 t="s">
        <v>85</v>
      </c>
      <c r="L73" s="24">
        <v>6.0</v>
      </c>
      <c r="M73" s="24" t="s">
        <v>122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 t="s">
        <v>87</v>
      </c>
      <c r="L74" s="24">
        <v>0.0</v>
      </c>
      <c r="M74" s="24" t="s">
        <v>123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18</v>
      </c>
      <c r="L75" s="24">
        <v>0.0</v>
      </c>
      <c r="M75" s="24" t="s">
        <v>124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 t="s">
        <v>20</v>
      </c>
      <c r="L76" s="24">
        <v>0.0</v>
      </c>
      <c r="M76" s="24" t="s">
        <v>125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 t="s">
        <v>22</v>
      </c>
      <c r="L77" s="24">
        <v>0.0</v>
      </c>
      <c r="M77" s="24" t="s">
        <v>126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 t="s">
        <v>24</v>
      </c>
      <c r="L78" s="24">
        <v>0.0</v>
      </c>
      <c r="M78" s="24" t="s">
        <v>127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 t="s">
        <v>26</v>
      </c>
      <c r="L79" s="24">
        <v>0.0</v>
      </c>
      <c r="M79" s="24" t="s">
        <v>128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 t="s">
        <v>28</v>
      </c>
      <c r="L80" s="24">
        <v>3.0</v>
      </c>
      <c r="M80" s="24" t="s">
        <v>129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 t="s">
        <v>30</v>
      </c>
      <c r="L81" s="24">
        <v>0.0</v>
      </c>
      <c r="M81" s="24" t="s">
        <v>130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 t="s">
        <v>32</v>
      </c>
      <c r="L82" s="24">
        <v>3.5</v>
      </c>
      <c r="M82" s="24" t="s">
        <v>131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 t="s">
        <v>34</v>
      </c>
      <c r="L83" s="24">
        <v>0.0</v>
      </c>
      <c r="M83" s="24" t="s">
        <v>132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 t="s">
        <v>36</v>
      </c>
      <c r="L84" s="24">
        <v>1.5</v>
      </c>
      <c r="M84" s="24" t="s">
        <v>133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 t="s">
        <v>38</v>
      </c>
      <c r="L85" s="24">
        <v>0.0</v>
      </c>
      <c r="M85" s="24" t="s">
        <v>134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 t="s">
        <v>40</v>
      </c>
      <c r="L86" s="24">
        <v>0.0</v>
      </c>
      <c r="M86" s="24" t="s">
        <v>135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 t="s">
        <v>42</v>
      </c>
      <c r="L87" s="24">
        <v>5.0</v>
      </c>
      <c r="M87" s="24" t="s">
        <v>136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 t="s">
        <v>44</v>
      </c>
      <c r="L88" s="24">
        <v>3.5</v>
      </c>
      <c r="M88" s="24" t="s">
        <v>137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 t="s">
        <v>46</v>
      </c>
      <c r="L89" s="24">
        <v>0.0</v>
      </c>
      <c r="M89" s="24" t="s">
        <v>138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 t="s">
        <v>48</v>
      </c>
      <c r="L90" s="24">
        <v>1.0</v>
      </c>
      <c r="M90" s="24" t="s">
        <v>139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 t="s">
        <v>50</v>
      </c>
      <c r="L91" s="24">
        <v>0.0</v>
      </c>
      <c r="M91" s="24" t="s">
        <v>140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 t="s">
        <v>52</v>
      </c>
      <c r="L92" s="24">
        <v>0.0</v>
      </c>
      <c r="M92" s="24" t="s">
        <v>141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 t="s">
        <v>54</v>
      </c>
      <c r="L93" s="24">
        <v>0.0</v>
      </c>
      <c r="M93" s="24" t="s">
        <v>142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 t="s">
        <v>56</v>
      </c>
      <c r="L94" s="24">
        <v>0.0</v>
      </c>
      <c r="M94" s="24" t="s">
        <v>143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 t="s">
        <v>58</v>
      </c>
      <c r="L95" s="24">
        <v>0.0</v>
      </c>
      <c r="M95" s="24" t="s">
        <v>144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 t="s">
        <v>60</v>
      </c>
      <c r="L96" s="24">
        <v>0.0</v>
      </c>
      <c r="M96" s="24" t="s">
        <v>145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 t="s">
        <v>62</v>
      </c>
      <c r="L97" s="24">
        <v>0.0</v>
      </c>
      <c r="M97" s="24" t="s">
        <v>146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 t="s">
        <v>64</v>
      </c>
      <c r="L98" s="24">
        <v>2.5</v>
      </c>
      <c r="M98" s="24" t="s">
        <v>147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 t="s">
        <v>9</v>
      </c>
      <c r="L99" s="24">
        <v>1.0</v>
      </c>
      <c r="M99" s="24" t="s">
        <v>12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 t="s">
        <v>67</v>
      </c>
      <c r="L100" s="24">
        <v>0.0</v>
      </c>
      <c r="M100" s="24" t="s">
        <v>148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69</v>
      </c>
      <c r="L101" s="24">
        <v>0.0</v>
      </c>
      <c r="M101" s="24" t="s">
        <v>149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 t="s">
        <v>71</v>
      </c>
      <c r="L102" s="24">
        <v>0.0</v>
      </c>
      <c r="M102" s="24" t="s">
        <v>150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 t="s">
        <v>73</v>
      </c>
      <c r="L103" s="24">
        <v>0.0</v>
      </c>
      <c r="M103" s="24" t="s">
        <v>151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 t="s">
        <v>75</v>
      </c>
      <c r="L104" s="24">
        <v>0.0</v>
      </c>
      <c r="M104" s="24" t="s">
        <v>152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 t="s">
        <v>77</v>
      </c>
      <c r="L105" s="24">
        <v>0.0</v>
      </c>
      <c r="M105" s="24" t="s">
        <v>153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 t="s">
        <v>79</v>
      </c>
      <c r="L106" s="24">
        <v>0.0</v>
      </c>
      <c r="M106" s="24" t="s">
        <v>154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 t="s">
        <v>81</v>
      </c>
      <c r="L107" s="24">
        <v>1.5</v>
      </c>
      <c r="M107" s="24" t="s">
        <v>155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 t="s">
        <v>83</v>
      </c>
      <c r="L108" s="24">
        <v>0.0</v>
      </c>
      <c r="M108" s="24" t="s">
        <v>156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 t="s">
        <v>85</v>
      </c>
      <c r="L109" s="24">
        <v>1.5</v>
      </c>
      <c r="M109" s="24" t="s">
        <v>157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 t="s">
        <v>87</v>
      </c>
      <c r="L110" s="24">
        <v>1.0</v>
      </c>
      <c r="M110" s="24" t="s">
        <v>158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 t="s">
        <v>18</v>
      </c>
      <c r="L111" s="24">
        <v>-1.0</v>
      </c>
      <c r="M111" s="24" t="s">
        <v>159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 t="s">
        <v>20</v>
      </c>
      <c r="L112" s="24">
        <v>0.0</v>
      </c>
      <c r="M112" s="24" t="s">
        <v>160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 t="s">
        <v>22</v>
      </c>
      <c r="L113" s="24">
        <v>1.5</v>
      </c>
      <c r="M113" s="24" t="s">
        <v>161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 t="s">
        <v>24</v>
      </c>
      <c r="L114" s="24">
        <v>0.0</v>
      </c>
      <c r="M114" s="24" t="s">
        <v>162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 t="s">
        <v>26</v>
      </c>
      <c r="L115" s="24">
        <v>2.0</v>
      </c>
      <c r="M115" s="24" t="s">
        <v>163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 t="s">
        <v>28</v>
      </c>
      <c r="L116" s="24">
        <v>0.0</v>
      </c>
      <c r="M116" s="24" t="s">
        <v>164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 t="s">
        <v>30</v>
      </c>
      <c r="L117" s="24">
        <v>0.0</v>
      </c>
      <c r="M117" s="24" t="s">
        <v>165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 t="s">
        <v>32</v>
      </c>
      <c r="L118" s="24">
        <v>3.5</v>
      </c>
      <c r="M118" s="24" t="s">
        <v>166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 t="s">
        <v>34</v>
      </c>
      <c r="L119" s="24">
        <v>0.0</v>
      </c>
      <c r="M119" s="24" t="s">
        <v>167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 t="s">
        <v>36</v>
      </c>
      <c r="L120" s="24">
        <v>0.0</v>
      </c>
      <c r="M120" s="24" t="s">
        <v>168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 t="s">
        <v>38</v>
      </c>
      <c r="L121" s="24">
        <v>1.5</v>
      </c>
      <c r="M121" s="24" t="s">
        <v>169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 t="s">
        <v>40</v>
      </c>
      <c r="L122" s="24">
        <v>4.5</v>
      </c>
      <c r="M122" s="24" t="s">
        <v>170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 t="s">
        <v>42</v>
      </c>
      <c r="L123" s="24">
        <v>0.0</v>
      </c>
      <c r="M123" s="24" t="s">
        <v>171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 t="s">
        <v>44</v>
      </c>
      <c r="L124" s="24">
        <v>0.0</v>
      </c>
      <c r="M124" s="24" t="s">
        <v>172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 t="s">
        <v>46</v>
      </c>
      <c r="L125" s="24">
        <v>0.0</v>
      </c>
      <c r="M125" s="24" t="s">
        <v>173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 t="s">
        <v>48</v>
      </c>
      <c r="L126" s="24">
        <v>1.0</v>
      </c>
      <c r="M126" s="24" t="s">
        <v>174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 t="s">
        <v>50</v>
      </c>
      <c r="L127" s="24">
        <v>4.5</v>
      </c>
      <c r="M127" s="24" t="s">
        <v>175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 t="s">
        <v>52</v>
      </c>
      <c r="L128" s="24">
        <v>1.0</v>
      </c>
      <c r="M128" s="24" t="s">
        <v>176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 t="s">
        <v>54</v>
      </c>
      <c r="L129" s="24">
        <v>0.0</v>
      </c>
      <c r="M129" s="24" t="s">
        <v>177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 t="s">
        <v>56</v>
      </c>
      <c r="L130" s="24">
        <v>4.0</v>
      </c>
      <c r="M130" s="24" t="s">
        <v>178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 t="s">
        <v>58</v>
      </c>
      <c r="L131" s="24">
        <v>0.0</v>
      </c>
      <c r="M131" s="24" t="s">
        <v>179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 t="s">
        <v>60</v>
      </c>
      <c r="L132" s="24">
        <v>1.5</v>
      </c>
      <c r="M132" s="24" t="s">
        <v>180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 t="s">
        <v>62</v>
      </c>
      <c r="L133" s="24">
        <v>0.0</v>
      </c>
      <c r="M133" s="24" t="s">
        <v>181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 t="s">
        <v>64</v>
      </c>
      <c r="L134" s="24">
        <v>1.0</v>
      </c>
      <c r="M134" s="24" t="s">
        <v>182</v>
      </c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 t="s">
        <v>9</v>
      </c>
      <c r="L135" s="24">
        <v>1.5</v>
      </c>
      <c r="M135" s="24" t="s">
        <v>13</v>
      </c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 t="s">
        <v>67</v>
      </c>
      <c r="L136" s="24">
        <v>0.0</v>
      </c>
      <c r="M136" s="24" t="s">
        <v>183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 t="s">
        <v>69</v>
      </c>
      <c r="L137" s="24">
        <v>0.0</v>
      </c>
      <c r="M137" s="24" t="s">
        <v>184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71</v>
      </c>
      <c r="L138" s="24">
        <v>0.0</v>
      </c>
      <c r="M138" s="24" t="s">
        <v>185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 t="s">
        <v>73</v>
      </c>
      <c r="L139" s="24">
        <v>0.0</v>
      </c>
      <c r="M139" s="24" t="s">
        <v>186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 t="s">
        <v>75</v>
      </c>
      <c r="L140" s="24">
        <v>0.0</v>
      </c>
      <c r="M140" s="24" t="s">
        <v>187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 t="s">
        <v>77</v>
      </c>
      <c r="L141" s="24">
        <v>1.0</v>
      </c>
      <c r="M141" s="24" t="s">
        <v>188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 t="s">
        <v>79</v>
      </c>
      <c r="L142" s="24">
        <v>2.0</v>
      </c>
      <c r="M142" s="24" t="s">
        <v>189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 t="s">
        <v>81</v>
      </c>
      <c r="L143" s="24">
        <v>0.0</v>
      </c>
      <c r="M143" s="24" t="s">
        <v>190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 t="s">
        <v>83</v>
      </c>
      <c r="L144" s="24">
        <v>7.5</v>
      </c>
      <c r="M144" s="24" t="s">
        <v>191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 t="s">
        <v>85</v>
      </c>
      <c r="L145" s="24">
        <v>0.0</v>
      </c>
      <c r="M145" s="24" t="s">
        <v>192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 t="s">
        <v>87</v>
      </c>
      <c r="L146" s="24">
        <v>0.0</v>
      </c>
      <c r="M146" s="24" t="s">
        <v>193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18</v>
      </c>
      <c r="L147" s="24">
        <v>0.0</v>
      </c>
      <c r="M147" s="24" t="s">
        <v>194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 t="s">
        <v>20</v>
      </c>
      <c r="L148" s="24">
        <v>0.0</v>
      </c>
      <c r="M148" s="24" t="s">
        <v>195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 t="s">
        <v>22</v>
      </c>
      <c r="L149" s="24">
        <v>0.0</v>
      </c>
      <c r="M149" s="24" t="s">
        <v>196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 t="s">
        <v>24</v>
      </c>
      <c r="L150" s="24">
        <v>0.0</v>
      </c>
      <c r="M150" s="24" t="s">
        <v>197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26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 t="s">
        <v>28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 t="s">
        <v>30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 t="s">
        <v>32</v>
      </c>
      <c r="L154" s="24">
        <v>2.0</v>
      </c>
      <c r="M154" s="24" t="s">
        <v>198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 t="s">
        <v>34</v>
      </c>
      <c r="L155" s="24">
        <v>0.0</v>
      </c>
      <c r="M155" s="24" t="s">
        <v>199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 t="s">
        <v>36</v>
      </c>
      <c r="L156" s="24">
        <v>0.0</v>
      </c>
      <c r="M156" s="24" t="s">
        <v>200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 t="s">
        <v>38</v>
      </c>
      <c r="L157" s="24">
        <v>0.0</v>
      </c>
      <c r="M157" s="24" t="s">
        <v>201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 t="s">
        <v>40</v>
      </c>
      <c r="L158" s="24">
        <v>9.0</v>
      </c>
      <c r="M158" s="24" t="s">
        <v>202</v>
      </c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 t="s">
        <v>42</v>
      </c>
      <c r="L159" s="24">
        <v>0.0</v>
      </c>
      <c r="M159" s="24" t="s">
        <v>203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 t="s">
        <v>44</v>
      </c>
      <c r="L160" s="24">
        <v>0.0</v>
      </c>
      <c r="M160" s="24" t="s">
        <v>204</v>
      </c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 t="s">
        <v>46</v>
      </c>
      <c r="L161" s="24">
        <v>0.0</v>
      </c>
      <c r="M161" s="24" t="s">
        <v>205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 t="s">
        <v>48</v>
      </c>
      <c r="L162" s="24">
        <v>0.0</v>
      </c>
      <c r="M162" s="24" t="s">
        <v>206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 t="s">
        <v>50</v>
      </c>
      <c r="L163" s="24">
        <v>1.5</v>
      </c>
      <c r="M163" s="24" t="s">
        <v>207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 t="s">
        <v>52</v>
      </c>
      <c r="L164" s="24">
        <v>0.0</v>
      </c>
      <c r="M164" s="24" t="s">
        <v>208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 t="s">
        <v>54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 t="s">
        <v>56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 t="s">
        <v>58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 t="s">
        <v>60</v>
      </c>
      <c r="L168" s="24">
        <v>0.0</v>
      </c>
      <c r="M168" s="24" t="s">
        <v>209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 t="s">
        <v>62</v>
      </c>
      <c r="L169" s="24">
        <v>-1.0</v>
      </c>
      <c r="M169" s="24" t="s">
        <v>210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 t="s">
        <v>64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 t="s">
        <v>9</v>
      </c>
      <c r="L171" s="24">
        <v>0.0</v>
      </c>
      <c r="M171" s="24" t="s">
        <v>14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 t="s">
        <v>67</v>
      </c>
      <c r="L172" s="24">
        <v>0.0</v>
      </c>
      <c r="M172" s="24" t="s">
        <v>211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 t="s">
        <v>69</v>
      </c>
      <c r="L173" s="24">
        <v>0.0</v>
      </c>
      <c r="M173" s="24" t="s">
        <v>212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 t="s">
        <v>71</v>
      </c>
      <c r="L174" s="24">
        <v>0.0</v>
      </c>
      <c r="M174" s="24" t="s">
        <v>213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 t="s">
        <v>73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 t="s">
        <v>75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 t="s">
        <v>77</v>
      </c>
      <c r="L177" s="24">
        <v>0.0</v>
      </c>
      <c r="M177" s="24" t="s">
        <v>214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79</v>
      </c>
      <c r="L178" s="24">
        <v>-1.0</v>
      </c>
      <c r="M178" s="24" t="s">
        <v>215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 t="s">
        <v>81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 t="s">
        <v>83</v>
      </c>
      <c r="L180" s="24">
        <v>4.5</v>
      </c>
      <c r="M180" s="24" t="s">
        <v>216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 t="s">
        <v>85</v>
      </c>
      <c r="L181" s="24">
        <v>0.0</v>
      </c>
      <c r="M181" s="24" t="s">
        <v>217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2">
        <f>IFERROR(__xludf.DUMMYFUNCTION("IMPORTRANGE(""https://docs.google.com/spreadsheets/d/1hF3sefURNb_ssJk7SkIRKX6ByBcDxRkk4SZazZtucFY/edit#gid=82493956"",""Earth &amp; Space MVP!A1:I"")"),3.0)</f>
        <v>3</v>
      </c>
      <c r="B1" s="23">
        <f>IFERROR(__xludf.DUMMYFUNCTION("""COMPUTED_VALUE"""),1.0)</f>
        <v>1</v>
      </c>
      <c r="C1" s="23">
        <f>IFERROR(__xludf.DUMMYFUNCTION("""COMPUTED_VALUE"""),2.0)</f>
        <v>2</v>
      </c>
      <c r="D1" s="23">
        <f>IFERROR(__xludf.DUMMYFUNCTION("""COMPUTED_VALUE"""),3.0)</f>
        <v>3</v>
      </c>
      <c r="E1" s="23">
        <f>IFERROR(__xludf.DUMMYFUNCTION("""COMPUTED_VALUE"""),4.0)</f>
        <v>4</v>
      </c>
      <c r="F1" s="23">
        <f>IFERROR(__xludf.DUMMYFUNCTION("""COMPUTED_VALUE"""),5.0)</f>
        <v>5</v>
      </c>
      <c r="G1" s="24" t="str">
        <f>IFERROR(__xludf.DUMMYFUNCTION("""COMPUTED_VALUE"""),"All")</f>
        <v>All</v>
      </c>
      <c r="H1" s="24"/>
      <c r="I1" s="25" t="str">
        <f>IFERROR(__xludf.DUMMYFUNCTION("""COMPUTED_VALUE"""),"Earth &amp; Space MVP:")</f>
        <v>Earth &amp; Space MVP: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6" t="str">
        <f>IFERROR(__xludf.DUMMYFUNCTION("""COMPUTED_VALUE"""),"Abraham Lincoln")</f>
        <v>Abraham Lincoln</v>
      </c>
      <c r="B2" s="27">
        <f>IFERROR(__xludf.DUMMYFUNCTION("""COMPUTED_VALUE"""),0.0)</f>
        <v>0</v>
      </c>
      <c r="C2" s="27">
        <f>IFERROR(__xludf.DUMMYFUNCTION("""COMPUTED_VALUE"""),2.0)</f>
        <v>2</v>
      </c>
      <c r="D2" s="27">
        <f>IFERROR(__xludf.DUMMYFUNCTION("""COMPUTED_VALUE"""),0.0)</f>
        <v>0</v>
      </c>
      <c r="E2" s="27">
        <f>IFERROR(__xludf.DUMMYFUNCTION("""COMPUTED_VALUE"""),-1.0)</f>
        <v>-1</v>
      </c>
      <c r="F2" s="28">
        <f>IFERROR(__xludf.DUMMYFUNCTION("""COMPUTED_VALUE"""),0.0)</f>
        <v>0</v>
      </c>
      <c r="G2" s="24">
        <f>IFERROR(__xludf.DUMMYFUNCTION("""COMPUTED_VALUE"""),1.0)</f>
        <v>1</v>
      </c>
      <c r="H2" s="24" t="str">
        <f>IFERROR(__xludf.DUMMYFUNCTION("""COMPUTED_VALUE"""),"Mission San Jose A")</f>
        <v>Mission San Jose A</v>
      </c>
      <c r="I2" s="29" t="str">
        <f>IFERROR(__xludf.DUMMYFUNCTION("""COMPUTED_VALUE"""),"Roshan Annamalai")</f>
        <v>Roshan Annamalai</v>
      </c>
      <c r="J2" s="24"/>
      <c r="K2" s="24" t="str">
        <f t="array" ref="K2:M181">{A2:A37,B2:B37,'Check-in Import'!E2:E37;A2:A37,C2:C37,'Check-in Import'!F2:F37;A2:A37,D2:D37,'Check-in Import'!G2:G37;A2:A37,E2:E37,'Check-in Import'!H2:H37;A2:A37,F2:F37,'Check-in Import'!I2:I37}</f>
        <v>Abraham Lincoln</v>
      </c>
      <c r="L2" s="24">
        <v>0.0</v>
      </c>
      <c r="M2" s="24" t="s">
        <v>17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6" t="str">
        <f>IFERROR(__xludf.DUMMYFUNCTION("""COMPUTED_VALUE"""),"Saratoga")</f>
        <v>Saratoga</v>
      </c>
      <c r="B3" s="27">
        <f>IFERROR(__xludf.DUMMYFUNCTION("""COMPUTED_VALUE"""),3.0)</f>
        <v>3</v>
      </c>
      <c r="C3" s="27">
        <f>IFERROR(__xludf.DUMMYFUNCTION("""COMPUTED_VALUE"""),0.0)</f>
        <v>0</v>
      </c>
      <c r="D3" s="27">
        <f>IFERROR(__xludf.DUMMYFUNCTION("""COMPUTED_VALUE"""),0.0)</f>
        <v>0</v>
      </c>
      <c r="E3" s="27">
        <f>IFERROR(__xludf.DUMMYFUNCTION("""COMPUTED_VALUE"""),1.5)</f>
        <v>1.5</v>
      </c>
      <c r="F3" s="28">
        <f>IFERROR(__xludf.DUMMYFUNCTION("""COMPUTED_VALUE"""),1.0)</f>
        <v>1</v>
      </c>
      <c r="G3" s="24">
        <f>IFERROR(__xludf.DUMMYFUNCTION("""COMPUTED_VALUE"""),5.5)</f>
        <v>5.5</v>
      </c>
      <c r="H3" s="27">
        <f>IFERROR(__xludf.DUMMYFUNCTION("""COMPUTED_VALUE"""),15.5)</f>
        <v>15.5</v>
      </c>
      <c r="I3" s="24"/>
      <c r="J3" s="24"/>
      <c r="K3" s="24" t="s">
        <v>18</v>
      </c>
      <c r="L3" s="24">
        <v>3.0</v>
      </c>
      <c r="M3" s="24" t="s"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tr">
        <f>IFERROR(__xludf.DUMMYFUNCTION("""COMPUTED_VALUE"""),"Irvington")</f>
        <v>Irvington</v>
      </c>
      <c r="B4" s="27">
        <f>IFERROR(__xludf.DUMMYFUNCTION("""COMPUTED_VALUE"""),1.0)</f>
        <v>1</v>
      </c>
      <c r="C4" s="27">
        <f>IFERROR(__xludf.DUMMYFUNCTION("""COMPUTED_VALUE"""),1.0)</f>
        <v>1</v>
      </c>
      <c r="D4" s="27">
        <f>IFERROR(__xludf.DUMMYFUNCTION("""COMPUTED_VALUE"""),0.0)</f>
        <v>0</v>
      </c>
      <c r="E4" s="27">
        <f>IFERROR(__xludf.DUMMYFUNCTION("""COMPUTED_VALUE"""),-2.0)</f>
        <v>-2</v>
      </c>
      <c r="F4" s="28">
        <f>IFERROR(__xludf.DUMMYFUNCTION("""COMPUTED_VALUE"""),0.0)</f>
        <v>0</v>
      </c>
      <c r="G4" s="24">
        <f>IFERROR(__xludf.DUMMYFUNCTION("""COMPUTED_VALUE"""),0.0)</f>
        <v>0</v>
      </c>
      <c r="H4" s="24"/>
      <c r="I4" s="24"/>
      <c r="J4" s="24"/>
      <c r="K4" s="24" t="s">
        <v>20</v>
      </c>
      <c r="L4" s="24">
        <v>1.0</v>
      </c>
      <c r="M4" s="24" t="s">
        <v>21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tr">
        <f>IFERROR(__xludf.DUMMYFUNCTION("""COMPUTED_VALUE"""),"Saint Francis")</f>
        <v>Saint Francis</v>
      </c>
      <c r="B5" s="27">
        <f>IFERROR(__xludf.DUMMYFUNCTION("""COMPUTED_VALUE"""),9.5)</f>
        <v>9.5</v>
      </c>
      <c r="C5" s="27">
        <f>IFERROR(__xludf.DUMMYFUNCTION("""COMPUTED_VALUE"""),3.0)</f>
        <v>3</v>
      </c>
      <c r="D5" s="27">
        <f>IFERROR(__xludf.DUMMYFUNCTION("""COMPUTED_VALUE"""),-1.0)</f>
        <v>-1</v>
      </c>
      <c r="E5" s="27">
        <f>IFERROR(__xludf.DUMMYFUNCTION("""COMPUTED_VALUE"""),0.0)</f>
        <v>0</v>
      </c>
      <c r="F5" s="28">
        <f>IFERROR(__xludf.DUMMYFUNCTION("""COMPUTED_VALUE"""),0.0)</f>
        <v>0</v>
      </c>
      <c r="G5" s="24">
        <f>IFERROR(__xludf.DUMMYFUNCTION("""COMPUTED_VALUE"""),11.5)</f>
        <v>11.5</v>
      </c>
      <c r="H5" s="24"/>
      <c r="I5" s="24"/>
      <c r="J5" s="24"/>
      <c r="K5" s="24" t="s">
        <v>22</v>
      </c>
      <c r="L5" s="24">
        <v>9.5</v>
      </c>
      <c r="M5" s="24" t="s">
        <v>23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tr">
        <f>IFERROR(__xludf.DUMMYFUNCTION("""COMPUTED_VALUE"""),"BASIS Independent A")</f>
        <v>BASIS Independent A</v>
      </c>
      <c r="B6" s="27">
        <f>IFERROR(__xludf.DUMMYFUNCTION("""COMPUTED_VALUE"""),0.0)</f>
        <v>0</v>
      </c>
      <c r="C6" s="27">
        <f>IFERROR(__xludf.DUMMYFUNCTION("""COMPUTED_VALUE"""),8.5)</f>
        <v>8.5</v>
      </c>
      <c r="D6" s="27">
        <f>IFERROR(__xludf.DUMMYFUNCTION("""COMPUTED_VALUE"""),0.0)</f>
        <v>0</v>
      </c>
      <c r="E6" s="27">
        <f>IFERROR(__xludf.DUMMYFUNCTION("""COMPUTED_VALUE"""),1.0)</f>
        <v>1</v>
      </c>
      <c r="F6" s="28">
        <f>IFERROR(__xludf.DUMMYFUNCTION("""COMPUTED_VALUE"""),1.5)</f>
        <v>1.5</v>
      </c>
      <c r="G6" s="24">
        <f>IFERROR(__xludf.DUMMYFUNCTION("""COMPUTED_VALUE"""),11.0)</f>
        <v>11</v>
      </c>
      <c r="H6" s="24" t="str">
        <f>IFERROR(__xludf.DUMMYFUNCTION("""COMPUTED_VALUE"""),"First Places:")</f>
        <v>First Places:</v>
      </c>
      <c r="I6" s="24"/>
      <c r="J6" s="24"/>
      <c r="K6" s="24" t="s">
        <v>24</v>
      </c>
      <c r="L6" s="24">
        <v>0.0</v>
      </c>
      <c r="M6" s="24" t="s">
        <v>25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tr">
        <f>IFERROR(__xludf.DUMMYFUNCTION("""COMPUTED_VALUE"""),"BASIS Independent B")</f>
        <v>BASIS Independent B</v>
      </c>
      <c r="B7" s="27">
        <f>IFERROR(__xludf.DUMMYFUNCTION("""COMPUTED_VALUE"""),0.0)</f>
        <v>0</v>
      </c>
      <c r="C7" s="27">
        <f>IFERROR(__xludf.DUMMYFUNCTION("""COMPUTED_VALUE"""),6.0)</f>
        <v>6</v>
      </c>
      <c r="D7" s="27">
        <f>IFERROR(__xludf.DUMMYFUNCTION("""COMPUTED_VALUE"""),0.0)</f>
        <v>0</v>
      </c>
      <c r="E7" s="27">
        <f>IFERROR(__xludf.DUMMYFUNCTION("""COMPUTED_VALUE"""),0.0)</f>
        <v>0</v>
      </c>
      <c r="F7" s="28"/>
      <c r="G7" s="24">
        <f>IFERROR(__xludf.DUMMYFUNCTION("""COMPUTED_VALUE"""),6.0)</f>
        <v>6</v>
      </c>
      <c r="H7" s="27">
        <f>IFERROR(__xludf.DUMMYFUNCTION("""COMPUTED_VALUE"""),1.0)</f>
        <v>1</v>
      </c>
      <c r="I7" s="24"/>
      <c r="J7" s="24"/>
      <c r="K7" s="24" t="s">
        <v>26</v>
      </c>
      <c r="L7" s="24">
        <v>0.0</v>
      </c>
      <c r="M7" s="24" t="s">
        <v>27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tr">
        <f>IFERROR(__xludf.DUMMYFUNCTION("""COMPUTED_VALUE"""),"Canyon Crest A")</f>
        <v>Canyon Crest A</v>
      </c>
      <c r="B8" s="27">
        <f>IFERROR(__xludf.DUMMYFUNCTION("""COMPUTED_VALUE"""),6.0)</f>
        <v>6</v>
      </c>
      <c r="C8" s="27">
        <f>IFERROR(__xludf.DUMMYFUNCTION("""COMPUTED_VALUE"""),15.0)</f>
        <v>15</v>
      </c>
      <c r="D8" s="27">
        <f>IFERROR(__xludf.DUMMYFUNCTION("""COMPUTED_VALUE"""),2.5)</f>
        <v>2.5</v>
      </c>
      <c r="E8" s="27">
        <f>IFERROR(__xludf.DUMMYFUNCTION("""COMPUTED_VALUE"""),0.0)</f>
        <v>0</v>
      </c>
      <c r="F8" s="28"/>
      <c r="G8" s="24">
        <f>IFERROR(__xludf.DUMMYFUNCTION("""COMPUTED_VALUE"""),23.5)</f>
        <v>23.5</v>
      </c>
      <c r="H8" s="24"/>
      <c r="I8" s="24"/>
      <c r="J8" s="24"/>
      <c r="K8" s="24" t="s">
        <v>28</v>
      </c>
      <c r="L8" s="24">
        <v>6.0</v>
      </c>
      <c r="M8" s="24" t="s">
        <v>29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tr">
        <f>IFERROR(__xludf.DUMMYFUNCTION("""COMPUTED_VALUE"""),"Canyon Crest B")</f>
        <v>Canyon Crest B</v>
      </c>
      <c r="B9" s="27">
        <f>IFERROR(__xludf.DUMMYFUNCTION("""COMPUTED_VALUE"""),-1.0)</f>
        <v>-1</v>
      </c>
      <c r="C9" s="27">
        <f>IFERROR(__xludf.DUMMYFUNCTION("""COMPUTED_VALUE"""),0.0)</f>
        <v>0</v>
      </c>
      <c r="D9" s="27">
        <f>IFERROR(__xludf.DUMMYFUNCTION("""COMPUTED_VALUE"""),2.0)</f>
        <v>2</v>
      </c>
      <c r="E9" s="27">
        <f>IFERROR(__xludf.DUMMYFUNCTION("""COMPUTED_VALUE"""),0.0)</f>
        <v>0</v>
      </c>
      <c r="F9" s="28"/>
      <c r="G9" s="24">
        <f>IFERROR(__xludf.DUMMYFUNCTION("""COMPUTED_VALUE"""),1.0)</f>
        <v>1</v>
      </c>
      <c r="H9" s="24"/>
      <c r="I9" s="24"/>
      <c r="J9" s="24"/>
      <c r="K9" s="24" t="s">
        <v>30</v>
      </c>
      <c r="L9" s="24">
        <v>-1.0</v>
      </c>
      <c r="M9" s="24" t="s">
        <v>31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tr">
        <f>IFERROR(__xludf.DUMMYFUNCTION("""COMPUTED_VALUE"""),"Mira Loma A")</f>
        <v>Mira Loma A</v>
      </c>
      <c r="B10" s="27">
        <f>IFERROR(__xludf.DUMMYFUNCTION("""COMPUTED_VALUE"""),1.0)</f>
        <v>1</v>
      </c>
      <c r="C10" s="27">
        <f>IFERROR(__xludf.DUMMYFUNCTION("""COMPUTED_VALUE"""),3.0)</f>
        <v>3</v>
      </c>
      <c r="D10" s="27">
        <f>IFERROR(__xludf.DUMMYFUNCTION("""COMPUTED_VALUE"""),0.0)</f>
        <v>0</v>
      </c>
      <c r="E10" s="27">
        <f>IFERROR(__xludf.DUMMYFUNCTION("""COMPUTED_VALUE"""),4.0)</f>
        <v>4</v>
      </c>
      <c r="F10" s="28">
        <f>IFERROR(__xludf.DUMMYFUNCTION("""COMPUTED_VALUE"""),4.5)</f>
        <v>4.5</v>
      </c>
      <c r="G10" s="24">
        <f>IFERROR(__xludf.DUMMYFUNCTION("""COMPUTED_VALUE"""),12.5)</f>
        <v>12.5</v>
      </c>
      <c r="H10" s="24"/>
      <c r="I10" s="24"/>
      <c r="J10" s="24"/>
      <c r="K10" s="24" t="s">
        <v>32</v>
      </c>
      <c r="L10" s="24">
        <v>1.0</v>
      </c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tr">
        <f>IFERROR(__xludf.DUMMYFUNCTION("""COMPUTED_VALUE"""),"Mira Loma B")</f>
        <v>Mira Loma B</v>
      </c>
      <c r="B11" s="27">
        <f>IFERROR(__xludf.DUMMYFUNCTION("""COMPUTED_VALUE"""),5.5)</f>
        <v>5.5</v>
      </c>
      <c r="C11" s="27">
        <f>IFERROR(__xludf.DUMMYFUNCTION("""COMPUTED_VALUE"""),6.5)</f>
        <v>6.5</v>
      </c>
      <c r="D11" s="27">
        <f>IFERROR(__xludf.DUMMYFUNCTION("""COMPUTED_VALUE"""),0.0)</f>
        <v>0</v>
      </c>
      <c r="E11" s="27">
        <f>IFERROR(__xludf.DUMMYFUNCTION("""COMPUTED_VALUE"""),-1.0)</f>
        <v>-1</v>
      </c>
      <c r="F11" s="28">
        <f>IFERROR(__xludf.DUMMYFUNCTION("""COMPUTED_VALUE"""),0.0)</f>
        <v>0</v>
      </c>
      <c r="G11" s="24">
        <f>IFERROR(__xludf.DUMMYFUNCTION("""COMPUTED_VALUE"""),11.0)</f>
        <v>11</v>
      </c>
      <c r="H11" s="24"/>
      <c r="I11" s="24"/>
      <c r="J11" s="24"/>
      <c r="K11" s="24" t="s">
        <v>34</v>
      </c>
      <c r="L11" s="24">
        <v>5.5</v>
      </c>
      <c r="M11" s="24" t="s">
        <v>35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tr">
        <f>IFERROR(__xludf.DUMMYFUNCTION("""COMPUTED_VALUE"""),"Foothill A")</f>
        <v>Foothill A</v>
      </c>
      <c r="B12" s="27">
        <f>IFERROR(__xludf.DUMMYFUNCTION("""COMPUTED_VALUE"""),0.0)</f>
        <v>0</v>
      </c>
      <c r="C12" s="27">
        <f>IFERROR(__xludf.DUMMYFUNCTION("""COMPUTED_VALUE"""),0.0)</f>
        <v>0</v>
      </c>
      <c r="D12" s="27">
        <f>IFERROR(__xludf.DUMMYFUNCTION("""COMPUTED_VALUE"""),3.0)</f>
        <v>3</v>
      </c>
      <c r="E12" s="27">
        <f>IFERROR(__xludf.DUMMYFUNCTION("""COMPUTED_VALUE"""),0.0)</f>
        <v>0</v>
      </c>
      <c r="F12" s="28">
        <f>IFERROR(__xludf.DUMMYFUNCTION("""COMPUTED_VALUE"""),0.0)</f>
        <v>0</v>
      </c>
      <c r="G12" s="24">
        <f>IFERROR(__xludf.DUMMYFUNCTION("""COMPUTED_VALUE"""),3.0)</f>
        <v>3</v>
      </c>
      <c r="H12" s="24"/>
      <c r="I12" s="24"/>
      <c r="J12" s="24"/>
      <c r="K12" s="24" t="s">
        <v>36</v>
      </c>
      <c r="L12" s="24">
        <v>0.0</v>
      </c>
      <c r="M12" s="24" t="s">
        <v>37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tr">
        <f>IFERROR(__xludf.DUMMYFUNCTION("""COMPUTED_VALUE"""),"Foothill B")</f>
        <v>Foothill B</v>
      </c>
      <c r="B13" s="27">
        <f>IFERROR(__xludf.DUMMYFUNCTION("""COMPUTED_VALUE"""),0.0)</f>
        <v>0</v>
      </c>
      <c r="C13" s="27">
        <f>IFERROR(__xludf.DUMMYFUNCTION("""COMPUTED_VALUE"""),0.0)</f>
        <v>0</v>
      </c>
      <c r="D13" s="27">
        <f>IFERROR(__xludf.DUMMYFUNCTION("""COMPUTED_VALUE"""),0.0)</f>
        <v>0</v>
      </c>
      <c r="E13" s="27">
        <f>IFERROR(__xludf.DUMMYFUNCTION("""COMPUTED_VALUE"""),2.5)</f>
        <v>2.5</v>
      </c>
      <c r="F13" s="28">
        <f>IFERROR(__xludf.DUMMYFUNCTION("""COMPUTED_VALUE"""),0.0)</f>
        <v>0</v>
      </c>
      <c r="G13" s="24">
        <f>IFERROR(__xludf.DUMMYFUNCTION("""COMPUTED_VALUE"""),2.5)</f>
        <v>2.5</v>
      </c>
      <c r="H13" s="24"/>
      <c r="I13" s="24"/>
      <c r="J13" s="24"/>
      <c r="K13" s="24" t="s">
        <v>38</v>
      </c>
      <c r="L13" s="24">
        <v>0.0</v>
      </c>
      <c r="M13" s="24" t="s">
        <v>39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tr">
        <f>IFERROR(__xludf.DUMMYFUNCTION("""COMPUTED_VALUE"""),"Lynbrook C")</f>
        <v>Lynbrook C</v>
      </c>
      <c r="B14" s="27">
        <f>IFERROR(__xludf.DUMMYFUNCTION("""COMPUTED_VALUE"""),0.0)</f>
        <v>0</v>
      </c>
      <c r="C14" s="27">
        <f>IFERROR(__xludf.DUMMYFUNCTION("""COMPUTED_VALUE"""),1.5)</f>
        <v>1.5</v>
      </c>
      <c r="D14" s="27">
        <f>IFERROR(__xludf.DUMMYFUNCTION("""COMPUTED_VALUE"""),0.0)</f>
        <v>0</v>
      </c>
      <c r="E14" s="27">
        <f>IFERROR(__xludf.DUMMYFUNCTION("""COMPUTED_VALUE"""),12.0)</f>
        <v>12</v>
      </c>
      <c r="F14" s="28">
        <f>IFERROR(__xludf.DUMMYFUNCTION("""COMPUTED_VALUE"""),0.0)</f>
        <v>0</v>
      </c>
      <c r="G14" s="24">
        <f>IFERROR(__xludf.DUMMYFUNCTION("""COMPUTED_VALUE"""),13.5)</f>
        <v>13.5</v>
      </c>
      <c r="H14" s="24"/>
      <c r="I14" s="24"/>
      <c r="J14" s="24"/>
      <c r="K14" s="24" t="s">
        <v>40</v>
      </c>
      <c r="L14" s="24">
        <v>0.0</v>
      </c>
      <c r="M14" s="24" t="s">
        <v>41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tr">
        <f>IFERROR(__xludf.DUMMYFUNCTION("""COMPUTED_VALUE"""),"American A")</f>
        <v>American A</v>
      </c>
      <c r="B15" s="27">
        <f>IFERROR(__xludf.DUMMYFUNCTION("""COMPUTED_VALUE"""),-0.5)</f>
        <v>-0.5</v>
      </c>
      <c r="C15" s="27">
        <f>IFERROR(__xludf.DUMMYFUNCTION("""COMPUTED_VALUE"""),0.0)</f>
        <v>0</v>
      </c>
      <c r="D15" s="27">
        <f>IFERROR(__xludf.DUMMYFUNCTION("""COMPUTED_VALUE"""),3.5)</f>
        <v>3.5</v>
      </c>
      <c r="E15" s="27">
        <f>IFERROR(__xludf.DUMMYFUNCTION("""COMPUTED_VALUE"""),1.0)</f>
        <v>1</v>
      </c>
      <c r="F15" s="28">
        <f>IFERROR(__xludf.DUMMYFUNCTION("""COMPUTED_VALUE"""),1.5)</f>
        <v>1.5</v>
      </c>
      <c r="G15" s="24">
        <f>IFERROR(__xludf.DUMMYFUNCTION("""COMPUTED_VALUE"""),5.5)</f>
        <v>5.5</v>
      </c>
      <c r="H15" s="24"/>
      <c r="I15" s="24"/>
      <c r="J15" s="24"/>
      <c r="K15" s="24" t="s">
        <v>42</v>
      </c>
      <c r="L15" s="24">
        <v>-0.5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tr">
        <f>IFERROR(__xludf.DUMMYFUNCTION("""COMPUTED_VALUE"""),"American B")</f>
        <v>American B</v>
      </c>
      <c r="B16" s="27">
        <f>IFERROR(__xludf.DUMMYFUNCTION("""COMPUTED_VALUE"""),1.0)</f>
        <v>1</v>
      </c>
      <c r="C16" s="27">
        <f>IFERROR(__xludf.DUMMYFUNCTION("""COMPUTED_VALUE"""),-1.0)</f>
        <v>-1</v>
      </c>
      <c r="D16" s="27">
        <f>IFERROR(__xludf.DUMMYFUNCTION("""COMPUTED_VALUE"""),0.0)</f>
        <v>0</v>
      </c>
      <c r="E16" s="27">
        <f>IFERROR(__xludf.DUMMYFUNCTION("""COMPUTED_VALUE"""),2.0)</f>
        <v>2</v>
      </c>
      <c r="F16" s="28">
        <f>IFERROR(__xludf.DUMMYFUNCTION("""COMPUTED_VALUE"""),2.5)</f>
        <v>2.5</v>
      </c>
      <c r="G16" s="24">
        <f>IFERROR(__xludf.DUMMYFUNCTION("""COMPUTED_VALUE"""),4.5)</f>
        <v>4.5</v>
      </c>
      <c r="H16" s="24"/>
      <c r="I16" s="24"/>
      <c r="J16" s="24"/>
      <c r="K16" s="24" t="s">
        <v>44</v>
      </c>
      <c r="L16" s="24">
        <v>1.0</v>
      </c>
      <c r="M16" s="24" t="s">
        <v>45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tr">
        <f>IFERROR(__xludf.DUMMYFUNCTION("""COMPUTED_VALUE"""),"Palo Alto A")</f>
        <v>Palo Alto A</v>
      </c>
      <c r="B17" s="27">
        <f>IFERROR(__xludf.DUMMYFUNCTION("""COMPUTED_VALUE"""),6.0)</f>
        <v>6</v>
      </c>
      <c r="C17" s="27">
        <f>IFERROR(__xludf.DUMMYFUNCTION("""COMPUTED_VALUE"""),1.5)</f>
        <v>1.5</v>
      </c>
      <c r="D17" s="27">
        <f>IFERROR(__xludf.DUMMYFUNCTION("""COMPUTED_VALUE"""),0.0)</f>
        <v>0</v>
      </c>
      <c r="E17" s="27">
        <f>IFERROR(__xludf.DUMMYFUNCTION("""COMPUTED_VALUE"""),0.0)</f>
        <v>0</v>
      </c>
      <c r="F17" s="28">
        <f>IFERROR(__xludf.DUMMYFUNCTION("""COMPUTED_VALUE"""),0.0)</f>
        <v>0</v>
      </c>
      <c r="G17" s="24">
        <f>IFERROR(__xludf.DUMMYFUNCTION("""COMPUTED_VALUE"""),7.5)</f>
        <v>7.5</v>
      </c>
      <c r="H17" s="24"/>
      <c r="I17" s="24"/>
      <c r="J17" s="24"/>
      <c r="K17" s="24" t="s">
        <v>46</v>
      </c>
      <c r="L17" s="24">
        <v>6.0</v>
      </c>
      <c r="M17" s="24" t="s">
        <v>47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tr">
        <f>IFERROR(__xludf.DUMMYFUNCTION("""COMPUTED_VALUE"""),"Palo Alto B")</f>
        <v>Palo Alto B</v>
      </c>
      <c r="B18" s="27">
        <f>IFERROR(__xludf.DUMMYFUNCTION("""COMPUTED_VALUE"""),1.0)</f>
        <v>1</v>
      </c>
      <c r="C18" s="27">
        <f>IFERROR(__xludf.DUMMYFUNCTION("""COMPUTED_VALUE"""),4.5)</f>
        <v>4.5</v>
      </c>
      <c r="D18" s="27">
        <f>IFERROR(__xludf.DUMMYFUNCTION("""COMPUTED_VALUE"""),0.0)</f>
        <v>0</v>
      </c>
      <c r="E18" s="27">
        <f>IFERROR(__xludf.DUMMYFUNCTION("""COMPUTED_VALUE"""),0.0)</f>
        <v>0</v>
      </c>
      <c r="F18" s="28">
        <f>IFERROR(__xludf.DUMMYFUNCTION("""COMPUTED_VALUE"""),0.0)</f>
        <v>0</v>
      </c>
      <c r="G18" s="24">
        <f>IFERROR(__xludf.DUMMYFUNCTION("""COMPUTED_VALUE"""),5.5)</f>
        <v>5.5</v>
      </c>
      <c r="H18" s="24"/>
      <c r="I18" s="24"/>
      <c r="J18" s="24"/>
      <c r="K18" s="24" t="s">
        <v>48</v>
      </c>
      <c r="L18" s="24">
        <v>1.0</v>
      </c>
      <c r="M18" s="24" t="s">
        <v>49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tr">
        <f>IFERROR(__xludf.DUMMYFUNCTION("""COMPUTED_VALUE"""),"California B")</f>
        <v>California B</v>
      </c>
      <c r="B19" s="27">
        <f>IFERROR(__xludf.DUMMYFUNCTION("""COMPUTED_VALUE"""),2.0)</f>
        <v>2</v>
      </c>
      <c r="C19" s="27">
        <f>IFERROR(__xludf.DUMMYFUNCTION("""COMPUTED_VALUE"""),0.0)</f>
        <v>0</v>
      </c>
      <c r="D19" s="27">
        <f>IFERROR(__xludf.DUMMYFUNCTION("""COMPUTED_VALUE"""),1.0)</f>
        <v>1</v>
      </c>
      <c r="E19" s="27">
        <f>IFERROR(__xludf.DUMMYFUNCTION("""COMPUTED_VALUE"""),1.0)</f>
        <v>1</v>
      </c>
      <c r="F19" s="28">
        <f>IFERROR(__xludf.DUMMYFUNCTION("""COMPUTED_VALUE"""),1.0)</f>
        <v>1</v>
      </c>
      <c r="G19" s="24">
        <f>IFERROR(__xludf.DUMMYFUNCTION("""COMPUTED_VALUE"""),5.0)</f>
        <v>5</v>
      </c>
      <c r="H19" s="24"/>
      <c r="I19" s="24"/>
      <c r="J19" s="24"/>
      <c r="K19" s="24" t="s">
        <v>50</v>
      </c>
      <c r="L19" s="24">
        <v>2.0</v>
      </c>
      <c r="M19" s="24" t="s">
        <v>51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tr">
        <f>IFERROR(__xludf.DUMMYFUNCTION("""COMPUTED_VALUE"""),"California A")</f>
        <v>California A</v>
      </c>
      <c r="B20" s="27">
        <f>IFERROR(__xludf.DUMMYFUNCTION("""COMPUTED_VALUE"""),0.0)</f>
        <v>0</v>
      </c>
      <c r="C20" s="27">
        <f>IFERROR(__xludf.DUMMYFUNCTION("""COMPUTED_VALUE"""),1.5)</f>
        <v>1.5</v>
      </c>
      <c r="D20" s="27">
        <f>IFERROR(__xludf.DUMMYFUNCTION("""COMPUTED_VALUE"""),0.0)</f>
        <v>0</v>
      </c>
      <c r="E20" s="27">
        <f>IFERROR(__xludf.DUMMYFUNCTION("""COMPUTED_VALUE"""),0.0)</f>
        <v>0</v>
      </c>
      <c r="F20" s="28">
        <f>IFERROR(__xludf.DUMMYFUNCTION("""COMPUTED_VALUE"""),0.0)</f>
        <v>0</v>
      </c>
      <c r="G20" s="24">
        <f>IFERROR(__xludf.DUMMYFUNCTION("""COMPUTED_VALUE"""),1.5)</f>
        <v>1.5</v>
      </c>
      <c r="H20" s="24"/>
      <c r="I20" s="24"/>
      <c r="J20" s="24"/>
      <c r="K20" s="24" t="s">
        <v>52</v>
      </c>
      <c r="L20" s="24">
        <v>0.0</v>
      </c>
      <c r="M20" s="24" t="s">
        <v>53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tr">
        <f>IFERROR(__xludf.DUMMYFUNCTION("""COMPUTED_VALUE"""),"Arnold O. Beckman A")</f>
        <v>Arnold O. Beckman A</v>
      </c>
      <c r="B21" s="27">
        <f>IFERROR(__xludf.DUMMYFUNCTION("""COMPUTED_VALUE"""),1.0)</f>
        <v>1</v>
      </c>
      <c r="C21" s="27">
        <f>IFERROR(__xludf.DUMMYFUNCTION("""COMPUTED_VALUE"""),1.0)</f>
        <v>1</v>
      </c>
      <c r="D21" s="27">
        <f>IFERROR(__xludf.DUMMYFUNCTION("""COMPUTED_VALUE"""),1.0)</f>
        <v>1</v>
      </c>
      <c r="E21" s="27">
        <f>IFERROR(__xludf.DUMMYFUNCTION("""COMPUTED_VALUE"""),0.0)</f>
        <v>0</v>
      </c>
      <c r="F21" s="28"/>
      <c r="G21" s="24">
        <f>IFERROR(__xludf.DUMMYFUNCTION("""COMPUTED_VALUE"""),3.0)</f>
        <v>3</v>
      </c>
      <c r="H21" s="24"/>
      <c r="I21" s="24"/>
      <c r="J21" s="24"/>
      <c r="K21" s="24" t="s">
        <v>54</v>
      </c>
      <c r="L21" s="24">
        <v>1.0</v>
      </c>
      <c r="M21" s="24" t="s">
        <v>55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tr">
        <f>IFERROR(__xludf.DUMMYFUNCTION("""COMPUTED_VALUE"""),"Archbishop Mitty A")</f>
        <v>Archbishop Mitty A</v>
      </c>
      <c r="B22" s="27">
        <f>IFERROR(__xludf.DUMMYFUNCTION("""COMPUTED_VALUE"""),4.5)</f>
        <v>4.5</v>
      </c>
      <c r="C22" s="27">
        <f>IFERROR(__xludf.DUMMYFUNCTION("""COMPUTED_VALUE"""),0.0)</f>
        <v>0</v>
      </c>
      <c r="D22" s="27">
        <f>IFERROR(__xludf.DUMMYFUNCTION("""COMPUTED_VALUE"""),1.5)</f>
        <v>1.5</v>
      </c>
      <c r="E22" s="27">
        <f>IFERROR(__xludf.DUMMYFUNCTION("""COMPUTED_VALUE"""),0.0)</f>
        <v>0</v>
      </c>
      <c r="F22" s="28"/>
      <c r="G22" s="24">
        <f>IFERROR(__xludf.DUMMYFUNCTION("""COMPUTED_VALUE"""),6.0)</f>
        <v>6</v>
      </c>
      <c r="H22" s="24"/>
      <c r="I22" s="24"/>
      <c r="J22" s="24"/>
      <c r="K22" s="24" t="s">
        <v>56</v>
      </c>
      <c r="L22" s="24">
        <v>4.5</v>
      </c>
      <c r="M22" s="24" t="s">
        <v>57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tr">
        <f>IFERROR(__xludf.DUMMYFUNCTION("""COMPUTED_VALUE"""),"Archbishop Mitty B")</f>
        <v>Archbishop Mitty B</v>
      </c>
      <c r="B23" s="27">
        <f>IFERROR(__xludf.DUMMYFUNCTION("""COMPUTED_VALUE"""),0.0)</f>
        <v>0</v>
      </c>
      <c r="C23" s="27">
        <f>IFERROR(__xludf.DUMMYFUNCTION("""COMPUTED_VALUE"""),1.0)</f>
        <v>1</v>
      </c>
      <c r="D23" s="27">
        <f>IFERROR(__xludf.DUMMYFUNCTION("""COMPUTED_VALUE"""),1.5)</f>
        <v>1.5</v>
      </c>
      <c r="E23" s="27">
        <f>IFERROR(__xludf.DUMMYFUNCTION("""COMPUTED_VALUE"""),1.0)</f>
        <v>1</v>
      </c>
      <c r="F23" s="28"/>
      <c r="G23" s="24">
        <f>IFERROR(__xludf.DUMMYFUNCTION("""COMPUTED_VALUE"""),3.5)</f>
        <v>3.5</v>
      </c>
      <c r="H23" s="24"/>
      <c r="I23" s="24"/>
      <c r="J23" s="24"/>
      <c r="K23" s="24" t="s">
        <v>58</v>
      </c>
      <c r="L23" s="24">
        <v>0.0</v>
      </c>
      <c r="M23" s="24" t="s">
        <v>59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6" t="str">
        <f>IFERROR(__xludf.DUMMYFUNCTION("""COMPUTED_VALUE"""),"Mission San Jose A")</f>
        <v>Mission San Jose A</v>
      </c>
      <c r="B24" s="27">
        <f>IFERROR(__xludf.DUMMYFUNCTION("""COMPUTED_VALUE"""),0.0)</f>
        <v>0</v>
      </c>
      <c r="C24" s="27">
        <f>IFERROR(__xludf.DUMMYFUNCTION("""COMPUTED_VALUE"""),1.5)</f>
        <v>1.5</v>
      </c>
      <c r="D24" s="27">
        <f>IFERROR(__xludf.DUMMYFUNCTION("""COMPUTED_VALUE"""),0.0)</f>
        <v>0</v>
      </c>
      <c r="E24" s="27">
        <f>IFERROR(__xludf.DUMMYFUNCTION("""COMPUTED_VALUE"""),15.5)</f>
        <v>15.5</v>
      </c>
      <c r="F24" s="28">
        <f>IFERROR(__xludf.DUMMYFUNCTION("""COMPUTED_VALUE"""),0.0)</f>
        <v>0</v>
      </c>
      <c r="G24" s="24">
        <f>IFERROR(__xludf.DUMMYFUNCTION("""COMPUTED_VALUE"""),17.0)</f>
        <v>17</v>
      </c>
      <c r="H24" s="24"/>
      <c r="I24" s="24"/>
      <c r="J24" s="24"/>
      <c r="K24" s="24" t="s">
        <v>60</v>
      </c>
      <c r="L24" s="24">
        <v>0.0</v>
      </c>
      <c r="M24" s="24" t="s">
        <v>61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6" t="str">
        <f>IFERROR(__xludf.DUMMYFUNCTION("""COMPUTED_VALUE"""),"Mission San Jose B")</f>
        <v>Mission San Jose B</v>
      </c>
      <c r="B25" s="27">
        <f>IFERROR(__xludf.DUMMYFUNCTION("""COMPUTED_VALUE"""),4.0)</f>
        <v>4</v>
      </c>
      <c r="C25" s="27">
        <f>IFERROR(__xludf.DUMMYFUNCTION("""COMPUTED_VALUE"""),7.5)</f>
        <v>7.5</v>
      </c>
      <c r="D25" s="27">
        <f>IFERROR(__xludf.DUMMYFUNCTION("""COMPUTED_VALUE"""),0.0)</f>
        <v>0</v>
      </c>
      <c r="E25" s="27">
        <f>IFERROR(__xludf.DUMMYFUNCTION("""COMPUTED_VALUE"""),1.5)</f>
        <v>1.5</v>
      </c>
      <c r="F25" s="28">
        <f>IFERROR(__xludf.DUMMYFUNCTION("""COMPUTED_VALUE"""),-1.0)</f>
        <v>-1</v>
      </c>
      <c r="G25" s="24">
        <f>IFERROR(__xludf.DUMMYFUNCTION("""COMPUTED_VALUE"""),12.0)</f>
        <v>12</v>
      </c>
      <c r="H25" s="24"/>
      <c r="I25" s="24"/>
      <c r="J25" s="24"/>
      <c r="K25" s="24" t="s">
        <v>62</v>
      </c>
      <c r="L25" s="24">
        <v>4.0</v>
      </c>
      <c r="M25" s="24" t="s">
        <v>63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6" t="str">
        <f>IFERROR(__xludf.DUMMYFUNCTION("""COMPUTED_VALUE"""),"Stanford Online")</f>
        <v>Stanford Online</v>
      </c>
      <c r="B26" s="27">
        <f>IFERROR(__xludf.DUMMYFUNCTION("""COMPUTED_VALUE"""),2.5)</f>
        <v>2.5</v>
      </c>
      <c r="C26" s="27">
        <f>IFERROR(__xludf.DUMMYFUNCTION("""COMPUTED_VALUE"""),1.0)</f>
        <v>1</v>
      </c>
      <c r="D26" s="27">
        <f>IFERROR(__xludf.DUMMYFUNCTION("""COMPUTED_VALUE"""),0.0)</f>
        <v>0</v>
      </c>
      <c r="E26" s="27">
        <f>IFERROR(__xludf.DUMMYFUNCTION("""COMPUTED_VALUE"""),0.0)</f>
        <v>0</v>
      </c>
      <c r="F26" s="28"/>
      <c r="G26" s="24">
        <f>IFERROR(__xludf.DUMMYFUNCTION("""COMPUTED_VALUE"""),3.5)</f>
        <v>3.5</v>
      </c>
      <c r="H26" s="24"/>
      <c r="I26" s="24"/>
      <c r="J26" s="24"/>
      <c r="K26" s="24" t="s">
        <v>64</v>
      </c>
      <c r="L26" s="24">
        <v>2.5</v>
      </c>
      <c r="M26" s="24" t="s">
        <v>65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tr">
        <f>IFERROR(__xludf.DUMMYFUNCTION("""COMPUTED_VALUE"""),"Cupertino A")</f>
        <v>Cupertino A</v>
      </c>
      <c r="B27" s="27">
        <f>IFERROR(__xludf.DUMMYFUNCTION("""COMPUTED_VALUE"""),1.5)</f>
        <v>1.5</v>
      </c>
      <c r="C27" s="27">
        <f>IFERROR(__xludf.DUMMYFUNCTION("""COMPUTED_VALUE"""),10.5)</f>
        <v>10.5</v>
      </c>
      <c r="D27" s="27">
        <f>IFERROR(__xludf.DUMMYFUNCTION("""COMPUTED_VALUE"""),0.0)</f>
        <v>0</v>
      </c>
      <c r="E27" s="27">
        <f>IFERROR(__xludf.DUMMYFUNCTION("""COMPUTED_VALUE"""),0.0)</f>
        <v>0</v>
      </c>
      <c r="F27" s="28">
        <f>IFERROR(__xludf.DUMMYFUNCTION("""COMPUTED_VALUE"""),0.0)</f>
        <v>0</v>
      </c>
      <c r="G27" s="24">
        <f>IFERROR(__xludf.DUMMYFUNCTION("""COMPUTED_VALUE"""),12.0)</f>
        <v>12</v>
      </c>
      <c r="H27" s="24"/>
      <c r="I27" s="24"/>
      <c r="J27" s="24"/>
      <c r="K27" s="24" t="s">
        <v>9</v>
      </c>
      <c r="L27" s="24">
        <v>1.5</v>
      </c>
      <c r="M27" s="24" t="s">
        <v>66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6" t="str">
        <f>IFERROR(__xludf.DUMMYFUNCTION("""COMPUTED_VALUE"""),"Cupertino B")</f>
        <v>Cupertino B</v>
      </c>
      <c r="B28" s="27">
        <f>IFERROR(__xludf.DUMMYFUNCTION("""COMPUTED_VALUE"""),1.0)</f>
        <v>1</v>
      </c>
      <c r="C28" s="27">
        <f>IFERROR(__xludf.DUMMYFUNCTION("""COMPUTED_VALUE"""),0.0)</f>
        <v>0</v>
      </c>
      <c r="D28" s="27">
        <f>IFERROR(__xludf.DUMMYFUNCTION("""COMPUTED_VALUE"""),0.0)</f>
        <v>0</v>
      </c>
      <c r="E28" s="27">
        <f>IFERROR(__xludf.DUMMYFUNCTION("""COMPUTED_VALUE"""),0.0)</f>
        <v>0</v>
      </c>
      <c r="F28" s="28">
        <f>IFERROR(__xludf.DUMMYFUNCTION("""COMPUTED_VALUE"""),0.0)</f>
        <v>0</v>
      </c>
      <c r="G28" s="24">
        <f>IFERROR(__xludf.DUMMYFUNCTION("""COMPUTED_VALUE"""),1.0)</f>
        <v>1</v>
      </c>
      <c r="H28" s="24"/>
      <c r="I28" s="24"/>
      <c r="J28" s="24"/>
      <c r="K28" s="24" t="s">
        <v>67</v>
      </c>
      <c r="L28" s="24">
        <v>1.0</v>
      </c>
      <c r="M28" s="24" t="s">
        <v>68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6" t="str">
        <f>IFERROR(__xludf.DUMMYFUNCTION("""COMPUTED_VALUE"""),"Monta Vista A")</f>
        <v>Monta Vista A</v>
      </c>
      <c r="B29" s="27">
        <f>IFERROR(__xludf.DUMMYFUNCTION("""COMPUTED_VALUE"""),0.0)</f>
        <v>0</v>
      </c>
      <c r="C29" s="27">
        <f>IFERROR(__xludf.DUMMYFUNCTION("""COMPUTED_VALUE"""),5.5)</f>
        <v>5.5</v>
      </c>
      <c r="D29" s="27">
        <f>IFERROR(__xludf.DUMMYFUNCTION("""COMPUTED_VALUE"""),0.0)</f>
        <v>0</v>
      </c>
      <c r="E29" s="27">
        <f>IFERROR(__xludf.DUMMYFUNCTION("""COMPUTED_VALUE"""),3.5)</f>
        <v>3.5</v>
      </c>
      <c r="F29" s="28">
        <f>IFERROR(__xludf.DUMMYFUNCTION("""COMPUTED_VALUE"""),0.0)</f>
        <v>0</v>
      </c>
      <c r="G29" s="24">
        <f>IFERROR(__xludf.DUMMYFUNCTION("""COMPUTED_VALUE"""),9.0)</f>
        <v>9</v>
      </c>
      <c r="H29" s="24"/>
      <c r="I29" s="24"/>
      <c r="J29" s="24"/>
      <c r="K29" s="24" t="s">
        <v>69</v>
      </c>
      <c r="L29" s="24">
        <v>0.0</v>
      </c>
      <c r="M29" s="24" t="s">
        <v>70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6" t="str">
        <f>IFERROR(__xludf.DUMMYFUNCTION("""COMPUTED_VALUE"""),"Monta Vista B")</f>
        <v>Monta Vista B</v>
      </c>
      <c r="B30" s="27">
        <f>IFERROR(__xludf.DUMMYFUNCTION("""COMPUTED_VALUE"""),0.0)</f>
        <v>0</v>
      </c>
      <c r="C30" s="27">
        <f>IFERROR(__xludf.DUMMYFUNCTION("""COMPUTED_VALUE"""),5.0)</f>
        <v>5</v>
      </c>
      <c r="D30" s="27">
        <f>IFERROR(__xludf.DUMMYFUNCTION("""COMPUTED_VALUE"""),0.0)</f>
        <v>0</v>
      </c>
      <c r="E30" s="27">
        <f>IFERROR(__xludf.DUMMYFUNCTION("""COMPUTED_VALUE"""),0.0)</f>
        <v>0</v>
      </c>
      <c r="F30" s="28">
        <f>IFERROR(__xludf.DUMMYFUNCTION("""COMPUTED_VALUE"""),0.0)</f>
        <v>0</v>
      </c>
      <c r="G30" s="24">
        <f>IFERROR(__xludf.DUMMYFUNCTION("""COMPUTED_VALUE"""),5.0)</f>
        <v>5</v>
      </c>
      <c r="H30" s="24"/>
      <c r="I30" s="24"/>
      <c r="J30" s="24"/>
      <c r="K30" s="24" t="s">
        <v>71</v>
      </c>
      <c r="L30" s="24">
        <v>0.0</v>
      </c>
      <c r="M30" s="24" t="s">
        <v>72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6" t="str">
        <f>IFERROR(__xludf.DUMMYFUNCTION("""COMPUTED_VALUE"""),"North Hollywood")</f>
        <v>North Hollywood</v>
      </c>
      <c r="B31" s="27">
        <f>IFERROR(__xludf.DUMMYFUNCTION("""COMPUTED_VALUE"""),0.0)</f>
        <v>0</v>
      </c>
      <c r="C31" s="27">
        <f>IFERROR(__xludf.DUMMYFUNCTION("""COMPUTED_VALUE"""),3.5)</f>
        <v>3.5</v>
      </c>
      <c r="D31" s="27">
        <f>IFERROR(__xludf.DUMMYFUNCTION("""COMPUTED_VALUE"""),0.0)</f>
        <v>0</v>
      </c>
      <c r="E31" s="27">
        <f>IFERROR(__xludf.DUMMYFUNCTION("""COMPUTED_VALUE"""),3.5)</f>
        <v>3.5</v>
      </c>
      <c r="F31" s="28"/>
      <c r="G31" s="24">
        <f>IFERROR(__xludf.DUMMYFUNCTION("""COMPUTED_VALUE"""),7.0)</f>
        <v>7</v>
      </c>
      <c r="H31" s="24"/>
      <c r="I31" s="24"/>
      <c r="J31" s="24"/>
      <c r="K31" s="24" t="s">
        <v>73</v>
      </c>
      <c r="L31" s="24">
        <v>0.0</v>
      </c>
      <c r="M31" s="24" t="s">
        <v>74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tr">
        <f>IFERROR(__xludf.DUMMYFUNCTION("""COMPUTED_VALUE"""),"Dougherty Valley A")</f>
        <v>Dougherty Valley A</v>
      </c>
      <c r="B32" s="27">
        <f>IFERROR(__xludf.DUMMYFUNCTION("""COMPUTED_VALUE"""),2.0)</f>
        <v>2</v>
      </c>
      <c r="C32" s="27">
        <f>IFERROR(__xludf.DUMMYFUNCTION("""COMPUTED_VALUE"""),3.0)</f>
        <v>3</v>
      </c>
      <c r="D32" s="27">
        <f>IFERROR(__xludf.DUMMYFUNCTION("""COMPUTED_VALUE"""),0.0)</f>
        <v>0</v>
      </c>
      <c r="E32" s="27">
        <f>IFERROR(__xludf.DUMMYFUNCTION("""COMPUTED_VALUE"""),1.0)</f>
        <v>1</v>
      </c>
      <c r="F32" s="28"/>
      <c r="G32" s="24">
        <f>IFERROR(__xludf.DUMMYFUNCTION("""COMPUTED_VALUE"""),6.0)</f>
        <v>6</v>
      </c>
      <c r="H32" s="24"/>
      <c r="I32" s="24"/>
      <c r="J32" s="24"/>
      <c r="K32" s="24" t="s">
        <v>75</v>
      </c>
      <c r="L32" s="24">
        <v>2.0</v>
      </c>
      <c r="M32" s="24" t="s">
        <v>76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6" t="str">
        <f>IFERROR(__xludf.DUMMYFUNCTION("""COMPUTED_VALUE"""),"Dougherty Valley B")</f>
        <v>Dougherty Valley B</v>
      </c>
      <c r="B33" s="27">
        <f>IFERROR(__xludf.DUMMYFUNCTION("""COMPUTED_VALUE"""),0.0)</f>
        <v>0</v>
      </c>
      <c r="C33" s="24"/>
      <c r="D33" s="27">
        <f>IFERROR(__xludf.DUMMYFUNCTION("""COMPUTED_VALUE"""),0.0)</f>
        <v>0</v>
      </c>
      <c r="E33" s="27">
        <f>IFERROR(__xludf.DUMMYFUNCTION("""COMPUTED_VALUE"""),4.5)</f>
        <v>4.5</v>
      </c>
      <c r="F33" s="28">
        <f>IFERROR(__xludf.DUMMYFUNCTION("""COMPUTED_VALUE"""),1.0)</f>
        <v>1</v>
      </c>
      <c r="G33" s="24">
        <f>IFERROR(__xludf.DUMMYFUNCTION("""COMPUTED_VALUE"""),5.5)</f>
        <v>5.5</v>
      </c>
      <c r="H33" s="24"/>
      <c r="I33" s="24"/>
      <c r="J33" s="24"/>
      <c r="K33" s="24" t="s">
        <v>77</v>
      </c>
      <c r="L33" s="24">
        <v>0.0</v>
      </c>
      <c r="M33" s="24" t="s">
        <v>78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6" t="str">
        <f>IFERROR(__xludf.DUMMYFUNCTION("""COMPUTED_VALUE"""),"Amador Valley A")</f>
        <v>Amador Valley A</v>
      </c>
      <c r="B34" s="27">
        <f>IFERROR(__xludf.DUMMYFUNCTION("""COMPUTED_VALUE"""),5.0)</f>
        <v>5</v>
      </c>
      <c r="C34" s="27">
        <f>IFERROR(__xludf.DUMMYFUNCTION("""COMPUTED_VALUE"""),6.0)</f>
        <v>6</v>
      </c>
      <c r="D34" s="27">
        <f>IFERROR(__xludf.DUMMYFUNCTION("""COMPUTED_VALUE"""),0.0)</f>
        <v>0</v>
      </c>
      <c r="E34" s="27">
        <f>IFERROR(__xludf.DUMMYFUNCTION("""COMPUTED_VALUE"""),2.0)</f>
        <v>2</v>
      </c>
      <c r="F34" s="28">
        <f>IFERROR(__xludf.DUMMYFUNCTION("""COMPUTED_VALUE"""),0.0)</f>
        <v>0</v>
      </c>
      <c r="G34" s="24">
        <f>IFERROR(__xludf.DUMMYFUNCTION("""COMPUTED_VALUE"""),13.0)</f>
        <v>13</v>
      </c>
      <c r="H34" s="24"/>
      <c r="I34" s="24"/>
      <c r="J34" s="24"/>
      <c r="K34" s="24" t="s">
        <v>79</v>
      </c>
      <c r="L34" s="24">
        <v>5.0</v>
      </c>
      <c r="M34" s="24" t="s">
        <v>80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6" t="str">
        <f>IFERROR(__xludf.DUMMYFUNCTION("""COMPUTED_VALUE"""),"Amador Valley B")</f>
        <v>Amador Valley B</v>
      </c>
      <c r="B35" s="27">
        <f>IFERROR(__xludf.DUMMYFUNCTION("""COMPUTED_VALUE"""),-1.0)</f>
        <v>-1</v>
      </c>
      <c r="C35" s="27">
        <f>IFERROR(__xludf.DUMMYFUNCTION("""COMPUTED_VALUE"""),1.0)</f>
        <v>1</v>
      </c>
      <c r="D35" s="27">
        <f>IFERROR(__xludf.DUMMYFUNCTION("""COMPUTED_VALUE"""),3.0)</f>
        <v>3</v>
      </c>
      <c r="E35" s="27">
        <f>IFERROR(__xludf.DUMMYFUNCTION("""COMPUTED_VALUE"""),1.0)</f>
        <v>1</v>
      </c>
      <c r="F35" s="28"/>
      <c r="G35" s="24">
        <f>IFERROR(__xludf.DUMMYFUNCTION("""COMPUTED_VALUE"""),4.0)</f>
        <v>4</v>
      </c>
      <c r="H35" s="24"/>
      <c r="I35" s="24"/>
      <c r="J35" s="24"/>
      <c r="K35" s="24" t="s">
        <v>81</v>
      </c>
      <c r="L35" s="24">
        <v>-1.0</v>
      </c>
      <c r="M35" s="24" t="s">
        <v>82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6" t="str">
        <f>IFERROR(__xludf.DUMMYFUNCTION("""COMPUTED_VALUE"""),"Lynbrook A")</f>
        <v>Lynbrook A</v>
      </c>
      <c r="B36" s="27">
        <f>IFERROR(__xludf.DUMMYFUNCTION("""COMPUTED_VALUE"""),1.5)</f>
        <v>1.5</v>
      </c>
      <c r="C36" s="27">
        <f>IFERROR(__xludf.DUMMYFUNCTION("""COMPUTED_VALUE"""),1.5)</f>
        <v>1.5</v>
      </c>
      <c r="D36" s="27">
        <f>IFERROR(__xludf.DUMMYFUNCTION("""COMPUTED_VALUE"""),9.5)</f>
        <v>9.5</v>
      </c>
      <c r="E36" s="27">
        <f>IFERROR(__xludf.DUMMYFUNCTION("""COMPUTED_VALUE"""),0.5)</f>
        <v>0.5</v>
      </c>
      <c r="F36" s="28">
        <f>IFERROR(__xludf.DUMMYFUNCTION("""COMPUTED_VALUE"""),2.0)</f>
        <v>2</v>
      </c>
      <c r="G36" s="24">
        <f>IFERROR(__xludf.DUMMYFUNCTION("""COMPUTED_VALUE"""),15.0)</f>
        <v>15</v>
      </c>
      <c r="H36" s="24"/>
      <c r="I36" s="24"/>
      <c r="J36" s="24"/>
      <c r="K36" s="24" t="s">
        <v>83</v>
      </c>
      <c r="L36" s="24">
        <v>1.5</v>
      </c>
      <c r="M36" s="24" t="s">
        <v>84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6" t="str">
        <f>IFERROR(__xludf.DUMMYFUNCTION("""COMPUTED_VALUE"""),"Lynbrook B")</f>
        <v>Lynbrook B</v>
      </c>
      <c r="B37" s="23">
        <f>IFERROR(__xludf.DUMMYFUNCTION("""COMPUTED_VALUE"""),0.0)</f>
        <v>0</v>
      </c>
      <c r="C37" s="23">
        <f>IFERROR(__xludf.DUMMYFUNCTION("""COMPUTED_VALUE"""),2.5)</f>
        <v>2.5</v>
      </c>
      <c r="D37" s="23">
        <f>IFERROR(__xludf.DUMMYFUNCTION("""COMPUTED_VALUE"""),0.0)</f>
        <v>0</v>
      </c>
      <c r="E37" s="23">
        <f>IFERROR(__xludf.DUMMYFUNCTION("""COMPUTED_VALUE"""),6.0)</f>
        <v>6</v>
      </c>
      <c r="F37" s="31">
        <f>IFERROR(__xludf.DUMMYFUNCTION("""COMPUTED_VALUE"""),2.0)</f>
        <v>2</v>
      </c>
      <c r="G37" s="24">
        <f>IFERROR(__xludf.DUMMYFUNCTION("""COMPUTED_VALUE"""),10.5)</f>
        <v>10.5</v>
      </c>
      <c r="H37" s="24"/>
      <c r="I37" s="24"/>
      <c r="J37" s="24"/>
      <c r="K37" s="24" t="s">
        <v>85</v>
      </c>
      <c r="L37" s="24">
        <v>0.0</v>
      </c>
      <c r="M37" s="24" t="s">
        <v>86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tr">
        <f>IFERROR(__xludf.DUMMYFUNCTION("""COMPUTED_VALUE"""),"MAX Team")</f>
        <v>MAX Team</v>
      </c>
      <c r="B38" s="24" t="str">
        <f>IFERROR(__xludf.DUMMYFUNCTION("""COMPUTED_VALUE"""),"Saint Francis")</f>
        <v>Saint Francis</v>
      </c>
      <c r="C38" s="24" t="str">
        <f>IFERROR(__xludf.DUMMYFUNCTION("""COMPUTED_VALUE"""),"Canyon Crest A")</f>
        <v>Canyon Crest A</v>
      </c>
      <c r="D38" s="24" t="str">
        <f>IFERROR(__xludf.DUMMYFUNCTION("""COMPUTED_VALUE"""),"Lynbrook A")</f>
        <v>Lynbrook A</v>
      </c>
      <c r="E38" s="24" t="str">
        <f>IFERROR(__xludf.DUMMYFUNCTION("""COMPUTED_VALUE"""),"Mission San Jose A")</f>
        <v>Mission San Jose A</v>
      </c>
      <c r="F38" s="32" t="str">
        <f>IFERROR(__xludf.DUMMYFUNCTION("""COMPUTED_VALUE"""),"Mira Loma A")</f>
        <v>Mira Loma A</v>
      </c>
      <c r="G38" s="24"/>
      <c r="H38" s="24"/>
      <c r="I38" s="24"/>
      <c r="J38" s="24"/>
      <c r="K38" s="24" t="s">
        <v>87</v>
      </c>
      <c r="L38" s="24">
        <v>2.0</v>
      </c>
      <c r="M38" s="24" t="s">
        <v>88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tr">
        <f>IFERROR(__xludf.DUMMYFUNCTION("""COMPUTED_VALUE"""),"MAX Score")</f>
        <v>MAX Score</v>
      </c>
      <c r="B39" s="27">
        <f>IFERROR(__xludf.DUMMYFUNCTION("""COMPUTED_VALUE"""),9.5)</f>
        <v>9.5</v>
      </c>
      <c r="C39" s="27">
        <f>IFERROR(__xludf.DUMMYFUNCTION("""COMPUTED_VALUE"""),15.0)</f>
        <v>15</v>
      </c>
      <c r="D39" s="27">
        <f>IFERROR(__xludf.DUMMYFUNCTION("""COMPUTED_VALUE"""),9.5)</f>
        <v>9.5</v>
      </c>
      <c r="E39" s="27">
        <f>IFERROR(__xludf.DUMMYFUNCTION("""COMPUTED_VALUE"""),15.5)</f>
        <v>15.5</v>
      </c>
      <c r="F39" s="27">
        <f>IFERROR(__xludf.DUMMYFUNCTION("""COMPUTED_VALUE"""),4.5)</f>
        <v>4.5</v>
      </c>
      <c r="G39" s="24"/>
      <c r="H39" s="24"/>
      <c r="I39" s="24"/>
      <c r="J39" s="24"/>
      <c r="K39" s="24" t="s">
        <v>18</v>
      </c>
      <c r="L39" s="24">
        <v>0.0</v>
      </c>
      <c r="M39" s="24" t="s">
        <v>89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 t="s">
        <v>20</v>
      </c>
      <c r="L40" s="24">
        <v>1.0</v>
      </c>
      <c r="M40" s="24" t="s">
        <v>90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 t="s">
        <v>22</v>
      </c>
      <c r="L41" s="24">
        <v>3.0</v>
      </c>
      <c r="M41" s="24" t="s">
        <v>91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 t="s">
        <v>24</v>
      </c>
      <c r="L42" s="24">
        <v>8.5</v>
      </c>
      <c r="M42" s="24" t="s">
        <v>92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 t="s">
        <v>26</v>
      </c>
      <c r="L43" s="24">
        <v>6.0</v>
      </c>
      <c r="M43" s="24" t="s">
        <v>93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 t="s">
        <v>28</v>
      </c>
      <c r="L44" s="24">
        <v>15.0</v>
      </c>
      <c r="M44" s="24" t="s">
        <v>94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 t="s">
        <v>30</v>
      </c>
      <c r="L45" s="24">
        <v>0.0</v>
      </c>
      <c r="M45" s="24" t="s">
        <v>95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 t="s">
        <v>32</v>
      </c>
      <c r="L46" s="24">
        <v>3.0</v>
      </c>
      <c r="M46" s="24" t="s">
        <v>96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 t="s">
        <v>34</v>
      </c>
      <c r="L47" s="24">
        <v>6.5</v>
      </c>
      <c r="M47" s="24" t="s">
        <v>97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 t="s">
        <v>36</v>
      </c>
      <c r="L48" s="24">
        <v>0.0</v>
      </c>
      <c r="M48" s="24" t="s">
        <v>98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 t="s">
        <v>38</v>
      </c>
      <c r="L49" s="24">
        <v>0.0</v>
      </c>
      <c r="M49" s="24" t="s">
        <v>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 t="s">
        <v>40</v>
      </c>
      <c r="L50" s="24">
        <v>1.5</v>
      </c>
      <c r="M50" s="24" t="s">
        <v>100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 t="s">
        <v>42</v>
      </c>
      <c r="L51" s="24">
        <v>0.0</v>
      </c>
      <c r="M51" s="24" t="s">
        <v>101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 t="s">
        <v>44</v>
      </c>
      <c r="L52" s="24">
        <v>-1.0</v>
      </c>
      <c r="M52" s="24" t="s">
        <v>102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 t="s">
        <v>46</v>
      </c>
      <c r="L53" s="24">
        <v>1.5</v>
      </c>
      <c r="M53" s="24" t="s">
        <v>103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 t="s">
        <v>48</v>
      </c>
      <c r="L54" s="24">
        <v>4.5</v>
      </c>
      <c r="M54" s="24" t="s">
        <v>104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 t="s">
        <v>50</v>
      </c>
      <c r="L55" s="24">
        <v>0.0</v>
      </c>
      <c r="M55" s="24" t="s">
        <v>105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 t="s">
        <v>52</v>
      </c>
      <c r="L56" s="24">
        <v>1.5</v>
      </c>
      <c r="M56" s="24" t="s">
        <v>106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 t="s">
        <v>54</v>
      </c>
      <c r="L57" s="24">
        <v>1.0</v>
      </c>
      <c r="M57" s="24" t="s">
        <v>107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 t="s">
        <v>56</v>
      </c>
      <c r="L58" s="24">
        <v>0.0</v>
      </c>
      <c r="M58" s="24" t="s">
        <v>108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 t="s">
        <v>58</v>
      </c>
      <c r="L59" s="24">
        <v>1.0</v>
      </c>
      <c r="M59" s="24" t="s">
        <v>109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 t="s">
        <v>60</v>
      </c>
      <c r="L60" s="24">
        <v>1.5</v>
      </c>
      <c r="M60" s="24" t="s">
        <v>110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 t="s">
        <v>62</v>
      </c>
      <c r="L61" s="24">
        <v>7.5</v>
      </c>
      <c r="M61" s="24" t="s">
        <v>111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 t="s">
        <v>64</v>
      </c>
      <c r="L62" s="24">
        <v>1.0</v>
      </c>
      <c r="M62" s="24" t="s">
        <v>112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 t="s">
        <v>9</v>
      </c>
      <c r="L63" s="24">
        <v>10.5</v>
      </c>
      <c r="M63" s="24" t="s">
        <v>11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 t="s">
        <v>67</v>
      </c>
      <c r="L64" s="24">
        <v>0.0</v>
      </c>
      <c r="M64" s="24" t="s">
        <v>113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 t="s">
        <v>69</v>
      </c>
      <c r="L65" s="24">
        <v>5.5</v>
      </c>
      <c r="M65" s="24" t="s">
        <v>114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 t="s">
        <v>71</v>
      </c>
      <c r="L66" s="24">
        <v>5.0</v>
      </c>
      <c r="M66" s="24" t="s">
        <v>115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 t="s">
        <v>73</v>
      </c>
      <c r="L67" s="24">
        <v>3.5</v>
      </c>
      <c r="M67" s="24" t="s">
        <v>116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 t="s">
        <v>75</v>
      </c>
      <c r="L68" s="24">
        <v>3.0</v>
      </c>
      <c r="M68" s="24" t="s">
        <v>117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 t="s">
        <v>77</v>
      </c>
      <c r="L69" s="24"/>
      <c r="M69" s="24" t="s">
        <v>118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 t="s">
        <v>79</v>
      </c>
      <c r="L70" s="24">
        <v>6.0</v>
      </c>
      <c r="M70" s="24" t="s">
        <v>119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 t="s">
        <v>81</v>
      </c>
      <c r="L71" s="24">
        <v>1.0</v>
      </c>
      <c r="M71" s="24" t="s">
        <v>120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 t="s">
        <v>83</v>
      </c>
      <c r="L72" s="24">
        <v>1.5</v>
      </c>
      <c r="M72" s="24" t="s">
        <v>121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 t="s">
        <v>85</v>
      </c>
      <c r="L73" s="24">
        <v>2.5</v>
      </c>
      <c r="M73" s="24" t="s">
        <v>122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 t="s">
        <v>87</v>
      </c>
      <c r="L74" s="24">
        <v>0.0</v>
      </c>
      <c r="M74" s="24" t="s">
        <v>123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18</v>
      </c>
      <c r="L75" s="24">
        <v>0.0</v>
      </c>
      <c r="M75" s="24" t="s">
        <v>124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 t="s">
        <v>20</v>
      </c>
      <c r="L76" s="24">
        <v>0.0</v>
      </c>
      <c r="M76" s="24" t="s">
        <v>125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 t="s">
        <v>22</v>
      </c>
      <c r="L77" s="24">
        <v>-1.0</v>
      </c>
      <c r="M77" s="24" t="s">
        <v>126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 t="s">
        <v>24</v>
      </c>
      <c r="L78" s="24">
        <v>0.0</v>
      </c>
      <c r="M78" s="24" t="s">
        <v>127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 t="s">
        <v>26</v>
      </c>
      <c r="L79" s="24">
        <v>0.0</v>
      </c>
      <c r="M79" s="24" t="s">
        <v>128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 t="s">
        <v>28</v>
      </c>
      <c r="L80" s="24">
        <v>2.5</v>
      </c>
      <c r="M80" s="24" t="s">
        <v>129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 t="s">
        <v>30</v>
      </c>
      <c r="L81" s="24">
        <v>2.0</v>
      </c>
      <c r="M81" s="24" t="s">
        <v>130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 t="s">
        <v>32</v>
      </c>
      <c r="L82" s="24">
        <v>0.0</v>
      </c>
      <c r="M82" s="24" t="s">
        <v>131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 t="s">
        <v>34</v>
      </c>
      <c r="L83" s="24">
        <v>0.0</v>
      </c>
      <c r="M83" s="24" t="s">
        <v>132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 t="s">
        <v>36</v>
      </c>
      <c r="L84" s="24">
        <v>3.0</v>
      </c>
      <c r="M84" s="24" t="s">
        <v>133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 t="s">
        <v>38</v>
      </c>
      <c r="L85" s="24">
        <v>0.0</v>
      </c>
      <c r="M85" s="24" t="s">
        <v>134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 t="s">
        <v>40</v>
      </c>
      <c r="L86" s="24">
        <v>0.0</v>
      </c>
      <c r="M86" s="24" t="s">
        <v>135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 t="s">
        <v>42</v>
      </c>
      <c r="L87" s="24">
        <v>3.5</v>
      </c>
      <c r="M87" s="24" t="s">
        <v>136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 t="s">
        <v>44</v>
      </c>
      <c r="L88" s="24">
        <v>0.0</v>
      </c>
      <c r="M88" s="24" t="s">
        <v>137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 t="s">
        <v>46</v>
      </c>
      <c r="L89" s="24">
        <v>0.0</v>
      </c>
      <c r="M89" s="24" t="s">
        <v>138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 t="s">
        <v>48</v>
      </c>
      <c r="L90" s="24">
        <v>0.0</v>
      </c>
      <c r="M90" s="24" t="s">
        <v>139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 t="s">
        <v>50</v>
      </c>
      <c r="L91" s="24">
        <v>1.0</v>
      </c>
      <c r="M91" s="24" t="s">
        <v>140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 t="s">
        <v>52</v>
      </c>
      <c r="L92" s="24">
        <v>0.0</v>
      </c>
      <c r="M92" s="24" t="s">
        <v>141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 t="s">
        <v>54</v>
      </c>
      <c r="L93" s="24">
        <v>1.0</v>
      </c>
      <c r="M93" s="24" t="s">
        <v>142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 t="s">
        <v>56</v>
      </c>
      <c r="L94" s="24">
        <v>1.5</v>
      </c>
      <c r="M94" s="24" t="s">
        <v>143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 t="s">
        <v>58</v>
      </c>
      <c r="L95" s="24">
        <v>1.5</v>
      </c>
      <c r="M95" s="24" t="s">
        <v>144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 t="s">
        <v>60</v>
      </c>
      <c r="L96" s="24">
        <v>0.0</v>
      </c>
      <c r="M96" s="24" t="s">
        <v>145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 t="s">
        <v>62</v>
      </c>
      <c r="L97" s="24">
        <v>0.0</v>
      </c>
      <c r="M97" s="24" t="s">
        <v>146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 t="s">
        <v>64</v>
      </c>
      <c r="L98" s="24">
        <v>0.0</v>
      </c>
      <c r="M98" s="24" t="s">
        <v>147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 t="s">
        <v>9</v>
      </c>
      <c r="L99" s="24">
        <v>0.0</v>
      </c>
      <c r="M99" s="24" t="s">
        <v>12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 t="s">
        <v>67</v>
      </c>
      <c r="L100" s="24">
        <v>0.0</v>
      </c>
      <c r="M100" s="24" t="s">
        <v>148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69</v>
      </c>
      <c r="L101" s="24">
        <v>0.0</v>
      </c>
      <c r="M101" s="24" t="s">
        <v>149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 t="s">
        <v>71</v>
      </c>
      <c r="L102" s="24">
        <v>0.0</v>
      </c>
      <c r="M102" s="24" t="s">
        <v>150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 t="s">
        <v>73</v>
      </c>
      <c r="L103" s="24">
        <v>0.0</v>
      </c>
      <c r="M103" s="24" t="s">
        <v>151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 t="s">
        <v>75</v>
      </c>
      <c r="L104" s="24">
        <v>0.0</v>
      </c>
      <c r="M104" s="24" t="s">
        <v>152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 t="s">
        <v>77</v>
      </c>
      <c r="L105" s="24">
        <v>0.0</v>
      </c>
      <c r="M105" s="24" t="s">
        <v>153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 t="s">
        <v>79</v>
      </c>
      <c r="L106" s="24">
        <v>0.0</v>
      </c>
      <c r="M106" s="24" t="s">
        <v>154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 t="s">
        <v>81</v>
      </c>
      <c r="L107" s="24">
        <v>3.0</v>
      </c>
      <c r="M107" s="24" t="s">
        <v>155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 t="s">
        <v>83</v>
      </c>
      <c r="L108" s="24">
        <v>9.5</v>
      </c>
      <c r="M108" s="24" t="s">
        <v>156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 t="s">
        <v>85</v>
      </c>
      <c r="L109" s="24">
        <v>0.0</v>
      </c>
      <c r="M109" s="24" t="s">
        <v>157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 t="s">
        <v>87</v>
      </c>
      <c r="L110" s="24">
        <v>-1.0</v>
      </c>
      <c r="M110" s="24" t="s">
        <v>158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 t="s">
        <v>18</v>
      </c>
      <c r="L111" s="24">
        <v>1.5</v>
      </c>
      <c r="M111" s="24" t="s">
        <v>159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 t="s">
        <v>20</v>
      </c>
      <c r="L112" s="24">
        <v>-2.0</v>
      </c>
      <c r="M112" s="24" t="s">
        <v>160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 t="s">
        <v>22</v>
      </c>
      <c r="L113" s="24">
        <v>0.0</v>
      </c>
      <c r="M113" s="24" t="s">
        <v>161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 t="s">
        <v>24</v>
      </c>
      <c r="L114" s="24">
        <v>1.0</v>
      </c>
      <c r="M114" s="24" t="s">
        <v>162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 t="s">
        <v>26</v>
      </c>
      <c r="L115" s="24">
        <v>0.0</v>
      </c>
      <c r="M115" s="24" t="s">
        <v>163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 t="s">
        <v>28</v>
      </c>
      <c r="L116" s="24">
        <v>0.0</v>
      </c>
      <c r="M116" s="24" t="s">
        <v>164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 t="s">
        <v>30</v>
      </c>
      <c r="L117" s="24">
        <v>0.0</v>
      </c>
      <c r="M117" s="24" t="s">
        <v>165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 t="s">
        <v>32</v>
      </c>
      <c r="L118" s="24">
        <v>4.0</v>
      </c>
      <c r="M118" s="24" t="s">
        <v>166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 t="s">
        <v>34</v>
      </c>
      <c r="L119" s="24">
        <v>-1.0</v>
      </c>
      <c r="M119" s="24" t="s">
        <v>167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 t="s">
        <v>36</v>
      </c>
      <c r="L120" s="24">
        <v>0.0</v>
      </c>
      <c r="M120" s="24" t="s">
        <v>168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 t="s">
        <v>38</v>
      </c>
      <c r="L121" s="24">
        <v>2.5</v>
      </c>
      <c r="M121" s="24" t="s">
        <v>169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 t="s">
        <v>40</v>
      </c>
      <c r="L122" s="24">
        <v>12.0</v>
      </c>
      <c r="M122" s="24" t="s">
        <v>170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 t="s">
        <v>42</v>
      </c>
      <c r="L123" s="24">
        <v>1.0</v>
      </c>
      <c r="M123" s="24" t="s">
        <v>171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 t="s">
        <v>44</v>
      </c>
      <c r="L124" s="24">
        <v>2.0</v>
      </c>
      <c r="M124" s="24" t="s">
        <v>172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 t="s">
        <v>46</v>
      </c>
      <c r="L125" s="24">
        <v>0.0</v>
      </c>
      <c r="M125" s="24" t="s">
        <v>173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 t="s">
        <v>48</v>
      </c>
      <c r="L126" s="24">
        <v>0.0</v>
      </c>
      <c r="M126" s="24" t="s">
        <v>174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 t="s">
        <v>50</v>
      </c>
      <c r="L127" s="24">
        <v>1.0</v>
      </c>
      <c r="M127" s="24" t="s">
        <v>175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 t="s">
        <v>52</v>
      </c>
      <c r="L128" s="24">
        <v>0.0</v>
      </c>
      <c r="M128" s="24" t="s">
        <v>176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 t="s">
        <v>54</v>
      </c>
      <c r="L129" s="24">
        <v>0.0</v>
      </c>
      <c r="M129" s="24" t="s">
        <v>177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 t="s">
        <v>56</v>
      </c>
      <c r="L130" s="24">
        <v>0.0</v>
      </c>
      <c r="M130" s="24" t="s">
        <v>178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 t="s">
        <v>58</v>
      </c>
      <c r="L131" s="24">
        <v>1.0</v>
      </c>
      <c r="M131" s="24" t="s">
        <v>179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 t="s">
        <v>60</v>
      </c>
      <c r="L132" s="24">
        <v>15.5</v>
      </c>
      <c r="M132" s="24" t="s">
        <v>180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 t="s">
        <v>62</v>
      </c>
      <c r="L133" s="24">
        <v>1.5</v>
      </c>
      <c r="M133" s="24" t="s">
        <v>181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 t="s">
        <v>64</v>
      </c>
      <c r="L134" s="24">
        <v>0.0</v>
      </c>
      <c r="M134" s="24" t="s">
        <v>182</v>
      </c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 t="s">
        <v>9</v>
      </c>
      <c r="L135" s="24">
        <v>0.0</v>
      </c>
      <c r="M135" s="24" t="s">
        <v>13</v>
      </c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 t="s">
        <v>67</v>
      </c>
      <c r="L136" s="24">
        <v>0.0</v>
      </c>
      <c r="M136" s="24" t="s">
        <v>183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 t="s">
        <v>69</v>
      </c>
      <c r="L137" s="24">
        <v>3.5</v>
      </c>
      <c r="M137" s="24" t="s">
        <v>184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71</v>
      </c>
      <c r="L138" s="24">
        <v>0.0</v>
      </c>
      <c r="M138" s="24" t="s">
        <v>185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 t="s">
        <v>73</v>
      </c>
      <c r="L139" s="24">
        <v>3.5</v>
      </c>
      <c r="M139" s="24" t="s">
        <v>186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 t="s">
        <v>75</v>
      </c>
      <c r="L140" s="24">
        <v>1.0</v>
      </c>
      <c r="M140" s="24" t="s">
        <v>187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 t="s">
        <v>77</v>
      </c>
      <c r="L141" s="24">
        <v>4.5</v>
      </c>
      <c r="M141" s="24" t="s">
        <v>188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 t="s">
        <v>79</v>
      </c>
      <c r="L142" s="24">
        <v>2.0</v>
      </c>
      <c r="M142" s="24" t="s">
        <v>189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 t="s">
        <v>81</v>
      </c>
      <c r="L143" s="24">
        <v>1.0</v>
      </c>
      <c r="M143" s="24" t="s">
        <v>190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 t="s">
        <v>83</v>
      </c>
      <c r="L144" s="24">
        <v>0.5</v>
      </c>
      <c r="M144" s="24" t="s">
        <v>191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 t="s">
        <v>85</v>
      </c>
      <c r="L145" s="24">
        <v>6.0</v>
      </c>
      <c r="M145" s="24" t="s">
        <v>192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 t="s">
        <v>87</v>
      </c>
      <c r="L146" s="24">
        <v>0.0</v>
      </c>
      <c r="M146" s="24" t="s">
        <v>193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18</v>
      </c>
      <c r="L147" s="24">
        <v>1.0</v>
      </c>
      <c r="M147" s="24" t="s">
        <v>194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 t="s">
        <v>20</v>
      </c>
      <c r="L148" s="24">
        <v>0.0</v>
      </c>
      <c r="M148" s="24" t="s">
        <v>195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 t="s">
        <v>22</v>
      </c>
      <c r="L149" s="24">
        <v>0.0</v>
      </c>
      <c r="M149" s="24" t="s">
        <v>196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 t="s">
        <v>24</v>
      </c>
      <c r="L150" s="24">
        <v>1.5</v>
      </c>
      <c r="M150" s="24" t="s">
        <v>197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26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 t="s">
        <v>28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 t="s">
        <v>30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 t="s">
        <v>32</v>
      </c>
      <c r="L154" s="24">
        <v>4.5</v>
      </c>
      <c r="M154" s="24" t="s">
        <v>198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 t="s">
        <v>34</v>
      </c>
      <c r="L155" s="24">
        <v>0.0</v>
      </c>
      <c r="M155" s="24" t="s">
        <v>199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 t="s">
        <v>36</v>
      </c>
      <c r="L156" s="24">
        <v>0.0</v>
      </c>
      <c r="M156" s="24" t="s">
        <v>200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 t="s">
        <v>38</v>
      </c>
      <c r="L157" s="24">
        <v>0.0</v>
      </c>
      <c r="M157" s="24" t="s">
        <v>201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 t="s">
        <v>40</v>
      </c>
      <c r="L158" s="24">
        <v>0.0</v>
      </c>
      <c r="M158" s="24" t="s">
        <v>202</v>
      </c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 t="s">
        <v>42</v>
      </c>
      <c r="L159" s="24">
        <v>1.5</v>
      </c>
      <c r="M159" s="24" t="s">
        <v>203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 t="s">
        <v>44</v>
      </c>
      <c r="L160" s="24">
        <v>2.5</v>
      </c>
      <c r="M160" s="24" t="s">
        <v>204</v>
      </c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 t="s">
        <v>46</v>
      </c>
      <c r="L161" s="24">
        <v>0.0</v>
      </c>
      <c r="M161" s="24" t="s">
        <v>205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 t="s">
        <v>48</v>
      </c>
      <c r="L162" s="24">
        <v>0.0</v>
      </c>
      <c r="M162" s="24" t="s">
        <v>206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 t="s">
        <v>50</v>
      </c>
      <c r="L163" s="24">
        <v>1.0</v>
      </c>
      <c r="M163" s="24" t="s">
        <v>207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 t="s">
        <v>52</v>
      </c>
      <c r="L164" s="24">
        <v>0.0</v>
      </c>
      <c r="M164" s="24" t="s">
        <v>208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 t="s">
        <v>54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 t="s">
        <v>56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 t="s">
        <v>58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 t="s">
        <v>60</v>
      </c>
      <c r="L168" s="24">
        <v>0.0</v>
      </c>
      <c r="M168" s="24" t="s">
        <v>209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 t="s">
        <v>62</v>
      </c>
      <c r="L169" s="24">
        <v>-1.0</v>
      </c>
      <c r="M169" s="24" t="s">
        <v>210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 t="s">
        <v>64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 t="s">
        <v>9</v>
      </c>
      <c r="L171" s="24">
        <v>0.0</v>
      </c>
      <c r="M171" s="24" t="s">
        <v>14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 t="s">
        <v>67</v>
      </c>
      <c r="L172" s="24">
        <v>0.0</v>
      </c>
      <c r="M172" s="24" t="s">
        <v>211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 t="s">
        <v>69</v>
      </c>
      <c r="L173" s="24">
        <v>0.0</v>
      </c>
      <c r="M173" s="24" t="s">
        <v>212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 t="s">
        <v>71</v>
      </c>
      <c r="L174" s="24">
        <v>0.0</v>
      </c>
      <c r="M174" s="24" t="s">
        <v>213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 t="s">
        <v>73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 t="s">
        <v>75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 t="s">
        <v>77</v>
      </c>
      <c r="L177" s="24">
        <v>1.0</v>
      </c>
      <c r="M177" s="24" t="s">
        <v>214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79</v>
      </c>
      <c r="L178" s="24">
        <v>0.0</v>
      </c>
      <c r="M178" s="24" t="s">
        <v>215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 t="s">
        <v>81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 t="s">
        <v>83</v>
      </c>
      <c r="L180" s="24">
        <v>2.0</v>
      </c>
      <c r="M180" s="24" t="s">
        <v>216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 t="s">
        <v>85</v>
      </c>
      <c r="L181" s="24">
        <v>2.0</v>
      </c>
      <c r="M181" s="24" t="s">
        <v>217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2">
        <f>IFERROR(__xludf.DUMMYFUNCTION("IMPORTRANGE(""https://docs.google.com/spreadsheets/d/1hF3sefURNb_ssJk7SkIRKX6ByBcDxRkk4SZazZtucFY/edit#gid=82493956"",""Energy MVP!A1:I"")"),4.0)</f>
        <v>4</v>
      </c>
      <c r="B1" s="23">
        <f>IFERROR(__xludf.DUMMYFUNCTION("""COMPUTED_VALUE"""),1.0)</f>
        <v>1</v>
      </c>
      <c r="C1" s="23">
        <f>IFERROR(__xludf.DUMMYFUNCTION("""COMPUTED_VALUE"""),2.0)</f>
        <v>2</v>
      </c>
      <c r="D1" s="23">
        <f>IFERROR(__xludf.DUMMYFUNCTION("""COMPUTED_VALUE"""),3.0)</f>
        <v>3</v>
      </c>
      <c r="E1" s="23">
        <f>IFERROR(__xludf.DUMMYFUNCTION("""COMPUTED_VALUE"""),4.0)</f>
        <v>4</v>
      </c>
      <c r="F1" s="23">
        <f>IFERROR(__xludf.DUMMYFUNCTION("""COMPUTED_VALUE"""),5.0)</f>
        <v>5</v>
      </c>
      <c r="G1" s="24" t="str">
        <f>IFERROR(__xludf.DUMMYFUNCTION("""COMPUTED_VALUE"""),"All")</f>
        <v>All</v>
      </c>
      <c r="H1" s="24"/>
      <c r="I1" s="25" t="str">
        <f>IFERROR(__xludf.DUMMYFUNCTION("""COMPUTED_VALUE"""),"Energy MVP:")</f>
        <v>Energy MVP: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6" t="str">
        <f>IFERROR(__xludf.DUMMYFUNCTION("""COMPUTED_VALUE"""),"Abraham Lincoln")</f>
        <v>Abraham Lincoln</v>
      </c>
      <c r="B2" s="27">
        <f>IFERROR(__xludf.DUMMYFUNCTION("""COMPUTED_VALUE"""),0.0)</f>
        <v>0</v>
      </c>
      <c r="C2" s="27">
        <f>IFERROR(__xludf.DUMMYFUNCTION("""COMPUTED_VALUE"""),0.0)</f>
        <v>0</v>
      </c>
      <c r="D2" s="27">
        <f>IFERROR(__xludf.DUMMYFUNCTION("""COMPUTED_VALUE"""),0.0)</f>
        <v>0</v>
      </c>
      <c r="E2" s="27">
        <f>IFERROR(__xludf.DUMMYFUNCTION("""COMPUTED_VALUE"""),3.0)</f>
        <v>3</v>
      </c>
      <c r="F2" s="28">
        <f>IFERROR(__xludf.DUMMYFUNCTION("""COMPUTED_VALUE"""),0.0)</f>
        <v>0</v>
      </c>
      <c r="G2" s="24">
        <f>IFERROR(__xludf.DUMMYFUNCTION("""COMPUTED_VALUE"""),3.0)</f>
        <v>3</v>
      </c>
      <c r="H2" s="24" t="str">
        <f>IFERROR(__xludf.DUMMYFUNCTION("""COMPUTED_VALUE"""),"Mira Loma A")</f>
        <v>Mira Loma A</v>
      </c>
      <c r="I2" s="29" t="str">
        <f>IFERROR(__xludf.DUMMYFUNCTION("""COMPUTED_VALUE"""),"Aatreyo Bhattacharyya ")</f>
        <v>Aatreyo Bhattacharyya </v>
      </c>
      <c r="J2" s="24"/>
      <c r="K2" s="24" t="str">
        <f t="array" ref="K2:M181">{A2:A37,B2:B37,'Check-in Import'!E2:E37;A2:A37,C2:C37,'Check-in Import'!F2:F37;A2:A37,D2:D37,'Check-in Import'!G2:G37;A2:A37,E2:E37,'Check-in Import'!H2:H37;A2:A37,F2:F37,'Check-in Import'!I2:I37}</f>
        <v>Abraham Lincoln</v>
      </c>
      <c r="L2" s="24">
        <v>0.0</v>
      </c>
      <c r="M2" s="24" t="s">
        <v>17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6" t="str">
        <f>IFERROR(__xludf.DUMMYFUNCTION("""COMPUTED_VALUE"""),"Saratoga")</f>
        <v>Saratoga</v>
      </c>
      <c r="B3" s="27">
        <f>IFERROR(__xludf.DUMMYFUNCTION("""COMPUTED_VALUE"""),6.0)</f>
        <v>6</v>
      </c>
      <c r="C3" s="27">
        <f>IFERROR(__xludf.DUMMYFUNCTION("""COMPUTED_VALUE"""),3.0)</f>
        <v>3</v>
      </c>
      <c r="D3" s="27">
        <f>IFERROR(__xludf.DUMMYFUNCTION("""COMPUTED_VALUE"""),0.0)</f>
        <v>0</v>
      </c>
      <c r="E3" s="27">
        <f>IFERROR(__xludf.DUMMYFUNCTION("""COMPUTED_VALUE"""),0.0)</f>
        <v>0</v>
      </c>
      <c r="F3" s="28">
        <f>IFERROR(__xludf.DUMMYFUNCTION("""COMPUTED_VALUE"""),2.5)</f>
        <v>2.5</v>
      </c>
      <c r="G3" s="24">
        <f>IFERROR(__xludf.DUMMYFUNCTION("""COMPUTED_VALUE"""),11.5)</f>
        <v>11.5</v>
      </c>
      <c r="H3" s="27">
        <f>IFERROR(__xludf.DUMMYFUNCTION("""COMPUTED_VALUE"""),9.0)</f>
        <v>9</v>
      </c>
      <c r="I3" s="24"/>
      <c r="J3" s="24"/>
      <c r="K3" s="24" t="s">
        <v>18</v>
      </c>
      <c r="L3" s="24">
        <v>6.0</v>
      </c>
      <c r="M3" s="24" t="s"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tr">
        <f>IFERROR(__xludf.DUMMYFUNCTION("""COMPUTED_VALUE"""),"Irvington")</f>
        <v>Irvington</v>
      </c>
      <c r="B4" s="27">
        <f>IFERROR(__xludf.DUMMYFUNCTION("""COMPUTED_VALUE"""),0.0)</f>
        <v>0</v>
      </c>
      <c r="C4" s="27">
        <f>IFERROR(__xludf.DUMMYFUNCTION("""COMPUTED_VALUE"""),2.5)</f>
        <v>2.5</v>
      </c>
      <c r="D4" s="27">
        <f>IFERROR(__xludf.DUMMYFUNCTION("""COMPUTED_VALUE"""),0.0)</f>
        <v>0</v>
      </c>
      <c r="E4" s="27">
        <f>IFERROR(__xludf.DUMMYFUNCTION("""COMPUTED_VALUE"""),2.0)</f>
        <v>2</v>
      </c>
      <c r="F4" s="28">
        <f>IFERROR(__xludf.DUMMYFUNCTION("""COMPUTED_VALUE"""),0.0)</f>
        <v>0</v>
      </c>
      <c r="G4" s="24">
        <f>IFERROR(__xludf.DUMMYFUNCTION("""COMPUTED_VALUE"""),4.5)</f>
        <v>4.5</v>
      </c>
      <c r="H4" s="24"/>
      <c r="I4" s="24"/>
      <c r="J4" s="24"/>
      <c r="K4" s="24" t="s">
        <v>20</v>
      </c>
      <c r="L4" s="24">
        <v>0.0</v>
      </c>
      <c r="M4" s="24" t="s">
        <v>21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tr">
        <f>IFERROR(__xludf.DUMMYFUNCTION("""COMPUTED_VALUE"""),"Saint Francis")</f>
        <v>Saint Francis</v>
      </c>
      <c r="B5" s="27">
        <f>IFERROR(__xludf.DUMMYFUNCTION("""COMPUTED_VALUE"""),7.5)</f>
        <v>7.5</v>
      </c>
      <c r="C5" s="27">
        <f>IFERROR(__xludf.DUMMYFUNCTION("""COMPUTED_VALUE"""),1.5)</f>
        <v>1.5</v>
      </c>
      <c r="D5" s="27">
        <f>IFERROR(__xludf.DUMMYFUNCTION("""COMPUTED_VALUE"""),1.0)</f>
        <v>1</v>
      </c>
      <c r="E5" s="27">
        <f>IFERROR(__xludf.DUMMYFUNCTION("""COMPUTED_VALUE"""),0.0)</f>
        <v>0</v>
      </c>
      <c r="F5" s="28">
        <f>IFERROR(__xludf.DUMMYFUNCTION("""COMPUTED_VALUE"""),0.0)</f>
        <v>0</v>
      </c>
      <c r="G5" s="24">
        <f>IFERROR(__xludf.DUMMYFUNCTION("""COMPUTED_VALUE"""),10.0)</f>
        <v>10</v>
      </c>
      <c r="H5" s="24"/>
      <c r="I5" s="24"/>
      <c r="J5" s="24"/>
      <c r="K5" s="24" t="s">
        <v>22</v>
      </c>
      <c r="L5" s="24">
        <v>7.5</v>
      </c>
      <c r="M5" s="24" t="s">
        <v>23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tr">
        <f>IFERROR(__xludf.DUMMYFUNCTION("""COMPUTED_VALUE"""),"BASIS Independent A")</f>
        <v>BASIS Independent A</v>
      </c>
      <c r="B6" s="27">
        <f>IFERROR(__xludf.DUMMYFUNCTION("""COMPUTED_VALUE"""),0.0)</f>
        <v>0</v>
      </c>
      <c r="C6" s="27">
        <f>IFERROR(__xludf.DUMMYFUNCTION("""COMPUTED_VALUE"""),3.5)</f>
        <v>3.5</v>
      </c>
      <c r="D6" s="27">
        <f>IFERROR(__xludf.DUMMYFUNCTION("""COMPUTED_VALUE"""),2.5)</f>
        <v>2.5</v>
      </c>
      <c r="E6" s="27">
        <f>IFERROR(__xludf.DUMMYFUNCTION("""COMPUTED_VALUE"""),1.5)</f>
        <v>1.5</v>
      </c>
      <c r="F6" s="28">
        <f>IFERROR(__xludf.DUMMYFUNCTION("""COMPUTED_VALUE"""),0.0)</f>
        <v>0</v>
      </c>
      <c r="G6" s="24">
        <f>IFERROR(__xludf.DUMMYFUNCTION("""COMPUTED_VALUE"""),7.5)</f>
        <v>7.5</v>
      </c>
      <c r="H6" s="24" t="str">
        <f>IFERROR(__xludf.DUMMYFUNCTION("""COMPUTED_VALUE"""),"First Places:")</f>
        <v>First Places:</v>
      </c>
      <c r="I6" s="24"/>
      <c r="J6" s="24"/>
      <c r="K6" s="24" t="s">
        <v>24</v>
      </c>
      <c r="L6" s="24">
        <v>0.0</v>
      </c>
      <c r="M6" s="24" t="s">
        <v>25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tr">
        <f>IFERROR(__xludf.DUMMYFUNCTION("""COMPUTED_VALUE"""),"BASIS Independent B")</f>
        <v>BASIS Independent B</v>
      </c>
      <c r="B7" s="27">
        <f>IFERROR(__xludf.DUMMYFUNCTION("""COMPUTED_VALUE"""),2.5)</f>
        <v>2.5</v>
      </c>
      <c r="C7" s="27">
        <f>IFERROR(__xludf.DUMMYFUNCTION("""COMPUTED_VALUE"""),0.0)</f>
        <v>0</v>
      </c>
      <c r="D7" s="27">
        <f>IFERROR(__xludf.DUMMYFUNCTION("""COMPUTED_VALUE"""),0.0)</f>
        <v>0</v>
      </c>
      <c r="E7" s="27">
        <f>IFERROR(__xludf.DUMMYFUNCTION("""COMPUTED_VALUE"""),2.5)</f>
        <v>2.5</v>
      </c>
      <c r="F7" s="28"/>
      <c r="G7" s="24">
        <f>IFERROR(__xludf.DUMMYFUNCTION("""COMPUTED_VALUE"""),5.0)</f>
        <v>5</v>
      </c>
      <c r="H7" s="27">
        <f>IFERROR(__xludf.DUMMYFUNCTION("""COMPUTED_VALUE"""),1.0)</f>
        <v>1</v>
      </c>
      <c r="I7" s="24"/>
      <c r="J7" s="24"/>
      <c r="K7" s="24" t="s">
        <v>26</v>
      </c>
      <c r="L7" s="24">
        <v>2.5</v>
      </c>
      <c r="M7" s="24" t="s">
        <v>27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tr">
        <f>IFERROR(__xludf.DUMMYFUNCTION("""COMPUTED_VALUE"""),"Canyon Crest A")</f>
        <v>Canyon Crest A</v>
      </c>
      <c r="B8" s="27">
        <f>IFERROR(__xludf.DUMMYFUNCTION("""COMPUTED_VALUE"""),4.0)</f>
        <v>4</v>
      </c>
      <c r="C8" s="27">
        <f>IFERROR(__xludf.DUMMYFUNCTION("""COMPUTED_VALUE"""),2.5)</f>
        <v>2.5</v>
      </c>
      <c r="D8" s="27">
        <f>IFERROR(__xludf.DUMMYFUNCTION("""COMPUTED_VALUE"""),0.5)</f>
        <v>0.5</v>
      </c>
      <c r="E8" s="27">
        <f>IFERROR(__xludf.DUMMYFUNCTION("""COMPUTED_VALUE"""),0.0)</f>
        <v>0</v>
      </c>
      <c r="F8" s="28"/>
      <c r="G8" s="24">
        <f>IFERROR(__xludf.DUMMYFUNCTION("""COMPUTED_VALUE"""),7.0)</f>
        <v>7</v>
      </c>
      <c r="H8" s="24"/>
      <c r="I8" s="24"/>
      <c r="J8" s="24"/>
      <c r="K8" s="24" t="s">
        <v>28</v>
      </c>
      <c r="L8" s="24">
        <v>4.0</v>
      </c>
      <c r="M8" s="24" t="s">
        <v>29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tr">
        <f>IFERROR(__xludf.DUMMYFUNCTION("""COMPUTED_VALUE"""),"Canyon Crest B")</f>
        <v>Canyon Crest B</v>
      </c>
      <c r="B9" s="27">
        <f>IFERROR(__xludf.DUMMYFUNCTION("""COMPUTED_VALUE"""),7.0)</f>
        <v>7</v>
      </c>
      <c r="C9" s="27">
        <f>IFERROR(__xludf.DUMMYFUNCTION("""COMPUTED_VALUE"""),1.5)</f>
        <v>1.5</v>
      </c>
      <c r="D9" s="27">
        <f>IFERROR(__xludf.DUMMYFUNCTION("""COMPUTED_VALUE"""),1.5)</f>
        <v>1.5</v>
      </c>
      <c r="E9" s="27">
        <f>IFERROR(__xludf.DUMMYFUNCTION("""COMPUTED_VALUE"""),0.0)</f>
        <v>0</v>
      </c>
      <c r="F9" s="28"/>
      <c r="G9" s="24">
        <f>IFERROR(__xludf.DUMMYFUNCTION("""COMPUTED_VALUE"""),10.0)</f>
        <v>10</v>
      </c>
      <c r="H9" s="24"/>
      <c r="I9" s="24"/>
      <c r="J9" s="24"/>
      <c r="K9" s="24" t="s">
        <v>30</v>
      </c>
      <c r="L9" s="24">
        <v>7.0</v>
      </c>
      <c r="M9" s="24" t="s">
        <v>31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tr">
        <f>IFERROR(__xludf.DUMMYFUNCTION("""COMPUTED_VALUE"""),"Mira Loma A")</f>
        <v>Mira Loma A</v>
      </c>
      <c r="B10" s="27">
        <f>IFERROR(__xludf.DUMMYFUNCTION("""COMPUTED_VALUE"""),1.0)</f>
        <v>1</v>
      </c>
      <c r="C10" s="27">
        <f>IFERROR(__xludf.DUMMYFUNCTION("""COMPUTED_VALUE"""),3.0)</f>
        <v>3</v>
      </c>
      <c r="D10" s="27">
        <f>IFERROR(__xludf.DUMMYFUNCTION("""COMPUTED_VALUE"""),1.0)</f>
        <v>1</v>
      </c>
      <c r="E10" s="27">
        <f>IFERROR(__xludf.DUMMYFUNCTION("""COMPUTED_VALUE"""),1.5)</f>
        <v>1.5</v>
      </c>
      <c r="F10" s="28">
        <f>IFERROR(__xludf.DUMMYFUNCTION("""COMPUTED_VALUE"""),9.0)</f>
        <v>9</v>
      </c>
      <c r="G10" s="24">
        <f>IFERROR(__xludf.DUMMYFUNCTION("""COMPUTED_VALUE"""),15.5)</f>
        <v>15.5</v>
      </c>
      <c r="H10" s="24"/>
      <c r="I10" s="24"/>
      <c r="J10" s="24"/>
      <c r="K10" s="24" t="s">
        <v>32</v>
      </c>
      <c r="L10" s="24">
        <v>1.0</v>
      </c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tr">
        <f>IFERROR(__xludf.DUMMYFUNCTION("""COMPUTED_VALUE"""),"Mira Loma B")</f>
        <v>Mira Loma B</v>
      </c>
      <c r="B11" s="27">
        <f>IFERROR(__xludf.DUMMYFUNCTION("""COMPUTED_VALUE"""),1.0)</f>
        <v>1</v>
      </c>
      <c r="C11" s="27">
        <f>IFERROR(__xludf.DUMMYFUNCTION("""COMPUTED_VALUE"""),2.5)</f>
        <v>2.5</v>
      </c>
      <c r="D11" s="27">
        <f>IFERROR(__xludf.DUMMYFUNCTION("""COMPUTED_VALUE"""),1.5)</f>
        <v>1.5</v>
      </c>
      <c r="E11" s="27">
        <f>IFERROR(__xludf.DUMMYFUNCTION("""COMPUTED_VALUE"""),-1.0)</f>
        <v>-1</v>
      </c>
      <c r="F11" s="28">
        <f>IFERROR(__xludf.DUMMYFUNCTION("""COMPUTED_VALUE"""),0.0)</f>
        <v>0</v>
      </c>
      <c r="G11" s="24">
        <f>IFERROR(__xludf.DUMMYFUNCTION("""COMPUTED_VALUE"""),4.0)</f>
        <v>4</v>
      </c>
      <c r="H11" s="24"/>
      <c r="I11" s="24"/>
      <c r="J11" s="24"/>
      <c r="K11" s="24" t="s">
        <v>34</v>
      </c>
      <c r="L11" s="24">
        <v>1.0</v>
      </c>
      <c r="M11" s="24" t="s">
        <v>35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tr">
        <f>IFERROR(__xludf.DUMMYFUNCTION("""COMPUTED_VALUE"""),"Foothill A")</f>
        <v>Foothill A</v>
      </c>
      <c r="B12" s="27">
        <f>IFERROR(__xludf.DUMMYFUNCTION("""COMPUTED_VALUE"""),0.0)</f>
        <v>0</v>
      </c>
      <c r="C12" s="27">
        <f>IFERROR(__xludf.DUMMYFUNCTION("""COMPUTED_VALUE"""),0.0)</f>
        <v>0</v>
      </c>
      <c r="D12" s="27">
        <f>IFERROR(__xludf.DUMMYFUNCTION("""COMPUTED_VALUE"""),2.5)</f>
        <v>2.5</v>
      </c>
      <c r="E12" s="27">
        <f>IFERROR(__xludf.DUMMYFUNCTION("""COMPUTED_VALUE"""),0.0)</f>
        <v>0</v>
      </c>
      <c r="F12" s="28">
        <f>IFERROR(__xludf.DUMMYFUNCTION("""COMPUTED_VALUE"""),1.0)</f>
        <v>1</v>
      </c>
      <c r="G12" s="24">
        <f>IFERROR(__xludf.DUMMYFUNCTION("""COMPUTED_VALUE"""),3.5)</f>
        <v>3.5</v>
      </c>
      <c r="H12" s="24"/>
      <c r="I12" s="24"/>
      <c r="J12" s="24"/>
      <c r="K12" s="24" t="s">
        <v>36</v>
      </c>
      <c r="L12" s="24">
        <v>0.0</v>
      </c>
      <c r="M12" s="24" t="s">
        <v>37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tr">
        <f>IFERROR(__xludf.DUMMYFUNCTION("""COMPUTED_VALUE"""),"Foothill B")</f>
        <v>Foothill B</v>
      </c>
      <c r="B13" s="27">
        <f>IFERROR(__xludf.DUMMYFUNCTION("""COMPUTED_VALUE"""),1.0)</f>
        <v>1</v>
      </c>
      <c r="C13" s="27">
        <f>IFERROR(__xludf.DUMMYFUNCTION("""COMPUTED_VALUE"""),1.5)</f>
        <v>1.5</v>
      </c>
      <c r="D13" s="27">
        <f>IFERROR(__xludf.DUMMYFUNCTION("""COMPUTED_VALUE"""),1.5)</f>
        <v>1.5</v>
      </c>
      <c r="E13" s="27">
        <f>IFERROR(__xludf.DUMMYFUNCTION("""COMPUTED_VALUE"""),-1.0)</f>
        <v>-1</v>
      </c>
      <c r="F13" s="28">
        <f>IFERROR(__xludf.DUMMYFUNCTION("""COMPUTED_VALUE"""),0.0)</f>
        <v>0</v>
      </c>
      <c r="G13" s="24">
        <f>IFERROR(__xludf.DUMMYFUNCTION("""COMPUTED_VALUE"""),3.0)</f>
        <v>3</v>
      </c>
      <c r="H13" s="24"/>
      <c r="I13" s="24"/>
      <c r="J13" s="24"/>
      <c r="K13" s="24" t="s">
        <v>38</v>
      </c>
      <c r="L13" s="24">
        <v>1.0</v>
      </c>
      <c r="M13" s="24" t="s">
        <v>39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tr">
        <f>IFERROR(__xludf.DUMMYFUNCTION("""COMPUTED_VALUE"""),"Lynbrook C")</f>
        <v>Lynbrook C</v>
      </c>
      <c r="B14" s="27">
        <f>IFERROR(__xludf.DUMMYFUNCTION("""COMPUTED_VALUE"""),0.0)</f>
        <v>0</v>
      </c>
      <c r="C14" s="27">
        <f>IFERROR(__xludf.DUMMYFUNCTION("""COMPUTED_VALUE"""),2.0)</f>
        <v>2</v>
      </c>
      <c r="D14" s="27">
        <f>IFERROR(__xludf.DUMMYFUNCTION("""COMPUTED_VALUE"""),0.0)</f>
        <v>0</v>
      </c>
      <c r="E14" s="27">
        <f>IFERROR(__xludf.DUMMYFUNCTION("""COMPUTED_VALUE"""),2.5)</f>
        <v>2.5</v>
      </c>
      <c r="F14" s="28">
        <f>IFERROR(__xludf.DUMMYFUNCTION("""COMPUTED_VALUE"""),1.0)</f>
        <v>1</v>
      </c>
      <c r="G14" s="24">
        <f>IFERROR(__xludf.DUMMYFUNCTION("""COMPUTED_VALUE"""),5.5)</f>
        <v>5.5</v>
      </c>
      <c r="H14" s="24"/>
      <c r="I14" s="24"/>
      <c r="J14" s="24"/>
      <c r="K14" s="24" t="s">
        <v>40</v>
      </c>
      <c r="L14" s="24">
        <v>0.0</v>
      </c>
      <c r="M14" s="24" t="s">
        <v>41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tr">
        <f>IFERROR(__xludf.DUMMYFUNCTION("""COMPUTED_VALUE"""),"American A")</f>
        <v>American A</v>
      </c>
      <c r="B15" s="27">
        <f>IFERROR(__xludf.DUMMYFUNCTION("""COMPUTED_VALUE"""),4.0)</f>
        <v>4</v>
      </c>
      <c r="C15" s="27">
        <f>IFERROR(__xludf.DUMMYFUNCTION("""COMPUTED_VALUE"""),0.0)</f>
        <v>0</v>
      </c>
      <c r="D15" s="27">
        <f>IFERROR(__xludf.DUMMYFUNCTION("""COMPUTED_VALUE"""),1.0)</f>
        <v>1</v>
      </c>
      <c r="E15" s="27">
        <f>IFERROR(__xludf.DUMMYFUNCTION("""COMPUTED_VALUE"""),0.0)</f>
        <v>0</v>
      </c>
      <c r="F15" s="28">
        <f>IFERROR(__xludf.DUMMYFUNCTION("""COMPUTED_VALUE"""),1.0)</f>
        <v>1</v>
      </c>
      <c r="G15" s="24">
        <f>IFERROR(__xludf.DUMMYFUNCTION("""COMPUTED_VALUE"""),6.0)</f>
        <v>6</v>
      </c>
      <c r="H15" s="24"/>
      <c r="I15" s="24"/>
      <c r="J15" s="24"/>
      <c r="K15" s="24" t="s">
        <v>42</v>
      </c>
      <c r="L15" s="24">
        <v>4.0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tr">
        <f>IFERROR(__xludf.DUMMYFUNCTION("""COMPUTED_VALUE"""),"American B")</f>
        <v>American B</v>
      </c>
      <c r="B16" s="27">
        <f>IFERROR(__xludf.DUMMYFUNCTION("""COMPUTED_VALUE"""),1.0)</f>
        <v>1</v>
      </c>
      <c r="C16" s="27">
        <f>IFERROR(__xludf.DUMMYFUNCTION("""COMPUTED_VALUE"""),0.0)</f>
        <v>0</v>
      </c>
      <c r="D16" s="27">
        <f>IFERROR(__xludf.DUMMYFUNCTION("""COMPUTED_VALUE"""),1.0)</f>
        <v>1</v>
      </c>
      <c r="E16" s="27">
        <f>IFERROR(__xludf.DUMMYFUNCTION("""COMPUTED_VALUE"""),0.0)</f>
        <v>0</v>
      </c>
      <c r="F16" s="28">
        <f>IFERROR(__xludf.DUMMYFUNCTION("""COMPUTED_VALUE"""),1.5)</f>
        <v>1.5</v>
      </c>
      <c r="G16" s="24">
        <f>IFERROR(__xludf.DUMMYFUNCTION("""COMPUTED_VALUE"""),3.5)</f>
        <v>3.5</v>
      </c>
      <c r="H16" s="24"/>
      <c r="I16" s="24"/>
      <c r="J16" s="24"/>
      <c r="K16" s="24" t="s">
        <v>44</v>
      </c>
      <c r="L16" s="24">
        <v>1.0</v>
      </c>
      <c r="M16" s="24" t="s">
        <v>45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tr">
        <f>IFERROR(__xludf.DUMMYFUNCTION("""COMPUTED_VALUE"""),"Palo Alto A")</f>
        <v>Palo Alto A</v>
      </c>
      <c r="B17" s="27">
        <f>IFERROR(__xludf.DUMMYFUNCTION("""COMPUTED_VALUE"""),1.5)</f>
        <v>1.5</v>
      </c>
      <c r="C17" s="27">
        <f>IFERROR(__xludf.DUMMYFUNCTION("""COMPUTED_VALUE"""),1.5)</f>
        <v>1.5</v>
      </c>
      <c r="D17" s="27">
        <f>IFERROR(__xludf.DUMMYFUNCTION("""COMPUTED_VALUE"""),2.0)</f>
        <v>2</v>
      </c>
      <c r="E17" s="27">
        <f>IFERROR(__xludf.DUMMYFUNCTION("""COMPUTED_VALUE"""),0.0)</f>
        <v>0</v>
      </c>
      <c r="F17" s="28">
        <f>IFERROR(__xludf.DUMMYFUNCTION("""COMPUTED_VALUE"""),0.0)</f>
        <v>0</v>
      </c>
      <c r="G17" s="24">
        <f>IFERROR(__xludf.DUMMYFUNCTION("""COMPUTED_VALUE"""),5.0)</f>
        <v>5</v>
      </c>
      <c r="H17" s="24"/>
      <c r="I17" s="24"/>
      <c r="J17" s="24"/>
      <c r="K17" s="24" t="s">
        <v>46</v>
      </c>
      <c r="L17" s="24">
        <v>1.5</v>
      </c>
      <c r="M17" s="24" t="s">
        <v>47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tr">
        <f>IFERROR(__xludf.DUMMYFUNCTION("""COMPUTED_VALUE"""),"Palo Alto B")</f>
        <v>Palo Alto B</v>
      </c>
      <c r="B18" s="27">
        <f>IFERROR(__xludf.DUMMYFUNCTION("""COMPUTED_VALUE"""),0.0)</f>
        <v>0</v>
      </c>
      <c r="C18" s="27">
        <f>IFERROR(__xludf.DUMMYFUNCTION("""COMPUTED_VALUE"""),0.0)</f>
        <v>0</v>
      </c>
      <c r="D18" s="27">
        <f>IFERROR(__xludf.DUMMYFUNCTION("""COMPUTED_VALUE"""),0.0)</f>
        <v>0</v>
      </c>
      <c r="E18" s="27">
        <f>IFERROR(__xludf.DUMMYFUNCTION("""COMPUTED_VALUE"""),1.0)</f>
        <v>1</v>
      </c>
      <c r="F18" s="28">
        <f>IFERROR(__xludf.DUMMYFUNCTION("""COMPUTED_VALUE"""),0.0)</f>
        <v>0</v>
      </c>
      <c r="G18" s="24">
        <f>IFERROR(__xludf.DUMMYFUNCTION("""COMPUTED_VALUE"""),1.0)</f>
        <v>1</v>
      </c>
      <c r="H18" s="24"/>
      <c r="I18" s="24"/>
      <c r="J18" s="24"/>
      <c r="K18" s="24" t="s">
        <v>48</v>
      </c>
      <c r="L18" s="24">
        <v>0.0</v>
      </c>
      <c r="M18" s="24" t="s">
        <v>49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tr">
        <f>IFERROR(__xludf.DUMMYFUNCTION("""COMPUTED_VALUE"""),"California B")</f>
        <v>California B</v>
      </c>
      <c r="B19" s="27">
        <f>IFERROR(__xludf.DUMMYFUNCTION("""COMPUTED_VALUE"""),1.5)</f>
        <v>1.5</v>
      </c>
      <c r="C19" s="27">
        <f>IFERROR(__xludf.DUMMYFUNCTION("""COMPUTED_VALUE"""),0.0)</f>
        <v>0</v>
      </c>
      <c r="D19" s="27">
        <f>IFERROR(__xludf.DUMMYFUNCTION("""COMPUTED_VALUE"""),1.0)</f>
        <v>1</v>
      </c>
      <c r="E19" s="27">
        <f>IFERROR(__xludf.DUMMYFUNCTION("""COMPUTED_VALUE"""),1.0)</f>
        <v>1</v>
      </c>
      <c r="F19" s="28">
        <f>IFERROR(__xludf.DUMMYFUNCTION("""COMPUTED_VALUE"""),0.0)</f>
        <v>0</v>
      </c>
      <c r="G19" s="24">
        <f>IFERROR(__xludf.DUMMYFUNCTION("""COMPUTED_VALUE"""),3.5)</f>
        <v>3.5</v>
      </c>
      <c r="H19" s="24"/>
      <c r="I19" s="24"/>
      <c r="J19" s="24"/>
      <c r="K19" s="24" t="s">
        <v>50</v>
      </c>
      <c r="L19" s="24">
        <v>1.5</v>
      </c>
      <c r="M19" s="24" t="s">
        <v>51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tr">
        <f>IFERROR(__xludf.DUMMYFUNCTION("""COMPUTED_VALUE"""),"California A")</f>
        <v>California A</v>
      </c>
      <c r="B20" s="27">
        <f>IFERROR(__xludf.DUMMYFUNCTION("""COMPUTED_VALUE"""),0.0)</f>
        <v>0</v>
      </c>
      <c r="C20" s="27">
        <f>IFERROR(__xludf.DUMMYFUNCTION("""COMPUTED_VALUE"""),2.5)</f>
        <v>2.5</v>
      </c>
      <c r="D20" s="27">
        <f>IFERROR(__xludf.DUMMYFUNCTION("""COMPUTED_VALUE"""),0.0)</f>
        <v>0</v>
      </c>
      <c r="E20" s="27">
        <f>IFERROR(__xludf.DUMMYFUNCTION("""COMPUTED_VALUE"""),0.0)</f>
        <v>0</v>
      </c>
      <c r="F20" s="28">
        <f>IFERROR(__xludf.DUMMYFUNCTION("""COMPUTED_VALUE"""),2.0)</f>
        <v>2</v>
      </c>
      <c r="G20" s="24">
        <f>IFERROR(__xludf.DUMMYFUNCTION("""COMPUTED_VALUE"""),4.5)</f>
        <v>4.5</v>
      </c>
      <c r="H20" s="24"/>
      <c r="I20" s="24"/>
      <c r="J20" s="24"/>
      <c r="K20" s="24" t="s">
        <v>52</v>
      </c>
      <c r="L20" s="24">
        <v>0.0</v>
      </c>
      <c r="M20" s="24" t="s">
        <v>53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tr">
        <f>IFERROR(__xludf.DUMMYFUNCTION("""COMPUTED_VALUE"""),"Arnold O. Beckman A")</f>
        <v>Arnold O. Beckman A</v>
      </c>
      <c r="B21" s="27">
        <f>IFERROR(__xludf.DUMMYFUNCTION("""COMPUTED_VALUE"""),1.0)</f>
        <v>1</v>
      </c>
      <c r="C21" s="27">
        <f>IFERROR(__xludf.DUMMYFUNCTION("""COMPUTED_VALUE"""),1.0)</f>
        <v>1</v>
      </c>
      <c r="D21" s="27">
        <f>IFERROR(__xludf.DUMMYFUNCTION("""COMPUTED_VALUE"""),1.0)</f>
        <v>1</v>
      </c>
      <c r="E21" s="27">
        <f>IFERROR(__xludf.DUMMYFUNCTION("""COMPUTED_VALUE"""),0.0)</f>
        <v>0</v>
      </c>
      <c r="F21" s="28"/>
      <c r="G21" s="24">
        <f>IFERROR(__xludf.DUMMYFUNCTION("""COMPUTED_VALUE"""),3.0)</f>
        <v>3</v>
      </c>
      <c r="H21" s="24"/>
      <c r="I21" s="24"/>
      <c r="J21" s="24"/>
      <c r="K21" s="24" t="s">
        <v>54</v>
      </c>
      <c r="L21" s="24">
        <v>1.0</v>
      </c>
      <c r="M21" s="24" t="s">
        <v>55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tr">
        <f>IFERROR(__xludf.DUMMYFUNCTION("""COMPUTED_VALUE"""),"Archbishop Mitty A")</f>
        <v>Archbishop Mitty A</v>
      </c>
      <c r="B22" s="27">
        <f>IFERROR(__xludf.DUMMYFUNCTION("""COMPUTED_VALUE"""),3.0)</f>
        <v>3</v>
      </c>
      <c r="C22" s="27">
        <f>IFERROR(__xludf.DUMMYFUNCTION("""COMPUTED_VALUE"""),0.0)</f>
        <v>0</v>
      </c>
      <c r="D22" s="27">
        <f>IFERROR(__xludf.DUMMYFUNCTION("""COMPUTED_VALUE"""),0.0)</f>
        <v>0</v>
      </c>
      <c r="E22" s="27">
        <f>IFERROR(__xludf.DUMMYFUNCTION("""COMPUTED_VALUE"""),1.5)</f>
        <v>1.5</v>
      </c>
      <c r="F22" s="28"/>
      <c r="G22" s="24">
        <f>IFERROR(__xludf.DUMMYFUNCTION("""COMPUTED_VALUE"""),4.5)</f>
        <v>4.5</v>
      </c>
      <c r="H22" s="24"/>
      <c r="I22" s="24"/>
      <c r="J22" s="24"/>
      <c r="K22" s="24" t="s">
        <v>56</v>
      </c>
      <c r="L22" s="24">
        <v>3.0</v>
      </c>
      <c r="M22" s="24" t="s">
        <v>57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tr">
        <f>IFERROR(__xludf.DUMMYFUNCTION("""COMPUTED_VALUE"""),"Archbishop Mitty B")</f>
        <v>Archbishop Mitty B</v>
      </c>
      <c r="B23" s="27">
        <f>IFERROR(__xludf.DUMMYFUNCTION("""COMPUTED_VALUE"""),5.0)</f>
        <v>5</v>
      </c>
      <c r="C23" s="27">
        <f>IFERROR(__xludf.DUMMYFUNCTION("""COMPUTED_VALUE"""),0.0)</f>
        <v>0</v>
      </c>
      <c r="D23" s="27">
        <f>IFERROR(__xludf.DUMMYFUNCTION("""COMPUTED_VALUE"""),4.0)</f>
        <v>4</v>
      </c>
      <c r="E23" s="27">
        <f>IFERROR(__xludf.DUMMYFUNCTION("""COMPUTED_VALUE"""),1.5)</f>
        <v>1.5</v>
      </c>
      <c r="F23" s="28"/>
      <c r="G23" s="24">
        <f>IFERROR(__xludf.DUMMYFUNCTION("""COMPUTED_VALUE"""),10.5)</f>
        <v>10.5</v>
      </c>
      <c r="H23" s="24"/>
      <c r="I23" s="24"/>
      <c r="J23" s="24"/>
      <c r="K23" s="24" t="s">
        <v>58</v>
      </c>
      <c r="L23" s="24">
        <v>5.0</v>
      </c>
      <c r="M23" s="24" t="s">
        <v>59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6" t="str">
        <f>IFERROR(__xludf.DUMMYFUNCTION("""COMPUTED_VALUE"""),"Mission San Jose A")</f>
        <v>Mission San Jose A</v>
      </c>
      <c r="B24" s="27">
        <f>IFERROR(__xludf.DUMMYFUNCTION("""COMPUTED_VALUE"""),1.5)</f>
        <v>1.5</v>
      </c>
      <c r="C24" s="27">
        <f>IFERROR(__xludf.DUMMYFUNCTION("""COMPUTED_VALUE"""),1.5)</f>
        <v>1.5</v>
      </c>
      <c r="D24" s="27">
        <f>IFERROR(__xludf.DUMMYFUNCTION("""COMPUTED_VALUE"""),0.0)</f>
        <v>0</v>
      </c>
      <c r="E24" s="27">
        <f>IFERROR(__xludf.DUMMYFUNCTION("""COMPUTED_VALUE"""),1.5)</f>
        <v>1.5</v>
      </c>
      <c r="F24" s="28">
        <f>IFERROR(__xludf.DUMMYFUNCTION("""COMPUTED_VALUE"""),5.5)</f>
        <v>5.5</v>
      </c>
      <c r="G24" s="24">
        <f>IFERROR(__xludf.DUMMYFUNCTION("""COMPUTED_VALUE"""),10.0)</f>
        <v>10</v>
      </c>
      <c r="H24" s="24"/>
      <c r="I24" s="24"/>
      <c r="J24" s="24"/>
      <c r="K24" s="24" t="s">
        <v>60</v>
      </c>
      <c r="L24" s="24">
        <v>1.5</v>
      </c>
      <c r="M24" s="24" t="s">
        <v>61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6" t="str">
        <f>IFERROR(__xludf.DUMMYFUNCTION("""COMPUTED_VALUE"""),"Mission San Jose B")</f>
        <v>Mission San Jose B</v>
      </c>
      <c r="B25" s="27">
        <f>IFERROR(__xludf.DUMMYFUNCTION("""COMPUTED_VALUE"""),0.0)</f>
        <v>0</v>
      </c>
      <c r="C25" s="27">
        <f>IFERROR(__xludf.DUMMYFUNCTION("""COMPUTED_VALUE"""),7.5)</f>
        <v>7.5</v>
      </c>
      <c r="D25" s="27">
        <f>IFERROR(__xludf.DUMMYFUNCTION("""COMPUTED_VALUE"""),0.0)</f>
        <v>0</v>
      </c>
      <c r="E25" s="27">
        <f>IFERROR(__xludf.DUMMYFUNCTION("""COMPUTED_VALUE"""),0.0)</f>
        <v>0</v>
      </c>
      <c r="F25" s="28">
        <f>IFERROR(__xludf.DUMMYFUNCTION("""COMPUTED_VALUE"""),-1.0)</f>
        <v>-1</v>
      </c>
      <c r="G25" s="24">
        <f>IFERROR(__xludf.DUMMYFUNCTION("""COMPUTED_VALUE"""),6.5)</f>
        <v>6.5</v>
      </c>
      <c r="H25" s="24"/>
      <c r="I25" s="24"/>
      <c r="J25" s="24"/>
      <c r="K25" s="24" t="s">
        <v>62</v>
      </c>
      <c r="L25" s="24">
        <v>0.0</v>
      </c>
      <c r="M25" s="24" t="s">
        <v>63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6" t="str">
        <f>IFERROR(__xludf.DUMMYFUNCTION("""COMPUTED_VALUE"""),"Stanford Online")</f>
        <v>Stanford Online</v>
      </c>
      <c r="B26" s="27">
        <f>IFERROR(__xludf.DUMMYFUNCTION("""COMPUTED_VALUE"""),2.5)</f>
        <v>2.5</v>
      </c>
      <c r="C26" s="27">
        <f>IFERROR(__xludf.DUMMYFUNCTION("""COMPUTED_VALUE"""),0.0)</f>
        <v>0</v>
      </c>
      <c r="D26" s="27">
        <f>IFERROR(__xludf.DUMMYFUNCTION("""COMPUTED_VALUE"""),1.5)</f>
        <v>1.5</v>
      </c>
      <c r="E26" s="27">
        <f>IFERROR(__xludf.DUMMYFUNCTION("""COMPUTED_VALUE"""),0.0)</f>
        <v>0</v>
      </c>
      <c r="F26" s="28"/>
      <c r="G26" s="24">
        <f>IFERROR(__xludf.DUMMYFUNCTION("""COMPUTED_VALUE"""),4.0)</f>
        <v>4</v>
      </c>
      <c r="H26" s="24"/>
      <c r="I26" s="24"/>
      <c r="J26" s="24"/>
      <c r="K26" s="24" t="s">
        <v>64</v>
      </c>
      <c r="L26" s="24">
        <v>2.5</v>
      </c>
      <c r="M26" s="24" t="s">
        <v>65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tr">
        <f>IFERROR(__xludf.DUMMYFUNCTION("""COMPUTED_VALUE"""),"Cupertino A")</f>
        <v>Cupertino A</v>
      </c>
      <c r="B27" s="27">
        <f>IFERROR(__xludf.DUMMYFUNCTION("""COMPUTED_VALUE"""),7.5)</f>
        <v>7.5</v>
      </c>
      <c r="C27" s="27">
        <f>IFERROR(__xludf.DUMMYFUNCTION("""COMPUTED_VALUE"""),4.5)</f>
        <v>4.5</v>
      </c>
      <c r="D27" s="27">
        <f>IFERROR(__xludf.DUMMYFUNCTION("""COMPUTED_VALUE"""),0.0)</f>
        <v>0</v>
      </c>
      <c r="E27" s="27">
        <f>IFERROR(__xludf.DUMMYFUNCTION("""COMPUTED_VALUE"""),0.0)</f>
        <v>0</v>
      </c>
      <c r="F27" s="28">
        <f>IFERROR(__xludf.DUMMYFUNCTION("""COMPUTED_VALUE"""),0.0)</f>
        <v>0</v>
      </c>
      <c r="G27" s="24">
        <f>IFERROR(__xludf.DUMMYFUNCTION("""COMPUTED_VALUE"""),12.0)</f>
        <v>12</v>
      </c>
      <c r="H27" s="24"/>
      <c r="I27" s="24"/>
      <c r="J27" s="24"/>
      <c r="K27" s="24" t="s">
        <v>9</v>
      </c>
      <c r="L27" s="24">
        <v>7.5</v>
      </c>
      <c r="M27" s="24" t="s">
        <v>66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6" t="str">
        <f>IFERROR(__xludf.DUMMYFUNCTION("""COMPUTED_VALUE"""),"Cupertino B")</f>
        <v>Cupertino B</v>
      </c>
      <c r="B28" s="27">
        <f>IFERROR(__xludf.DUMMYFUNCTION("""COMPUTED_VALUE"""),1.0)</f>
        <v>1</v>
      </c>
      <c r="C28" s="27">
        <f>IFERROR(__xludf.DUMMYFUNCTION("""COMPUTED_VALUE"""),1.5)</f>
        <v>1.5</v>
      </c>
      <c r="D28" s="27">
        <f>IFERROR(__xludf.DUMMYFUNCTION("""COMPUTED_VALUE"""),1.0)</f>
        <v>1</v>
      </c>
      <c r="E28" s="27">
        <f>IFERROR(__xludf.DUMMYFUNCTION("""COMPUTED_VALUE"""),1.0)</f>
        <v>1</v>
      </c>
      <c r="F28" s="28">
        <f>IFERROR(__xludf.DUMMYFUNCTION("""COMPUTED_VALUE"""),0.0)</f>
        <v>0</v>
      </c>
      <c r="G28" s="24">
        <f>IFERROR(__xludf.DUMMYFUNCTION("""COMPUTED_VALUE"""),4.5)</f>
        <v>4.5</v>
      </c>
      <c r="H28" s="24"/>
      <c r="I28" s="24"/>
      <c r="J28" s="24"/>
      <c r="K28" s="24" t="s">
        <v>67</v>
      </c>
      <c r="L28" s="24">
        <v>1.0</v>
      </c>
      <c r="M28" s="24" t="s">
        <v>68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6" t="str">
        <f>IFERROR(__xludf.DUMMYFUNCTION("""COMPUTED_VALUE"""),"Monta Vista A")</f>
        <v>Monta Vista A</v>
      </c>
      <c r="B29" s="27">
        <f>IFERROR(__xludf.DUMMYFUNCTION("""COMPUTED_VALUE"""),4.5)</f>
        <v>4.5</v>
      </c>
      <c r="C29" s="27">
        <f>IFERROR(__xludf.DUMMYFUNCTION("""COMPUTED_VALUE"""),1.5)</f>
        <v>1.5</v>
      </c>
      <c r="D29" s="27">
        <f>IFERROR(__xludf.DUMMYFUNCTION("""COMPUTED_VALUE"""),0.0)</f>
        <v>0</v>
      </c>
      <c r="E29" s="27">
        <f>IFERROR(__xludf.DUMMYFUNCTION("""COMPUTED_VALUE"""),0.0)</f>
        <v>0</v>
      </c>
      <c r="F29" s="28">
        <f>IFERROR(__xludf.DUMMYFUNCTION("""COMPUTED_VALUE"""),0.0)</f>
        <v>0</v>
      </c>
      <c r="G29" s="24">
        <f>IFERROR(__xludf.DUMMYFUNCTION("""COMPUTED_VALUE"""),6.0)</f>
        <v>6</v>
      </c>
      <c r="H29" s="24"/>
      <c r="I29" s="24"/>
      <c r="J29" s="24"/>
      <c r="K29" s="24" t="s">
        <v>69</v>
      </c>
      <c r="L29" s="24">
        <v>4.5</v>
      </c>
      <c r="M29" s="24" t="s">
        <v>70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6" t="str">
        <f>IFERROR(__xludf.DUMMYFUNCTION("""COMPUTED_VALUE"""),"Monta Vista B")</f>
        <v>Monta Vista B</v>
      </c>
      <c r="B30" s="27">
        <f>IFERROR(__xludf.DUMMYFUNCTION("""COMPUTED_VALUE"""),0.0)</f>
        <v>0</v>
      </c>
      <c r="C30" s="27">
        <f>IFERROR(__xludf.DUMMYFUNCTION("""COMPUTED_VALUE"""),1.5)</f>
        <v>1.5</v>
      </c>
      <c r="D30" s="27">
        <f>IFERROR(__xludf.DUMMYFUNCTION("""COMPUTED_VALUE"""),0.0)</f>
        <v>0</v>
      </c>
      <c r="E30" s="27">
        <f>IFERROR(__xludf.DUMMYFUNCTION("""COMPUTED_VALUE"""),0.0)</f>
        <v>0</v>
      </c>
      <c r="F30" s="28">
        <f>IFERROR(__xludf.DUMMYFUNCTION("""COMPUTED_VALUE"""),1.0)</f>
        <v>1</v>
      </c>
      <c r="G30" s="24">
        <f>IFERROR(__xludf.DUMMYFUNCTION("""COMPUTED_VALUE"""),2.5)</f>
        <v>2.5</v>
      </c>
      <c r="H30" s="24"/>
      <c r="I30" s="24"/>
      <c r="J30" s="24"/>
      <c r="K30" s="24" t="s">
        <v>71</v>
      </c>
      <c r="L30" s="24">
        <v>0.0</v>
      </c>
      <c r="M30" s="24" t="s">
        <v>72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6" t="str">
        <f>IFERROR(__xludf.DUMMYFUNCTION("""COMPUTED_VALUE"""),"North Hollywood")</f>
        <v>North Hollywood</v>
      </c>
      <c r="B31" s="27">
        <f>IFERROR(__xludf.DUMMYFUNCTION("""COMPUTED_VALUE"""),0.0)</f>
        <v>0</v>
      </c>
      <c r="C31" s="27">
        <f>IFERROR(__xludf.DUMMYFUNCTION("""COMPUTED_VALUE"""),7.0)</f>
        <v>7</v>
      </c>
      <c r="D31" s="27">
        <f>IFERROR(__xludf.DUMMYFUNCTION("""COMPUTED_VALUE"""),0.0)</f>
        <v>0</v>
      </c>
      <c r="E31" s="27">
        <f>IFERROR(__xludf.DUMMYFUNCTION("""COMPUTED_VALUE"""),2.0)</f>
        <v>2</v>
      </c>
      <c r="F31" s="28"/>
      <c r="G31" s="24">
        <f>IFERROR(__xludf.DUMMYFUNCTION("""COMPUTED_VALUE"""),9.0)</f>
        <v>9</v>
      </c>
      <c r="H31" s="24"/>
      <c r="I31" s="24"/>
      <c r="J31" s="24"/>
      <c r="K31" s="24" t="s">
        <v>73</v>
      </c>
      <c r="L31" s="24">
        <v>0.0</v>
      </c>
      <c r="M31" s="24" t="s">
        <v>74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tr">
        <f>IFERROR(__xludf.DUMMYFUNCTION("""COMPUTED_VALUE"""),"Dougherty Valley A")</f>
        <v>Dougherty Valley A</v>
      </c>
      <c r="B32" s="27">
        <f>IFERROR(__xludf.DUMMYFUNCTION("""COMPUTED_VALUE"""),0.0)</f>
        <v>0</v>
      </c>
      <c r="C32" s="27">
        <f>IFERROR(__xludf.DUMMYFUNCTION("""COMPUTED_VALUE"""),0.0)</f>
        <v>0</v>
      </c>
      <c r="D32" s="27">
        <f>IFERROR(__xludf.DUMMYFUNCTION("""COMPUTED_VALUE"""),2.0)</f>
        <v>2</v>
      </c>
      <c r="E32" s="27">
        <f>IFERROR(__xludf.DUMMYFUNCTION("""COMPUTED_VALUE"""),3.0)</f>
        <v>3</v>
      </c>
      <c r="F32" s="28"/>
      <c r="G32" s="24">
        <f>IFERROR(__xludf.DUMMYFUNCTION("""COMPUTED_VALUE"""),5.0)</f>
        <v>5</v>
      </c>
      <c r="H32" s="24"/>
      <c r="I32" s="24"/>
      <c r="J32" s="24"/>
      <c r="K32" s="24" t="s">
        <v>75</v>
      </c>
      <c r="L32" s="24">
        <v>0.0</v>
      </c>
      <c r="M32" s="24" t="s">
        <v>76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6" t="str">
        <f>IFERROR(__xludf.DUMMYFUNCTION("""COMPUTED_VALUE"""),"Dougherty Valley B")</f>
        <v>Dougherty Valley B</v>
      </c>
      <c r="B33" s="27">
        <f>IFERROR(__xludf.DUMMYFUNCTION("""COMPUTED_VALUE"""),1.5)</f>
        <v>1.5</v>
      </c>
      <c r="C33" s="24"/>
      <c r="D33" s="27">
        <f>IFERROR(__xludf.DUMMYFUNCTION("""COMPUTED_VALUE"""),0.0)</f>
        <v>0</v>
      </c>
      <c r="E33" s="27">
        <f>IFERROR(__xludf.DUMMYFUNCTION("""COMPUTED_VALUE"""),4.0)</f>
        <v>4</v>
      </c>
      <c r="F33" s="28">
        <f>IFERROR(__xludf.DUMMYFUNCTION("""COMPUTED_VALUE"""),0.0)</f>
        <v>0</v>
      </c>
      <c r="G33" s="24">
        <f>IFERROR(__xludf.DUMMYFUNCTION("""COMPUTED_VALUE"""),5.5)</f>
        <v>5.5</v>
      </c>
      <c r="H33" s="24"/>
      <c r="I33" s="24"/>
      <c r="J33" s="24"/>
      <c r="K33" s="24" t="s">
        <v>77</v>
      </c>
      <c r="L33" s="24">
        <v>1.5</v>
      </c>
      <c r="M33" s="24" t="s">
        <v>78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6" t="str">
        <f>IFERROR(__xludf.DUMMYFUNCTION("""COMPUTED_VALUE"""),"Amador Valley A")</f>
        <v>Amador Valley A</v>
      </c>
      <c r="B34" s="27">
        <f>IFERROR(__xludf.DUMMYFUNCTION("""COMPUTED_VALUE"""),2.0)</f>
        <v>2</v>
      </c>
      <c r="C34" s="27">
        <f>IFERROR(__xludf.DUMMYFUNCTION("""COMPUTED_VALUE"""),7.5)</f>
        <v>7.5</v>
      </c>
      <c r="D34" s="27">
        <f>IFERROR(__xludf.DUMMYFUNCTION("""COMPUTED_VALUE"""),0.0)</f>
        <v>0</v>
      </c>
      <c r="E34" s="27">
        <f>IFERROR(__xludf.DUMMYFUNCTION("""COMPUTED_VALUE"""),0.0)</f>
        <v>0</v>
      </c>
      <c r="F34" s="28">
        <f>IFERROR(__xludf.DUMMYFUNCTION("""COMPUTED_VALUE"""),1.5)</f>
        <v>1.5</v>
      </c>
      <c r="G34" s="24">
        <f>IFERROR(__xludf.DUMMYFUNCTION("""COMPUTED_VALUE"""),11.0)</f>
        <v>11</v>
      </c>
      <c r="H34" s="24"/>
      <c r="I34" s="24"/>
      <c r="J34" s="24"/>
      <c r="K34" s="24" t="s">
        <v>79</v>
      </c>
      <c r="L34" s="24">
        <v>2.0</v>
      </c>
      <c r="M34" s="24" t="s">
        <v>80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6" t="str">
        <f>IFERROR(__xludf.DUMMYFUNCTION("""COMPUTED_VALUE"""),"Amador Valley B")</f>
        <v>Amador Valley B</v>
      </c>
      <c r="B35" s="27">
        <f>IFERROR(__xludf.DUMMYFUNCTION("""COMPUTED_VALUE"""),-1.0)</f>
        <v>-1</v>
      </c>
      <c r="C35" s="27">
        <f>IFERROR(__xludf.DUMMYFUNCTION("""COMPUTED_VALUE"""),1.0)</f>
        <v>1</v>
      </c>
      <c r="D35" s="27">
        <f>IFERROR(__xludf.DUMMYFUNCTION("""COMPUTED_VALUE"""),0.0)</f>
        <v>0</v>
      </c>
      <c r="E35" s="27">
        <f>IFERROR(__xludf.DUMMYFUNCTION("""COMPUTED_VALUE"""),1.0)</f>
        <v>1</v>
      </c>
      <c r="F35" s="28"/>
      <c r="G35" s="24">
        <f>IFERROR(__xludf.DUMMYFUNCTION("""COMPUTED_VALUE"""),1.0)</f>
        <v>1</v>
      </c>
      <c r="H35" s="24"/>
      <c r="I35" s="24"/>
      <c r="J35" s="24"/>
      <c r="K35" s="24" t="s">
        <v>81</v>
      </c>
      <c r="L35" s="24">
        <v>-1.0</v>
      </c>
      <c r="M35" s="24" t="s">
        <v>82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6" t="str">
        <f>IFERROR(__xludf.DUMMYFUNCTION("""COMPUTED_VALUE"""),"Lynbrook A")</f>
        <v>Lynbrook A</v>
      </c>
      <c r="B36" s="27">
        <f>IFERROR(__xludf.DUMMYFUNCTION("""COMPUTED_VALUE"""),2.5)</f>
        <v>2.5</v>
      </c>
      <c r="C36" s="27">
        <f>IFERROR(__xludf.DUMMYFUNCTION("""COMPUTED_VALUE"""),2.5)</f>
        <v>2.5</v>
      </c>
      <c r="D36" s="27">
        <f>IFERROR(__xludf.DUMMYFUNCTION("""COMPUTED_VALUE"""),4.0)</f>
        <v>4</v>
      </c>
      <c r="E36" s="27">
        <f>IFERROR(__xludf.DUMMYFUNCTION("""COMPUTED_VALUE"""),1.5)</f>
        <v>1.5</v>
      </c>
      <c r="F36" s="28">
        <f>IFERROR(__xludf.DUMMYFUNCTION("""COMPUTED_VALUE"""),3.0)</f>
        <v>3</v>
      </c>
      <c r="G36" s="24">
        <f>IFERROR(__xludf.DUMMYFUNCTION("""COMPUTED_VALUE"""),13.5)</f>
        <v>13.5</v>
      </c>
      <c r="H36" s="24"/>
      <c r="I36" s="24"/>
      <c r="J36" s="24"/>
      <c r="K36" s="24" t="s">
        <v>83</v>
      </c>
      <c r="L36" s="24">
        <v>2.5</v>
      </c>
      <c r="M36" s="24" t="s">
        <v>84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6" t="str">
        <f>IFERROR(__xludf.DUMMYFUNCTION("""COMPUTED_VALUE"""),"Lynbrook B")</f>
        <v>Lynbrook B</v>
      </c>
      <c r="B37" s="23">
        <f>IFERROR(__xludf.DUMMYFUNCTION("""COMPUTED_VALUE"""),0.0)</f>
        <v>0</v>
      </c>
      <c r="C37" s="23">
        <f>IFERROR(__xludf.DUMMYFUNCTION("""COMPUTED_VALUE"""),1.5)</f>
        <v>1.5</v>
      </c>
      <c r="D37" s="23">
        <f>IFERROR(__xludf.DUMMYFUNCTION("""COMPUTED_VALUE"""),2.5)</f>
        <v>2.5</v>
      </c>
      <c r="E37" s="23">
        <f>IFERROR(__xludf.DUMMYFUNCTION("""COMPUTED_VALUE"""),0.0)</f>
        <v>0</v>
      </c>
      <c r="F37" s="31">
        <f>IFERROR(__xludf.DUMMYFUNCTION("""COMPUTED_VALUE"""),-1.0)</f>
        <v>-1</v>
      </c>
      <c r="G37" s="24">
        <f>IFERROR(__xludf.DUMMYFUNCTION("""COMPUTED_VALUE"""),3.0)</f>
        <v>3</v>
      </c>
      <c r="H37" s="24"/>
      <c r="I37" s="24"/>
      <c r="J37" s="24"/>
      <c r="K37" s="24" t="s">
        <v>85</v>
      </c>
      <c r="L37" s="24">
        <v>0.0</v>
      </c>
      <c r="M37" s="24" t="s">
        <v>86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tr">
        <f>IFERROR(__xludf.DUMMYFUNCTION("""COMPUTED_VALUE"""),"MAX Team")</f>
        <v>MAX Team</v>
      </c>
      <c r="B38" s="24" t="str">
        <f>IFERROR(__xludf.DUMMYFUNCTION("""COMPUTED_VALUE"""),"Saint Francis")</f>
        <v>Saint Francis</v>
      </c>
      <c r="C38" s="24" t="str">
        <f>IFERROR(__xludf.DUMMYFUNCTION("""COMPUTED_VALUE"""),"Mission San Jose B")</f>
        <v>Mission San Jose B</v>
      </c>
      <c r="D38" s="24" t="str">
        <f>IFERROR(__xludf.DUMMYFUNCTION("""COMPUTED_VALUE"""),"Archbishop Mitty B")</f>
        <v>Archbishop Mitty B</v>
      </c>
      <c r="E38" s="24" t="str">
        <f>IFERROR(__xludf.DUMMYFUNCTION("""COMPUTED_VALUE"""),"Dougherty Valley B")</f>
        <v>Dougherty Valley B</v>
      </c>
      <c r="F38" s="32" t="str">
        <f>IFERROR(__xludf.DUMMYFUNCTION("""COMPUTED_VALUE"""),"Mira Loma A")</f>
        <v>Mira Loma A</v>
      </c>
      <c r="G38" s="24"/>
      <c r="H38" s="24"/>
      <c r="I38" s="24"/>
      <c r="J38" s="24"/>
      <c r="K38" s="24" t="s">
        <v>87</v>
      </c>
      <c r="L38" s="24">
        <v>0.0</v>
      </c>
      <c r="M38" s="24" t="s">
        <v>88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tr">
        <f>IFERROR(__xludf.DUMMYFUNCTION("""COMPUTED_VALUE"""),"MAX Score")</f>
        <v>MAX Score</v>
      </c>
      <c r="B39" s="27">
        <f>IFERROR(__xludf.DUMMYFUNCTION("""COMPUTED_VALUE"""),7.5)</f>
        <v>7.5</v>
      </c>
      <c r="C39" s="27">
        <f>IFERROR(__xludf.DUMMYFUNCTION("""COMPUTED_VALUE"""),7.5)</f>
        <v>7.5</v>
      </c>
      <c r="D39" s="27">
        <f>IFERROR(__xludf.DUMMYFUNCTION("""COMPUTED_VALUE"""),4.0)</f>
        <v>4</v>
      </c>
      <c r="E39" s="27">
        <f>IFERROR(__xludf.DUMMYFUNCTION("""COMPUTED_VALUE"""),4.0)</f>
        <v>4</v>
      </c>
      <c r="F39" s="27">
        <f>IFERROR(__xludf.DUMMYFUNCTION("""COMPUTED_VALUE"""),9.0)</f>
        <v>9</v>
      </c>
      <c r="G39" s="24"/>
      <c r="H39" s="24"/>
      <c r="I39" s="24"/>
      <c r="J39" s="24"/>
      <c r="K39" s="24" t="s">
        <v>18</v>
      </c>
      <c r="L39" s="24">
        <v>3.0</v>
      </c>
      <c r="M39" s="24" t="s">
        <v>89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 t="s">
        <v>20</v>
      </c>
      <c r="L40" s="24">
        <v>2.5</v>
      </c>
      <c r="M40" s="24" t="s">
        <v>90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 t="s">
        <v>22</v>
      </c>
      <c r="L41" s="24">
        <v>1.5</v>
      </c>
      <c r="M41" s="24" t="s">
        <v>91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 t="s">
        <v>24</v>
      </c>
      <c r="L42" s="24">
        <v>3.5</v>
      </c>
      <c r="M42" s="24" t="s">
        <v>92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 t="s">
        <v>26</v>
      </c>
      <c r="L43" s="24">
        <v>0.0</v>
      </c>
      <c r="M43" s="24" t="s">
        <v>93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 t="s">
        <v>28</v>
      </c>
      <c r="L44" s="24">
        <v>2.5</v>
      </c>
      <c r="M44" s="24" t="s">
        <v>94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 t="s">
        <v>30</v>
      </c>
      <c r="L45" s="24">
        <v>1.5</v>
      </c>
      <c r="M45" s="24" t="s">
        <v>95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 t="s">
        <v>32</v>
      </c>
      <c r="L46" s="24">
        <v>3.0</v>
      </c>
      <c r="M46" s="24" t="s">
        <v>96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 t="s">
        <v>34</v>
      </c>
      <c r="L47" s="24">
        <v>2.5</v>
      </c>
      <c r="M47" s="24" t="s">
        <v>97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 t="s">
        <v>36</v>
      </c>
      <c r="L48" s="24">
        <v>0.0</v>
      </c>
      <c r="M48" s="24" t="s">
        <v>98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 t="s">
        <v>38</v>
      </c>
      <c r="L49" s="24">
        <v>1.5</v>
      </c>
      <c r="M49" s="24" t="s">
        <v>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 t="s">
        <v>40</v>
      </c>
      <c r="L50" s="24">
        <v>2.0</v>
      </c>
      <c r="M50" s="24" t="s">
        <v>100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 t="s">
        <v>42</v>
      </c>
      <c r="L51" s="24">
        <v>0.0</v>
      </c>
      <c r="M51" s="24" t="s">
        <v>101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 t="s">
        <v>44</v>
      </c>
      <c r="L52" s="24">
        <v>0.0</v>
      </c>
      <c r="M52" s="24" t="s">
        <v>102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 t="s">
        <v>46</v>
      </c>
      <c r="L53" s="24">
        <v>1.5</v>
      </c>
      <c r="M53" s="24" t="s">
        <v>103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 t="s">
        <v>48</v>
      </c>
      <c r="L54" s="24">
        <v>0.0</v>
      </c>
      <c r="M54" s="24" t="s">
        <v>104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 t="s">
        <v>50</v>
      </c>
      <c r="L55" s="24">
        <v>0.0</v>
      </c>
      <c r="M55" s="24" t="s">
        <v>105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 t="s">
        <v>52</v>
      </c>
      <c r="L56" s="24">
        <v>2.5</v>
      </c>
      <c r="M56" s="24" t="s">
        <v>106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 t="s">
        <v>54</v>
      </c>
      <c r="L57" s="24">
        <v>1.0</v>
      </c>
      <c r="M57" s="24" t="s">
        <v>107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 t="s">
        <v>56</v>
      </c>
      <c r="L58" s="24">
        <v>0.0</v>
      </c>
      <c r="M58" s="24" t="s">
        <v>108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 t="s">
        <v>58</v>
      </c>
      <c r="L59" s="24">
        <v>0.0</v>
      </c>
      <c r="M59" s="24" t="s">
        <v>109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 t="s">
        <v>60</v>
      </c>
      <c r="L60" s="24">
        <v>1.5</v>
      </c>
      <c r="M60" s="24" t="s">
        <v>110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 t="s">
        <v>62</v>
      </c>
      <c r="L61" s="24">
        <v>7.5</v>
      </c>
      <c r="M61" s="24" t="s">
        <v>111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 t="s">
        <v>64</v>
      </c>
      <c r="L62" s="24">
        <v>0.0</v>
      </c>
      <c r="M62" s="24" t="s">
        <v>112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 t="s">
        <v>9</v>
      </c>
      <c r="L63" s="24">
        <v>4.5</v>
      </c>
      <c r="M63" s="24" t="s">
        <v>11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 t="s">
        <v>67</v>
      </c>
      <c r="L64" s="24">
        <v>1.5</v>
      </c>
      <c r="M64" s="24" t="s">
        <v>113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 t="s">
        <v>69</v>
      </c>
      <c r="L65" s="24">
        <v>1.5</v>
      </c>
      <c r="M65" s="24" t="s">
        <v>114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 t="s">
        <v>71</v>
      </c>
      <c r="L66" s="24">
        <v>1.5</v>
      </c>
      <c r="M66" s="24" t="s">
        <v>115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 t="s">
        <v>73</v>
      </c>
      <c r="L67" s="24">
        <v>7.0</v>
      </c>
      <c r="M67" s="24" t="s">
        <v>116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 t="s">
        <v>75</v>
      </c>
      <c r="L68" s="24">
        <v>0.0</v>
      </c>
      <c r="M68" s="24" t="s">
        <v>117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 t="s">
        <v>77</v>
      </c>
      <c r="L69" s="24"/>
      <c r="M69" s="24" t="s">
        <v>118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 t="s">
        <v>79</v>
      </c>
      <c r="L70" s="24">
        <v>7.5</v>
      </c>
      <c r="M70" s="24" t="s">
        <v>119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 t="s">
        <v>81</v>
      </c>
      <c r="L71" s="24">
        <v>1.0</v>
      </c>
      <c r="M71" s="24" t="s">
        <v>120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 t="s">
        <v>83</v>
      </c>
      <c r="L72" s="24">
        <v>2.5</v>
      </c>
      <c r="M72" s="24" t="s">
        <v>121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 t="s">
        <v>85</v>
      </c>
      <c r="L73" s="24">
        <v>1.5</v>
      </c>
      <c r="M73" s="24" t="s">
        <v>122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 t="s">
        <v>87</v>
      </c>
      <c r="L74" s="24">
        <v>0.0</v>
      </c>
      <c r="M74" s="24" t="s">
        <v>123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18</v>
      </c>
      <c r="L75" s="24">
        <v>0.0</v>
      </c>
      <c r="M75" s="24" t="s">
        <v>124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 t="s">
        <v>20</v>
      </c>
      <c r="L76" s="24">
        <v>0.0</v>
      </c>
      <c r="M76" s="24" t="s">
        <v>125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 t="s">
        <v>22</v>
      </c>
      <c r="L77" s="24">
        <v>1.0</v>
      </c>
      <c r="M77" s="24" t="s">
        <v>126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 t="s">
        <v>24</v>
      </c>
      <c r="L78" s="24">
        <v>2.5</v>
      </c>
      <c r="M78" s="24" t="s">
        <v>127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 t="s">
        <v>26</v>
      </c>
      <c r="L79" s="24">
        <v>0.0</v>
      </c>
      <c r="M79" s="24" t="s">
        <v>128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 t="s">
        <v>28</v>
      </c>
      <c r="L80" s="24">
        <v>0.5</v>
      </c>
      <c r="M80" s="24" t="s">
        <v>129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 t="s">
        <v>30</v>
      </c>
      <c r="L81" s="24">
        <v>1.5</v>
      </c>
      <c r="M81" s="24" t="s">
        <v>130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 t="s">
        <v>32</v>
      </c>
      <c r="L82" s="24">
        <v>1.0</v>
      </c>
      <c r="M82" s="24" t="s">
        <v>131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 t="s">
        <v>34</v>
      </c>
      <c r="L83" s="24">
        <v>1.5</v>
      </c>
      <c r="M83" s="24" t="s">
        <v>132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 t="s">
        <v>36</v>
      </c>
      <c r="L84" s="24">
        <v>2.5</v>
      </c>
      <c r="M84" s="24" t="s">
        <v>133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 t="s">
        <v>38</v>
      </c>
      <c r="L85" s="24">
        <v>1.5</v>
      </c>
      <c r="M85" s="24" t="s">
        <v>134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 t="s">
        <v>40</v>
      </c>
      <c r="L86" s="24">
        <v>0.0</v>
      </c>
      <c r="M86" s="24" t="s">
        <v>135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 t="s">
        <v>42</v>
      </c>
      <c r="L87" s="24">
        <v>1.0</v>
      </c>
      <c r="M87" s="24" t="s">
        <v>136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 t="s">
        <v>44</v>
      </c>
      <c r="L88" s="24">
        <v>1.0</v>
      </c>
      <c r="M88" s="24" t="s">
        <v>137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 t="s">
        <v>46</v>
      </c>
      <c r="L89" s="24">
        <v>2.0</v>
      </c>
      <c r="M89" s="24" t="s">
        <v>138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 t="s">
        <v>48</v>
      </c>
      <c r="L90" s="24">
        <v>0.0</v>
      </c>
      <c r="M90" s="24" t="s">
        <v>139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 t="s">
        <v>50</v>
      </c>
      <c r="L91" s="24">
        <v>1.0</v>
      </c>
      <c r="M91" s="24" t="s">
        <v>140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 t="s">
        <v>52</v>
      </c>
      <c r="L92" s="24">
        <v>0.0</v>
      </c>
      <c r="M92" s="24" t="s">
        <v>141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 t="s">
        <v>54</v>
      </c>
      <c r="L93" s="24">
        <v>1.0</v>
      </c>
      <c r="M93" s="24" t="s">
        <v>142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 t="s">
        <v>56</v>
      </c>
      <c r="L94" s="24">
        <v>0.0</v>
      </c>
      <c r="M94" s="24" t="s">
        <v>143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 t="s">
        <v>58</v>
      </c>
      <c r="L95" s="24">
        <v>4.0</v>
      </c>
      <c r="M95" s="24" t="s">
        <v>144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 t="s">
        <v>60</v>
      </c>
      <c r="L96" s="24">
        <v>0.0</v>
      </c>
      <c r="M96" s="24" t="s">
        <v>145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 t="s">
        <v>62</v>
      </c>
      <c r="L97" s="24">
        <v>0.0</v>
      </c>
      <c r="M97" s="24" t="s">
        <v>146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 t="s">
        <v>64</v>
      </c>
      <c r="L98" s="24">
        <v>1.5</v>
      </c>
      <c r="M98" s="24" t="s">
        <v>147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 t="s">
        <v>9</v>
      </c>
      <c r="L99" s="24">
        <v>0.0</v>
      </c>
      <c r="M99" s="24" t="s">
        <v>12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 t="s">
        <v>67</v>
      </c>
      <c r="L100" s="24">
        <v>1.0</v>
      </c>
      <c r="M100" s="24" t="s">
        <v>148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69</v>
      </c>
      <c r="L101" s="24">
        <v>0.0</v>
      </c>
      <c r="M101" s="24" t="s">
        <v>149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 t="s">
        <v>71</v>
      </c>
      <c r="L102" s="24">
        <v>0.0</v>
      </c>
      <c r="M102" s="24" t="s">
        <v>150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 t="s">
        <v>73</v>
      </c>
      <c r="L103" s="24">
        <v>0.0</v>
      </c>
      <c r="M103" s="24" t="s">
        <v>151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 t="s">
        <v>75</v>
      </c>
      <c r="L104" s="24">
        <v>2.0</v>
      </c>
      <c r="M104" s="24" t="s">
        <v>152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 t="s">
        <v>77</v>
      </c>
      <c r="L105" s="24">
        <v>0.0</v>
      </c>
      <c r="M105" s="24" t="s">
        <v>153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 t="s">
        <v>79</v>
      </c>
      <c r="L106" s="24">
        <v>0.0</v>
      </c>
      <c r="M106" s="24" t="s">
        <v>154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 t="s">
        <v>81</v>
      </c>
      <c r="L107" s="24">
        <v>0.0</v>
      </c>
      <c r="M107" s="24" t="s">
        <v>155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 t="s">
        <v>83</v>
      </c>
      <c r="L108" s="24">
        <v>4.0</v>
      </c>
      <c r="M108" s="24" t="s">
        <v>156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 t="s">
        <v>85</v>
      </c>
      <c r="L109" s="24">
        <v>2.5</v>
      </c>
      <c r="M109" s="24" t="s">
        <v>157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 t="s">
        <v>87</v>
      </c>
      <c r="L110" s="24">
        <v>3.0</v>
      </c>
      <c r="M110" s="24" t="s">
        <v>158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 t="s">
        <v>18</v>
      </c>
      <c r="L111" s="24">
        <v>0.0</v>
      </c>
      <c r="M111" s="24" t="s">
        <v>159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 t="s">
        <v>20</v>
      </c>
      <c r="L112" s="24">
        <v>2.0</v>
      </c>
      <c r="M112" s="24" t="s">
        <v>160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 t="s">
        <v>22</v>
      </c>
      <c r="L113" s="24">
        <v>0.0</v>
      </c>
      <c r="M113" s="24" t="s">
        <v>161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 t="s">
        <v>24</v>
      </c>
      <c r="L114" s="24">
        <v>1.5</v>
      </c>
      <c r="M114" s="24" t="s">
        <v>162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 t="s">
        <v>26</v>
      </c>
      <c r="L115" s="24">
        <v>2.5</v>
      </c>
      <c r="M115" s="24" t="s">
        <v>163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 t="s">
        <v>28</v>
      </c>
      <c r="L116" s="24">
        <v>0.0</v>
      </c>
      <c r="M116" s="24" t="s">
        <v>164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 t="s">
        <v>30</v>
      </c>
      <c r="L117" s="24">
        <v>0.0</v>
      </c>
      <c r="M117" s="24" t="s">
        <v>165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 t="s">
        <v>32</v>
      </c>
      <c r="L118" s="24">
        <v>1.5</v>
      </c>
      <c r="M118" s="24" t="s">
        <v>166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 t="s">
        <v>34</v>
      </c>
      <c r="L119" s="24">
        <v>-1.0</v>
      </c>
      <c r="M119" s="24" t="s">
        <v>167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 t="s">
        <v>36</v>
      </c>
      <c r="L120" s="24">
        <v>0.0</v>
      </c>
      <c r="M120" s="24" t="s">
        <v>168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 t="s">
        <v>38</v>
      </c>
      <c r="L121" s="24">
        <v>-1.0</v>
      </c>
      <c r="M121" s="24" t="s">
        <v>169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 t="s">
        <v>40</v>
      </c>
      <c r="L122" s="24">
        <v>2.5</v>
      </c>
      <c r="M122" s="24" t="s">
        <v>170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 t="s">
        <v>42</v>
      </c>
      <c r="L123" s="24">
        <v>0.0</v>
      </c>
      <c r="M123" s="24" t="s">
        <v>171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 t="s">
        <v>44</v>
      </c>
      <c r="L124" s="24">
        <v>0.0</v>
      </c>
      <c r="M124" s="24" t="s">
        <v>172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 t="s">
        <v>46</v>
      </c>
      <c r="L125" s="24">
        <v>0.0</v>
      </c>
      <c r="M125" s="24" t="s">
        <v>173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 t="s">
        <v>48</v>
      </c>
      <c r="L126" s="24">
        <v>1.0</v>
      </c>
      <c r="M126" s="24" t="s">
        <v>174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 t="s">
        <v>50</v>
      </c>
      <c r="L127" s="24">
        <v>1.0</v>
      </c>
      <c r="M127" s="24" t="s">
        <v>175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 t="s">
        <v>52</v>
      </c>
      <c r="L128" s="24">
        <v>0.0</v>
      </c>
      <c r="M128" s="24" t="s">
        <v>176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 t="s">
        <v>54</v>
      </c>
      <c r="L129" s="24">
        <v>0.0</v>
      </c>
      <c r="M129" s="24" t="s">
        <v>177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 t="s">
        <v>56</v>
      </c>
      <c r="L130" s="24">
        <v>1.5</v>
      </c>
      <c r="M130" s="24" t="s">
        <v>178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 t="s">
        <v>58</v>
      </c>
      <c r="L131" s="24">
        <v>1.5</v>
      </c>
      <c r="M131" s="24" t="s">
        <v>179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 t="s">
        <v>60</v>
      </c>
      <c r="L132" s="24">
        <v>1.5</v>
      </c>
      <c r="M132" s="24" t="s">
        <v>180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 t="s">
        <v>62</v>
      </c>
      <c r="L133" s="24">
        <v>0.0</v>
      </c>
      <c r="M133" s="24" t="s">
        <v>181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 t="s">
        <v>64</v>
      </c>
      <c r="L134" s="24">
        <v>0.0</v>
      </c>
      <c r="M134" s="24" t="s">
        <v>182</v>
      </c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 t="s">
        <v>9</v>
      </c>
      <c r="L135" s="24">
        <v>0.0</v>
      </c>
      <c r="M135" s="24" t="s">
        <v>13</v>
      </c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 t="s">
        <v>67</v>
      </c>
      <c r="L136" s="24">
        <v>1.0</v>
      </c>
      <c r="M136" s="24" t="s">
        <v>183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 t="s">
        <v>69</v>
      </c>
      <c r="L137" s="24">
        <v>0.0</v>
      </c>
      <c r="M137" s="24" t="s">
        <v>184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71</v>
      </c>
      <c r="L138" s="24">
        <v>0.0</v>
      </c>
      <c r="M138" s="24" t="s">
        <v>185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 t="s">
        <v>73</v>
      </c>
      <c r="L139" s="24">
        <v>2.0</v>
      </c>
      <c r="M139" s="24" t="s">
        <v>186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 t="s">
        <v>75</v>
      </c>
      <c r="L140" s="24">
        <v>3.0</v>
      </c>
      <c r="M140" s="24" t="s">
        <v>187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 t="s">
        <v>77</v>
      </c>
      <c r="L141" s="24">
        <v>4.0</v>
      </c>
      <c r="M141" s="24" t="s">
        <v>188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 t="s">
        <v>79</v>
      </c>
      <c r="L142" s="24">
        <v>0.0</v>
      </c>
      <c r="M142" s="24" t="s">
        <v>189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 t="s">
        <v>81</v>
      </c>
      <c r="L143" s="24">
        <v>1.0</v>
      </c>
      <c r="M143" s="24" t="s">
        <v>190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 t="s">
        <v>83</v>
      </c>
      <c r="L144" s="24">
        <v>1.5</v>
      </c>
      <c r="M144" s="24" t="s">
        <v>191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 t="s">
        <v>85</v>
      </c>
      <c r="L145" s="24">
        <v>0.0</v>
      </c>
      <c r="M145" s="24" t="s">
        <v>192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 t="s">
        <v>87</v>
      </c>
      <c r="L146" s="24">
        <v>0.0</v>
      </c>
      <c r="M146" s="24" t="s">
        <v>193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18</v>
      </c>
      <c r="L147" s="24">
        <v>2.5</v>
      </c>
      <c r="M147" s="24" t="s">
        <v>194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 t="s">
        <v>20</v>
      </c>
      <c r="L148" s="24">
        <v>0.0</v>
      </c>
      <c r="M148" s="24" t="s">
        <v>195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 t="s">
        <v>22</v>
      </c>
      <c r="L149" s="24">
        <v>0.0</v>
      </c>
      <c r="M149" s="24" t="s">
        <v>196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 t="s">
        <v>24</v>
      </c>
      <c r="L150" s="24">
        <v>0.0</v>
      </c>
      <c r="M150" s="24" t="s">
        <v>197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26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 t="s">
        <v>28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 t="s">
        <v>30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 t="s">
        <v>32</v>
      </c>
      <c r="L154" s="24">
        <v>9.0</v>
      </c>
      <c r="M154" s="24" t="s">
        <v>198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 t="s">
        <v>34</v>
      </c>
      <c r="L155" s="24">
        <v>0.0</v>
      </c>
      <c r="M155" s="24" t="s">
        <v>199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 t="s">
        <v>36</v>
      </c>
      <c r="L156" s="24">
        <v>1.0</v>
      </c>
      <c r="M156" s="24" t="s">
        <v>200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 t="s">
        <v>38</v>
      </c>
      <c r="L157" s="24">
        <v>0.0</v>
      </c>
      <c r="M157" s="24" t="s">
        <v>201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 t="s">
        <v>40</v>
      </c>
      <c r="L158" s="24">
        <v>1.0</v>
      </c>
      <c r="M158" s="24" t="s">
        <v>202</v>
      </c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 t="s">
        <v>42</v>
      </c>
      <c r="L159" s="24">
        <v>1.0</v>
      </c>
      <c r="M159" s="24" t="s">
        <v>203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 t="s">
        <v>44</v>
      </c>
      <c r="L160" s="24">
        <v>1.5</v>
      </c>
      <c r="M160" s="24" t="s">
        <v>204</v>
      </c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 t="s">
        <v>46</v>
      </c>
      <c r="L161" s="24">
        <v>0.0</v>
      </c>
      <c r="M161" s="24" t="s">
        <v>205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 t="s">
        <v>48</v>
      </c>
      <c r="L162" s="24">
        <v>0.0</v>
      </c>
      <c r="M162" s="24" t="s">
        <v>206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 t="s">
        <v>50</v>
      </c>
      <c r="L163" s="24">
        <v>0.0</v>
      </c>
      <c r="M163" s="24" t="s">
        <v>207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 t="s">
        <v>52</v>
      </c>
      <c r="L164" s="24">
        <v>2.0</v>
      </c>
      <c r="M164" s="24" t="s">
        <v>208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 t="s">
        <v>54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 t="s">
        <v>56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 t="s">
        <v>58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 t="s">
        <v>60</v>
      </c>
      <c r="L168" s="24">
        <v>5.5</v>
      </c>
      <c r="M168" s="24" t="s">
        <v>209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 t="s">
        <v>62</v>
      </c>
      <c r="L169" s="24">
        <v>-1.0</v>
      </c>
      <c r="M169" s="24" t="s">
        <v>210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 t="s">
        <v>64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 t="s">
        <v>9</v>
      </c>
      <c r="L171" s="24">
        <v>0.0</v>
      </c>
      <c r="M171" s="24" t="s">
        <v>14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 t="s">
        <v>67</v>
      </c>
      <c r="L172" s="24">
        <v>0.0</v>
      </c>
      <c r="M172" s="24" t="s">
        <v>211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 t="s">
        <v>69</v>
      </c>
      <c r="L173" s="24">
        <v>0.0</v>
      </c>
      <c r="M173" s="24" t="s">
        <v>212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 t="s">
        <v>71</v>
      </c>
      <c r="L174" s="24">
        <v>1.0</v>
      </c>
      <c r="M174" s="24" t="s">
        <v>213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 t="s">
        <v>73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 t="s">
        <v>75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 t="s">
        <v>77</v>
      </c>
      <c r="L177" s="24">
        <v>0.0</v>
      </c>
      <c r="M177" s="24" t="s">
        <v>214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79</v>
      </c>
      <c r="L178" s="24">
        <v>1.5</v>
      </c>
      <c r="M178" s="24" t="s">
        <v>215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 t="s">
        <v>81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 t="s">
        <v>83</v>
      </c>
      <c r="L180" s="24">
        <v>3.0</v>
      </c>
      <c r="M180" s="24" t="s">
        <v>216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 t="s">
        <v>85</v>
      </c>
      <c r="L181" s="24">
        <v>-1.0</v>
      </c>
      <c r="M181" s="24" t="s">
        <v>217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2">
        <f>IFERROR(__xludf.DUMMYFUNCTION("IMPORTRANGE(""https://docs.google.com/spreadsheets/d/1hF3sefURNb_ssJk7SkIRKX6ByBcDxRkk4SZazZtucFY/edit#gid=82493956"",""Math MVP!A1:I"")"),5.0)</f>
        <v>5</v>
      </c>
      <c r="B1" s="23">
        <f>IFERROR(__xludf.DUMMYFUNCTION("""COMPUTED_VALUE"""),1.0)</f>
        <v>1</v>
      </c>
      <c r="C1" s="23">
        <f>IFERROR(__xludf.DUMMYFUNCTION("""COMPUTED_VALUE"""),2.0)</f>
        <v>2</v>
      </c>
      <c r="D1" s="23">
        <f>IFERROR(__xludf.DUMMYFUNCTION("""COMPUTED_VALUE"""),3.0)</f>
        <v>3</v>
      </c>
      <c r="E1" s="23">
        <f>IFERROR(__xludf.DUMMYFUNCTION("""COMPUTED_VALUE"""),4.0)</f>
        <v>4</v>
      </c>
      <c r="F1" s="23">
        <f>IFERROR(__xludf.DUMMYFUNCTION("""COMPUTED_VALUE"""),5.0)</f>
        <v>5</v>
      </c>
      <c r="G1" s="24" t="str">
        <f>IFERROR(__xludf.DUMMYFUNCTION("""COMPUTED_VALUE"""),"All")</f>
        <v>All</v>
      </c>
      <c r="H1" s="24"/>
      <c r="I1" s="25" t="str">
        <f>IFERROR(__xludf.DUMMYFUNCTION("""COMPUTED_VALUE"""),"Math MVP:")</f>
        <v>Math MVP: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6" t="str">
        <f>IFERROR(__xludf.DUMMYFUNCTION("""COMPUTED_VALUE"""),"Abraham Lincoln")</f>
        <v>Abraham Lincoln</v>
      </c>
      <c r="B2" s="27">
        <f>IFERROR(__xludf.DUMMYFUNCTION("""COMPUTED_VALUE"""),0.0)</f>
        <v>0</v>
      </c>
      <c r="C2" s="27">
        <f>IFERROR(__xludf.DUMMYFUNCTION("""COMPUTED_VALUE"""),0.0)</f>
        <v>0</v>
      </c>
      <c r="D2" s="27">
        <f>IFERROR(__xludf.DUMMYFUNCTION("""COMPUTED_VALUE"""),0.0)</f>
        <v>0</v>
      </c>
      <c r="E2" s="27">
        <f>IFERROR(__xludf.DUMMYFUNCTION("""COMPUTED_VALUE"""),1.0)</f>
        <v>1</v>
      </c>
      <c r="F2" s="28">
        <f>IFERROR(__xludf.DUMMYFUNCTION("""COMPUTED_VALUE"""),0.0)</f>
        <v>0</v>
      </c>
      <c r="G2" s="24">
        <f>IFERROR(__xludf.DUMMYFUNCTION("""COMPUTED_VALUE"""),1.0)</f>
        <v>1</v>
      </c>
      <c r="H2" s="24" t="str">
        <f>IFERROR(__xludf.DUMMYFUNCTION("""COMPUTED_VALUE"""),"Saratoga")</f>
        <v>Saratoga</v>
      </c>
      <c r="I2" s="29" t="str">
        <f>IFERROR(__xludf.DUMMYFUNCTION("""COMPUTED_VALUE"""),"Skyler Mao")</f>
        <v>Skyler Mao</v>
      </c>
      <c r="J2" s="24"/>
      <c r="K2" s="24" t="str">
        <f t="array" ref="K2:M181">{A2:A37,B2:B37,'Check-in Import'!E2:E37;A2:A37,C2:C37,'Check-in Import'!F2:F37;A2:A37,D2:D37,'Check-in Import'!G2:G37;A2:A37,E2:E37,'Check-in Import'!H2:H37;A2:A37,F2:F37,'Check-in Import'!I2:I37}</f>
        <v>Abraham Lincoln</v>
      </c>
      <c r="L2" s="24">
        <v>0.0</v>
      </c>
      <c r="M2" s="24" t="s">
        <v>17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6" t="str">
        <f>IFERROR(__xludf.DUMMYFUNCTION("""COMPUTED_VALUE"""),"Saratoga")</f>
        <v>Saratoga</v>
      </c>
      <c r="B3" s="27">
        <f>IFERROR(__xludf.DUMMYFUNCTION("""COMPUTED_VALUE"""),15.5)</f>
        <v>15.5</v>
      </c>
      <c r="C3" s="27">
        <f>IFERROR(__xludf.DUMMYFUNCTION("""COMPUTED_VALUE"""),0.0)</f>
        <v>0</v>
      </c>
      <c r="D3" s="27">
        <f>IFERROR(__xludf.DUMMYFUNCTION("""COMPUTED_VALUE"""),0.0)</f>
        <v>0</v>
      </c>
      <c r="E3" s="27">
        <f>IFERROR(__xludf.DUMMYFUNCTION("""COMPUTED_VALUE"""),0.0)</f>
        <v>0</v>
      </c>
      <c r="F3" s="28">
        <f>IFERROR(__xludf.DUMMYFUNCTION("""COMPUTED_VALUE"""),0.0)</f>
        <v>0</v>
      </c>
      <c r="G3" s="24">
        <f>IFERROR(__xludf.DUMMYFUNCTION("""COMPUTED_VALUE"""),15.5)</f>
        <v>15.5</v>
      </c>
      <c r="H3" s="27">
        <f>IFERROR(__xludf.DUMMYFUNCTION("""COMPUTED_VALUE"""),15.5)</f>
        <v>15.5</v>
      </c>
      <c r="I3" s="24"/>
      <c r="J3" s="24"/>
      <c r="K3" s="24" t="s">
        <v>18</v>
      </c>
      <c r="L3" s="24">
        <v>15.5</v>
      </c>
      <c r="M3" s="24" t="s"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tr">
        <f>IFERROR(__xludf.DUMMYFUNCTION("""COMPUTED_VALUE"""),"Irvington")</f>
        <v>Irvington</v>
      </c>
      <c r="B4" s="27">
        <f>IFERROR(__xludf.DUMMYFUNCTION("""COMPUTED_VALUE"""),0.0)</f>
        <v>0</v>
      </c>
      <c r="C4" s="27">
        <f>IFERROR(__xludf.DUMMYFUNCTION("""COMPUTED_VALUE"""),0.0)</f>
        <v>0</v>
      </c>
      <c r="D4" s="27">
        <f>IFERROR(__xludf.DUMMYFUNCTION("""COMPUTED_VALUE"""),3.0)</f>
        <v>3</v>
      </c>
      <c r="E4" s="27">
        <f>IFERROR(__xludf.DUMMYFUNCTION("""COMPUTED_VALUE"""),-1.0)</f>
        <v>-1</v>
      </c>
      <c r="F4" s="28">
        <f>IFERROR(__xludf.DUMMYFUNCTION("""COMPUTED_VALUE"""),0.0)</f>
        <v>0</v>
      </c>
      <c r="G4" s="24">
        <f>IFERROR(__xludf.DUMMYFUNCTION("""COMPUTED_VALUE"""),2.0)</f>
        <v>2</v>
      </c>
      <c r="H4" s="24"/>
      <c r="I4" s="24"/>
      <c r="J4" s="24"/>
      <c r="K4" s="24" t="s">
        <v>20</v>
      </c>
      <c r="L4" s="24">
        <v>0.0</v>
      </c>
      <c r="M4" s="24" t="s">
        <v>21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tr">
        <f>IFERROR(__xludf.DUMMYFUNCTION("""COMPUTED_VALUE"""),"Saint Francis")</f>
        <v>Saint Francis</v>
      </c>
      <c r="B5" s="27">
        <f>IFERROR(__xludf.DUMMYFUNCTION("""COMPUTED_VALUE"""),4.5)</f>
        <v>4.5</v>
      </c>
      <c r="C5" s="27">
        <f>IFERROR(__xludf.DUMMYFUNCTION("""COMPUTED_VALUE"""),0.0)</f>
        <v>0</v>
      </c>
      <c r="D5" s="27">
        <f>IFERROR(__xludf.DUMMYFUNCTION("""COMPUTED_VALUE"""),0.0)</f>
        <v>0</v>
      </c>
      <c r="E5" s="27">
        <f>IFERROR(__xludf.DUMMYFUNCTION("""COMPUTED_VALUE"""),4.5)</f>
        <v>4.5</v>
      </c>
      <c r="F5" s="28">
        <f>IFERROR(__xludf.DUMMYFUNCTION("""COMPUTED_VALUE"""),0.0)</f>
        <v>0</v>
      </c>
      <c r="G5" s="24">
        <f>IFERROR(__xludf.DUMMYFUNCTION("""COMPUTED_VALUE"""),9.0)</f>
        <v>9</v>
      </c>
      <c r="H5" s="24"/>
      <c r="I5" s="24"/>
      <c r="J5" s="24"/>
      <c r="K5" s="24" t="s">
        <v>22</v>
      </c>
      <c r="L5" s="24">
        <v>4.5</v>
      </c>
      <c r="M5" s="24" t="s">
        <v>23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tr">
        <f>IFERROR(__xludf.DUMMYFUNCTION("""COMPUTED_VALUE"""),"BASIS Independent A")</f>
        <v>BASIS Independent A</v>
      </c>
      <c r="B6" s="27">
        <f>IFERROR(__xludf.DUMMYFUNCTION("""COMPUTED_VALUE"""),10.5)</f>
        <v>10.5</v>
      </c>
      <c r="C6" s="27">
        <f>IFERROR(__xludf.DUMMYFUNCTION("""COMPUTED_VALUE"""),4.5)</f>
        <v>4.5</v>
      </c>
      <c r="D6" s="27">
        <f>IFERROR(__xludf.DUMMYFUNCTION("""COMPUTED_VALUE"""),0.0)</f>
        <v>0</v>
      </c>
      <c r="E6" s="27">
        <f>IFERROR(__xludf.DUMMYFUNCTION("""COMPUTED_VALUE"""),0.0)</f>
        <v>0</v>
      </c>
      <c r="F6" s="28">
        <f>IFERROR(__xludf.DUMMYFUNCTION("""COMPUTED_VALUE"""),0.0)</f>
        <v>0</v>
      </c>
      <c r="G6" s="24">
        <f>IFERROR(__xludf.DUMMYFUNCTION("""COMPUTED_VALUE"""),15.0)</f>
        <v>15</v>
      </c>
      <c r="H6" s="24" t="str">
        <f>IFERROR(__xludf.DUMMYFUNCTION("""COMPUTED_VALUE"""),"First Places:")</f>
        <v>First Places:</v>
      </c>
      <c r="I6" s="24"/>
      <c r="J6" s="24"/>
      <c r="K6" s="24" t="s">
        <v>24</v>
      </c>
      <c r="L6" s="24">
        <v>10.5</v>
      </c>
      <c r="M6" s="24" t="s">
        <v>25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tr">
        <f>IFERROR(__xludf.DUMMYFUNCTION("""COMPUTED_VALUE"""),"BASIS Independent B")</f>
        <v>BASIS Independent B</v>
      </c>
      <c r="B7" s="27">
        <f>IFERROR(__xludf.DUMMYFUNCTION("""COMPUTED_VALUE"""),1.0)</f>
        <v>1</v>
      </c>
      <c r="C7" s="27">
        <f>IFERROR(__xludf.DUMMYFUNCTION("""COMPUTED_VALUE"""),1.5)</f>
        <v>1.5</v>
      </c>
      <c r="D7" s="27">
        <f>IFERROR(__xludf.DUMMYFUNCTION("""COMPUTED_VALUE"""),0.0)</f>
        <v>0</v>
      </c>
      <c r="E7" s="27">
        <f>IFERROR(__xludf.DUMMYFUNCTION("""COMPUTED_VALUE"""),0.0)</f>
        <v>0</v>
      </c>
      <c r="F7" s="28"/>
      <c r="G7" s="24">
        <f>IFERROR(__xludf.DUMMYFUNCTION("""COMPUTED_VALUE"""),2.5)</f>
        <v>2.5</v>
      </c>
      <c r="H7" s="27">
        <f>IFERROR(__xludf.DUMMYFUNCTION("""COMPUTED_VALUE"""),1.0)</f>
        <v>1</v>
      </c>
      <c r="I7" s="24"/>
      <c r="J7" s="24"/>
      <c r="K7" s="24" t="s">
        <v>26</v>
      </c>
      <c r="L7" s="24">
        <v>1.0</v>
      </c>
      <c r="M7" s="24" t="s">
        <v>27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tr">
        <f>IFERROR(__xludf.DUMMYFUNCTION("""COMPUTED_VALUE"""),"Canyon Crest A")</f>
        <v>Canyon Crest A</v>
      </c>
      <c r="B8" s="27">
        <f>IFERROR(__xludf.DUMMYFUNCTION("""COMPUTED_VALUE"""),1.5)</f>
        <v>1.5</v>
      </c>
      <c r="C8" s="27">
        <f>IFERROR(__xludf.DUMMYFUNCTION("""COMPUTED_VALUE"""),0.0)</f>
        <v>0</v>
      </c>
      <c r="D8" s="27">
        <f>IFERROR(__xludf.DUMMYFUNCTION("""COMPUTED_VALUE"""),0.0)</f>
        <v>0</v>
      </c>
      <c r="E8" s="27">
        <f>IFERROR(__xludf.DUMMYFUNCTION("""COMPUTED_VALUE"""),12.5)</f>
        <v>12.5</v>
      </c>
      <c r="F8" s="28"/>
      <c r="G8" s="24">
        <f>IFERROR(__xludf.DUMMYFUNCTION("""COMPUTED_VALUE"""),14.0)</f>
        <v>14</v>
      </c>
      <c r="H8" s="24"/>
      <c r="I8" s="24"/>
      <c r="J8" s="24"/>
      <c r="K8" s="24" t="s">
        <v>28</v>
      </c>
      <c r="L8" s="24">
        <v>1.5</v>
      </c>
      <c r="M8" s="24" t="s">
        <v>29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tr">
        <f>IFERROR(__xludf.DUMMYFUNCTION("""COMPUTED_VALUE"""),"Canyon Crest B")</f>
        <v>Canyon Crest B</v>
      </c>
      <c r="B9" s="27">
        <f>IFERROR(__xludf.DUMMYFUNCTION("""COMPUTED_VALUE"""),7.0)</f>
        <v>7</v>
      </c>
      <c r="C9" s="27">
        <f>IFERROR(__xludf.DUMMYFUNCTION("""COMPUTED_VALUE"""),0.0)</f>
        <v>0</v>
      </c>
      <c r="D9" s="27">
        <f>IFERROR(__xludf.DUMMYFUNCTION("""COMPUTED_VALUE"""),6.0)</f>
        <v>6</v>
      </c>
      <c r="E9" s="27">
        <f>IFERROR(__xludf.DUMMYFUNCTION("""COMPUTED_VALUE"""),1.0)</f>
        <v>1</v>
      </c>
      <c r="F9" s="28"/>
      <c r="G9" s="24">
        <f>IFERROR(__xludf.DUMMYFUNCTION("""COMPUTED_VALUE"""),14.0)</f>
        <v>14</v>
      </c>
      <c r="H9" s="24"/>
      <c r="I9" s="24"/>
      <c r="J9" s="24"/>
      <c r="K9" s="24" t="s">
        <v>30</v>
      </c>
      <c r="L9" s="24">
        <v>7.0</v>
      </c>
      <c r="M9" s="24" t="s">
        <v>31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tr">
        <f>IFERROR(__xludf.DUMMYFUNCTION("""COMPUTED_VALUE"""),"Mira Loma A")</f>
        <v>Mira Loma A</v>
      </c>
      <c r="B10" s="27">
        <f>IFERROR(__xludf.DUMMYFUNCTION("""COMPUTED_VALUE"""),6.5)</f>
        <v>6.5</v>
      </c>
      <c r="C10" s="27">
        <f>IFERROR(__xludf.DUMMYFUNCTION("""COMPUTED_VALUE"""),0.0)</f>
        <v>0</v>
      </c>
      <c r="D10" s="27">
        <f>IFERROR(__xludf.DUMMYFUNCTION("""COMPUTED_VALUE"""),0.0)</f>
        <v>0</v>
      </c>
      <c r="E10" s="27">
        <f>IFERROR(__xludf.DUMMYFUNCTION("""COMPUTED_VALUE"""),0.0)</f>
        <v>0</v>
      </c>
      <c r="F10" s="28">
        <f>IFERROR(__xludf.DUMMYFUNCTION("""COMPUTED_VALUE"""),7.5)</f>
        <v>7.5</v>
      </c>
      <c r="G10" s="24">
        <f>IFERROR(__xludf.DUMMYFUNCTION("""COMPUTED_VALUE"""),14.0)</f>
        <v>14</v>
      </c>
      <c r="H10" s="24"/>
      <c r="I10" s="24"/>
      <c r="J10" s="24"/>
      <c r="K10" s="24" t="s">
        <v>32</v>
      </c>
      <c r="L10" s="24">
        <v>6.5</v>
      </c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tr">
        <f>IFERROR(__xludf.DUMMYFUNCTION("""COMPUTED_VALUE"""),"Mira Loma B")</f>
        <v>Mira Loma B</v>
      </c>
      <c r="B11" s="27">
        <f>IFERROR(__xludf.DUMMYFUNCTION("""COMPUTED_VALUE"""),4.5)</f>
        <v>4.5</v>
      </c>
      <c r="C11" s="27">
        <f>IFERROR(__xludf.DUMMYFUNCTION("""COMPUTED_VALUE"""),1.0)</f>
        <v>1</v>
      </c>
      <c r="D11" s="27">
        <f>IFERROR(__xludf.DUMMYFUNCTION("""COMPUTED_VALUE"""),1.5)</f>
        <v>1.5</v>
      </c>
      <c r="E11" s="27">
        <f>IFERROR(__xludf.DUMMYFUNCTION("""COMPUTED_VALUE"""),2.0)</f>
        <v>2</v>
      </c>
      <c r="F11" s="28">
        <f>IFERROR(__xludf.DUMMYFUNCTION("""COMPUTED_VALUE"""),0.0)</f>
        <v>0</v>
      </c>
      <c r="G11" s="24">
        <f>IFERROR(__xludf.DUMMYFUNCTION("""COMPUTED_VALUE"""),9.0)</f>
        <v>9</v>
      </c>
      <c r="H11" s="24"/>
      <c r="I11" s="24"/>
      <c r="J11" s="24"/>
      <c r="K11" s="24" t="s">
        <v>34</v>
      </c>
      <c r="L11" s="24">
        <v>4.5</v>
      </c>
      <c r="M11" s="24" t="s">
        <v>35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tr">
        <f>IFERROR(__xludf.DUMMYFUNCTION("""COMPUTED_VALUE"""),"Foothill A")</f>
        <v>Foothill A</v>
      </c>
      <c r="B12" s="27">
        <f>IFERROR(__xludf.DUMMYFUNCTION("""COMPUTED_VALUE"""),0.0)</f>
        <v>0</v>
      </c>
      <c r="C12" s="27">
        <f>IFERROR(__xludf.DUMMYFUNCTION("""COMPUTED_VALUE"""),0.0)</f>
        <v>0</v>
      </c>
      <c r="D12" s="27">
        <f>IFERROR(__xludf.DUMMYFUNCTION("""COMPUTED_VALUE"""),0.0)</f>
        <v>0</v>
      </c>
      <c r="E12" s="27">
        <f>IFERROR(__xludf.DUMMYFUNCTION("""COMPUTED_VALUE"""),1.0)</f>
        <v>1</v>
      </c>
      <c r="F12" s="28">
        <f>IFERROR(__xludf.DUMMYFUNCTION("""COMPUTED_VALUE"""),4.5)</f>
        <v>4.5</v>
      </c>
      <c r="G12" s="24">
        <f>IFERROR(__xludf.DUMMYFUNCTION("""COMPUTED_VALUE"""),5.5)</f>
        <v>5.5</v>
      </c>
      <c r="H12" s="24"/>
      <c r="I12" s="24"/>
      <c r="J12" s="24"/>
      <c r="K12" s="24" t="s">
        <v>36</v>
      </c>
      <c r="L12" s="24">
        <v>0.0</v>
      </c>
      <c r="M12" s="24" t="s">
        <v>37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tr">
        <f>IFERROR(__xludf.DUMMYFUNCTION("""COMPUTED_VALUE"""),"Foothill B")</f>
        <v>Foothill B</v>
      </c>
      <c r="B13" s="27">
        <f>IFERROR(__xludf.DUMMYFUNCTION("""COMPUTED_VALUE"""),0.0)</f>
        <v>0</v>
      </c>
      <c r="C13" s="27">
        <f>IFERROR(__xludf.DUMMYFUNCTION("""COMPUTED_VALUE"""),0.0)</f>
        <v>0</v>
      </c>
      <c r="D13" s="27">
        <f>IFERROR(__xludf.DUMMYFUNCTION("""COMPUTED_VALUE"""),0.0)</f>
        <v>0</v>
      </c>
      <c r="E13" s="27">
        <f>IFERROR(__xludf.DUMMYFUNCTION("""COMPUTED_VALUE"""),0.0)</f>
        <v>0</v>
      </c>
      <c r="F13" s="28">
        <f>IFERROR(__xludf.DUMMYFUNCTION("""COMPUTED_VALUE"""),8.0)</f>
        <v>8</v>
      </c>
      <c r="G13" s="24">
        <f>IFERROR(__xludf.DUMMYFUNCTION("""COMPUTED_VALUE"""),8.0)</f>
        <v>8</v>
      </c>
      <c r="H13" s="24"/>
      <c r="I13" s="24"/>
      <c r="J13" s="24"/>
      <c r="K13" s="24" t="s">
        <v>38</v>
      </c>
      <c r="L13" s="24">
        <v>0.0</v>
      </c>
      <c r="M13" s="24" t="s">
        <v>39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tr">
        <f>IFERROR(__xludf.DUMMYFUNCTION("""COMPUTED_VALUE"""),"Lynbrook C")</f>
        <v>Lynbrook C</v>
      </c>
      <c r="B14" s="27">
        <f>IFERROR(__xludf.DUMMYFUNCTION("""COMPUTED_VALUE"""),0.0)</f>
        <v>0</v>
      </c>
      <c r="C14" s="27">
        <f>IFERROR(__xludf.DUMMYFUNCTION("""COMPUTED_VALUE"""),1.5)</f>
        <v>1.5</v>
      </c>
      <c r="D14" s="27">
        <f>IFERROR(__xludf.DUMMYFUNCTION("""COMPUTED_VALUE"""),10.0)</f>
        <v>10</v>
      </c>
      <c r="E14" s="27">
        <f>IFERROR(__xludf.DUMMYFUNCTION("""COMPUTED_VALUE"""),0.0)</f>
        <v>0</v>
      </c>
      <c r="F14" s="28">
        <f>IFERROR(__xludf.DUMMYFUNCTION("""COMPUTED_VALUE"""),4.5)</f>
        <v>4.5</v>
      </c>
      <c r="G14" s="24">
        <f>IFERROR(__xludf.DUMMYFUNCTION("""COMPUTED_VALUE"""),16.0)</f>
        <v>16</v>
      </c>
      <c r="H14" s="24"/>
      <c r="I14" s="24"/>
      <c r="J14" s="24"/>
      <c r="K14" s="24" t="s">
        <v>40</v>
      </c>
      <c r="L14" s="24">
        <v>0.0</v>
      </c>
      <c r="M14" s="24" t="s">
        <v>41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tr">
        <f>IFERROR(__xludf.DUMMYFUNCTION("""COMPUTED_VALUE"""),"American A")</f>
        <v>American A</v>
      </c>
      <c r="B15" s="27">
        <f>IFERROR(__xludf.DUMMYFUNCTION("""COMPUTED_VALUE"""),2.0)</f>
        <v>2</v>
      </c>
      <c r="C15" s="27">
        <f>IFERROR(__xludf.DUMMYFUNCTION("""COMPUTED_VALUE"""),0.0)</f>
        <v>0</v>
      </c>
      <c r="D15" s="27">
        <f>IFERROR(__xludf.DUMMYFUNCTION("""COMPUTED_VALUE"""),6.5)</f>
        <v>6.5</v>
      </c>
      <c r="E15" s="27">
        <f>IFERROR(__xludf.DUMMYFUNCTION("""COMPUTED_VALUE"""),0.0)</f>
        <v>0</v>
      </c>
      <c r="F15" s="28">
        <f>IFERROR(__xludf.DUMMYFUNCTION("""COMPUTED_VALUE"""),5.0)</f>
        <v>5</v>
      </c>
      <c r="G15" s="24">
        <f>IFERROR(__xludf.DUMMYFUNCTION("""COMPUTED_VALUE"""),13.5)</f>
        <v>13.5</v>
      </c>
      <c r="H15" s="24"/>
      <c r="I15" s="24"/>
      <c r="J15" s="24"/>
      <c r="K15" s="24" t="s">
        <v>42</v>
      </c>
      <c r="L15" s="24">
        <v>2.0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tr">
        <f>IFERROR(__xludf.DUMMYFUNCTION("""COMPUTED_VALUE"""),"American B")</f>
        <v>American B</v>
      </c>
      <c r="B16" s="27">
        <f>IFERROR(__xludf.DUMMYFUNCTION("""COMPUTED_VALUE"""),0.0)</f>
        <v>0</v>
      </c>
      <c r="C16" s="27">
        <f>IFERROR(__xludf.DUMMYFUNCTION("""COMPUTED_VALUE"""),0.0)</f>
        <v>0</v>
      </c>
      <c r="D16" s="27">
        <f>IFERROR(__xludf.DUMMYFUNCTION("""COMPUTED_VALUE"""),-1.0)</f>
        <v>-1</v>
      </c>
      <c r="E16" s="27">
        <f>IFERROR(__xludf.DUMMYFUNCTION("""COMPUTED_VALUE"""),2.0)</f>
        <v>2</v>
      </c>
      <c r="F16" s="28">
        <f>IFERROR(__xludf.DUMMYFUNCTION("""COMPUTED_VALUE"""),2.0)</f>
        <v>2</v>
      </c>
      <c r="G16" s="24">
        <f>IFERROR(__xludf.DUMMYFUNCTION("""COMPUTED_VALUE"""),3.0)</f>
        <v>3</v>
      </c>
      <c r="H16" s="24"/>
      <c r="I16" s="24"/>
      <c r="J16" s="24"/>
      <c r="K16" s="24" t="s">
        <v>44</v>
      </c>
      <c r="L16" s="24">
        <v>0.0</v>
      </c>
      <c r="M16" s="24" t="s">
        <v>45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tr">
        <f>IFERROR(__xludf.DUMMYFUNCTION("""COMPUTED_VALUE"""),"Palo Alto A")</f>
        <v>Palo Alto A</v>
      </c>
      <c r="B17" s="27">
        <f>IFERROR(__xludf.DUMMYFUNCTION("""COMPUTED_VALUE"""),2.5)</f>
        <v>2.5</v>
      </c>
      <c r="C17" s="27">
        <f>IFERROR(__xludf.DUMMYFUNCTION("""COMPUTED_VALUE"""),0.0)</f>
        <v>0</v>
      </c>
      <c r="D17" s="27">
        <f>IFERROR(__xludf.DUMMYFUNCTION("""COMPUTED_VALUE"""),0.0)</f>
        <v>0</v>
      </c>
      <c r="E17" s="27">
        <f>IFERROR(__xludf.DUMMYFUNCTION("""COMPUTED_VALUE"""),4.5)</f>
        <v>4.5</v>
      </c>
      <c r="F17" s="28">
        <f>IFERROR(__xludf.DUMMYFUNCTION("""COMPUTED_VALUE"""),0.0)</f>
        <v>0</v>
      </c>
      <c r="G17" s="24">
        <f>IFERROR(__xludf.DUMMYFUNCTION("""COMPUTED_VALUE"""),7.0)</f>
        <v>7</v>
      </c>
      <c r="H17" s="24"/>
      <c r="I17" s="24"/>
      <c r="J17" s="24"/>
      <c r="K17" s="24" t="s">
        <v>46</v>
      </c>
      <c r="L17" s="24">
        <v>2.5</v>
      </c>
      <c r="M17" s="24" t="s">
        <v>47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tr">
        <f>IFERROR(__xludf.DUMMYFUNCTION("""COMPUTED_VALUE"""),"Palo Alto B")</f>
        <v>Palo Alto B</v>
      </c>
      <c r="B18" s="27">
        <f>IFERROR(__xludf.DUMMYFUNCTION("""COMPUTED_VALUE"""),0.0)</f>
        <v>0</v>
      </c>
      <c r="C18" s="27">
        <f>IFERROR(__xludf.DUMMYFUNCTION("""COMPUTED_VALUE"""),0.0)</f>
        <v>0</v>
      </c>
      <c r="D18" s="27">
        <f>IFERROR(__xludf.DUMMYFUNCTION("""COMPUTED_VALUE"""),2.5)</f>
        <v>2.5</v>
      </c>
      <c r="E18" s="27">
        <f>IFERROR(__xludf.DUMMYFUNCTION("""COMPUTED_VALUE"""),0.0)</f>
        <v>0</v>
      </c>
      <c r="F18" s="28">
        <f>IFERROR(__xludf.DUMMYFUNCTION("""COMPUTED_VALUE"""),0.0)</f>
        <v>0</v>
      </c>
      <c r="G18" s="24">
        <f>IFERROR(__xludf.DUMMYFUNCTION("""COMPUTED_VALUE"""),2.5)</f>
        <v>2.5</v>
      </c>
      <c r="H18" s="24"/>
      <c r="I18" s="24"/>
      <c r="J18" s="24"/>
      <c r="K18" s="24" t="s">
        <v>48</v>
      </c>
      <c r="L18" s="24">
        <v>0.0</v>
      </c>
      <c r="M18" s="24" t="s">
        <v>49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tr">
        <f>IFERROR(__xludf.DUMMYFUNCTION("""COMPUTED_VALUE"""),"California B")</f>
        <v>California B</v>
      </c>
      <c r="B19" s="27">
        <f>IFERROR(__xludf.DUMMYFUNCTION("""COMPUTED_VALUE"""),0.0)</f>
        <v>0</v>
      </c>
      <c r="C19" s="27">
        <f>IFERROR(__xludf.DUMMYFUNCTION("""COMPUTED_VALUE"""),0.0)</f>
        <v>0</v>
      </c>
      <c r="D19" s="27">
        <f>IFERROR(__xludf.DUMMYFUNCTION("""COMPUTED_VALUE"""),0.0)</f>
        <v>0</v>
      </c>
      <c r="E19" s="27">
        <f>IFERROR(__xludf.DUMMYFUNCTION("""COMPUTED_VALUE"""),0.0)</f>
        <v>0</v>
      </c>
      <c r="F19" s="28">
        <f>IFERROR(__xludf.DUMMYFUNCTION("""COMPUTED_VALUE"""),0.0)</f>
        <v>0</v>
      </c>
      <c r="G19" s="24">
        <f>IFERROR(__xludf.DUMMYFUNCTION("""COMPUTED_VALUE"""),0.0)</f>
        <v>0</v>
      </c>
      <c r="H19" s="24"/>
      <c r="I19" s="24"/>
      <c r="J19" s="24"/>
      <c r="K19" s="24" t="s">
        <v>50</v>
      </c>
      <c r="L19" s="24">
        <v>0.0</v>
      </c>
      <c r="M19" s="24" t="s">
        <v>51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tr">
        <f>IFERROR(__xludf.DUMMYFUNCTION("""COMPUTED_VALUE"""),"California A")</f>
        <v>California A</v>
      </c>
      <c r="B20" s="27">
        <f>IFERROR(__xludf.DUMMYFUNCTION("""COMPUTED_VALUE"""),0.0)</f>
        <v>0</v>
      </c>
      <c r="C20" s="27">
        <f>IFERROR(__xludf.DUMMYFUNCTION("""COMPUTED_VALUE"""),1.5)</f>
        <v>1.5</v>
      </c>
      <c r="D20" s="27">
        <f>IFERROR(__xludf.DUMMYFUNCTION("""COMPUTED_VALUE"""),0.0)</f>
        <v>0</v>
      </c>
      <c r="E20" s="27">
        <f>IFERROR(__xludf.DUMMYFUNCTION("""COMPUTED_VALUE"""),1.0)</f>
        <v>1</v>
      </c>
      <c r="F20" s="28">
        <f>IFERROR(__xludf.DUMMYFUNCTION("""COMPUTED_VALUE"""),0.0)</f>
        <v>0</v>
      </c>
      <c r="G20" s="24">
        <f>IFERROR(__xludf.DUMMYFUNCTION("""COMPUTED_VALUE"""),2.5)</f>
        <v>2.5</v>
      </c>
      <c r="H20" s="24"/>
      <c r="I20" s="24"/>
      <c r="J20" s="24"/>
      <c r="K20" s="24" t="s">
        <v>52</v>
      </c>
      <c r="L20" s="24">
        <v>0.0</v>
      </c>
      <c r="M20" s="24" t="s">
        <v>53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tr">
        <f>IFERROR(__xludf.DUMMYFUNCTION("""COMPUTED_VALUE"""),"Arnold O. Beckman A")</f>
        <v>Arnold O. Beckman A</v>
      </c>
      <c r="B21" s="27">
        <f>IFERROR(__xludf.DUMMYFUNCTION("""COMPUTED_VALUE"""),2.5)</f>
        <v>2.5</v>
      </c>
      <c r="C21" s="27">
        <f>IFERROR(__xludf.DUMMYFUNCTION("""COMPUTED_VALUE"""),1.0)</f>
        <v>1</v>
      </c>
      <c r="D21" s="27">
        <f>IFERROR(__xludf.DUMMYFUNCTION("""COMPUTED_VALUE"""),0.0)</f>
        <v>0</v>
      </c>
      <c r="E21" s="27">
        <f>IFERROR(__xludf.DUMMYFUNCTION("""COMPUTED_VALUE"""),0.0)</f>
        <v>0</v>
      </c>
      <c r="F21" s="28"/>
      <c r="G21" s="24">
        <f>IFERROR(__xludf.DUMMYFUNCTION("""COMPUTED_VALUE"""),3.5)</f>
        <v>3.5</v>
      </c>
      <c r="H21" s="24"/>
      <c r="I21" s="24"/>
      <c r="J21" s="24"/>
      <c r="K21" s="24" t="s">
        <v>54</v>
      </c>
      <c r="L21" s="24">
        <v>2.5</v>
      </c>
      <c r="M21" s="24" t="s">
        <v>55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tr">
        <f>IFERROR(__xludf.DUMMYFUNCTION("""COMPUTED_VALUE"""),"Archbishop Mitty A")</f>
        <v>Archbishop Mitty A</v>
      </c>
      <c r="B22" s="27">
        <f>IFERROR(__xludf.DUMMYFUNCTION("""COMPUTED_VALUE"""),0.0)</f>
        <v>0</v>
      </c>
      <c r="C22" s="27">
        <f>IFERROR(__xludf.DUMMYFUNCTION("""COMPUTED_VALUE"""),-1.0)</f>
        <v>-1</v>
      </c>
      <c r="D22" s="27">
        <f>IFERROR(__xludf.DUMMYFUNCTION("""COMPUTED_VALUE"""),0.0)</f>
        <v>0</v>
      </c>
      <c r="E22" s="27">
        <f>IFERROR(__xludf.DUMMYFUNCTION("""COMPUTED_VALUE"""),0.0)</f>
        <v>0</v>
      </c>
      <c r="F22" s="28"/>
      <c r="G22" s="24">
        <f>IFERROR(__xludf.DUMMYFUNCTION("""COMPUTED_VALUE"""),-1.0)</f>
        <v>-1</v>
      </c>
      <c r="H22" s="24"/>
      <c r="I22" s="24"/>
      <c r="J22" s="24"/>
      <c r="K22" s="24" t="s">
        <v>56</v>
      </c>
      <c r="L22" s="24">
        <v>0.0</v>
      </c>
      <c r="M22" s="24" t="s">
        <v>57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tr">
        <f>IFERROR(__xludf.DUMMYFUNCTION("""COMPUTED_VALUE"""),"Archbishop Mitty B")</f>
        <v>Archbishop Mitty B</v>
      </c>
      <c r="B23" s="27">
        <f>IFERROR(__xludf.DUMMYFUNCTION("""COMPUTED_VALUE"""),1.0)</f>
        <v>1</v>
      </c>
      <c r="C23" s="27">
        <f>IFERROR(__xludf.DUMMYFUNCTION("""COMPUTED_VALUE"""),10.0)</f>
        <v>10</v>
      </c>
      <c r="D23" s="27">
        <f>IFERROR(__xludf.DUMMYFUNCTION("""COMPUTED_VALUE"""),0.0)</f>
        <v>0</v>
      </c>
      <c r="E23" s="27">
        <f>IFERROR(__xludf.DUMMYFUNCTION("""COMPUTED_VALUE"""),0.0)</f>
        <v>0</v>
      </c>
      <c r="F23" s="28"/>
      <c r="G23" s="24">
        <f>IFERROR(__xludf.DUMMYFUNCTION("""COMPUTED_VALUE"""),11.0)</f>
        <v>11</v>
      </c>
      <c r="H23" s="24"/>
      <c r="I23" s="24"/>
      <c r="J23" s="24"/>
      <c r="K23" s="24" t="s">
        <v>58</v>
      </c>
      <c r="L23" s="24">
        <v>1.0</v>
      </c>
      <c r="M23" s="24" t="s">
        <v>59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6" t="str">
        <f>IFERROR(__xludf.DUMMYFUNCTION("""COMPUTED_VALUE"""),"Mission San Jose A")</f>
        <v>Mission San Jose A</v>
      </c>
      <c r="B24" s="27">
        <f>IFERROR(__xludf.DUMMYFUNCTION("""COMPUTED_VALUE"""),4.0)</f>
        <v>4</v>
      </c>
      <c r="C24" s="27">
        <f>IFERROR(__xludf.DUMMYFUNCTION("""COMPUTED_VALUE"""),0.0)</f>
        <v>0</v>
      </c>
      <c r="D24" s="27">
        <f>IFERROR(__xludf.DUMMYFUNCTION("""COMPUTED_VALUE"""),6.0)</f>
        <v>6</v>
      </c>
      <c r="E24" s="27">
        <f>IFERROR(__xludf.DUMMYFUNCTION("""COMPUTED_VALUE"""),1.5)</f>
        <v>1.5</v>
      </c>
      <c r="F24" s="28">
        <f>IFERROR(__xludf.DUMMYFUNCTION("""COMPUTED_VALUE"""),0.0)</f>
        <v>0</v>
      </c>
      <c r="G24" s="24">
        <f>IFERROR(__xludf.DUMMYFUNCTION("""COMPUTED_VALUE"""),11.5)</f>
        <v>11.5</v>
      </c>
      <c r="H24" s="24"/>
      <c r="I24" s="24"/>
      <c r="J24" s="24"/>
      <c r="K24" s="24" t="s">
        <v>60</v>
      </c>
      <c r="L24" s="24">
        <v>4.0</v>
      </c>
      <c r="M24" s="24" t="s">
        <v>61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6" t="str">
        <f>IFERROR(__xludf.DUMMYFUNCTION("""COMPUTED_VALUE"""),"Mission San Jose B")</f>
        <v>Mission San Jose B</v>
      </c>
      <c r="B25" s="27">
        <f>IFERROR(__xludf.DUMMYFUNCTION("""COMPUTED_VALUE"""),0.0)</f>
        <v>0</v>
      </c>
      <c r="C25" s="27">
        <f>IFERROR(__xludf.DUMMYFUNCTION("""COMPUTED_VALUE"""),1.5)</f>
        <v>1.5</v>
      </c>
      <c r="D25" s="27">
        <f>IFERROR(__xludf.DUMMYFUNCTION("""COMPUTED_VALUE"""),0.0)</f>
        <v>0</v>
      </c>
      <c r="E25" s="27">
        <f>IFERROR(__xludf.DUMMYFUNCTION("""COMPUTED_VALUE"""),11.0)</f>
        <v>11</v>
      </c>
      <c r="F25" s="28">
        <f>IFERROR(__xludf.DUMMYFUNCTION("""COMPUTED_VALUE"""),0.0)</f>
        <v>0</v>
      </c>
      <c r="G25" s="24">
        <f>IFERROR(__xludf.DUMMYFUNCTION("""COMPUTED_VALUE"""),12.5)</f>
        <v>12.5</v>
      </c>
      <c r="H25" s="24"/>
      <c r="I25" s="24"/>
      <c r="J25" s="24"/>
      <c r="K25" s="24" t="s">
        <v>62</v>
      </c>
      <c r="L25" s="24">
        <v>0.0</v>
      </c>
      <c r="M25" s="24" t="s">
        <v>63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6" t="str">
        <f>IFERROR(__xludf.DUMMYFUNCTION("""COMPUTED_VALUE"""),"Stanford Online")</f>
        <v>Stanford Online</v>
      </c>
      <c r="B26" s="27">
        <f>IFERROR(__xludf.DUMMYFUNCTION("""COMPUTED_VALUE"""),1.5)</f>
        <v>1.5</v>
      </c>
      <c r="C26" s="27">
        <f>IFERROR(__xludf.DUMMYFUNCTION("""COMPUTED_VALUE"""),0.0)</f>
        <v>0</v>
      </c>
      <c r="D26" s="27">
        <f>IFERROR(__xludf.DUMMYFUNCTION("""COMPUTED_VALUE"""),2.5)</f>
        <v>2.5</v>
      </c>
      <c r="E26" s="27">
        <f>IFERROR(__xludf.DUMMYFUNCTION("""COMPUTED_VALUE"""),1.0)</f>
        <v>1</v>
      </c>
      <c r="F26" s="28"/>
      <c r="G26" s="24">
        <f>IFERROR(__xludf.DUMMYFUNCTION("""COMPUTED_VALUE"""),5.0)</f>
        <v>5</v>
      </c>
      <c r="H26" s="24"/>
      <c r="I26" s="24"/>
      <c r="J26" s="24"/>
      <c r="K26" s="24" t="s">
        <v>64</v>
      </c>
      <c r="L26" s="24">
        <v>1.5</v>
      </c>
      <c r="M26" s="24" t="s">
        <v>65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tr">
        <f>IFERROR(__xludf.DUMMYFUNCTION("""COMPUTED_VALUE"""),"Cupertino A")</f>
        <v>Cupertino A</v>
      </c>
      <c r="B27" s="27">
        <f>IFERROR(__xludf.DUMMYFUNCTION("""COMPUTED_VALUE"""),1.5)</f>
        <v>1.5</v>
      </c>
      <c r="C27" s="27">
        <f>IFERROR(__xludf.DUMMYFUNCTION("""COMPUTED_VALUE"""),6.0)</f>
        <v>6</v>
      </c>
      <c r="D27" s="27">
        <f>IFERROR(__xludf.DUMMYFUNCTION("""COMPUTED_VALUE"""),1.5)</f>
        <v>1.5</v>
      </c>
      <c r="E27" s="27">
        <f>IFERROR(__xludf.DUMMYFUNCTION("""COMPUTED_VALUE"""),3.0)</f>
        <v>3</v>
      </c>
      <c r="F27" s="28">
        <f>IFERROR(__xludf.DUMMYFUNCTION("""COMPUTED_VALUE"""),0.0)</f>
        <v>0</v>
      </c>
      <c r="G27" s="24">
        <f>IFERROR(__xludf.DUMMYFUNCTION("""COMPUTED_VALUE"""),12.0)</f>
        <v>12</v>
      </c>
      <c r="H27" s="24"/>
      <c r="I27" s="24"/>
      <c r="J27" s="24"/>
      <c r="K27" s="24" t="s">
        <v>9</v>
      </c>
      <c r="L27" s="24">
        <v>1.5</v>
      </c>
      <c r="M27" s="24" t="s">
        <v>66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6" t="str">
        <f>IFERROR(__xludf.DUMMYFUNCTION("""COMPUTED_VALUE"""),"Cupertino B")</f>
        <v>Cupertino B</v>
      </c>
      <c r="B28" s="27">
        <f>IFERROR(__xludf.DUMMYFUNCTION("""COMPUTED_VALUE"""),1.5)</f>
        <v>1.5</v>
      </c>
      <c r="C28" s="27">
        <f>IFERROR(__xludf.DUMMYFUNCTION("""COMPUTED_VALUE"""),1.0)</f>
        <v>1</v>
      </c>
      <c r="D28" s="27">
        <f>IFERROR(__xludf.DUMMYFUNCTION("""COMPUTED_VALUE"""),0.0)</f>
        <v>0</v>
      </c>
      <c r="E28" s="27">
        <f>IFERROR(__xludf.DUMMYFUNCTION("""COMPUTED_VALUE"""),0.0)</f>
        <v>0</v>
      </c>
      <c r="F28" s="28">
        <f>IFERROR(__xludf.DUMMYFUNCTION("""COMPUTED_VALUE"""),0.0)</f>
        <v>0</v>
      </c>
      <c r="G28" s="24">
        <f>IFERROR(__xludf.DUMMYFUNCTION("""COMPUTED_VALUE"""),2.5)</f>
        <v>2.5</v>
      </c>
      <c r="H28" s="24"/>
      <c r="I28" s="24"/>
      <c r="J28" s="24"/>
      <c r="K28" s="24" t="s">
        <v>67</v>
      </c>
      <c r="L28" s="24">
        <v>1.5</v>
      </c>
      <c r="M28" s="24" t="s">
        <v>68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6" t="str">
        <f>IFERROR(__xludf.DUMMYFUNCTION("""COMPUTED_VALUE"""),"Monta Vista A")</f>
        <v>Monta Vista A</v>
      </c>
      <c r="B29" s="27">
        <f>IFERROR(__xludf.DUMMYFUNCTION("""COMPUTED_VALUE"""),0.0)</f>
        <v>0</v>
      </c>
      <c r="C29" s="27">
        <f>IFERROR(__xludf.DUMMYFUNCTION("""COMPUTED_VALUE"""),2.5)</f>
        <v>2.5</v>
      </c>
      <c r="D29" s="27">
        <f>IFERROR(__xludf.DUMMYFUNCTION("""COMPUTED_VALUE"""),0.0)</f>
        <v>0</v>
      </c>
      <c r="E29" s="27">
        <f>IFERROR(__xludf.DUMMYFUNCTION("""COMPUTED_VALUE"""),0.0)</f>
        <v>0</v>
      </c>
      <c r="F29" s="28">
        <f>IFERROR(__xludf.DUMMYFUNCTION("""COMPUTED_VALUE"""),2.0)</f>
        <v>2</v>
      </c>
      <c r="G29" s="24">
        <f>IFERROR(__xludf.DUMMYFUNCTION("""COMPUTED_VALUE"""),4.5)</f>
        <v>4.5</v>
      </c>
      <c r="H29" s="24"/>
      <c r="I29" s="24"/>
      <c r="J29" s="24"/>
      <c r="K29" s="24" t="s">
        <v>69</v>
      </c>
      <c r="L29" s="24">
        <v>0.0</v>
      </c>
      <c r="M29" s="24" t="s">
        <v>70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6" t="str">
        <f>IFERROR(__xludf.DUMMYFUNCTION("""COMPUTED_VALUE"""),"Monta Vista B")</f>
        <v>Monta Vista B</v>
      </c>
      <c r="B30" s="27">
        <f>IFERROR(__xludf.DUMMYFUNCTION("""COMPUTED_VALUE"""),1.5)</f>
        <v>1.5</v>
      </c>
      <c r="C30" s="27">
        <f>IFERROR(__xludf.DUMMYFUNCTION("""COMPUTED_VALUE"""),2.5)</f>
        <v>2.5</v>
      </c>
      <c r="D30" s="27">
        <f>IFERROR(__xludf.DUMMYFUNCTION("""COMPUTED_VALUE"""),1.5)</f>
        <v>1.5</v>
      </c>
      <c r="E30" s="27">
        <f>IFERROR(__xludf.DUMMYFUNCTION("""COMPUTED_VALUE"""),0.0)</f>
        <v>0</v>
      </c>
      <c r="F30" s="28">
        <f>IFERROR(__xludf.DUMMYFUNCTION("""COMPUTED_VALUE"""),0.0)</f>
        <v>0</v>
      </c>
      <c r="G30" s="24">
        <f>IFERROR(__xludf.DUMMYFUNCTION("""COMPUTED_VALUE"""),5.5)</f>
        <v>5.5</v>
      </c>
      <c r="H30" s="24"/>
      <c r="I30" s="24"/>
      <c r="J30" s="24"/>
      <c r="K30" s="24" t="s">
        <v>71</v>
      </c>
      <c r="L30" s="24">
        <v>1.5</v>
      </c>
      <c r="M30" s="24" t="s">
        <v>72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6" t="str">
        <f>IFERROR(__xludf.DUMMYFUNCTION("""COMPUTED_VALUE"""),"North Hollywood")</f>
        <v>North Hollywood</v>
      </c>
      <c r="B31" s="27">
        <f>IFERROR(__xludf.DUMMYFUNCTION("""COMPUTED_VALUE"""),14.0)</f>
        <v>14</v>
      </c>
      <c r="C31" s="27">
        <f>IFERROR(__xludf.DUMMYFUNCTION("""COMPUTED_VALUE"""),1.5)</f>
        <v>1.5</v>
      </c>
      <c r="D31" s="27">
        <f>IFERROR(__xludf.DUMMYFUNCTION("""COMPUTED_VALUE"""),4.5)</f>
        <v>4.5</v>
      </c>
      <c r="E31" s="27">
        <f>IFERROR(__xludf.DUMMYFUNCTION("""COMPUTED_VALUE"""),-1.0)</f>
        <v>-1</v>
      </c>
      <c r="F31" s="28"/>
      <c r="G31" s="24">
        <f>IFERROR(__xludf.DUMMYFUNCTION("""COMPUTED_VALUE"""),19.0)</f>
        <v>19</v>
      </c>
      <c r="H31" s="24"/>
      <c r="I31" s="24"/>
      <c r="J31" s="24"/>
      <c r="K31" s="24" t="s">
        <v>73</v>
      </c>
      <c r="L31" s="24">
        <v>14.0</v>
      </c>
      <c r="M31" s="24" t="s">
        <v>74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tr">
        <f>IFERROR(__xludf.DUMMYFUNCTION("""COMPUTED_VALUE"""),"Dougherty Valley A")</f>
        <v>Dougherty Valley A</v>
      </c>
      <c r="B32" s="27">
        <f>IFERROR(__xludf.DUMMYFUNCTION("""COMPUTED_VALUE"""),0.0)</f>
        <v>0</v>
      </c>
      <c r="C32" s="27">
        <f>IFERROR(__xludf.DUMMYFUNCTION("""COMPUTED_VALUE"""),12.0)</f>
        <v>12</v>
      </c>
      <c r="D32" s="27">
        <f>IFERROR(__xludf.DUMMYFUNCTION("""COMPUTED_VALUE"""),0.0)</f>
        <v>0</v>
      </c>
      <c r="E32" s="27">
        <f>IFERROR(__xludf.DUMMYFUNCTION("""COMPUTED_VALUE"""),0.0)</f>
        <v>0</v>
      </c>
      <c r="F32" s="28"/>
      <c r="G32" s="24">
        <f>IFERROR(__xludf.DUMMYFUNCTION("""COMPUTED_VALUE"""),12.0)</f>
        <v>12</v>
      </c>
      <c r="H32" s="24"/>
      <c r="I32" s="24"/>
      <c r="J32" s="24"/>
      <c r="K32" s="24" t="s">
        <v>75</v>
      </c>
      <c r="L32" s="24">
        <v>0.0</v>
      </c>
      <c r="M32" s="24" t="s">
        <v>76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6" t="str">
        <f>IFERROR(__xludf.DUMMYFUNCTION("""COMPUTED_VALUE"""),"Dougherty Valley B")</f>
        <v>Dougherty Valley B</v>
      </c>
      <c r="B33" s="27">
        <f>IFERROR(__xludf.DUMMYFUNCTION("""COMPUTED_VALUE"""),1.0)</f>
        <v>1</v>
      </c>
      <c r="C33" s="24"/>
      <c r="D33" s="27">
        <f>IFERROR(__xludf.DUMMYFUNCTION("""COMPUTED_VALUE"""),0.0)</f>
        <v>0</v>
      </c>
      <c r="E33" s="27">
        <f>IFERROR(__xludf.DUMMYFUNCTION("""COMPUTED_VALUE"""),1.0)</f>
        <v>1</v>
      </c>
      <c r="F33" s="28">
        <f>IFERROR(__xludf.DUMMYFUNCTION("""COMPUTED_VALUE"""),0.0)</f>
        <v>0</v>
      </c>
      <c r="G33" s="24">
        <f>IFERROR(__xludf.DUMMYFUNCTION("""COMPUTED_VALUE"""),2.0)</f>
        <v>2</v>
      </c>
      <c r="H33" s="24"/>
      <c r="I33" s="24"/>
      <c r="J33" s="24"/>
      <c r="K33" s="24" t="s">
        <v>77</v>
      </c>
      <c r="L33" s="24">
        <v>1.0</v>
      </c>
      <c r="M33" s="24" t="s">
        <v>78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6" t="str">
        <f>IFERROR(__xludf.DUMMYFUNCTION("""COMPUTED_VALUE"""),"Amador Valley A")</f>
        <v>Amador Valley A</v>
      </c>
      <c r="B34" s="27">
        <f>IFERROR(__xludf.DUMMYFUNCTION("""COMPUTED_VALUE"""),0.0)</f>
        <v>0</v>
      </c>
      <c r="C34" s="27">
        <f>IFERROR(__xludf.DUMMYFUNCTION("""COMPUTED_VALUE"""),0.0)</f>
        <v>0</v>
      </c>
      <c r="D34" s="27">
        <f>IFERROR(__xludf.DUMMYFUNCTION("""COMPUTED_VALUE"""),0.0)</f>
        <v>0</v>
      </c>
      <c r="E34" s="27">
        <f>IFERROR(__xludf.DUMMYFUNCTION("""COMPUTED_VALUE"""),14.0)</f>
        <v>14</v>
      </c>
      <c r="F34" s="28">
        <f>IFERROR(__xludf.DUMMYFUNCTION("""COMPUTED_VALUE"""),0.0)</f>
        <v>0</v>
      </c>
      <c r="G34" s="24">
        <f>IFERROR(__xludf.DUMMYFUNCTION("""COMPUTED_VALUE"""),14.0)</f>
        <v>14</v>
      </c>
      <c r="H34" s="24"/>
      <c r="I34" s="24"/>
      <c r="J34" s="24"/>
      <c r="K34" s="24" t="s">
        <v>79</v>
      </c>
      <c r="L34" s="24">
        <v>0.0</v>
      </c>
      <c r="M34" s="24" t="s">
        <v>80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6" t="str">
        <f>IFERROR(__xludf.DUMMYFUNCTION("""COMPUTED_VALUE"""),"Amador Valley B")</f>
        <v>Amador Valley B</v>
      </c>
      <c r="B35" s="27">
        <f>IFERROR(__xludf.DUMMYFUNCTION("""COMPUTED_VALUE"""),0.0)</f>
        <v>0</v>
      </c>
      <c r="C35" s="27">
        <f>IFERROR(__xludf.DUMMYFUNCTION("""COMPUTED_VALUE"""),0.0)</f>
        <v>0</v>
      </c>
      <c r="D35" s="27">
        <f>IFERROR(__xludf.DUMMYFUNCTION("""COMPUTED_VALUE"""),3.5)</f>
        <v>3.5</v>
      </c>
      <c r="E35" s="27">
        <f>IFERROR(__xludf.DUMMYFUNCTION("""COMPUTED_VALUE"""),1.5)</f>
        <v>1.5</v>
      </c>
      <c r="F35" s="28"/>
      <c r="G35" s="24">
        <f>IFERROR(__xludf.DUMMYFUNCTION("""COMPUTED_VALUE"""),5.0)</f>
        <v>5</v>
      </c>
      <c r="H35" s="24"/>
      <c r="I35" s="24"/>
      <c r="J35" s="24"/>
      <c r="K35" s="24" t="s">
        <v>81</v>
      </c>
      <c r="L35" s="24">
        <v>0.0</v>
      </c>
      <c r="M35" s="24" t="s">
        <v>82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6" t="str">
        <f>IFERROR(__xludf.DUMMYFUNCTION("""COMPUTED_VALUE"""),"Lynbrook A")</f>
        <v>Lynbrook A</v>
      </c>
      <c r="B36" s="27">
        <f>IFERROR(__xludf.DUMMYFUNCTION("""COMPUTED_VALUE"""),-1.0)</f>
        <v>-1</v>
      </c>
      <c r="C36" s="27">
        <f>IFERROR(__xludf.DUMMYFUNCTION("""COMPUTED_VALUE"""),12.5)</f>
        <v>12.5</v>
      </c>
      <c r="D36" s="27">
        <f>IFERROR(__xludf.DUMMYFUNCTION("""COMPUTED_VALUE"""),0.0)</f>
        <v>0</v>
      </c>
      <c r="E36" s="27">
        <f>IFERROR(__xludf.DUMMYFUNCTION("""COMPUTED_VALUE"""),0.0)</f>
        <v>0</v>
      </c>
      <c r="F36" s="28">
        <f>IFERROR(__xludf.DUMMYFUNCTION("""COMPUTED_VALUE"""),0.0)</f>
        <v>0</v>
      </c>
      <c r="G36" s="24">
        <f>IFERROR(__xludf.DUMMYFUNCTION("""COMPUTED_VALUE"""),11.5)</f>
        <v>11.5</v>
      </c>
      <c r="H36" s="24"/>
      <c r="I36" s="24"/>
      <c r="J36" s="24"/>
      <c r="K36" s="24" t="s">
        <v>83</v>
      </c>
      <c r="L36" s="24">
        <v>-1.0</v>
      </c>
      <c r="M36" s="24" t="s">
        <v>84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6" t="str">
        <f>IFERROR(__xludf.DUMMYFUNCTION("""COMPUTED_VALUE"""),"Lynbrook B")</f>
        <v>Lynbrook B</v>
      </c>
      <c r="B37" s="23">
        <f>IFERROR(__xludf.DUMMYFUNCTION("""COMPUTED_VALUE"""),2.5)</f>
        <v>2.5</v>
      </c>
      <c r="C37" s="23">
        <f>IFERROR(__xludf.DUMMYFUNCTION("""COMPUTED_VALUE"""),0.0)</f>
        <v>0</v>
      </c>
      <c r="D37" s="23">
        <f>IFERROR(__xludf.DUMMYFUNCTION("""COMPUTED_VALUE"""),12.5)</f>
        <v>12.5</v>
      </c>
      <c r="E37" s="23">
        <f>IFERROR(__xludf.DUMMYFUNCTION("""COMPUTED_VALUE"""),-1.0)</f>
        <v>-1</v>
      </c>
      <c r="F37" s="31">
        <f>IFERROR(__xludf.DUMMYFUNCTION("""COMPUTED_VALUE"""),0.0)</f>
        <v>0</v>
      </c>
      <c r="G37" s="24">
        <f>IFERROR(__xludf.DUMMYFUNCTION("""COMPUTED_VALUE"""),14.0)</f>
        <v>14</v>
      </c>
      <c r="H37" s="24"/>
      <c r="I37" s="24"/>
      <c r="J37" s="24"/>
      <c r="K37" s="24" t="s">
        <v>85</v>
      </c>
      <c r="L37" s="24">
        <v>2.5</v>
      </c>
      <c r="M37" s="24" t="s">
        <v>86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tr">
        <f>IFERROR(__xludf.DUMMYFUNCTION("""COMPUTED_VALUE"""),"MAX Team")</f>
        <v>MAX Team</v>
      </c>
      <c r="B38" s="24" t="str">
        <f>IFERROR(__xludf.DUMMYFUNCTION("""COMPUTED_VALUE"""),"Saratoga")</f>
        <v>Saratoga</v>
      </c>
      <c r="C38" s="24" t="str">
        <f>IFERROR(__xludf.DUMMYFUNCTION("""COMPUTED_VALUE"""),"Lynbrook A")</f>
        <v>Lynbrook A</v>
      </c>
      <c r="D38" s="24" t="str">
        <f>IFERROR(__xludf.DUMMYFUNCTION("""COMPUTED_VALUE"""),"Lynbrook B")</f>
        <v>Lynbrook B</v>
      </c>
      <c r="E38" s="24" t="str">
        <f>IFERROR(__xludf.DUMMYFUNCTION("""COMPUTED_VALUE"""),"Amador Valley A")</f>
        <v>Amador Valley A</v>
      </c>
      <c r="F38" s="32" t="str">
        <f>IFERROR(__xludf.DUMMYFUNCTION("""COMPUTED_VALUE"""),"Foothill B")</f>
        <v>Foothill B</v>
      </c>
      <c r="G38" s="24"/>
      <c r="H38" s="24"/>
      <c r="I38" s="24"/>
      <c r="J38" s="24"/>
      <c r="K38" s="24" t="s">
        <v>87</v>
      </c>
      <c r="L38" s="24">
        <v>0.0</v>
      </c>
      <c r="M38" s="24" t="s">
        <v>88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tr">
        <f>IFERROR(__xludf.DUMMYFUNCTION("""COMPUTED_VALUE"""),"MAX Score")</f>
        <v>MAX Score</v>
      </c>
      <c r="B39" s="27">
        <f>IFERROR(__xludf.DUMMYFUNCTION("""COMPUTED_VALUE"""),15.5)</f>
        <v>15.5</v>
      </c>
      <c r="C39" s="27">
        <f>IFERROR(__xludf.DUMMYFUNCTION("""COMPUTED_VALUE"""),12.5)</f>
        <v>12.5</v>
      </c>
      <c r="D39" s="27">
        <f>IFERROR(__xludf.DUMMYFUNCTION("""COMPUTED_VALUE"""),12.5)</f>
        <v>12.5</v>
      </c>
      <c r="E39" s="27">
        <f>IFERROR(__xludf.DUMMYFUNCTION("""COMPUTED_VALUE"""),14.0)</f>
        <v>14</v>
      </c>
      <c r="F39" s="27">
        <f>IFERROR(__xludf.DUMMYFUNCTION("""COMPUTED_VALUE"""),8.0)</f>
        <v>8</v>
      </c>
      <c r="G39" s="24"/>
      <c r="H39" s="24"/>
      <c r="I39" s="24"/>
      <c r="J39" s="24"/>
      <c r="K39" s="24" t="s">
        <v>18</v>
      </c>
      <c r="L39" s="24">
        <v>0.0</v>
      </c>
      <c r="M39" s="24" t="s">
        <v>89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 t="s">
        <v>20</v>
      </c>
      <c r="L40" s="24">
        <v>0.0</v>
      </c>
      <c r="M40" s="24" t="s">
        <v>90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 t="s">
        <v>22</v>
      </c>
      <c r="L41" s="24">
        <v>0.0</v>
      </c>
      <c r="M41" s="24" t="s">
        <v>91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 t="s">
        <v>24</v>
      </c>
      <c r="L42" s="24">
        <v>4.5</v>
      </c>
      <c r="M42" s="24" t="s">
        <v>92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 t="s">
        <v>26</v>
      </c>
      <c r="L43" s="24">
        <v>1.5</v>
      </c>
      <c r="M43" s="24" t="s">
        <v>93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 t="s">
        <v>28</v>
      </c>
      <c r="L44" s="24">
        <v>0.0</v>
      </c>
      <c r="M44" s="24" t="s">
        <v>94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 t="s">
        <v>30</v>
      </c>
      <c r="L45" s="24">
        <v>0.0</v>
      </c>
      <c r="M45" s="24" t="s">
        <v>95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 t="s">
        <v>32</v>
      </c>
      <c r="L46" s="24">
        <v>0.0</v>
      </c>
      <c r="M46" s="24" t="s">
        <v>96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 t="s">
        <v>34</v>
      </c>
      <c r="L47" s="24">
        <v>1.0</v>
      </c>
      <c r="M47" s="24" t="s">
        <v>97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 t="s">
        <v>36</v>
      </c>
      <c r="L48" s="24">
        <v>0.0</v>
      </c>
      <c r="M48" s="24" t="s">
        <v>98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 t="s">
        <v>38</v>
      </c>
      <c r="L49" s="24">
        <v>0.0</v>
      </c>
      <c r="M49" s="24" t="s">
        <v>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 t="s">
        <v>40</v>
      </c>
      <c r="L50" s="24">
        <v>1.5</v>
      </c>
      <c r="M50" s="24" t="s">
        <v>100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 t="s">
        <v>42</v>
      </c>
      <c r="L51" s="24">
        <v>0.0</v>
      </c>
      <c r="M51" s="24" t="s">
        <v>101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 t="s">
        <v>44</v>
      </c>
      <c r="L52" s="24">
        <v>0.0</v>
      </c>
      <c r="M52" s="24" t="s">
        <v>102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 t="s">
        <v>46</v>
      </c>
      <c r="L53" s="24">
        <v>0.0</v>
      </c>
      <c r="M53" s="24" t="s">
        <v>103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 t="s">
        <v>48</v>
      </c>
      <c r="L54" s="24">
        <v>0.0</v>
      </c>
      <c r="M54" s="24" t="s">
        <v>104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 t="s">
        <v>50</v>
      </c>
      <c r="L55" s="24">
        <v>0.0</v>
      </c>
      <c r="M55" s="24" t="s">
        <v>105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 t="s">
        <v>52</v>
      </c>
      <c r="L56" s="24">
        <v>1.5</v>
      </c>
      <c r="M56" s="24" t="s">
        <v>106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 t="s">
        <v>54</v>
      </c>
      <c r="L57" s="24">
        <v>1.0</v>
      </c>
      <c r="M57" s="24" t="s">
        <v>107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 t="s">
        <v>56</v>
      </c>
      <c r="L58" s="24">
        <v>-1.0</v>
      </c>
      <c r="M58" s="24" t="s">
        <v>108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 t="s">
        <v>58</v>
      </c>
      <c r="L59" s="24">
        <v>10.0</v>
      </c>
      <c r="M59" s="24" t="s">
        <v>109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 t="s">
        <v>60</v>
      </c>
      <c r="L60" s="24">
        <v>0.0</v>
      </c>
      <c r="M60" s="24" t="s">
        <v>110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 t="s">
        <v>62</v>
      </c>
      <c r="L61" s="24">
        <v>1.5</v>
      </c>
      <c r="M61" s="24" t="s">
        <v>111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 t="s">
        <v>64</v>
      </c>
      <c r="L62" s="24">
        <v>0.0</v>
      </c>
      <c r="M62" s="24" t="s">
        <v>112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 t="s">
        <v>9</v>
      </c>
      <c r="L63" s="24">
        <v>6.0</v>
      </c>
      <c r="M63" s="24" t="s">
        <v>11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 t="s">
        <v>67</v>
      </c>
      <c r="L64" s="24">
        <v>1.0</v>
      </c>
      <c r="M64" s="24" t="s">
        <v>113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 t="s">
        <v>69</v>
      </c>
      <c r="L65" s="24">
        <v>2.5</v>
      </c>
      <c r="M65" s="24" t="s">
        <v>114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 t="s">
        <v>71</v>
      </c>
      <c r="L66" s="24">
        <v>2.5</v>
      </c>
      <c r="M66" s="24" t="s">
        <v>115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 t="s">
        <v>73</v>
      </c>
      <c r="L67" s="24">
        <v>1.5</v>
      </c>
      <c r="M67" s="24" t="s">
        <v>116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 t="s">
        <v>75</v>
      </c>
      <c r="L68" s="24">
        <v>12.0</v>
      </c>
      <c r="M68" s="24" t="s">
        <v>117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 t="s">
        <v>77</v>
      </c>
      <c r="L69" s="24"/>
      <c r="M69" s="24" t="s">
        <v>118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 t="s">
        <v>79</v>
      </c>
      <c r="L70" s="24">
        <v>0.0</v>
      </c>
      <c r="M70" s="24" t="s">
        <v>119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 t="s">
        <v>81</v>
      </c>
      <c r="L71" s="24">
        <v>0.0</v>
      </c>
      <c r="M71" s="24" t="s">
        <v>120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 t="s">
        <v>83</v>
      </c>
      <c r="L72" s="24">
        <v>12.5</v>
      </c>
      <c r="M72" s="24" t="s">
        <v>121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 t="s">
        <v>85</v>
      </c>
      <c r="L73" s="24">
        <v>0.0</v>
      </c>
      <c r="M73" s="24" t="s">
        <v>122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 t="s">
        <v>87</v>
      </c>
      <c r="L74" s="24">
        <v>0.0</v>
      </c>
      <c r="M74" s="24" t="s">
        <v>123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18</v>
      </c>
      <c r="L75" s="24">
        <v>0.0</v>
      </c>
      <c r="M75" s="24" t="s">
        <v>124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 t="s">
        <v>20</v>
      </c>
      <c r="L76" s="24">
        <v>3.0</v>
      </c>
      <c r="M76" s="24" t="s">
        <v>125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 t="s">
        <v>22</v>
      </c>
      <c r="L77" s="24">
        <v>0.0</v>
      </c>
      <c r="M77" s="24" t="s">
        <v>126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 t="s">
        <v>24</v>
      </c>
      <c r="L78" s="24">
        <v>0.0</v>
      </c>
      <c r="M78" s="24" t="s">
        <v>127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 t="s">
        <v>26</v>
      </c>
      <c r="L79" s="24">
        <v>0.0</v>
      </c>
      <c r="M79" s="24" t="s">
        <v>128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 t="s">
        <v>28</v>
      </c>
      <c r="L80" s="24">
        <v>0.0</v>
      </c>
      <c r="M80" s="24" t="s">
        <v>129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 t="s">
        <v>30</v>
      </c>
      <c r="L81" s="24">
        <v>6.0</v>
      </c>
      <c r="M81" s="24" t="s">
        <v>130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 t="s">
        <v>32</v>
      </c>
      <c r="L82" s="24">
        <v>0.0</v>
      </c>
      <c r="M82" s="24" t="s">
        <v>131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 t="s">
        <v>34</v>
      </c>
      <c r="L83" s="24">
        <v>1.5</v>
      </c>
      <c r="M83" s="24" t="s">
        <v>132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 t="s">
        <v>36</v>
      </c>
      <c r="L84" s="24">
        <v>0.0</v>
      </c>
      <c r="M84" s="24" t="s">
        <v>133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 t="s">
        <v>38</v>
      </c>
      <c r="L85" s="24">
        <v>0.0</v>
      </c>
      <c r="M85" s="24" t="s">
        <v>134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 t="s">
        <v>40</v>
      </c>
      <c r="L86" s="24">
        <v>10.0</v>
      </c>
      <c r="M86" s="24" t="s">
        <v>135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 t="s">
        <v>42</v>
      </c>
      <c r="L87" s="24">
        <v>6.5</v>
      </c>
      <c r="M87" s="24" t="s">
        <v>136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 t="s">
        <v>44</v>
      </c>
      <c r="L88" s="24">
        <v>-1.0</v>
      </c>
      <c r="M88" s="24" t="s">
        <v>137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 t="s">
        <v>46</v>
      </c>
      <c r="L89" s="24">
        <v>0.0</v>
      </c>
      <c r="M89" s="24" t="s">
        <v>138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 t="s">
        <v>48</v>
      </c>
      <c r="L90" s="24">
        <v>2.5</v>
      </c>
      <c r="M90" s="24" t="s">
        <v>139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 t="s">
        <v>50</v>
      </c>
      <c r="L91" s="24">
        <v>0.0</v>
      </c>
      <c r="M91" s="24" t="s">
        <v>140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 t="s">
        <v>52</v>
      </c>
      <c r="L92" s="24">
        <v>0.0</v>
      </c>
      <c r="M92" s="24" t="s">
        <v>141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 t="s">
        <v>54</v>
      </c>
      <c r="L93" s="24">
        <v>0.0</v>
      </c>
      <c r="M93" s="24" t="s">
        <v>142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 t="s">
        <v>56</v>
      </c>
      <c r="L94" s="24">
        <v>0.0</v>
      </c>
      <c r="M94" s="24" t="s">
        <v>143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 t="s">
        <v>58</v>
      </c>
      <c r="L95" s="24">
        <v>0.0</v>
      </c>
      <c r="M95" s="24" t="s">
        <v>144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 t="s">
        <v>60</v>
      </c>
      <c r="L96" s="24">
        <v>6.0</v>
      </c>
      <c r="M96" s="24" t="s">
        <v>145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 t="s">
        <v>62</v>
      </c>
      <c r="L97" s="24">
        <v>0.0</v>
      </c>
      <c r="M97" s="24" t="s">
        <v>146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 t="s">
        <v>64</v>
      </c>
      <c r="L98" s="24">
        <v>2.5</v>
      </c>
      <c r="M98" s="24" t="s">
        <v>147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 t="s">
        <v>9</v>
      </c>
      <c r="L99" s="24">
        <v>1.5</v>
      </c>
      <c r="M99" s="24" t="s">
        <v>12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 t="s">
        <v>67</v>
      </c>
      <c r="L100" s="24">
        <v>0.0</v>
      </c>
      <c r="M100" s="24" t="s">
        <v>148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69</v>
      </c>
      <c r="L101" s="24">
        <v>0.0</v>
      </c>
      <c r="M101" s="24" t="s">
        <v>149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 t="s">
        <v>71</v>
      </c>
      <c r="L102" s="24">
        <v>1.5</v>
      </c>
      <c r="M102" s="24" t="s">
        <v>150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 t="s">
        <v>73</v>
      </c>
      <c r="L103" s="24">
        <v>4.5</v>
      </c>
      <c r="M103" s="24" t="s">
        <v>151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 t="s">
        <v>75</v>
      </c>
      <c r="L104" s="24">
        <v>0.0</v>
      </c>
      <c r="M104" s="24" t="s">
        <v>152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 t="s">
        <v>77</v>
      </c>
      <c r="L105" s="24">
        <v>0.0</v>
      </c>
      <c r="M105" s="24" t="s">
        <v>153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 t="s">
        <v>79</v>
      </c>
      <c r="L106" s="24">
        <v>0.0</v>
      </c>
      <c r="M106" s="24" t="s">
        <v>154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 t="s">
        <v>81</v>
      </c>
      <c r="L107" s="24">
        <v>3.5</v>
      </c>
      <c r="M107" s="24" t="s">
        <v>155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 t="s">
        <v>83</v>
      </c>
      <c r="L108" s="24">
        <v>0.0</v>
      </c>
      <c r="M108" s="24" t="s">
        <v>156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 t="s">
        <v>85</v>
      </c>
      <c r="L109" s="24">
        <v>12.5</v>
      </c>
      <c r="M109" s="24" t="s">
        <v>157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 t="s">
        <v>87</v>
      </c>
      <c r="L110" s="24">
        <v>1.0</v>
      </c>
      <c r="M110" s="24" t="s">
        <v>158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 t="s">
        <v>18</v>
      </c>
      <c r="L111" s="24">
        <v>0.0</v>
      </c>
      <c r="M111" s="24" t="s">
        <v>159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 t="s">
        <v>20</v>
      </c>
      <c r="L112" s="24">
        <v>-1.0</v>
      </c>
      <c r="M112" s="24" t="s">
        <v>160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 t="s">
        <v>22</v>
      </c>
      <c r="L113" s="24">
        <v>4.5</v>
      </c>
      <c r="M113" s="24" t="s">
        <v>161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 t="s">
        <v>24</v>
      </c>
      <c r="L114" s="24">
        <v>0.0</v>
      </c>
      <c r="M114" s="24" t="s">
        <v>162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 t="s">
        <v>26</v>
      </c>
      <c r="L115" s="24">
        <v>0.0</v>
      </c>
      <c r="M115" s="24" t="s">
        <v>163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 t="s">
        <v>28</v>
      </c>
      <c r="L116" s="24">
        <v>12.5</v>
      </c>
      <c r="M116" s="24" t="s">
        <v>164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 t="s">
        <v>30</v>
      </c>
      <c r="L117" s="24">
        <v>1.0</v>
      </c>
      <c r="M117" s="24" t="s">
        <v>165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 t="s">
        <v>32</v>
      </c>
      <c r="L118" s="24">
        <v>0.0</v>
      </c>
      <c r="M118" s="24" t="s">
        <v>166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 t="s">
        <v>34</v>
      </c>
      <c r="L119" s="24">
        <v>2.0</v>
      </c>
      <c r="M119" s="24" t="s">
        <v>167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 t="s">
        <v>36</v>
      </c>
      <c r="L120" s="24">
        <v>1.0</v>
      </c>
      <c r="M120" s="24" t="s">
        <v>168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 t="s">
        <v>38</v>
      </c>
      <c r="L121" s="24">
        <v>0.0</v>
      </c>
      <c r="M121" s="24" t="s">
        <v>169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 t="s">
        <v>40</v>
      </c>
      <c r="L122" s="24">
        <v>0.0</v>
      </c>
      <c r="M122" s="24" t="s">
        <v>170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 t="s">
        <v>42</v>
      </c>
      <c r="L123" s="24">
        <v>0.0</v>
      </c>
      <c r="M123" s="24" t="s">
        <v>171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 t="s">
        <v>44</v>
      </c>
      <c r="L124" s="24">
        <v>2.0</v>
      </c>
      <c r="M124" s="24" t="s">
        <v>172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 t="s">
        <v>46</v>
      </c>
      <c r="L125" s="24">
        <v>4.5</v>
      </c>
      <c r="M125" s="24" t="s">
        <v>173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 t="s">
        <v>48</v>
      </c>
      <c r="L126" s="24">
        <v>0.0</v>
      </c>
      <c r="M126" s="24" t="s">
        <v>174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 t="s">
        <v>50</v>
      </c>
      <c r="L127" s="24">
        <v>0.0</v>
      </c>
      <c r="M127" s="24" t="s">
        <v>175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 t="s">
        <v>52</v>
      </c>
      <c r="L128" s="24">
        <v>1.0</v>
      </c>
      <c r="M128" s="24" t="s">
        <v>176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 t="s">
        <v>54</v>
      </c>
      <c r="L129" s="24">
        <v>0.0</v>
      </c>
      <c r="M129" s="24" t="s">
        <v>177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 t="s">
        <v>56</v>
      </c>
      <c r="L130" s="24">
        <v>0.0</v>
      </c>
      <c r="M130" s="24" t="s">
        <v>178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 t="s">
        <v>58</v>
      </c>
      <c r="L131" s="24">
        <v>0.0</v>
      </c>
      <c r="M131" s="24" t="s">
        <v>179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 t="s">
        <v>60</v>
      </c>
      <c r="L132" s="24">
        <v>1.5</v>
      </c>
      <c r="M132" s="24" t="s">
        <v>180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 t="s">
        <v>62</v>
      </c>
      <c r="L133" s="24">
        <v>11.0</v>
      </c>
      <c r="M133" s="24" t="s">
        <v>181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 t="s">
        <v>64</v>
      </c>
      <c r="L134" s="24">
        <v>1.0</v>
      </c>
      <c r="M134" s="24" t="s">
        <v>182</v>
      </c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 t="s">
        <v>9</v>
      </c>
      <c r="L135" s="24">
        <v>3.0</v>
      </c>
      <c r="M135" s="24" t="s">
        <v>13</v>
      </c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 t="s">
        <v>67</v>
      </c>
      <c r="L136" s="24">
        <v>0.0</v>
      </c>
      <c r="M136" s="24" t="s">
        <v>183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 t="s">
        <v>69</v>
      </c>
      <c r="L137" s="24">
        <v>0.0</v>
      </c>
      <c r="M137" s="24" t="s">
        <v>184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71</v>
      </c>
      <c r="L138" s="24">
        <v>0.0</v>
      </c>
      <c r="M138" s="24" t="s">
        <v>185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 t="s">
        <v>73</v>
      </c>
      <c r="L139" s="24">
        <v>-1.0</v>
      </c>
      <c r="M139" s="24" t="s">
        <v>186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 t="s">
        <v>75</v>
      </c>
      <c r="L140" s="24">
        <v>0.0</v>
      </c>
      <c r="M140" s="24" t="s">
        <v>187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 t="s">
        <v>77</v>
      </c>
      <c r="L141" s="24">
        <v>1.0</v>
      </c>
      <c r="M141" s="24" t="s">
        <v>188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 t="s">
        <v>79</v>
      </c>
      <c r="L142" s="24">
        <v>14.0</v>
      </c>
      <c r="M142" s="24" t="s">
        <v>189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 t="s">
        <v>81</v>
      </c>
      <c r="L143" s="24">
        <v>1.5</v>
      </c>
      <c r="M143" s="24" t="s">
        <v>190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 t="s">
        <v>83</v>
      </c>
      <c r="L144" s="24">
        <v>0.0</v>
      </c>
      <c r="M144" s="24" t="s">
        <v>191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 t="s">
        <v>85</v>
      </c>
      <c r="L145" s="24">
        <v>-1.0</v>
      </c>
      <c r="M145" s="24" t="s">
        <v>192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 t="s">
        <v>87</v>
      </c>
      <c r="L146" s="24">
        <v>0.0</v>
      </c>
      <c r="M146" s="24" t="s">
        <v>193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18</v>
      </c>
      <c r="L147" s="24">
        <v>0.0</v>
      </c>
      <c r="M147" s="24" t="s">
        <v>194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 t="s">
        <v>20</v>
      </c>
      <c r="L148" s="24">
        <v>0.0</v>
      </c>
      <c r="M148" s="24" t="s">
        <v>195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 t="s">
        <v>22</v>
      </c>
      <c r="L149" s="24">
        <v>0.0</v>
      </c>
      <c r="M149" s="24" t="s">
        <v>196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 t="s">
        <v>24</v>
      </c>
      <c r="L150" s="24">
        <v>0.0</v>
      </c>
      <c r="M150" s="24" t="s">
        <v>197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26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 t="s">
        <v>28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 t="s">
        <v>30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 t="s">
        <v>32</v>
      </c>
      <c r="L154" s="24">
        <v>7.5</v>
      </c>
      <c r="M154" s="24" t="s">
        <v>198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 t="s">
        <v>34</v>
      </c>
      <c r="L155" s="24">
        <v>0.0</v>
      </c>
      <c r="M155" s="24" t="s">
        <v>199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 t="s">
        <v>36</v>
      </c>
      <c r="L156" s="24">
        <v>4.5</v>
      </c>
      <c r="M156" s="24" t="s">
        <v>200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 t="s">
        <v>38</v>
      </c>
      <c r="L157" s="24">
        <v>8.0</v>
      </c>
      <c r="M157" s="24" t="s">
        <v>201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 t="s">
        <v>40</v>
      </c>
      <c r="L158" s="24">
        <v>4.5</v>
      </c>
      <c r="M158" s="24" t="s">
        <v>202</v>
      </c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 t="s">
        <v>42</v>
      </c>
      <c r="L159" s="24">
        <v>5.0</v>
      </c>
      <c r="M159" s="24" t="s">
        <v>203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 t="s">
        <v>44</v>
      </c>
      <c r="L160" s="24">
        <v>2.0</v>
      </c>
      <c r="M160" s="24" t="s">
        <v>204</v>
      </c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 t="s">
        <v>46</v>
      </c>
      <c r="L161" s="24">
        <v>0.0</v>
      </c>
      <c r="M161" s="24" t="s">
        <v>205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 t="s">
        <v>48</v>
      </c>
      <c r="L162" s="24">
        <v>0.0</v>
      </c>
      <c r="M162" s="24" t="s">
        <v>206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 t="s">
        <v>50</v>
      </c>
      <c r="L163" s="24">
        <v>0.0</v>
      </c>
      <c r="M163" s="24" t="s">
        <v>207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 t="s">
        <v>52</v>
      </c>
      <c r="L164" s="24">
        <v>0.0</v>
      </c>
      <c r="M164" s="24" t="s">
        <v>208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 t="s">
        <v>54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 t="s">
        <v>56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 t="s">
        <v>58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 t="s">
        <v>60</v>
      </c>
      <c r="L168" s="24">
        <v>0.0</v>
      </c>
      <c r="M168" s="24" t="s">
        <v>209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 t="s">
        <v>62</v>
      </c>
      <c r="L169" s="24">
        <v>0.0</v>
      </c>
      <c r="M169" s="24" t="s">
        <v>210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 t="s">
        <v>64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 t="s">
        <v>9</v>
      </c>
      <c r="L171" s="24">
        <v>0.0</v>
      </c>
      <c r="M171" s="24" t="s">
        <v>14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 t="s">
        <v>67</v>
      </c>
      <c r="L172" s="24">
        <v>0.0</v>
      </c>
      <c r="M172" s="24" t="s">
        <v>211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 t="s">
        <v>69</v>
      </c>
      <c r="L173" s="24">
        <v>2.0</v>
      </c>
      <c r="M173" s="24" t="s">
        <v>212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 t="s">
        <v>71</v>
      </c>
      <c r="L174" s="24">
        <v>0.0</v>
      </c>
      <c r="M174" s="24" t="s">
        <v>213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 t="s">
        <v>73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 t="s">
        <v>75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 t="s">
        <v>77</v>
      </c>
      <c r="L177" s="24">
        <v>0.0</v>
      </c>
      <c r="M177" s="24" t="s">
        <v>214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79</v>
      </c>
      <c r="L178" s="24">
        <v>0.0</v>
      </c>
      <c r="M178" s="24" t="s">
        <v>215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 t="s">
        <v>81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 t="s">
        <v>83</v>
      </c>
      <c r="L180" s="24">
        <v>0.0</v>
      </c>
      <c r="M180" s="24" t="s">
        <v>216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 t="s">
        <v>85</v>
      </c>
      <c r="L181" s="24">
        <v>0.0</v>
      </c>
      <c r="M181" s="24" t="s">
        <v>217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2">
        <f>IFERROR(__xludf.DUMMYFUNCTION("IMPORTRANGE(""https://docs.google.com/spreadsheets/d/1hF3sefURNb_ssJk7SkIRKX6ByBcDxRkk4SZazZtucFY/edit#gid=82493956"",""Physics MVP!A1:I"")"),6.0)</f>
        <v>6</v>
      </c>
      <c r="B1" s="23">
        <f>IFERROR(__xludf.DUMMYFUNCTION("""COMPUTED_VALUE"""),1.0)</f>
        <v>1</v>
      </c>
      <c r="C1" s="23">
        <f>IFERROR(__xludf.DUMMYFUNCTION("""COMPUTED_VALUE"""),2.0)</f>
        <v>2</v>
      </c>
      <c r="D1" s="23">
        <f>IFERROR(__xludf.DUMMYFUNCTION("""COMPUTED_VALUE"""),3.0)</f>
        <v>3</v>
      </c>
      <c r="E1" s="23">
        <f>IFERROR(__xludf.DUMMYFUNCTION("""COMPUTED_VALUE"""),4.0)</f>
        <v>4</v>
      </c>
      <c r="F1" s="23">
        <f>IFERROR(__xludf.DUMMYFUNCTION("""COMPUTED_VALUE"""),5.0)</f>
        <v>5</v>
      </c>
      <c r="G1" s="24" t="str">
        <f>IFERROR(__xludf.DUMMYFUNCTION("""COMPUTED_VALUE"""),"All")</f>
        <v>All</v>
      </c>
      <c r="H1" s="24"/>
      <c r="I1" s="25" t="str">
        <f>IFERROR(__xludf.DUMMYFUNCTION("""COMPUTED_VALUE"""),"Physics MVP:")</f>
        <v>Physics MVP: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6" t="str">
        <f>IFERROR(__xludf.DUMMYFUNCTION("""COMPUTED_VALUE"""),"Abraham Lincoln")</f>
        <v>Abraham Lincoln</v>
      </c>
      <c r="B2" s="27">
        <f>IFERROR(__xludf.DUMMYFUNCTION("""COMPUTED_VALUE"""),0.0)</f>
        <v>0</v>
      </c>
      <c r="C2" s="27">
        <f>IFERROR(__xludf.DUMMYFUNCTION("""COMPUTED_VALUE"""),-1.0)</f>
        <v>-1</v>
      </c>
      <c r="D2" s="27">
        <f>IFERROR(__xludf.DUMMYFUNCTION("""COMPUTED_VALUE"""),1.0)</f>
        <v>1</v>
      </c>
      <c r="E2" s="27">
        <f>IFERROR(__xludf.DUMMYFUNCTION("""COMPUTED_VALUE"""),-2.0)</f>
        <v>-2</v>
      </c>
      <c r="F2" s="28">
        <f>IFERROR(__xludf.DUMMYFUNCTION("""COMPUTED_VALUE"""),0.0)</f>
        <v>0</v>
      </c>
      <c r="G2" s="24">
        <f>IFERROR(__xludf.DUMMYFUNCTION("""COMPUTED_VALUE"""),-2.0)</f>
        <v>-2</v>
      </c>
      <c r="H2" s="24" t="str">
        <f>IFERROR(__xludf.DUMMYFUNCTION("""COMPUTED_VALUE"""),"Cupertino A")</f>
        <v>Cupertino A</v>
      </c>
      <c r="I2" s="29" t="str">
        <f>IFERROR(__xludf.DUMMYFUNCTION("""COMPUTED_VALUE"""),"Jake Wang")</f>
        <v>Jake Wang</v>
      </c>
      <c r="J2" s="24"/>
      <c r="K2" s="24" t="str">
        <f t="array" ref="K2:M181">{A2:A37,B2:B37,'Check-in Import'!E2:E37;A2:A37,C2:C37,'Check-in Import'!F2:F37;A2:A37,D2:D37,'Check-in Import'!G2:G37;A2:A37,E2:E37,'Check-in Import'!H2:H37;A2:A37,F2:F37,'Check-in Import'!I2:I37}</f>
        <v>Abraham Lincoln</v>
      </c>
      <c r="L2" s="24">
        <v>0.0</v>
      </c>
      <c r="M2" s="24" t="s">
        <v>17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6" t="str">
        <f>IFERROR(__xludf.DUMMYFUNCTION("""COMPUTED_VALUE"""),"Saratoga")</f>
        <v>Saratoga</v>
      </c>
      <c r="B3" s="27">
        <f>IFERROR(__xludf.DUMMYFUNCTION("""COMPUTED_VALUE"""),2.0)</f>
        <v>2</v>
      </c>
      <c r="C3" s="27">
        <f>IFERROR(__xludf.DUMMYFUNCTION("""COMPUTED_VALUE"""),0.0)</f>
        <v>0</v>
      </c>
      <c r="D3" s="27">
        <f>IFERROR(__xludf.DUMMYFUNCTION("""COMPUTED_VALUE"""),0.0)</f>
        <v>0</v>
      </c>
      <c r="E3" s="27">
        <f>IFERROR(__xludf.DUMMYFUNCTION("""COMPUTED_VALUE"""),1.0)</f>
        <v>1</v>
      </c>
      <c r="F3" s="28">
        <f>IFERROR(__xludf.DUMMYFUNCTION("""COMPUTED_VALUE"""),1.0)</f>
        <v>1</v>
      </c>
      <c r="G3" s="24">
        <f>IFERROR(__xludf.DUMMYFUNCTION("""COMPUTED_VALUE"""),4.0)</f>
        <v>4</v>
      </c>
      <c r="H3" s="27">
        <f>IFERROR(__xludf.DUMMYFUNCTION("""COMPUTED_VALUE"""),14.0)</f>
        <v>14</v>
      </c>
      <c r="I3" s="24"/>
      <c r="J3" s="24"/>
      <c r="K3" s="24" t="s">
        <v>18</v>
      </c>
      <c r="L3" s="24">
        <v>2.0</v>
      </c>
      <c r="M3" s="24" t="s"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tr">
        <f>IFERROR(__xludf.DUMMYFUNCTION("""COMPUTED_VALUE"""),"Irvington")</f>
        <v>Irvington</v>
      </c>
      <c r="B4" s="27">
        <f>IFERROR(__xludf.DUMMYFUNCTION("""COMPUTED_VALUE"""),1.0)</f>
        <v>1</v>
      </c>
      <c r="C4" s="27">
        <f>IFERROR(__xludf.DUMMYFUNCTION("""COMPUTED_VALUE"""),0.0)</f>
        <v>0</v>
      </c>
      <c r="D4" s="27">
        <f>IFERROR(__xludf.DUMMYFUNCTION("""COMPUTED_VALUE"""),1.0)</f>
        <v>1</v>
      </c>
      <c r="E4" s="27">
        <f>IFERROR(__xludf.DUMMYFUNCTION("""COMPUTED_VALUE"""),0.0)</f>
        <v>0</v>
      </c>
      <c r="F4" s="28">
        <f>IFERROR(__xludf.DUMMYFUNCTION("""COMPUTED_VALUE"""),0.0)</f>
        <v>0</v>
      </c>
      <c r="G4" s="24">
        <f>IFERROR(__xludf.DUMMYFUNCTION("""COMPUTED_VALUE"""),2.0)</f>
        <v>2</v>
      </c>
      <c r="H4" s="24"/>
      <c r="I4" s="24"/>
      <c r="J4" s="24"/>
      <c r="K4" s="24" t="s">
        <v>20</v>
      </c>
      <c r="L4" s="24">
        <v>1.0</v>
      </c>
      <c r="M4" s="24" t="s">
        <v>21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tr">
        <f>IFERROR(__xludf.DUMMYFUNCTION("""COMPUTED_VALUE"""),"Saint Francis")</f>
        <v>Saint Francis</v>
      </c>
      <c r="B5" s="27">
        <f>IFERROR(__xludf.DUMMYFUNCTION("""COMPUTED_VALUE"""),2.5)</f>
        <v>2.5</v>
      </c>
      <c r="C5" s="27">
        <f>IFERROR(__xludf.DUMMYFUNCTION("""COMPUTED_VALUE"""),1.5)</f>
        <v>1.5</v>
      </c>
      <c r="D5" s="27">
        <f>IFERROR(__xludf.DUMMYFUNCTION("""COMPUTED_VALUE"""),7.0)</f>
        <v>7</v>
      </c>
      <c r="E5" s="27">
        <f>IFERROR(__xludf.DUMMYFUNCTION("""COMPUTED_VALUE"""),1.5)</f>
        <v>1.5</v>
      </c>
      <c r="F5" s="28">
        <f>IFERROR(__xludf.DUMMYFUNCTION("""COMPUTED_VALUE"""),0.0)</f>
        <v>0</v>
      </c>
      <c r="G5" s="24">
        <f>IFERROR(__xludf.DUMMYFUNCTION("""COMPUTED_VALUE"""),12.5)</f>
        <v>12.5</v>
      </c>
      <c r="H5" s="24"/>
      <c r="I5" s="24"/>
      <c r="J5" s="24"/>
      <c r="K5" s="24" t="s">
        <v>22</v>
      </c>
      <c r="L5" s="24">
        <v>2.5</v>
      </c>
      <c r="M5" s="24" t="s">
        <v>23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tr">
        <f>IFERROR(__xludf.DUMMYFUNCTION("""COMPUTED_VALUE"""),"BASIS Independent A")</f>
        <v>BASIS Independent A</v>
      </c>
      <c r="B6" s="27">
        <f>IFERROR(__xludf.DUMMYFUNCTION("""COMPUTED_VALUE"""),1.5)</f>
        <v>1.5</v>
      </c>
      <c r="C6" s="27">
        <f>IFERROR(__xludf.DUMMYFUNCTION("""COMPUTED_VALUE"""),6.0)</f>
        <v>6</v>
      </c>
      <c r="D6" s="27">
        <f>IFERROR(__xludf.DUMMYFUNCTION("""COMPUTED_VALUE"""),0.0)</f>
        <v>0</v>
      </c>
      <c r="E6" s="27">
        <f>IFERROR(__xludf.DUMMYFUNCTION("""COMPUTED_VALUE"""),0.0)</f>
        <v>0</v>
      </c>
      <c r="F6" s="28">
        <f>IFERROR(__xludf.DUMMYFUNCTION("""COMPUTED_VALUE"""),0.0)</f>
        <v>0</v>
      </c>
      <c r="G6" s="24">
        <f>IFERROR(__xludf.DUMMYFUNCTION("""COMPUTED_VALUE"""),7.5)</f>
        <v>7.5</v>
      </c>
      <c r="H6" s="24" t="str">
        <f>IFERROR(__xludf.DUMMYFUNCTION("""COMPUTED_VALUE"""),"First Places:")</f>
        <v>First Places:</v>
      </c>
      <c r="I6" s="24"/>
      <c r="J6" s="24"/>
      <c r="K6" s="24" t="s">
        <v>24</v>
      </c>
      <c r="L6" s="24">
        <v>1.5</v>
      </c>
      <c r="M6" s="24" t="s">
        <v>25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tr">
        <f>IFERROR(__xludf.DUMMYFUNCTION("""COMPUTED_VALUE"""),"BASIS Independent B")</f>
        <v>BASIS Independent B</v>
      </c>
      <c r="B7" s="27">
        <f>IFERROR(__xludf.DUMMYFUNCTION("""COMPUTED_VALUE"""),0.0)</f>
        <v>0</v>
      </c>
      <c r="C7" s="27">
        <f>IFERROR(__xludf.DUMMYFUNCTION("""COMPUTED_VALUE"""),1.0)</f>
        <v>1</v>
      </c>
      <c r="D7" s="27">
        <f>IFERROR(__xludf.DUMMYFUNCTION("""COMPUTED_VALUE"""),0.0)</f>
        <v>0</v>
      </c>
      <c r="E7" s="27">
        <f>IFERROR(__xludf.DUMMYFUNCTION("""COMPUTED_VALUE"""),0.0)</f>
        <v>0</v>
      </c>
      <c r="F7" s="28"/>
      <c r="G7" s="24">
        <f>IFERROR(__xludf.DUMMYFUNCTION("""COMPUTED_VALUE"""),1.0)</f>
        <v>1</v>
      </c>
      <c r="H7" s="27">
        <f>IFERROR(__xludf.DUMMYFUNCTION("""COMPUTED_VALUE"""),1.0)</f>
        <v>1</v>
      </c>
      <c r="I7" s="24"/>
      <c r="J7" s="24"/>
      <c r="K7" s="24" t="s">
        <v>26</v>
      </c>
      <c r="L7" s="24">
        <v>0.0</v>
      </c>
      <c r="M7" s="24" t="s">
        <v>27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tr">
        <f>IFERROR(__xludf.DUMMYFUNCTION("""COMPUTED_VALUE"""),"Canyon Crest A")</f>
        <v>Canyon Crest A</v>
      </c>
      <c r="B8" s="27">
        <f>IFERROR(__xludf.DUMMYFUNCTION("""COMPUTED_VALUE"""),10.5)</f>
        <v>10.5</v>
      </c>
      <c r="C8" s="27">
        <f>IFERROR(__xludf.DUMMYFUNCTION("""COMPUTED_VALUE"""),0.0)</f>
        <v>0</v>
      </c>
      <c r="D8" s="27">
        <f>IFERROR(__xludf.DUMMYFUNCTION("""COMPUTED_VALUE"""),0.0)</f>
        <v>0</v>
      </c>
      <c r="E8" s="27">
        <f>IFERROR(__xludf.DUMMYFUNCTION("""COMPUTED_VALUE"""),4.0)</f>
        <v>4</v>
      </c>
      <c r="F8" s="28"/>
      <c r="G8" s="24">
        <f>IFERROR(__xludf.DUMMYFUNCTION("""COMPUTED_VALUE"""),14.5)</f>
        <v>14.5</v>
      </c>
      <c r="H8" s="24"/>
      <c r="I8" s="24"/>
      <c r="J8" s="24"/>
      <c r="K8" s="24" t="s">
        <v>28</v>
      </c>
      <c r="L8" s="24">
        <v>10.5</v>
      </c>
      <c r="M8" s="24" t="s">
        <v>29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tr">
        <f>IFERROR(__xludf.DUMMYFUNCTION("""COMPUTED_VALUE"""),"Canyon Crest B")</f>
        <v>Canyon Crest B</v>
      </c>
      <c r="B9" s="27">
        <f>IFERROR(__xludf.DUMMYFUNCTION("""COMPUTED_VALUE"""),2.5)</f>
        <v>2.5</v>
      </c>
      <c r="C9" s="27">
        <f>IFERROR(__xludf.DUMMYFUNCTION("""COMPUTED_VALUE"""),0.0)</f>
        <v>0</v>
      </c>
      <c r="D9" s="27">
        <f>IFERROR(__xludf.DUMMYFUNCTION("""COMPUTED_VALUE"""),5.0)</f>
        <v>5</v>
      </c>
      <c r="E9" s="27">
        <f>IFERROR(__xludf.DUMMYFUNCTION("""COMPUTED_VALUE"""),0.0)</f>
        <v>0</v>
      </c>
      <c r="F9" s="28"/>
      <c r="G9" s="24">
        <f>IFERROR(__xludf.DUMMYFUNCTION("""COMPUTED_VALUE"""),7.5)</f>
        <v>7.5</v>
      </c>
      <c r="H9" s="24"/>
      <c r="I9" s="24"/>
      <c r="J9" s="24"/>
      <c r="K9" s="24" t="s">
        <v>30</v>
      </c>
      <c r="L9" s="24">
        <v>2.5</v>
      </c>
      <c r="M9" s="24" t="s">
        <v>31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tr">
        <f>IFERROR(__xludf.DUMMYFUNCTION("""COMPUTED_VALUE"""),"Mira Loma A")</f>
        <v>Mira Loma A</v>
      </c>
      <c r="B10" s="27">
        <f>IFERROR(__xludf.DUMMYFUNCTION("""COMPUTED_VALUE"""),7.0)</f>
        <v>7</v>
      </c>
      <c r="C10" s="27">
        <f>IFERROR(__xludf.DUMMYFUNCTION("""COMPUTED_VALUE"""),5.0)</f>
        <v>5</v>
      </c>
      <c r="D10" s="27">
        <f>IFERROR(__xludf.DUMMYFUNCTION("""COMPUTED_VALUE"""),0.0)</f>
        <v>0</v>
      </c>
      <c r="E10" s="27">
        <f>IFERROR(__xludf.DUMMYFUNCTION("""COMPUTED_VALUE"""),0.0)</f>
        <v>0</v>
      </c>
      <c r="F10" s="28">
        <f>IFERROR(__xludf.DUMMYFUNCTION("""COMPUTED_VALUE"""),1.5)</f>
        <v>1.5</v>
      </c>
      <c r="G10" s="24">
        <f>IFERROR(__xludf.DUMMYFUNCTION("""COMPUTED_VALUE"""),13.5)</f>
        <v>13.5</v>
      </c>
      <c r="H10" s="24"/>
      <c r="I10" s="24"/>
      <c r="J10" s="24"/>
      <c r="K10" s="24" t="s">
        <v>32</v>
      </c>
      <c r="L10" s="24">
        <v>7.0</v>
      </c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tr">
        <f>IFERROR(__xludf.DUMMYFUNCTION("""COMPUTED_VALUE"""),"Mira Loma B")</f>
        <v>Mira Loma B</v>
      </c>
      <c r="B11" s="27">
        <f>IFERROR(__xludf.DUMMYFUNCTION("""COMPUTED_VALUE"""),3.0)</f>
        <v>3</v>
      </c>
      <c r="C11" s="27">
        <f>IFERROR(__xludf.DUMMYFUNCTION("""COMPUTED_VALUE"""),2.0)</f>
        <v>2</v>
      </c>
      <c r="D11" s="27">
        <f>IFERROR(__xludf.DUMMYFUNCTION("""COMPUTED_VALUE"""),0.0)</f>
        <v>0</v>
      </c>
      <c r="E11" s="27">
        <f>IFERROR(__xludf.DUMMYFUNCTION("""COMPUTED_VALUE"""),0.0)</f>
        <v>0</v>
      </c>
      <c r="F11" s="28">
        <f>IFERROR(__xludf.DUMMYFUNCTION("""COMPUTED_VALUE"""),0.0)</f>
        <v>0</v>
      </c>
      <c r="G11" s="24">
        <f>IFERROR(__xludf.DUMMYFUNCTION("""COMPUTED_VALUE"""),5.0)</f>
        <v>5</v>
      </c>
      <c r="H11" s="24"/>
      <c r="I11" s="24"/>
      <c r="J11" s="24"/>
      <c r="K11" s="24" t="s">
        <v>34</v>
      </c>
      <c r="L11" s="24">
        <v>3.0</v>
      </c>
      <c r="M11" s="24" t="s">
        <v>35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tr">
        <f>IFERROR(__xludf.DUMMYFUNCTION("""COMPUTED_VALUE"""),"Foothill A")</f>
        <v>Foothill A</v>
      </c>
      <c r="B12" s="27">
        <f>IFERROR(__xludf.DUMMYFUNCTION("""COMPUTED_VALUE"""),1.0)</f>
        <v>1</v>
      </c>
      <c r="C12" s="27">
        <f>IFERROR(__xludf.DUMMYFUNCTION("""COMPUTED_VALUE"""),0.0)</f>
        <v>0</v>
      </c>
      <c r="D12" s="27">
        <f>IFERROR(__xludf.DUMMYFUNCTION("""COMPUTED_VALUE"""),0.0)</f>
        <v>0</v>
      </c>
      <c r="E12" s="27">
        <f>IFERROR(__xludf.DUMMYFUNCTION("""COMPUTED_VALUE"""),0.0)</f>
        <v>0</v>
      </c>
      <c r="F12" s="28">
        <f>IFERROR(__xludf.DUMMYFUNCTION("""COMPUTED_VALUE"""),1.0)</f>
        <v>1</v>
      </c>
      <c r="G12" s="24">
        <f>IFERROR(__xludf.DUMMYFUNCTION("""COMPUTED_VALUE"""),2.0)</f>
        <v>2</v>
      </c>
      <c r="H12" s="24"/>
      <c r="I12" s="24"/>
      <c r="J12" s="24"/>
      <c r="K12" s="24" t="s">
        <v>36</v>
      </c>
      <c r="L12" s="24">
        <v>1.0</v>
      </c>
      <c r="M12" s="24" t="s">
        <v>37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tr">
        <f>IFERROR(__xludf.DUMMYFUNCTION("""COMPUTED_VALUE"""),"Foothill B")</f>
        <v>Foothill B</v>
      </c>
      <c r="B13" s="27">
        <f>IFERROR(__xludf.DUMMYFUNCTION("""COMPUTED_VALUE"""),0.0)</f>
        <v>0</v>
      </c>
      <c r="C13" s="27">
        <f>IFERROR(__xludf.DUMMYFUNCTION("""COMPUTED_VALUE"""),0.0)</f>
        <v>0</v>
      </c>
      <c r="D13" s="27">
        <f>IFERROR(__xludf.DUMMYFUNCTION("""COMPUTED_VALUE"""),0.0)</f>
        <v>0</v>
      </c>
      <c r="E13" s="27">
        <f>IFERROR(__xludf.DUMMYFUNCTION("""COMPUTED_VALUE"""),0.0)</f>
        <v>0</v>
      </c>
      <c r="F13" s="28">
        <f>IFERROR(__xludf.DUMMYFUNCTION("""COMPUTED_VALUE"""),8.0)</f>
        <v>8</v>
      </c>
      <c r="G13" s="24">
        <f>IFERROR(__xludf.DUMMYFUNCTION("""COMPUTED_VALUE"""),8.0)</f>
        <v>8</v>
      </c>
      <c r="H13" s="24"/>
      <c r="I13" s="24"/>
      <c r="J13" s="24"/>
      <c r="K13" s="24" t="s">
        <v>38</v>
      </c>
      <c r="L13" s="24">
        <v>0.0</v>
      </c>
      <c r="M13" s="24" t="s">
        <v>39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tr">
        <f>IFERROR(__xludf.DUMMYFUNCTION("""COMPUTED_VALUE"""),"Lynbrook C")</f>
        <v>Lynbrook C</v>
      </c>
      <c r="B14" s="27">
        <f>IFERROR(__xludf.DUMMYFUNCTION("""COMPUTED_VALUE"""),0.0)</f>
        <v>0</v>
      </c>
      <c r="C14" s="27">
        <f>IFERROR(__xludf.DUMMYFUNCTION("""COMPUTED_VALUE"""),0.0)</f>
        <v>0</v>
      </c>
      <c r="D14" s="27">
        <f>IFERROR(__xludf.DUMMYFUNCTION("""COMPUTED_VALUE"""),0.0)</f>
        <v>0</v>
      </c>
      <c r="E14" s="27">
        <f>IFERROR(__xludf.DUMMYFUNCTION("""COMPUTED_VALUE"""),0.0)</f>
        <v>0</v>
      </c>
      <c r="F14" s="28">
        <f>IFERROR(__xludf.DUMMYFUNCTION("""COMPUTED_VALUE"""),7.0)</f>
        <v>7</v>
      </c>
      <c r="G14" s="24">
        <f>IFERROR(__xludf.DUMMYFUNCTION("""COMPUTED_VALUE"""),7.0)</f>
        <v>7</v>
      </c>
      <c r="H14" s="24"/>
      <c r="I14" s="24"/>
      <c r="J14" s="24"/>
      <c r="K14" s="24" t="s">
        <v>40</v>
      </c>
      <c r="L14" s="24">
        <v>0.0</v>
      </c>
      <c r="M14" s="24" t="s">
        <v>41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tr">
        <f>IFERROR(__xludf.DUMMYFUNCTION("""COMPUTED_VALUE"""),"American A")</f>
        <v>American A</v>
      </c>
      <c r="B15" s="27">
        <f>IFERROR(__xludf.DUMMYFUNCTION("""COMPUTED_VALUE"""),6.5)</f>
        <v>6.5</v>
      </c>
      <c r="C15" s="27">
        <f>IFERROR(__xludf.DUMMYFUNCTION("""COMPUTED_VALUE"""),0.0)</f>
        <v>0</v>
      </c>
      <c r="D15" s="27">
        <f>IFERROR(__xludf.DUMMYFUNCTION("""COMPUTED_VALUE"""),3.5)</f>
        <v>3.5</v>
      </c>
      <c r="E15" s="27">
        <f>IFERROR(__xludf.DUMMYFUNCTION("""COMPUTED_VALUE"""),0.0)</f>
        <v>0</v>
      </c>
      <c r="F15" s="28">
        <f>IFERROR(__xludf.DUMMYFUNCTION("""COMPUTED_VALUE"""),0.0)</f>
        <v>0</v>
      </c>
      <c r="G15" s="24">
        <f>IFERROR(__xludf.DUMMYFUNCTION("""COMPUTED_VALUE"""),10.0)</f>
        <v>10</v>
      </c>
      <c r="H15" s="24"/>
      <c r="I15" s="24"/>
      <c r="J15" s="24"/>
      <c r="K15" s="24" t="s">
        <v>42</v>
      </c>
      <c r="L15" s="24">
        <v>6.5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tr">
        <f>IFERROR(__xludf.DUMMYFUNCTION("""COMPUTED_VALUE"""),"American B")</f>
        <v>American B</v>
      </c>
      <c r="B16" s="27">
        <f>IFERROR(__xludf.DUMMYFUNCTION("""COMPUTED_VALUE"""),0.0)</f>
        <v>0</v>
      </c>
      <c r="C16" s="27">
        <f>IFERROR(__xludf.DUMMYFUNCTION("""COMPUTED_VALUE"""),0.0)</f>
        <v>0</v>
      </c>
      <c r="D16" s="27">
        <f>IFERROR(__xludf.DUMMYFUNCTION("""COMPUTED_VALUE"""),0.0)</f>
        <v>0</v>
      </c>
      <c r="E16" s="27">
        <f>IFERROR(__xludf.DUMMYFUNCTION("""COMPUTED_VALUE"""),0.0)</f>
        <v>0</v>
      </c>
      <c r="F16" s="28">
        <f>IFERROR(__xludf.DUMMYFUNCTION("""COMPUTED_VALUE"""),0.0)</f>
        <v>0</v>
      </c>
      <c r="G16" s="24">
        <f>IFERROR(__xludf.DUMMYFUNCTION("""COMPUTED_VALUE"""),0.0)</f>
        <v>0</v>
      </c>
      <c r="H16" s="24"/>
      <c r="I16" s="24"/>
      <c r="J16" s="24"/>
      <c r="K16" s="24" t="s">
        <v>44</v>
      </c>
      <c r="L16" s="24">
        <v>0.0</v>
      </c>
      <c r="M16" s="24" t="s">
        <v>45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tr">
        <f>IFERROR(__xludf.DUMMYFUNCTION("""COMPUTED_VALUE"""),"Palo Alto A")</f>
        <v>Palo Alto A</v>
      </c>
      <c r="B17" s="27">
        <f>IFERROR(__xludf.DUMMYFUNCTION("""COMPUTED_VALUE"""),7.5)</f>
        <v>7.5</v>
      </c>
      <c r="C17" s="27">
        <f>IFERROR(__xludf.DUMMYFUNCTION("""COMPUTED_VALUE"""),0.0)</f>
        <v>0</v>
      </c>
      <c r="D17" s="27">
        <f>IFERROR(__xludf.DUMMYFUNCTION("""COMPUTED_VALUE"""),0.0)</f>
        <v>0</v>
      </c>
      <c r="E17" s="27">
        <f>IFERROR(__xludf.DUMMYFUNCTION("""COMPUTED_VALUE"""),0.0)</f>
        <v>0</v>
      </c>
      <c r="F17" s="28">
        <f>IFERROR(__xludf.DUMMYFUNCTION("""COMPUTED_VALUE"""),0.0)</f>
        <v>0</v>
      </c>
      <c r="G17" s="24">
        <f>IFERROR(__xludf.DUMMYFUNCTION("""COMPUTED_VALUE"""),7.5)</f>
        <v>7.5</v>
      </c>
      <c r="H17" s="24"/>
      <c r="I17" s="24"/>
      <c r="J17" s="24"/>
      <c r="K17" s="24" t="s">
        <v>46</v>
      </c>
      <c r="L17" s="24">
        <v>7.5</v>
      </c>
      <c r="M17" s="24" t="s">
        <v>47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tr">
        <f>IFERROR(__xludf.DUMMYFUNCTION("""COMPUTED_VALUE"""),"Palo Alto B")</f>
        <v>Palo Alto B</v>
      </c>
      <c r="B18" s="27">
        <f>IFERROR(__xludf.DUMMYFUNCTION("""COMPUTED_VALUE"""),0.0)</f>
        <v>0</v>
      </c>
      <c r="C18" s="27">
        <f>IFERROR(__xludf.DUMMYFUNCTION("""COMPUTED_VALUE"""),1.0)</f>
        <v>1</v>
      </c>
      <c r="D18" s="27">
        <f>IFERROR(__xludf.DUMMYFUNCTION("""COMPUTED_VALUE"""),5.0)</f>
        <v>5</v>
      </c>
      <c r="E18" s="27">
        <f>IFERROR(__xludf.DUMMYFUNCTION("""COMPUTED_VALUE"""),0.0)</f>
        <v>0</v>
      </c>
      <c r="F18" s="28">
        <f>IFERROR(__xludf.DUMMYFUNCTION("""COMPUTED_VALUE"""),5.0)</f>
        <v>5</v>
      </c>
      <c r="G18" s="24">
        <f>IFERROR(__xludf.DUMMYFUNCTION("""COMPUTED_VALUE"""),11.0)</f>
        <v>11</v>
      </c>
      <c r="H18" s="24"/>
      <c r="I18" s="24"/>
      <c r="J18" s="24"/>
      <c r="K18" s="24" t="s">
        <v>48</v>
      </c>
      <c r="L18" s="24">
        <v>0.0</v>
      </c>
      <c r="M18" s="24" t="s">
        <v>49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tr">
        <f>IFERROR(__xludf.DUMMYFUNCTION("""COMPUTED_VALUE"""),"California B")</f>
        <v>California B</v>
      </c>
      <c r="B19" s="27">
        <f>IFERROR(__xludf.DUMMYFUNCTION("""COMPUTED_VALUE"""),-1.0)</f>
        <v>-1</v>
      </c>
      <c r="C19" s="27">
        <f>IFERROR(__xludf.DUMMYFUNCTION("""COMPUTED_VALUE"""),0.0)</f>
        <v>0</v>
      </c>
      <c r="D19" s="27">
        <f>IFERROR(__xludf.DUMMYFUNCTION("""COMPUTED_VALUE"""),0.0)</f>
        <v>0</v>
      </c>
      <c r="E19" s="27">
        <f>IFERROR(__xludf.DUMMYFUNCTION("""COMPUTED_VALUE"""),1.0)</f>
        <v>1</v>
      </c>
      <c r="F19" s="28">
        <f>IFERROR(__xludf.DUMMYFUNCTION("""COMPUTED_VALUE"""),0.0)</f>
        <v>0</v>
      </c>
      <c r="G19" s="24">
        <f>IFERROR(__xludf.DUMMYFUNCTION("""COMPUTED_VALUE"""),0.0)</f>
        <v>0</v>
      </c>
      <c r="H19" s="24"/>
      <c r="I19" s="24"/>
      <c r="J19" s="24"/>
      <c r="K19" s="24" t="s">
        <v>50</v>
      </c>
      <c r="L19" s="24">
        <v>-1.0</v>
      </c>
      <c r="M19" s="24" t="s">
        <v>51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tr">
        <f>IFERROR(__xludf.DUMMYFUNCTION("""COMPUTED_VALUE"""),"California A")</f>
        <v>California A</v>
      </c>
      <c r="B20" s="27">
        <f>IFERROR(__xludf.DUMMYFUNCTION("""COMPUTED_VALUE"""),0.0)</f>
        <v>0</v>
      </c>
      <c r="C20" s="27">
        <f>IFERROR(__xludf.DUMMYFUNCTION("""COMPUTED_VALUE"""),4.0)</f>
        <v>4</v>
      </c>
      <c r="D20" s="27">
        <f>IFERROR(__xludf.DUMMYFUNCTION("""COMPUTED_VALUE"""),0.0)</f>
        <v>0</v>
      </c>
      <c r="E20" s="27">
        <f>IFERROR(__xludf.DUMMYFUNCTION("""COMPUTED_VALUE"""),5.0)</f>
        <v>5</v>
      </c>
      <c r="F20" s="28">
        <f>IFERROR(__xludf.DUMMYFUNCTION("""COMPUTED_VALUE"""),0.0)</f>
        <v>0</v>
      </c>
      <c r="G20" s="24">
        <f>IFERROR(__xludf.DUMMYFUNCTION("""COMPUTED_VALUE"""),9.0)</f>
        <v>9</v>
      </c>
      <c r="H20" s="24"/>
      <c r="I20" s="24"/>
      <c r="J20" s="24"/>
      <c r="K20" s="24" t="s">
        <v>52</v>
      </c>
      <c r="L20" s="24">
        <v>0.0</v>
      </c>
      <c r="M20" s="24" t="s">
        <v>53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6" t="str">
        <f>IFERROR(__xludf.DUMMYFUNCTION("""COMPUTED_VALUE"""),"Arnold O. Beckman A")</f>
        <v>Arnold O. Beckman A</v>
      </c>
      <c r="B21" s="27">
        <f>IFERROR(__xludf.DUMMYFUNCTION("""COMPUTED_VALUE"""),0.0)</f>
        <v>0</v>
      </c>
      <c r="C21" s="27">
        <f>IFERROR(__xludf.DUMMYFUNCTION("""COMPUTED_VALUE"""),2.0)</f>
        <v>2</v>
      </c>
      <c r="D21" s="27">
        <f>IFERROR(__xludf.DUMMYFUNCTION("""COMPUTED_VALUE"""),0.0)</f>
        <v>0</v>
      </c>
      <c r="E21" s="27">
        <f>IFERROR(__xludf.DUMMYFUNCTION("""COMPUTED_VALUE"""),0.0)</f>
        <v>0</v>
      </c>
      <c r="F21" s="28"/>
      <c r="G21" s="24">
        <f>IFERROR(__xludf.DUMMYFUNCTION("""COMPUTED_VALUE"""),2.0)</f>
        <v>2</v>
      </c>
      <c r="H21" s="24"/>
      <c r="I21" s="24"/>
      <c r="J21" s="24"/>
      <c r="K21" s="24" t="s">
        <v>54</v>
      </c>
      <c r="L21" s="24">
        <v>0.0</v>
      </c>
      <c r="M21" s="24" t="s">
        <v>55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6" t="str">
        <f>IFERROR(__xludf.DUMMYFUNCTION("""COMPUTED_VALUE"""),"Archbishop Mitty A")</f>
        <v>Archbishop Mitty A</v>
      </c>
      <c r="B22" s="27">
        <f>IFERROR(__xludf.DUMMYFUNCTION("""COMPUTED_VALUE"""),2.5)</f>
        <v>2.5</v>
      </c>
      <c r="C22" s="27">
        <f>IFERROR(__xludf.DUMMYFUNCTION("""COMPUTED_VALUE"""),0.0)</f>
        <v>0</v>
      </c>
      <c r="D22" s="27">
        <f>IFERROR(__xludf.DUMMYFUNCTION("""COMPUTED_VALUE"""),1.0)</f>
        <v>1</v>
      </c>
      <c r="E22" s="27">
        <f>IFERROR(__xludf.DUMMYFUNCTION("""COMPUTED_VALUE"""),0.0)</f>
        <v>0</v>
      </c>
      <c r="F22" s="28"/>
      <c r="G22" s="24">
        <f>IFERROR(__xludf.DUMMYFUNCTION("""COMPUTED_VALUE"""),3.5)</f>
        <v>3.5</v>
      </c>
      <c r="H22" s="24"/>
      <c r="I22" s="24"/>
      <c r="J22" s="24"/>
      <c r="K22" s="24" t="s">
        <v>56</v>
      </c>
      <c r="L22" s="24">
        <v>2.5</v>
      </c>
      <c r="M22" s="24" t="s">
        <v>57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tr">
        <f>IFERROR(__xludf.DUMMYFUNCTION("""COMPUTED_VALUE"""),"Archbishop Mitty B")</f>
        <v>Archbishop Mitty B</v>
      </c>
      <c r="B23" s="27">
        <f>IFERROR(__xludf.DUMMYFUNCTION("""COMPUTED_VALUE"""),1.5)</f>
        <v>1.5</v>
      </c>
      <c r="C23" s="27">
        <f>IFERROR(__xludf.DUMMYFUNCTION("""COMPUTED_VALUE"""),1.5)</f>
        <v>1.5</v>
      </c>
      <c r="D23" s="27">
        <f>IFERROR(__xludf.DUMMYFUNCTION("""COMPUTED_VALUE"""),0.0)</f>
        <v>0</v>
      </c>
      <c r="E23" s="27">
        <f>IFERROR(__xludf.DUMMYFUNCTION("""COMPUTED_VALUE"""),0.0)</f>
        <v>0</v>
      </c>
      <c r="F23" s="28"/>
      <c r="G23" s="24">
        <f>IFERROR(__xludf.DUMMYFUNCTION("""COMPUTED_VALUE"""),3.0)</f>
        <v>3</v>
      </c>
      <c r="H23" s="24"/>
      <c r="I23" s="24"/>
      <c r="J23" s="24"/>
      <c r="K23" s="24" t="s">
        <v>58</v>
      </c>
      <c r="L23" s="24">
        <v>1.5</v>
      </c>
      <c r="M23" s="24" t="s">
        <v>59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6" t="str">
        <f>IFERROR(__xludf.DUMMYFUNCTION("""COMPUTED_VALUE"""),"Mission San Jose A")</f>
        <v>Mission San Jose A</v>
      </c>
      <c r="B24" s="27">
        <f>IFERROR(__xludf.DUMMYFUNCTION("""COMPUTED_VALUE"""),4.5)</f>
        <v>4.5</v>
      </c>
      <c r="C24" s="27">
        <f>IFERROR(__xludf.DUMMYFUNCTION("""COMPUTED_VALUE"""),0.0)</f>
        <v>0</v>
      </c>
      <c r="D24" s="27">
        <f>IFERROR(__xludf.DUMMYFUNCTION("""COMPUTED_VALUE"""),5.0)</f>
        <v>5</v>
      </c>
      <c r="E24" s="27">
        <f>IFERROR(__xludf.DUMMYFUNCTION("""COMPUTED_VALUE"""),4.0)</f>
        <v>4</v>
      </c>
      <c r="F24" s="28">
        <f>IFERROR(__xludf.DUMMYFUNCTION("""COMPUTED_VALUE"""),3.0)</f>
        <v>3</v>
      </c>
      <c r="G24" s="24">
        <f>IFERROR(__xludf.DUMMYFUNCTION("""COMPUTED_VALUE"""),16.5)</f>
        <v>16.5</v>
      </c>
      <c r="H24" s="24"/>
      <c r="I24" s="24"/>
      <c r="J24" s="24"/>
      <c r="K24" s="24" t="s">
        <v>60</v>
      </c>
      <c r="L24" s="24">
        <v>4.5</v>
      </c>
      <c r="M24" s="24" t="s">
        <v>61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6" t="str">
        <f>IFERROR(__xludf.DUMMYFUNCTION("""COMPUTED_VALUE"""),"Mission San Jose B")</f>
        <v>Mission San Jose B</v>
      </c>
      <c r="B25" s="27">
        <f>IFERROR(__xludf.DUMMYFUNCTION("""COMPUTED_VALUE"""),0.0)</f>
        <v>0</v>
      </c>
      <c r="C25" s="27">
        <f>IFERROR(__xludf.DUMMYFUNCTION("""COMPUTED_VALUE"""),-1.5)</f>
        <v>-1.5</v>
      </c>
      <c r="D25" s="27">
        <f>IFERROR(__xludf.DUMMYFUNCTION("""COMPUTED_VALUE"""),0.0)</f>
        <v>0</v>
      </c>
      <c r="E25" s="27">
        <f>IFERROR(__xludf.DUMMYFUNCTION("""COMPUTED_VALUE"""),1.5)</f>
        <v>1.5</v>
      </c>
      <c r="F25" s="28">
        <f>IFERROR(__xludf.DUMMYFUNCTION("""COMPUTED_VALUE"""),0.0)</f>
        <v>0</v>
      </c>
      <c r="G25" s="24">
        <f>IFERROR(__xludf.DUMMYFUNCTION("""COMPUTED_VALUE"""),0.0)</f>
        <v>0</v>
      </c>
      <c r="H25" s="24"/>
      <c r="I25" s="24"/>
      <c r="J25" s="24"/>
      <c r="K25" s="24" t="s">
        <v>62</v>
      </c>
      <c r="L25" s="24">
        <v>0.0</v>
      </c>
      <c r="M25" s="24" t="s">
        <v>63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6" t="str">
        <f>IFERROR(__xludf.DUMMYFUNCTION("""COMPUTED_VALUE"""),"Stanford Online")</f>
        <v>Stanford Online</v>
      </c>
      <c r="B26" s="27">
        <f>IFERROR(__xludf.DUMMYFUNCTION("""COMPUTED_VALUE"""),0.5)</f>
        <v>0.5</v>
      </c>
      <c r="C26" s="27">
        <f>IFERROR(__xludf.DUMMYFUNCTION("""COMPUTED_VALUE"""),1.5)</f>
        <v>1.5</v>
      </c>
      <c r="D26" s="27">
        <f>IFERROR(__xludf.DUMMYFUNCTION("""COMPUTED_VALUE"""),3.0)</f>
        <v>3</v>
      </c>
      <c r="E26" s="27">
        <f>IFERROR(__xludf.DUMMYFUNCTION("""COMPUTED_VALUE"""),0.0)</f>
        <v>0</v>
      </c>
      <c r="F26" s="28"/>
      <c r="G26" s="24">
        <f>IFERROR(__xludf.DUMMYFUNCTION("""COMPUTED_VALUE"""),5.0)</f>
        <v>5</v>
      </c>
      <c r="H26" s="24"/>
      <c r="I26" s="24"/>
      <c r="J26" s="24"/>
      <c r="K26" s="24" t="s">
        <v>64</v>
      </c>
      <c r="L26" s="24">
        <v>0.5</v>
      </c>
      <c r="M26" s="24" t="s">
        <v>65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tr">
        <f>IFERROR(__xludf.DUMMYFUNCTION("""COMPUTED_VALUE"""),"Cupertino A")</f>
        <v>Cupertino A</v>
      </c>
      <c r="B27" s="27">
        <f>IFERROR(__xludf.DUMMYFUNCTION("""COMPUTED_VALUE"""),0.0)</f>
        <v>0</v>
      </c>
      <c r="C27" s="27">
        <f>IFERROR(__xludf.DUMMYFUNCTION("""COMPUTED_VALUE"""),14.0)</f>
        <v>14</v>
      </c>
      <c r="D27" s="27">
        <f>IFERROR(__xludf.DUMMYFUNCTION("""COMPUTED_VALUE"""),0.0)</f>
        <v>0</v>
      </c>
      <c r="E27" s="27">
        <f>IFERROR(__xludf.DUMMYFUNCTION("""COMPUTED_VALUE"""),0.0)</f>
        <v>0</v>
      </c>
      <c r="F27" s="28">
        <f>IFERROR(__xludf.DUMMYFUNCTION("""COMPUTED_VALUE"""),0.0)</f>
        <v>0</v>
      </c>
      <c r="G27" s="24">
        <f>IFERROR(__xludf.DUMMYFUNCTION("""COMPUTED_VALUE"""),14.0)</f>
        <v>14</v>
      </c>
      <c r="H27" s="24"/>
      <c r="I27" s="24"/>
      <c r="J27" s="24"/>
      <c r="K27" s="24" t="s">
        <v>9</v>
      </c>
      <c r="L27" s="24">
        <v>0.0</v>
      </c>
      <c r="M27" s="24" t="s">
        <v>66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6" t="str">
        <f>IFERROR(__xludf.DUMMYFUNCTION("""COMPUTED_VALUE"""),"Cupertino B")</f>
        <v>Cupertino B</v>
      </c>
      <c r="B28" s="27">
        <f>IFERROR(__xludf.DUMMYFUNCTION("""COMPUTED_VALUE"""),0.0)</f>
        <v>0</v>
      </c>
      <c r="C28" s="27">
        <f>IFERROR(__xludf.DUMMYFUNCTION("""COMPUTED_VALUE"""),0.5)</f>
        <v>0.5</v>
      </c>
      <c r="D28" s="27">
        <f>IFERROR(__xludf.DUMMYFUNCTION("""COMPUTED_VALUE"""),0.0)</f>
        <v>0</v>
      </c>
      <c r="E28" s="27">
        <f>IFERROR(__xludf.DUMMYFUNCTION("""COMPUTED_VALUE"""),0.0)</f>
        <v>0</v>
      </c>
      <c r="F28" s="28">
        <f>IFERROR(__xludf.DUMMYFUNCTION("""COMPUTED_VALUE"""),0.0)</f>
        <v>0</v>
      </c>
      <c r="G28" s="24">
        <f>IFERROR(__xludf.DUMMYFUNCTION("""COMPUTED_VALUE"""),0.5)</f>
        <v>0.5</v>
      </c>
      <c r="H28" s="24"/>
      <c r="I28" s="24"/>
      <c r="J28" s="24"/>
      <c r="K28" s="24" t="s">
        <v>67</v>
      </c>
      <c r="L28" s="24">
        <v>0.0</v>
      </c>
      <c r="M28" s="24" t="s">
        <v>68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6" t="str">
        <f>IFERROR(__xludf.DUMMYFUNCTION("""COMPUTED_VALUE"""),"Monta Vista A")</f>
        <v>Monta Vista A</v>
      </c>
      <c r="B29" s="27">
        <f>IFERROR(__xludf.DUMMYFUNCTION("""COMPUTED_VALUE"""),1.5)</f>
        <v>1.5</v>
      </c>
      <c r="C29" s="27">
        <f>IFERROR(__xludf.DUMMYFUNCTION("""COMPUTED_VALUE"""),8.5)</f>
        <v>8.5</v>
      </c>
      <c r="D29" s="27">
        <f>IFERROR(__xludf.DUMMYFUNCTION("""COMPUTED_VALUE"""),0.0)</f>
        <v>0</v>
      </c>
      <c r="E29" s="27">
        <f>IFERROR(__xludf.DUMMYFUNCTION("""COMPUTED_VALUE"""),0.0)</f>
        <v>0</v>
      </c>
      <c r="F29" s="28">
        <f>IFERROR(__xludf.DUMMYFUNCTION("""COMPUTED_VALUE"""),3.0)</f>
        <v>3</v>
      </c>
      <c r="G29" s="24">
        <f>IFERROR(__xludf.DUMMYFUNCTION("""COMPUTED_VALUE"""),13.0)</f>
        <v>13</v>
      </c>
      <c r="H29" s="24"/>
      <c r="I29" s="24"/>
      <c r="J29" s="24"/>
      <c r="K29" s="24" t="s">
        <v>69</v>
      </c>
      <c r="L29" s="24">
        <v>1.5</v>
      </c>
      <c r="M29" s="24" t="s">
        <v>70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6" t="str">
        <f>IFERROR(__xludf.DUMMYFUNCTION("""COMPUTED_VALUE"""),"Monta Vista B")</f>
        <v>Monta Vista B</v>
      </c>
      <c r="B30" s="27">
        <f>IFERROR(__xludf.DUMMYFUNCTION("""COMPUTED_VALUE"""),0.0)</f>
        <v>0</v>
      </c>
      <c r="C30" s="27">
        <f>IFERROR(__xludf.DUMMYFUNCTION("""COMPUTED_VALUE"""),4.5)</f>
        <v>4.5</v>
      </c>
      <c r="D30" s="27">
        <f>IFERROR(__xludf.DUMMYFUNCTION("""COMPUTED_VALUE"""),0.0)</f>
        <v>0</v>
      </c>
      <c r="E30" s="27">
        <f>IFERROR(__xludf.DUMMYFUNCTION("""COMPUTED_VALUE"""),0.0)</f>
        <v>0</v>
      </c>
      <c r="F30" s="28">
        <f>IFERROR(__xludf.DUMMYFUNCTION("""COMPUTED_VALUE"""),0.0)</f>
        <v>0</v>
      </c>
      <c r="G30" s="24">
        <f>IFERROR(__xludf.DUMMYFUNCTION("""COMPUTED_VALUE"""),4.5)</f>
        <v>4.5</v>
      </c>
      <c r="H30" s="24"/>
      <c r="I30" s="24"/>
      <c r="J30" s="24"/>
      <c r="K30" s="24" t="s">
        <v>71</v>
      </c>
      <c r="L30" s="24">
        <v>0.0</v>
      </c>
      <c r="M30" s="24" t="s">
        <v>72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6" t="str">
        <f>IFERROR(__xludf.DUMMYFUNCTION("""COMPUTED_VALUE"""),"North Hollywood")</f>
        <v>North Hollywood</v>
      </c>
      <c r="B31" s="27">
        <f>IFERROR(__xludf.DUMMYFUNCTION("""COMPUTED_VALUE"""),8.5)</f>
        <v>8.5</v>
      </c>
      <c r="C31" s="27">
        <f>IFERROR(__xludf.DUMMYFUNCTION("""COMPUTED_VALUE"""),3.0)</f>
        <v>3</v>
      </c>
      <c r="D31" s="27">
        <f>IFERROR(__xludf.DUMMYFUNCTION("""COMPUTED_VALUE"""),0.0)</f>
        <v>0</v>
      </c>
      <c r="E31" s="27">
        <f>IFERROR(__xludf.DUMMYFUNCTION("""COMPUTED_VALUE"""),0.0)</f>
        <v>0</v>
      </c>
      <c r="F31" s="28"/>
      <c r="G31" s="24">
        <f>IFERROR(__xludf.DUMMYFUNCTION("""COMPUTED_VALUE"""),11.5)</f>
        <v>11.5</v>
      </c>
      <c r="H31" s="24"/>
      <c r="I31" s="24"/>
      <c r="J31" s="24"/>
      <c r="K31" s="24" t="s">
        <v>73</v>
      </c>
      <c r="L31" s="24">
        <v>8.5</v>
      </c>
      <c r="M31" s="24" t="s">
        <v>74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6" t="str">
        <f>IFERROR(__xludf.DUMMYFUNCTION("""COMPUTED_VALUE"""),"Dougherty Valley A")</f>
        <v>Dougherty Valley A</v>
      </c>
      <c r="B32" s="27">
        <f>IFERROR(__xludf.DUMMYFUNCTION("""COMPUTED_VALUE"""),0.0)</f>
        <v>0</v>
      </c>
      <c r="C32" s="27">
        <f>IFERROR(__xludf.DUMMYFUNCTION("""COMPUTED_VALUE"""),9.5)</f>
        <v>9.5</v>
      </c>
      <c r="D32" s="27">
        <f>IFERROR(__xludf.DUMMYFUNCTION("""COMPUTED_VALUE"""),0.0)</f>
        <v>0</v>
      </c>
      <c r="E32" s="27">
        <f>IFERROR(__xludf.DUMMYFUNCTION("""COMPUTED_VALUE"""),0.0)</f>
        <v>0</v>
      </c>
      <c r="F32" s="28"/>
      <c r="G32" s="24">
        <f>IFERROR(__xludf.DUMMYFUNCTION("""COMPUTED_VALUE"""),9.5)</f>
        <v>9.5</v>
      </c>
      <c r="H32" s="24"/>
      <c r="I32" s="24"/>
      <c r="J32" s="24"/>
      <c r="K32" s="24" t="s">
        <v>75</v>
      </c>
      <c r="L32" s="24">
        <v>0.0</v>
      </c>
      <c r="M32" s="24" t="s">
        <v>76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6" t="str">
        <f>IFERROR(__xludf.DUMMYFUNCTION("""COMPUTED_VALUE"""),"Dougherty Valley B")</f>
        <v>Dougherty Valley B</v>
      </c>
      <c r="B33" s="27">
        <f>IFERROR(__xludf.DUMMYFUNCTION("""COMPUTED_VALUE"""),1.5)</f>
        <v>1.5</v>
      </c>
      <c r="C33" s="24"/>
      <c r="D33" s="27">
        <f>IFERROR(__xludf.DUMMYFUNCTION("""COMPUTED_VALUE"""),0.0)</f>
        <v>0</v>
      </c>
      <c r="E33" s="27">
        <f>IFERROR(__xludf.DUMMYFUNCTION("""COMPUTED_VALUE"""),0.0)</f>
        <v>0</v>
      </c>
      <c r="F33" s="28">
        <f>IFERROR(__xludf.DUMMYFUNCTION("""COMPUTED_VALUE"""),0.0)</f>
        <v>0</v>
      </c>
      <c r="G33" s="24">
        <f>IFERROR(__xludf.DUMMYFUNCTION("""COMPUTED_VALUE"""),1.5)</f>
        <v>1.5</v>
      </c>
      <c r="H33" s="24"/>
      <c r="I33" s="24"/>
      <c r="J33" s="24"/>
      <c r="K33" s="24" t="s">
        <v>77</v>
      </c>
      <c r="L33" s="24">
        <v>1.5</v>
      </c>
      <c r="M33" s="24" t="s">
        <v>78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6" t="str">
        <f>IFERROR(__xludf.DUMMYFUNCTION("""COMPUTED_VALUE"""),"Amador Valley A")</f>
        <v>Amador Valley A</v>
      </c>
      <c r="B34" s="27">
        <f>IFERROR(__xludf.DUMMYFUNCTION("""COMPUTED_VALUE"""),1.5)</f>
        <v>1.5</v>
      </c>
      <c r="C34" s="27">
        <f>IFERROR(__xludf.DUMMYFUNCTION("""COMPUTED_VALUE"""),0.0)</f>
        <v>0</v>
      </c>
      <c r="D34" s="27">
        <f>IFERROR(__xludf.DUMMYFUNCTION("""COMPUTED_VALUE"""),0.0)</f>
        <v>0</v>
      </c>
      <c r="E34" s="27">
        <f>IFERROR(__xludf.DUMMYFUNCTION("""COMPUTED_VALUE"""),8.0)</f>
        <v>8</v>
      </c>
      <c r="F34" s="28">
        <f>IFERROR(__xludf.DUMMYFUNCTION("""COMPUTED_VALUE"""),0.0)</f>
        <v>0</v>
      </c>
      <c r="G34" s="24">
        <f>IFERROR(__xludf.DUMMYFUNCTION("""COMPUTED_VALUE"""),9.5)</f>
        <v>9.5</v>
      </c>
      <c r="H34" s="24"/>
      <c r="I34" s="24"/>
      <c r="J34" s="24"/>
      <c r="K34" s="24" t="s">
        <v>79</v>
      </c>
      <c r="L34" s="24">
        <v>1.5</v>
      </c>
      <c r="M34" s="24" t="s">
        <v>80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6" t="str">
        <f>IFERROR(__xludf.DUMMYFUNCTION("""COMPUTED_VALUE"""),"Amador Valley B")</f>
        <v>Amador Valley B</v>
      </c>
      <c r="B35" s="27">
        <f>IFERROR(__xludf.DUMMYFUNCTION("""COMPUTED_VALUE"""),0.0)</f>
        <v>0</v>
      </c>
      <c r="C35" s="27">
        <f>IFERROR(__xludf.DUMMYFUNCTION("""COMPUTED_VALUE"""),0.0)</f>
        <v>0</v>
      </c>
      <c r="D35" s="27">
        <f>IFERROR(__xludf.DUMMYFUNCTION("""COMPUTED_VALUE"""),2.0)</f>
        <v>2</v>
      </c>
      <c r="E35" s="27">
        <f>IFERROR(__xludf.DUMMYFUNCTION("""COMPUTED_VALUE"""),0.0)</f>
        <v>0</v>
      </c>
      <c r="F35" s="28"/>
      <c r="G35" s="24">
        <f>IFERROR(__xludf.DUMMYFUNCTION("""COMPUTED_VALUE"""),2.0)</f>
        <v>2</v>
      </c>
      <c r="H35" s="24"/>
      <c r="I35" s="24"/>
      <c r="J35" s="24"/>
      <c r="K35" s="24" t="s">
        <v>81</v>
      </c>
      <c r="L35" s="24">
        <v>0.0</v>
      </c>
      <c r="M35" s="24" t="s">
        <v>82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6" t="str">
        <f>IFERROR(__xludf.DUMMYFUNCTION("""COMPUTED_VALUE"""),"Lynbrook A")</f>
        <v>Lynbrook A</v>
      </c>
      <c r="B36" s="27">
        <f>IFERROR(__xludf.DUMMYFUNCTION("""COMPUTED_VALUE"""),0.0)</f>
        <v>0</v>
      </c>
      <c r="C36" s="27">
        <f>IFERROR(__xludf.DUMMYFUNCTION("""COMPUTED_VALUE"""),13.0)</f>
        <v>13</v>
      </c>
      <c r="D36" s="27">
        <f>IFERROR(__xludf.DUMMYFUNCTION("""COMPUTED_VALUE"""),0.0)</f>
        <v>0</v>
      </c>
      <c r="E36" s="27">
        <f>IFERROR(__xludf.DUMMYFUNCTION("""COMPUTED_VALUE"""),3.0)</f>
        <v>3</v>
      </c>
      <c r="F36" s="28">
        <f>IFERROR(__xludf.DUMMYFUNCTION("""COMPUTED_VALUE"""),1.0)</f>
        <v>1</v>
      </c>
      <c r="G36" s="24">
        <f>IFERROR(__xludf.DUMMYFUNCTION("""COMPUTED_VALUE"""),17.0)</f>
        <v>17</v>
      </c>
      <c r="H36" s="24"/>
      <c r="I36" s="24"/>
      <c r="J36" s="24"/>
      <c r="K36" s="24" t="s">
        <v>83</v>
      </c>
      <c r="L36" s="24">
        <v>0.0</v>
      </c>
      <c r="M36" s="24" t="s">
        <v>84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6" t="str">
        <f>IFERROR(__xludf.DUMMYFUNCTION("""COMPUTED_VALUE"""),"Lynbrook B")</f>
        <v>Lynbrook B</v>
      </c>
      <c r="B37" s="23">
        <f>IFERROR(__xludf.DUMMYFUNCTION("""COMPUTED_VALUE"""),1.5)</f>
        <v>1.5</v>
      </c>
      <c r="C37" s="23">
        <f>IFERROR(__xludf.DUMMYFUNCTION("""COMPUTED_VALUE"""),0.0)</f>
        <v>0</v>
      </c>
      <c r="D37" s="23">
        <f>IFERROR(__xludf.DUMMYFUNCTION("""COMPUTED_VALUE"""),3.5)</f>
        <v>3.5</v>
      </c>
      <c r="E37" s="23">
        <f>IFERROR(__xludf.DUMMYFUNCTION("""COMPUTED_VALUE"""),1.5)</f>
        <v>1.5</v>
      </c>
      <c r="F37" s="31">
        <f>IFERROR(__xludf.DUMMYFUNCTION("""COMPUTED_VALUE"""),0.0)</f>
        <v>0</v>
      </c>
      <c r="G37" s="24">
        <f>IFERROR(__xludf.DUMMYFUNCTION("""COMPUTED_VALUE"""),6.5)</f>
        <v>6.5</v>
      </c>
      <c r="H37" s="24"/>
      <c r="I37" s="24"/>
      <c r="J37" s="24"/>
      <c r="K37" s="24" t="s">
        <v>85</v>
      </c>
      <c r="L37" s="24">
        <v>1.5</v>
      </c>
      <c r="M37" s="24" t="s">
        <v>86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tr">
        <f>IFERROR(__xludf.DUMMYFUNCTION("""COMPUTED_VALUE"""),"MAX Team")</f>
        <v>MAX Team</v>
      </c>
      <c r="B38" s="24" t="str">
        <f>IFERROR(__xludf.DUMMYFUNCTION("""COMPUTED_VALUE"""),"Canyon Crest A")</f>
        <v>Canyon Crest A</v>
      </c>
      <c r="C38" s="24" t="str">
        <f>IFERROR(__xludf.DUMMYFUNCTION("""COMPUTED_VALUE"""),"Cupertino A")</f>
        <v>Cupertino A</v>
      </c>
      <c r="D38" s="24" t="str">
        <f>IFERROR(__xludf.DUMMYFUNCTION("""COMPUTED_VALUE"""),"Saint Francis")</f>
        <v>Saint Francis</v>
      </c>
      <c r="E38" s="24" t="str">
        <f>IFERROR(__xludf.DUMMYFUNCTION("""COMPUTED_VALUE"""),"Amador Valley A")</f>
        <v>Amador Valley A</v>
      </c>
      <c r="F38" s="32" t="str">
        <f>IFERROR(__xludf.DUMMYFUNCTION("""COMPUTED_VALUE"""),"Foothill B")</f>
        <v>Foothill B</v>
      </c>
      <c r="G38" s="24"/>
      <c r="H38" s="24"/>
      <c r="I38" s="24"/>
      <c r="J38" s="24"/>
      <c r="K38" s="24" t="s">
        <v>87</v>
      </c>
      <c r="L38" s="24">
        <v>-1.0</v>
      </c>
      <c r="M38" s="24" t="s">
        <v>88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tr">
        <f>IFERROR(__xludf.DUMMYFUNCTION("""COMPUTED_VALUE"""),"MAX Score")</f>
        <v>MAX Score</v>
      </c>
      <c r="B39" s="27">
        <f>IFERROR(__xludf.DUMMYFUNCTION("""COMPUTED_VALUE"""),10.5)</f>
        <v>10.5</v>
      </c>
      <c r="C39" s="27">
        <f>IFERROR(__xludf.DUMMYFUNCTION("""COMPUTED_VALUE"""),14.0)</f>
        <v>14</v>
      </c>
      <c r="D39" s="27">
        <f>IFERROR(__xludf.DUMMYFUNCTION("""COMPUTED_VALUE"""),7.0)</f>
        <v>7</v>
      </c>
      <c r="E39" s="27">
        <f>IFERROR(__xludf.DUMMYFUNCTION("""COMPUTED_VALUE"""),8.0)</f>
        <v>8</v>
      </c>
      <c r="F39" s="27">
        <f>IFERROR(__xludf.DUMMYFUNCTION("""COMPUTED_VALUE"""),8.0)</f>
        <v>8</v>
      </c>
      <c r="G39" s="24"/>
      <c r="H39" s="24"/>
      <c r="I39" s="24"/>
      <c r="J39" s="24"/>
      <c r="K39" s="24" t="s">
        <v>18</v>
      </c>
      <c r="L39" s="24">
        <v>0.0</v>
      </c>
      <c r="M39" s="24" t="s">
        <v>89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 t="s">
        <v>20</v>
      </c>
      <c r="L40" s="24">
        <v>0.0</v>
      </c>
      <c r="M40" s="24" t="s">
        <v>90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 t="s">
        <v>22</v>
      </c>
      <c r="L41" s="24">
        <v>1.5</v>
      </c>
      <c r="M41" s="24" t="s">
        <v>91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 t="s">
        <v>24</v>
      </c>
      <c r="L42" s="24">
        <v>6.0</v>
      </c>
      <c r="M42" s="24" t="s">
        <v>92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 t="s">
        <v>26</v>
      </c>
      <c r="L43" s="24">
        <v>1.0</v>
      </c>
      <c r="M43" s="24" t="s">
        <v>93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 t="s">
        <v>28</v>
      </c>
      <c r="L44" s="24">
        <v>0.0</v>
      </c>
      <c r="M44" s="24" t="s">
        <v>94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 t="s">
        <v>30</v>
      </c>
      <c r="L45" s="24">
        <v>0.0</v>
      </c>
      <c r="M45" s="24" t="s">
        <v>95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 t="s">
        <v>32</v>
      </c>
      <c r="L46" s="24">
        <v>5.0</v>
      </c>
      <c r="M46" s="24" t="s">
        <v>96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 t="s">
        <v>34</v>
      </c>
      <c r="L47" s="24">
        <v>2.0</v>
      </c>
      <c r="M47" s="24" t="s">
        <v>97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 t="s">
        <v>36</v>
      </c>
      <c r="L48" s="24">
        <v>0.0</v>
      </c>
      <c r="M48" s="24" t="s">
        <v>98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 t="s">
        <v>38</v>
      </c>
      <c r="L49" s="24">
        <v>0.0</v>
      </c>
      <c r="M49" s="24" t="s">
        <v>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 t="s">
        <v>40</v>
      </c>
      <c r="L50" s="24">
        <v>0.0</v>
      </c>
      <c r="M50" s="24" t="s">
        <v>100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 t="s">
        <v>42</v>
      </c>
      <c r="L51" s="24">
        <v>0.0</v>
      </c>
      <c r="M51" s="24" t="s">
        <v>101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 t="s">
        <v>44</v>
      </c>
      <c r="L52" s="24">
        <v>0.0</v>
      </c>
      <c r="M52" s="24" t="s">
        <v>102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 t="s">
        <v>46</v>
      </c>
      <c r="L53" s="24">
        <v>0.0</v>
      </c>
      <c r="M53" s="24" t="s">
        <v>103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 t="s">
        <v>48</v>
      </c>
      <c r="L54" s="24">
        <v>1.0</v>
      </c>
      <c r="M54" s="24" t="s">
        <v>104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 t="s">
        <v>50</v>
      </c>
      <c r="L55" s="24">
        <v>0.0</v>
      </c>
      <c r="M55" s="24" t="s">
        <v>105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 t="s">
        <v>52</v>
      </c>
      <c r="L56" s="24">
        <v>4.0</v>
      </c>
      <c r="M56" s="24" t="s">
        <v>106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 t="s">
        <v>54</v>
      </c>
      <c r="L57" s="24">
        <v>2.0</v>
      </c>
      <c r="M57" s="24" t="s">
        <v>107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 t="s">
        <v>56</v>
      </c>
      <c r="L58" s="24">
        <v>0.0</v>
      </c>
      <c r="M58" s="24" t="s">
        <v>108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 t="s">
        <v>58</v>
      </c>
      <c r="L59" s="24">
        <v>1.5</v>
      </c>
      <c r="M59" s="24" t="s">
        <v>109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 t="s">
        <v>60</v>
      </c>
      <c r="L60" s="24">
        <v>0.0</v>
      </c>
      <c r="M60" s="24" t="s">
        <v>110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 t="s">
        <v>62</v>
      </c>
      <c r="L61" s="24">
        <v>-1.5</v>
      </c>
      <c r="M61" s="24" t="s">
        <v>111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 t="s">
        <v>64</v>
      </c>
      <c r="L62" s="24">
        <v>1.5</v>
      </c>
      <c r="M62" s="24" t="s">
        <v>112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 t="s">
        <v>9</v>
      </c>
      <c r="L63" s="24">
        <v>14.0</v>
      </c>
      <c r="M63" s="24" t="s">
        <v>11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 t="s">
        <v>67</v>
      </c>
      <c r="L64" s="24">
        <v>0.5</v>
      </c>
      <c r="M64" s="24" t="s">
        <v>113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 t="s">
        <v>69</v>
      </c>
      <c r="L65" s="24">
        <v>8.5</v>
      </c>
      <c r="M65" s="24" t="s">
        <v>114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 t="s">
        <v>71</v>
      </c>
      <c r="L66" s="24">
        <v>4.5</v>
      </c>
      <c r="M66" s="24" t="s">
        <v>115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 t="s">
        <v>73</v>
      </c>
      <c r="L67" s="24">
        <v>3.0</v>
      </c>
      <c r="M67" s="24" t="s">
        <v>116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 t="s">
        <v>75</v>
      </c>
      <c r="L68" s="24">
        <v>9.5</v>
      </c>
      <c r="M68" s="24" t="s">
        <v>117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 t="s">
        <v>77</v>
      </c>
      <c r="L69" s="24"/>
      <c r="M69" s="24" t="s">
        <v>118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 t="s">
        <v>79</v>
      </c>
      <c r="L70" s="24">
        <v>0.0</v>
      </c>
      <c r="M70" s="24" t="s">
        <v>119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 t="s">
        <v>81</v>
      </c>
      <c r="L71" s="24">
        <v>0.0</v>
      </c>
      <c r="M71" s="24" t="s">
        <v>120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 t="s">
        <v>83</v>
      </c>
      <c r="L72" s="24">
        <v>13.0</v>
      </c>
      <c r="M72" s="24" t="s">
        <v>121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 t="s">
        <v>85</v>
      </c>
      <c r="L73" s="24">
        <v>0.0</v>
      </c>
      <c r="M73" s="24" t="s">
        <v>122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 t="s">
        <v>87</v>
      </c>
      <c r="L74" s="24">
        <v>1.0</v>
      </c>
      <c r="M74" s="24" t="s">
        <v>123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18</v>
      </c>
      <c r="L75" s="24">
        <v>0.0</v>
      </c>
      <c r="M75" s="24" t="s">
        <v>124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 t="s">
        <v>20</v>
      </c>
      <c r="L76" s="24">
        <v>1.0</v>
      </c>
      <c r="M76" s="24" t="s">
        <v>125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 t="s">
        <v>22</v>
      </c>
      <c r="L77" s="24">
        <v>7.0</v>
      </c>
      <c r="M77" s="24" t="s">
        <v>126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 t="s">
        <v>24</v>
      </c>
      <c r="L78" s="24">
        <v>0.0</v>
      </c>
      <c r="M78" s="24" t="s">
        <v>127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 t="s">
        <v>26</v>
      </c>
      <c r="L79" s="24">
        <v>0.0</v>
      </c>
      <c r="M79" s="24" t="s">
        <v>128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 t="s">
        <v>28</v>
      </c>
      <c r="L80" s="24">
        <v>0.0</v>
      </c>
      <c r="M80" s="24" t="s">
        <v>129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 t="s">
        <v>30</v>
      </c>
      <c r="L81" s="24">
        <v>5.0</v>
      </c>
      <c r="M81" s="24" t="s">
        <v>130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 t="s">
        <v>32</v>
      </c>
      <c r="L82" s="24">
        <v>0.0</v>
      </c>
      <c r="M82" s="24" t="s">
        <v>131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 t="s">
        <v>34</v>
      </c>
      <c r="L83" s="24">
        <v>0.0</v>
      </c>
      <c r="M83" s="24" t="s">
        <v>132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 t="s">
        <v>36</v>
      </c>
      <c r="L84" s="24">
        <v>0.0</v>
      </c>
      <c r="M84" s="24" t="s">
        <v>133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 t="s">
        <v>38</v>
      </c>
      <c r="L85" s="24">
        <v>0.0</v>
      </c>
      <c r="M85" s="24" t="s">
        <v>134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 t="s">
        <v>40</v>
      </c>
      <c r="L86" s="24">
        <v>0.0</v>
      </c>
      <c r="M86" s="24" t="s">
        <v>135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 t="s">
        <v>42</v>
      </c>
      <c r="L87" s="24">
        <v>3.5</v>
      </c>
      <c r="M87" s="24" t="s">
        <v>136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 t="s">
        <v>44</v>
      </c>
      <c r="L88" s="24">
        <v>0.0</v>
      </c>
      <c r="M88" s="24" t="s">
        <v>137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 t="s">
        <v>46</v>
      </c>
      <c r="L89" s="24">
        <v>0.0</v>
      </c>
      <c r="M89" s="24" t="s">
        <v>138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 t="s">
        <v>48</v>
      </c>
      <c r="L90" s="24">
        <v>5.0</v>
      </c>
      <c r="M90" s="24" t="s">
        <v>139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 t="s">
        <v>50</v>
      </c>
      <c r="L91" s="24">
        <v>0.0</v>
      </c>
      <c r="M91" s="24" t="s">
        <v>140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 t="s">
        <v>52</v>
      </c>
      <c r="L92" s="24">
        <v>0.0</v>
      </c>
      <c r="M92" s="24" t="s">
        <v>141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 t="s">
        <v>54</v>
      </c>
      <c r="L93" s="24">
        <v>0.0</v>
      </c>
      <c r="M93" s="24" t="s">
        <v>142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 t="s">
        <v>56</v>
      </c>
      <c r="L94" s="24">
        <v>1.0</v>
      </c>
      <c r="M94" s="24" t="s">
        <v>143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 t="s">
        <v>58</v>
      </c>
      <c r="L95" s="24">
        <v>0.0</v>
      </c>
      <c r="M95" s="24" t="s">
        <v>144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 t="s">
        <v>60</v>
      </c>
      <c r="L96" s="24">
        <v>5.0</v>
      </c>
      <c r="M96" s="24" t="s">
        <v>145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 t="s">
        <v>62</v>
      </c>
      <c r="L97" s="24">
        <v>0.0</v>
      </c>
      <c r="M97" s="24" t="s">
        <v>146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 t="s">
        <v>64</v>
      </c>
      <c r="L98" s="24">
        <v>3.0</v>
      </c>
      <c r="M98" s="24" t="s">
        <v>147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 t="s">
        <v>9</v>
      </c>
      <c r="L99" s="24">
        <v>0.0</v>
      </c>
      <c r="M99" s="24" t="s">
        <v>12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 t="s">
        <v>67</v>
      </c>
      <c r="L100" s="24">
        <v>0.0</v>
      </c>
      <c r="M100" s="24" t="s">
        <v>148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69</v>
      </c>
      <c r="L101" s="24">
        <v>0.0</v>
      </c>
      <c r="M101" s="24" t="s">
        <v>149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 t="s">
        <v>71</v>
      </c>
      <c r="L102" s="24">
        <v>0.0</v>
      </c>
      <c r="M102" s="24" t="s">
        <v>150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 t="s">
        <v>73</v>
      </c>
      <c r="L103" s="24">
        <v>0.0</v>
      </c>
      <c r="M103" s="24" t="s">
        <v>151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 t="s">
        <v>75</v>
      </c>
      <c r="L104" s="24">
        <v>0.0</v>
      </c>
      <c r="M104" s="24" t="s">
        <v>152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 t="s">
        <v>77</v>
      </c>
      <c r="L105" s="24">
        <v>0.0</v>
      </c>
      <c r="M105" s="24" t="s">
        <v>153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 t="s">
        <v>79</v>
      </c>
      <c r="L106" s="24">
        <v>0.0</v>
      </c>
      <c r="M106" s="24" t="s">
        <v>154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 t="s">
        <v>81</v>
      </c>
      <c r="L107" s="24">
        <v>2.0</v>
      </c>
      <c r="M107" s="24" t="s">
        <v>155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 t="s">
        <v>83</v>
      </c>
      <c r="L108" s="24">
        <v>0.0</v>
      </c>
      <c r="M108" s="24" t="s">
        <v>156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 t="s">
        <v>85</v>
      </c>
      <c r="L109" s="24">
        <v>3.5</v>
      </c>
      <c r="M109" s="24" t="s">
        <v>157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 t="s">
        <v>87</v>
      </c>
      <c r="L110" s="24">
        <v>-2.0</v>
      </c>
      <c r="M110" s="24" t="s">
        <v>158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 t="s">
        <v>18</v>
      </c>
      <c r="L111" s="24">
        <v>1.0</v>
      </c>
      <c r="M111" s="24" t="s">
        <v>159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 t="s">
        <v>20</v>
      </c>
      <c r="L112" s="24">
        <v>0.0</v>
      </c>
      <c r="M112" s="24" t="s">
        <v>160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 t="s">
        <v>22</v>
      </c>
      <c r="L113" s="24">
        <v>1.5</v>
      </c>
      <c r="M113" s="24" t="s">
        <v>161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 t="s">
        <v>24</v>
      </c>
      <c r="L114" s="24">
        <v>0.0</v>
      </c>
      <c r="M114" s="24" t="s">
        <v>162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 t="s">
        <v>26</v>
      </c>
      <c r="L115" s="24">
        <v>0.0</v>
      </c>
      <c r="M115" s="24" t="s">
        <v>163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 t="s">
        <v>28</v>
      </c>
      <c r="L116" s="24">
        <v>4.0</v>
      </c>
      <c r="M116" s="24" t="s">
        <v>164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 t="s">
        <v>30</v>
      </c>
      <c r="L117" s="24">
        <v>0.0</v>
      </c>
      <c r="M117" s="24" t="s">
        <v>165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 t="s">
        <v>32</v>
      </c>
      <c r="L118" s="24">
        <v>0.0</v>
      </c>
      <c r="M118" s="24" t="s">
        <v>166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 t="s">
        <v>34</v>
      </c>
      <c r="L119" s="24">
        <v>0.0</v>
      </c>
      <c r="M119" s="24" t="s">
        <v>167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 t="s">
        <v>36</v>
      </c>
      <c r="L120" s="24">
        <v>0.0</v>
      </c>
      <c r="M120" s="24" t="s">
        <v>168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 t="s">
        <v>38</v>
      </c>
      <c r="L121" s="24">
        <v>0.0</v>
      </c>
      <c r="M121" s="24" t="s">
        <v>169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 t="s">
        <v>40</v>
      </c>
      <c r="L122" s="24">
        <v>0.0</v>
      </c>
      <c r="M122" s="24" t="s">
        <v>170</v>
      </c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 t="s">
        <v>42</v>
      </c>
      <c r="L123" s="24">
        <v>0.0</v>
      </c>
      <c r="M123" s="24" t="s">
        <v>171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 t="s">
        <v>44</v>
      </c>
      <c r="L124" s="24">
        <v>0.0</v>
      </c>
      <c r="M124" s="24" t="s">
        <v>172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 t="s">
        <v>46</v>
      </c>
      <c r="L125" s="24">
        <v>0.0</v>
      </c>
      <c r="M125" s="24" t="s">
        <v>173</v>
      </c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 t="s">
        <v>48</v>
      </c>
      <c r="L126" s="24">
        <v>0.0</v>
      </c>
      <c r="M126" s="24" t="s">
        <v>174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 t="s">
        <v>50</v>
      </c>
      <c r="L127" s="24">
        <v>1.0</v>
      </c>
      <c r="M127" s="24" t="s">
        <v>175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 t="s">
        <v>52</v>
      </c>
      <c r="L128" s="24">
        <v>5.0</v>
      </c>
      <c r="M128" s="24" t="s">
        <v>176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 t="s">
        <v>54</v>
      </c>
      <c r="L129" s="24">
        <v>0.0</v>
      </c>
      <c r="M129" s="24" t="s">
        <v>177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 t="s">
        <v>56</v>
      </c>
      <c r="L130" s="24">
        <v>0.0</v>
      </c>
      <c r="M130" s="24" t="s">
        <v>178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 t="s">
        <v>58</v>
      </c>
      <c r="L131" s="24">
        <v>0.0</v>
      </c>
      <c r="M131" s="24" t="s">
        <v>179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 t="s">
        <v>60</v>
      </c>
      <c r="L132" s="24">
        <v>4.0</v>
      </c>
      <c r="M132" s="24" t="s">
        <v>180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 t="s">
        <v>62</v>
      </c>
      <c r="L133" s="24">
        <v>1.5</v>
      </c>
      <c r="M133" s="24" t="s">
        <v>181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 t="s">
        <v>64</v>
      </c>
      <c r="L134" s="24">
        <v>0.0</v>
      </c>
      <c r="M134" s="24" t="s">
        <v>182</v>
      </c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 t="s">
        <v>9</v>
      </c>
      <c r="L135" s="24">
        <v>0.0</v>
      </c>
      <c r="M135" s="24" t="s">
        <v>13</v>
      </c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 t="s">
        <v>67</v>
      </c>
      <c r="L136" s="24">
        <v>0.0</v>
      </c>
      <c r="M136" s="24" t="s">
        <v>183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 t="s">
        <v>69</v>
      </c>
      <c r="L137" s="24">
        <v>0.0</v>
      </c>
      <c r="M137" s="24" t="s">
        <v>184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 t="s">
        <v>71</v>
      </c>
      <c r="L138" s="24">
        <v>0.0</v>
      </c>
      <c r="M138" s="24" t="s">
        <v>185</v>
      </c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 t="s">
        <v>73</v>
      </c>
      <c r="L139" s="24">
        <v>0.0</v>
      </c>
      <c r="M139" s="24" t="s">
        <v>186</v>
      </c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 t="s">
        <v>75</v>
      </c>
      <c r="L140" s="24">
        <v>0.0</v>
      </c>
      <c r="M140" s="24" t="s">
        <v>187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 t="s">
        <v>77</v>
      </c>
      <c r="L141" s="24">
        <v>0.0</v>
      </c>
      <c r="M141" s="24" t="s">
        <v>188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 t="s">
        <v>79</v>
      </c>
      <c r="L142" s="24">
        <v>8.0</v>
      </c>
      <c r="M142" s="24" t="s">
        <v>189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 t="s">
        <v>81</v>
      </c>
      <c r="L143" s="24">
        <v>0.0</v>
      </c>
      <c r="M143" s="24" t="s">
        <v>190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 t="s">
        <v>83</v>
      </c>
      <c r="L144" s="24">
        <v>3.0</v>
      </c>
      <c r="M144" s="24" t="s">
        <v>191</v>
      </c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 t="s">
        <v>85</v>
      </c>
      <c r="L145" s="24">
        <v>1.5</v>
      </c>
      <c r="M145" s="24" t="s">
        <v>192</v>
      </c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 t="s">
        <v>87</v>
      </c>
      <c r="L146" s="24">
        <v>0.0</v>
      </c>
      <c r="M146" s="24" t="s">
        <v>193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18</v>
      </c>
      <c r="L147" s="24">
        <v>1.0</v>
      </c>
      <c r="M147" s="24" t="s">
        <v>194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 t="s">
        <v>20</v>
      </c>
      <c r="L148" s="24">
        <v>0.0</v>
      </c>
      <c r="M148" s="24" t="s">
        <v>195</v>
      </c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 t="s">
        <v>22</v>
      </c>
      <c r="L149" s="24">
        <v>0.0</v>
      </c>
      <c r="M149" s="24" t="s">
        <v>196</v>
      </c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 t="s">
        <v>24</v>
      </c>
      <c r="L150" s="24">
        <v>0.0</v>
      </c>
      <c r="M150" s="24" t="s">
        <v>197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 t="s">
        <v>26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 t="s">
        <v>28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 t="s">
        <v>30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 t="s">
        <v>32</v>
      </c>
      <c r="L154" s="24">
        <v>1.5</v>
      </c>
      <c r="M154" s="24" t="s">
        <v>198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 t="s">
        <v>34</v>
      </c>
      <c r="L155" s="24">
        <v>0.0</v>
      </c>
      <c r="M155" s="24" t="s">
        <v>199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 t="s">
        <v>36</v>
      </c>
      <c r="L156" s="24">
        <v>1.0</v>
      </c>
      <c r="M156" s="24" t="s">
        <v>200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 t="s">
        <v>38</v>
      </c>
      <c r="L157" s="24">
        <v>8.0</v>
      </c>
      <c r="M157" s="24" t="s">
        <v>201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 t="s">
        <v>40</v>
      </c>
      <c r="L158" s="24">
        <v>7.0</v>
      </c>
      <c r="M158" s="24" t="s">
        <v>202</v>
      </c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 t="s">
        <v>42</v>
      </c>
      <c r="L159" s="24">
        <v>0.0</v>
      </c>
      <c r="M159" s="24" t="s">
        <v>203</v>
      </c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 t="s">
        <v>44</v>
      </c>
      <c r="L160" s="24">
        <v>0.0</v>
      </c>
      <c r="M160" s="24" t="s">
        <v>204</v>
      </c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 t="s">
        <v>46</v>
      </c>
      <c r="L161" s="24">
        <v>0.0</v>
      </c>
      <c r="M161" s="24" t="s">
        <v>205</v>
      </c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 t="s">
        <v>48</v>
      </c>
      <c r="L162" s="24">
        <v>5.0</v>
      </c>
      <c r="M162" s="24" t="s">
        <v>206</v>
      </c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 t="s">
        <v>50</v>
      </c>
      <c r="L163" s="24">
        <v>0.0</v>
      </c>
      <c r="M163" s="24" t="s">
        <v>207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 t="s">
        <v>52</v>
      </c>
      <c r="L164" s="24">
        <v>0.0</v>
      </c>
      <c r="M164" s="24" t="s">
        <v>208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 t="s">
        <v>54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 t="s">
        <v>56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 t="s">
        <v>58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 t="s">
        <v>60</v>
      </c>
      <c r="L168" s="24">
        <v>3.0</v>
      </c>
      <c r="M168" s="24" t="s">
        <v>209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 t="s">
        <v>62</v>
      </c>
      <c r="L169" s="24">
        <v>0.0</v>
      </c>
      <c r="M169" s="24" t="s">
        <v>210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 t="s">
        <v>64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 t="s">
        <v>9</v>
      </c>
      <c r="L171" s="24">
        <v>0.0</v>
      </c>
      <c r="M171" s="24" t="s">
        <v>14</v>
      </c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 t="s">
        <v>67</v>
      </c>
      <c r="L172" s="24">
        <v>0.0</v>
      </c>
      <c r="M172" s="24" t="s">
        <v>211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 t="s">
        <v>69</v>
      </c>
      <c r="L173" s="24">
        <v>3.0</v>
      </c>
      <c r="M173" s="24" t="s">
        <v>212</v>
      </c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 t="s">
        <v>71</v>
      </c>
      <c r="L174" s="24">
        <v>0.0</v>
      </c>
      <c r="M174" s="24" t="s">
        <v>213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 t="s">
        <v>73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 t="s">
        <v>75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 t="s">
        <v>77</v>
      </c>
      <c r="L177" s="24">
        <v>0.0</v>
      </c>
      <c r="M177" s="24" t="s">
        <v>214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 t="s">
        <v>79</v>
      </c>
      <c r="L178" s="24">
        <v>0.0</v>
      </c>
      <c r="M178" s="24" t="s">
        <v>215</v>
      </c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 t="s">
        <v>81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 t="s">
        <v>83</v>
      </c>
      <c r="L180" s="24">
        <v>1.0</v>
      </c>
      <c r="M180" s="24" t="s">
        <v>216</v>
      </c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 t="s">
        <v>85</v>
      </c>
      <c r="L181" s="24">
        <v>0.0</v>
      </c>
      <c r="M181" s="24" t="s">
        <v>217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7.25"/>
    <col customWidth="1" min="3" max="3" width="18.88"/>
    <col customWidth="1" min="4" max="4" width="20.88"/>
    <col customWidth="1" min="5" max="5" width="19.75"/>
    <col customWidth="1" min="6" max="6" width="16.0"/>
    <col customWidth="1" min="7" max="7" width="18.0"/>
    <col customWidth="1" min="8" max="8" width="17.25"/>
    <col customWidth="1" min="9" max="9" width="21.25"/>
  </cols>
  <sheetData>
    <row r="1">
      <c r="A1" s="34" t="str">
        <f>IFERROR(__xludf.DUMMYFUNCTION("IMPORTRANGE(""https://docs.google.com/spreadsheets/d/1VnSjKQNcEg8N6AeeADjI3vLUK4uy-KDBQ-wT2brMMwg/edit#gid=159109025"",""Check-in!A1:M"")"),"School Name")</f>
        <v>School Name</v>
      </c>
      <c r="B1" s="34" t="str">
        <f>IFERROR(__xludf.DUMMYFUNCTION("""COMPUTED_VALUE"""),"Team Letter/Name")</f>
        <v>Team Letter/Name</v>
      </c>
      <c r="C1" s="34" t="str">
        <f>IFERROR(__xludf.DUMMYFUNCTION("""COMPUTED_VALUE"""),"Coach/Guardian Name")</f>
        <v>Coach/Guardian Name</v>
      </c>
      <c r="D1" s="34" t="str">
        <f>IFERROR(__xludf.DUMMYFUNCTION("""COMPUTED_VALUE"""),"Coach/Guardian Phone #")</f>
        <v>Coach/Guardian Phone #</v>
      </c>
      <c r="E1" s="34" t="str">
        <f>IFERROR(__xludf.DUMMYFUNCTION("""COMPUTED_VALUE"""),"Student 1 Name")</f>
        <v>Student 1 Name</v>
      </c>
      <c r="F1" s="34" t="str">
        <f>IFERROR(__xludf.DUMMYFUNCTION("""COMPUTED_VALUE"""),"Student 2 Name")</f>
        <v>Student 2 Name</v>
      </c>
      <c r="G1" s="34" t="str">
        <f>IFERROR(__xludf.DUMMYFUNCTION("""COMPUTED_VALUE"""),"Student 3 Name")</f>
        <v>Student 3 Name</v>
      </c>
      <c r="H1" s="34" t="str">
        <f>IFERROR(__xludf.DUMMYFUNCTION("""COMPUTED_VALUE"""),"Student 4 Name")</f>
        <v>Student 4 Name</v>
      </c>
      <c r="I1" s="34" t="str">
        <f>IFERROR(__xludf.DUMMYFUNCTION("""COMPUTED_VALUE"""),"Student 5 Name (if there)")</f>
        <v>Student 5 Name (if there)</v>
      </c>
      <c r="J1" s="34"/>
      <c r="K1" s="34" t="str">
        <f>IFERROR(__xludf.DUMMYFUNCTION("""COMPUTED_VALUE"""),"Student Lead Phone # (if wanted)")</f>
        <v>Student Lead Phone # (if wanted)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3" t="str">
        <f>IFERROR(__xludf.DUMMYFUNCTION("""COMPUTED_VALUE"""),"Abraham Lincoln HS")</f>
        <v>Abraham Lincoln HS</v>
      </c>
      <c r="B2" s="33" t="str">
        <f>IFERROR(__xludf.DUMMYFUNCTION("""COMPUTED_VALUE"""),"Abraham Lincoln")</f>
        <v>Abraham Lincoln</v>
      </c>
      <c r="C2" s="33" t="str">
        <f>IFERROR(__xludf.DUMMYFUNCTION("""COMPUTED_VALUE"""),"Asya Landa")</f>
        <v>Asya Landa</v>
      </c>
      <c r="D2" s="33" t="str">
        <f>IFERROR(__xludf.DUMMYFUNCTION("""COMPUTED_VALUE"""),"646-662-7737")</f>
        <v>646-662-7737</v>
      </c>
      <c r="E2" s="33" t="str">
        <f>IFERROR(__xludf.DUMMYFUNCTION("""COMPUTED_VALUE"""),"Shridavi Raghavan")</f>
        <v>Shridavi Raghavan</v>
      </c>
      <c r="F2" s="33" t="str">
        <f>IFERROR(__xludf.DUMMYFUNCTION("""COMPUTED_VALUE"""),"Steven Su")</f>
        <v>Steven Su</v>
      </c>
      <c r="G2" s="33" t="str">
        <f>IFERROR(__xludf.DUMMYFUNCTION("""COMPUTED_VALUE"""),"Garen Yang")</f>
        <v>Garen Yang</v>
      </c>
      <c r="H2" s="33" t="str">
        <f>IFERROR(__xludf.DUMMYFUNCTION("""COMPUTED_VALUE"""),"Kyle Li")</f>
        <v>Kyle Li</v>
      </c>
      <c r="I2" s="33" t="str">
        <f>IFERROR(__xludf.DUMMYFUNCTION("""COMPUTED_VALUE"""),"Miranda Feng Cai")</f>
        <v>Miranda Feng Cai</v>
      </c>
      <c r="J2" s="33"/>
      <c r="K2" s="33" t="str">
        <f>IFERROR(__xludf.DUMMYFUNCTION("""COMPUTED_VALUE"""),"415-917-8856")</f>
        <v>415-917-8856</v>
      </c>
      <c r="L2" s="33"/>
      <c r="M2" s="33"/>
    </row>
    <row r="3">
      <c r="A3" s="33" t="str">
        <f>IFERROR(__xludf.DUMMYFUNCTION("""COMPUTED_VALUE"""),"Saratoga High School")</f>
        <v>Saratoga High School</v>
      </c>
      <c r="B3" s="33" t="str">
        <f>IFERROR(__xludf.DUMMYFUNCTION("""COMPUTED_VALUE"""),"Saratoga")</f>
        <v>Saratoga</v>
      </c>
      <c r="C3" s="33" t="str">
        <f>IFERROR(__xludf.DUMMYFUNCTION("""COMPUTED_VALUE"""),"Kathy Nakamatsu")</f>
        <v>Kathy Nakamatsu</v>
      </c>
      <c r="D3" s="33" t="str">
        <f>IFERROR(__xludf.DUMMYFUNCTION("""COMPUTED_VALUE"""),"925-787-7793")</f>
        <v>925-787-7793</v>
      </c>
      <c r="E3" s="33" t="str">
        <f>IFERROR(__xludf.DUMMYFUNCTION("""COMPUTED_VALUE"""),"Skyler Mao")</f>
        <v>Skyler Mao</v>
      </c>
      <c r="F3" s="33" t="str">
        <f>IFERROR(__xludf.DUMMYFUNCTION("""COMPUTED_VALUE"""),"Alex Ge")</f>
        <v>Alex Ge</v>
      </c>
      <c r="G3" s="33" t="str">
        <f>IFERROR(__xludf.DUMMYFUNCTION("""COMPUTED_VALUE"""),"Willis Chung")</f>
        <v>Willis Chung</v>
      </c>
      <c r="H3" s="33" t="str">
        <f>IFERROR(__xludf.DUMMYFUNCTION("""COMPUTED_VALUE"""),"Alan Cai")</f>
        <v>Alan Cai</v>
      </c>
      <c r="I3" s="33" t="str">
        <f>IFERROR(__xludf.DUMMYFUNCTION("""COMPUTED_VALUE"""),"Warren Chee")</f>
        <v>Warren Chee</v>
      </c>
      <c r="J3" s="33"/>
      <c r="K3" s="33"/>
      <c r="L3" s="33"/>
      <c r="M3" s="33"/>
    </row>
    <row r="4">
      <c r="A4" s="33" t="str">
        <f>IFERROR(__xludf.DUMMYFUNCTION("""COMPUTED_VALUE"""),"Irvington High School")</f>
        <v>Irvington High School</v>
      </c>
      <c r="B4" s="33" t="str">
        <f>IFERROR(__xludf.DUMMYFUNCTION("""COMPUTED_VALUE"""),"Irvington")</f>
        <v>Irvington</v>
      </c>
      <c r="C4" s="33" t="str">
        <f>IFERROR(__xludf.DUMMYFUNCTION("""COMPUTED_VALUE"""),"Jessica Lee")</f>
        <v>Jessica Lee</v>
      </c>
      <c r="D4" s="33">
        <f>IFERROR(__xludf.DUMMYFUNCTION("""COMPUTED_VALUE"""),6.509228533E9)</f>
        <v>6509228533</v>
      </c>
      <c r="E4" s="33" t="str">
        <f>IFERROR(__xludf.DUMMYFUNCTION("""COMPUTED_VALUE"""),"Samyuktha Lakshmi")</f>
        <v>Samyuktha Lakshmi</v>
      </c>
      <c r="F4" s="33" t="str">
        <f>IFERROR(__xludf.DUMMYFUNCTION("""COMPUTED_VALUE"""),"Arjun Murugappan")</f>
        <v>Arjun Murugappan</v>
      </c>
      <c r="G4" s="33" t="str">
        <f>IFERROR(__xludf.DUMMYFUNCTION("""COMPUTED_VALUE"""),"Roland Pratt")</f>
        <v>Roland Pratt</v>
      </c>
      <c r="H4" s="33" t="str">
        <f>IFERROR(__xludf.DUMMYFUNCTION("""COMPUTED_VALUE"""),"Pearl Shah")</f>
        <v>Pearl Shah</v>
      </c>
      <c r="I4" s="33" t="str">
        <f>IFERROR(__xludf.DUMMYFUNCTION("""COMPUTED_VALUE"""),"Evan Tung")</f>
        <v>Evan Tung</v>
      </c>
      <c r="J4" s="33"/>
      <c r="K4" s="33"/>
      <c r="L4" s="33"/>
      <c r="M4" s="33"/>
    </row>
    <row r="5">
      <c r="A5" s="33" t="str">
        <f>IFERROR(__xludf.DUMMYFUNCTION("""COMPUTED_VALUE"""),"Saint Francis High School")</f>
        <v>Saint Francis High School</v>
      </c>
      <c r="B5" s="33" t="str">
        <f>IFERROR(__xludf.DUMMYFUNCTION("""COMPUTED_VALUE"""),"Saint Francis")</f>
        <v>Saint Francis</v>
      </c>
      <c r="C5" s="33" t="str">
        <f>IFERROR(__xludf.DUMMYFUNCTION("""COMPUTED_VALUE"""),"Mark jjSelden")</f>
        <v>Mark jjSelden</v>
      </c>
      <c r="D5" s="33">
        <f>IFERROR(__xludf.DUMMYFUNCTION("""COMPUTED_VALUE"""),4.085682105E9)</f>
        <v>4085682105</v>
      </c>
      <c r="E5" s="33" t="str">
        <f>IFERROR(__xludf.DUMMYFUNCTION("""COMPUTED_VALUE"""),"Ishan Pachauri")</f>
        <v>Ishan Pachauri</v>
      </c>
      <c r="F5" s="33" t="str">
        <f>IFERROR(__xludf.DUMMYFUNCTION("""COMPUTED_VALUE"""),"Viyan Dabke")</f>
        <v>Viyan Dabke</v>
      </c>
      <c r="G5" s="33" t="str">
        <f>IFERROR(__xludf.DUMMYFUNCTION("""COMPUTED_VALUE"""),"Anirudh Kannan")</f>
        <v>Anirudh Kannan</v>
      </c>
      <c r="H5" s="33" t="str">
        <f>IFERROR(__xludf.DUMMYFUNCTION("""COMPUTED_VALUE"""),"Alexander Xia")</f>
        <v>Alexander Xia</v>
      </c>
      <c r="I5" s="33" t="str">
        <f>IFERROR(__xludf.DUMMYFUNCTION("""COMPUTED_VALUE"""),"Caleb Obico")</f>
        <v>Caleb Obico</v>
      </c>
      <c r="J5" s="33"/>
      <c r="K5" s="33"/>
      <c r="L5" s="33"/>
      <c r="M5" s="33"/>
    </row>
    <row r="6">
      <c r="A6" s="33" t="str">
        <f>IFERROR(__xludf.DUMMYFUNCTION("""COMPUTED_VALUE"""),"BASIS Independent Silicon Valley")</f>
        <v>BASIS Independent Silicon Valley</v>
      </c>
      <c r="B6" s="33" t="str">
        <f>IFERROR(__xludf.DUMMYFUNCTION("""COMPUTED_VALUE"""),"BASIS Independent A")</f>
        <v>BASIS Independent A</v>
      </c>
      <c r="C6" s="33" t="str">
        <f>IFERROR(__xludf.DUMMYFUNCTION("""COMPUTED_VALUE"""),"Ivana Bozidarevic")</f>
        <v>Ivana Bozidarevic</v>
      </c>
      <c r="D6" s="33">
        <f>IFERROR(__xludf.DUMMYFUNCTION("""COMPUTED_VALUE"""),3.528714772E9)</f>
        <v>3528714772</v>
      </c>
      <c r="E6" s="33" t="str">
        <f>IFERROR(__xludf.DUMMYFUNCTION("""COMPUTED_VALUE"""),"Yueqian Zhang")</f>
        <v>Yueqian Zhang</v>
      </c>
      <c r="F6" s="33" t="str">
        <f>IFERROR(__xludf.DUMMYFUNCTION("""COMPUTED_VALUE"""),"Sidhant Chaliha")</f>
        <v>Sidhant Chaliha</v>
      </c>
      <c r="G6" s="33" t="str">
        <f>IFERROR(__xludf.DUMMYFUNCTION("""COMPUTED_VALUE"""),"Ivan Zhang")</f>
        <v>Ivan Zhang</v>
      </c>
      <c r="H6" s="33" t="str">
        <f>IFERROR(__xludf.DUMMYFUNCTION("""COMPUTED_VALUE"""),"Meryl Zhang")</f>
        <v>Meryl Zhang</v>
      </c>
      <c r="I6" s="33" t="str">
        <f>IFERROR(__xludf.DUMMYFUNCTION("""COMPUTED_VALUE"""),"Anoushka Thamane")</f>
        <v>Anoushka Thamane</v>
      </c>
      <c r="J6" s="33"/>
      <c r="K6" s="33" t="str">
        <f>IFERROR(__xludf.DUMMYFUNCTION("""COMPUTED_VALUE"""),"(408)8017-0120")</f>
        <v>(408)8017-0120</v>
      </c>
      <c r="L6" s="33"/>
      <c r="M6" s="33"/>
    </row>
    <row r="7">
      <c r="A7" s="33" t="str">
        <f>IFERROR(__xludf.DUMMYFUNCTION("""COMPUTED_VALUE"""),"BASIS Independent Silicon Valley")</f>
        <v>BASIS Independent Silicon Valley</v>
      </c>
      <c r="B7" s="33" t="str">
        <f>IFERROR(__xludf.DUMMYFUNCTION("""COMPUTED_VALUE"""),"BASIS Independent B")</f>
        <v>BASIS Independent B</v>
      </c>
      <c r="C7" s="33" t="str">
        <f>IFERROR(__xludf.DUMMYFUNCTION("""COMPUTED_VALUE"""),"Matt Archambault")</f>
        <v>Matt Archambault</v>
      </c>
      <c r="D7" s="33">
        <f>IFERROR(__xludf.DUMMYFUNCTION("""COMPUTED_VALUE"""),2.489106038E9)</f>
        <v>2489106038</v>
      </c>
      <c r="E7" s="33" t="str">
        <f>IFERROR(__xludf.DUMMYFUNCTION("""COMPUTED_VALUE"""),"Brady Yang")</f>
        <v>Brady Yang</v>
      </c>
      <c r="F7" s="33" t="str">
        <f>IFERROR(__xludf.DUMMYFUNCTION("""COMPUTED_VALUE"""),"Aya Ahmad")</f>
        <v>Aya Ahmad</v>
      </c>
      <c r="G7" s="33" t="str">
        <f>IFERROR(__xludf.DUMMYFUNCTION("""COMPUTED_VALUE"""),"Ashlee Zhou")</f>
        <v>Ashlee Zhou</v>
      </c>
      <c r="H7" s="33" t="str">
        <f>IFERROR(__xludf.DUMMYFUNCTION("""COMPUTED_VALUE"""),"Yash Madireddy")</f>
        <v>Yash Madireddy</v>
      </c>
      <c r="I7" s="33"/>
      <c r="J7" s="33"/>
      <c r="K7" s="33" t="str">
        <f>IFERROR(__xludf.DUMMYFUNCTION("""COMPUTED_VALUE"""),"669 269 7627")</f>
        <v>669 269 7627</v>
      </c>
      <c r="L7" s="33"/>
      <c r="M7" s="33"/>
    </row>
    <row r="8">
      <c r="A8" s="33" t="str">
        <f>IFERROR(__xludf.DUMMYFUNCTION("""COMPUTED_VALUE"""),"Canyon Crest Academy")</f>
        <v>Canyon Crest Academy</v>
      </c>
      <c r="B8" s="33" t="str">
        <f>IFERROR(__xludf.DUMMYFUNCTION("""COMPUTED_VALUE"""),"Canyon Crest A")</f>
        <v>Canyon Crest A</v>
      </c>
      <c r="C8" s="33" t="str">
        <f>IFERROR(__xludf.DUMMYFUNCTION("""COMPUTED_VALUE"""),"Fan Xu")</f>
        <v>Fan Xu</v>
      </c>
      <c r="D8" s="33">
        <f>IFERROR(__xludf.DUMMYFUNCTION("""COMPUTED_VALUE"""),6.195738949E9)</f>
        <v>6195738949</v>
      </c>
      <c r="E8" s="33" t="str">
        <f>IFERROR(__xludf.DUMMYFUNCTION("""COMPUTED_VALUE"""),"Alex Xu")</f>
        <v>Alex Xu</v>
      </c>
      <c r="F8" s="33" t="str">
        <f>IFERROR(__xludf.DUMMYFUNCTION("""COMPUTED_VALUE"""),"Flora Jiang")</f>
        <v>Flora Jiang</v>
      </c>
      <c r="G8" s="33" t="str">
        <f>IFERROR(__xludf.DUMMYFUNCTION("""COMPUTED_VALUE"""),"Sean Yu")</f>
        <v>Sean Yu</v>
      </c>
      <c r="H8" s="33" t="str">
        <f>IFERROR(__xludf.DUMMYFUNCTION("""COMPUTED_VALUE"""),"Michelle Liang")</f>
        <v>Michelle Liang</v>
      </c>
      <c r="I8" s="33"/>
      <c r="J8" s="33"/>
      <c r="K8" s="33">
        <f>IFERROR(__xludf.DUMMYFUNCTION("""COMPUTED_VALUE"""),8.585319656E9)</f>
        <v>8585319656</v>
      </c>
      <c r="L8" s="33"/>
      <c r="M8" s="33"/>
    </row>
    <row r="9">
      <c r="A9" s="33" t="str">
        <f>IFERROR(__xludf.DUMMYFUNCTION("""COMPUTED_VALUE"""),"Canyon Crest Academy")</f>
        <v>Canyon Crest Academy</v>
      </c>
      <c r="B9" s="33" t="str">
        <f>IFERROR(__xludf.DUMMYFUNCTION("""COMPUTED_VALUE"""),"Canyon Crest B")</f>
        <v>Canyon Crest B</v>
      </c>
      <c r="C9" s="33" t="str">
        <f>IFERROR(__xludf.DUMMYFUNCTION("""COMPUTED_VALUE"""),"Hua Liang")</f>
        <v>Hua Liang</v>
      </c>
      <c r="D9" s="33">
        <f>IFERROR(__xludf.DUMMYFUNCTION("""COMPUTED_VALUE"""),8.585317993E9)</f>
        <v>8585317993</v>
      </c>
      <c r="E9" s="33" t="str">
        <f>IFERROR(__xludf.DUMMYFUNCTION("""COMPUTED_VALUE"""),"Austin Xu")</f>
        <v>Austin Xu</v>
      </c>
      <c r="F9" s="33" t="str">
        <f>IFERROR(__xludf.DUMMYFUNCTION("""COMPUTED_VALUE"""),"Ishank Kadadi")</f>
        <v>Ishank Kadadi</v>
      </c>
      <c r="G9" s="33" t="str">
        <f>IFERROR(__xludf.DUMMYFUNCTION("""COMPUTED_VALUE"""),"Larry Wu")</f>
        <v>Larry Wu</v>
      </c>
      <c r="H9" s="33" t="str">
        <f>IFERROR(__xludf.DUMMYFUNCTION("""COMPUTED_VALUE"""),"Alex Backues")</f>
        <v>Alex Backues</v>
      </c>
      <c r="I9" s="33"/>
      <c r="J9" s="33"/>
      <c r="K9" s="33">
        <f>IFERROR(__xludf.DUMMYFUNCTION("""COMPUTED_VALUE"""),8.582057671E9)</f>
        <v>8582057671</v>
      </c>
      <c r="L9" s="33"/>
      <c r="M9" s="33"/>
    </row>
    <row r="10">
      <c r="A10" s="33" t="str">
        <f>IFERROR(__xludf.DUMMYFUNCTION("""COMPUTED_VALUE"""),"Mira Loma High School")</f>
        <v>Mira Loma High School</v>
      </c>
      <c r="B10" s="33" t="str">
        <f>IFERROR(__xludf.DUMMYFUNCTION("""COMPUTED_VALUE"""),"Mira Loma A")</f>
        <v>Mira Loma A</v>
      </c>
      <c r="C10" s="33" t="str">
        <f>IFERROR(__xludf.DUMMYFUNCTION("""COMPUTED_VALUE"""),"Jaya. Prem")</f>
        <v>Jaya. Prem</v>
      </c>
      <c r="D10" s="33">
        <f>IFERROR(__xludf.DUMMYFUNCTION("""COMPUTED_VALUE"""),9.165142282E9)</f>
        <v>9165142282</v>
      </c>
      <c r="E10" s="33" t="str">
        <f>IFERROR(__xludf.DUMMYFUNCTION("""COMPUTED_VALUE"""),"Harish Premkumar")</f>
        <v>Harish Premkumar</v>
      </c>
      <c r="F10" s="33" t="str">
        <f>IFERROR(__xludf.DUMMYFUNCTION("""COMPUTED_VALUE"""),"Elyas Nuh")</f>
        <v>Elyas Nuh</v>
      </c>
      <c r="G10" s="33" t="str">
        <f>IFERROR(__xludf.DUMMYFUNCTION("""COMPUTED_VALUE"""),"Aryan Morasa")</f>
        <v>Aryan Morasa</v>
      </c>
      <c r="H10" s="33" t="str">
        <f>IFERROR(__xludf.DUMMYFUNCTION("""COMPUTED_VALUE"""),"Tanay Bodducherla")</f>
        <v>Tanay Bodducherla</v>
      </c>
      <c r="I10" s="33" t="str">
        <f>IFERROR(__xludf.DUMMYFUNCTION("""COMPUTED_VALUE"""),"Aatreyo Bhattacharyya ")</f>
        <v>Aatreyo Bhattacharyya </v>
      </c>
      <c r="J10" s="33"/>
      <c r="K10" s="33"/>
      <c r="L10" s="33"/>
      <c r="M10" s="33"/>
    </row>
    <row r="11">
      <c r="A11" s="33" t="str">
        <f>IFERROR(__xludf.DUMMYFUNCTION("""COMPUTED_VALUE"""),"Mira Loma High School")</f>
        <v>Mira Loma High School</v>
      </c>
      <c r="B11" s="33" t="str">
        <f>IFERROR(__xludf.DUMMYFUNCTION("""COMPUTED_VALUE"""),"Mira Loma B")</f>
        <v>Mira Loma B</v>
      </c>
      <c r="C11" s="33" t="str">
        <f>IFERROR(__xludf.DUMMYFUNCTION("""COMPUTED_VALUE"""),"Karunakaran Subbiah")</f>
        <v>Karunakaran Subbiah</v>
      </c>
      <c r="D11" s="33">
        <f>IFERROR(__xludf.DUMMYFUNCTION("""COMPUTED_VALUE"""),4.086282719E9)</f>
        <v>4086282719</v>
      </c>
      <c r="E11" s="33" t="str">
        <f>IFERROR(__xludf.DUMMYFUNCTION("""COMPUTED_VALUE"""),"Ashrith Beeravelli")</f>
        <v>Ashrith Beeravelli</v>
      </c>
      <c r="F11" s="33" t="str">
        <f>IFERROR(__xludf.DUMMYFUNCTION("""COMPUTED_VALUE"""),"Nishanth Karanam")</f>
        <v>Nishanth Karanam</v>
      </c>
      <c r="G11" s="33" t="str">
        <f>IFERROR(__xludf.DUMMYFUNCTION("""COMPUTED_VALUE"""),"Kapilan Karunakaran")</f>
        <v>Kapilan Karunakaran</v>
      </c>
      <c r="H11" s="33" t="str">
        <f>IFERROR(__xludf.DUMMYFUNCTION("""COMPUTED_VALUE"""),"Vishwas Charan")</f>
        <v>Vishwas Charan</v>
      </c>
      <c r="I11" s="33" t="str">
        <f>IFERROR(__xludf.DUMMYFUNCTION("""COMPUTED_VALUE"""),"Benjamin Mark")</f>
        <v>Benjamin Mark</v>
      </c>
      <c r="J11" s="33"/>
      <c r="K11" s="33">
        <f>IFERROR(__xludf.DUMMYFUNCTION("""COMPUTED_VALUE"""),4.083346814E9)</f>
        <v>4083346814</v>
      </c>
      <c r="L11" s="33"/>
      <c r="M11" s="33"/>
    </row>
    <row r="12">
      <c r="A12" s="33" t="str">
        <f>IFERROR(__xludf.DUMMYFUNCTION("""COMPUTED_VALUE"""),"Foothill High School")</f>
        <v>Foothill High School</v>
      </c>
      <c r="B12" s="33" t="str">
        <f>IFERROR(__xludf.DUMMYFUNCTION("""COMPUTED_VALUE"""),"Foothill A")</f>
        <v>Foothill A</v>
      </c>
      <c r="C12" s="33" t="str">
        <f>IFERROR(__xludf.DUMMYFUNCTION("""COMPUTED_VALUE"""),"radhika kommuri")</f>
        <v>radhika kommuri</v>
      </c>
      <c r="D12" s="33" t="str">
        <f>IFERROR(__xludf.DUMMYFUNCTION("""COMPUTED_VALUE"""),"925 660 5782")</f>
        <v>925 660 5782</v>
      </c>
      <c r="E12" s="33" t="str">
        <f>IFERROR(__xludf.DUMMYFUNCTION("""COMPUTED_VALUE"""),"Lakshanya Palani")</f>
        <v>Lakshanya Palani</v>
      </c>
      <c r="F12" s="33" t="str">
        <f>IFERROR(__xludf.DUMMYFUNCTION("""COMPUTED_VALUE"""),"Jake Nguyen")</f>
        <v>Jake Nguyen</v>
      </c>
      <c r="G12" s="33" t="str">
        <f>IFERROR(__xludf.DUMMYFUNCTION("""COMPUTED_VALUE"""),"Sreekar Sreeram")</f>
        <v>Sreekar Sreeram</v>
      </c>
      <c r="H12" s="33" t="str">
        <f>IFERROR(__xludf.DUMMYFUNCTION("""COMPUTED_VALUE"""),"Harini Penumuchu")</f>
        <v>Harini Penumuchu</v>
      </c>
      <c r="I12" s="33" t="str">
        <f>IFERROR(__xludf.DUMMYFUNCTION("""COMPUTED_VALUE"""),"Sahil Deshmukh")</f>
        <v>Sahil Deshmukh</v>
      </c>
      <c r="J12" s="33"/>
      <c r="K12" s="33">
        <f>IFERROR(__xludf.DUMMYFUNCTION("""COMPUTED_VALUE"""),9.253991558E9)</f>
        <v>9253991558</v>
      </c>
      <c r="L12" s="33"/>
      <c r="M12" s="33"/>
    </row>
    <row r="13">
      <c r="A13" s="33" t="str">
        <f>IFERROR(__xludf.DUMMYFUNCTION("""COMPUTED_VALUE"""),"Foothill High School")</f>
        <v>Foothill High School</v>
      </c>
      <c r="B13" s="33" t="str">
        <f>IFERROR(__xludf.DUMMYFUNCTION("""COMPUTED_VALUE"""),"Foothill B")</f>
        <v>Foothill B</v>
      </c>
      <c r="C13" s="33" t="str">
        <f>IFERROR(__xludf.DUMMYFUNCTION("""COMPUTED_VALUE"""),"radhika kommuri")</f>
        <v>radhika kommuri</v>
      </c>
      <c r="D13" s="33" t="str">
        <f>IFERROR(__xludf.DUMMYFUNCTION("""COMPUTED_VALUE"""),"925 660 5782")</f>
        <v>925 660 5782</v>
      </c>
      <c r="E13" s="33" t="str">
        <f>IFERROR(__xludf.DUMMYFUNCTION("""COMPUTED_VALUE"""),"Aahana Biswal")</f>
        <v>Aahana Biswal</v>
      </c>
      <c r="F13" s="33" t="str">
        <f>IFERROR(__xludf.DUMMYFUNCTION("""COMPUTED_VALUE"""),"Brandon Kong")</f>
        <v>Brandon Kong</v>
      </c>
      <c r="G13" s="33" t="str">
        <f>IFERROR(__xludf.DUMMYFUNCTION("""COMPUTED_VALUE"""),"Shivani Swaminathan")</f>
        <v>Shivani Swaminathan</v>
      </c>
      <c r="H13" s="33" t="str">
        <f>IFERROR(__xludf.DUMMYFUNCTION("""COMPUTED_VALUE"""),"Aanya Guthula")</f>
        <v>Aanya Guthula</v>
      </c>
      <c r="I13" s="33" t="str">
        <f>IFERROR(__xludf.DUMMYFUNCTION("""COMPUTED_VALUE"""),"Athithan Elamaran")</f>
        <v>Athithan Elamaran</v>
      </c>
      <c r="J13" s="33"/>
      <c r="K13" s="33">
        <f>IFERROR(__xludf.DUMMYFUNCTION("""COMPUTED_VALUE"""),9.255775831E9)</f>
        <v>9255775831</v>
      </c>
      <c r="L13" s="33"/>
      <c r="M13" s="33"/>
    </row>
    <row r="14">
      <c r="A14" s="33" t="str">
        <f>IFERROR(__xludf.DUMMYFUNCTION("""COMPUTED_VALUE"""),"Lynbrook High School")</f>
        <v>Lynbrook High School</v>
      </c>
      <c r="B14" s="33" t="str">
        <f>IFERROR(__xludf.DUMMYFUNCTION("""COMPUTED_VALUE"""),"Lynbrook C")</f>
        <v>Lynbrook C</v>
      </c>
      <c r="C14" s="33" t="str">
        <f>IFERROR(__xludf.DUMMYFUNCTION("""COMPUTED_VALUE"""),"Ying Feng")</f>
        <v>Ying Feng</v>
      </c>
      <c r="D14" s="33">
        <f>IFERROR(__xludf.DUMMYFUNCTION("""COMPUTED_VALUE"""),8.056986355E9)</f>
        <v>8056986355</v>
      </c>
      <c r="E14" s="33" t="str">
        <f>IFERROR(__xludf.DUMMYFUNCTION("""COMPUTED_VALUE"""),"Siwen Luo")</f>
        <v>Siwen Luo</v>
      </c>
      <c r="F14" s="33" t="str">
        <f>IFERROR(__xludf.DUMMYFUNCTION("""COMPUTED_VALUE"""),"Shripriya Kalbhavi")</f>
        <v>Shripriya Kalbhavi</v>
      </c>
      <c r="G14" s="33" t="str">
        <f>IFERROR(__xludf.DUMMYFUNCTION("""COMPUTED_VALUE"""),"Matthew Yuan")</f>
        <v>Matthew Yuan</v>
      </c>
      <c r="H14" s="33" t="str">
        <f>IFERROR(__xludf.DUMMYFUNCTION("""COMPUTED_VALUE"""),"Thomas Wu")</f>
        <v>Thomas Wu</v>
      </c>
      <c r="I14" s="33" t="str">
        <f>IFERROR(__xludf.DUMMYFUNCTION("""COMPUTED_VALUE"""),"Evan Liu")</f>
        <v>Evan Liu</v>
      </c>
      <c r="J14" s="33"/>
      <c r="K14" s="33"/>
      <c r="L14" s="33"/>
      <c r="M14" s="33"/>
    </row>
    <row r="15">
      <c r="A15" s="33" t="str">
        <f>IFERROR(__xludf.DUMMYFUNCTION("""COMPUTED_VALUE"""),"American High School")</f>
        <v>American High School</v>
      </c>
      <c r="B15" s="33" t="str">
        <f>IFERROR(__xludf.DUMMYFUNCTION("""COMPUTED_VALUE"""),"American A")</f>
        <v>American A</v>
      </c>
      <c r="C15" s="33" t="str">
        <f>IFERROR(__xludf.DUMMYFUNCTION("""COMPUTED_VALUE"""),"John Shockley")</f>
        <v>John Shockley</v>
      </c>
      <c r="D15" s="33">
        <f>IFERROR(__xludf.DUMMYFUNCTION("""COMPUTED_VALUE"""),5.103662203E9)</f>
        <v>5103662203</v>
      </c>
      <c r="E15" s="33" t="str">
        <f>IFERROR(__xludf.DUMMYFUNCTION("""COMPUTED_VALUE"""),"Stavya Gaonkar")</f>
        <v>Stavya Gaonkar</v>
      </c>
      <c r="F15" s="33" t="str">
        <f>IFERROR(__xludf.DUMMYFUNCTION("""COMPUTED_VALUE"""),"Sriram Venkatesh")</f>
        <v>Sriram Venkatesh</v>
      </c>
      <c r="G15" s="33" t="str">
        <f>IFERROR(__xludf.DUMMYFUNCTION("""COMPUTED_VALUE"""),"Krishay Garg")</f>
        <v>Krishay Garg</v>
      </c>
      <c r="H15" s="33" t="str">
        <f>IFERROR(__xludf.DUMMYFUNCTION("""COMPUTED_VALUE"""),"Ayati Vyas")</f>
        <v>Ayati Vyas</v>
      </c>
      <c r="I15" s="33" t="str">
        <f>IFERROR(__xludf.DUMMYFUNCTION("""COMPUTED_VALUE"""),"Amaan Mohammad")</f>
        <v>Amaan Mohammad</v>
      </c>
      <c r="J15" s="33"/>
      <c r="K15" s="33">
        <f>IFERROR(__xludf.DUMMYFUNCTION("""COMPUTED_VALUE"""),5.10509593E9)</f>
        <v>5105095930</v>
      </c>
      <c r="L15" s="33"/>
      <c r="M15" s="33"/>
    </row>
    <row r="16">
      <c r="A16" s="33" t="str">
        <f>IFERROR(__xludf.DUMMYFUNCTION("""COMPUTED_VALUE"""),"American High School")</f>
        <v>American High School</v>
      </c>
      <c r="B16" s="33" t="str">
        <f>IFERROR(__xludf.DUMMYFUNCTION("""COMPUTED_VALUE"""),"American B")</f>
        <v>American B</v>
      </c>
      <c r="C16" s="33" t="str">
        <f>IFERROR(__xludf.DUMMYFUNCTION("""COMPUTED_VALUE"""),"John Shockley")</f>
        <v>John Shockley</v>
      </c>
      <c r="D16" s="33">
        <f>IFERROR(__xludf.DUMMYFUNCTION("""COMPUTED_VALUE"""),5.103662203E9)</f>
        <v>5103662203</v>
      </c>
      <c r="E16" s="33" t="str">
        <f>IFERROR(__xludf.DUMMYFUNCTION("""COMPUTED_VALUE"""),"Arnava Bharadwaja")</f>
        <v>Arnava Bharadwaja</v>
      </c>
      <c r="F16" s="33" t="str">
        <f>IFERROR(__xludf.DUMMYFUNCTION("""COMPUTED_VALUE"""),"Ryan Manocha")</f>
        <v>Ryan Manocha</v>
      </c>
      <c r="G16" s="33" t="str">
        <f>IFERROR(__xludf.DUMMYFUNCTION("""COMPUTED_VALUE"""),"Vishruth Dinesh")</f>
        <v>Vishruth Dinesh</v>
      </c>
      <c r="H16" s="33" t="str">
        <f>IFERROR(__xludf.DUMMYFUNCTION("""COMPUTED_VALUE"""),"Nikhil Sinha")</f>
        <v>Nikhil Sinha</v>
      </c>
      <c r="I16" s="33" t="str">
        <f>IFERROR(__xludf.DUMMYFUNCTION("""COMPUTED_VALUE"""),"Mahesh Karthikeyan")</f>
        <v>Mahesh Karthikeyan</v>
      </c>
      <c r="J16" s="33"/>
      <c r="K16" s="33"/>
      <c r="L16" s="33"/>
      <c r="M16" s="33"/>
    </row>
    <row r="17">
      <c r="A17" s="33" t="str">
        <f>IFERROR(__xludf.DUMMYFUNCTION("""COMPUTED_VALUE"""),"Palo Alto High School")</f>
        <v>Palo Alto High School</v>
      </c>
      <c r="B17" s="33" t="str">
        <f>IFERROR(__xludf.DUMMYFUNCTION("""COMPUTED_VALUE"""),"Palo Alto A")</f>
        <v>Palo Alto A</v>
      </c>
      <c r="C17" s="33" t="str">
        <f>IFERROR(__xludf.DUMMYFUNCTION("""COMPUTED_VALUE"""),"Sam Howles-Banerji")</f>
        <v>Sam Howles-Banerji</v>
      </c>
      <c r="D17" s="33" t="str">
        <f>IFERROR(__xludf.DUMMYFUNCTION("""COMPUTED_VALUE"""),"650-380-4246")</f>
        <v>650-380-4246</v>
      </c>
      <c r="E17" s="33" t="str">
        <f>IFERROR(__xludf.DUMMYFUNCTION("""COMPUTED_VALUE"""),"Forrest Chou")</f>
        <v>Forrest Chou</v>
      </c>
      <c r="F17" s="33" t="str">
        <f>IFERROR(__xludf.DUMMYFUNCTION("""COMPUTED_VALUE"""),"Carissa Tsui")</f>
        <v>Carissa Tsui</v>
      </c>
      <c r="G17" s="33" t="str">
        <f>IFERROR(__xludf.DUMMYFUNCTION("""COMPUTED_VALUE"""),"Claire Shi")</f>
        <v>Claire Shi</v>
      </c>
      <c r="H17" s="33" t="str">
        <f>IFERROR(__xludf.DUMMYFUNCTION("""COMPUTED_VALUE"""),"Andrew Wen")</f>
        <v>Andrew Wen</v>
      </c>
      <c r="I17" s="33" t="str">
        <f>IFERROR(__xludf.DUMMYFUNCTION("""COMPUTED_VALUE"""),"Surya Gannerkote")</f>
        <v>Surya Gannerkote</v>
      </c>
      <c r="J17" s="33"/>
      <c r="K17" s="33"/>
      <c r="L17" s="33"/>
      <c r="M17" s="33"/>
    </row>
    <row r="18">
      <c r="A18" s="33" t="str">
        <f>IFERROR(__xludf.DUMMYFUNCTION("""COMPUTED_VALUE"""),"Palo Alto High School")</f>
        <v>Palo Alto High School</v>
      </c>
      <c r="B18" s="33" t="str">
        <f>IFERROR(__xludf.DUMMYFUNCTION("""COMPUTED_VALUE"""),"Palo Alto B")</f>
        <v>Palo Alto B</v>
      </c>
      <c r="C18" s="33" t="str">
        <f>IFERROR(__xludf.DUMMYFUNCTION("""COMPUTED_VALUE"""),"Sam howles-Banerji")</f>
        <v>Sam howles-Banerji</v>
      </c>
      <c r="D18" s="33" t="str">
        <f>IFERROR(__xludf.DUMMYFUNCTION("""COMPUTED_VALUE"""),"650-380-4246")</f>
        <v>650-380-4246</v>
      </c>
      <c r="E18" s="33" t="str">
        <f>IFERROR(__xludf.DUMMYFUNCTION("""COMPUTED_VALUE"""),"Jonathan Yuen")</f>
        <v>Jonathan Yuen</v>
      </c>
      <c r="F18" s="33" t="str">
        <f>IFERROR(__xludf.DUMMYFUNCTION("""COMPUTED_VALUE"""),"Jeremy Yuen")</f>
        <v>Jeremy Yuen</v>
      </c>
      <c r="G18" s="33" t="str">
        <f>IFERROR(__xludf.DUMMYFUNCTION("""COMPUTED_VALUE"""),"Andrew Wang")</f>
        <v>Andrew Wang</v>
      </c>
      <c r="H18" s="33" t="str">
        <f>IFERROR(__xludf.DUMMYFUNCTION("""COMPUTED_VALUE"""),"Allie Jackson")</f>
        <v>Allie Jackson</v>
      </c>
      <c r="I18" s="33" t="str">
        <f>IFERROR(__xludf.DUMMYFUNCTION("""COMPUTED_VALUE"""),"Inhoo Chang")</f>
        <v>Inhoo Chang</v>
      </c>
      <c r="J18" s="33"/>
      <c r="K18" s="33"/>
      <c r="L18" s="33"/>
      <c r="M18" s="33"/>
    </row>
    <row r="19">
      <c r="A19" s="33" t="str">
        <f>IFERROR(__xludf.DUMMYFUNCTION("""COMPUTED_VALUE"""),"California High School")</f>
        <v>California High School</v>
      </c>
      <c r="B19" s="33" t="str">
        <f>IFERROR(__xludf.DUMMYFUNCTION("""COMPUTED_VALUE"""),"California B")</f>
        <v>California B</v>
      </c>
      <c r="C19" s="33" t="str">
        <f>IFERROR(__xludf.DUMMYFUNCTION("""COMPUTED_VALUE"""),"Ryan Hughes")</f>
        <v>Ryan Hughes</v>
      </c>
      <c r="D19" s="33">
        <f>IFERROR(__xludf.DUMMYFUNCTION("""COMPUTED_VALUE"""),9.258580283E9)</f>
        <v>9258580283</v>
      </c>
      <c r="E19" s="33" t="str">
        <f>IFERROR(__xludf.DUMMYFUNCTION("""COMPUTED_VALUE"""),"Vihaan Tigadikar")</f>
        <v>Vihaan Tigadikar</v>
      </c>
      <c r="F19" s="33" t="str">
        <f>IFERROR(__xludf.DUMMYFUNCTION("""COMPUTED_VALUE"""),"Vladislav Khitrov")</f>
        <v>Vladislav Khitrov</v>
      </c>
      <c r="G19" s="33" t="str">
        <f>IFERROR(__xludf.DUMMYFUNCTION("""COMPUTED_VALUE"""),"Amritha Srinivasan")</f>
        <v>Amritha Srinivasan</v>
      </c>
      <c r="H19" s="33" t="str">
        <f>IFERROR(__xludf.DUMMYFUNCTION("""COMPUTED_VALUE"""),"Kavin Jain")</f>
        <v>Kavin Jain</v>
      </c>
      <c r="I19" s="33" t="str">
        <f>IFERROR(__xludf.DUMMYFUNCTION("""COMPUTED_VALUE"""),"Lucas Chi")</f>
        <v>Lucas Chi</v>
      </c>
      <c r="J19" s="33"/>
      <c r="K19" s="33"/>
      <c r="L19" s="33"/>
      <c r="M19" s="33"/>
    </row>
    <row r="20">
      <c r="A20" s="33" t="str">
        <f>IFERROR(__xludf.DUMMYFUNCTION("""COMPUTED_VALUE"""),"California High School")</f>
        <v>California High School</v>
      </c>
      <c r="B20" s="33" t="str">
        <f>IFERROR(__xludf.DUMMYFUNCTION("""COMPUTED_VALUE"""),"California A")</f>
        <v>California A</v>
      </c>
      <c r="C20" s="33" t="str">
        <f>IFERROR(__xludf.DUMMYFUNCTION("""COMPUTED_VALUE"""),"Zaki Humayun")</f>
        <v>Zaki Humayun</v>
      </c>
      <c r="D20" s="33" t="str">
        <f>IFERROR(__xludf.DUMMYFUNCTION("""COMPUTED_VALUE"""),"510-334-3127")</f>
        <v>510-334-3127</v>
      </c>
      <c r="E20" s="33" t="str">
        <f>IFERROR(__xludf.DUMMYFUNCTION("""COMPUTED_VALUE"""),"Mukund Senthil Kumar")</f>
        <v>Mukund Senthil Kumar</v>
      </c>
      <c r="F20" s="33" t="str">
        <f>IFERROR(__xludf.DUMMYFUNCTION("""COMPUTED_VALUE"""),"Jax Milasincic")</f>
        <v>Jax Milasincic</v>
      </c>
      <c r="G20" s="33" t="str">
        <f>IFERROR(__xludf.DUMMYFUNCTION("""COMPUTED_VALUE"""),"Veerein Pala")</f>
        <v>Veerein Pala</v>
      </c>
      <c r="H20" s="33" t="str">
        <f>IFERROR(__xludf.DUMMYFUNCTION("""COMPUTED_VALUE"""),"Rex Ouyang")</f>
        <v>Rex Ouyang</v>
      </c>
      <c r="I20" s="33" t="str">
        <f>IFERROR(__xludf.DUMMYFUNCTION("""COMPUTED_VALUE"""),"Jishnu Balaji")</f>
        <v>Jishnu Balaji</v>
      </c>
      <c r="J20" s="33"/>
      <c r="K20" s="33"/>
      <c r="L20" s="33"/>
      <c r="M20" s="33"/>
    </row>
    <row r="21">
      <c r="A21" s="33" t="str">
        <f>IFERROR(__xludf.DUMMYFUNCTION("""COMPUTED_VALUE"""),"Arnold O. Beckman High School")</f>
        <v>Arnold O. Beckman High School</v>
      </c>
      <c r="B21" s="33" t="str">
        <f>IFERROR(__xludf.DUMMYFUNCTION("""COMPUTED_VALUE"""),"Arnold O. Beckman A")</f>
        <v>Arnold O. Beckman A</v>
      </c>
      <c r="C21" s="33" t="str">
        <f>IFERROR(__xludf.DUMMYFUNCTION("""COMPUTED_VALUE"""),"Gillian Pons")</f>
        <v>Gillian Pons</v>
      </c>
      <c r="D21" s="33">
        <f>IFERROR(__xludf.DUMMYFUNCTION("""COMPUTED_VALUE"""),7.142278499E9)</f>
        <v>7142278499</v>
      </c>
      <c r="E21" s="33" t="str">
        <f>IFERROR(__xludf.DUMMYFUNCTION("""COMPUTED_VALUE"""),"Aadhya Shenoy")</f>
        <v>Aadhya Shenoy</v>
      </c>
      <c r="F21" s="33" t="str">
        <f>IFERROR(__xludf.DUMMYFUNCTION("""COMPUTED_VALUE"""),"Rohan Hablani")</f>
        <v>Rohan Hablani</v>
      </c>
      <c r="G21" s="33" t="str">
        <f>IFERROR(__xludf.DUMMYFUNCTION("""COMPUTED_VALUE"""),"Diego Pons")</f>
        <v>Diego Pons</v>
      </c>
      <c r="H21" s="33" t="str">
        <f>IFERROR(__xludf.DUMMYFUNCTION("""COMPUTED_VALUE"""),"Ranju Raghavan")</f>
        <v>Ranju Raghavan</v>
      </c>
      <c r="I21" s="33"/>
      <c r="J21" s="33"/>
      <c r="K21" s="33"/>
      <c r="L21" s="33"/>
      <c r="M21" s="33"/>
    </row>
    <row r="22">
      <c r="A22" s="33" t="str">
        <f>IFERROR(__xludf.DUMMYFUNCTION("""COMPUTED_VALUE"""),"Archbishop Mitty High School")</f>
        <v>Archbishop Mitty High School</v>
      </c>
      <c r="B22" s="33" t="str">
        <f>IFERROR(__xludf.DUMMYFUNCTION("""COMPUTED_VALUE"""),"Archbishop Mitty A")</f>
        <v>Archbishop Mitty A</v>
      </c>
      <c r="C22" s="33" t="str">
        <f>IFERROR(__xludf.DUMMYFUNCTION("""COMPUTED_VALUE"""),"Mahadev Karadigudda")</f>
        <v>Mahadev Karadigudda</v>
      </c>
      <c r="D22" s="33">
        <f>IFERROR(__xludf.DUMMYFUNCTION("""COMPUTED_VALUE"""),4.083750838E9)</f>
        <v>4083750838</v>
      </c>
      <c r="E22" s="33" t="str">
        <f>IFERROR(__xludf.DUMMYFUNCTION("""COMPUTED_VALUE"""),"Suyog Vibhuti")</f>
        <v>Suyog Vibhuti</v>
      </c>
      <c r="F22" s="33" t="str">
        <f>IFERROR(__xludf.DUMMYFUNCTION("""COMPUTED_VALUE"""),"Suvan Chauhan")</f>
        <v>Suvan Chauhan</v>
      </c>
      <c r="G22" s="33" t="str">
        <f>IFERROR(__xludf.DUMMYFUNCTION("""COMPUTED_VALUE"""),"Mahit Karadigudda")</f>
        <v>Mahit Karadigudda</v>
      </c>
      <c r="H22" s="33" t="str">
        <f>IFERROR(__xludf.DUMMYFUNCTION("""COMPUTED_VALUE"""),"Sebastian Leung")</f>
        <v>Sebastian Leung</v>
      </c>
      <c r="I22" s="33"/>
      <c r="J22" s="33"/>
      <c r="K22" s="33">
        <f>IFERROR(__xludf.DUMMYFUNCTION("""COMPUTED_VALUE"""),4.08680746E9)</f>
        <v>4086807460</v>
      </c>
      <c r="L22" s="33"/>
      <c r="M22" s="33"/>
    </row>
    <row r="23">
      <c r="A23" s="33" t="str">
        <f>IFERROR(__xludf.DUMMYFUNCTION("""COMPUTED_VALUE"""),"Archbishop Mitty High School")</f>
        <v>Archbishop Mitty High School</v>
      </c>
      <c r="B23" s="33" t="str">
        <f>IFERROR(__xludf.DUMMYFUNCTION("""COMPUTED_VALUE"""),"Archbishop Mitty B")</f>
        <v>Archbishop Mitty B</v>
      </c>
      <c r="C23" s="33" t="str">
        <f>IFERROR(__xludf.DUMMYFUNCTION("""COMPUTED_VALUE"""),"Mahadev Karadigudda")</f>
        <v>Mahadev Karadigudda</v>
      </c>
      <c r="D23" s="33">
        <f>IFERROR(__xludf.DUMMYFUNCTION("""COMPUTED_VALUE"""),4.083750838E9)</f>
        <v>4083750838</v>
      </c>
      <c r="E23" s="33" t="str">
        <f>IFERROR(__xludf.DUMMYFUNCTION("""COMPUTED_VALUE"""),"Jonathan Yu")</f>
        <v>Jonathan Yu</v>
      </c>
      <c r="F23" s="33" t="str">
        <f>IFERROR(__xludf.DUMMYFUNCTION("""COMPUTED_VALUE"""),"Anish Roy")</f>
        <v>Anish Roy</v>
      </c>
      <c r="G23" s="33" t="str">
        <f>IFERROR(__xludf.DUMMYFUNCTION("""COMPUTED_VALUE"""),"Raaghav Chakravarty")</f>
        <v>Raaghav Chakravarty</v>
      </c>
      <c r="H23" s="33" t="str">
        <f>IFERROR(__xludf.DUMMYFUNCTION("""COMPUTED_VALUE"""),"Ajla Trumic")</f>
        <v>Ajla Trumic</v>
      </c>
      <c r="I23" s="33"/>
      <c r="J23" s="33"/>
      <c r="K23" s="33">
        <f>IFERROR(__xludf.DUMMYFUNCTION("""COMPUTED_VALUE"""),4.083359445E9)</f>
        <v>4083359445</v>
      </c>
      <c r="L23" s="33"/>
      <c r="M23" s="33"/>
    </row>
    <row r="24">
      <c r="A24" s="33" t="str">
        <f>IFERROR(__xludf.DUMMYFUNCTION("""COMPUTED_VALUE"""),"Mission San Jose High School")</f>
        <v>Mission San Jose High School</v>
      </c>
      <c r="B24" s="33" t="str">
        <f>IFERROR(__xludf.DUMMYFUNCTION("""COMPUTED_VALUE"""),"Mission San Jose A")</f>
        <v>Mission San Jose A</v>
      </c>
      <c r="C24" s="33" t="str">
        <f>IFERROR(__xludf.DUMMYFUNCTION("""COMPUTED_VALUE"""),"Dorota Sawicka")</f>
        <v>Dorota Sawicka</v>
      </c>
      <c r="D24" s="33">
        <f>IFERROR(__xludf.DUMMYFUNCTION("""COMPUTED_VALUE"""),5.106765235E9)</f>
        <v>5106765235</v>
      </c>
      <c r="E24" s="33" t="str">
        <f>IFERROR(__xludf.DUMMYFUNCTION("""COMPUTED_VALUE"""),"Jeffrey Li")</f>
        <v>Jeffrey Li</v>
      </c>
      <c r="F24" s="33" t="str">
        <f>IFERROR(__xludf.DUMMYFUNCTION("""COMPUTED_VALUE"""),"Annie Xu")</f>
        <v>Annie Xu</v>
      </c>
      <c r="G24" s="33" t="str">
        <f>IFERROR(__xludf.DUMMYFUNCTION("""COMPUTED_VALUE"""),"Advaith Mopuri")</f>
        <v>Advaith Mopuri</v>
      </c>
      <c r="H24" s="33" t="str">
        <f>IFERROR(__xludf.DUMMYFUNCTION("""COMPUTED_VALUE"""),"Roshan Annamalai")</f>
        <v>Roshan Annamalai</v>
      </c>
      <c r="I24" s="33" t="str">
        <f>IFERROR(__xludf.DUMMYFUNCTION("""COMPUTED_VALUE"""),"Gokulanath Mahesh Kumar")</f>
        <v>Gokulanath Mahesh Kumar</v>
      </c>
      <c r="J24" s="33"/>
      <c r="K24" s="33"/>
      <c r="L24" s="33"/>
      <c r="M24" s="33"/>
    </row>
    <row r="25">
      <c r="A25" s="33" t="str">
        <f>IFERROR(__xludf.DUMMYFUNCTION("""COMPUTED_VALUE"""),"Mission San Jose High School")</f>
        <v>Mission San Jose High School</v>
      </c>
      <c r="B25" s="33" t="str">
        <f>IFERROR(__xludf.DUMMYFUNCTION("""COMPUTED_VALUE"""),"Mission San Jose B")</f>
        <v>Mission San Jose B</v>
      </c>
      <c r="C25" s="33" t="str">
        <f>IFERROR(__xludf.DUMMYFUNCTION("""COMPUTED_VALUE"""),"Dorota Sawicka")</f>
        <v>Dorota Sawicka</v>
      </c>
      <c r="D25" s="33">
        <f>IFERROR(__xludf.DUMMYFUNCTION("""COMPUTED_VALUE"""),5.106765235E9)</f>
        <v>5106765235</v>
      </c>
      <c r="E25" s="33" t="str">
        <f>IFERROR(__xludf.DUMMYFUNCTION("""COMPUTED_VALUE"""),"Daniel Liu")</f>
        <v>Daniel Liu</v>
      </c>
      <c r="F25" s="33" t="str">
        <f>IFERROR(__xludf.DUMMYFUNCTION("""COMPUTED_VALUE"""),"Theenash Sengupta")</f>
        <v>Theenash Sengupta</v>
      </c>
      <c r="G25" s="33" t="str">
        <f>IFERROR(__xludf.DUMMYFUNCTION("""COMPUTED_VALUE"""),"Arnav Gupta")</f>
        <v>Arnav Gupta</v>
      </c>
      <c r="H25" s="33" t="str">
        <f>IFERROR(__xludf.DUMMYFUNCTION("""COMPUTED_VALUE"""),"Aniket Mangalampalli ")</f>
        <v>Aniket Mangalampalli </v>
      </c>
      <c r="I25" s="33" t="str">
        <f>IFERROR(__xludf.DUMMYFUNCTION("""COMPUTED_VALUE"""),"Advai Srinivasan ")</f>
        <v>Advai Srinivasan </v>
      </c>
      <c r="J25" s="33"/>
      <c r="K25" s="33"/>
      <c r="L25" s="33"/>
      <c r="M25" s="33"/>
    </row>
    <row r="26">
      <c r="A26" s="33" t="str">
        <f>IFERROR(__xludf.DUMMYFUNCTION("""COMPUTED_VALUE"""),"Stanford Online High School")</f>
        <v>Stanford Online High School</v>
      </c>
      <c r="B26" s="33" t="str">
        <f>IFERROR(__xludf.DUMMYFUNCTION("""COMPUTED_VALUE"""),"Stanford Online")</f>
        <v>Stanford Online</v>
      </c>
      <c r="C26" s="33" t="str">
        <f>IFERROR(__xludf.DUMMYFUNCTION("""COMPUTED_VALUE"""),"Kim Failor")</f>
        <v>Kim Failor</v>
      </c>
      <c r="D26" s="33">
        <f>IFERROR(__xludf.DUMMYFUNCTION("""COMPUTED_VALUE"""),5.106817944E9)</f>
        <v>5106817944</v>
      </c>
      <c r="E26" s="33" t="str">
        <f>IFERROR(__xludf.DUMMYFUNCTION("""COMPUTED_VALUE"""),"Keshav Narang")</f>
        <v>Keshav Narang</v>
      </c>
      <c r="F26" s="33" t="str">
        <f>IFERROR(__xludf.DUMMYFUNCTION("""COMPUTED_VALUE"""),"Hannah Bowman")</f>
        <v>Hannah Bowman</v>
      </c>
      <c r="G26" s="33" t="str">
        <f>IFERROR(__xludf.DUMMYFUNCTION("""COMPUTED_VALUE"""),"Joshua Tittiranonda")</f>
        <v>Joshua Tittiranonda</v>
      </c>
      <c r="H26" s="33" t="str">
        <f>IFERROR(__xludf.DUMMYFUNCTION("""COMPUTED_VALUE"""),"Nathan Bowman")</f>
        <v>Nathan Bowman</v>
      </c>
      <c r="I26" s="33"/>
      <c r="J26" s="33"/>
      <c r="K26" s="33"/>
      <c r="L26" s="33"/>
      <c r="M26" s="33"/>
    </row>
    <row r="27">
      <c r="A27" s="33" t="str">
        <f>IFERROR(__xludf.DUMMYFUNCTION("""COMPUTED_VALUE"""),"Cupertino High School")</f>
        <v>Cupertino High School</v>
      </c>
      <c r="B27" s="33" t="str">
        <f>IFERROR(__xludf.DUMMYFUNCTION("""COMPUTED_VALUE"""),"Cupertino A")</f>
        <v>Cupertino A</v>
      </c>
      <c r="C27" s="33" t="str">
        <f>IFERROR(__xludf.DUMMYFUNCTION("""COMPUTED_VALUE"""),"Vivek Karnataki")</f>
        <v>Vivek Karnataki</v>
      </c>
      <c r="D27" s="33">
        <f>IFERROR(__xludf.DUMMYFUNCTION("""COMPUTED_VALUE"""),4.086674018E9)</f>
        <v>4086674018</v>
      </c>
      <c r="E27" s="33" t="str">
        <f>IFERROR(__xludf.DUMMYFUNCTION("""COMPUTED_VALUE"""),"Aaditya Karnataki")</f>
        <v>Aaditya Karnataki</v>
      </c>
      <c r="F27" s="33" t="str">
        <f>IFERROR(__xludf.DUMMYFUNCTION("""COMPUTED_VALUE"""),"Jake Wang")</f>
        <v>Jake Wang</v>
      </c>
      <c r="G27" s="33" t="str">
        <f>IFERROR(__xludf.DUMMYFUNCTION("""COMPUTED_VALUE"""),"Minseo Park")</f>
        <v>Minseo Park</v>
      </c>
      <c r="H27" s="33" t="str">
        <f>IFERROR(__xludf.DUMMYFUNCTION("""COMPUTED_VALUE"""),"Aditi Gargeshwari")</f>
        <v>Aditi Gargeshwari</v>
      </c>
      <c r="I27" s="33" t="str">
        <f>IFERROR(__xludf.DUMMYFUNCTION("""COMPUTED_VALUE"""),"Namita Gaidhani")</f>
        <v>Namita Gaidhani</v>
      </c>
      <c r="J27" s="33"/>
      <c r="K27" s="33"/>
      <c r="L27" s="33"/>
      <c r="M27" s="33"/>
    </row>
    <row r="28">
      <c r="A28" s="33" t="str">
        <f>IFERROR(__xludf.DUMMYFUNCTION("""COMPUTED_VALUE"""),"Cupertino High School")</f>
        <v>Cupertino High School</v>
      </c>
      <c r="B28" s="33" t="str">
        <f>IFERROR(__xludf.DUMMYFUNCTION("""COMPUTED_VALUE"""),"Cupertino B")</f>
        <v>Cupertino B</v>
      </c>
      <c r="C28" s="33" t="str">
        <f>IFERROR(__xludf.DUMMYFUNCTION("""COMPUTED_VALUE"""),"Vivek Karnataki")</f>
        <v>Vivek Karnataki</v>
      </c>
      <c r="D28" s="33">
        <f>IFERROR(__xludf.DUMMYFUNCTION("""COMPUTED_VALUE"""),4.086674018E9)</f>
        <v>4086674018</v>
      </c>
      <c r="E28" s="33" t="str">
        <f>IFERROR(__xludf.DUMMYFUNCTION("""COMPUTED_VALUE"""),"Mithilesh Gopalakrishnan")</f>
        <v>Mithilesh Gopalakrishnan</v>
      </c>
      <c r="F28" s="33" t="str">
        <f>IFERROR(__xludf.DUMMYFUNCTION("""COMPUTED_VALUE"""),"Ethan Chu")</f>
        <v>Ethan Chu</v>
      </c>
      <c r="G28" s="33" t="str">
        <f>IFERROR(__xludf.DUMMYFUNCTION("""COMPUTED_VALUE"""),"Kira Liang")</f>
        <v>Kira Liang</v>
      </c>
      <c r="H28" s="33" t="str">
        <f>IFERROR(__xludf.DUMMYFUNCTION("""COMPUTED_VALUE"""),"Danica Au")</f>
        <v>Danica Au</v>
      </c>
      <c r="I28" s="33" t="str">
        <f>IFERROR(__xludf.DUMMYFUNCTION("""COMPUTED_VALUE"""),"Jaanya Annapureddy")</f>
        <v>Jaanya Annapureddy</v>
      </c>
      <c r="J28" s="33"/>
      <c r="K28" s="33"/>
      <c r="L28" s="33"/>
      <c r="M28" s="33"/>
    </row>
    <row r="29">
      <c r="A29" s="33" t="str">
        <f>IFERROR(__xludf.DUMMYFUNCTION("""COMPUTED_VALUE"""),"Monta Vista High School")</f>
        <v>Monta Vista High School</v>
      </c>
      <c r="B29" s="33" t="str">
        <f>IFERROR(__xludf.DUMMYFUNCTION("""COMPUTED_VALUE"""),"Monta Vista A")</f>
        <v>Monta Vista A</v>
      </c>
      <c r="C29" s="33" t="str">
        <f>IFERROR(__xludf.DUMMYFUNCTION("""COMPUTED_VALUE"""),"Soo. Young (Julie) Choi")</f>
        <v>Soo. Young (Julie) Choi</v>
      </c>
      <c r="D29" s="33">
        <f>IFERROR(__xludf.DUMMYFUNCTION("""COMPUTED_VALUE"""),4.083353503E9)</f>
        <v>4083353503</v>
      </c>
      <c r="E29" s="33" t="str">
        <f>IFERROR(__xludf.DUMMYFUNCTION("""COMPUTED_VALUE"""),"Anish Bayyapu")</f>
        <v>Anish Bayyapu</v>
      </c>
      <c r="F29" s="33" t="str">
        <f>IFERROR(__xludf.DUMMYFUNCTION("""COMPUTED_VALUE"""),"Siddhant Jain ")</f>
        <v>Siddhant Jain </v>
      </c>
      <c r="G29" s="33" t="str">
        <f>IFERROR(__xludf.DUMMYFUNCTION("""COMPUTED_VALUE"""),"Chinmay Raghvendran")</f>
        <v>Chinmay Raghvendran</v>
      </c>
      <c r="H29" s="33" t="str">
        <f>IFERROR(__xludf.DUMMYFUNCTION("""COMPUTED_VALUE"""),"Vibha Raghvendran")</f>
        <v>Vibha Raghvendran</v>
      </c>
      <c r="I29" s="33" t="str">
        <f>IFERROR(__xludf.DUMMYFUNCTION("""COMPUTED_VALUE"""),"Ishaan Desai")</f>
        <v>Ishaan Desai</v>
      </c>
      <c r="J29" s="33"/>
      <c r="K29" s="33">
        <f>IFERROR(__xludf.DUMMYFUNCTION("""COMPUTED_VALUE"""),6.504609163E9)</f>
        <v>6504609163</v>
      </c>
      <c r="L29" s="33"/>
      <c r="M29" s="33"/>
    </row>
    <row r="30">
      <c r="A30" s="33" t="str">
        <f>IFERROR(__xludf.DUMMYFUNCTION("""COMPUTED_VALUE"""),"Monta Vista High School")</f>
        <v>Monta Vista High School</v>
      </c>
      <c r="B30" s="33" t="str">
        <f>IFERROR(__xludf.DUMMYFUNCTION("""COMPUTED_VALUE"""),"Monta Vista B")</f>
        <v>Monta Vista B</v>
      </c>
      <c r="C30" s="33" t="str">
        <f>IFERROR(__xludf.DUMMYFUNCTION("""COMPUTED_VALUE"""),"Soo. Young (Julie) Choi")</f>
        <v>Soo. Young (Julie) Choi</v>
      </c>
      <c r="D30" s="33">
        <f>IFERROR(__xludf.DUMMYFUNCTION("""COMPUTED_VALUE"""),4.083353503E9)</f>
        <v>4083353503</v>
      </c>
      <c r="E30" s="33" t="str">
        <f>IFERROR(__xludf.DUMMYFUNCTION("""COMPUTED_VALUE"""),"Maya Pullara ")</f>
        <v>Maya Pullara </v>
      </c>
      <c r="F30" s="33" t="str">
        <f>IFERROR(__xludf.DUMMYFUNCTION("""COMPUTED_VALUE"""),"Nicholas Pantino ")</f>
        <v>Nicholas Pantino </v>
      </c>
      <c r="G30" s="33" t="str">
        <f>IFERROR(__xludf.DUMMYFUNCTION("""COMPUTED_VALUE"""),"Arshiya Sen ")</f>
        <v>Arshiya Sen </v>
      </c>
      <c r="H30" s="33" t="str">
        <f>IFERROR(__xludf.DUMMYFUNCTION("""COMPUTED_VALUE"""),"Meghana Somu ")</f>
        <v>Meghana Somu </v>
      </c>
      <c r="I30" s="33" t="str">
        <f>IFERROR(__xludf.DUMMYFUNCTION("""COMPUTED_VALUE"""),"Aradhana Sekar ")</f>
        <v>Aradhana Sekar </v>
      </c>
      <c r="J30" s="33"/>
      <c r="K30" s="33">
        <f>IFERROR(__xludf.DUMMYFUNCTION("""COMPUTED_VALUE"""),6.504609163E9)</f>
        <v>6504609163</v>
      </c>
      <c r="L30" s="33"/>
      <c r="M30" s="33"/>
    </row>
    <row r="31">
      <c r="A31" s="33" t="str">
        <f>IFERROR(__xludf.DUMMYFUNCTION("""COMPUTED_VALUE"""),"North Hollywood High School")</f>
        <v>North Hollywood High School</v>
      </c>
      <c r="B31" s="33" t="str">
        <f>IFERROR(__xludf.DUMMYFUNCTION("""COMPUTED_VALUE"""),"North Hollywood")</f>
        <v>North Hollywood</v>
      </c>
      <c r="C31" s="33" t="str">
        <f>IFERROR(__xludf.DUMMYFUNCTION("""COMPUTED_VALUE"""),"yu zhao")</f>
        <v>yu zhao</v>
      </c>
      <c r="D31" s="33" t="str">
        <f>IFERROR(__xludf.DUMMYFUNCTION("""COMPUTED_VALUE"""),"818-519-0661")</f>
        <v>818-519-0661</v>
      </c>
      <c r="E31" s="33" t="str">
        <f>IFERROR(__xludf.DUMMYFUNCTION("""COMPUTED_VALUE"""),"Boheng Cao")</f>
        <v>Boheng Cao</v>
      </c>
      <c r="F31" s="33" t="str">
        <f>IFERROR(__xludf.DUMMYFUNCTION("""COMPUTED_VALUE"""),"Connor Zhao")</f>
        <v>Connor Zhao</v>
      </c>
      <c r="G31" s="33" t="str">
        <f>IFERROR(__xludf.DUMMYFUNCTION("""COMPUTED_VALUE"""),"Phoebe Xu")</f>
        <v>Phoebe Xu</v>
      </c>
      <c r="H31" s="33" t="str">
        <f>IFERROR(__xludf.DUMMYFUNCTION("""COMPUTED_VALUE"""),"Suzuko Ohshima")</f>
        <v>Suzuko Ohshima</v>
      </c>
      <c r="I31" s="33"/>
      <c r="J31" s="33"/>
      <c r="K31" s="33" t="str">
        <f>IFERROR(__xludf.DUMMYFUNCTION("""COMPUTED_VALUE"""),"747-744-9588")</f>
        <v>747-744-9588</v>
      </c>
      <c r="L31" s="33" t="str">
        <f>IFERROR(__xludf.DUMMYFUNCTION("""COMPUTED_VALUE"""),"*coach won't be there the whole time ")</f>
        <v>*coach won't be there the whole time </v>
      </c>
      <c r="M31" s="33"/>
    </row>
    <row r="32">
      <c r="A32" s="33" t="str">
        <f>IFERROR(__xludf.DUMMYFUNCTION("""COMPUTED_VALUE"""),"Dougherty Valley High School")</f>
        <v>Dougherty Valley High School</v>
      </c>
      <c r="B32" s="33" t="str">
        <f>IFERROR(__xludf.DUMMYFUNCTION("""COMPUTED_VALUE"""),"Dougherty Valley A")</f>
        <v>Dougherty Valley A</v>
      </c>
      <c r="C32" s="33" t="str">
        <f>IFERROR(__xludf.DUMMYFUNCTION("""COMPUTED_VALUE"""),"Andy SU")</f>
        <v>Andy SU</v>
      </c>
      <c r="D32" s="33" t="str">
        <f>IFERROR(__xludf.DUMMYFUNCTION("""COMPUTED_VALUE"""),"510 395 3681")</f>
        <v>510 395 3681</v>
      </c>
      <c r="E32" s="33" t="str">
        <f>IFERROR(__xludf.DUMMYFUNCTION("""COMPUTED_VALUE"""),"Pleban Mishra")</f>
        <v>Pleban Mishra</v>
      </c>
      <c r="F32" s="33" t="str">
        <f>IFERROR(__xludf.DUMMYFUNCTION("""COMPUTED_VALUE"""),"William Zhao")</f>
        <v>William Zhao</v>
      </c>
      <c r="G32" s="33" t="str">
        <f>IFERROR(__xludf.DUMMYFUNCTION("""COMPUTED_VALUE"""),"Anthony Wei")</f>
        <v>Anthony Wei</v>
      </c>
      <c r="H32" s="33" t="str">
        <f>IFERROR(__xludf.DUMMYFUNCTION("""COMPUTED_VALUE"""),"Akshaj Challa")</f>
        <v>Akshaj Challa</v>
      </c>
      <c r="I32" s="33"/>
      <c r="J32" s="33"/>
      <c r="K32" s="33"/>
      <c r="L32" s="33"/>
      <c r="M32" s="33"/>
    </row>
    <row r="33">
      <c r="A33" s="33" t="str">
        <f>IFERROR(__xludf.DUMMYFUNCTION("""COMPUTED_VALUE"""),"Dougherty Valley High School")</f>
        <v>Dougherty Valley High School</v>
      </c>
      <c r="B33" s="33" t="str">
        <f>IFERROR(__xludf.DUMMYFUNCTION("""COMPUTED_VALUE"""),"Dougherty Valley B")</f>
        <v>Dougherty Valley B</v>
      </c>
      <c r="C33" s="33" t="str">
        <f>IFERROR(__xludf.DUMMYFUNCTION("""COMPUTED_VALUE"""),"Andu Su")</f>
        <v>Andu Su</v>
      </c>
      <c r="D33" s="33">
        <f>IFERROR(__xludf.DUMMYFUNCTION("""COMPUTED_VALUE"""),5.103953681E9)</f>
        <v>5103953681</v>
      </c>
      <c r="E33" s="33" t="str">
        <f>IFERROR(__xludf.DUMMYFUNCTION("""COMPUTED_VALUE"""),"Jayden Lee")</f>
        <v>Jayden Lee</v>
      </c>
      <c r="F33" s="33" t="str">
        <f>IFERROR(__xludf.DUMMYFUNCTION("""COMPUTED_VALUE"""),"Shreyas Mahajan")</f>
        <v>Shreyas Mahajan</v>
      </c>
      <c r="G33" s="33" t="str">
        <f>IFERROR(__xludf.DUMMYFUNCTION("""COMPUTED_VALUE"""),"Henry Lai")</f>
        <v>Henry Lai</v>
      </c>
      <c r="H33" s="33" t="str">
        <f>IFERROR(__xludf.DUMMYFUNCTION("""COMPUTED_VALUE"""),"Varun Challa")</f>
        <v>Varun Challa</v>
      </c>
      <c r="I33" s="33" t="str">
        <f>IFERROR(__xludf.DUMMYFUNCTION("""COMPUTED_VALUE"""),"Victoria Xu")</f>
        <v>Victoria Xu</v>
      </c>
      <c r="J33" s="33"/>
      <c r="K33" s="33"/>
      <c r="L33" s="33"/>
      <c r="M33" s="33"/>
    </row>
    <row r="34">
      <c r="A34" s="33" t="str">
        <f>IFERROR(__xludf.DUMMYFUNCTION("""COMPUTED_VALUE"""),"Amador Valley High School")</f>
        <v>Amador Valley High School</v>
      </c>
      <c r="B34" s="33" t="str">
        <f>IFERROR(__xludf.DUMMYFUNCTION("""COMPUTED_VALUE"""),"Amador Valley A")</f>
        <v>Amador Valley A</v>
      </c>
      <c r="C34" s="33" t="str">
        <f>IFERROR(__xludf.DUMMYFUNCTION("""COMPUTED_VALUE"""),"Chong Lor")</f>
        <v>Chong Lor</v>
      </c>
      <c r="D34" s="33" t="str">
        <f>IFERROR(__xludf.DUMMYFUNCTION("""COMPUTED_VALUE"""),"916-880-6376")</f>
        <v>916-880-6376</v>
      </c>
      <c r="E34" s="33" t="str">
        <f>IFERROR(__xludf.DUMMYFUNCTION("""COMPUTED_VALUE"""),"Gaurav Gupta")</f>
        <v>Gaurav Gupta</v>
      </c>
      <c r="F34" s="33" t="str">
        <f>IFERROR(__xludf.DUMMYFUNCTION("""COMPUTED_VALUE"""),"Edwin He")</f>
        <v>Edwin He</v>
      </c>
      <c r="G34" s="33" t="str">
        <f>IFERROR(__xludf.DUMMYFUNCTION("""COMPUTED_VALUE"""),"Ritwik Aeka")</f>
        <v>Ritwik Aeka</v>
      </c>
      <c r="H34" s="33" t="str">
        <f>IFERROR(__xludf.DUMMYFUNCTION("""COMPUTED_VALUE"""),"Rohan Garg")</f>
        <v>Rohan Garg</v>
      </c>
      <c r="I34" s="33" t="str">
        <f>IFERROR(__xludf.DUMMYFUNCTION("""COMPUTED_VALUE"""),"Spencer Fang")</f>
        <v>Spencer Fang</v>
      </c>
      <c r="J34" s="33"/>
      <c r="K34" s="33"/>
      <c r="L34" s="33"/>
      <c r="M34" s="33"/>
    </row>
    <row r="35">
      <c r="A35" s="33" t="str">
        <f>IFERROR(__xludf.DUMMYFUNCTION("""COMPUTED_VALUE"""),"Amador Valley High School")</f>
        <v>Amador Valley High School</v>
      </c>
      <c r="B35" s="33" t="str">
        <f>IFERROR(__xludf.DUMMYFUNCTION("""COMPUTED_VALUE"""),"Amador Valley B")</f>
        <v>Amador Valley B</v>
      </c>
      <c r="C35" s="33" t="str">
        <f>IFERROR(__xludf.DUMMYFUNCTION("""COMPUTED_VALUE"""),"Chong Lor")</f>
        <v>Chong Lor</v>
      </c>
      <c r="D35" s="33" t="str">
        <f>IFERROR(__xludf.DUMMYFUNCTION("""COMPUTED_VALUE"""),"916-880-6376")</f>
        <v>916-880-6376</v>
      </c>
      <c r="E35" s="33" t="str">
        <f>IFERROR(__xludf.DUMMYFUNCTION("""COMPUTED_VALUE"""),"Dalbert Wu")</f>
        <v>Dalbert Wu</v>
      </c>
      <c r="F35" s="33" t="str">
        <f>IFERROR(__xludf.DUMMYFUNCTION("""COMPUTED_VALUE"""),"Pratham Mehta")</f>
        <v>Pratham Mehta</v>
      </c>
      <c r="G35" s="33" t="str">
        <f>IFERROR(__xludf.DUMMYFUNCTION("""COMPUTED_VALUE"""),"Srijon Mandal")</f>
        <v>Srijon Mandal</v>
      </c>
      <c r="H35" s="33" t="str">
        <f>IFERROR(__xludf.DUMMYFUNCTION("""COMPUTED_VALUE"""),"Christopher Xia (sub)")</f>
        <v>Christopher Xia (sub)</v>
      </c>
      <c r="I35" s="33"/>
      <c r="J35" s="33"/>
      <c r="K35" s="33"/>
      <c r="L35" s="33"/>
      <c r="M35" s="33"/>
    </row>
    <row r="36">
      <c r="A36" s="33" t="str">
        <f>IFERROR(__xludf.DUMMYFUNCTION("""COMPUTED_VALUE"""),"Lynbrook High School")</f>
        <v>Lynbrook High School</v>
      </c>
      <c r="B36" s="33" t="str">
        <f>IFERROR(__xludf.DUMMYFUNCTION("""COMPUTED_VALUE"""),"Lynbrook A")</f>
        <v>Lynbrook A</v>
      </c>
      <c r="C36" s="33" t="str">
        <f>IFERROR(__xludf.DUMMYFUNCTION("""COMPUTED_VALUE"""),"Ying Feng")</f>
        <v>Ying Feng</v>
      </c>
      <c r="D36" s="33">
        <f>IFERROR(__xludf.DUMMYFUNCTION("""COMPUTED_VALUE"""),8.056986355E9)</f>
        <v>8056986355</v>
      </c>
      <c r="E36" s="33" t="str">
        <f>IFERROR(__xludf.DUMMYFUNCTION("""COMPUTED_VALUE"""),"Selena Yang")</f>
        <v>Selena Yang</v>
      </c>
      <c r="F36" s="33" t="str">
        <f>IFERROR(__xludf.DUMMYFUNCTION("""COMPUTED_VALUE"""),"Sohil Rathi")</f>
        <v>Sohil Rathi</v>
      </c>
      <c r="G36" s="33" t="str">
        <f>IFERROR(__xludf.DUMMYFUNCTION("""COMPUTED_VALUE"""),"Samuel Wang")</f>
        <v>Samuel Wang</v>
      </c>
      <c r="H36" s="33" t="str">
        <f>IFERROR(__xludf.DUMMYFUNCTION("""COMPUTED_VALUE"""),"Jianyu Wang")</f>
        <v>Jianyu Wang</v>
      </c>
      <c r="I36" s="33" t="str">
        <f>IFERROR(__xludf.DUMMYFUNCTION("""COMPUTED_VALUE"""),"Steve Yang")</f>
        <v>Steve Yang</v>
      </c>
      <c r="J36" s="33"/>
      <c r="K36" s="33"/>
      <c r="L36" s="33"/>
      <c r="M36" s="33"/>
    </row>
    <row r="37">
      <c r="A37" s="33" t="str">
        <f>IFERROR(__xludf.DUMMYFUNCTION("""COMPUTED_VALUE"""),"Lynbrook High School")</f>
        <v>Lynbrook High School</v>
      </c>
      <c r="B37" s="33" t="str">
        <f>IFERROR(__xludf.DUMMYFUNCTION("""COMPUTED_VALUE"""),"Lynbrook B")</f>
        <v>Lynbrook B</v>
      </c>
      <c r="C37" s="33" t="str">
        <f>IFERROR(__xludf.DUMMYFUNCTION("""COMPUTED_VALUE"""),"Chunyu Bi")</f>
        <v>Chunyu Bi</v>
      </c>
      <c r="D37" s="33" t="str">
        <f>IFERROR(__xludf.DUMMYFUNCTION("""COMPUTED_VALUE"""),"408-329-2536")</f>
        <v>408-329-2536</v>
      </c>
      <c r="E37" s="33" t="str">
        <f>IFERROR(__xludf.DUMMYFUNCTION("""COMPUTED_VALUE"""),"Brian Bi")</f>
        <v>Brian Bi</v>
      </c>
      <c r="F37" s="33" t="str">
        <f>IFERROR(__xludf.DUMMYFUNCTION("""COMPUTED_VALUE"""),"Chaas Kandregula")</f>
        <v>Chaas Kandregula</v>
      </c>
      <c r="G37" s="33" t="str">
        <f>IFERROR(__xludf.DUMMYFUNCTION("""COMPUTED_VALUE"""),"Ryan Bansal")</f>
        <v>Ryan Bansal</v>
      </c>
      <c r="H37" s="33" t="str">
        <f>IFERROR(__xludf.DUMMYFUNCTION("""COMPUTED_VALUE"""),"Ian Chen")</f>
        <v>Ian Chen</v>
      </c>
      <c r="I37" s="33" t="str">
        <f>IFERROR(__xludf.DUMMYFUNCTION("""COMPUTED_VALUE"""),"Harold Wang")</f>
        <v>Harold Wang</v>
      </c>
      <c r="J37" s="33"/>
      <c r="K37" s="33"/>
      <c r="L37" s="33"/>
      <c r="M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</sheetData>
  <drawing r:id="rId1"/>
</worksheet>
</file>