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Double Elims" sheetId="2" r:id="rId6"/>
  </sheets>
  <definedNames/>
  <calcPr/>
</workbook>
</file>

<file path=xl/sharedStrings.xml><?xml version="1.0" encoding="utf-8"?>
<sst xmlns="http://schemas.openxmlformats.org/spreadsheetml/2006/main" count="180" uniqueCount="88">
  <si>
    <t>Aurum Division</t>
  </si>
  <si>
    <t>Round 6</t>
  </si>
  <si>
    <t>Round 7</t>
  </si>
  <si>
    <t>Round 8</t>
  </si>
  <si>
    <t>Round 9</t>
  </si>
  <si>
    <t>Round 10</t>
  </si>
  <si>
    <t>Round 11</t>
  </si>
  <si>
    <t>Round 12</t>
  </si>
  <si>
    <t>BYE</t>
  </si>
  <si>
    <t>JP Stevens A</t>
  </si>
  <si>
    <t>Iolani School</t>
  </si>
  <si>
    <t>Arcadia B</t>
  </si>
  <si>
    <t>INDIANS</t>
  </si>
  <si>
    <t>Winners Bracket</t>
  </si>
  <si>
    <t>Mount Ellis</t>
  </si>
  <si>
    <t>A1</t>
  </si>
  <si>
    <t>JP Stevens B</t>
  </si>
  <si>
    <t>Dulles A</t>
  </si>
  <si>
    <t>B1</t>
  </si>
  <si>
    <t>Montessouri</t>
  </si>
  <si>
    <t>Dulles</t>
  </si>
  <si>
    <t>C1</t>
  </si>
  <si>
    <t>Brookfeild</t>
  </si>
  <si>
    <t>Green Hope</t>
  </si>
  <si>
    <t>9:30 - 10:10</t>
  </si>
  <si>
    <t>10:15 - 10:55</t>
  </si>
  <si>
    <t>11:00 - 11:40</t>
  </si>
  <si>
    <t>11:45 - 12:25</t>
  </si>
  <si>
    <t>12:30 - 1:10</t>
  </si>
  <si>
    <t>D1</t>
  </si>
  <si>
    <t>RR1</t>
  </si>
  <si>
    <t>RR2</t>
  </si>
  <si>
    <t>RR3</t>
  </si>
  <si>
    <t>RR4</t>
  </si>
  <si>
    <t>RR5</t>
  </si>
  <si>
    <t>Losers Bracket</t>
  </si>
  <si>
    <t>1 vs. 3</t>
  </si>
  <si>
    <t>1 vs. 2</t>
  </si>
  <si>
    <t>1 vs. 5</t>
  </si>
  <si>
    <t>2 vs. 5</t>
  </si>
  <si>
    <t>1 vs. 4</t>
  </si>
  <si>
    <t>2 vs. 4</t>
  </si>
  <si>
    <t>4 vs. 5</t>
  </si>
  <si>
    <t>2 vs. 3</t>
  </si>
  <si>
    <t>3 vs. 4</t>
  </si>
  <si>
    <t>3 vs. 5</t>
  </si>
  <si>
    <t>Bonnet Division</t>
  </si>
  <si>
    <t>Forifiet</t>
  </si>
  <si>
    <t>Odle</t>
  </si>
  <si>
    <t>Lexington 1</t>
  </si>
  <si>
    <t>Pneumonia</t>
  </si>
  <si>
    <t>Sheep B</t>
  </si>
  <si>
    <t>Default Win</t>
  </si>
  <si>
    <t>Middleton 1</t>
  </si>
  <si>
    <t>B2</t>
  </si>
  <si>
    <t>Monterssouri</t>
  </si>
  <si>
    <t>Seeding Round</t>
  </si>
  <si>
    <t>Lexington</t>
  </si>
  <si>
    <t>S1</t>
  </si>
  <si>
    <t>A2</t>
  </si>
  <si>
    <t>S3</t>
  </si>
  <si>
    <t>Montessori</t>
  </si>
  <si>
    <t>S2</t>
  </si>
  <si>
    <t>S4</t>
  </si>
  <si>
    <t>Cardinal Division</t>
  </si>
  <si>
    <t>S8</t>
  </si>
  <si>
    <t>S6</t>
  </si>
  <si>
    <t>Odle Middle School</t>
  </si>
  <si>
    <t>BRHS Team A</t>
  </si>
  <si>
    <t>C2</t>
  </si>
  <si>
    <t>S7</t>
  </si>
  <si>
    <t>D2</t>
  </si>
  <si>
    <t>S9</t>
  </si>
  <si>
    <t>S5</t>
  </si>
  <si>
    <t>S10</t>
  </si>
  <si>
    <t>S11</t>
  </si>
  <si>
    <t>Iolani</t>
  </si>
  <si>
    <t>S12</t>
  </si>
  <si>
    <t>VenLangLoma</t>
  </si>
  <si>
    <t>Arcadia A</t>
  </si>
  <si>
    <t>Dogwood Division</t>
  </si>
  <si>
    <t>Temple City</t>
  </si>
  <si>
    <t>Miller A</t>
  </si>
  <si>
    <t>Middleton Team 1</t>
  </si>
  <si>
    <t>Emerald Division</t>
  </si>
  <si>
    <t>Community Middle School</t>
  </si>
  <si>
    <t>Brookfield A</t>
  </si>
  <si>
    <t>BRHS Team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</si>
</sst>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8.0"/>
      <color theme="1"/>
      <name val="Arial"/>
      <scheme val="minor"/>
    </font>
    <font>
      <b/>
      <sz val="16.0"/>
      <color theme="1"/>
      <name val="Arial"/>
      <scheme val="minor"/>
    </font>
    <font>
      <sz val="32.0"/>
      <color theme="1"/>
      <name val="Arial"/>
      <scheme val="minor"/>
    </font>
    <font>
      <b/>
      <sz val="12.0"/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Border="1" applyFill="1" applyFont="1"/>
    <xf borderId="7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2" fillId="0" fontId="1" numFmtId="0" xfId="0" applyAlignment="1" applyBorder="1" applyFont="1">
      <alignment readingOrder="0"/>
    </xf>
    <xf borderId="0" fillId="4" fontId="1" numFmtId="0" xfId="0" applyFill="1" applyFont="1"/>
    <xf borderId="5" fillId="4" fontId="1" numFmtId="0" xfId="0" applyBorder="1" applyFill="1" applyFont="1"/>
    <xf borderId="13" fillId="0" fontId="5" numFmtId="0" xfId="0" applyAlignment="1" applyBorder="1" applyFont="1">
      <alignment horizontal="center" readingOrder="0" shrinkToFit="0" textRotation="90" vertical="center" wrapText="0"/>
    </xf>
    <xf borderId="3" fillId="0" fontId="1" numFmtId="0" xfId="0" applyBorder="1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5" fillId="5" fontId="1" numFmtId="0" xfId="0" applyAlignment="1" applyBorder="1" applyFill="1" applyFont="1">
      <alignment readingOrder="0"/>
    </xf>
    <xf borderId="2" fillId="0" fontId="1" numFmtId="0" xfId="0" applyBorder="1" applyFont="1"/>
    <xf borderId="12" fillId="0" fontId="2" numFmtId="0" xfId="0" applyBorder="1" applyFont="1"/>
    <xf borderId="4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5" fillId="0" fontId="1" numFmtId="0" xfId="0" applyBorder="1" applyFont="1"/>
    <xf borderId="4" fillId="0" fontId="1" numFmtId="0" xfId="0" applyBorder="1" applyFont="1"/>
    <xf borderId="8" fillId="0" fontId="1" numFmtId="0" xfId="0" applyBorder="1" applyFont="1"/>
    <xf borderId="10" fillId="0" fontId="1" numFmtId="0" xfId="0" applyBorder="1" applyFont="1"/>
    <xf borderId="0" fillId="0" fontId="1" numFmtId="0" xfId="0" applyAlignment="1" applyFont="1">
      <alignment readingOrder="0" vertical="center"/>
    </xf>
    <xf borderId="0" fillId="0" fontId="1" numFmtId="0" xfId="0" applyFont="1"/>
    <xf borderId="14" fillId="0" fontId="1" numFmtId="0" xfId="0" applyAlignment="1" applyBorder="1" applyFont="1">
      <alignment readingOrder="0"/>
    </xf>
    <xf borderId="10" fillId="4" fontId="1" numFmtId="0" xfId="0" applyBorder="1" applyFill="1" applyFont="1"/>
    <xf borderId="10" fillId="6" fontId="1" numFmtId="0" xfId="0" applyAlignment="1" applyBorder="1" applyFill="1" applyFont="1">
      <alignment readingOrder="0"/>
    </xf>
    <xf borderId="9" fillId="4" fontId="1" numFmtId="0" xfId="0" applyBorder="1" applyFill="1" applyFont="1"/>
    <xf borderId="15" fillId="0" fontId="1" numFmtId="0" xfId="0" applyAlignment="1" applyBorder="1" applyFont="1">
      <alignment readingOrder="0"/>
    </xf>
    <xf borderId="15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14" fillId="0" fontId="2" numFmtId="0" xfId="0" applyBorder="1" applyFont="1"/>
    <xf borderId="11" fillId="0" fontId="6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5" fillId="2" fontId="1" numFmtId="0" xfId="0" applyAlignment="1" applyBorder="1" applyFill="1" applyFont="1">
      <alignment readingOrder="0"/>
    </xf>
    <xf borderId="10" fillId="2" fontId="1" numFmtId="0" xfId="0" applyAlignment="1" applyBorder="1" applyFill="1" applyFont="1">
      <alignment readingOrder="0"/>
    </xf>
    <xf borderId="9" fillId="0" fontId="1" numFmtId="0" xfId="0" applyBorder="1" applyFont="1"/>
    <xf borderId="1" fillId="0" fontId="1" numFmtId="0" xfId="0" applyAlignment="1" applyBorder="1" applyFont="1">
      <alignment readingOrder="0"/>
    </xf>
    <xf borderId="3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5" fillId="4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1" fillId="3" fontId="1" numFmtId="0" xfId="0" applyBorder="1" applyFill="1" applyFont="1"/>
    <xf borderId="13" fillId="0" fontId="1" numFmtId="0" xfId="0" applyAlignment="1" applyBorder="1" applyFont="1">
      <alignment readingOrder="0"/>
    </xf>
    <xf borderId="5" fillId="6" fontId="1" numFmtId="0" xfId="0" applyAlignment="1" applyBorder="1" applyFill="1" applyFont="1">
      <alignment readingOrder="0"/>
    </xf>
    <xf borderId="10" fillId="5" fontId="1" numFmtId="0" xfId="0" applyAlignment="1" applyBorder="1" applyFill="1" applyFont="1">
      <alignment readingOrder="0"/>
    </xf>
    <xf borderId="15" fillId="7" fontId="7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0"/>
    <col customWidth="1" min="3" max="3" width="21.38"/>
    <col customWidth="1" min="12" max="12" width="10.0"/>
    <col customWidth="1" min="13" max="13" width="15.88"/>
  </cols>
  <sheetData>
    <row r="3">
      <c r="C3" s="4" t="s">
        <v>0</v>
      </c>
      <c r="D3" s="5"/>
      <c r="E3" s="5"/>
      <c r="F3" s="5"/>
      <c r="G3" s="5"/>
      <c r="H3" s="2"/>
    </row>
    <row r="4">
      <c r="C4" s="6"/>
      <c r="H4" s="7"/>
    </row>
    <row r="5">
      <c r="C5" s="8"/>
      <c r="D5" s="9" t="s">
        <v>8</v>
      </c>
      <c r="E5" s="9" t="s">
        <v>9</v>
      </c>
      <c r="F5" s="9" t="s">
        <v>10</v>
      </c>
      <c r="G5" s="9" t="s">
        <v>11</v>
      </c>
      <c r="H5" s="14" t="s">
        <v>12</v>
      </c>
    </row>
    <row r="6">
      <c r="B6" s="15">
        <v>1.0</v>
      </c>
      <c r="C6" s="16" t="s">
        <v>8</v>
      </c>
      <c r="D6" s="17"/>
      <c r="E6" s="17"/>
      <c r="F6" s="17"/>
      <c r="G6" s="17"/>
      <c r="H6" s="18"/>
    </row>
    <row r="7">
      <c r="B7" s="15">
        <v>2.0</v>
      </c>
      <c r="C7" s="16" t="s">
        <v>9</v>
      </c>
      <c r="D7" s="17"/>
      <c r="E7" s="17"/>
      <c r="F7" s="21">
        <v>78.0</v>
      </c>
      <c r="G7" s="22">
        <v>54.0</v>
      </c>
      <c r="H7" s="23">
        <v>80.0</v>
      </c>
      <c r="I7" s="15">
        <v>4.0</v>
      </c>
    </row>
    <row r="8">
      <c r="B8" s="15">
        <v>3.0</v>
      </c>
      <c r="C8" s="16" t="s">
        <v>10</v>
      </c>
      <c r="D8" s="17"/>
      <c r="E8" s="22">
        <v>48.0</v>
      </c>
      <c r="F8" s="17"/>
      <c r="G8" s="22">
        <v>48.0</v>
      </c>
      <c r="H8" s="23">
        <v>70.0</v>
      </c>
      <c r="I8" s="15">
        <v>2.0</v>
      </c>
      <c r="J8" s="33">
        <f>SUM(D8:H8)/3</f>
        <v>55.33333333</v>
      </c>
    </row>
    <row r="9">
      <c r="B9" s="15">
        <v>4.0</v>
      </c>
      <c r="C9" s="16" t="s">
        <v>11</v>
      </c>
      <c r="D9" s="17"/>
      <c r="E9" s="21">
        <v>118.0</v>
      </c>
      <c r="F9" s="21">
        <v>64.0</v>
      </c>
      <c r="G9" s="17"/>
      <c r="H9" s="23">
        <v>150.0</v>
      </c>
      <c r="I9" s="15">
        <v>6.0</v>
      </c>
    </row>
    <row r="10">
      <c r="B10" s="15">
        <v>5.0</v>
      </c>
      <c r="C10" s="34" t="s">
        <v>12</v>
      </c>
      <c r="D10" s="35"/>
      <c r="E10" s="36">
        <v>40.0</v>
      </c>
      <c r="F10" s="36">
        <v>18.0</v>
      </c>
      <c r="G10" s="36">
        <v>4.0</v>
      </c>
      <c r="H10" s="37"/>
      <c r="I10" s="15">
        <v>0.0</v>
      </c>
      <c r="K10" s="38" t="s">
        <v>24</v>
      </c>
      <c r="L10" s="9" t="s">
        <v>25</v>
      </c>
      <c r="M10" s="9" t="s">
        <v>26</v>
      </c>
      <c r="N10" s="9" t="s">
        <v>27</v>
      </c>
      <c r="O10" s="14" t="s">
        <v>28</v>
      </c>
    </row>
    <row r="11">
      <c r="K11" s="39" t="s">
        <v>30</v>
      </c>
      <c r="L11" s="40" t="s">
        <v>31</v>
      </c>
      <c r="M11" s="40" t="s">
        <v>32</v>
      </c>
      <c r="N11" s="40" t="s">
        <v>33</v>
      </c>
      <c r="O11" s="42" t="s">
        <v>34</v>
      </c>
    </row>
    <row r="12">
      <c r="K12" s="26" t="s">
        <v>36</v>
      </c>
      <c r="L12" s="15" t="s">
        <v>37</v>
      </c>
      <c r="M12" s="15" t="s">
        <v>38</v>
      </c>
      <c r="N12" s="15" t="s">
        <v>39</v>
      </c>
      <c r="O12" s="43" t="s">
        <v>40</v>
      </c>
    </row>
    <row r="13">
      <c r="K13" s="44" t="s">
        <v>41</v>
      </c>
      <c r="L13" s="27" t="s">
        <v>42</v>
      </c>
      <c r="M13" s="27" t="s">
        <v>43</v>
      </c>
      <c r="N13" s="27" t="s">
        <v>44</v>
      </c>
      <c r="O13" s="45" t="s">
        <v>45</v>
      </c>
    </row>
    <row r="14">
      <c r="C14" s="4" t="s">
        <v>46</v>
      </c>
      <c r="D14" s="5"/>
      <c r="E14" s="5"/>
      <c r="F14" s="5"/>
      <c r="G14" s="5"/>
      <c r="H14" s="2"/>
      <c r="J14" s="15"/>
      <c r="K14" s="15"/>
      <c r="L14" s="15"/>
      <c r="M14" s="15"/>
      <c r="N14" s="15"/>
    </row>
    <row r="15">
      <c r="C15" s="6"/>
      <c r="H15" s="7"/>
    </row>
    <row r="16">
      <c r="C16" s="8"/>
      <c r="D16" s="9" t="s">
        <v>16</v>
      </c>
      <c r="E16" s="9" t="s">
        <v>8</v>
      </c>
      <c r="F16" s="9" t="s">
        <v>49</v>
      </c>
      <c r="G16" s="9" t="s">
        <v>50</v>
      </c>
      <c r="H16" s="14" t="s">
        <v>51</v>
      </c>
    </row>
    <row r="17">
      <c r="B17" s="15">
        <v>1.0</v>
      </c>
      <c r="C17" s="16" t="s">
        <v>16</v>
      </c>
      <c r="D17" s="17"/>
      <c r="E17" s="17"/>
      <c r="F17" s="22">
        <v>110.0</v>
      </c>
      <c r="G17" s="21">
        <v>108.0</v>
      </c>
      <c r="H17" s="23">
        <v>82.0</v>
      </c>
      <c r="I17" s="15">
        <v>4.0</v>
      </c>
      <c r="J17" s="33">
        <f>SUM(D17:H17)</f>
        <v>300</v>
      </c>
    </row>
    <row r="18">
      <c r="B18" s="15">
        <v>2.0</v>
      </c>
      <c r="C18" s="16" t="s">
        <v>8</v>
      </c>
      <c r="D18" s="17"/>
      <c r="E18" s="17"/>
      <c r="F18" s="17"/>
      <c r="G18" s="17"/>
      <c r="H18" s="18"/>
    </row>
    <row r="19">
      <c r="B19" s="15">
        <v>3.0</v>
      </c>
      <c r="C19" s="16" t="s">
        <v>49</v>
      </c>
      <c r="D19" s="21">
        <v>124.0</v>
      </c>
      <c r="E19" s="17"/>
      <c r="F19" s="17"/>
      <c r="G19" s="22">
        <v>58.0</v>
      </c>
      <c r="H19" s="23">
        <v>96.0</v>
      </c>
      <c r="I19" s="15">
        <v>4.0</v>
      </c>
      <c r="K19" s="46" t="s">
        <v>56</v>
      </c>
      <c r="L19" s="5"/>
      <c r="M19" s="2"/>
    </row>
    <row r="20">
      <c r="B20" s="15">
        <v>4.0</v>
      </c>
      <c r="C20" s="16" t="s">
        <v>50</v>
      </c>
      <c r="D20" s="22">
        <v>78.0</v>
      </c>
      <c r="E20" s="17"/>
      <c r="F20" s="21">
        <v>78.0</v>
      </c>
      <c r="G20" s="17"/>
      <c r="H20" s="47">
        <v>78.0</v>
      </c>
      <c r="I20" s="15">
        <v>3.0</v>
      </c>
      <c r="K20" s="11"/>
      <c r="L20" s="13"/>
      <c r="M20" s="12"/>
    </row>
    <row r="21">
      <c r="B21" s="15">
        <v>5.0</v>
      </c>
      <c r="C21" s="34" t="s">
        <v>51</v>
      </c>
      <c r="D21" s="36">
        <v>68.0</v>
      </c>
      <c r="E21" s="35"/>
      <c r="F21" s="36">
        <v>26.0</v>
      </c>
      <c r="G21" s="48">
        <v>78.0</v>
      </c>
      <c r="H21" s="37"/>
      <c r="I21" s="15">
        <v>1.0</v>
      </c>
      <c r="K21" s="50" t="s">
        <v>15</v>
      </c>
      <c r="L21" s="5"/>
      <c r="M21" s="51" t="s">
        <v>14</v>
      </c>
      <c r="N21" s="26">
        <v>6.0</v>
      </c>
      <c r="O21" s="15" t="s">
        <v>58</v>
      </c>
    </row>
    <row r="22">
      <c r="K22" s="26" t="s">
        <v>59</v>
      </c>
      <c r="M22" s="52" t="s">
        <v>23</v>
      </c>
      <c r="N22" s="26">
        <v>3.0</v>
      </c>
      <c r="O22" s="15" t="s">
        <v>60</v>
      </c>
    </row>
    <row r="23">
      <c r="K23" s="26" t="s">
        <v>18</v>
      </c>
      <c r="M23" s="52" t="s">
        <v>61</v>
      </c>
      <c r="N23" s="26">
        <v>4.0</v>
      </c>
      <c r="O23" s="15" t="s">
        <v>62</v>
      </c>
    </row>
    <row r="24">
      <c r="K24" s="26" t="s">
        <v>54</v>
      </c>
      <c r="M24" s="52" t="s">
        <v>11</v>
      </c>
      <c r="N24" s="26">
        <v>2.0</v>
      </c>
      <c r="O24" s="15" t="s">
        <v>63</v>
      </c>
    </row>
    <row r="25">
      <c r="C25" s="4" t="s">
        <v>64</v>
      </c>
      <c r="D25" s="5"/>
      <c r="E25" s="5"/>
      <c r="F25" s="5"/>
      <c r="G25" s="5"/>
      <c r="H25" s="2"/>
      <c r="K25" s="29"/>
      <c r="M25" s="53" t="s">
        <v>16</v>
      </c>
      <c r="N25" s="15">
        <v>3.0</v>
      </c>
      <c r="O25" s="15" t="s">
        <v>65</v>
      </c>
    </row>
    <row r="26">
      <c r="C26" s="6"/>
      <c r="H26" s="7"/>
      <c r="K26" s="26" t="s">
        <v>21</v>
      </c>
      <c r="M26" s="54" t="s">
        <v>9</v>
      </c>
      <c r="N26" s="26">
        <v>5.0</v>
      </c>
      <c r="O26" s="15" t="s">
        <v>66</v>
      </c>
    </row>
    <row r="27">
      <c r="C27" s="55"/>
      <c r="D27" s="38" t="s">
        <v>67</v>
      </c>
      <c r="E27" s="9" t="s">
        <v>61</v>
      </c>
      <c r="F27" s="9" t="s">
        <v>8</v>
      </c>
      <c r="G27" s="9" t="s">
        <v>68</v>
      </c>
      <c r="H27" s="14" t="s">
        <v>17</v>
      </c>
      <c r="K27" s="26" t="s">
        <v>69</v>
      </c>
      <c r="M27" s="54" t="s">
        <v>22</v>
      </c>
      <c r="N27" s="26">
        <v>3.0</v>
      </c>
      <c r="O27" s="15" t="s">
        <v>70</v>
      </c>
    </row>
    <row r="28">
      <c r="B28" s="15">
        <v>1.0</v>
      </c>
      <c r="C28" s="56" t="s">
        <v>67</v>
      </c>
      <c r="D28" s="17"/>
      <c r="E28" s="22">
        <v>88.0</v>
      </c>
      <c r="F28" s="17"/>
      <c r="G28" s="21">
        <v>72.0</v>
      </c>
      <c r="H28" s="57">
        <v>32.0</v>
      </c>
      <c r="I28" s="15">
        <v>2.0</v>
      </c>
      <c r="J28" s="33">
        <f>SUM(D28:H28)/3</f>
        <v>64</v>
      </c>
      <c r="K28" s="26" t="s">
        <v>71</v>
      </c>
      <c r="M28" s="54" t="s">
        <v>53</v>
      </c>
      <c r="N28" s="26">
        <v>2.0</v>
      </c>
      <c r="O28" s="15" t="s">
        <v>72</v>
      </c>
    </row>
    <row r="29">
      <c r="B29" s="15">
        <v>2.0</v>
      </c>
      <c r="C29" s="16" t="s">
        <v>61</v>
      </c>
      <c r="D29" s="21">
        <v>102.0</v>
      </c>
      <c r="E29" s="17"/>
      <c r="F29" s="17"/>
      <c r="G29" s="21">
        <v>136.0</v>
      </c>
      <c r="H29" s="23">
        <v>106.0</v>
      </c>
      <c r="I29" s="15">
        <v>6.0</v>
      </c>
      <c r="K29" s="26" t="s">
        <v>15</v>
      </c>
      <c r="M29" s="54" t="s">
        <v>17</v>
      </c>
      <c r="N29" s="26">
        <v>8.0</v>
      </c>
      <c r="O29" s="15" t="s">
        <v>73</v>
      </c>
    </row>
    <row r="30">
      <c r="B30" s="15">
        <v>3.0</v>
      </c>
      <c r="C30" s="16" t="s">
        <v>8</v>
      </c>
      <c r="D30" s="17"/>
      <c r="E30" s="17"/>
      <c r="F30" s="17"/>
      <c r="G30" s="17"/>
      <c r="H30" s="18"/>
      <c r="K30" s="26" t="s">
        <v>59</v>
      </c>
      <c r="M30" s="54" t="s">
        <v>57</v>
      </c>
      <c r="N30" s="26">
        <v>1.0</v>
      </c>
      <c r="O30" s="15" t="s">
        <v>74</v>
      </c>
    </row>
    <row r="31">
      <c r="B31" s="15">
        <v>4.0</v>
      </c>
      <c r="C31" s="16" t="s">
        <v>68</v>
      </c>
      <c r="D31" s="22">
        <v>46.0</v>
      </c>
      <c r="E31" s="22">
        <v>40.0</v>
      </c>
      <c r="F31" s="17"/>
      <c r="G31" s="17"/>
      <c r="H31" s="57">
        <v>10.0</v>
      </c>
      <c r="I31" s="15">
        <v>0.0</v>
      </c>
      <c r="K31" s="29"/>
      <c r="M31" s="43" t="s">
        <v>50</v>
      </c>
      <c r="N31" s="29"/>
      <c r="O31" s="15" t="s">
        <v>75</v>
      </c>
    </row>
    <row r="32">
      <c r="B32" s="15">
        <v>5.0</v>
      </c>
      <c r="C32" s="34" t="s">
        <v>17</v>
      </c>
      <c r="D32" s="58">
        <v>150.0</v>
      </c>
      <c r="E32" s="36">
        <v>54.0</v>
      </c>
      <c r="F32" s="35"/>
      <c r="G32" s="58">
        <v>150.0</v>
      </c>
      <c r="H32" s="37"/>
      <c r="I32" s="15">
        <v>4.0</v>
      </c>
      <c r="K32" s="26" t="s">
        <v>18</v>
      </c>
      <c r="M32" s="21" t="s">
        <v>76</v>
      </c>
      <c r="N32" s="26">
        <v>2.0</v>
      </c>
    </row>
    <row r="33">
      <c r="K33" s="26" t="s">
        <v>54</v>
      </c>
      <c r="M33" s="21" t="s">
        <v>48</v>
      </c>
      <c r="N33" s="26">
        <v>2.0</v>
      </c>
      <c r="O33" s="15" t="s">
        <v>77</v>
      </c>
    </row>
    <row r="34">
      <c r="K34" s="26" t="s">
        <v>21</v>
      </c>
      <c r="M34" s="21" t="s">
        <v>78</v>
      </c>
      <c r="N34" s="26">
        <v>2.0</v>
      </c>
    </row>
    <row r="35">
      <c r="K35" s="44" t="s">
        <v>69</v>
      </c>
      <c r="L35" s="13"/>
      <c r="M35" s="58" t="s">
        <v>79</v>
      </c>
      <c r="N35" s="15">
        <v>1.0</v>
      </c>
    </row>
    <row r="36">
      <c r="C36" s="4" t="s">
        <v>80</v>
      </c>
      <c r="D36" s="5"/>
      <c r="E36" s="5"/>
      <c r="F36" s="5"/>
      <c r="G36" s="5"/>
      <c r="H36" s="2"/>
    </row>
    <row r="37">
      <c r="C37" s="6"/>
      <c r="H37" s="7"/>
    </row>
    <row r="38">
      <c r="C38" s="8"/>
      <c r="D38" s="9" t="s">
        <v>81</v>
      </c>
      <c r="E38" s="9" t="s">
        <v>82</v>
      </c>
      <c r="F38" s="9" t="s">
        <v>83</v>
      </c>
      <c r="G38" s="9" t="s">
        <v>78</v>
      </c>
      <c r="H38" s="14" t="s">
        <v>23</v>
      </c>
    </row>
    <row r="39">
      <c r="B39" s="15">
        <v>1.0</v>
      </c>
      <c r="C39" s="16" t="s">
        <v>81</v>
      </c>
      <c r="D39" s="17"/>
      <c r="E39" s="22">
        <v>30.0</v>
      </c>
      <c r="F39" s="22">
        <v>12.0</v>
      </c>
      <c r="G39" s="22">
        <v>22.0</v>
      </c>
      <c r="H39" s="57">
        <v>22.0</v>
      </c>
      <c r="I39" s="15">
        <v>0.0</v>
      </c>
    </row>
    <row r="40">
      <c r="B40" s="15">
        <v>2.0</v>
      </c>
      <c r="C40" s="16" t="s">
        <v>82</v>
      </c>
      <c r="D40" s="21">
        <v>50.0</v>
      </c>
      <c r="E40" s="17"/>
      <c r="F40" s="22">
        <v>18.0</v>
      </c>
      <c r="G40" s="22">
        <v>62.0</v>
      </c>
      <c r="H40" s="57">
        <v>32.0</v>
      </c>
      <c r="I40" s="15">
        <v>2.0</v>
      </c>
    </row>
    <row r="41">
      <c r="B41" s="15">
        <v>3.0</v>
      </c>
      <c r="C41" s="16" t="s">
        <v>83</v>
      </c>
      <c r="D41" s="21">
        <v>142.0</v>
      </c>
      <c r="E41" s="21">
        <v>118.0</v>
      </c>
      <c r="F41" s="17"/>
      <c r="G41" s="21">
        <v>80.0</v>
      </c>
      <c r="H41" s="57">
        <v>80.0</v>
      </c>
      <c r="I41" s="15">
        <v>6.0</v>
      </c>
    </row>
    <row r="42">
      <c r="B42" s="15">
        <v>4.0</v>
      </c>
      <c r="C42" s="16" t="s">
        <v>78</v>
      </c>
      <c r="D42" s="21">
        <v>26.0</v>
      </c>
      <c r="E42" s="21">
        <v>94.0</v>
      </c>
      <c r="F42" s="22">
        <v>42.0</v>
      </c>
      <c r="G42" s="17"/>
      <c r="H42" s="57">
        <v>78.0</v>
      </c>
      <c r="I42" s="15">
        <v>4.0</v>
      </c>
      <c r="J42" s="33">
        <f>SUM(D42:H42)/4</f>
        <v>60</v>
      </c>
    </row>
    <row r="43">
      <c r="B43" s="15">
        <v>5.0</v>
      </c>
      <c r="C43" s="34" t="s">
        <v>23</v>
      </c>
      <c r="D43" s="58">
        <v>84.0</v>
      </c>
      <c r="E43" s="58">
        <v>138.0</v>
      </c>
      <c r="F43" s="58">
        <v>106.0</v>
      </c>
      <c r="G43" s="58">
        <v>92.0</v>
      </c>
      <c r="H43" s="37"/>
      <c r="I43" s="15">
        <v>8.0</v>
      </c>
    </row>
    <row r="47">
      <c r="C47" s="4" t="s">
        <v>84</v>
      </c>
      <c r="D47" s="5"/>
      <c r="E47" s="5"/>
      <c r="F47" s="5"/>
      <c r="G47" s="5"/>
      <c r="H47" s="2"/>
    </row>
    <row r="48">
      <c r="C48" s="6"/>
      <c r="H48" s="7"/>
    </row>
    <row r="49">
      <c r="C49" s="8"/>
      <c r="D49" s="59" t="s">
        <v>85</v>
      </c>
      <c r="E49" s="9" t="s">
        <v>14</v>
      </c>
      <c r="F49" s="9" t="s">
        <v>79</v>
      </c>
      <c r="G49" s="9" t="s">
        <v>86</v>
      </c>
      <c r="H49" s="14" t="s">
        <v>87</v>
      </c>
    </row>
    <row r="50">
      <c r="B50" s="15">
        <v>1.0</v>
      </c>
      <c r="C50" s="16" t="s">
        <v>85</v>
      </c>
      <c r="D50" s="17"/>
      <c r="E50" s="22">
        <v>16.0</v>
      </c>
      <c r="F50" s="22">
        <v>70.0</v>
      </c>
      <c r="G50" s="22">
        <v>26.0</v>
      </c>
      <c r="H50" s="23">
        <v>60.0</v>
      </c>
      <c r="I50" s="15">
        <v>2.0</v>
      </c>
    </row>
    <row r="51">
      <c r="B51" s="15">
        <v>2.0</v>
      </c>
      <c r="C51" s="16" t="s">
        <v>14</v>
      </c>
      <c r="D51" s="21">
        <v>148.0</v>
      </c>
      <c r="E51" s="17"/>
      <c r="F51" s="21">
        <v>86.0</v>
      </c>
      <c r="G51" s="21">
        <v>150.0</v>
      </c>
      <c r="H51" s="23">
        <v>106.0</v>
      </c>
      <c r="I51" s="15">
        <v>8.0</v>
      </c>
    </row>
    <row r="52">
      <c r="B52" s="15">
        <v>3.0</v>
      </c>
      <c r="C52" s="16" t="s">
        <v>79</v>
      </c>
      <c r="D52" s="21">
        <v>72.0</v>
      </c>
      <c r="E52" s="22">
        <v>50.0</v>
      </c>
      <c r="F52" s="17"/>
      <c r="G52" s="22">
        <v>36.0</v>
      </c>
      <c r="H52" s="23">
        <v>36.0</v>
      </c>
      <c r="I52" s="15">
        <v>4.0</v>
      </c>
    </row>
    <row r="53">
      <c r="B53" s="15">
        <v>4.0</v>
      </c>
      <c r="C53" s="16" t="s">
        <v>86</v>
      </c>
      <c r="D53" s="21">
        <v>98.0</v>
      </c>
      <c r="E53" s="22">
        <v>14.0</v>
      </c>
      <c r="F53" s="21">
        <v>94.0</v>
      </c>
      <c r="G53" s="17"/>
      <c r="H53" s="23">
        <v>112.0</v>
      </c>
      <c r="I53" s="15">
        <v>6.0</v>
      </c>
      <c r="J53" s="33">
        <f>SUM(D53:H53)</f>
        <v>318</v>
      </c>
    </row>
    <row r="54">
      <c r="B54" s="15">
        <v>5.0</v>
      </c>
      <c r="C54" s="34" t="s">
        <v>87</v>
      </c>
      <c r="D54" s="36">
        <v>0.0</v>
      </c>
      <c r="E54" s="36">
        <v>4.0</v>
      </c>
      <c r="F54" s="36">
        <v>26.0</v>
      </c>
      <c r="G54" s="36">
        <v>16.0</v>
      </c>
      <c r="H54" s="37"/>
      <c r="I54" s="15">
        <v>0.0</v>
      </c>
    </row>
  </sheetData>
  <mergeCells count="20">
    <mergeCell ref="C3:H4"/>
    <mergeCell ref="C14:H15"/>
    <mergeCell ref="K19:M20"/>
    <mergeCell ref="K21:L21"/>
    <mergeCell ref="K22:L22"/>
    <mergeCell ref="K23:L23"/>
    <mergeCell ref="C25:H26"/>
    <mergeCell ref="K26:L26"/>
    <mergeCell ref="K33:L33"/>
    <mergeCell ref="K34:L34"/>
    <mergeCell ref="K35:L35"/>
    <mergeCell ref="C36:H37"/>
    <mergeCell ref="C47:H48"/>
    <mergeCell ref="K24:L24"/>
    <mergeCell ref="K25:L25"/>
    <mergeCell ref="K27:L27"/>
    <mergeCell ref="K28:L28"/>
    <mergeCell ref="K29:L29"/>
    <mergeCell ref="K30:L30"/>
    <mergeCell ref="K32:L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63"/>
    <col customWidth="1" min="19" max="19" width="6.75"/>
  </cols>
  <sheetData>
    <row r="1">
      <c r="A1" s="1"/>
      <c r="B1" s="2"/>
      <c r="C1" s="3" t="s">
        <v>1</v>
      </c>
      <c r="D1" s="5"/>
      <c r="E1" s="3" t="s">
        <v>2</v>
      </c>
      <c r="F1" s="5"/>
      <c r="G1" s="3" t="s">
        <v>3</v>
      </c>
      <c r="H1" s="5"/>
      <c r="I1" s="3" t="s">
        <v>4</v>
      </c>
      <c r="J1" s="5"/>
      <c r="K1" s="3" t="s">
        <v>5</v>
      </c>
      <c r="L1" s="5"/>
      <c r="M1" s="3" t="s">
        <v>6</v>
      </c>
      <c r="N1" s="5"/>
      <c r="O1" s="3" t="s">
        <v>7</v>
      </c>
      <c r="P1" s="2"/>
      <c r="Q1" s="10"/>
      <c r="R1" s="5"/>
      <c r="S1" s="2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2"/>
      <c r="Q2" s="11"/>
      <c r="R2" s="13"/>
      <c r="S2" s="12"/>
    </row>
    <row r="3">
      <c r="A3" s="19" t="s">
        <v>13</v>
      </c>
      <c r="B3" s="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4"/>
    </row>
    <row r="4">
      <c r="A4" s="25"/>
      <c r="B4" s="26"/>
      <c r="C4" s="27" t="s">
        <v>14</v>
      </c>
      <c r="D4" s="27">
        <v>158.0</v>
      </c>
      <c r="S4" s="28"/>
    </row>
    <row r="5">
      <c r="A5" s="25"/>
      <c r="B5" s="29"/>
      <c r="E5" s="29"/>
      <c r="S5" s="28"/>
    </row>
    <row r="6">
      <c r="A6" s="25"/>
      <c r="B6" s="29"/>
      <c r="D6" s="15" t="s">
        <v>15</v>
      </c>
      <c r="E6" s="30"/>
      <c r="F6" s="31"/>
      <c r="G6" s="27" t="s">
        <v>14</v>
      </c>
      <c r="H6" s="31"/>
      <c r="S6" s="28"/>
    </row>
    <row r="7">
      <c r="A7" s="25"/>
      <c r="B7" s="26"/>
      <c r="C7" s="27" t="s">
        <v>16</v>
      </c>
      <c r="D7" s="27">
        <v>54.0</v>
      </c>
      <c r="E7" s="29"/>
      <c r="I7" s="29"/>
      <c r="S7" s="28"/>
    </row>
    <row r="8">
      <c r="A8" s="25"/>
      <c r="B8" s="29"/>
      <c r="I8" s="29"/>
      <c r="S8" s="28"/>
    </row>
    <row r="9">
      <c r="A9" s="25"/>
      <c r="B9" s="29"/>
      <c r="H9" s="32" t="s">
        <v>15</v>
      </c>
      <c r="I9" s="29"/>
      <c r="S9" s="28"/>
    </row>
    <row r="10">
      <c r="A10" s="25"/>
      <c r="B10" s="26"/>
      <c r="C10" s="27" t="s">
        <v>11</v>
      </c>
      <c r="D10" s="27">
        <v>8.0</v>
      </c>
      <c r="I10" s="30"/>
      <c r="J10" s="31"/>
      <c r="K10" s="27" t="s">
        <v>17</v>
      </c>
      <c r="L10" s="27">
        <v>54.0</v>
      </c>
      <c r="S10" s="28"/>
    </row>
    <row r="11">
      <c r="A11" s="25"/>
      <c r="B11" s="29"/>
      <c r="E11" s="29"/>
      <c r="I11" s="29"/>
      <c r="M11" s="29"/>
      <c r="S11" s="28"/>
    </row>
    <row r="12">
      <c r="A12" s="25"/>
      <c r="B12" s="29"/>
      <c r="D12" s="15" t="s">
        <v>18</v>
      </c>
      <c r="E12" s="30"/>
      <c r="F12" s="31"/>
      <c r="G12" s="27" t="s">
        <v>17</v>
      </c>
      <c r="H12" s="31"/>
      <c r="I12" s="29"/>
      <c r="M12" s="29"/>
      <c r="S12" s="28"/>
    </row>
    <row r="13">
      <c r="A13" s="25"/>
      <c r="B13" s="26"/>
      <c r="C13" s="27" t="s">
        <v>17</v>
      </c>
      <c r="D13" s="27">
        <v>174.0</v>
      </c>
      <c r="E13" s="29"/>
      <c r="M13" s="29"/>
      <c r="S13" s="28"/>
    </row>
    <row r="14">
      <c r="A14" s="25"/>
      <c r="B14" s="29"/>
      <c r="M14" s="29"/>
      <c r="S14" s="28"/>
    </row>
    <row r="15">
      <c r="A15" s="25"/>
      <c r="B15" s="29"/>
      <c r="M15" s="29"/>
      <c r="S15" s="28"/>
    </row>
    <row r="16">
      <c r="A16" s="25"/>
      <c r="B16" s="26"/>
      <c r="C16" s="27" t="s">
        <v>19</v>
      </c>
      <c r="D16" s="27">
        <v>64.0</v>
      </c>
      <c r="L16" s="15" t="s">
        <v>15</v>
      </c>
      <c r="M16" s="30"/>
      <c r="N16" s="31"/>
      <c r="O16" s="27" t="s">
        <v>20</v>
      </c>
      <c r="P16" s="27">
        <v>78.0</v>
      </c>
      <c r="S16" s="28"/>
    </row>
    <row r="17">
      <c r="A17" s="25"/>
      <c r="B17" s="29"/>
      <c r="E17" s="29"/>
      <c r="M17" s="29"/>
      <c r="Q17" s="29"/>
      <c r="S17" s="28"/>
    </row>
    <row r="18">
      <c r="A18" s="25"/>
      <c r="B18" s="29"/>
      <c r="D18" s="15" t="s">
        <v>21</v>
      </c>
      <c r="E18" s="30"/>
      <c r="F18" s="31"/>
      <c r="G18" s="27" t="s">
        <v>19</v>
      </c>
      <c r="H18" s="27">
        <v>26.0</v>
      </c>
      <c r="M18" s="29"/>
      <c r="Q18" s="29"/>
      <c r="S18" s="28"/>
    </row>
    <row r="19">
      <c r="A19" s="25"/>
      <c r="B19" s="26"/>
      <c r="C19" s="27" t="s">
        <v>22</v>
      </c>
      <c r="D19" s="27">
        <v>46.0</v>
      </c>
      <c r="E19" s="29"/>
      <c r="I19" s="29"/>
      <c r="M19" s="29"/>
      <c r="Q19" s="29"/>
      <c r="S19" s="28"/>
    </row>
    <row r="20">
      <c r="A20" s="25"/>
      <c r="B20" s="29"/>
      <c r="I20" s="29"/>
      <c r="M20" s="29"/>
      <c r="Q20" s="29"/>
      <c r="S20" s="28"/>
    </row>
    <row r="21">
      <c r="A21" s="25"/>
      <c r="B21" s="29"/>
      <c r="H21" s="32" t="s">
        <v>18</v>
      </c>
      <c r="I21" s="30"/>
      <c r="J21" s="31"/>
      <c r="K21" s="27" t="s">
        <v>23</v>
      </c>
      <c r="L21" s="27">
        <v>50.0</v>
      </c>
      <c r="M21" s="29"/>
      <c r="Q21" s="29"/>
      <c r="S21" s="28"/>
    </row>
    <row r="22">
      <c r="A22" s="25"/>
      <c r="B22" s="26"/>
      <c r="C22" s="27" t="s">
        <v>23</v>
      </c>
      <c r="D22" s="27">
        <v>96.0</v>
      </c>
      <c r="I22" s="29"/>
      <c r="Q22" s="29"/>
      <c r="S22" s="28"/>
    </row>
    <row r="23">
      <c r="A23" s="25"/>
      <c r="B23" s="29"/>
      <c r="E23" s="29"/>
      <c r="I23" s="29"/>
      <c r="Q23" s="29"/>
      <c r="S23" s="28"/>
    </row>
    <row r="24">
      <c r="A24" s="25"/>
      <c r="B24" s="29"/>
      <c r="D24" s="15" t="s">
        <v>29</v>
      </c>
      <c r="E24" s="30"/>
      <c r="F24" s="31"/>
      <c r="G24" s="27" t="s">
        <v>23</v>
      </c>
      <c r="H24" s="27">
        <v>56.0</v>
      </c>
      <c r="I24" s="29"/>
      <c r="Q24" s="30"/>
      <c r="R24" s="27" t="s">
        <v>20</v>
      </c>
      <c r="S24" s="28"/>
    </row>
    <row r="25">
      <c r="A25" s="25"/>
      <c r="B25" s="26"/>
      <c r="C25" s="27" t="s">
        <v>9</v>
      </c>
      <c r="D25" s="27">
        <v>20.0</v>
      </c>
      <c r="E25" s="29"/>
      <c r="Q25" s="29"/>
      <c r="S25" s="28"/>
    </row>
    <row r="26">
      <c r="A26" s="41"/>
      <c r="B26" s="29"/>
      <c r="Q26" s="29"/>
      <c r="S26" s="28"/>
    </row>
    <row r="27">
      <c r="A27" s="19" t="s">
        <v>35</v>
      </c>
      <c r="B27" s="29"/>
      <c r="M27" s="27" t="s">
        <v>23</v>
      </c>
      <c r="N27" s="31"/>
      <c r="Q27" s="29"/>
      <c r="S27" s="28"/>
    </row>
    <row r="28">
      <c r="A28" s="25"/>
      <c r="B28" s="29"/>
      <c r="E28" s="27" t="s">
        <v>16</v>
      </c>
      <c r="F28" s="27">
        <v>68.0</v>
      </c>
      <c r="I28" s="27" t="s">
        <v>14</v>
      </c>
      <c r="J28" s="27">
        <v>124.0</v>
      </c>
      <c r="O28" s="29"/>
      <c r="Q28" s="29"/>
      <c r="S28" s="28"/>
    </row>
    <row r="29">
      <c r="A29" s="25"/>
      <c r="B29" s="29"/>
      <c r="G29" s="29"/>
      <c r="K29" s="29"/>
      <c r="O29" s="29"/>
      <c r="Q29" s="29"/>
      <c r="S29" s="28"/>
    </row>
    <row r="30">
      <c r="A30" s="25"/>
      <c r="B30" s="29"/>
      <c r="F30" s="15" t="s">
        <v>15</v>
      </c>
      <c r="G30" s="44" t="s">
        <v>16</v>
      </c>
      <c r="H30" s="27" t="s">
        <v>47</v>
      </c>
      <c r="K30" s="29"/>
      <c r="O30" s="29"/>
      <c r="Q30" s="29"/>
      <c r="S30" s="28"/>
    </row>
    <row r="31">
      <c r="A31" s="25"/>
      <c r="B31" s="29"/>
      <c r="E31" s="27" t="s">
        <v>48</v>
      </c>
      <c r="F31" s="27">
        <v>66.0</v>
      </c>
      <c r="G31" s="29"/>
      <c r="I31" s="29"/>
      <c r="J31" s="15" t="s">
        <v>15</v>
      </c>
      <c r="K31" s="44" t="s">
        <v>14</v>
      </c>
      <c r="L31" s="27">
        <v>16.0</v>
      </c>
      <c r="O31" s="29"/>
      <c r="Q31" s="29"/>
      <c r="S31" s="28"/>
    </row>
    <row r="32">
      <c r="A32" s="25"/>
      <c r="B32" s="29"/>
      <c r="I32" s="29"/>
      <c r="K32" s="29"/>
      <c r="M32" s="29"/>
      <c r="O32" s="44" t="s">
        <v>23</v>
      </c>
      <c r="P32" s="27">
        <v>50.0</v>
      </c>
      <c r="Q32" s="29"/>
      <c r="S32" s="28"/>
    </row>
    <row r="33">
      <c r="A33" s="25"/>
      <c r="B33" s="29"/>
      <c r="H33" s="32" t="s">
        <v>21</v>
      </c>
      <c r="I33" s="44" t="s">
        <v>11</v>
      </c>
      <c r="J33" s="27">
        <v>4.0</v>
      </c>
      <c r="K33" s="29"/>
      <c r="M33" s="29"/>
      <c r="O33" s="29"/>
      <c r="S33" s="28"/>
    </row>
    <row r="34">
      <c r="A34" s="25"/>
      <c r="B34" s="29"/>
      <c r="E34" s="27" t="s">
        <v>11</v>
      </c>
      <c r="F34" s="27">
        <v>48.0</v>
      </c>
      <c r="I34" s="29"/>
      <c r="M34" s="29"/>
      <c r="O34" s="29"/>
      <c r="S34" s="28"/>
    </row>
    <row r="35">
      <c r="A35" s="25"/>
      <c r="B35" s="29"/>
      <c r="G35" s="29"/>
      <c r="I35" s="29"/>
      <c r="M35" s="29"/>
      <c r="O35" s="29"/>
      <c r="S35" s="28"/>
    </row>
    <row r="36">
      <c r="A36" s="25"/>
      <c r="B36" s="29"/>
      <c r="F36" s="15" t="s">
        <v>18</v>
      </c>
      <c r="G36" s="44" t="s">
        <v>11</v>
      </c>
      <c r="H36" s="27" t="s">
        <v>52</v>
      </c>
      <c r="I36" s="29"/>
      <c r="M36" s="29"/>
      <c r="O36" s="29"/>
      <c r="S36" s="28"/>
    </row>
    <row r="37">
      <c r="A37" s="25"/>
      <c r="B37" s="29"/>
      <c r="E37" s="27" t="s">
        <v>53</v>
      </c>
      <c r="F37" s="27">
        <v>16.0</v>
      </c>
      <c r="G37" s="29"/>
      <c r="L37" s="15" t="s">
        <v>54</v>
      </c>
      <c r="M37" s="44" t="s">
        <v>19</v>
      </c>
      <c r="N37" s="31"/>
      <c r="O37" s="29"/>
      <c r="S37" s="28"/>
    </row>
    <row r="38">
      <c r="A38" s="25"/>
      <c r="B38" s="29"/>
      <c r="M38" s="29"/>
      <c r="S38" s="28"/>
    </row>
    <row r="39">
      <c r="A39" s="25"/>
      <c r="B39" s="29"/>
      <c r="M39" s="29"/>
      <c r="S39" s="28"/>
    </row>
    <row r="40">
      <c r="A40" s="25"/>
      <c r="B40" s="29"/>
      <c r="E40" s="27" t="s">
        <v>22</v>
      </c>
      <c r="F40" s="27">
        <v>68.0</v>
      </c>
      <c r="I40" s="27" t="s">
        <v>55</v>
      </c>
      <c r="J40" s="27">
        <v>92.0</v>
      </c>
      <c r="M40" s="29"/>
      <c r="S40" s="28"/>
    </row>
    <row r="41">
      <c r="A41" s="25"/>
      <c r="B41" s="29"/>
      <c r="G41" s="29"/>
      <c r="K41" s="29"/>
      <c r="M41" s="29"/>
      <c r="S41" s="28"/>
    </row>
    <row r="42">
      <c r="A42" s="25"/>
      <c r="B42" s="29"/>
      <c r="F42" s="15" t="s">
        <v>21</v>
      </c>
      <c r="G42" s="44" t="s">
        <v>22</v>
      </c>
      <c r="H42" s="27">
        <v>72.0</v>
      </c>
      <c r="K42" s="29"/>
      <c r="M42" s="29"/>
      <c r="S42" s="28"/>
    </row>
    <row r="43">
      <c r="A43" s="25"/>
      <c r="B43" s="29"/>
      <c r="E43" s="27" t="s">
        <v>57</v>
      </c>
      <c r="F43" s="27">
        <v>54.0</v>
      </c>
      <c r="G43" s="29"/>
      <c r="I43" s="29"/>
      <c r="J43" s="15" t="s">
        <v>18</v>
      </c>
      <c r="K43" s="44" t="s">
        <v>19</v>
      </c>
      <c r="L43" s="27">
        <v>64.0</v>
      </c>
      <c r="M43" s="29"/>
      <c r="S43" s="28"/>
    </row>
    <row r="44">
      <c r="A44" s="25"/>
      <c r="B44" s="29"/>
      <c r="I44" s="29"/>
      <c r="K44" s="29"/>
      <c r="S44" s="28"/>
    </row>
    <row r="45">
      <c r="A45" s="25"/>
      <c r="B45" s="29"/>
      <c r="H45" s="32" t="s">
        <v>29</v>
      </c>
      <c r="I45" s="44" t="s">
        <v>22</v>
      </c>
      <c r="J45" s="27">
        <v>54.0</v>
      </c>
      <c r="K45" s="29"/>
      <c r="S45" s="28"/>
    </row>
    <row r="46">
      <c r="A46" s="25"/>
      <c r="B46" s="29"/>
      <c r="E46" s="27" t="s">
        <v>9</v>
      </c>
      <c r="F46" s="27">
        <v>32.0</v>
      </c>
      <c r="I46" s="29"/>
      <c r="S46" s="28"/>
    </row>
    <row r="47">
      <c r="A47" s="25"/>
      <c r="B47" s="29"/>
      <c r="G47" s="29"/>
      <c r="I47" s="29"/>
      <c r="S47" s="28"/>
    </row>
    <row r="48">
      <c r="A48" s="25"/>
      <c r="B48" s="29"/>
      <c r="F48" s="15" t="s">
        <v>29</v>
      </c>
      <c r="G48" s="44" t="s">
        <v>50</v>
      </c>
      <c r="H48" s="27">
        <v>26.0</v>
      </c>
      <c r="I48" s="29"/>
      <c r="S48" s="28"/>
    </row>
    <row r="49">
      <c r="A49" s="25"/>
      <c r="B49" s="29"/>
      <c r="E49" s="27" t="s">
        <v>50</v>
      </c>
      <c r="F49" s="27">
        <v>86.0</v>
      </c>
      <c r="G49" s="29"/>
      <c r="S49" s="28"/>
    </row>
    <row r="50">
      <c r="A50" s="41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49"/>
    </row>
  </sheetData>
  <mergeCells count="15">
    <mergeCell ref="O1:P2"/>
    <mergeCell ref="Q1:S2"/>
    <mergeCell ref="G1:H2"/>
    <mergeCell ref="H9:H10"/>
    <mergeCell ref="H33:H34"/>
    <mergeCell ref="H45:H46"/>
    <mergeCell ref="A3:A26"/>
    <mergeCell ref="A27:A50"/>
    <mergeCell ref="A1:B2"/>
    <mergeCell ref="C1:D2"/>
    <mergeCell ref="E1:F2"/>
    <mergeCell ref="I1:J2"/>
    <mergeCell ref="K1:L2"/>
    <mergeCell ref="M1:N2"/>
    <mergeCell ref="H21:H22"/>
  </mergeCells>
  <drawing r:id="rId1"/>
</worksheet>
</file>