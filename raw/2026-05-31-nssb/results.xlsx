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" sheetId="1" r:id="rId5"/>
    <sheet state="visible" name="RR Groups" sheetId="2" r:id="rId6"/>
    <sheet state="visible" name="Schedule + Room Assignments" sheetId="3" r:id="rId7"/>
    <sheet state="visible" name="RR Scores" sheetId="4" r:id="rId8"/>
    <sheet state="visible" name="DE Seeding" sheetId="5" r:id="rId9"/>
    <sheet state="visible" name="DE Bracket" sheetId="6" r:id="rId10"/>
  </sheets>
  <definedNames/>
  <calcPr/>
</workbook>
</file>

<file path=xl/sharedStrings.xml><?xml version="1.0" encoding="utf-8"?>
<sst xmlns="http://schemas.openxmlformats.org/spreadsheetml/2006/main" count="491" uniqueCount="238">
  <si>
    <t>Teams</t>
  </si>
  <si>
    <t>Paid?</t>
  </si>
  <si>
    <t>Mira North</t>
  </si>
  <si>
    <t>Iolani</t>
  </si>
  <si>
    <t>Blair Clemens</t>
  </si>
  <si>
    <t>Galen A</t>
  </si>
  <si>
    <t>VMATHS</t>
  </si>
  <si>
    <t>ASFA</t>
  </si>
  <si>
    <t>(extension)</t>
  </si>
  <si>
    <t>School of Geology</t>
  </si>
  <si>
    <t>North Hollywood A</t>
  </si>
  <si>
    <t>North Hollywood B</t>
  </si>
  <si>
    <t>Niskayuna</t>
  </si>
  <si>
    <t>Morgantown</t>
  </si>
  <si>
    <t>Lexington</t>
  </si>
  <si>
    <t>Palo Alto</t>
  </si>
  <si>
    <t>Chicken Jockies</t>
  </si>
  <si>
    <t>Chibbles</t>
  </si>
  <si>
    <t>Hunter</t>
  </si>
  <si>
    <t>Interlake</t>
  </si>
  <si>
    <t>Edwin's Victims</t>
  </si>
  <si>
    <t>JP Stevens A</t>
  </si>
  <si>
    <t>JP Stevens B</t>
  </si>
  <si>
    <t>LE SSERAFIM</t>
  </si>
  <si>
    <t>North Allegheny</t>
  </si>
  <si>
    <t>Seven Lakes A</t>
  </si>
  <si>
    <t>Seven Lakes B</t>
  </si>
  <si>
    <t>code</t>
  </si>
  <si>
    <t>Bohr</t>
  </si>
  <si>
    <t>Round Robin Groups</t>
  </si>
  <si>
    <t>b1</t>
  </si>
  <si>
    <t>b2</t>
  </si>
  <si>
    <t>b3</t>
  </si>
  <si>
    <t>Curie</t>
  </si>
  <si>
    <t>Euler</t>
  </si>
  <si>
    <t>Feynman</t>
  </si>
  <si>
    <t>b4</t>
  </si>
  <si>
    <t>b5</t>
  </si>
  <si>
    <t>b6</t>
  </si>
  <si>
    <t>Lexington A</t>
  </si>
  <si>
    <t>c1</t>
  </si>
  <si>
    <t>c2</t>
  </si>
  <si>
    <t>c3</t>
  </si>
  <si>
    <t>c4</t>
  </si>
  <si>
    <t>c5</t>
  </si>
  <si>
    <t>c6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</si>
  <si>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</si>
  <si>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</si>
  <si>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</si>
  <si>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</si>
  <si>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</si>
  <si>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</si>
  <si>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</si>
  <si>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</si>
  <si>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</si>
  <si>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</si>
  <si>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</si>
  <si>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</si>
  <si>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roshanannamalaiisgoat</t>
  </si>
  <si>
    <t>Room</t>
  </si>
  <si>
    <t>RR 1</t>
  </si>
  <si>
    <t>RR 2</t>
  </si>
  <si>
    <t>RR 3</t>
  </si>
  <si>
    <t>RR 4</t>
  </si>
  <si>
    <t>RR 5</t>
  </si>
  <si>
    <t>Time (PDT)</t>
  </si>
  <si>
    <t>Event</t>
  </si>
  <si>
    <t>Bohr 1</t>
  </si>
  <si>
    <t>B1–B6</t>
  </si>
  <si>
    <t>B2–B3</t>
  </si>
  <si>
    <t>B5–B3</t>
  </si>
  <si>
    <t>B4–B2</t>
  </si>
  <si>
    <t>B3–B6</t>
  </si>
  <si>
    <t>7:45 - 8:00 AM</t>
  </si>
  <si>
    <t>Opening Ceremony</t>
  </si>
  <si>
    <t>Bohr 2</t>
  </si>
  <si>
    <t>B2–B5</t>
  </si>
  <si>
    <t>B6–B4</t>
  </si>
  <si>
    <t>B1–B4</t>
  </si>
  <si>
    <t>B5–B6</t>
  </si>
  <si>
    <t>B1–B2</t>
  </si>
  <si>
    <t>8:00 - 8:30 AM</t>
  </si>
  <si>
    <t>Round Robin 1</t>
  </si>
  <si>
    <t>Bohr 3</t>
  </si>
  <si>
    <t>B3–B4</t>
  </si>
  <si>
    <t>B1–B5</t>
  </si>
  <si>
    <t>B6–B2</t>
  </si>
  <si>
    <t>B1–B3</t>
  </si>
  <si>
    <t>B4–B5</t>
  </si>
  <si>
    <t>8:35-9:05 AM</t>
  </si>
  <si>
    <t>Round Robin 2</t>
  </si>
  <si>
    <t>Curie 1</t>
  </si>
  <si>
    <t>C1–C6</t>
  </si>
  <si>
    <t>C2–C3</t>
  </si>
  <si>
    <t>C5–C3</t>
  </si>
  <si>
    <t>C4–C2</t>
  </si>
  <si>
    <t>C3–C6</t>
  </si>
  <si>
    <t>9:10- 9:40 AM</t>
  </si>
  <si>
    <t>Round Robin 3</t>
  </si>
  <si>
    <t>Curie 2</t>
  </si>
  <si>
    <t>C2–C5</t>
  </si>
  <si>
    <t>C6–C4</t>
  </si>
  <si>
    <t>C1–C4</t>
  </si>
  <si>
    <t>C5–C6</t>
  </si>
  <si>
    <t>C1–C2</t>
  </si>
  <si>
    <t>9:45-10:15 AM</t>
  </si>
  <si>
    <t>Round Robin 4</t>
  </si>
  <si>
    <t>Curie 3</t>
  </si>
  <si>
    <t>C3–C4</t>
  </si>
  <si>
    <t>C1–C5</t>
  </si>
  <si>
    <t>C6–C2</t>
  </si>
  <si>
    <t>C1–C3</t>
  </si>
  <si>
    <t>C4–C5</t>
  </si>
  <si>
    <t>10:20-10:50 AM</t>
  </si>
  <si>
    <t>Round Robin 5</t>
  </si>
  <si>
    <t>Euler 1</t>
  </si>
  <si>
    <t>E1–E6</t>
  </si>
  <si>
    <t>E2–E3</t>
  </si>
  <si>
    <t>E5–E3</t>
  </si>
  <si>
    <t>E4–E2</t>
  </si>
  <si>
    <t>E3–E6</t>
  </si>
  <si>
    <t>10:55 - 11:55 AM</t>
  </si>
  <si>
    <t>Lunch Break</t>
  </si>
  <si>
    <t>Euler 2</t>
  </si>
  <si>
    <t>E2–E5</t>
  </si>
  <si>
    <t>E6–E4</t>
  </si>
  <si>
    <t>E1–E4</t>
  </si>
  <si>
    <t>E5–E6</t>
  </si>
  <si>
    <t>E1–E2</t>
  </si>
  <si>
    <t>12:00 - 12:30 PM</t>
  </si>
  <si>
    <t>Double Elimination 1</t>
  </si>
  <si>
    <t>Euler 3</t>
  </si>
  <si>
    <t>E3–E4</t>
  </si>
  <si>
    <t>E1–E5</t>
  </si>
  <si>
    <t>E6–E2</t>
  </si>
  <si>
    <t>E1–E3</t>
  </si>
  <si>
    <t>E4–E5</t>
  </si>
  <si>
    <t>12:35 - 1:05 PM</t>
  </si>
  <si>
    <t xml:space="preserve">Double Elimination 2 </t>
  </si>
  <si>
    <t>Feynman 1</t>
  </si>
  <si>
    <t>F1–F6</t>
  </si>
  <si>
    <t>F2–F3</t>
  </si>
  <si>
    <t>F5–F3</t>
  </si>
  <si>
    <t>F4–F2</t>
  </si>
  <si>
    <t>F3–F6</t>
  </si>
  <si>
    <t>1:10 - 1:40 PM</t>
  </si>
  <si>
    <t>Double Elimination 3</t>
  </si>
  <si>
    <t>Feynman 2</t>
  </si>
  <si>
    <t>F2–F5</t>
  </si>
  <si>
    <t>F6–F4</t>
  </si>
  <si>
    <t>F1–F4</t>
  </si>
  <si>
    <t>F5–F6</t>
  </si>
  <si>
    <t>F1–F2</t>
  </si>
  <si>
    <t>1:45 - 2:15 PM</t>
  </si>
  <si>
    <t xml:space="preserve">Double Elimination 4 </t>
  </si>
  <si>
    <t>Feynman 3</t>
  </si>
  <si>
    <t>F3–F4</t>
  </si>
  <si>
    <t>F1–F5</t>
  </si>
  <si>
    <t>F6–F2</t>
  </si>
  <si>
    <t>F1–F3</t>
  </si>
  <si>
    <t>F4–F5</t>
  </si>
  <si>
    <t>2:20 - 2:50 PM</t>
  </si>
  <si>
    <t xml:space="preserve">Double Elimination 5 </t>
  </si>
  <si>
    <t>2:55 - 3:25 PM</t>
  </si>
  <si>
    <t>Double Elimination 6</t>
  </si>
  <si>
    <t>3:30 - 4:00 PM</t>
  </si>
  <si>
    <t>Double Elimination 7</t>
  </si>
  <si>
    <t>4:05- 4:35 PM</t>
  </si>
  <si>
    <t>Double Elimination 8</t>
  </si>
  <si>
    <t>4:40-5:00 PM</t>
  </si>
  <si>
    <t>Closing Ceremony</t>
  </si>
  <si>
    <t>Wins</t>
  </si>
  <si>
    <t>Ties</t>
  </si>
  <si>
    <t>Losses</t>
  </si>
  <si>
    <t>Points</t>
  </si>
  <si>
    <t>PPG</t>
  </si>
  <si>
    <t>RR Score</t>
  </si>
  <si>
    <t>Team</t>
  </si>
  <si>
    <t>DE Seed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</si>
  <si>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</si>
  <si>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</si>
  <si>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</si>
  <si>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</si>
  <si>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</si>
  <si>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</si>
  <si>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</si>
  <si>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</si>
  <si>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</si>
  <si>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TIMES IN PST</t>
  </si>
  <si>
    <r>
      <rPr>
        <rFont val="Cambria"/>
        <b/>
        <sz val="15.0"/>
      </rPr>
      <t xml:space="preserve">Bracket from ISCBT 2: </t>
    </r>
    <r>
      <rPr>
        <rFont val="Cambria"/>
        <b/>
        <color rgb="FF1155CC"/>
        <sz val="15.0"/>
        <u/>
      </rPr>
      <t xml:space="preserve">ICSBT2 Tournament Hub </t>
    </r>
    <r>
      <rPr>
        <rFont val="Cambria"/>
        <b/>
        <sz val="15.0"/>
      </rPr>
      <t xml:space="preserve"> </t>
    </r>
  </si>
  <si>
    <t>Galen A 1</t>
  </si>
  <si>
    <t>Room 1</t>
  </si>
  <si>
    <t>ROOM 1</t>
  </si>
  <si>
    <t>Interlake 16</t>
  </si>
  <si>
    <t xml:space="preserve">School of Geology </t>
  </si>
  <si>
    <t>SOG</t>
  </si>
  <si>
    <t>Mira North 8</t>
  </si>
  <si>
    <t>Noho B</t>
  </si>
  <si>
    <t>DE Room 2</t>
  </si>
  <si>
    <t>ROOM 2</t>
  </si>
  <si>
    <t>School of Geology 9</t>
  </si>
  <si>
    <t>STAGE 1</t>
  </si>
  <si>
    <t>North Hollywood B 4</t>
  </si>
  <si>
    <t>DE Room 3</t>
  </si>
  <si>
    <t>ROOM 3</t>
  </si>
  <si>
    <t>Noho A</t>
  </si>
  <si>
    <t>North Allegheny 13</t>
  </si>
  <si>
    <t>Chibbles 5</t>
  </si>
  <si>
    <t>Blair Clemens 3</t>
  </si>
  <si>
    <t>DE Room 4</t>
  </si>
  <si>
    <t>ROOM 4</t>
  </si>
  <si>
    <t>Palo Alto 12</t>
  </si>
  <si>
    <t>Winners!</t>
  </si>
  <si>
    <t>ASFA 2</t>
  </si>
  <si>
    <t>DE Room 5</t>
  </si>
  <si>
    <t>Seven Lakes A 15</t>
  </si>
  <si>
    <t>North Hollywood A 7</t>
  </si>
  <si>
    <t>DE Room 6</t>
  </si>
  <si>
    <t>Edwin's Victims 10</t>
  </si>
  <si>
    <t>ROOM 5</t>
  </si>
  <si>
    <t>DE Room 7</t>
  </si>
  <si>
    <t>Lexington A 14</t>
  </si>
  <si>
    <t>VMATHS 6</t>
  </si>
  <si>
    <t>DE Room 8</t>
  </si>
  <si>
    <t>VMaths</t>
  </si>
  <si>
    <t>Iolani 11</t>
  </si>
  <si>
    <t>STAGE 2</t>
  </si>
  <si>
    <t>ROOM 6</t>
  </si>
  <si>
    <t>ROOM 7</t>
  </si>
  <si>
    <t>ROOM 8</t>
  </si>
  <si>
    <t>DE1</t>
  </si>
  <si>
    <t>DE2</t>
  </si>
  <si>
    <t>DE3</t>
  </si>
  <si>
    <t>DE4</t>
  </si>
  <si>
    <t>DE5</t>
  </si>
  <si>
    <t>DE6</t>
  </si>
  <si>
    <t>DE7</t>
  </si>
  <si>
    <t>DE8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</si>
</sst>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0.0000"/>
    <numFmt numFmtId="166" formatCode="0.000"/>
  </numFmts>
  <fonts count="18">
    <font>
      <sz val="10.0"/>
      <color rgb="FF000000"/>
      <name val="Arial"/>
      <scheme val="minor"/>
    </font>
    <font>
      <color theme="1"/>
      <name val="Cambria Math"/>
    </font>
    <font>
      <sz val="25.0"/>
      <color theme="1"/>
      <name val="Cambria Math"/>
    </font>
    <font>
      <b/>
      <color theme="1"/>
      <name val="Cambria Math"/>
    </font>
    <font>
      <color theme="1"/>
      <name val="Arial"/>
      <scheme val="minor"/>
    </font>
    <font>
      <b/>
      <color theme="1"/>
      <name val="Cambria"/>
    </font>
    <font/>
    <font>
      <color theme="1"/>
      <name val="Cambria"/>
    </font>
    <font>
      <sz val="48.0"/>
      <color theme="1"/>
      <name val="Cambria"/>
    </font>
    <font>
      <color theme="1"/>
      <name val="Arial"/>
    </font>
    <font>
      <sz val="10.0"/>
      <color rgb="FF000000"/>
      <name val="Cambria"/>
    </font>
    <font>
      <sz val="12.0"/>
      <color rgb="FF000000"/>
      <name val="Cambria"/>
    </font>
    <font>
      <color rgb="FF000000"/>
      <name val="Cambria Math"/>
    </font>
    <font>
      <sz val="15.0"/>
      <color theme="1"/>
      <name val="Cambria"/>
    </font>
    <font>
      <b/>
      <sz val="15.0"/>
      <color rgb="FFF1C232"/>
      <name val="Cambria"/>
    </font>
    <font>
      <b/>
      <u/>
      <sz val="15.0"/>
      <color rgb="FF0000FF"/>
      <name val="Cambria"/>
    </font>
    <font>
      <color rgb="FFFFFFFF"/>
      <name val="Cambria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</fills>
  <borders count="20">
    <border/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3" fillId="2" fontId="5" numFmtId="0" xfId="0" applyAlignment="1" applyBorder="1" applyFill="1" applyFont="1">
      <alignment horizontal="center" readingOrder="0" vertical="bottom"/>
    </xf>
    <xf borderId="4" fillId="2" fontId="5" numFmtId="0" xfId="0" applyAlignment="1" applyBorder="1" applyFill="1" applyFont="1">
      <alignment horizontal="center" readingOrder="0" vertical="bottom"/>
    </xf>
    <xf borderId="5" fillId="0" fontId="6" numFmtId="0" xfId="0" applyBorder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7" numFmtId="0" xfId="0" applyFont="1"/>
    <xf borderId="6" fillId="2" fontId="7" numFmtId="0" xfId="0" applyAlignment="1" applyBorder="1" applyFill="1" applyFont="1">
      <alignment horizontal="center" readingOrder="0" vertical="bottom"/>
    </xf>
    <xf borderId="0" fillId="2" fontId="7" numFmtId="0" xfId="0" applyAlignment="1" applyFill="1" applyFont="1">
      <alignment readingOrder="0" vertical="bottom"/>
    </xf>
    <xf borderId="7" fillId="2" fontId="7" numFmtId="0" xfId="0" applyAlignment="1" applyBorder="1" applyFill="1" applyFont="1">
      <alignment vertical="bottom"/>
    </xf>
    <xf borderId="8" fillId="2" fontId="7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/>
    </xf>
    <xf borderId="9" fillId="2" fontId="7" numFmtId="0" xfId="0" applyAlignment="1" applyBorder="1" applyFill="1" applyFont="1">
      <alignment horizontal="center" vertical="bottom"/>
    </xf>
    <xf borderId="10" fillId="2" fontId="7" numFmtId="0" xfId="0" applyAlignment="1" applyBorder="1" applyFill="1" applyFont="1">
      <alignment readingOrder="0" vertical="bottom"/>
    </xf>
    <xf borderId="11" fillId="2" fontId="7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3" fillId="3" fontId="5" numFmtId="0" xfId="0" applyAlignment="1" applyBorder="1" applyFill="1" applyFont="1">
      <alignment horizontal="center" readingOrder="0" vertical="bottom"/>
    </xf>
    <xf borderId="4" fillId="3" fontId="5" numFmtId="0" xfId="0" applyAlignment="1" applyBorder="1" applyFill="1" applyFont="1">
      <alignment horizontal="center" readingOrder="0" vertical="bottom"/>
    </xf>
    <xf borderId="6" fillId="3" fontId="7" numFmtId="0" xfId="0" applyAlignment="1" applyBorder="1" applyFill="1" applyFont="1">
      <alignment horizontal="center" vertical="bottom"/>
    </xf>
    <xf borderId="0" fillId="3" fontId="7" numFmtId="0" xfId="0" applyAlignment="1" applyFill="1" applyFont="1">
      <alignment readingOrder="0" vertical="bottom"/>
    </xf>
    <xf borderId="7" fillId="3" fontId="7" numFmtId="0" xfId="0" applyAlignment="1" applyBorder="1" applyFill="1" applyFont="1">
      <alignment vertical="bottom"/>
    </xf>
    <xf borderId="10" fillId="0" fontId="7" numFmtId="0" xfId="0" applyAlignment="1" applyBorder="1" applyFont="1">
      <alignment readingOrder="0" vertical="bottom"/>
    </xf>
    <xf borderId="8" fillId="3" fontId="7" numFmtId="0" xfId="0" applyAlignment="1" applyBorder="1" applyFill="1" applyFont="1">
      <alignment horizontal="center" vertical="bottom"/>
    </xf>
    <xf borderId="7" fillId="3" fontId="7" numFmtId="0" xfId="0" applyAlignment="1" applyBorder="1" applyFill="1" applyFont="1">
      <alignment readingOrder="0" vertical="bottom"/>
    </xf>
    <xf borderId="9" fillId="3" fontId="7" numFmtId="0" xfId="0" applyAlignment="1" applyBorder="1" applyFill="1" applyFont="1">
      <alignment horizontal="center" vertical="bottom"/>
    </xf>
    <xf borderId="10" fillId="3" fontId="7" numFmtId="0" xfId="0" applyAlignment="1" applyBorder="1" applyFill="1" applyFont="1">
      <alignment readingOrder="0" vertical="bottom"/>
    </xf>
    <xf borderId="11" fillId="3" fontId="7" numFmtId="0" xfId="0" applyAlignment="1" applyBorder="1" applyFill="1" applyFont="1">
      <alignment vertical="bottom"/>
    </xf>
    <xf borderId="3" fillId="4" fontId="5" numFmtId="0" xfId="0" applyAlignment="1" applyBorder="1" applyFill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vertical="bottom"/>
    </xf>
    <xf borderId="6" fillId="4" fontId="7" numFmtId="0" xfId="0" applyAlignment="1" applyBorder="1" applyFill="1" applyFont="1">
      <alignment horizontal="center" vertical="bottom"/>
    </xf>
    <xf borderId="0" fillId="4" fontId="7" numFmtId="0" xfId="0" applyAlignment="1" applyFill="1" applyFont="1">
      <alignment readingOrder="0" vertical="bottom"/>
    </xf>
    <xf borderId="7" fillId="4" fontId="7" numFmtId="0" xfId="0" applyAlignment="1" applyBorder="1" applyFill="1" applyFont="1">
      <alignment vertical="bottom"/>
    </xf>
    <xf borderId="8" fillId="4" fontId="7" numFmtId="0" xfId="0" applyAlignment="1" applyBorder="1" applyFill="1" applyFont="1">
      <alignment horizontal="center" vertical="bottom"/>
    </xf>
    <xf borderId="9" fillId="4" fontId="7" numFmtId="0" xfId="0" applyAlignment="1" applyBorder="1" applyFill="1" applyFont="1">
      <alignment horizontal="center" vertical="bottom"/>
    </xf>
    <xf borderId="10" fillId="4" fontId="7" numFmtId="0" xfId="0" applyAlignment="1" applyBorder="1" applyFill="1" applyFont="1">
      <alignment readingOrder="0" vertical="bottom"/>
    </xf>
    <xf borderId="11" fillId="4" fontId="7" numFmtId="0" xfId="0" applyAlignment="1" applyBorder="1" applyFill="1" applyFont="1">
      <alignment readingOrder="0" vertical="bottom"/>
    </xf>
    <xf borderId="3" fillId="5" fontId="5" numFmtId="0" xfId="0" applyAlignment="1" applyBorder="1" applyFill="1" applyFont="1">
      <alignment horizontal="center" readingOrder="0" vertical="bottom"/>
    </xf>
    <xf borderId="4" fillId="5" fontId="5" numFmtId="0" xfId="0" applyAlignment="1" applyBorder="1" applyFill="1" applyFont="1">
      <alignment horizontal="center" readingOrder="0" vertical="bottom"/>
    </xf>
    <xf borderId="6" fillId="5" fontId="7" numFmtId="0" xfId="0" applyAlignment="1" applyBorder="1" applyFill="1" applyFont="1">
      <alignment horizontal="center" vertical="bottom"/>
    </xf>
    <xf borderId="0" fillId="5" fontId="7" numFmtId="0" xfId="0" applyAlignment="1" applyFill="1" applyFont="1">
      <alignment readingOrder="0" vertical="bottom"/>
    </xf>
    <xf borderId="7" fillId="5" fontId="7" numFmtId="0" xfId="0" applyAlignment="1" applyBorder="1" applyFill="1" applyFont="1">
      <alignment vertical="bottom"/>
    </xf>
    <xf borderId="8" fillId="5" fontId="7" numFmtId="0" xfId="0" applyAlignment="1" applyBorder="1" applyFill="1" applyFont="1">
      <alignment horizontal="center" vertical="bottom"/>
    </xf>
    <xf borderId="9" fillId="5" fontId="7" numFmtId="0" xfId="0" applyAlignment="1" applyBorder="1" applyFill="1" applyFont="1">
      <alignment horizontal="center" readingOrder="0" vertical="bottom"/>
    </xf>
    <xf borderId="10" fillId="5" fontId="7" numFmtId="0" xfId="0" applyAlignment="1" applyBorder="1" applyFill="1" applyFont="1">
      <alignment readingOrder="0" vertical="bottom"/>
    </xf>
    <xf borderId="11" fillId="5" fontId="7" numFmtId="0" xfId="0" applyAlignment="1" applyBorder="1" applyFill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1" numFmtId="0" xfId="0" applyFont="1"/>
    <xf borderId="2" fillId="0" fontId="3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2" fontId="9" numFmtId="0" xfId="0" applyAlignment="1" applyFill="1" applyFont="1">
      <alignment vertical="bottom"/>
    </xf>
    <xf borderId="0" fillId="0" fontId="7" numFmtId="0" xfId="0" applyAlignment="1" applyFont="1">
      <alignment shrinkToFit="0" vertical="bottom" wrapText="1"/>
    </xf>
    <xf borderId="0" fillId="6" fontId="1" numFmtId="0" xfId="0" applyAlignment="1" applyFill="1" applyFont="1">
      <alignment readingOrder="0"/>
    </xf>
    <xf borderId="0" fillId="6" fontId="9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0" fillId="3" fontId="9" numFmtId="0" xfId="0" applyAlignment="1" applyFill="1" applyFont="1">
      <alignment vertical="bottom"/>
    </xf>
    <xf borderId="0" fillId="4" fontId="1" numFmtId="0" xfId="0" applyAlignment="1" applyFill="1" applyFont="1">
      <alignment readingOrder="0"/>
    </xf>
    <xf borderId="0" fillId="4" fontId="9" numFmtId="0" xfId="0" applyAlignment="1" applyFill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12" fillId="2" fontId="3" numFmtId="0" xfId="0" applyAlignment="1" applyBorder="1" applyFill="1" applyFont="1">
      <alignment horizontal="center" readingOrder="0"/>
    </xf>
    <xf borderId="13" fillId="0" fontId="6" numFmtId="0" xfId="0" applyBorder="1" applyFont="1"/>
    <xf borderId="14" fillId="0" fontId="6" numFmtId="0" xfId="0" applyBorder="1" applyFont="1"/>
    <xf borderId="15" fillId="0" fontId="1" numFmtId="0" xfId="0" applyAlignment="1" applyBorder="1" applyFont="1">
      <alignment horizontal="center"/>
    </xf>
    <xf borderId="12" fillId="0" fontId="7" numFmtId="0" xfId="0" applyAlignment="1" applyBorder="1" applyFont="1">
      <alignment readingOrder="0" vertical="bottom"/>
    </xf>
    <xf borderId="13" fillId="0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readingOrder="0" vertical="bottom"/>
    </xf>
    <xf borderId="13" fillId="7" fontId="3" numFmtId="0" xfId="0" applyAlignment="1" applyBorder="1" applyFill="1" applyFont="1">
      <alignment horizontal="center" readingOrder="0"/>
    </xf>
    <xf borderId="13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6" fillId="0" fontId="7" numFmtId="0" xfId="0" applyAlignment="1" applyBorder="1" applyFont="1">
      <alignment readingOrder="0" vertical="bottom"/>
    </xf>
    <xf borderId="0" fillId="8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0" fillId="7" fontId="1" numFmtId="0" xfId="0" applyAlignment="1" applyFill="1" applyFont="1">
      <alignment horizontal="center" vertical="bottom"/>
    </xf>
    <xf borderId="7" fillId="7" fontId="1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horizontal="center"/>
    </xf>
    <xf borderId="17" fillId="9" fontId="1" numFmtId="165" xfId="0" applyAlignment="1" applyBorder="1" applyFill="1" applyFont="1" applyNumberFormat="1">
      <alignment horizontal="center" readingOrder="0"/>
    </xf>
    <xf borderId="18" fillId="0" fontId="7" numFmtId="0" xfId="0" applyAlignment="1" applyBorder="1" applyFont="1">
      <alignment readingOrder="0" vertical="bottom"/>
    </xf>
    <xf borderId="17" fillId="7" fontId="1" numFmtId="0" xfId="0" applyAlignment="1" applyBorder="1" applyFill="1" applyFont="1">
      <alignment horizontal="center" readingOrder="0"/>
    </xf>
    <xf borderId="19" fillId="0" fontId="7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/>
    </xf>
    <xf borderId="10" fillId="7" fontId="1" numFmtId="0" xfId="0" applyAlignment="1" applyBorder="1" applyFill="1" applyFont="1">
      <alignment horizontal="center" vertical="bottom"/>
    </xf>
    <xf borderId="11" fillId="7" fontId="1" numFmtId="0" xfId="0" applyAlignment="1" applyBorder="1" applyFill="1" applyFont="1">
      <alignment horizontal="center" vertical="bottom"/>
    </xf>
    <xf borderId="2" fillId="9" fontId="1" numFmtId="0" xfId="0" applyAlignment="1" applyBorder="1" applyFill="1" applyFont="1">
      <alignment horizontal="center"/>
    </xf>
    <xf borderId="1" fillId="9" fontId="1" numFmtId="165" xfId="0" applyAlignment="1" applyBorder="1" applyFill="1" applyFont="1" applyNumberFormat="1">
      <alignment horizontal="center" readingOrder="0"/>
    </xf>
    <xf borderId="0" fillId="7" fontId="1" numFmtId="0" xfId="0" applyAlignment="1" applyFill="1" applyFont="1">
      <alignment horizontal="center"/>
    </xf>
    <xf borderId="12" fillId="6" fontId="3" numFmtId="0" xfId="0" applyAlignment="1" applyBorder="1" applyFill="1" applyFont="1">
      <alignment horizontal="center" readingOrder="0"/>
    </xf>
    <xf borderId="16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2" fillId="7" fontId="3" numFmtId="0" xfId="0" applyAlignment="1" applyBorder="1" applyFill="1" applyFont="1">
      <alignment horizontal="center" readingOrder="0"/>
    </xf>
    <xf borderId="0" fillId="9" fontId="1" numFmtId="166" xfId="0" applyAlignment="1" applyFill="1" applyFont="1" applyNumberFormat="1">
      <alignment horizontal="center"/>
    </xf>
    <xf borderId="0" fillId="7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horizontal="center" readingOrder="0"/>
    </xf>
    <xf borderId="10" fillId="7" fontId="1" numFmtId="0" xfId="0" applyAlignment="1" applyBorder="1" applyFill="1" applyFont="1">
      <alignment horizontal="center" readingOrder="0" vertical="bottom"/>
    </xf>
    <xf borderId="2" fillId="9" fontId="1" numFmtId="0" xfId="0" applyAlignment="1" applyBorder="1" applyFill="1" applyFont="1">
      <alignment horizontal="center" readingOrder="0"/>
    </xf>
    <xf borderId="12" fillId="3" fontId="3" numFmtId="0" xfId="0" applyAlignment="1" applyBorder="1" applyFill="1" applyFont="1">
      <alignment horizontal="center" readingOrder="0"/>
    </xf>
    <xf borderId="12" fillId="4" fontId="3" numFmtId="0" xfId="0" applyAlignment="1" applyBorder="1" applyFill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1" fillId="8" fontId="12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8" fontId="9" numFmtId="0" xfId="0" applyAlignment="1" applyFill="1" applyFont="1">
      <alignment vertical="bottom"/>
    </xf>
    <xf borderId="0" fillId="0" fontId="4" numFmtId="0" xfId="0" applyFont="1"/>
    <xf borderId="0" fillId="10" fontId="1" numFmtId="0" xfId="0" applyFill="1" applyFont="1"/>
    <xf borderId="2" fillId="10" fontId="3" numFmtId="0" xfId="0" applyAlignment="1" applyBorder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1" numFmtId="165" xfId="0" applyFill="1" applyFont="1" applyNumberFormat="1"/>
    <xf borderId="0" fillId="10" fontId="1" numFmtId="0" xfId="0" applyAlignment="1" applyFill="1" applyFont="1">
      <alignment readingOrder="0"/>
    </xf>
    <xf borderId="0" fillId="8" fontId="1" numFmtId="0" xfId="0" applyFill="1" applyFont="1"/>
    <xf borderId="0" fillId="8" fontId="1" numFmtId="165" xfId="0" applyFill="1" applyFont="1" applyNumberFormat="1"/>
    <xf borderId="0" fillId="11" fontId="1" numFmtId="0" xfId="0" applyFill="1" applyFont="1"/>
    <xf borderId="0" fillId="11" fontId="1" numFmtId="165" xfId="0" applyFill="1" applyFont="1" applyNumberFormat="1"/>
    <xf borderId="0" fillId="11" fontId="1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12" fillId="0" fontId="13" numFmtId="0" xfId="0" applyAlignment="1" applyBorder="1" applyFont="1">
      <alignment readingOrder="0" vertical="bottom"/>
    </xf>
    <xf borderId="13" fillId="0" fontId="13" numFmtId="0" xfId="0" applyAlignment="1" applyBorder="1" applyFont="1">
      <alignment readingOrder="0" vertical="bottom"/>
    </xf>
    <xf borderId="14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12" fontId="9" numFmtId="0" xfId="0" applyAlignment="1" applyFill="1" applyFont="1">
      <alignment readingOrder="0" vertical="bottom"/>
    </xf>
    <xf borderId="0" fillId="13" fontId="9" numFmtId="0" xfId="0" applyAlignment="1" applyFill="1" applyFont="1">
      <alignment vertical="bottom"/>
    </xf>
    <xf borderId="0" fillId="13" fontId="9" numFmtId="0" xfId="0" applyAlignment="1" applyFill="1" applyFont="1">
      <alignment readingOrder="0" vertical="bottom"/>
    </xf>
    <xf borderId="0" fillId="13" fontId="9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9" fontId="9" numFmtId="0" xfId="0" applyAlignment="1" applyFill="1" applyFont="1">
      <alignment vertical="bottom"/>
    </xf>
    <xf borderId="0" fillId="9" fontId="9" numFmtId="0" xfId="0" applyAlignment="1" applyFill="1" applyFont="1">
      <alignment vertical="bottom"/>
    </xf>
    <xf borderId="0" fillId="12" fontId="7" numFmtId="0" xfId="0" applyAlignment="1" applyFill="1" applyFont="1">
      <alignment horizontal="left" readingOrder="0" vertical="bottom"/>
    </xf>
    <xf borderId="0" fillId="12" fontId="7" numFmtId="0" xfId="0" applyAlignment="1" applyFill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9" fontId="9" numFmtId="0" xfId="0" applyAlignment="1" applyFill="1" applyFont="1">
      <alignment readingOrder="0" vertical="bottom"/>
    </xf>
    <xf borderId="0" fillId="12" fontId="9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13" fontId="16" numFmtId="0" xfId="0" applyAlignment="1" applyFill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13" fontId="16" numFmtId="0" xfId="0" applyAlignment="1" applyFill="1" applyFont="1">
      <alignment horizontal="right" readingOrder="0" vertical="bottom"/>
    </xf>
    <xf borderId="0" fillId="13" fontId="16" numFmtId="0" xfId="0" applyAlignment="1" applyFill="1" applyFont="1">
      <alignment horizontal="center" readingOrder="0" vertical="bottom"/>
    </xf>
    <xf borderId="0" fillId="13" fontId="16" numFmtId="0" xfId="0" applyAlignment="1" applyFill="1" applyFont="1">
      <alignment horizontal="right" vertical="bottom"/>
    </xf>
    <xf borderId="0" fillId="0" fontId="9" numFmtId="165" xfId="0" applyAlignment="1" applyFont="1" applyNumberFormat="1">
      <alignment vertical="bottom"/>
    </xf>
    <xf borderId="0" fillId="13" fontId="16" numFmtId="165" xfId="0" applyAlignment="1" applyFill="1" applyFont="1" applyNumberFormat="1">
      <alignment horizontal="right" readingOrder="0" vertical="bottom"/>
    </xf>
    <xf borderId="0" fillId="13" fontId="9" numFmtId="165" xfId="0" applyAlignment="1" applyFill="1" applyFont="1" applyNumberFormat="1">
      <alignment vertical="bottom"/>
    </xf>
    <xf borderId="0" fillId="13" fontId="16" numFmtId="0" xfId="0" applyAlignment="1" applyFill="1" applyFont="1">
      <alignment horizontal="center" vertical="bottom"/>
    </xf>
    <xf borderId="0" fillId="13" fontId="16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pzth5l9JiNwdXNbkZcg76Tc1fol22Jl9mq6xBOGksw/edit?gid=204270256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  <col customWidth="1" min="3" max="3" width="13.5"/>
    <col customWidth="1" min="5" max="5" width="16.0"/>
    <col customWidth="1" min="6" max="6" width="13.38"/>
    <col customWidth="1" min="7" max="7" width="17.88"/>
    <col customWidth="1" min="8" max="8" width="17.75"/>
    <col customWidth="1" min="9" max="9" width="15.63"/>
    <col customWidth="1" min="10" max="10" width="14.63"/>
  </cols>
  <sheetData>
    <row r="1">
      <c r="A1" s="1"/>
      <c r="B1" s="2"/>
      <c r="C1" s="2"/>
      <c r="D1" s="3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5" t="s">
        <v>0</v>
      </c>
      <c r="C2" s="6" t="s">
        <v>1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/>
      <c r="B3" s="1" t="s">
        <v>2</v>
      </c>
      <c r="C3" s="1" t="b">
        <v>1</v>
      </c>
      <c r="D3" s="7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/>
      <c r="B4" s="1" t="s">
        <v>3</v>
      </c>
      <c r="C4" s="1" t="b">
        <v>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/>
      <c r="B5" s="1" t="s">
        <v>4</v>
      </c>
      <c r="C5" s="1" t="b">
        <v>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/>
      <c r="B6" s="1" t="s">
        <v>5</v>
      </c>
      <c r="C6" s="1" t="b">
        <v>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"/>
      <c r="B7" s="1" t="s">
        <v>6</v>
      </c>
      <c r="C7" s="1" t="b">
        <v>1</v>
      </c>
      <c r="M7" s="2"/>
      <c r="N7" s="2"/>
      <c r="O7" s="2"/>
      <c r="P7" s="2"/>
      <c r="Q7" s="2"/>
      <c r="R7" s="2"/>
      <c r="S7" s="2"/>
      <c r="T7" s="2"/>
    </row>
    <row r="8">
      <c r="A8" s="2"/>
      <c r="B8" s="1" t="s">
        <v>7</v>
      </c>
      <c r="C8" s="1" t="b">
        <v>0</v>
      </c>
      <c r="D8" s="8" t="s">
        <v>8</v>
      </c>
      <c r="K8" s="2"/>
      <c r="L8" s="2"/>
      <c r="M8" s="2"/>
      <c r="N8" s="2"/>
      <c r="O8" s="2"/>
      <c r="P8" s="2"/>
      <c r="Q8" s="2"/>
      <c r="R8" s="2"/>
    </row>
    <row r="9">
      <c r="A9" s="2"/>
      <c r="B9" s="1" t="s">
        <v>9</v>
      </c>
      <c r="C9" s="1" t="b">
        <v>0</v>
      </c>
      <c r="K9" s="2"/>
      <c r="L9" s="2"/>
      <c r="M9" s="2"/>
      <c r="N9" s="2"/>
      <c r="O9" s="2"/>
      <c r="P9" s="2"/>
      <c r="Q9" s="2"/>
      <c r="R9" s="2"/>
    </row>
    <row r="10">
      <c r="A10" s="2"/>
      <c r="B10" s="1" t="s">
        <v>10</v>
      </c>
      <c r="C10" s="1" t="b">
        <v>1</v>
      </c>
      <c r="K10" s="2"/>
      <c r="L10" s="2"/>
      <c r="M10" s="2"/>
      <c r="N10" s="2"/>
      <c r="O10" s="2"/>
      <c r="P10" s="2"/>
      <c r="Q10" s="2"/>
      <c r="R10" s="2"/>
    </row>
    <row r="11">
      <c r="A11" s="1"/>
      <c r="B11" s="1" t="s">
        <v>11</v>
      </c>
      <c r="C11" s="1" t="b">
        <v>1</v>
      </c>
      <c r="K11" s="2"/>
      <c r="L11" s="2"/>
      <c r="M11" s="2"/>
      <c r="N11" s="2"/>
      <c r="O11" s="2"/>
      <c r="P11" s="2"/>
      <c r="Q11" s="2"/>
      <c r="R11" s="2"/>
    </row>
    <row r="12">
      <c r="A12" s="1"/>
      <c r="B12" s="1" t="s">
        <v>12</v>
      </c>
      <c r="C12" s="1" t="b">
        <v>1</v>
      </c>
      <c r="K12" s="2"/>
      <c r="L12" s="2"/>
      <c r="M12" s="2"/>
      <c r="N12" s="2"/>
      <c r="O12" s="2"/>
      <c r="P12" s="2"/>
      <c r="Q12" s="2"/>
      <c r="R12" s="2"/>
    </row>
    <row r="13">
      <c r="A13" s="1"/>
      <c r="B13" s="1" t="s">
        <v>13</v>
      </c>
      <c r="C13" s="1" t="b">
        <v>1</v>
      </c>
      <c r="K13" s="2"/>
      <c r="L13" s="2"/>
      <c r="M13" s="2"/>
      <c r="N13" s="2"/>
      <c r="O13" s="2"/>
      <c r="P13" s="2"/>
      <c r="Q13" s="2"/>
      <c r="R13" s="2"/>
    </row>
    <row r="14">
      <c r="A14" s="2"/>
      <c r="B14" s="1" t="s">
        <v>14</v>
      </c>
      <c r="C14" s="1" t="b">
        <v>0</v>
      </c>
      <c r="D14" s="7" t="s">
        <v>8</v>
      </c>
      <c r="J14" s="2"/>
      <c r="K14" s="2"/>
      <c r="L14" s="2"/>
    </row>
    <row r="15">
      <c r="A15" s="2"/>
      <c r="B15" s="1" t="s">
        <v>15</v>
      </c>
      <c r="C15" s="1" t="b">
        <v>1</v>
      </c>
      <c r="D15" s="9"/>
      <c r="E15" s="2"/>
      <c r="F15" s="2"/>
      <c r="G15" s="2"/>
      <c r="H15" s="2"/>
      <c r="I15" s="2"/>
      <c r="J15" s="2"/>
      <c r="K15" s="2"/>
      <c r="L15" s="2"/>
    </row>
    <row r="16">
      <c r="A16" s="2"/>
      <c r="B16" s="1" t="s">
        <v>16</v>
      </c>
      <c r="C16" s="1" t="b">
        <v>1</v>
      </c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1" t="s">
        <v>17</v>
      </c>
      <c r="C17" s="1" t="b">
        <v>1</v>
      </c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1" t="s">
        <v>18</v>
      </c>
      <c r="C18" s="1" t="b">
        <v>1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1" t="s">
        <v>19</v>
      </c>
      <c r="C19" s="1" t="b">
        <v>1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1" t="s">
        <v>20</v>
      </c>
      <c r="C20" s="1" t="b">
        <v>1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" t="s">
        <v>21</v>
      </c>
      <c r="C21" s="1" t="b">
        <v>1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1" t="s">
        <v>22</v>
      </c>
      <c r="C22" s="1" t="b">
        <v>1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1" t="s">
        <v>23</v>
      </c>
      <c r="C23" s="1" t="b">
        <v>1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1" t="s">
        <v>24</v>
      </c>
      <c r="C24" s="1" t="b">
        <v>1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1" t="s">
        <v>25</v>
      </c>
      <c r="C25" s="1" t="b">
        <v>1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1" t="s">
        <v>26</v>
      </c>
      <c r="C26" s="1" t="b">
        <v>1</v>
      </c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1"/>
      <c r="C27" s="1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1"/>
      <c r="C28" s="1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1"/>
      <c r="C29" s="1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1"/>
      <c r="C30" s="1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1"/>
      <c r="B31" s="1"/>
      <c r="C31" s="1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1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1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1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1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1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1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1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1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1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1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1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1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1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1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1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1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1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1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1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1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1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3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3"/>
      <c r="M985" s="2"/>
      <c r="N985" s="2"/>
      <c r="O985" s="2"/>
      <c r="P985" s="2"/>
      <c r="Q985" s="2"/>
      <c r="R985" s="2"/>
      <c r="S985" s="2"/>
      <c r="T985" s="2"/>
    </row>
    <row r="986">
      <c r="A986" s="2"/>
      <c r="D986" s="3"/>
      <c r="M986" s="2"/>
      <c r="N986" s="2"/>
      <c r="O986" s="2"/>
      <c r="P986" s="2"/>
      <c r="Q986" s="2"/>
      <c r="R986" s="2"/>
      <c r="S986" s="2"/>
      <c r="T986" s="2"/>
    </row>
    <row r="987">
      <c r="A987" s="2"/>
      <c r="D987" s="3"/>
      <c r="M987" s="2"/>
      <c r="N987" s="2"/>
      <c r="O987" s="2"/>
      <c r="P987" s="2"/>
      <c r="Q987" s="2"/>
      <c r="R987" s="2"/>
      <c r="S987" s="2"/>
      <c r="T987" s="2"/>
    </row>
    <row r="988">
      <c r="A988" s="2"/>
      <c r="D988" s="3"/>
      <c r="M988" s="2"/>
      <c r="N988" s="2"/>
      <c r="O988" s="2"/>
      <c r="P988" s="2"/>
      <c r="Q988" s="2"/>
      <c r="R988" s="2"/>
      <c r="S988" s="2"/>
      <c r="T988" s="2"/>
    </row>
    <row r="989">
      <c r="M989" s="2"/>
      <c r="N989" s="2"/>
      <c r="O989" s="2"/>
      <c r="P989" s="2"/>
      <c r="Q989" s="2"/>
      <c r="R989" s="2"/>
      <c r="S989" s="2"/>
      <c r="T989" s="2"/>
    </row>
    <row r="990">
      <c r="M990" s="2"/>
      <c r="N990" s="2"/>
      <c r="O990" s="2"/>
      <c r="P990" s="2"/>
      <c r="Q990" s="2"/>
      <c r="R990" s="2"/>
      <c r="S990" s="2"/>
      <c r="T99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5.88"/>
    <col customWidth="1" min="7" max="7" width="15.5"/>
    <col customWidth="1" min="8" max="8" width="16.25"/>
    <col customWidth="1" min="9" max="9" width="17.88"/>
    <col customWidth="1" min="10" max="10" width="10.0"/>
    <col customWidth="1" min="11" max="11" width="1.13"/>
  </cols>
  <sheetData>
    <row r="1">
      <c r="A1" s="10" t="s">
        <v>27</v>
      </c>
      <c r="B1" s="11" t="s">
        <v>28</v>
      </c>
      <c r="C1" s="12"/>
      <c r="D1" s="13"/>
      <c r="E1" s="14" t="s">
        <v>29</v>
      </c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30</v>
      </c>
      <c r="B2" s="17" t="s">
        <v>6</v>
      </c>
      <c r="C2" s="18"/>
      <c r="D2" s="13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31</v>
      </c>
      <c r="B3" s="17" t="s">
        <v>24</v>
      </c>
      <c r="C3" s="18"/>
      <c r="D3" s="13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32</v>
      </c>
      <c r="B4" s="17" t="s">
        <v>13</v>
      </c>
      <c r="C4" s="18"/>
      <c r="D4" s="13"/>
      <c r="E4" s="15"/>
      <c r="F4" s="20" t="s">
        <v>28</v>
      </c>
      <c r="G4" s="20" t="s">
        <v>33</v>
      </c>
      <c r="H4" s="20" t="s">
        <v>34</v>
      </c>
      <c r="I4" s="20" t="s">
        <v>35</v>
      </c>
      <c r="J4" s="2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36</v>
      </c>
      <c r="B5" s="17" t="s">
        <v>5</v>
      </c>
      <c r="C5" s="18"/>
      <c r="D5" s="13"/>
      <c r="E5" s="21">
        <v>1.0</v>
      </c>
      <c r="F5" s="22" t="s">
        <v>6</v>
      </c>
      <c r="G5" s="22" t="s">
        <v>19</v>
      </c>
      <c r="H5" s="22" t="s">
        <v>21</v>
      </c>
      <c r="I5" s="22" t="s">
        <v>11</v>
      </c>
      <c r="J5" s="23"/>
      <c r="K5" s="2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37</v>
      </c>
      <c r="B6" s="17" t="s">
        <v>9</v>
      </c>
      <c r="C6" s="18"/>
      <c r="D6" s="13"/>
      <c r="E6" s="21">
        <v>2.0</v>
      </c>
      <c r="F6" s="22" t="s">
        <v>24</v>
      </c>
      <c r="G6" s="22" t="s">
        <v>7</v>
      </c>
      <c r="H6" s="22" t="s">
        <v>17</v>
      </c>
      <c r="I6" s="22" t="s">
        <v>16</v>
      </c>
      <c r="J6" s="23"/>
      <c r="K6" s="2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5" t="s">
        <v>38</v>
      </c>
      <c r="B7" s="26" t="s">
        <v>26</v>
      </c>
      <c r="C7" s="27"/>
      <c r="D7" s="13"/>
      <c r="E7" s="21">
        <v>3.0</v>
      </c>
      <c r="F7" s="22" t="s">
        <v>13</v>
      </c>
      <c r="G7" s="22" t="s">
        <v>12</v>
      </c>
      <c r="H7" s="22" t="s">
        <v>18</v>
      </c>
      <c r="I7" s="22" t="s">
        <v>23</v>
      </c>
      <c r="J7" s="28"/>
      <c r="K7" s="2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3"/>
      <c r="B8" s="23"/>
      <c r="C8" s="23"/>
      <c r="D8" s="15"/>
      <c r="E8" s="21">
        <v>4.0</v>
      </c>
      <c r="F8" s="22" t="s">
        <v>5</v>
      </c>
      <c r="G8" s="22" t="s">
        <v>10</v>
      </c>
      <c r="H8" s="22" t="s">
        <v>2</v>
      </c>
      <c r="I8" s="22" t="s">
        <v>25</v>
      </c>
      <c r="J8" s="23"/>
      <c r="K8" s="2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9" t="s">
        <v>27</v>
      </c>
      <c r="B9" s="30" t="s">
        <v>33</v>
      </c>
      <c r="C9" s="12"/>
      <c r="D9" s="13"/>
      <c r="E9" s="21">
        <v>5.0</v>
      </c>
      <c r="F9" s="22" t="s">
        <v>9</v>
      </c>
      <c r="G9" s="22" t="s">
        <v>22</v>
      </c>
      <c r="H9" s="22" t="s">
        <v>39</v>
      </c>
      <c r="I9" s="22" t="s">
        <v>15</v>
      </c>
      <c r="J9" s="22"/>
      <c r="K9" s="2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1" t="s">
        <v>40</v>
      </c>
      <c r="B10" s="32" t="s">
        <v>19</v>
      </c>
      <c r="C10" s="33"/>
      <c r="D10" s="13"/>
      <c r="E10" s="21">
        <v>6.0</v>
      </c>
      <c r="F10" s="34" t="s">
        <v>26</v>
      </c>
      <c r="G10" s="34" t="s">
        <v>3</v>
      </c>
      <c r="H10" s="34" t="s">
        <v>20</v>
      </c>
      <c r="I10" s="34" t="s">
        <v>4</v>
      </c>
      <c r="J10" s="22"/>
      <c r="K10" s="2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5" t="s">
        <v>41</v>
      </c>
      <c r="B11" s="32" t="s">
        <v>7</v>
      </c>
      <c r="C11" s="33"/>
      <c r="D11" s="13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5" t="s">
        <v>42</v>
      </c>
      <c r="B12" s="32" t="s">
        <v>12</v>
      </c>
      <c r="C12" s="36"/>
      <c r="D12" s="13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5" t="s">
        <v>43</v>
      </c>
      <c r="B13" s="32" t="s">
        <v>10</v>
      </c>
      <c r="C13" s="33"/>
      <c r="D13" s="13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5" t="s">
        <v>44</v>
      </c>
      <c r="B14" s="32" t="s">
        <v>22</v>
      </c>
      <c r="C14" s="33"/>
      <c r="D14" s="13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7" t="s">
        <v>45</v>
      </c>
      <c r="B15" s="38" t="s">
        <v>3</v>
      </c>
      <c r="C15" s="39"/>
      <c r="D15" s="13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3"/>
      <c r="B16" s="23"/>
      <c r="C16" s="23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0" t="s">
        <v>27</v>
      </c>
      <c r="B17" s="41" t="s">
        <v>34</v>
      </c>
      <c r="C17" s="1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42" t="s">
        <v>46</v>
      </c>
      <c r="B18" s="43" t="s">
        <v>21</v>
      </c>
      <c r="C18" s="44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5" t="s">
        <v>47</v>
      </c>
      <c r="B19" s="43" t="s">
        <v>17</v>
      </c>
      <c r="C19" s="44"/>
      <c r="D19" s="13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45" t="s">
        <v>48</v>
      </c>
      <c r="B20" s="43" t="s">
        <v>18</v>
      </c>
      <c r="C20" s="44"/>
      <c r="D20" s="1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45" t="s">
        <v>49</v>
      </c>
      <c r="B21" s="43" t="s">
        <v>2</v>
      </c>
      <c r="C21" s="44"/>
      <c r="D21" s="13"/>
      <c r="E21" s="15"/>
      <c r="F21" s="15"/>
      <c r="G21" s="15"/>
      <c r="H21" s="15"/>
      <c r="I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45" t="s">
        <v>50</v>
      </c>
      <c r="B22" s="43" t="s">
        <v>39</v>
      </c>
      <c r="C22" s="44"/>
      <c r="D22" s="13"/>
      <c r="E22" s="15"/>
      <c r="F22" s="15"/>
      <c r="G22" s="15"/>
      <c r="H22" s="15"/>
      <c r="I22" s="15"/>
      <c r="J22" s="20"/>
      <c r="K22" s="20"/>
      <c r="L22" s="20"/>
      <c r="M22" s="2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46" t="s">
        <v>51</v>
      </c>
      <c r="B23" s="47" t="s">
        <v>20</v>
      </c>
      <c r="C23" s="48"/>
      <c r="D23" s="13"/>
      <c r="E23" s="15"/>
      <c r="F23" s="15"/>
      <c r="H23" s="15"/>
      <c r="I23" s="15"/>
      <c r="J23" s="13"/>
      <c r="K23" s="13"/>
      <c r="L23" s="13"/>
      <c r="M23" s="13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3"/>
      <c r="B24" s="23"/>
      <c r="C24" s="23"/>
      <c r="D24" s="15"/>
      <c r="E24" s="15"/>
      <c r="F24" s="15"/>
      <c r="G24" s="15"/>
      <c r="H24" s="15"/>
      <c r="I24" s="15"/>
      <c r="J24" s="13"/>
      <c r="K24" s="13"/>
      <c r="L24" s="13"/>
      <c r="M24" s="13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49" t="s">
        <v>27</v>
      </c>
      <c r="B25" s="50" t="s">
        <v>35</v>
      </c>
      <c r="C25" s="12"/>
      <c r="D25" s="15"/>
      <c r="E25" s="15"/>
      <c r="F25" s="15"/>
      <c r="G25" s="15"/>
      <c r="H25" s="15"/>
      <c r="I25" s="15"/>
      <c r="J25" s="13"/>
      <c r="K25" s="13"/>
      <c r="L25" s="13"/>
      <c r="M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51" t="s">
        <v>52</v>
      </c>
      <c r="B26" s="52" t="s">
        <v>11</v>
      </c>
      <c r="C26" s="53"/>
      <c r="D26" s="13"/>
      <c r="E26" s="15"/>
      <c r="F26" s="13"/>
      <c r="G26" s="13"/>
      <c r="H26" s="13"/>
      <c r="I26" s="15"/>
      <c r="J26" s="13"/>
      <c r="K26" s="13"/>
      <c r="L26" s="13"/>
      <c r="M26" s="13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54" t="s">
        <v>53</v>
      </c>
      <c r="B27" s="52" t="s">
        <v>16</v>
      </c>
      <c r="C27" s="53"/>
      <c r="D27" s="13"/>
      <c r="E27" s="13"/>
      <c r="F27" s="13"/>
      <c r="G27" s="13"/>
      <c r="H27" s="13"/>
      <c r="I27" s="15"/>
      <c r="J27" s="13"/>
      <c r="K27" s="13"/>
      <c r="L27" s="13"/>
      <c r="M27" s="1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54" t="s">
        <v>54</v>
      </c>
      <c r="B28" s="52" t="s">
        <v>23</v>
      </c>
      <c r="C28" s="5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54" t="s">
        <v>55</v>
      </c>
      <c r="B29" s="52" t="s">
        <v>25</v>
      </c>
      <c r="C29" s="53"/>
      <c r="D29" s="13"/>
      <c r="E29" s="15"/>
      <c r="F29" s="13"/>
      <c r="G29" s="13"/>
      <c r="H29" s="13"/>
      <c r="I29" s="13"/>
      <c r="K29" s="15"/>
      <c r="L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54" t="s">
        <v>56</v>
      </c>
      <c r="B30" s="52" t="s">
        <v>15</v>
      </c>
      <c r="C30" s="53"/>
      <c r="D30" s="13"/>
      <c r="E30" s="15"/>
      <c r="F30" s="13"/>
      <c r="G30" s="13"/>
      <c r="H30" s="1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55" t="s">
        <v>57</v>
      </c>
      <c r="B31" s="56" t="s">
        <v>4</v>
      </c>
      <c r="C31" s="57"/>
      <c r="D31" s="13"/>
      <c r="E31" s="15"/>
      <c r="F31" s="13"/>
      <c r="G31" s="15"/>
      <c r="H31" s="1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23"/>
      <c r="B32" s="23"/>
      <c r="C32" s="23"/>
      <c r="D32" s="15"/>
      <c r="E32" s="15"/>
      <c r="F32" s="13"/>
      <c r="I32" s="15"/>
      <c r="J32" s="1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58"/>
      <c r="B33" s="58"/>
      <c r="D33" s="15"/>
      <c r="E33" s="15"/>
      <c r="F33" s="13"/>
      <c r="G33" s="15"/>
      <c r="I33" s="15"/>
      <c r="J33" s="1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59"/>
      <c r="B34" s="23"/>
      <c r="D34" s="15"/>
      <c r="E34" s="15"/>
      <c r="F34" s="13"/>
      <c r="G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59"/>
      <c r="B35" s="23"/>
      <c r="D35" s="15"/>
      <c r="E35" s="15"/>
      <c r="G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59"/>
      <c r="B36" s="23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59"/>
      <c r="B37" s="2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59"/>
      <c r="B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59"/>
      <c r="B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3" t="s">
        <v>58</v>
      </c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D1000" s="15"/>
      <c r="E1000" s="15"/>
      <c r="F1000" s="15"/>
      <c r="G1000" s="15"/>
      <c r="H1000" s="1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2">
    <mergeCell ref="B35:C35"/>
    <mergeCell ref="B36:C36"/>
    <mergeCell ref="B37:C37"/>
    <mergeCell ref="B38:C38"/>
    <mergeCell ref="B39:C39"/>
    <mergeCell ref="B1:C1"/>
    <mergeCell ref="E1:J3"/>
    <mergeCell ref="B9:C9"/>
    <mergeCell ref="B17:C17"/>
    <mergeCell ref="B25:C25"/>
    <mergeCell ref="B33:C33"/>
    <mergeCell ref="B34:C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7" width="13.88"/>
    <col customWidth="1" min="9" max="9" width="16.75"/>
    <col customWidth="1" min="10" max="10" width="18.13"/>
  </cols>
  <sheetData>
    <row r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61" t="s">
        <v>59</v>
      </c>
      <c r="C2" s="61" t="s">
        <v>60</v>
      </c>
      <c r="D2" s="61" t="s">
        <v>61</v>
      </c>
      <c r="E2" s="61" t="s">
        <v>62</v>
      </c>
      <c r="F2" s="61" t="s">
        <v>63</v>
      </c>
      <c r="G2" s="61" t="s">
        <v>64</v>
      </c>
      <c r="H2" s="60"/>
      <c r="I2" s="61" t="s">
        <v>65</v>
      </c>
      <c r="J2" s="61" t="s">
        <v>66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0"/>
      <c r="B3" s="62" t="s">
        <v>67</v>
      </c>
      <c r="C3" s="63" t="s">
        <v>68</v>
      </c>
      <c r="D3" s="63" t="s">
        <v>69</v>
      </c>
      <c r="E3" s="63" t="s">
        <v>70</v>
      </c>
      <c r="F3" s="63" t="s">
        <v>71</v>
      </c>
      <c r="G3" s="63" t="s">
        <v>72</v>
      </c>
      <c r="H3" s="60"/>
      <c r="I3" s="64" t="s">
        <v>73</v>
      </c>
      <c r="J3" s="64" t="s">
        <v>74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62" t="s">
        <v>75</v>
      </c>
      <c r="C4" s="63" t="s">
        <v>76</v>
      </c>
      <c r="D4" s="63" t="s">
        <v>77</v>
      </c>
      <c r="E4" s="63" t="s">
        <v>78</v>
      </c>
      <c r="F4" s="63" t="s">
        <v>79</v>
      </c>
      <c r="G4" s="63" t="s">
        <v>80</v>
      </c>
      <c r="H4" s="60"/>
      <c r="I4" s="64" t="s">
        <v>81</v>
      </c>
      <c r="J4" s="64" t="s">
        <v>82</v>
      </c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0"/>
      <c r="B5" s="62" t="s">
        <v>83</v>
      </c>
      <c r="C5" s="63" t="s">
        <v>84</v>
      </c>
      <c r="D5" s="63" t="s">
        <v>85</v>
      </c>
      <c r="E5" s="63" t="s">
        <v>86</v>
      </c>
      <c r="F5" s="63" t="s">
        <v>87</v>
      </c>
      <c r="G5" s="63" t="s">
        <v>88</v>
      </c>
      <c r="H5" s="60"/>
      <c r="I5" s="64" t="s">
        <v>89</v>
      </c>
      <c r="J5" s="64" t="s">
        <v>90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0"/>
      <c r="B6" s="65" t="s">
        <v>91</v>
      </c>
      <c r="C6" s="66" t="s">
        <v>92</v>
      </c>
      <c r="D6" s="66" t="s">
        <v>93</v>
      </c>
      <c r="E6" s="66" t="s">
        <v>94</v>
      </c>
      <c r="F6" s="66" t="s">
        <v>95</v>
      </c>
      <c r="G6" s="66" t="s">
        <v>96</v>
      </c>
      <c r="H6" s="60"/>
      <c r="I6" s="64" t="s">
        <v>97</v>
      </c>
      <c r="J6" s="64" t="s">
        <v>98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0"/>
      <c r="B7" s="65" t="s">
        <v>99</v>
      </c>
      <c r="C7" s="66" t="s">
        <v>100</v>
      </c>
      <c r="D7" s="66" t="s">
        <v>101</v>
      </c>
      <c r="E7" s="66" t="s">
        <v>102</v>
      </c>
      <c r="F7" s="66" t="s">
        <v>103</v>
      </c>
      <c r="G7" s="66" t="s">
        <v>104</v>
      </c>
      <c r="H7" s="60"/>
      <c r="I7" s="64" t="s">
        <v>105</v>
      </c>
      <c r="J7" s="64" t="s">
        <v>106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0"/>
      <c r="B8" s="65" t="s">
        <v>107</v>
      </c>
      <c r="C8" s="66" t="s">
        <v>108</v>
      </c>
      <c r="D8" s="66" t="s">
        <v>109</v>
      </c>
      <c r="E8" s="66" t="s">
        <v>110</v>
      </c>
      <c r="F8" s="66" t="s">
        <v>111</v>
      </c>
      <c r="G8" s="66" t="s">
        <v>112</v>
      </c>
      <c r="H8" s="60"/>
      <c r="I8" s="64" t="s">
        <v>113</v>
      </c>
      <c r="J8" s="64" t="s">
        <v>114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67" t="s">
        <v>115</v>
      </c>
      <c r="C9" s="68" t="s">
        <v>116</v>
      </c>
      <c r="D9" s="68" t="s">
        <v>117</v>
      </c>
      <c r="E9" s="68" t="s">
        <v>118</v>
      </c>
      <c r="F9" s="68" t="s">
        <v>119</v>
      </c>
      <c r="G9" s="68" t="s">
        <v>120</v>
      </c>
      <c r="H9" s="60"/>
      <c r="I9" s="64" t="s">
        <v>121</v>
      </c>
      <c r="J9" s="64" t="s">
        <v>122</v>
      </c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0"/>
      <c r="B10" s="67" t="s">
        <v>123</v>
      </c>
      <c r="C10" s="68" t="s">
        <v>124</v>
      </c>
      <c r="D10" s="68" t="s">
        <v>125</v>
      </c>
      <c r="E10" s="68" t="s">
        <v>126</v>
      </c>
      <c r="F10" s="68" t="s">
        <v>127</v>
      </c>
      <c r="G10" s="68" t="s">
        <v>128</v>
      </c>
      <c r="H10" s="60"/>
      <c r="I10" s="64" t="s">
        <v>129</v>
      </c>
      <c r="J10" s="64" t="s">
        <v>130</v>
      </c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67" t="s">
        <v>131</v>
      </c>
      <c r="C11" s="68" t="s">
        <v>132</v>
      </c>
      <c r="D11" s="68" t="s">
        <v>133</v>
      </c>
      <c r="E11" s="68" t="s">
        <v>134</v>
      </c>
      <c r="F11" s="68" t="s">
        <v>135</v>
      </c>
      <c r="G11" s="68" t="s">
        <v>136</v>
      </c>
      <c r="H11" s="60"/>
      <c r="I11" s="64" t="s">
        <v>137</v>
      </c>
      <c r="J11" s="64" t="s">
        <v>138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0"/>
      <c r="B12" s="69" t="s">
        <v>139</v>
      </c>
      <c r="C12" s="70" t="s">
        <v>140</v>
      </c>
      <c r="D12" s="70" t="s">
        <v>141</v>
      </c>
      <c r="E12" s="70" t="s">
        <v>142</v>
      </c>
      <c r="F12" s="70" t="s">
        <v>143</v>
      </c>
      <c r="G12" s="70" t="s">
        <v>144</v>
      </c>
      <c r="H12" s="60"/>
      <c r="I12" s="71" t="s">
        <v>145</v>
      </c>
      <c r="J12" s="64" t="s">
        <v>146</v>
      </c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69" t="s">
        <v>147</v>
      </c>
      <c r="C13" s="70" t="s">
        <v>148</v>
      </c>
      <c r="D13" s="70" t="s">
        <v>149</v>
      </c>
      <c r="E13" s="70" t="s">
        <v>150</v>
      </c>
      <c r="F13" s="70" t="s">
        <v>151</v>
      </c>
      <c r="G13" s="70" t="s">
        <v>152</v>
      </c>
      <c r="H13" s="60"/>
      <c r="I13" s="71" t="s">
        <v>153</v>
      </c>
      <c r="J13" s="64" t="s">
        <v>154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69" t="s">
        <v>155</v>
      </c>
      <c r="C14" s="70" t="s">
        <v>156</v>
      </c>
      <c r="D14" s="70" t="s">
        <v>157</v>
      </c>
      <c r="E14" s="70" t="s">
        <v>158</v>
      </c>
      <c r="F14" s="70" t="s">
        <v>159</v>
      </c>
      <c r="G14" s="70" t="s">
        <v>160</v>
      </c>
      <c r="H14" s="60"/>
      <c r="I14" s="71" t="s">
        <v>161</v>
      </c>
      <c r="J14" s="64" t="s">
        <v>162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72"/>
      <c r="C15" s="73"/>
      <c r="D15" s="73"/>
      <c r="E15" s="73"/>
      <c r="F15" s="73"/>
      <c r="G15" s="73"/>
      <c r="H15" s="60"/>
      <c r="I15" s="71" t="s">
        <v>163</v>
      </c>
      <c r="J15" s="64" t="s">
        <v>164</v>
      </c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72"/>
      <c r="C16" s="73"/>
      <c r="D16" s="73"/>
      <c r="E16" s="73"/>
      <c r="F16" s="73"/>
      <c r="G16" s="73"/>
      <c r="H16" s="60"/>
      <c r="I16" s="71" t="s">
        <v>165</v>
      </c>
      <c r="J16" s="64" t="s">
        <v>166</v>
      </c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72"/>
      <c r="C17" s="73"/>
      <c r="D17" s="73"/>
      <c r="E17" s="73"/>
      <c r="F17" s="73"/>
      <c r="G17" s="73"/>
      <c r="H17" s="60"/>
      <c r="I17" s="71" t="s">
        <v>167</v>
      </c>
      <c r="J17" s="64" t="s">
        <v>168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72"/>
      <c r="F18" s="60"/>
      <c r="G18" s="60"/>
      <c r="H18" s="60"/>
      <c r="I18" s="74" t="s">
        <v>169</v>
      </c>
      <c r="J18" s="74" t="s">
        <v>170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72"/>
      <c r="J19" s="75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72"/>
      <c r="J20" s="72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60"/>
      <c r="B21" s="60"/>
      <c r="C21" s="60"/>
      <c r="D21" s="60"/>
      <c r="E21" s="60"/>
      <c r="F21" s="60"/>
      <c r="G21" s="60"/>
      <c r="H21" s="60"/>
      <c r="I21" s="72"/>
      <c r="J21" s="72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9.5"/>
    <col customWidth="1" min="4" max="7" width="18.75"/>
    <col customWidth="1" min="8" max="8" width="18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</row>
    <row r="2">
      <c r="A2" s="2"/>
      <c r="B2" s="76" t="s">
        <v>28</v>
      </c>
      <c r="C2" s="77"/>
      <c r="D2" s="77"/>
      <c r="E2" s="77"/>
      <c r="F2" s="77"/>
      <c r="G2" s="77"/>
      <c r="H2" s="7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</row>
    <row r="3">
      <c r="A3" s="2"/>
      <c r="B3" s="79">
        <f>AVERAGE(M4:M9)</f>
        <v>101.7333333</v>
      </c>
      <c r="C3" s="80" t="s">
        <v>6</v>
      </c>
      <c r="D3" s="81" t="s">
        <v>24</v>
      </c>
      <c r="E3" s="81" t="s">
        <v>13</v>
      </c>
      <c r="F3" s="81" t="s">
        <v>5</v>
      </c>
      <c r="G3" s="81" t="s">
        <v>9</v>
      </c>
      <c r="H3" s="82" t="s">
        <v>26</v>
      </c>
      <c r="I3" s="83" t="s">
        <v>171</v>
      </c>
      <c r="J3" s="83" t="s">
        <v>172</v>
      </c>
      <c r="K3" s="84" t="s">
        <v>173</v>
      </c>
      <c r="L3" s="84" t="s">
        <v>174</v>
      </c>
      <c r="M3" s="84" t="s">
        <v>175</v>
      </c>
      <c r="N3" s="85" t="s">
        <v>176</v>
      </c>
      <c r="O3" s="2"/>
      <c r="P3" s="86"/>
      <c r="Q3" s="2"/>
      <c r="R3" s="2"/>
      <c r="S3" s="2"/>
      <c r="T3" s="2"/>
      <c r="U3" s="2"/>
      <c r="V3" s="2"/>
      <c r="W3" s="2"/>
      <c r="X3" s="2"/>
      <c r="Y3" s="2"/>
      <c r="Z3" s="2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</row>
    <row r="4">
      <c r="A4" s="2"/>
      <c r="B4" s="87" t="s">
        <v>6</v>
      </c>
      <c r="C4" s="88"/>
      <c r="D4" s="89">
        <v>158.0</v>
      </c>
      <c r="E4" s="1">
        <v>78.0</v>
      </c>
      <c r="F4" s="1">
        <v>102.0</v>
      </c>
      <c r="G4" s="1">
        <v>142.0</v>
      </c>
      <c r="H4" s="90">
        <v>164.0</v>
      </c>
      <c r="I4" s="91">
        <f t="shared" ref="I4:I9" si="1">COUNTIF(K68:Q68,1)</f>
        <v>4</v>
      </c>
      <c r="J4" s="92">
        <f t="shared" ref="J4:J9" si="2">COUNTIF(K68:Q68,0.5)</f>
        <v>0</v>
      </c>
      <c r="K4" s="93">
        <f t="shared" ref="K4:K9" si="3">COUNTIF(K68:Q68,0)</f>
        <v>1</v>
      </c>
      <c r="L4" s="93">
        <f t="shared" ref="L4:L9" si="4">I4+0.5*J4</f>
        <v>4</v>
      </c>
      <c r="M4" s="93">
        <f t="shared" ref="M4:M9" si="5">AVERAGE(C4:H4)</f>
        <v>128.8</v>
      </c>
      <c r="N4" s="94">
        <f>(L4*500+M4*2*B3/(IF(AVERAGE($B$3, $B$12, $B$21, $B$30, $B$39)=0, 1, AVERAGE($B$3, $B$12, $B$21, $B$30, $B$39))))</f>
        <v>2266.236099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>
      <c r="A5" s="2"/>
      <c r="B5" s="95" t="s">
        <v>24</v>
      </c>
      <c r="C5" s="89">
        <v>88.0</v>
      </c>
      <c r="D5" s="88"/>
      <c r="E5" s="89">
        <v>166.0</v>
      </c>
      <c r="F5" s="89">
        <v>18.0</v>
      </c>
      <c r="G5" s="89">
        <v>70.0</v>
      </c>
      <c r="H5" s="96">
        <v>200.0</v>
      </c>
      <c r="I5" s="91">
        <f t="shared" si="1"/>
        <v>2</v>
      </c>
      <c r="J5" s="92">
        <f t="shared" si="2"/>
        <v>0</v>
      </c>
      <c r="K5" s="93">
        <f t="shared" si="3"/>
        <v>3</v>
      </c>
      <c r="L5" s="93">
        <f t="shared" si="4"/>
        <v>2</v>
      </c>
      <c r="M5" s="93">
        <f t="shared" si="5"/>
        <v>108.4</v>
      </c>
      <c r="N5" s="94">
        <f>(L5*500+M5*2*B3/(IF(AVERAGE($B$3, $B$12, $B$21, $B$30, $B$39)=0, 1, AVERAGE($B$3, $B$12, $B$21, $B$30, $B$39))))</f>
        <v>1224.06827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>
      <c r="A6" s="2"/>
      <c r="B6" s="95" t="s">
        <v>13</v>
      </c>
      <c r="C6" s="1">
        <v>38.0</v>
      </c>
      <c r="D6" s="89">
        <v>66.0</v>
      </c>
      <c r="E6" s="88"/>
      <c r="F6" s="1">
        <v>24.0</v>
      </c>
      <c r="G6" s="1">
        <v>46.0</v>
      </c>
      <c r="H6" s="90">
        <v>22.0</v>
      </c>
      <c r="I6" s="91">
        <f t="shared" si="1"/>
        <v>1</v>
      </c>
      <c r="J6" s="92">
        <f t="shared" si="2"/>
        <v>0</v>
      </c>
      <c r="K6" s="93">
        <f t="shared" si="3"/>
        <v>4</v>
      </c>
      <c r="L6" s="93">
        <f t="shared" si="4"/>
        <v>1</v>
      </c>
      <c r="M6" s="93">
        <f t="shared" si="5"/>
        <v>39.2</v>
      </c>
      <c r="N6" s="94">
        <f>(L6*500+M6*2*B3/(IF(AVERAGE($B$3, $B$12, $B$21, $B$30, $B$39)=0, 1, AVERAGE($B$3, $B$12, $B$21, $B$30, $B$39))))</f>
        <v>581.0283779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2"/>
      <c r="B7" s="95" t="s">
        <v>5</v>
      </c>
      <c r="C7" s="1">
        <v>116.0</v>
      </c>
      <c r="D7" s="89">
        <v>130.0</v>
      </c>
      <c r="E7" s="1">
        <v>202.0</v>
      </c>
      <c r="F7" s="88"/>
      <c r="G7" s="1">
        <v>110.0</v>
      </c>
      <c r="H7" s="90">
        <v>226.0</v>
      </c>
      <c r="I7" s="91">
        <f t="shared" si="1"/>
        <v>5</v>
      </c>
      <c r="J7" s="92">
        <f t="shared" si="2"/>
        <v>0</v>
      </c>
      <c r="K7" s="93">
        <f t="shared" si="3"/>
        <v>0</v>
      </c>
      <c r="L7" s="93">
        <f t="shared" si="4"/>
        <v>5</v>
      </c>
      <c r="M7" s="93">
        <f t="shared" si="5"/>
        <v>156.8</v>
      </c>
      <c r="N7" s="94">
        <f>(L7*500+M7*2*B3/(IF(AVERAGE($B$3, $B$12, $B$21, $B$30, $B$39)=0, 1, AVERAGE($B$3, $B$12, $B$21, $B$30, $B$39))))</f>
        <v>2824.113512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>
      <c r="A8" s="2"/>
      <c r="B8" s="95" t="s">
        <v>9</v>
      </c>
      <c r="C8" s="1">
        <v>100.0</v>
      </c>
      <c r="D8" s="89">
        <v>214.0</v>
      </c>
      <c r="E8" s="1">
        <v>162.0</v>
      </c>
      <c r="F8" s="1">
        <v>46.0</v>
      </c>
      <c r="G8" s="88"/>
      <c r="H8" s="90">
        <v>170.0</v>
      </c>
      <c r="I8" s="91">
        <f t="shared" si="1"/>
        <v>3</v>
      </c>
      <c r="J8" s="92">
        <f t="shared" si="2"/>
        <v>0</v>
      </c>
      <c r="K8" s="93">
        <f t="shared" si="3"/>
        <v>2</v>
      </c>
      <c r="L8" s="93">
        <f t="shared" si="4"/>
        <v>3</v>
      </c>
      <c r="M8" s="93">
        <f t="shared" si="5"/>
        <v>138.4</v>
      </c>
      <c r="N8" s="94">
        <f>(L8*500+M8*2*B3/(IF(AVERAGE($B$3, $B$12, $B$21, $B$30, $B$39)=0, 1, AVERAGE($B$3, $B$12, $B$21, $B$30, $B$39))))</f>
        <v>1786.079783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>
      <c r="A9" s="2"/>
      <c r="B9" s="97" t="s">
        <v>26</v>
      </c>
      <c r="C9" s="98">
        <v>42.0</v>
      </c>
      <c r="D9" s="99">
        <v>60.0</v>
      </c>
      <c r="E9" s="98">
        <v>46.0</v>
      </c>
      <c r="F9" s="98">
        <v>18.0</v>
      </c>
      <c r="G9" s="98">
        <v>28.0</v>
      </c>
      <c r="H9" s="100"/>
      <c r="I9" s="101">
        <f t="shared" si="1"/>
        <v>0</v>
      </c>
      <c r="J9" s="102">
        <f t="shared" si="2"/>
        <v>0</v>
      </c>
      <c r="K9" s="103">
        <f t="shared" si="3"/>
        <v>5</v>
      </c>
      <c r="L9" s="103">
        <f t="shared" si="4"/>
        <v>0</v>
      </c>
      <c r="M9" s="103">
        <f t="shared" si="5"/>
        <v>38.8</v>
      </c>
      <c r="N9" s="104">
        <f>(L9*500+M9*2*B3/(IF(AVERAGE($B$3, $B$12, $B$21, $B$30, $B$39)=0, 1, AVERAGE($B$3, $B$12, $B$21, $B$30, $B$39))))</f>
        <v>80.20155774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>
      <c r="A10" s="2"/>
      <c r="B10" s="2"/>
      <c r="C10" s="2"/>
      <c r="D10" s="2"/>
      <c r="E10" s="2"/>
      <c r="F10" s="2"/>
      <c r="G10" s="2"/>
      <c r="H10" s="2"/>
      <c r="I10" s="105"/>
      <c r="J10" s="10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>
      <c r="A11" s="2"/>
      <c r="B11" s="106" t="s">
        <v>33</v>
      </c>
      <c r="C11" s="77"/>
      <c r="D11" s="77"/>
      <c r="E11" s="77"/>
      <c r="F11" s="77"/>
      <c r="G11" s="77"/>
      <c r="H11" s="78"/>
      <c r="I11" s="105"/>
      <c r="J11" s="10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2"/>
      <c r="B12" s="107">
        <f>AVERAGE(M13:M18)</f>
        <v>96.53333333</v>
      </c>
      <c r="C12" s="108" t="s">
        <v>19</v>
      </c>
      <c r="D12" s="108" t="s">
        <v>7</v>
      </c>
      <c r="E12" s="108" t="s">
        <v>12</v>
      </c>
      <c r="F12" s="108" t="s">
        <v>10</v>
      </c>
      <c r="G12" s="108" t="s">
        <v>22</v>
      </c>
      <c r="H12" s="109" t="s">
        <v>3</v>
      </c>
      <c r="I12" s="110" t="s">
        <v>171</v>
      </c>
      <c r="J12" s="83" t="s">
        <v>172</v>
      </c>
      <c r="K12" s="84" t="s">
        <v>173</v>
      </c>
      <c r="L12" s="84" t="s">
        <v>174</v>
      </c>
      <c r="M12" s="84" t="s">
        <v>175</v>
      </c>
      <c r="N12" s="85" t="s">
        <v>176</v>
      </c>
      <c r="O12" s="2"/>
      <c r="P12" s="86"/>
      <c r="Q12" s="2"/>
      <c r="R12" s="2"/>
      <c r="S12" s="2"/>
      <c r="T12" s="2"/>
      <c r="U12" s="2"/>
      <c r="V12" s="2"/>
      <c r="W12" s="2"/>
      <c r="X12" s="2"/>
      <c r="Y12" s="2"/>
      <c r="Z12" s="2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2"/>
      <c r="B13" s="87" t="s">
        <v>19</v>
      </c>
      <c r="C13" s="88"/>
      <c r="D13" s="1">
        <v>34.0</v>
      </c>
      <c r="E13" s="1">
        <v>102.0</v>
      </c>
      <c r="F13" s="1">
        <v>52.0</v>
      </c>
      <c r="G13" s="1">
        <v>162.0</v>
      </c>
      <c r="H13" s="90">
        <v>94.0</v>
      </c>
      <c r="I13" s="91">
        <f t="shared" ref="I13:I14" si="6">COUNTIF(K77:Q77,1)</f>
        <v>2</v>
      </c>
      <c r="J13" s="92">
        <f t="shared" ref="J13:J18" si="7">COUNTIF(K77:Q77,0.5)</f>
        <v>0</v>
      </c>
      <c r="K13" s="93">
        <f t="shared" ref="K13:K14" si="8">COUNTIF(K77:Q77,0)</f>
        <v>3</v>
      </c>
      <c r="L13" s="93">
        <f t="shared" ref="L13:L18" si="9">I13+0.5*J13</f>
        <v>2</v>
      </c>
      <c r="M13" s="93">
        <f t="shared" ref="M13:M18" si="10">AVERAGE(C13:H13)</f>
        <v>88.8</v>
      </c>
      <c r="N13" s="94">
        <f>L13*500+M13*2*B12/(IF(AVERAGE($B$3, $B$12, $B$21, $B$30, $B$39)=0, 1, AVERAGE($B$3, $B$12, $B$21, $B$30, $B$39)))</f>
        <v>1174.171893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2"/>
      <c r="B14" s="95" t="s">
        <v>7</v>
      </c>
      <c r="C14" s="1">
        <v>154.0</v>
      </c>
      <c r="D14" s="88"/>
      <c r="E14" s="1">
        <v>202.0</v>
      </c>
      <c r="F14" s="1">
        <v>94.0</v>
      </c>
      <c r="G14" s="1">
        <v>204.0</v>
      </c>
      <c r="H14" s="90">
        <v>172.0</v>
      </c>
      <c r="I14" s="91">
        <f t="shared" si="6"/>
        <v>5</v>
      </c>
      <c r="J14" s="92">
        <f t="shared" si="7"/>
        <v>0</v>
      </c>
      <c r="K14" s="93">
        <f t="shared" si="8"/>
        <v>0</v>
      </c>
      <c r="L14" s="93">
        <f t="shared" si="9"/>
        <v>5</v>
      </c>
      <c r="M14" s="111">
        <f t="shared" si="10"/>
        <v>165.2</v>
      </c>
      <c r="N14" s="94">
        <f>L14*500+M14*2*B12/(IF(AVERAGE($B$3, $B$12, $B$21, $B$30, $B$39)=0, 1, AVERAGE($B$3, $B$12, $B$21, $B$30, $B$39)))</f>
        <v>2824.022486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2"/>
      <c r="B15" s="95" t="s">
        <v>12</v>
      </c>
      <c r="C15" s="1">
        <v>40.0</v>
      </c>
      <c r="D15" s="1">
        <v>70.0</v>
      </c>
      <c r="E15" s="88"/>
      <c r="F15" s="1">
        <v>72.0</v>
      </c>
      <c r="G15" s="1">
        <v>116.0</v>
      </c>
      <c r="H15" s="90">
        <v>56.0</v>
      </c>
      <c r="I15" s="112">
        <v>1.0</v>
      </c>
      <c r="J15" s="92">
        <f t="shared" si="7"/>
        <v>0</v>
      </c>
      <c r="K15" s="113">
        <v>4.0</v>
      </c>
      <c r="L15" s="93">
        <f t="shared" si="9"/>
        <v>1</v>
      </c>
      <c r="M15" s="93">
        <f t="shared" si="10"/>
        <v>70.8</v>
      </c>
      <c r="N15" s="94">
        <f>L15*500+M15*2*B12/(IF(AVERAGE($B$3, $B$12, $B$21, $B$30, $B$39)=0, 1, AVERAGE($B$3, $B$12, $B$21, $B$30, $B$39)))</f>
        <v>638.8667795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2"/>
      <c r="B16" s="95" t="s">
        <v>10</v>
      </c>
      <c r="C16" s="1">
        <v>162.0</v>
      </c>
      <c r="D16" s="1">
        <v>88.0</v>
      </c>
      <c r="E16" s="1">
        <v>168.0</v>
      </c>
      <c r="F16" s="88"/>
      <c r="G16" s="1">
        <v>84.0</v>
      </c>
      <c r="H16" s="90">
        <v>144.0</v>
      </c>
      <c r="I16" s="91">
        <f t="shared" ref="I16:I17" si="11">COUNTIF(K80:Q80,1)</f>
        <v>4</v>
      </c>
      <c r="J16" s="92">
        <f t="shared" si="7"/>
        <v>0</v>
      </c>
      <c r="K16" s="93">
        <f t="shared" ref="K16:K17" si="12">COUNTIF(K80:Q80,0)</f>
        <v>1</v>
      </c>
      <c r="L16" s="93">
        <f t="shared" si="9"/>
        <v>4</v>
      </c>
      <c r="M16" s="93">
        <f t="shared" si="10"/>
        <v>129.2</v>
      </c>
      <c r="N16" s="94">
        <f>L16*500+M16*2*B12/(IF(AVERAGE($B$3, $B$12, $B$21, $B$30, $B$39)=0, 1, AVERAGE($B$3, $B$12, $B$21, $B$30, $B$39)))</f>
        <v>2253.412259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2"/>
      <c r="B17" s="95" t="s">
        <v>22</v>
      </c>
      <c r="C17" s="1">
        <v>56.0</v>
      </c>
      <c r="D17" s="1">
        <v>8.0</v>
      </c>
      <c r="E17" s="1">
        <v>42.0</v>
      </c>
      <c r="F17" s="1">
        <v>8.0</v>
      </c>
      <c r="G17" s="88"/>
      <c r="H17" s="90">
        <v>32.0</v>
      </c>
      <c r="I17" s="91">
        <f t="shared" si="11"/>
        <v>0</v>
      </c>
      <c r="J17" s="92">
        <f t="shared" si="7"/>
        <v>0</v>
      </c>
      <c r="K17" s="93">
        <f t="shared" si="12"/>
        <v>5</v>
      </c>
      <c r="L17" s="93">
        <f t="shared" si="9"/>
        <v>0</v>
      </c>
      <c r="M17" s="93">
        <f t="shared" si="10"/>
        <v>29.2</v>
      </c>
      <c r="N17" s="94">
        <f>L17*500+M17*2*B12/(IF(AVERAGE($B$3, $B$12, $B$21, $B$30, $B$39)=0, 1, AVERAGE($B$3, $B$12, $B$21, $B$30, $B$39)))</f>
        <v>57.27273959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2"/>
      <c r="B18" s="97" t="s">
        <v>3</v>
      </c>
      <c r="C18" s="98">
        <v>166.0</v>
      </c>
      <c r="D18" s="98">
        <v>10.0</v>
      </c>
      <c r="E18" s="98">
        <v>88.0</v>
      </c>
      <c r="F18" s="98">
        <v>70.0</v>
      </c>
      <c r="G18" s="98">
        <v>146.0</v>
      </c>
      <c r="H18" s="100"/>
      <c r="I18" s="114">
        <v>3.0</v>
      </c>
      <c r="J18" s="102">
        <f t="shared" si="7"/>
        <v>0</v>
      </c>
      <c r="K18" s="115">
        <v>2.0</v>
      </c>
      <c r="L18" s="103">
        <f t="shared" si="9"/>
        <v>3</v>
      </c>
      <c r="M18" s="103">
        <f t="shared" si="10"/>
        <v>96</v>
      </c>
      <c r="N18" s="104">
        <f>L18*500+M18*2*B12/(IF(AVERAGE($B$3, $B$12, $B$21, $B$30, $B$39)=0, 1, AVERAGE($B$3, $B$12, $B$21, $B$30, $B$39)))</f>
        <v>1688.293938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2"/>
      <c r="B19" s="2"/>
      <c r="C19" s="2"/>
      <c r="D19" s="2"/>
      <c r="E19" s="2"/>
      <c r="F19" s="2"/>
      <c r="G19" s="2"/>
      <c r="H19" s="2"/>
      <c r="I19" s="105"/>
      <c r="J19" s="10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2"/>
      <c r="B20" s="116" t="s">
        <v>34</v>
      </c>
      <c r="C20" s="77"/>
      <c r="D20" s="77"/>
      <c r="E20" s="77"/>
      <c r="F20" s="77"/>
      <c r="G20" s="77"/>
      <c r="H20" s="78"/>
      <c r="I20" s="105"/>
      <c r="J20" s="10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2"/>
      <c r="B21" s="107">
        <f>AVERAGE(M22:M27)</f>
        <v>98.2</v>
      </c>
      <c r="C21" s="108" t="s">
        <v>21</v>
      </c>
      <c r="D21" s="108" t="s">
        <v>17</v>
      </c>
      <c r="E21" s="108" t="s">
        <v>18</v>
      </c>
      <c r="F21" s="108" t="s">
        <v>2</v>
      </c>
      <c r="G21" s="108" t="s">
        <v>39</v>
      </c>
      <c r="H21" s="109" t="s">
        <v>20</v>
      </c>
      <c r="I21" s="110" t="s">
        <v>171</v>
      </c>
      <c r="J21" s="83" t="s">
        <v>172</v>
      </c>
      <c r="K21" s="84" t="s">
        <v>173</v>
      </c>
      <c r="L21" s="84" t="s">
        <v>174</v>
      </c>
      <c r="M21" s="84" t="s">
        <v>175</v>
      </c>
      <c r="N21" s="85" t="s">
        <v>176</v>
      </c>
      <c r="O21" s="2"/>
      <c r="P21" s="86"/>
      <c r="Q21" s="2"/>
      <c r="R21" s="2"/>
      <c r="S21" s="2"/>
      <c r="T21" s="2"/>
      <c r="U21" s="2"/>
      <c r="V21" s="2"/>
      <c r="W21" s="2"/>
      <c r="X21" s="2"/>
      <c r="Y21" s="2"/>
      <c r="Z21" s="2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2"/>
      <c r="B22" s="87" t="s">
        <v>21</v>
      </c>
      <c r="C22" s="88"/>
      <c r="D22" s="1">
        <v>4.0</v>
      </c>
      <c r="E22" s="1">
        <v>18.0</v>
      </c>
      <c r="F22" s="1">
        <v>36.0</v>
      </c>
      <c r="G22" s="1">
        <v>66.0</v>
      </c>
      <c r="H22" s="96">
        <v>28.0</v>
      </c>
      <c r="I22" s="91">
        <f t="shared" ref="I22:I27" si="13">COUNTIF(K86:Q86,1)</f>
        <v>0</v>
      </c>
      <c r="J22" s="92">
        <f t="shared" ref="J22:J27" si="14">COUNTIF(K86:Q86,0.5)</f>
        <v>0</v>
      </c>
      <c r="K22" s="93">
        <f t="shared" ref="K22:K27" si="15">COUNTIF(K86:Q86,0)</f>
        <v>5</v>
      </c>
      <c r="L22" s="93">
        <f t="shared" ref="L22:L27" si="16">I22+0.5*J22</f>
        <v>0</v>
      </c>
      <c r="M22" s="93">
        <f t="shared" ref="M22:M27" si="17">AVERAGE(C22:H22)</f>
        <v>30.4</v>
      </c>
      <c r="N22" s="94">
        <f>(L22*500+M22*2*B21/(IF(AVERAGE($B$3, $B$12, $B$21, $B$30, $B$39)=0, 1, AVERAGE($B$3, $B$12, $B$21, $B$30, $B$39))))</f>
        <v>60.65587538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2"/>
      <c r="B23" s="95" t="s">
        <v>17</v>
      </c>
      <c r="C23" s="1">
        <v>176.0</v>
      </c>
      <c r="D23" s="88"/>
      <c r="E23" s="1">
        <v>200.0</v>
      </c>
      <c r="F23" s="1">
        <v>74.0</v>
      </c>
      <c r="G23" s="1">
        <v>150.0</v>
      </c>
      <c r="H23" s="96">
        <v>122.0</v>
      </c>
      <c r="I23" s="91">
        <f t="shared" si="13"/>
        <v>4</v>
      </c>
      <c r="J23" s="92">
        <f t="shared" si="14"/>
        <v>0</v>
      </c>
      <c r="K23" s="93">
        <f t="shared" si="15"/>
        <v>1</v>
      </c>
      <c r="L23" s="93">
        <f t="shared" si="16"/>
        <v>4</v>
      </c>
      <c r="M23" s="93">
        <f t="shared" si="17"/>
        <v>144.4</v>
      </c>
      <c r="N23" s="94">
        <f>(L23*500+M23*2*B21/(IF(AVERAGE($B$3, $B$12, $B$21, $B$30, $B$39)=0, 1, AVERAGE($B$3, $B$12, $B$21, $B$30, $B$39))))</f>
        <v>2288.115408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2"/>
      <c r="B24" s="95" t="s">
        <v>18</v>
      </c>
      <c r="C24" s="1">
        <v>106.0</v>
      </c>
      <c r="D24" s="1">
        <v>24.0</v>
      </c>
      <c r="E24" s="88"/>
      <c r="F24" s="1">
        <v>72.0</v>
      </c>
      <c r="G24" s="1">
        <v>98.0</v>
      </c>
      <c r="H24" s="96">
        <v>42.0</v>
      </c>
      <c r="I24" s="91">
        <f t="shared" si="13"/>
        <v>2</v>
      </c>
      <c r="J24" s="92">
        <f t="shared" si="14"/>
        <v>0</v>
      </c>
      <c r="K24" s="93">
        <f t="shared" si="15"/>
        <v>3</v>
      </c>
      <c r="L24" s="93">
        <f t="shared" si="16"/>
        <v>2</v>
      </c>
      <c r="M24" s="93">
        <f t="shared" si="17"/>
        <v>68.4</v>
      </c>
      <c r="N24" s="94">
        <f>(L24*500+M24*2*B21/(IF(AVERAGE($B$3, $B$12, $B$21, $B$30, $B$39)=0, 1, AVERAGE($B$3, $B$12, $B$21, $B$30, $B$39))))</f>
        <v>1136.47572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2"/>
      <c r="B25" s="95" t="s">
        <v>2</v>
      </c>
      <c r="C25" s="1">
        <v>174.0</v>
      </c>
      <c r="D25" s="1">
        <v>76.0</v>
      </c>
      <c r="E25" s="1">
        <v>182.0</v>
      </c>
      <c r="F25" s="88"/>
      <c r="G25" s="1">
        <v>64.0</v>
      </c>
      <c r="H25" s="96">
        <v>92.0</v>
      </c>
      <c r="I25" s="91">
        <f t="shared" si="13"/>
        <v>4</v>
      </c>
      <c r="J25" s="92">
        <f t="shared" si="14"/>
        <v>0</v>
      </c>
      <c r="K25" s="93">
        <f t="shared" si="15"/>
        <v>1</v>
      </c>
      <c r="L25" s="93">
        <f t="shared" si="16"/>
        <v>4</v>
      </c>
      <c r="M25" s="93">
        <f t="shared" si="17"/>
        <v>117.6</v>
      </c>
      <c r="N25" s="94">
        <f>(L25*500+M25*2*B21/(IF(AVERAGE($B$3, $B$12, $B$21, $B$30, $B$39)=0, 1, AVERAGE($B$3, $B$12, $B$21, $B$30, $B$39))))</f>
        <v>2234.642465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2"/>
      <c r="B26" s="95" t="s">
        <v>39</v>
      </c>
      <c r="C26" s="1">
        <v>170.0</v>
      </c>
      <c r="D26" s="1">
        <v>86.0</v>
      </c>
      <c r="E26" s="1">
        <v>90.0</v>
      </c>
      <c r="F26" s="1">
        <v>42.0</v>
      </c>
      <c r="G26" s="88"/>
      <c r="H26" s="96">
        <v>108.0</v>
      </c>
      <c r="I26" s="91">
        <f t="shared" si="13"/>
        <v>2</v>
      </c>
      <c r="J26" s="92">
        <f t="shared" si="14"/>
        <v>0</v>
      </c>
      <c r="K26" s="93">
        <f t="shared" si="15"/>
        <v>3</v>
      </c>
      <c r="L26" s="93">
        <f t="shared" si="16"/>
        <v>2</v>
      </c>
      <c r="M26" s="93">
        <f t="shared" si="17"/>
        <v>99.2</v>
      </c>
      <c r="N26" s="94">
        <f>(L26*500+M26*2*B21/(IF(AVERAGE($B$3, $B$12, $B$21, $B$30, $B$39)=0, 1, AVERAGE($B$3, $B$12, $B$21, $B$30, $B$39))))</f>
        <v>1197.929699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2"/>
      <c r="B27" s="97" t="s">
        <v>20</v>
      </c>
      <c r="C27" s="99">
        <v>212.0</v>
      </c>
      <c r="D27" s="99">
        <v>106.0</v>
      </c>
      <c r="E27" s="99">
        <v>140.0</v>
      </c>
      <c r="F27" s="99">
        <v>152.0</v>
      </c>
      <c r="G27" s="99">
        <v>36.0</v>
      </c>
      <c r="H27" s="100"/>
      <c r="I27" s="101">
        <f t="shared" si="13"/>
        <v>3</v>
      </c>
      <c r="J27" s="102">
        <f t="shared" si="14"/>
        <v>0</v>
      </c>
      <c r="K27" s="103">
        <f t="shared" si="15"/>
        <v>2</v>
      </c>
      <c r="L27" s="103">
        <f t="shared" si="16"/>
        <v>3</v>
      </c>
      <c r="M27" s="103">
        <f t="shared" si="17"/>
        <v>129.2</v>
      </c>
      <c r="N27" s="104">
        <f>(L27*500+M27*2*B21/(IF(AVERAGE($B$3, $B$12, $B$21, $B$30, $B$39)=0, 1, AVERAGE($B$3, $B$12, $B$21, $B$30, $B$39))))</f>
        <v>1757.78747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2"/>
      <c r="B28" s="2"/>
      <c r="C28" s="2"/>
      <c r="D28" s="2"/>
      <c r="E28" s="2"/>
      <c r="F28" s="2"/>
      <c r="G28" s="2"/>
      <c r="H28" s="2"/>
      <c r="I28" s="105"/>
      <c r="J28" s="10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2"/>
      <c r="B29" s="117" t="s">
        <v>35</v>
      </c>
      <c r="C29" s="77"/>
      <c r="D29" s="77"/>
      <c r="E29" s="77"/>
      <c r="F29" s="77"/>
      <c r="G29" s="77"/>
      <c r="H29" s="78"/>
      <c r="I29" s="105"/>
      <c r="J29" s="10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2"/>
      <c r="B30" s="107">
        <f>AVERAGE(M31:M36)</f>
        <v>97.26666667</v>
      </c>
      <c r="C30" s="108" t="s">
        <v>11</v>
      </c>
      <c r="D30" s="108" t="s">
        <v>16</v>
      </c>
      <c r="E30" s="108" t="s">
        <v>23</v>
      </c>
      <c r="F30" s="108" t="s">
        <v>25</v>
      </c>
      <c r="G30" s="108" t="s">
        <v>15</v>
      </c>
      <c r="H30" s="109" t="s">
        <v>4</v>
      </c>
      <c r="I30" s="110" t="s">
        <v>171</v>
      </c>
      <c r="J30" s="83" t="s">
        <v>172</v>
      </c>
      <c r="K30" s="84" t="s">
        <v>173</v>
      </c>
      <c r="L30" s="84" t="s">
        <v>174</v>
      </c>
      <c r="M30" s="84" t="s">
        <v>175</v>
      </c>
      <c r="N30" s="85" t="s">
        <v>176</v>
      </c>
      <c r="O30" s="2"/>
      <c r="P30" s="86"/>
      <c r="Q30" s="2"/>
      <c r="R30" s="2"/>
      <c r="S30" s="2"/>
      <c r="T30" s="2"/>
      <c r="U30" s="2"/>
      <c r="V30" s="2"/>
      <c r="W30" s="2"/>
      <c r="X30" s="2"/>
      <c r="Y30" s="2"/>
      <c r="Z30" s="2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2"/>
      <c r="B31" s="87" t="s">
        <v>11</v>
      </c>
      <c r="C31" s="88"/>
      <c r="D31" s="1">
        <v>128.0</v>
      </c>
      <c r="E31" s="1">
        <v>102.0</v>
      </c>
      <c r="F31" s="1">
        <v>144.0</v>
      </c>
      <c r="G31" s="1">
        <v>234.0</v>
      </c>
      <c r="H31" s="90">
        <v>126.0</v>
      </c>
      <c r="I31" s="91">
        <f>COUNTIF(L95:Q95,1)</f>
        <v>4</v>
      </c>
      <c r="J31" s="92">
        <f t="shared" ref="J31:J36" si="18">COUNTIF(K95:Q95,0.5)</f>
        <v>0</v>
      </c>
      <c r="K31" s="93">
        <f t="shared" ref="K31:K36" si="19">COUNTIF(K95:Q95,0)</f>
        <v>1</v>
      </c>
      <c r="L31" s="93">
        <f t="shared" ref="L31:L36" si="20">I31+0.5*J31</f>
        <v>4</v>
      </c>
      <c r="M31" s="93">
        <f t="shared" ref="M31:M36" si="21">AVERAGE(C31:H31)</f>
        <v>146.8</v>
      </c>
      <c r="N31" s="94">
        <f>(L31*500+M31*2*B30/(IF(AVERAGE($B$3, $B$12, $B$21, $B$30, $B$39)=0, 1, AVERAGE($B$3, $B$12, $B$21, $B$30, $B$39))))</f>
        <v>2290.120149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2"/>
      <c r="B32" s="95" t="s">
        <v>16</v>
      </c>
      <c r="C32" s="1">
        <v>28.0</v>
      </c>
      <c r="D32" s="88"/>
      <c r="E32" s="1">
        <v>72.0</v>
      </c>
      <c r="F32" s="1">
        <v>52.0</v>
      </c>
      <c r="G32" s="1">
        <v>86.0</v>
      </c>
      <c r="H32" s="90">
        <v>46.0</v>
      </c>
      <c r="I32" s="91">
        <f t="shared" ref="I32:I36" si="22">COUNTIF(K96:Q96,1)</f>
        <v>0</v>
      </c>
      <c r="J32" s="92">
        <f t="shared" si="18"/>
        <v>0</v>
      </c>
      <c r="K32" s="93">
        <f t="shared" si="19"/>
        <v>5</v>
      </c>
      <c r="L32" s="93">
        <f t="shared" si="20"/>
        <v>0</v>
      </c>
      <c r="M32" s="111">
        <f t="shared" si="21"/>
        <v>56.8</v>
      </c>
      <c r="N32" s="94">
        <f>(L32*500+M32*2*B30/(IF(AVERAGE($B$3, $B$12, $B$21, $B$30, $B$39)=0, 1, AVERAGE($B$3, $B$12, $B$21, $B$30, $B$39))))</f>
        <v>112.2535726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2"/>
      <c r="B33" s="95" t="s">
        <v>23</v>
      </c>
      <c r="C33" s="1">
        <v>54.0</v>
      </c>
      <c r="D33" s="1">
        <v>76.0</v>
      </c>
      <c r="E33" s="88"/>
      <c r="F33" s="1">
        <v>54.0</v>
      </c>
      <c r="G33" s="1">
        <v>42.0</v>
      </c>
      <c r="H33" s="90">
        <v>6.0</v>
      </c>
      <c r="I33" s="91">
        <f t="shared" si="22"/>
        <v>1</v>
      </c>
      <c r="J33" s="92">
        <f t="shared" si="18"/>
        <v>0</v>
      </c>
      <c r="K33" s="93">
        <f t="shared" si="19"/>
        <v>4</v>
      </c>
      <c r="L33" s="93">
        <f t="shared" si="20"/>
        <v>1</v>
      </c>
      <c r="M33" s="93">
        <f t="shared" si="21"/>
        <v>46.4</v>
      </c>
      <c r="N33" s="94">
        <f>(L33*500+M33*2*B30/(IF(AVERAGE($B$3, $B$12, $B$21, $B$30, $B$39)=0, 1, AVERAGE($B$3, $B$12, $B$21, $B$30, $B$39))))</f>
        <v>591.7001016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2"/>
      <c r="B34" s="95" t="s">
        <v>25</v>
      </c>
      <c r="C34" s="1">
        <v>54.0</v>
      </c>
      <c r="D34" s="1">
        <v>142.0</v>
      </c>
      <c r="E34" s="1">
        <v>142.0</v>
      </c>
      <c r="F34" s="88"/>
      <c r="G34" s="1">
        <v>90.0</v>
      </c>
      <c r="H34" s="90">
        <v>60.0</v>
      </c>
      <c r="I34" s="91">
        <f t="shared" si="22"/>
        <v>2</v>
      </c>
      <c r="J34" s="92">
        <f t="shared" si="18"/>
        <v>0</v>
      </c>
      <c r="K34" s="93">
        <f t="shared" si="19"/>
        <v>3</v>
      </c>
      <c r="L34" s="93">
        <f t="shared" si="20"/>
        <v>2</v>
      </c>
      <c r="M34" s="93">
        <f t="shared" si="21"/>
        <v>97.6</v>
      </c>
      <c r="N34" s="94">
        <f>(L34*500+M34*2*B30/(IF(AVERAGE($B$3, $B$12, $B$21, $B$30, $B$39)=0, 1, AVERAGE($B$3, $B$12, $B$21, $B$30, $B$39))))</f>
        <v>1192.886421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2"/>
      <c r="B35" s="95" t="s">
        <v>15</v>
      </c>
      <c r="C35" s="1">
        <v>48.0</v>
      </c>
      <c r="D35" s="1">
        <v>102.0</v>
      </c>
      <c r="E35" s="1">
        <v>100.0</v>
      </c>
      <c r="F35" s="1">
        <v>120.0</v>
      </c>
      <c r="G35" s="88"/>
      <c r="H35" s="90">
        <v>40.0</v>
      </c>
      <c r="I35" s="91">
        <f t="shared" si="22"/>
        <v>3</v>
      </c>
      <c r="J35" s="92">
        <f t="shared" si="18"/>
        <v>0</v>
      </c>
      <c r="K35" s="93">
        <f t="shared" si="19"/>
        <v>2</v>
      </c>
      <c r="L35" s="93">
        <f t="shared" si="20"/>
        <v>3</v>
      </c>
      <c r="M35" s="93">
        <f t="shared" si="21"/>
        <v>82</v>
      </c>
      <c r="N35" s="94">
        <f>(L35*500+M35*2*B30/(IF(AVERAGE($B$3, $B$12, $B$21, $B$30, $B$39)=0, 1, AVERAGE($B$3, $B$12, $B$21, $B$30, $B$39))))</f>
        <v>1662.056214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2"/>
      <c r="B36" s="97" t="s">
        <v>4</v>
      </c>
      <c r="C36" s="118">
        <v>144.0</v>
      </c>
      <c r="D36" s="118">
        <v>168.0</v>
      </c>
      <c r="E36" s="118">
        <v>144.0</v>
      </c>
      <c r="F36" s="118">
        <v>204.0</v>
      </c>
      <c r="G36" s="118">
        <v>110.0</v>
      </c>
      <c r="H36" s="119"/>
      <c r="I36" s="101">
        <f t="shared" si="22"/>
        <v>5</v>
      </c>
      <c r="J36" s="102">
        <f t="shared" si="18"/>
        <v>0</v>
      </c>
      <c r="K36" s="103">
        <f t="shared" si="19"/>
        <v>0</v>
      </c>
      <c r="L36" s="103">
        <f t="shared" si="20"/>
        <v>5</v>
      </c>
      <c r="M36" s="103">
        <f t="shared" si="21"/>
        <v>154</v>
      </c>
      <c r="N36" s="104">
        <f>(L36*500+M36*2*B30/(IF(AVERAGE($B$3, $B$12, $B$21, $B$30, $B$39)=0, 1, AVERAGE($B$3, $B$12, $B$21, $B$30, $B$39))))</f>
        <v>2804.349475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2"/>
      <c r="B37" s="2"/>
      <c r="C37" s="2"/>
      <c r="D37" s="2"/>
      <c r="E37" s="2"/>
      <c r="F37" s="2"/>
      <c r="G37" s="2"/>
      <c r="H37" s="2"/>
      <c r="I37" s="105"/>
      <c r="J37" s="10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2"/>
      <c r="B38" s="8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2"/>
      <c r="B39" s="2"/>
      <c r="C39" s="1"/>
      <c r="D39" s="1"/>
      <c r="E39" s="1"/>
      <c r="F39" s="1"/>
      <c r="G39" s="1"/>
      <c r="H39" s="1"/>
      <c r="I39" s="86"/>
      <c r="J39" s="86"/>
      <c r="K39" s="86"/>
      <c r="L39" s="86"/>
      <c r="M39" s="86"/>
      <c r="N39" s="86"/>
      <c r="O39" s="2"/>
      <c r="P39" s="86"/>
      <c r="Q39" s="2"/>
      <c r="R39" s="2"/>
      <c r="S39" s="2"/>
      <c r="T39" s="2"/>
      <c r="U39" s="2"/>
      <c r="V39" s="2"/>
      <c r="W39" s="2"/>
      <c r="X39" s="2"/>
      <c r="Y39" s="2"/>
      <c r="Z39" s="2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2"/>
      <c r="B40" s="1"/>
      <c r="C40" s="2"/>
      <c r="D40" s="1"/>
      <c r="E40" s="1"/>
      <c r="F40" s="1"/>
      <c r="G40" s="1"/>
      <c r="H40" s="1"/>
      <c r="I40" s="120"/>
      <c r="J40" s="120"/>
      <c r="K40" s="2"/>
      <c r="L40" s="2"/>
      <c r="M40" s="2"/>
      <c r="N40" s="12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2"/>
      <c r="B41" s="1"/>
      <c r="C41" s="1"/>
      <c r="D41" s="2"/>
      <c r="E41" s="1"/>
      <c r="F41" s="1"/>
      <c r="G41" s="1"/>
      <c r="H41" s="1"/>
      <c r="I41" s="120"/>
      <c r="J41" s="120"/>
      <c r="K41" s="2"/>
      <c r="L41" s="2"/>
      <c r="M41" s="2"/>
      <c r="N41" s="12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2"/>
      <c r="B42" s="1"/>
      <c r="C42" s="1"/>
      <c r="D42" s="1"/>
      <c r="E42" s="2"/>
      <c r="F42" s="1"/>
      <c r="G42" s="1"/>
      <c r="H42" s="1"/>
      <c r="I42" s="120"/>
      <c r="J42" s="2"/>
      <c r="K42" s="2"/>
      <c r="L42" s="2"/>
      <c r="M42" s="2"/>
      <c r="N42" s="12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2"/>
      <c r="B43" s="1"/>
      <c r="C43" s="1"/>
      <c r="D43" s="1"/>
      <c r="E43" s="1"/>
      <c r="F43" s="2"/>
      <c r="G43" s="1"/>
      <c r="H43" s="1"/>
      <c r="I43" s="120"/>
      <c r="J43" s="120"/>
      <c r="K43" s="2"/>
      <c r="L43" s="2"/>
      <c r="M43" s="2"/>
      <c r="N43" s="12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2"/>
      <c r="B44" s="1"/>
      <c r="C44" s="1"/>
      <c r="D44" s="1"/>
      <c r="E44" s="1"/>
      <c r="F44" s="1"/>
      <c r="G44" s="2"/>
      <c r="H44" s="1"/>
      <c r="I44" s="120"/>
      <c r="J44" s="120"/>
      <c r="K44" s="2"/>
      <c r="L44" s="2"/>
      <c r="M44" s="2"/>
      <c r="N44" s="12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2"/>
      <c r="B45" s="1"/>
      <c r="C45" s="1"/>
      <c r="D45" s="1"/>
      <c r="E45" s="1"/>
      <c r="F45" s="1"/>
      <c r="G45" s="1"/>
      <c r="H45" s="2"/>
      <c r="I45" s="122"/>
      <c r="J45" s="120"/>
      <c r="K45" s="2"/>
      <c r="L45" s="2"/>
      <c r="M45" s="2"/>
      <c r="N45" s="12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86"/>
      <c r="Q48" s="2"/>
      <c r="R48" s="2"/>
      <c r="S48" s="2"/>
      <c r="T48" s="2"/>
      <c r="U48" s="2"/>
      <c r="V48" s="2"/>
      <c r="W48" s="2"/>
      <c r="X48" s="2"/>
      <c r="Y48" s="2"/>
      <c r="Z48" s="2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2"/>
      <c r="B67" s="2"/>
      <c r="C67" s="120">
        <f t="shared" ref="C67:C73" si="23">B3</f>
        <v>101.7333333</v>
      </c>
      <c r="D67" s="120" t="str">
        <f t="array" ref="D67:I67">TRANSPOSE(C68:C73)</f>
        <v>VMATHS</v>
      </c>
      <c r="E67" s="120" t="s">
        <v>24</v>
      </c>
      <c r="F67" s="120" t="s">
        <v>13</v>
      </c>
      <c r="G67" s="120" t="s">
        <v>5</v>
      </c>
      <c r="H67" s="120" t="s">
        <v>9</v>
      </c>
      <c r="I67" s="120" t="s">
        <v>26</v>
      </c>
      <c r="J67" s="123"/>
      <c r="K67" s="123"/>
      <c r="L67" s="120" t="str">
        <f t="array" ref="L67:Q67">transpose(K68:K73)</f>
        <v>VMATHS</v>
      </c>
      <c r="M67" s="120" t="s">
        <v>24</v>
      </c>
      <c r="N67" s="120" t="s">
        <v>13</v>
      </c>
      <c r="O67" s="120" t="s">
        <v>5</v>
      </c>
      <c r="P67" s="120" t="s">
        <v>9</v>
      </c>
      <c r="Q67" s="120" t="s">
        <v>26</v>
      </c>
      <c r="R67" s="2"/>
      <c r="S67" s="2"/>
      <c r="T67" s="2"/>
      <c r="U67" s="2"/>
      <c r="V67" s="2"/>
      <c r="W67" s="2"/>
      <c r="X67" s="2"/>
      <c r="Y67" s="2"/>
      <c r="Z67" s="2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2"/>
      <c r="B68" s="2"/>
      <c r="C68" s="120" t="str">
        <f t="shared" si="23"/>
        <v>VMATHS</v>
      </c>
      <c r="D68" s="124" t="str">
        <f t="shared" ref="D68:I68" si="24">C4</f>
        <v/>
      </c>
      <c r="E68" s="123">
        <f t="shared" si="24"/>
        <v>158</v>
      </c>
      <c r="F68" s="120">
        <f t="shared" si="24"/>
        <v>78</v>
      </c>
      <c r="G68" s="120">
        <f t="shared" si="24"/>
        <v>102</v>
      </c>
      <c r="H68" s="120">
        <f t="shared" si="24"/>
        <v>142</v>
      </c>
      <c r="I68" s="120">
        <f t="shared" si="24"/>
        <v>164</v>
      </c>
      <c r="J68" s="123"/>
      <c r="K68" s="120" t="str">
        <f t="shared" ref="K68:K73" si="26">C68</f>
        <v>VMATHS</v>
      </c>
      <c r="L68" s="124"/>
      <c r="M68" s="120">
        <f>IF(E68&gt;D69, 1, IF(E68=D69, 0.5, 0))</f>
        <v>1</v>
      </c>
      <c r="N68" s="120">
        <f>IF(F68&gt;D70, 1, IF(F68=D70, 0.5, 0))</f>
        <v>1</v>
      </c>
      <c r="O68" s="120">
        <f>IF(G68&gt;D71, 1, IF(G68=D71, 0.5, 0))</f>
        <v>0</v>
      </c>
      <c r="P68" s="120">
        <f>IF(H68&gt;D72, 1, IF(H68=D72, 0.5, 0))</f>
        <v>1</v>
      </c>
      <c r="Q68" s="120">
        <f>IF(I68&gt;D73, 1, IF(I68=D73, 0.5, 0))</f>
        <v>1</v>
      </c>
      <c r="R68" s="2"/>
      <c r="S68" s="2"/>
      <c r="T68" s="2"/>
      <c r="U68" s="2"/>
      <c r="V68" s="2"/>
      <c r="W68" s="2"/>
      <c r="X68" s="2"/>
      <c r="Y68" s="2"/>
      <c r="Z68" s="2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2"/>
      <c r="B69" s="2"/>
      <c r="C69" s="120" t="str">
        <f t="shared" si="23"/>
        <v>North Allegheny</v>
      </c>
      <c r="D69" s="123">
        <f t="shared" ref="D69:I69" si="25">C5</f>
        <v>88</v>
      </c>
      <c r="E69" s="124" t="str">
        <f t="shared" si="25"/>
        <v/>
      </c>
      <c r="F69" s="123">
        <f t="shared" si="25"/>
        <v>166</v>
      </c>
      <c r="G69" s="123">
        <f t="shared" si="25"/>
        <v>18</v>
      </c>
      <c r="H69" s="123">
        <f t="shared" si="25"/>
        <v>70</v>
      </c>
      <c r="I69" s="123">
        <f t="shared" si="25"/>
        <v>200</v>
      </c>
      <c r="J69" s="123"/>
      <c r="K69" s="120" t="str">
        <f t="shared" si="26"/>
        <v>North Allegheny</v>
      </c>
      <c r="L69" s="120">
        <f>1-M68</f>
        <v>0</v>
      </c>
      <c r="M69" s="124"/>
      <c r="N69" s="120">
        <f>IF(F69&gt;E70, 1, IF(F69=E70, 0.5, 0))</f>
        <v>1</v>
      </c>
      <c r="O69" s="120">
        <f>IF(G69&gt;E71, 1, IF(G69=E71, 0.5, 0))</f>
        <v>0</v>
      </c>
      <c r="P69" s="120">
        <f>IF(H69&gt;E72, 1, IF(H69=E72, 0.5, 0))</f>
        <v>0</v>
      </c>
      <c r="Q69" s="120">
        <f>IF(I69&gt;E73, 1, IF(I69=E73, 0.5, 0))</f>
        <v>1</v>
      </c>
      <c r="R69" s="2"/>
      <c r="S69" s="2"/>
      <c r="T69" s="2"/>
      <c r="U69" s="2"/>
      <c r="V69" s="2"/>
      <c r="W69" s="2"/>
      <c r="X69" s="2"/>
      <c r="Y69" s="2"/>
      <c r="Z69" s="2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2"/>
      <c r="B70" s="2"/>
      <c r="C70" s="120" t="str">
        <f t="shared" si="23"/>
        <v>Morgantown</v>
      </c>
      <c r="D70" s="120">
        <f t="shared" ref="D70:I70" si="27">C6</f>
        <v>38</v>
      </c>
      <c r="E70" s="123">
        <f t="shared" si="27"/>
        <v>66</v>
      </c>
      <c r="F70" s="124" t="str">
        <f t="shared" si="27"/>
        <v/>
      </c>
      <c r="G70" s="120">
        <f t="shared" si="27"/>
        <v>24</v>
      </c>
      <c r="H70" s="120">
        <f t="shared" si="27"/>
        <v>46</v>
      </c>
      <c r="I70" s="120">
        <f t="shared" si="27"/>
        <v>22</v>
      </c>
      <c r="J70" s="123"/>
      <c r="K70" s="120" t="str">
        <f t="shared" si="26"/>
        <v>Morgantown</v>
      </c>
      <c r="L70" s="120">
        <f>1-N68</f>
        <v>0</v>
      </c>
      <c r="M70" s="120">
        <f>1-N69</f>
        <v>0</v>
      </c>
      <c r="N70" s="124"/>
      <c r="O70" s="120">
        <f>IF(G70&gt;F71, 1, IF(G70=F71, 0.5, 0))</f>
        <v>0</v>
      </c>
      <c r="P70" s="120">
        <f>IF(H70&gt;F72, 1, IF(H70=F72, 0.5, 0))</f>
        <v>0</v>
      </c>
      <c r="Q70" s="120">
        <f>IF(I70&gt;F74, 1, IF(I70=F74, 0.5, 0))</f>
        <v>1</v>
      </c>
      <c r="R70" s="2"/>
      <c r="S70" s="2"/>
      <c r="T70" s="2"/>
      <c r="U70" s="2"/>
      <c r="V70" s="2"/>
      <c r="W70" s="2"/>
      <c r="X70" s="2"/>
      <c r="Y70" s="2"/>
      <c r="Z70" s="2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2"/>
      <c r="B71" s="2"/>
      <c r="C71" s="120" t="str">
        <f t="shared" si="23"/>
        <v>Galen A</v>
      </c>
      <c r="D71" s="120">
        <f t="shared" ref="D71:I71" si="28">C7</f>
        <v>116</v>
      </c>
      <c r="E71" s="123">
        <f t="shared" si="28"/>
        <v>130</v>
      </c>
      <c r="F71" s="120">
        <f t="shared" si="28"/>
        <v>202</v>
      </c>
      <c r="G71" s="124" t="str">
        <f t="shared" si="28"/>
        <v/>
      </c>
      <c r="H71" s="120">
        <f t="shared" si="28"/>
        <v>110</v>
      </c>
      <c r="I71" s="120">
        <f t="shared" si="28"/>
        <v>226</v>
      </c>
      <c r="J71" s="123"/>
      <c r="K71" s="120" t="str">
        <f t="shared" si="26"/>
        <v>Galen A</v>
      </c>
      <c r="L71" s="120">
        <f>1-O68</f>
        <v>1</v>
      </c>
      <c r="M71" s="120">
        <f>1-O69</f>
        <v>1</v>
      </c>
      <c r="N71" s="120">
        <f>1-O70</f>
        <v>1</v>
      </c>
      <c r="O71" s="124"/>
      <c r="P71" s="120">
        <f>IF(H71&gt;G72, 1, IF(H71=G72, 0.5, 0))</f>
        <v>1</v>
      </c>
      <c r="Q71" s="120">
        <f>IF(I71&gt;G73, 1, IF(I71=G73, 0.5, 0))</f>
        <v>1</v>
      </c>
      <c r="R71" s="2"/>
      <c r="S71" s="2"/>
      <c r="T71" s="2"/>
      <c r="U71" s="2"/>
      <c r="V71" s="2"/>
      <c r="W71" s="2"/>
      <c r="X71" s="2"/>
      <c r="Y71" s="2"/>
      <c r="Z71" s="2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2"/>
      <c r="B72" s="2"/>
      <c r="C72" s="120" t="str">
        <f t="shared" si="23"/>
        <v>School of Geology</v>
      </c>
      <c r="D72" s="120">
        <f t="shared" ref="D72:I72" si="29">C8</f>
        <v>100</v>
      </c>
      <c r="E72" s="123">
        <f t="shared" si="29"/>
        <v>214</v>
      </c>
      <c r="F72" s="120">
        <f t="shared" si="29"/>
        <v>162</v>
      </c>
      <c r="G72" s="120">
        <f t="shared" si="29"/>
        <v>46</v>
      </c>
      <c r="H72" s="124" t="str">
        <f t="shared" si="29"/>
        <v/>
      </c>
      <c r="I72" s="120">
        <f t="shared" si="29"/>
        <v>170</v>
      </c>
      <c r="J72" s="123"/>
      <c r="K72" s="120" t="str">
        <f t="shared" si="26"/>
        <v>School of Geology</v>
      </c>
      <c r="L72" s="120">
        <f>1-P68</f>
        <v>0</v>
      </c>
      <c r="M72" s="120">
        <f>1-P69</f>
        <v>1</v>
      </c>
      <c r="N72" s="120">
        <f>1-P70</f>
        <v>1</v>
      </c>
      <c r="O72" s="120">
        <f>1-P71</f>
        <v>0</v>
      </c>
      <c r="P72" s="124"/>
      <c r="Q72" s="120">
        <f>IF(I72&gt;H73, 1, IF(I72=H73, 0.5, 0))</f>
        <v>1</v>
      </c>
      <c r="R72" s="2"/>
      <c r="S72" s="2"/>
      <c r="T72" s="2"/>
      <c r="U72" s="2"/>
      <c r="V72" s="2"/>
      <c r="W72" s="2"/>
      <c r="X72" s="2"/>
      <c r="Y72" s="2"/>
      <c r="Z72" s="2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2"/>
      <c r="B73" s="2"/>
      <c r="C73" s="120" t="str">
        <f t="shared" si="23"/>
        <v>Seven Lakes B</v>
      </c>
      <c r="D73" s="120">
        <f t="shared" ref="D73:I73" si="30">C9</f>
        <v>42</v>
      </c>
      <c r="E73" s="123">
        <f t="shared" si="30"/>
        <v>60</v>
      </c>
      <c r="F73" s="120">
        <f t="shared" si="30"/>
        <v>46</v>
      </c>
      <c r="G73" s="120">
        <f t="shared" si="30"/>
        <v>18</v>
      </c>
      <c r="H73" s="120">
        <f t="shared" si="30"/>
        <v>28</v>
      </c>
      <c r="I73" s="124" t="str">
        <f t="shared" si="30"/>
        <v/>
      </c>
      <c r="J73" s="123"/>
      <c r="K73" s="120" t="str">
        <f t="shared" si="26"/>
        <v>Seven Lakes B</v>
      </c>
      <c r="L73" s="120">
        <f>1-Q68</f>
        <v>0</v>
      </c>
      <c r="M73" s="120">
        <f>1-Q69</f>
        <v>0</v>
      </c>
      <c r="N73" s="120">
        <f>1-Q70</f>
        <v>0</v>
      </c>
      <c r="O73" s="120">
        <f>1-Q71</f>
        <v>0</v>
      </c>
      <c r="P73" s="120">
        <f>1-Q72</f>
        <v>0</v>
      </c>
      <c r="Q73" s="124"/>
      <c r="R73" s="2"/>
      <c r="S73" s="2"/>
      <c r="T73" s="2"/>
      <c r="U73" s="2"/>
      <c r="V73" s="2"/>
      <c r="W73" s="2"/>
      <c r="X73" s="2"/>
      <c r="Y73" s="2"/>
      <c r="Z73" s="2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2"/>
      <c r="B74" s="2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2"/>
      <c r="S74" s="2"/>
      <c r="T74" s="2"/>
      <c r="U74" s="2"/>
      <c r="V74" s="2"/>
      <c r="W74" s="2"/>
      <c r="X74" s="2"/>
      <c r="Y74" s="2"/>
      <c r="Z74" s="2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2"/>
      <c r="B75" s="2"/>
      <c r="C75" s="120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2"/>
      <c r="S75" s="2"/>
      <c r="T75" s="2"/>
      <c r="U75" s="2"/>
      <c r="V75" s="2"/>
      <c r="W75" s="2"/>
      <c r="X75" s="2"/>
      <c r="Y75" s="2"/>
      <c r="Z75" s="2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2"/>
      <c r="B76" s="2"/>
      <c r="C76" s="120"/>
      <c r="D76" s="120" t="str">
        <f t="array" ref="D76:I76">TRANSPOSE(C77:C82)</f>
        <v>Interlake</v>
      </c>
      <c r="E76" s="120" t="s">
        <v>7</v>
      </c>
      <c r="F76" s="120" t="s">
        <v>12</v>
      </c>
      <c r="G76" s="120" t="s">
        <v>10</v>
      </c>
      <c r="H76" s="120" t="s">
        <v>22</v>
      </c>
      <c r="I76" s="120" t="s">
        <v>3</v>
      </c>
      <c r="J76" s="123"/>
      <c r="K76" s="123"/>
      <c r="L76" s="120" t="str">
        <f t="array" ref="L76:Q76">transpose(K77:K82)</f>
        <v>Interlake</v>
      </c>
      <c r="M76" s="120" t="s">
        <v>7</v>
      </c>
      <c r="N76" s="120" t="s">
        <v>12</v>
      </c>
      <c r="O76" s="120" t="s">
        <v>10</v>
      </c>
      <c r="P76" s="120" t="s">
        <v>22</v>
      </c>
      <c r="Q76" s="120" t="s">
        <v>3</v>
      </c>
      <c r="R76" s="2"/>
      <c r="S76" s="2"/>
      <c r="T76" s="2"/>
      <c r="U76" s="2"/>
      <c r="V76" s="2"/>
      <c r="W76" s="2"/>
      <c r="X76" s="2"/>
      <c r="Y76" s="2"/>
      <c r="Z76" s="2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2"/>
      <c r="B77" s="2"/>
      <c r="C77" s="120" t="str">
        <f t="shared" ref="C77:I77" si="31">B13</f>
        <v>Interlake</v>
      </c>
      <c r="D77" s="123" t="str">
        <f t="shared" si="31"/>
        <v/>
      </c>
      <c r="E77" s="120">
        <f t="shared" si="31"/>
        <v>34</v>
      </c>
      <c r="F77" s="120">
        <f t="shared" si="31"/>
        <v>102</v>
      </c>
      <c r="G77" s="120">
        <f t="shared" si="31"/>
        <v>52</v>
      </c>
      <c r="H77" s="120">
        <f t="shared" si="31"/>
        <v>162</v>
      </c>
      <c r="I77" s="120">
        <f t="shared" si="31"/>
        <v>94</v>
      </c>
      <c r="J77" s="123"/>
      <c r="K77" s="120" t="str">
        <f t="shared" ref="K77:K82" si="33">C77</f>
        <v>Interlake</v>
      </c>
      <c r="L77" s="124"/>
      <c r="M77" s="120">
        <f>IF(E77&gt;D78, 1, IF(E77=D78, 0.5, 0))</f>
        <v>0</v>
      </c>
      <c r="N77" s="120">
        <f>IF(F77&gt;D79, 1, IF(F77=D79, 0.5, 0))</f>
        <v>1</v>
      </c>
      <c r="O77" s="120">
        <f>IF(G77&gt;D80, 1, IF(G77=D80, 0.5, 0))</f>
        <v>0</v>
      </c>
      <c r="P77" s="120">
        <f>IF(H77&gt;D81, 1, IF(H77=D81, 0.5, 0))</f>
        <v>1</v>
      </c>
      <c r="Q77" s="120">
        <f>IF(I77&gt;D82, 1, IF(I77=D82, 0.5, 0))</f>
        <v>0</v>
      </c>
      <c r="R77" s="2"/>
      <c r="S77" s="2"/>
      <c r="T77" s="2"/>
      <c r="U77" s="2"/>
      <c r="V77" s="2"/>
      <c r="W77" s="2"/>
      <c r="X77" s="2"/>
      <c r="Y77" s="2"/>
      <c r="Z77" s="2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2"/>
      <c r="B78" s="2"/>
      <c r="C78" s="120" t="str">
        <f t="shared" ref="C78:I78" si="32">B14</f>
        <v>ASFA</v>
      </c>
      <c r="D78" s="120">
        <f t="shared" si="32"/>
        <v>154</v>
      </c>
      <c r="E78" s="123" t="str">
        <f t="shared" si="32"/>
        <v/>
      </c>
      <c r="F78" s="120">
        <f t="shared" si="32"/>
        <v>202</v>
      </c>
      <c r="G78" s="120">
        <f t="shared" si="32"/>
        <v>94</v>
      </c>
      <c r="H78" s="120">
        <f t="shared" si="32"/>
        <v>204</v>
      </c>
      <c r="I78" s="120">
        <f t="shared" si="32"/>
        <v>172</v>
      </c>
      <c r="J78" s="123"/>
      <c r="K78" s="120" t="str">
        <f t="shared" si="33"/>
        <v>ASFA</v>
      </c>
      <c r="L78" s="120">
        <f>1-M77</f>
        <v>1</v>
      </c>
      <c r="M78" s="124"/>
      <c r="N78" s="120">
        <f>IF(F78&gt;E79, 1, IF(F78=E79, 0.5, 0))</f>
        <v>1</v>
      </c>
      <c r="O78" s="120">
        <f>IF(G78&gt;E80, 1, IF(G78=E80, 0.5, 0))</f>
        <v>1</v>
      </c>
      <c r="P78" s="120">
        <f>IF(H78&gt;E81, 1, IF(H78=E81, 0.5, 0))</f>
        <v>1</v>
      </c>
      <c r="Q78" s="120">
        <f>IF(I78&gt;E82, 1, IF(I78=E82, 0.5, 0))</f>
        <v>1</v>
      </c>
      <c r="R78" s="2"/>
      <c r="S78" s="2"/>
      <c r="T78" s="2"/>
      <c r="U78" s="2"/>
      <c r="V78" s="2"/>
      <c r="W78" s="2"/>
      <c r="X78" s="2"/>
      <c r="Y78" s="2"/>
      <c r="Z78" s="2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2"/>
      <c r="B79" s="2"/>
      <c r="C79" s="120" t="str">
        <f t="shared" ref="C79:I79" si="34">B15</f>
        <v>Niskayuna</v>
      </c>
      <c r="D79" s="120">
        <f t="shared" si="34"/>
        <v>40</v>
      </c>
      <c r="E79" s="120">
        <f t="shared" si="34"/>
        <v>70</v>
      </c>
      <c r="F79" s="123" t="str">
        <f t="shared" si="34"/>
        <v/>
      </c>
      <c r="G79" s="120">
        <f t="shared" si="34"/>
        <v>72</v>
      </c>
      <c r="H79" s="120">
        <f t="shared" si="34"/>
        <v>116</v>
      </c>
      <c r="I79" s="120">
        <f t="shared" si="34"/>
        <v>56</v>
      </c>
      <c r="J79" s="123"/>
      <c r="K79" s="120" t="str">
        <f t="shared" si="33"/>
        <v>Niskayuna</v>
      </c>
      <c r="L79" s="120">
        <f>1-N77</f>
        <v>0</v>
      </c>
      <c r="M79" s="120">
        <f>1-N78</f>
        <v>0</v>
      </c>
      <c r="N79" s="124"/>
      <c r="O79" s="120">
        <f>IF(G79&gt;F80, 1, IF(G79=F80, 0.5, 0))</f>
        <v>0</v>
      </c>
      <c r="P79" s="120">
        <f>IF(H79&gt;F81, 1, IF(H79=F81, 0.5, 0))</f>
        <v>1</v>
      </c>
      <c r="Q79" s="120">
        <f>IF(I79&gt;F83, 1, IF(I79=F83, 0.5, 0))</f>
        <v>1</v>
      </c>
      <c r="R79" s="2"/>
      <c r="S79" s="2"/>
      <c r="T79" s="2"/>
      <c r="U79" s="2"/>
      <c r="V79" s="2"/>
      <c r="W79" s="2"/>
      <c r="X79" s="2"/>
      <c r="Y79" s="2"/>
      <c r="Z79" s="2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2"/>
      <c r="B80" s="2"/>
      <c r="C80" s="120" t="str">
        <f t="shared" ref="C80:I80" si="35">B16</f>
        <v>North Hollywood A</v>
      </c>
      <c r="D80" s="120">
        <f t="shared" si="35"/>
        <v>162</v>
      </c>
      <c r="E80" s="120">
        <f t="shared" si="35"/>
        <v>88</v>
      </c>
      <c r="F80" s="120">
        <f t="shared" si="35"/>
        <v>168</v>
      </c>
      <c r="G80" s="123" t="str">
        <f t="shared" si="35"/>
        <v/>
      </c>
      <c r="H80" s="120">
        <f t="shared" si="35"/>
        <v>84</v>
      </c>
      <c r="I80" s="120">
        <f t="shared" si="35"/>
        <v>144</v>
      </c>
      <c r="J80" s="123"/>
      <c r="K80" s="120" t="str">
        <f t="shared" si="33"/>
        <v>North Hollywood A</v>
      </c>
      <c r="L80" s="120">
        <f>1-O77</f>
        <v>1</v>
      </c>
      <c r="M80" s="120">
        <f>1-O78</f>
        <v>0</v>
      </c>
      <c r="N80" s="120">
        <f>1-O79</f>
        <v>1</v>
      </c>
      <c r="O80" s="124"/>
      <c r="P80" s="120">
        <f>IF(H80&gt;G81, 1, IF(H80=G81, 0.5, 0))</f>
        <v>1</v>
      </c>
      <c r="Q80" s="120">
        <f>IF(I80&gt;G82, 1, IF(I80=G82, 0.5, 0))</f>
        <v>1</v>
      </c>
      <c r="R80" s="2"/>
      <c r="S80" s="2"/>
      <c r="T80" s="2"/>
      <c r="U80" s="2"/>
      <c r="V80" s="2"/>
      <c r="W80" s="2"/>
      <c r="X80" s="2"/>
      <c r="Y80" s="2"/>
      <c r="Z80" s="2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2"/>
      <c r="B81" s="2"/>
      <c r="C81" s="120" t="str">
        <f t="shared" ref="C81:I81" si="36">B17</f>
        <v>JP Stevens B</v>
      </c>
      <c r="D81" s="120">
        <f t="shared" si="36"/>
        <v>56</v>
      </c>
      <c r="E81" s="120">
        <f t="shared" si="36"/>
        <v>8</v>
      </c>
      <c r="F81" s="120">
        <f t="shared" si="36"/>
        <v>42</v>
      </c>
      <c r="G81" s="120">
        <f t="shared" si="36"/>
        <v>8</v>
      </c>
      <c r="H81" s="123" t="str">
        <f t="shared" si="36"/>
        <v/>
      </c>
      <c r="I81" s="120">
        <f t="shared" si="36"/>
        <v>32</v>
      </c>
      <c r="J81" s="123"/>
      <c r="K81" s="120" t="str">
        <f t="shared" si="33"/>
        <v>JP Stevens B</v>
      </c>
      <c r="L81" s="120">
        <f>1-P77</f>
        <v>0</v>
      </c>
      <c r="M81" s="120">
        <f>1-P78</f>
        <v>0</v>
      </c>
      <c r="N81" s="120">
        <f>1-P79</f>
        <v>0</v>
      </c>
      <c r="O81" s="120">
        <f>1-P80</f>
        <v>0</v>
      </c>
      <c r="P81" s="124"/>
      <c r="Q81" s="120">
        <f>IF(I81&gt;H82, 1, IF(I81=H82, 0.5, 0))</f>
        <v>0</v>
      </c>
      <c r="R81" s="2"/>
      <c r="S81" s="2"/>
      <c r="T81" s="2"/>
      <c r="U81" s="2"/>
      <c r="V81" s="2"/>
      <c r="W81" s="2"/>
      <c r="X81" s="2"/>
      <c r="Y81" s="2"/>
      <c r="Z81" s="2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2"/>
      <c r="B82" s="2"/>
      <c r="C82" s="120" t="str">
        <f t="shared" ref="C82:I82" si="37">B18</f>
        <v>Iolani</v>
      </c>
      <c r="D82" s="120">
        <f t="shared" si="37"/>
        <v>166</v>
      </c>
      <c r="E82" s="120">
        <f t="shared" si="37"/>
        <v>10</v>
      </c>
      <c r="F82" s="120">
        <f t="shared" si="37"/>
        <v>88</v>
      </c>
      <c r="G82" s="120">
        <f t="shared" si="37"/>
        <v>70</v>
      </c>
      <c r="H82" s="120">
        <f t="shared" si="37"/>
        <v>146</v>
      </c>
      <c r="I82" s="123" t="str">
        <f t="shared" si="37"/>
        <v/>
      </c>
      <c r="J82" s="123"/>
      <c r="K82" s="120" t="str">
        <f t="shared" si="33"/>
        <v>Iolani</v>
      </c>
      <c r="L82" s="120">
        <f>1-Q77</f>
        <v>1</v>
      </c>
      <c r="M82" s="120">
        <f>1-Q78</f>
        <v>0</v>
      </c>
      <c r="N82" s="120">
        <f>1-Q79</f>
        <v>0</v>
      </c>
      <c r="O82" s="120">
        <f>1-Q80</f>
        <v>0</v>
      </c>
      <c r="P82" s="120">
        <f>1-Q81</f>
        <v>1</v>
      </c>
      <c r="Q82" s="124"/>
      <c r="R82" s="2"/>
      <c r="S82" s="2"/>
      <c r="T82" s="2"/>
      <c r="U82" s="2"/>
      <c r="V82" s="2"/>
      <c r="W82" s="2"/>
      <c r="X82" s="2"/>
      <c r="Y82" s="2"/>
      <c r="Z82" s="2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2"/>
      <c r="B83" s="2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2"/>
      <c r="S83" s="2"/>
      <c r="T83" s="2"/>
      <c r="U83" s="2"/>
      <c r="V83" s="2"/>
      <c r="W83" s="2"/>
      <c r="X83" s="2"/>
      <c r="Y83" s="2"/>
      <c r="Z83" s="2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2"/>
      <c r="B84" s="2"/>
      <c r="C84" s="120" t="str">
        <f>C20</f>
        <v/>
      </c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2"/>
      <c r="S84" s="2"/>
      <c r="T84" s="2"/>
      <c r="U84" s="2"/>
      <c r="V84" s="2"/>
      <c r="W84" s="2"/>
      <c r="X84" s="2"/>
      <c r="Y84" s="2"/>
      <c r="Z84" s="2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2"/>
      <c r="B85" s="2"/>
      <c r="C85" s="120">
        <f t="shared" ref="C85:C91" si="38">B21</f>
        <v>98.2</v>
      </c>
      <c r="D85" s="120" t="str">
        <f t="array" ref="D85:I85">TRANSPOSE(C86:C91)</f>
        <v>JP Stevens A</v>
      </c>
      <c r="E85" s="120" t="s">
        <v>17</v>
      </c>
      <c r="F85" s="120" t="s">
        <v>18</v>
      </c>
      <c r="G85" s="120" t="s">
        <v>2</v>
      </c>
      <c r="H85" s="120" t="s">
        <v>39</v>
      </c>
      <c r="I85" s="120" t="s">
        <v>20</v>
      </c>
      <c r="J85" s="123"/>
      <c r="K85" s="123"/>
      <c r="L85" s="120" t="str">
        <f t="array" ref="L85:Q85">transpose(K86:K91)</f>
        <v>JP Stevens A</v>
      </c>
      <c r="M85" s="120" t="s">
        <v>17</v>
      </c>
      <c r="N85" s="120" t="s">
        <v>18</v>
      </c>
      <c r="O85" s="120" t="s">
        <v>2</v>
      </c>
      <c r="P85" s="120" t="s">
        <v>39</v>
      </c>
      <c r="Q85" s="120" t="s">
        <v>20</v>
      </c>
      <c r="R85" s="2"/>
      <c r="S85" s="2"/>
      <c r="T85" s="2"/>
      <c r="U85" s="2"/>
      <c r="V85" s="2"/>
      <c r="W85" s="2"/>
      <c r="X85" s="2"/>
      <c r="Y85" s="2"/>
      <c r="Z85" s="2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2"/>
      <c r="B86" s="2"/>
      <c r="C86" s="120" t="str">
        <f t="shared" si="38"/>
        <v>JP Stevens A</v>
      </c>
      <c r="D86" s="123" t="str">
        <f t="shared" ref="D86:I86" si="39">C22</f>
        <v/>
      </c>
      <c r="E86" s="120">
        <f t="shared" si="39"/>
        <v>4</v>
      </c>
      <c r="F86" s="120">
        <f t="shared" si="39"/>
        <v>18</v>
      </c>
      <c r="G86" s="120">
        <f t="shared" si="39"/>
        <v>36</v>
      </c>
      <c r="H86" s="120">
        <f t="shared" si="39"/>
        <v>66</v>
      </c>
      <c r="I86" s="120">
        <f t="shared" si="39"/>
        <v>28</v>
      </c>
      <c r="J86" s="123"/>
      <c r="K86" s="120" t="str">
        <f t="shared" ref="K86:K91" si="41">C86</f>
        <v>JP Stevens A</v>
      </c>
      <c r="L86" s="124"/>
      <c r="M86" s="120">
        <f>IF(E86&gt;D87, 1, IF(E86=D87, 0.5, 0))</f>
        <v>0</v>
      </c>
      <c r="N86" s="120">
        <f>IF(F86&gt;D88, 1, IF(F86=D88, 0.5, 0))</f>
        <v>0</v>
      </c>
      <c r="O86" s="120">
        <f>IF(G86&gt;D89, 1, IF(G86=D89, 0.5, 0))</f>
        <v>0</v>
      </c>
      <c r="P86" s="120">
        <f>IF(H86&gt;D90, 1, IF(H86=D90, 0.5, 0))</f>
        <v>0</v>
      </c>
      <c r="Q86" s="120">
        <f>IF(I86&gt;D91, 1, IF(I86=D91, 0.5, 0))</f>
        <v>0</v>
      </c>
      <c r="R86" s="2"/>
      <c r="S86" s="2"/>
      <c r="T86" s="2"/>
      <c r="U86" s="2"/>
      <c r="V86" s="2"/>
      <c r="W86" s="2"/>
      <c r="X86" s="2"/>
      <c r="Y86" s="2"/>
      <c r="Z86" s="2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2"/>
      <c r="B87" s="2"/>
      <c r="C87" s="120" t="str">
        <f t="shared" si="38"/>
        <v>Chibbles</v>
      </c>
      <c r="D87" s="120">
        <f t="shared" ref="D87:I87" si="40">C23</f>
        <v>176</v>
      </c>
      <c r="E87" s="123" t="str">
        <f t="shared" si="40"/>
        <v/>
      </c>
      <c r="F87" s="120">
        <f t="shared" si="40"/>
        <v>200</v>
      </c>
      <c r="G87" s="120">
        <f t="shared" si="40"/>
        <v>74</v>
      </c>
      <c r="H87" s="120">
        <f t="shared" si="40"/>
        <v>150</v>
      </c>
      <c r="I87" s="120">
        <f t="shared" si="40"/>
        <v>122</v>
      </c>
      <c r="J87" s="123"/>
      <c r="K87" s="120" t="str">
        <f t="shared" si="41"/>
        <v>Chibbles</v>
      </c>
      <c r="L87" s="120">
        <f>1-M86</f>
        <v>1</v>
      </c>
      <c r="M87" s="124"/>
      <c r="N87" s="120">
        <f>IF(F87&gt;E88, 1, IF(F87=E88, 0.5, 0))</f>
        <v>1</v>
      </c>
      <c r="O87" s="120">
        <f>IF(G87&gt;E89, 1, IF(G87=E89, 0.5, 0))</f>
        <v>0</v>
      </c>
      <c r="P87" s="120">
        <f>IF(H87&gt;E90, 1, IF(H87=E90, 0.5, 0))</f>
        <v>1</v>
      </c>
      <c r="Q87" s="120">
        <f>IF(I87&gt;E91, 1, IF(I87=E91, 0.5, 0))</f>
        <v>1</v>
      </c>
      <c r="R87" s="2"/>
      <c r="S87" s="2"/>
      <c r="T87" s="2"/>
      <c r="U87" s="2"/>
      <c r="V87" s="2"/>
      <c r="W87" s="2"/>
      <c r="X87" s="2"/>
      <c r="Y87" s="2"/>
      <c r="Z87" s="2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2"/>
      <c r="B88" s="2"/>
      <c r="C88" s="120" t="str">
        <f t="shared" si="38"/>
        <v>Hunter</v>
      </c>
      <c r="D88" s="120">
        <f t="shared" ref="D88:I88" si="42">C24</f>
        <v>106</v>
      </c>
      <c r="E88" s="120">
        <f t="shared" si="42"/>
        <v>24</v>
      </c>
      <c r="F88" s="123" t="str">
        <f t="shared" si="42"/>
        <v/>
      </c>
      <c r="G88" s="120">
        <f t="shared" si="42"/>
        <v>72</v>
      </c>
      <c r="H88" s="120">
        <f t="shared" si="42"/>
        <v>98</v>
      </c>
      <c r="I88" s="120">
        <f t="shared" si="42"/>
        <v>42</v>
      </c>
      <c r="J88" s="123"/>
      <c r="K88" s="120" t="str">
        <f t="shared" si="41"/>
        <v>Hunter</v>
      </c>
      <c r="L88" s="120">
        <f>1-N86</f>
        <v>1</v>
      </c>
      <c r="M88" s="120">
        <f>1-N87</f>
        <v>0</v>
      </c>
      <c r="N88" s="124"/>
      <c r="O88" s="120">
        <f>IF(G88&gt;F89, 1, IF(G88=F89, 0.5, 0))</f>
        <v>0</v>
      </c>
      <c r="P88" s="120">
        <f>IF(H88&gt;F90, 1, IF(H88=F90, 0.5, 0))</f>
        <v>1</v>
      </c>
      <c r="Q88" s="120">
        <f>IF(I88&gt;F91, 1, IF(I88=F91, 0.5, 0))</f>
        <v>0</v>
      </c>
      <c r="R88" s="2"/>
      <c r="S88" s="2"/>
      <c r="T88" s="2"/>
      <c r="U88" s="2"/>
      <c r="V88" s="2"/>
      <c r="W88" s="2"/>
      <c r="X88" s="2"/>
      <c r="Y88" s="2"/>
      <c r="Z88" s="2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2"/>
      <c r="B89" s="2"/>
      <c r="C89" s="120" t="str">
        <f t="shared" si="38"/>
        <v>Mira North</v>
      </c>
      <c r="D89" s="120">
        <f t="shared" ref="D89:I89" si="43">C25</f>
        <v>174</v>
      </c>
      <c r="E89" s="120">
        <f t="shared" si="43"/>
        <v>76</v>
      </c>
      <c r="F89" s="120">
        <f t="shared" si="43"/>
        <v>182</v>
      </c>
      <c r="G89" s="123" t="str">
        <f t="shared" si="43"/>
        <v/>
      </c>
      <c r="H89" s="120">
        <f t="shared" si="43"/>
        <v>64</v>
      </c>
      <c r="I89" s="120">
        <f t="shared" si="43"/>
        <v>92</v>
      </c>
      <c r="J89" s="123"/>
      <c r="K89" s="120" t="str">
        <f t="shared" si="41"/>
        <v>Mira North</v>
      </c>
      <c r="L89" s="120">
        <f>1-O86</f>
        <v>1</v>
      </c>
      <c r="M89" s="120">
        <f>1-O87</f>
        <v>1</v>
      </c>
      <c r="N89" s="120">
        <f>1-O88</f>
        <v>1</v>
      </c>
      <c r="O89" s="124"/>
      <c r="P89" s="120">
        <f>IF(H89&gt;G90, 1, IF(H89=G90, 0.5, 0))</f>
        <v>1</v>
      </c>
      <c r="Q89" s="120">
        <f>IF(I89&gt;G91, 1, IF(I89=G91, 0.5, 0))</f>
        <v>0</v>
      </c>
      <c r="R89" s="2"/>
      <c r="S89" s="2"/>
      <c r="T89" s="2"/>
      <c r="U89" s="2"/>
      <c r="V89" s="2"/>
      <c r="W89" s="2"/>
      <c r="X89" s="2"/>
      <c r="Y89" s="2"/>
      <c r="Z89" s="2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2"/>
      <c r="B90" s="2"/>
      <c r="C90" s="120" t="str">
        <f t="shared" si="38"/>
        <v>Lexington A</v>
      </c>
      <c r="D90" s="120">
        <f t="shared" ref="D90:I90" si="44">C26</f>
        <v>170</v>
      </c>
      <c r="E90" s="120">
        <f t="shared" si="44"/>
        <v>86</v>
      </c>
      <c r="F90" s="120">
        <f t="shared" si="44"/>
        <v>90</v>
      </c>
      <c r="G90" s="120">
        <f t="shared" si="44"/>
        <v>42</v>
      </c>
      <c r="H90" s="123" t="str">
        <f t="shared" si="44"/>
        <v/>
      </c>
      <c r="I90" s="120">
        <f t="shared" si="44"/>
        <v>108</v>
      </c>
      <c r="J90" s="123"/>
      <c r="K90" s="120" t="str">
        <f t="shared" si="41"/>
        <v>Lexington A</v>
      </c>
      <c r="L90" s="120">
        <f>1-P86</f>
        <v>1</v>
      </c>
      <c r="M90" s="120">
        <f>1-P87</f>
        <v>0</v>
      </c>
      <c r="N90" s="120">
        <f>1-P88</f>
        <v>0</v>
      </c>
      <c r="O90" s="120">
        <f>1-P89</f>
        <v>0</v>
      </c>
      <c r="P90" s="124"/>
      <c r="Q90" s="120">
        <f>IF(I90&gt;H91, 1, IF(I90=H91, 0.5, 0))</f>
        <v>1</v>
      </c>
      <c r="R90" s="2"/>
      <c r="S90" s="2"/>
      <c r="T90" s="2"/>
      <c r="U90" s="2"/>
      <c r="V90" s="2"/>
      <c r="W90" s="2"/>
      <c r="X90" s="2"/>
      <c r="Y90" s="2"/>
      <c r="Z90" s="2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2"/>
      <c r="B91" s="2"/>
      <c r="C91" s="120" t="str">
        <f t="shared" si="38"/>
        <v>Edwin's Victims</v>
      </c>
      <c r="D91" s="120">
        <f t="shared" ref="D91:I91" si="45">C27</f>
        <v>212</v>
      </c>
      <c r="E91" s="120">
        <f t="shared" si="45"/>
        <v>106</v>
      </c>
      <c r="F91" s="120">
        <f t="shared" si="45"/>
        <v>140</v>
      </c>
      <c r="G91" s="120">
        <f t="shared" si="45"/>
        <v>152</v>
      </c>
      <c r="H91" s="120">
        <f t="shared" si="45"/>
        <v>36</v>
      </c>
      <c r="I91" s="123" t="str">
        <f t="shared" si="45"/>
        <v/>
      </c>
      <c r="J91" s="123"/>
      <c r="K91" s="120" t="str">
        <f t="shared" si="41"/>
        <v>Edwin's Victims</v>
      </c>
      <c r="L91" s="120">
        <f>1-Q86</f>
        <v>1</v>
      </c>
      <c r="M91" s="120">
        <f>1-Q87</f>
        <v>0</v>
      </c>
      <c r="N91" s="120">
        <f>1-Q88</f>
        <v>1</v>
      </c>
      <c r="O91" s="120">
        <f>1-Q89</f>
        <v>1</v>
      </c>
      <c r="P91" s="120">
        <f>1-Q90</f>
        <v>0</v>
      </c>
      <c r="Q91" s="124"/>
      <c r="R91" s="2"/>
      <c r="S91" s="2"/>
      <c r="T91" s="2"/>
      <c r="U91" s="2"/>
      <c r="V91" s="2"/>
      <c r="W91" s="2"/>
      <c r="X91" s="2"/>
      <c r="Y91" s="2"/>
      <c r="Z91" s="2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2"/>
      <c r="B92" s="2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2"/>
      <c r="S92" s="2"/>
      <c r="T92" s="2"/>
      <c r="U92" s="2"/>
      <c r="V92" s="2"/>
      <c r="W92" s="2"/>
      <c r="X92" s="2"/>
      <c r="Y92" s="2"/>
      <c r="Z92" s="2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2"/>
      <c r="B93" s="2"/>
      <c r="C93" s="120" t="str">
        <f>C29</f>
        <v/>
      </c>
      <c r="D93" s="59"/>
      <c r="E93" s="59"/>
      <c r="F93" s="59"/>
      <c r="G93" s="59"/>
      <c r="H93" s="59"/>
      <c r="I93" s="59"/>
      <c r="J93" s="123"/>
      <c r="K93" s="123"/>
      <c r="L93" s="123"/>
      <c r="M93" s="123"/>
      <c r="N93" s="123"/>
      <c r="O93" s="123"/>
      <c r="P93" s="123"/>
      <c r="Q93" s="123"/>
      <c r="R93" s="2"/>
      <c r="S93" s="2"/>
      <c r="T93" s="2"/>
      <c r="U93" s="2"/>
      <c r="V93" s="2"/>
      <c r="W93" s="2"/>
      <c r="X93" s="2"/>
      <c r="Y93" s="2"/>
      <c r="Z93" s="2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2"/>
      <c r="B94" s="2"/>
      <c r="C94" s="120"/>
      <c r="D94" s="120" t="str">
        <f t="array" ref="D94:I94">TRANSPOSE(C95:C100)</f>
        <v>North Hollywood B</v>
      </c>
      <c r="E94" s="120" t="s">
        <v>16</v>
      </c>
      <c r="F94" s="120" t="s">
        <v>23</v>
      </c>
      <c r="G94" s="120" t="s">
        <v>25</v>
      </c>
      <c r="H94" s="120" t="s">
        <v>15</v>
      </c>
      <c r="I94" s="120" t="s">
        <v>4</v>
      </c>
      <c r="J94" s="123"/>
      <c r="K94" s="123"/>
      <c r="L94" s="120" t="str">
        <f t="array" ref="L94:Q94">transpose(K95:K100)</f>
        <v>North Hollywood B</v>
      </c>
      <c r="M94" s="120" t="s">
        <v>16</v>
      </c>
      <c r="N94" s="120" t="s">
        <v>23</v>
      </c>
      <c r="O94" s="120" t="s">
        <v>25</v>
      </c>
      <c r="P94" s="120" t="s">
        <v>15</v>
      </c>
      <c r="Q94" s="120" t="s">
        <v>4</v>
      </c>
      <c r="R94" s="2"/>
      <c r="S94" s="2"/>
      <c r="T94" s="2"/>
      <c r="U94" s="2"/>
      <c r="V94" s="2"/>
      <c r="W94" s="2"/>
      <c r="X94" s="2"/>
      <c r="Y94" s="2"/>
      <c r="Z94" s="2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2"/>
      <c r="B95" s="2"/>
      <c r="C95" s="120" t="str">
        <f t="shared" ref="C95:I95" si="46">B31</f>
        <v>North Hollywood B</v>
      </c>
      <c r="D95" s="125" t="str">
        <f t="shared" si="46"/>
        <v/>
      </c>
      <c r="E95" s="120">
        <f t="shared" si="46"/>
        <v>128</v>
      </c>
      <c r="F95" s="120">
        <f t="shared" si="46"/>
        <v>102</v>
      </c>
      <c r="G95" s="120">
        <f t="shared" si="46"/>
        <v>144</v>
      </c>
      <c r="H95" s="120">
        <f t="shared" si="46"/>
        <v>234</v>
      </c>
      <c r="I95" s="123">
        <f t="shared" si="46"/>
        <v>126</v>
      </c>
      <c r="J95" s="123"/>
      <c r="K95" s="120" t="str">
        <f t="shared" ref="K95:K100" si="48">C95</f>
        <v>North Hollywood B</v>
      </c>
      <c r="L95" s="124"/>
      <c r="M95" s="120">
        <f>IF(E95&gt;D96, 1, IF(E95=D96, 0.5, 0))</f>
        <v>1</v>
      </c>
      <c r="N95" s="120">
        <f>IF(F95&gt;D97, 1, IF(F95=D97, 0.5, 0))</f>
        <v>1</v>
      </c>
      <c r="O95" s="120">
        <f>IF(G95&gt;D98, 1, IF(G95=D98, 0.5, 0))</f>
        <v>1</v>
      </c>
      <c r="P95" s="120">
        <f>IF(H95&gt;D99, 1, IF(H95=D99, 0.5, 0))</f>
        <v>1</v>
      </c>
      <c r="Q95" s="120">
        <f>IF(I95&gt;D100, 1, IF(I95=D100, 0.5, 0))</f>
        <v>0</v>
      </c>
      <c r="R95" s="2"/>
      <c r="S95" s="2"/>
      <c r="T95" s="2"/>
      <c r="U95" s="2"/>
      <c r="V95" s="2"/>
      <c r="W95" s="2"/>
      <c r="X95" s="2"/>
      <c r="Y95" s="2"/>
      <c r="Z95" s="2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2"/>
      <c r="B96" s="2"/>
      <c r="C96" s="120" t="str">
        <f t="shared" ref="C96:I96" si="47">B32</f>
        <v>Chicken Jockies</v>
      </c>
      <c r="D96" s="120">
        <f t="shared" si="47"/>
        <v>28</v>
      </c>
      <c r="E96" s="123" t="str">
        <f t="shared" si="47"/>
        <v/>
      </c>
      <c r="F96" s="120">
        <f t="shared" si="47"/>
        <v>72</v>
      </c>
      <c r="G96" s="120">
        <f t="shared" si="47"/>
        <v>52</v>
      </c>
      <c r="H96" s="120">
        <f t="shared" si="47"/>
        <v>86</v>
      </c>
      <c r="I96" s="123">
        <f t="shared" si="47"/>
        <v>46</v>
      </c>
      <c r="J96" s="123"/>
      <c r="K96" s="120" t="str">
        <f t="shared" si="48"/>
        <v>Chicken Jockies</v>
      </c>
      <c r="L96" s="120">
        <f>1-M95</f>
        <v>0</v>
      </c>
      <c r="M96" s="124"/>
      <c r="N96" s="120">
        <f>IF(F96&gt;E97, 1, IF(F96=E97, 0.5, 0))</f>
        <v>0</v>
      </c>
      <c r="O96" s="120">
        <f>IF(G96&gt;E98, 1, IF(G96=E98, 0.5, 0))</f>
        <v>0</v>
      </c>
      <c r="P96" s="120">
        <f>IF(H96&gt;E99, 1, IF(H96=E99, 0.5, 0))</f>
        <v>0</v>
      </c>
      <c r="Q96" s="120">
        <f>IF(I96&gt;E100, 1, IF(I96=E100, 0.5, 0))</f>
        <v>0</v>
      </c>
      <c r="R96" s="2"/>
      <c r="S96" s="2"/>
      <c r="T96" s="2"/>
      <c r="U96" s="2"/>
      <c r="V96" s="2"/>
      <c r="W96" s="2"/>
      <c r="X96" s="2"/>
      <c r="Y96" s="2"/>
      <c r="Z96" s="2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2"/>
      <c r="B97" s="2"/>
      <c r="C97" s="120" t="str">
        <f t="shared" ref="C97:I97" si="49">B33</f>
        <v>LE SSERAFIM</v>
      </c>
      <c r="D97" s="120">
        <f t="shared" si="49"/>
        <v>54</v>
      </c>
      <c r="E97" s="120">
        <f t="shared" si="49"/>
        <v>76</v>
      </c>
      <c r="F97" s="123" t="str">
        <f t="shared" si="49"/>
        <v/>
      </c>
      <c r="G97" s="120">
        <f t="shared" si="49"/>
        <v>54</v>
      </c>
      <c r="H97" s="120">
        <f t="shared" si="49"/>
        <v>42</v>
      </c>
      <c r="I97" s="123">
        <f t="shared" si="49"/>
        <v>6</v>
      </c>
      <c r="J97" s="123"/>
      <c r="K97" s="120" t="str">
        <f t="shared" si="48"/>
        <v>LE SSERAFIM</v>
      </c>
      <c r="L97" s="120">
        <f>1-N95</f>
        <v>0</v>
      </c>
      <c r="M97" s="120">
        <f>1-N96</f>
        <v>1</v>
      </c>
      <c r="N97" s="124"/>
      <c r="O97" s="120">
        <f>IF(G97&gt;F98, 1, IF(G97=F98, 0.5, 0))</f>
        <v>0</v>
      </c>
      <c r="P97" s="120">
        <f>IF(H97&gt;F99, 1, IF(H97=F99, 0.5, 0))</f>
        <v>0</v>
      </c>
      <c r="Q97" s="120">
        <f>IF(I97&gt;F100, 1, IF(I97=F100, 0.5, 0))</f>
        <v>0</v>
      </c>
      <c r="R97" s="2"/>
      <c r="S97" s="2"/>
      <c r="T97" s="2"/>
      <c r="U97" s="2"/>
      <c r="V97" s="2"/>
      <c r="W97" s="2"/>
      <c r="X97" s="2"/>
      <c r="Y97" s="2"/>
      <c r="Z97" s="2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2"/>
      <c r="B98" s="2"/>
      <c r="C98" s="120" t="str">
        <f t="shared" ref="C98:I98" si="50">B34</f>
        <v>Seven Lakes A</v>
      </c>
      <c r="D98" s="120">
        <f t="shared" si="50"/>
        <v>54</v>
      </c>
      <c r="E98" s="120">
        <f t="shared" si="50"/>
        <v>142</v>
      </c>
      <c r="F98" s="120">
        <f t="shared" si="50"/>
        <v>142</v>
      </c>
      <c r="G98" s="123" t="str">
        <f t="shared" si="50"/>
        <v/>
      </c>
      <c r="H98" s="120">
        <f t="shared" si="50"/>
        <v>90</v>
      </c>
      <c r="I98" s="123">
        <f t="shared" si="50"/>
        <v>60</v>
      </c>
      <c r="J98" s="123"/>
      <c r="K98" s="120" t="str">
        <f t="shared" si="48"/>
        <v>Seven Lakes A</v>
      </c>
      <c r="L98" s="120">
        <f>1-O95</f>
        <v>0</v>
      </c>
      <c r="M98" s="120">
        <f>1-O96</f>
        <v>1</v>
      </c>
      <c r="N98" s="120">
        <f>1-O97</f>
        <v>1</v>
      </c>
      <c r="O98" s="124"/>
      <c r="P98" s="120">
        <f>IF(H98&gt;G99, 1, IF(H98=G99, 0.5, 0))</f>
        <v>0</v>
      </c>
      <c r="Q98" s="120">
        <f>IF(I98&gt;G100, 1, IF(I98=G100, 0.5, 0))</f>
        <v>0</v>
      </c>
      <c r="R98" s="2"/>
      <c r="S98" s="2"/>
      <c r="T98" s="2"/>
      <c r="U98" s="2"/>
      <c r="V98" s="2"/>
      <c r="W98" s="2"/>
      <c r="X98" s="2"/>
      <c r="Y98" s="2"/>
      <c r="Z98" s="2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2"/>
      <c r="B99" s="2"/>
      <c r="C99" s="120" t="str">
        <f t="shared" ref="C99:I99" si="51">B35</f>
        <v>Palo Alto</v>
      </c>
      <c r="D99" s="120">
        <f t="shared" si="51"/>
        <v>48</v>
      </c>
      <c r="E99" s="120">
        <f t="shared" si="51"/>
        <v>102</v>
      </c>
      <c r="F99" s="120">
        <f t="shared" si="51"/>
        <v>100</v>
      </c>
      <c r="G99" s="120">
        <f t="shared" si="51"/>
        <v>120</v>
      </c>
      <c r="H99" s="123" t="str">
        <f t="shared" si="51"/>
        <v/>
      </c>
      <c r="I99" s="123">
        <f t="shared" si="51"/>
        <v>40</v>
      </c>
      <c r="J99" s="123"/>
      <c r="K99" s="120" t="str">
        <f t="shared" si="48"/>
        <v>Palo Alto</v>
      </c>
      <c r="L99" s="120">
        <f>1-P95</f>
        <v>0</v>
      </c>
      <c r="M99" s="120">
        <f>1-P96</f>
        <v>1</v>
      </c>
      <c r="N99" s="120">
        <f>1-P97</f>
        <v>1</v>
      </c>
      <c r="O99" s="120">
        <f>1-P98</f>
        <v>1</v>
      </c>
      <c r="P99" s="124"/>
      <c r="Q99" s="120">
        <f>IF(I99&gt;H100, 1, IF(I99=H100, 0.5, 0))</f>
        <v>0</v>
      </c>
      <c r="R99" s="2"/>
      <c r="S99" s="2"/>
      <c r="T99" s="2"/>
      <c r="U99" s="2"/>
      <c r="V99" s="2"/>
      <c r="W99" s="2"/>
      <c r="X99" s="2"/>
      <c r="Y99" s="2"/>
      <c r="Z99" s="2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2"/>
      <c r="B100" s="2"/>
      <c r="C100" s="120" t="str">
        <f t="shared" ref="C100:I100" si="52">B36</f>
        <v>Blair Clemens</v>
      </c>
      <c r="D100" s="123">
        <f t="shared" si="52"/>
        <v>144</v>
      </c>
      <c r="E100" s="123">
        <f t="shared" si="52"/>
        <v>168</v>
      </c>
      <c r="F100" s="123">
        <f t="shared" si="52"/>
        <v>144</v>
      </c>
      <c r="G100" s="123">
        <f t="shared" si="52"/>
        <v>204</v>
      </c>
      <c r="H100" s="123">
        <f t="shared" si="52"/>
        <v>110</v>
      </c>
      <c r="I100" s="123" t="str">
        <f t="shared" si="52"/>
        <v/>
      </c>
      <c r="J100" s="123"/>
      <c r="K100" s="120" t="str">
        <f t="shared" si="48"/>
        <v>Blair Clemens</v>
      </c>
      <c r="L100" s="120">
        <f>1-Q95</f>
        <v>1</v>
      </c>
      <c r="M100" s="120">
        <f>1-Q96</f>
        <v>1</v>
      </c>
      <c r="N100" s="120">
        <f>1-Q97</f>
        <v>1</v>
      </c>
      <c r="O100" s="120">
        <f>1-Q98</f>
        <v>1</v>
      </c>
      <c r="P100" s="120">
        <f>1-Q99</f>
        <v>1</v>
      </c>
      <c r="Q100" s="124"/>
      <c r="R100" s="2"/>
      <c r="S100" s="2"/>
      <c r="T100" s="2"/>
      <c r="U100" s="2"/>
      <c r="V100" s="2"/>
      <c r="W100" s="2"/>
      <c r="X100" s="2"/>
      <c r="Y100" s="2"/>
      <c r="Z100" s="2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 ht="1.5" customHeight="1">
      <c r="A101" s="2"/>
      <c r="B101" s="2"/>
      <c r="C101" s="123" t="str">
        <f>C37</f>
        <v/>
      </c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2"/>
      <c r="S101" s="2"/>
      <c r="T101" s="2"/>
      <c r="U101" s="2"/>
      <c r="V101" s="2"/>
      <c r="W101" s="2"/>
      <c r="X101" s="2"/>
      <c r="Y101" s="2"/>
      <c r="Z101" s="2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2"/>
      <c r="B102" s="2"/>
      <c r="C102" s="120"/>
      <c r="D102" s="59"/>
      <c r="E102" s="59"/>
      <c r="F102" s="59"/>
      <c r="G102" s="59"/>
      <c r="H102" s="59"/>
      <c r="I102" s="59"/>
      <c r="J102" s="123"/>
      <c r="K102" s="123"/>
      <c r="L102" s="123"/>
      <c r="M102" s="123"/>
      <c r="N102" s="123"/>
      <c r="O102" s="123"/>
      <c r="P102" s="123"/>
      <c r="Q102" s="123"/>
      <c r="R102" s="2"/>
      <c r="S102" s="2"/>
      <c r="T102" s="2"/>
      <c r="U102" s="2"/>
      <c r="V102" s="2"/>
      <c r="W102" s="2"/>
      <c r="X102" s="2"/>
      <c r="Y102" s="2"/>
      <c r="Z102" s="2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2"/>
      <c r="B103" s="2"/>
      <c r="C103" s="120"/>
      <c r="D103" s="120" t="str">
        <f t="array" ref="D103:I103">Transpose(C104:C109)</f>
        <v/>
      </c>
      <c r="E103" s="120"/>
      <c r="F103" s="120"/>
      <c r="G103" s="120"/>
      <c r="H103" s="120"/>
      <c r="I103" s="120"/>
      <c r="J103" s="123"/>
      <c r="K103" s="123"/>
      <c r="L103" s="120" t="str">
        <f t="array" ref="L103:Q103">transpose(K104:K109)</f>
        <v/>
      </c>
      <c r="M103" s="120"/>
      <c r="N103" s="120"/>
      <c r="O103" s="120"/>
      <c r="P103" s="120"/>
      <c r="Q103" s="120"/>
      <c r="R103" s="2"/>
      <c r="S103" s="2"/>
      <c r="T103" s="2"/>
      <c r="U103" s="2"/>
      <c r="V103" s="2"/>
      <c r="W103" s="2"/>
      <c r="X103" s="2"/>
      <c r="Y103" s="2"/>
      <c r="Z103" s="2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2"/>
      <c r="B104" s="2"/>
      <c r="C104" s="120" t="str">
        <f t="shared" ref="C104:I104" si="53">B40</f>
        <v/>
      </c>
      <c r="D104" s="123" t="str">
        <f t="shared" si="53"/>
        <v/>
      </c>
      <c r="E104" s="120" t="str">
        <f t="shared" si="53"/>
        <v/>
      </c>
      <c r="F104" s="120" t="str">
        <f t="shared" si="53"/>
        <v/>
      </c>
      <c r="G104" s="120" t="str">
        <f t="shared" si="53"/>
        <v/>
      </c>
      <c r="H104" s="120" t="str">
        <f t="shared" si="53"/>
        <v/>
      </c>
      <c r="I104" s="120" t="str">
        <f t="shared" si="53"/>
        <v/>
      </c>
      <c r="J104" s="123"/>
      <c r="K104" s="120" t="str">
        <f t="shared" ref="K104:K109" si="55">C104</f>
        <v/>
      </c>
      <c r="L104" s="124"/>
      <c r="M104" s="120">
        <f>IF(E104&gt;D105, 1, IF(E104=D105, 0.5, 0))</f>
        <v>0.5</v>
      </c>
      <c r="N104" s="120">
        <f>IF(F104&gt;D106, 1, IF(F104=D106, 0.5, 0))</f>
        <v>0.5</v>
      </c>
      <c r="O104" s="120">
        <f>IF(G104&gt;D107, 1, IF(G104=D107, 0.5, 0))</f>
        <v>0.5</v>
      </c>
      <c r="P104" s="120">
        <f>IF(H104&gt;D108, 1, IF(H104=D108, 0.5, 0))</f>
        <v>0.5</v>
      </c>
      <c r="Q104" s="120">
        <f>IF(I104&gt;D109, 1, IF(I104=D109, 0.5, 0))</f>
        <v>0.5</v>
      </c>
      <c r="R104" s="2"/>
      <c r="S104" s="2"/>
      <c r="T104" s="2"/>
      <c r="U104" s="2"/>
      <c r="V104" s="2"/>
      <c r="W104" s="2"/>
      <c r="X104" s="2"/>
      <c r="Y104" s="2"/>
      <c r="Z104" s="2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2"/>
      <c r="B105" s="2"/>
      <c r="C105" s="120" t="str">
        <f t="shared" ref="C105:I105" si="54">B41</f>
        <v/>
      </c>
      <c r="D105" s="120" t="str">
        <f t="shared" si="54"/>
        <v/>
      </c>
      <c r="E105" s="123" t="str">
        <f t="shared" si="54"/>
        <v/>
      </c>
      <c r="F105" s="120" t="str">
        <f t="shared" si="54"/>
        <v/>
      </c>
      <c r="G105" s="120" t="str">
        <f t="shared" si="54"/>
        <v/>
      </c>
      <c r="H105" s="120" t="str">
        <f t="shared" si="54"/>
        <v/>
      </c>
      <c r="I105" s="120" t="str">
        <f t="shared" si="54"/>
        <v/>
      </c>
      <c r="J105" s="123"/>
      <c r="K105" s="120" t="str">
        <f t="shared" si="55"/>
        <v/>
      </c>
      <c r="L105" s="120">
        <f>1-M104</f>
        <v>0.5</v>
      </c>
      <c r="M105" s="124"/>
      <c r="N105" s="120">
        <f>IF(F105&gt;E106, 1, IF(F105=E106, 0.5, 0))</f>
        <v>0.5</v>
      </c>
      <c r="O105" s="120">
        <f>IF(G105&gt;E107, 1, IF(G105=E107, 0.5, 0))</f>
        <v>0.5</v>
      </c>
      <c r="P105" s="120">
        <f>IF(H105&gt;E108, 1, IF(H105=E108, 0.5, 0))</f>
        <v>0.5</v>
      </c>
      <c r="Q105" s="120">
        <f>IF(I105&gt;E109, 1, IF(I105=E109, 0.5, 0))</f>
        <v>0.5</v>
      </c>
      <c r="R105" s="2"/>
      <c r="S105" s="2"/>
      <c r="T105" s="2"/>
      <c r="U105" s="2"/>
      <c r="V105" s="2"/>
      <c r="W105" s="2"/>
      <c r="X105" s="2"/>
      <c r="Y105" s="2"/>
      <c r="Z105" s="2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2"/>
      <c r="B106" s="2"/>
      <c r="C106" s="120" t="str">
        <f t="shared" ref="C106:I106" si="56">B42</f>
        <v/>
      </c>
      <c r="D106" s="120" t="str">
        <f t="shared" si="56"/>
        <v/>
      </c>
      <c r="E106" s="120" t="str">
        <f t="shared" si="56"/>
        <v/>
      </c>
      <c r="F106" s="123" t="str">
        <f t="shared" si="56"/>
        <v/>
      </c>
      <c r="G106" s="120" t="str">
        <f t="shared" si="56"/>
        <v/>
      </c>
      <c r="H106" s="120" t="str">
        <f t="shared" si="56"/>
        <v/>
      </c>
      <c r="I106" s="120" t="str">
        <f t="shared" si="56"/>
        <v/>
      </c>
      <c r="J106" s="123"/>
      <c r="K106" s="120" t="str">
        <f t="shared" si="55"/>
        <v/>
      </c>
      <c r="L106" s="120">
        <f>1-N104</f>
        <v>0.5</v>
      </c>
      <c r="M106" s="120">
        <f>1-N105</f>
        <v>0.5</v>
      </c>
      <c r="N106" s="124"/>
      <c r="O106" s="120">
        <f>IF(G106&gt;F107, 1, IF(G106=F107, 0.5, 0))</f>
        <v>0.5</v>
      </c>
      <c r="P106" s="120">
        <f>IF(H106&gt;F108, 1, IF(H106=F108, 0.5, 0))</f>
        <v>0.5</v>
      </c>
      <c r="Q106" s="120">
        <f>IF(I106&gt;F110, 1, IF(I106=F110, 0.5, 0))</f>
        <v>0.5</v>
      </c>
      <c r="R106" s="2"/>
      <c r="S106" s="2"/>
      <c r="T106" s="2"/>
      <c r="U106" s="2"/>
      <c r="V106" s="2"/>
      <c r="W106" s="2"/>
      <c r="X106" s="2"/>
      <c r="Y106" s="2"/>
      <c r="Z106" s="2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2"/>
      <c r="B107" s="2"/>
      <c r="C107" s="120" t="str">
        <f t="shared" ref="C107:I107" si="57">B43</f>
        <v/>
      </c>
      <c r="D107" s="120" t="str">
        <f t="shared" si="57"/>
        <v/>
      </c>
      <c r="E107" s="120" t="str">
        <f t="shared" si="57"/>
        <v/>
      </c>
      <c r="F107" s="120" t="str">
        <f t="shared" si="57"/>
        <v/>
      </c>
      <c r="G107" s="123" t="str">
        <f t="shared" si="57"/>
        <v/>
      </c>
      <c r="H107" s="120" t="str">
        <f t="shared" si="57"/>
        <v/>
      </c>
      <c r="I107" s="120" t="str">
        <f t="shared" si="57"/>
        <v/>
      </c>
      <c r="J107" s="123"/>
      <c r="K107" s="120" t="str">
        <f t="shared" si="55"/>
        <v/>
      </c>
      <c r="L107" s="120">
        <f>1-O104</f>
        <v>0.5</v>
      </c>
      <c r="M107" s="120">
        <f>1-O105</f>
        <v>0.5</v>
      </c>
      <c r="N107" s="120">
        <f>1-O106</f>
        <v>0.5</v>
      </c>
      <c r="O107" s="124"/>
      <c r="P107" s="120">
        <f>IF(H107&gt;G108, 1, IF(H107=G108, 0.5, 0))</f>
        <v>0.5</v>
      </c>
      <c r="Q107" s="120">
        <f>IF(I107&gt;G109, 1, IF(I107=G109, 0.5, 0))</f>
        <v>0.5</v>
      </c>
      <c r="R107" s="2"/>
      <c r="S107" s="2"/>
      <c r="T107" s="2"/>
      <c r="U107" s="2"/>
      <c r="V107" s="2"/>
      <c r="W107" s="2"/>
      <c r="X107" s="2"/>
      <c r="Y107" s="2"/>
      <c r="Z107" s="2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2"/>
      <c r="B108" s="2"/>
      <c r="C108" s="120" t="str">
        <f t="shared" ref="C108:I108" si="58">B44</f>
        <v/>
      </c>
      <c r="D108" s="120" t="str">
        <f t="shared" si="58"/>
        <v/>
      </c>
      <c r="E108" s="120" t="str">
        <f t="shared" si="58"/>
        <v/>
      </c>
      <c r="F108" s="120" t="str">
        <f t="shared" si="58"/>
        <v/>
      </c>
      <c r="G108" s="120" t="str">
        <f t="shared" si="58"/>
        <v/>
      </c>
      <c r="H108" s="123" t="str">
        <f t="shared" si="58"/>
        <v/>
      </c>
      <c r="I108" s="120" t="str">
        <f t="shared" si="58"/>
        <v/>
      </c>
      <c r="J108" s="123"/>
      <c r="K108" s="120" t="str">
        <f t="shared" si="55"/>
        <v/>
      </c>
      <c r="L108" s="120">
        <f>1-P104</f>
        <v>0.5</v>
      </c>
      <c r="M108" s="120">
        <f>1-P105</f>
        <v>0.5</v>
      </c>
      <c r="N108" s="120">
        <f>1-P106</f>
        <v>0.5</v>
      </c>
      <c r="O108" s="120">
        <f>1-P107</f>
        <v>0.5</v>
      </c>
      <c r="P108" s="124"/>
      <c r="Q108" s="120">
        <f>IF(I108&gt;H109, 1, IF(I108=H109, 0.5, 0))</f>
        <v>0.5</v>
      </c>
      <c r="R108" s="2"/>
      <c r="S108" s="2"/>
      <c r="T108" s="2"/>
      <c r="U108" s="2"/>
      <c r="V108" s="2"/>
      <c r="W108" s="2"/>
      <c r="X108" s="2"/>
      <c r="Y108" s="2"/>
      <c r="Z108" s="2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2"/>
      <c r="B109" s="2"/>
      <c r="C109" s="120" t="str">
        <f t="shared" ref="C109:I109" si="59">B45</f>
        <v/>
      </c>
      <c r="D109" s="120" t="str">
        <f t="shared" si="59"/>
        <v/>
      </c>
      <c r="E109" s="120" t="str">
        <f t="shared" si="59"/>
        <v/>
      </c>
      <c r="F109" s="120" t="str">
        <f t="shared" si="59"/>
        <v/>
      </c>
      <c r="G109" s="120" t="str">
        <f t="shared" si="59"/>
        <v/>
      </c>
      <c r="H109" s="120" t="str">
        <f t="shared" si="59"/>
        <v/>
      </c>
      <c r="I109" s="123" t="str">
        <f t="shared" si="59"/>
        <v/>
      </c>
      <c r="J109" s="123"/>
      <c r="K109" s="120" t="str">
        <f t="shared" si="55"/>
        <v/>
      </c>
      <c r="L109" s="120">
        <f>1-Q104</f>
        <v>0.5</v>
      </c>
      <c r="M109" s="120">
        <f>1-Q105</f>
        <v>0.5</v>
      </c>
      <c r="N109" s="120">
        <f>1-Q106</f>
        <v>0.5</v>
      </c>
      <c r="O109" s="120">
        <f>1-Q107</f>
        <v>0.5</v>
      </c>
      <c r="P109" s="120">
        <f>1-Q108</f>
        <v>0.5</v>
      </c>
      <c r="Q109" s="124"/>
      <c r="R109" s="2"/>
      <c r="S109" s="2"/>
      <c r="T109" s="2"/>
      <c r="U109" s="2"/>
      <c r="V109" s="2"/>
      <c r="W109" s="2"/>
      <c r="X109" s="2"/>
      <c r="Y109" s="2"/>
      <c r="Z109" s="2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2"/>
      <c r="B110" s="2"/>
      <c r="C110" s="123" t="str">
        <f t="shared" ref="C110:C118" si="60">C46</f>
        <v/>
      </c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2"/>
      <c r="S110" s="2"/>
      <c r="T110" s="2"/>
      <c r="U110" s="2"/>
      <c r="V110" s="2"/>
      <c r="W110" s="2"/>
      <c r="X110" s="2"/>
      <c r="Y110" s="2"/>
      <c r="Z110" s="2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2"/>
      <c r="B111" s="2"/>
      <c r="C111" s="120" t="str">
        <f t="shared" si="60"/>
        <v/>
      </c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2"/>
      <c r="S111" s="2"/>
      <c r="T111" s="2"/>
      <c r="U111" s="2"/>
      <c r="V111" s="2"/>
      <c r="W111" s="2"/>
      <c r="X111" s="2"/>
      <c r="Y111" s="2"/>
      <c r="Z111" s="2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2"/>
      <c r="B112" s="2"/>
      <c r="C112" s="120" t="str">
        <f t="shared" si="60"/>
        <v/>
      </c>
      <c r="D112" s="120" t="str">
        <f t="array" ref="D112:I112">TRANSPOSE(C113:C118)</f>
        <v/>
      </c>
      <c r="E112" s="120"/>
      <c r="F112" s="120"/>
      <c r="G112" s="120"/>
      <c r="H112" s="120"/>
      <c r="I112" s="120"/>
      <c r="J112" s="123"/>
      <c r="K112" s="123"/>
      <c r="L112" s="120"/>
      <c r="M112" s="120"/>
      <c r="N112" s="120"/>
      <c r="O112" s="120"/>
      <c r="P112" s="120"/>
      <c r="Q112" s="120"/>
      <c r="R112" s="2"/>
      <c r="S112" s="2"/>
      <c r="T112" s="2"/>
      <c r="U112" s="2"/>
      <c r="V112" s="2"/>
      <c r="W112" s="2"/>
      <c r="X112" s="2"/>
      <c r="Y112" s="2"/>
      <c r="Z112" s="2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2"/>
      <c r="B113" s="2"/>
      <c r="C113" s="120" t="str">
        <f t="shared" si="60"/>
        <v/>
      </c>
      <c r="D113" s="123" t="str">
        <f t="shared" ref="D113:I113" si="61">D49</f>
        <v/>
      </c>
      <c r="E113" s="120" t="str">
        <f t="shared" si="61"/>
        <v/>
      </c>
      <c r="F113" s="120" t="str">
        <f t="shared" si="61"/>
        <v/>
      </c>
      <c r="G113" s="120" t="str">
        <f t="shared" si="61"/>
        <v/>
      </c>
      <c r="H113" s="120" t="str">
        <f t="shared" si="61"/>
        <v/>
      </c>
      <c r="I113" s="123" t="str">
        <f t="shared" si="61"/>
        <v/>
      </c>
      <c r="J113" s="123"/>
      <c r="K113" s="120"/>
      <c r="L113" s="123"/>
      <c r="M113" s="120"/>
      <c r="N113" s="120"/>
      <c r="O113" s="120"/>
      <c r="P113" s="120"/>
      <c r="Q113" s="123"/>
      <c r="R113" s="2"/>
      <c r="S113" s="2"/>
      <c r="T113" s="2"/>
      <c r="U113" s="2"/>
      <c r="V113" s="2"/>
      <c r="W113" s="2"/>
      <c r="X113" s="2"/>
      <c r="Y113" s="2"/>
      <c r="Z113" s="2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2"/>
      <c r="B114" s="2"/>
      <c r="C114" s="120" t="str">
        <f t="shared" si="60"/>
        <v/>
      </c>
      <c r="D114" s="120" t="str">
        <f t="shared" ref="D114:I114" si="62">D50</f>
        <v/>
      </c>
      <c r="E114" s="123" t="str">
        <f t="shared" si="62"/>
        <v/>
      </c>
      <c r="F114" s="120" t="str">
        <f t="shared" si="62"/>
        <v/>
      </c>
      <c r="G114" s="120" t="str">
        <f t="shared" si="62"/>
        <v/>
      </c>
      <c r="H114" s="120" t="str">
        <f t="shared" si="62"/>
        <v/>
      </c>
      <c r="I114" s="123" t="str">
        <f t="shared" si="62"/>
        <v/>
      </c>
      <c r="J114" s="123"/>
      <c r="K114" s="120"/>
      <c r="L114" s="120"/>
      <c r="M114" s="123"/>
      <c r="N114" s="120"/>
      <c r="O114" s="120"/>
      <c r="P114" s="120"/>
      <c r="Q114" s="123"/>
      <c r="R114" s="2"/>
      <c r="S114" s="2"/>
      <c r="T114" s="2"/>
      <c r="U114" s="2"/>
      <c r="V114" s="2"/>
      <c r="W114" s="2"/>
      <c r="X114" s="2"/>
      <c r="Y114" s="2"/>
      <c r="Z114" s="2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2"/>
      <c r="B115" s="2"/>
      <c r="C115" s="120" t="str">
        <f t="shared" si="60"/>
        <v/>
      </c>
      <c r="D115" s="120" t="str">
        <f t="shared" ref="D115:I115" si="63">D51</f>
        <v/>
      </c>
      <c r="E115" s="120" t="str">
        <f t="shared" si="63"/>
        <v/>
      </c>
      <c r="F115" s="123" t="str">
        <f t="shared" si="63"/>
        <v/>
      </c>
      <c r="G115" s="120" t="str">
        <f t="shared" si="63"/>
        <v/>
      </c>
      <c r="H115" s="120" t="str">
        <f t="shared" si="63"/>
        <v/>
      </c>
      <c r="I115" s="123" t="str">
        <f t="shared" si="63"/>
        <v/>
      </c>
      <c r="J115" s="123"/>
      <c r="K115" s="120"/>
      <c r="L115" s="120"/>
      <c r="M115" s="120"/>
      <c r="N115" s="123"/>
      <c r="O115" s="120"/>
      <c r="P115" s="120"/>
      <c r="Q115" s="123"/>
      <c r="R115" s="2"/>
      <c r="S115" s="2"/>
      <c r="T115" s="2"/>
      <c r="U115" s="2"/>
      <c r="V115" s="2"/>
      <c r="W115" s="2"/>
      <c r="X115" s="2"/>
      <c r="Y115" s="2"/>
      <c r="Z115" s="2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2"/>
      <c r="B116" s="2"/>
      <c r="C116" s="120" t="str">
        <f t="shared" si="60"/>
        <v/>
      </c>
      <c r="D116" s="120" t="str">
        <f t="shared" ref="D116:I116" si="64">D52</f>
        <v/>
      </c>
      <c r="E116" s="120" t="str">
        <f t="shared" si="64"/>
        <v/>
      </c>
      <c r="F116" s="120" t="str">
        <f t="shared" si="64"/>
        <v/>
      </c>
      <c r="G116" s="123" t="str">
        <f t="shared" si="64"/>
        <v/>
      </c>
      <c r="H116" s="120" t="str">
        <f t="shared" si="64"/>
        <v/>
      </c>
      <c r="I116" s="123" t="str">
        <f t="shared" si="64"/>
        <v/>
      </c>
      <c r="J116" s="123"/>
      <c r="K116" s="120"/>
      <c r="L116" s="120"/>
      <c r="M116" s="120"/>
      <c r="N116" s="120"/>
      <c r="O116" s="123"/>
      <c r="P116" s="120"/>
      <c r="Q116" s="123"/>
      <c r="R116" s="2"/>
      <c r="S116" s="2"/>
      <c r="T116" s="2"/>
      <c r="U116" s="2"/>
      <c r="V116" s="2"/>
      <c r="W116" s="2"/>
      <c r="X116" s="2"/>
      <c r="Y116" s="2"/>
      <c r="Z116" s="2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2"/>
      <c r="B117" s="2"/>
      <c r="C117" s="120" t="str">
        <f t="shared" si="60"/>
        <v/>
      </c>
      <c r="D117" s="120" t="str">
        <f t="shared" ref="D117:I117" si="65">D53</f>
        <v/>
      </c>
      <c r="E117" s="120" t="str">
        <f t="shared" si="65"/>
        <v/>
      </c>
      <c r="F117" s="120" t="str">
        <f t="shared" si="65"/>
        <v/>
      </c>
      <c r="G117" s="120" t="str">
        <f t="shared" si="65"/>
        <v/>
      </c>
      <c r="H117" s="123" t="str">
        <f t="shared" si="65"/>
        <v/>
      </c>
      <c r="I117" s="123" t="str">
        <f t="shared" si="65"/>
        <v/>
      </c>
      <c r="J117" s="123"/>
      <c r="K117" s="120"/>
      <c r="L117" s="120"/>
      <c r="M117" s="120"/>
      <c r="N117" s="120"/>
      <c r="O117" s="120"/>
      <c r="P117" s="123"/>
      <c r="Q117" s="123"/>
      <c r="R117" s="2"/>
      <c r="S117" s="2"/>
      <c r="T117" s="2"/>
      <c r="U117" s="2"/>
      <c r="V117" s="2"/>
      <c r="W117" s="2"/>
      <c r="X117" s="2"/>
      <c r="Y117" s="2"/>
      <c r="Z117" s="2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2"/>
      <c r="B118" s="2"/>
      <c r="C118" s="120" t="str">
        <f t="shared" si="60"/>
        <v/>
      </c>
      <c r="D118" s="123" t="str">
        <f t="shared" ref="D118:I118" si="66">D54</f>
        <v/>
      </c>
      <c r="E118" s="123" t="str">
        <f t="shared" si="66"/>
        <v/>
      </c>
      <c r="F118" s="123" t="str">
        <f t="shared" si="66"/>
        <v/>
      </c>
      <c r="G118" s="123" t="str">
        <f t="shared" si="66"/>
        <v/>
      </c>
      <c r="H118" s="123" t="str">
        <f t="shared" si="66"/>
        <v/>
      </c>
      <c r="I118" s="123" t="str">
        <f t="shared" si="66"/>
        <v/>
      </c>
      <c r="J118" s="123"/>
      <c r="K118" s="120"/>
      <c r="L118" s="123"/>
      <c r="M118" s="123"/>
      <c r="N118" s="123"/>
      <c r="O118" s="123"/>
      <c r="P118" s="123"/>
      <c r="Q118" s="123"/>
      <c r="R118" s="2"/>
      <c r="S118" s="2"/>
      <c r="T118" s="2"/>
      <c r="U118" s="2"/>
      <c r="V118" s="2"/>
      <c r="W118" s="2"/>
      <c r="X118" s="2"/>
      <c r="Y118" s="2"/>
      <c r="Z118" s="2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</sheetData>
  <mergeCells count="5">
    <mergeCell ref="B2:H2"/>
    <mergeCell ref="B11:H11"/>
    <mergeCell ref="B20:H20"/>
    <mergeCell ref="B29:H29"/>
    <mergeCell ref="B38:H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  <col customWidth="1" min="5" max="5" width="16.88"/>
  </cols>
  <sheetData>
    <row r="1">
      <c r="A1" s="126"/>
      <c r="B1" s="126"/>
      <c r="C1" s="126"/>
      <c r="D1" s="126"/>
      <c r="E1" s="126"/>
      <c r="F1" s="126"/>
      <c r="G1" s="126"/>
      <c r="H1" s="126"/>
    </row>
    <row r="2">
      <c r="A2" s="126"/>
      <c r="B2" s="127" t="s">
        <v>177</v>
      </c>
      <c r="C2" s="127" t="s">
        <v>176</v>
      </c>
      <c r="D2" s="128"/>
      <c r="E2" s="127" t="s">
        <v>177</v>
      </c>
      <c r="F2" s="127" t="s">
        <v>176</v>
      </c>
      <c r="G2" s="127" t="s">
        <v>178</v>
      </c>
      <c r="H2" s="126"/>
    </row>
    <row r="3">
      <c r="A3" s="126"/>
      <c r="B3" s="126" t="str">
        <f>'RR Scores'!B4</f>
        <v>VMATHS</v>
      </c>
      <c r="C3" s="129">
        <f>'RR Scores'!N4</f>
        <v>2266.236099</v>
      </c>
      <c r="D3" s="126"/>
      <c r="E3" s="126" t="str">
        <f t="array" ref="E3:F38">SORT(B3:C38, 2, FALSE)</f>
        <v>#REF!</v>
      </c>
      <c r="F3" s="126" t="e">
        <v>#REF!</v>
      </c>
      <c r="G3" s="130">
        <v>1.0</v>
      </c>
      <c r="H3" s="126"/>
    </row>
    <row r="4">
      <c r="A4" s="126"/>
      <c r="B4" s="131" t="str">
        <f>'RR Scores'!B5</f>
        <v>North Allegheny</v>
      </c>
      <c r="C4" s="132">
        <f>'RR Scores'!N5</f>
        <v>1224.06827</v>
      </c>
      <c r="D4" s="126"/>
      <c r="E4" s="126" t="e">
        <v>#REF!</v>
      </c>
      <c r="F4" s="126" t="e">
        <v>#REF!</v>
      </c>
      <c r="G4" s="126">
        <f t="shared" ref="G4:G8" si="1">1+G3</f>
        <v>2</v>
      </c>
      <c r="H4" s="126"/>
    </row>
    <row r="5">
      <c r="A5" s="126"/>
      <c r="B5" s="126" t="str">
        <f>'RR Scores'!B6</f>
        <v>Morgantown</v>
      </c>
      <c r="C5" s="129">
        <f>'RR Scores'!N6</f>
        <v>581.0283779</v>
      </c>
      <c r="D5" s="126"/>
      <c r="E5" s="126" t="e">
        <v>#REF!</v>
      </c>
      <c r="F5" s="126" t="e">
        <v>#REF!</v>
      </c>
      <c r="G5" s="126">
        <f t="shared" si="1"/>
        <v>3</v>
      </c>
      <c r="H5" s="126"/>
    </row>
    <row r="6">
      <c r="A6" s="126"/>
      <c r="B6" s="126" t="str">
        <f>'RR Scores'!B7</f>
        <v>Galen A</v>
      </c>
      <c r="C6" s="129">
        <f>'RR Scores'!N7</f>
        <v>2824.113512</v>
      </c>
      <c r="D6" s="126"/>
      <c r="E6" s="126" t="e">
        <v>#REF!</v>
      </c>
      <c r="F6" s="126" t="e">
        <v>#REF!</v>
      </c>
      <c r="G6" s="126">
        <f t="shared" si="1"/>
        <v>4</v>
      </c>
      <c r="H6" s="126"/>
    </row>
    <row r="7">
      <c r="A7" s="126"/>
      <c r="B7" s="126" t="str">
        <f>'RR Scores'!B8</f>
        <v>School of Geology</v>
      </c>
      <c r="C7" s="129">
        <f>'RR Scores'!N8</f>
        <v>1786.079783</v>
      </c>
      <c r="D7" s="126"/>
      <c r="E7" s="126" t="e">
        <v>#REF!</v>
      </c>
      <c r="F7" s="126" t="e">
        <v>#REF!</v>
      </c>
      <c r="G7" s="126">
        <f t="shared" si="1"/>
        <v>5</v>
      </c>
      <c r="H7" s="126"/>
    </row>
    <row r="8">
      <c r="A8" s="126"/>
      <c r="B8" s="126" t="str">
        <f>'RR Scores'!B9</f>
        <v>Seven Lakes B</v>
      </c>
      <c r="C8" s="129">
        <f>'RR Scores'!N9</f>
        <v>80.20155774</v>
      </c>
      <c r="D8" s="126"/>
      <c r="E8" s="126" t="e">
        <v>#REF!</v>
      </c>
      <c r="F8" s="126" t="e">
        <v>#REF!</v>
      </c>
      <c r="G8" s="126">
        <f t="shared" si="1"/>
        <v>6</v>
      </c>
      <c r="H8" s="126"/>
    </row>
    <row r="9">
      <c r="A9" s="126"/>
      <c r="B9" s="126" t="str">
        <f>'RR Scores'!B13</f>
        <v>Interlake</v>
      </c>
      <c r="C9" s="129">
        <f>'RR Scores'!N13</f>
        <v>1174.171893</v>
      </c>
      <c r="D9" s="126"/>
      <c r="E9" s="133" t="s">
        <v>5</v>
      </c>
      <c r="F9" s="134">
        <v>2824.113511683034</v>
      </c>
      <c r="G9" s="135">
        <v>1.0</v>
      </c>
      <c r="H9" s="126"/>
    </row>
    <row r="10">
      <c r="A10" s="126"/>
      <c r="B10" s="126" t="str">
        <f>'RR Scores'!B14</f>
        <v>ASFA</v>
      </c>
      <c r="C10" s="129">
        <f>'RR Scores'!N14</f>
        <v>2824.022486</v>
      </c>
      <c r="D10" s="126"/>
      <c r="E10" s="133" t="s">
        <v>7</v>
      </c>
      <c r="F10" s="134">
        <v>2824.0224856078567</v>
      </c>
      <c r="G10" s="135">
        <v>2.0</v>
      </c>
      <c r="H10" s="126"/>
    </row>
    <row r="11">
      <c r="A11" s="126"/>
      <c r="B11" s="126" t="str">
        <f>'RR Scores'!B15</f>
        <v>Niskayuna</v>
      </c>
      <c r="C11" s="129">
        <f>'RR Scores'!N15</f>
        <v>638.8667795</v>
      </c>
      <c r="D11" s="126"/>
      <c r="E11" s="133" t="s">
        <v>4</v>
      </c>
      <c r="F11" s="134">
        <v>2804.3494751100575</v>
      </c>
      <c r="G11" s="133">
        <f t="shared" ref="G11:G18" si="2">1+G10</f>
        <v>3</v>
      </c>
      <c r="H11" s="126"/>
    </row>
    <row r="12">
      <c r="A12" s="126"/>
      <c r="B12" s="126" t="str">
        <f>'RR Scores'!B16</f>
        <v>North Hollywood A</v>
      </c>
      <c r="C12" s="129">
        <f>'RR Scores'!N16</f>
        <v>2253.412259</v>
      </c>
      <c r="D12" s="126"/>
      <c r="E12" s="133" t="s">
        <v>11</v>
      </c>
      <c r="F12" s="134">
        <v>2290.1201490010158</v>
      </c>
      <c r="G12" s="133">
        <f t="shared" si="2"/>
        <v>4</v>
      </c>
      <c r="H12" s="126"/>
    </row>
    <row r="13">
      <c r="A13" s="126"/>
      <c r="B13" s="126" t="str">
        <f>'RR Scores'!B17</f>
        <v>JP Stevens B</v>
      </c>
      <c r="C13" s="129">
        <f>'RR Scores'!N17</f>
        <v>57.27273959</v>
      </c>
      <c r="D13" s="126"/>
      <c r="E13" s="133" t="s">
        <v>17</v>
      </c>
      <c r="F13" s="134">
        <v>2288.1154080596007</v>
      </c>
      <c r="G13" s="133">
        <f t="shared" si="2"/>
        <v>5</v>
      </c>
      <c r="H13" s="126"/>
    </row>
    <row r="14">
      <c r="A14" s="126"/>
      <c r="B14" s="126" t="str">
        <f>'RR Scores'!B18</f>
        <v>Iolani</v>
      </c>
      <c r="C14" s="129">
        <f>'RR Scores'!N18</f>
        <v>1688.293938</v>
      </c>
      <c r="D14" s="126"/>
      <c r="E14" s="133" t="s">
        <v>6</v>
      </c>
      <c r="F14" s="134">
        <v>2266.2360988824926</v>
      </c>
      <c r="G14" s="133">
        <f t="shared" si="2"/>
        <v>6</v>
      </c>
      <c r="H14" s="126"/>
    </row>
    <row r="15">
      <c r="A15" s="126"/>
      <c r="B15" s="126" t="str">
        <f>'RR Scores'!B22</f>
        <v>JP Stevens A</v>
      </c>
      <c r="C15" s="129">
        <f>'RR Scores'!N22</f>
        <v>60.65587538</v>
      </c>
      <c r="D15" s="126"/>
      <c r="E15" s="133" t="s">
        <v>10</v>
      </c>
      <c r="F15" s="134">
        <v>2253.412258719946</v>
      </c>
      <c r="G15" s="133">
        <f t="shared" si="2"/>
        <v>7</v>
      </c>
      <c r="H15" s="126"/>
    </row>
    <row r="16">
      <c r="A16" s="126"/>
      <c r="B16" s="126" t="str">
        <f>'RR Scores'!B23</f>
        <v>Chibbles</v>
      </c>
      <c r="C16" s="129">
        <f>'RR Scores'!N23</f>
        <v>2288.115408</v>
      </c>
      <c r="D16" s="126"/>
      <c r="E16" s="133" t="s">
        <v>2</v>
      </c>
      <c r="F16" s="134">
        <v>2234.642465289536</v>
      </c>
      <c r="G16" s="133">
        <f t="shared" si="2"/>
        <v>8</v>
      </c>
      <c r="H16" s="126"/>
    </row>
    <row r="17">
      <c r="A17" s="126"/>
      <c r="B17" s="126" t="str">
        <f>'RR Scores'!B24</f>
        <v>Hunter</v>
      </c>
      <c r="C17" s="129">
        <f>'RR Scores'!N24</f>
        <v>1136.47572</v>
      </c>
      <c r="D17" s="126"/>
      <c r="E17" s="133" t="s">
        <v>9</v>
      </c>
      <c r="F17" s="134">
        <v>1786.0797832712497</v>
      </c>
      <c r="G17" s="133">
        <f t="shared" si="2"/>
        <v>9</v>
      </c>
      <c r="H17" s="126"/>
    </row>
    <row r="18">
      <c r="A18" s="126"/>
      <c r="B18" s="126" t="str">
        <f>'RR Scores'!B25</f>
        <v>Mira North</v>
      </c>
      <c r="C18" s="129">
        <f>'RR Scores'!N25</f>
        <v>2234.642465</v>
      </c>
      <c r="D18" s="126"/>
      <c r="E18" s="133" t="s">
        <v>20</v>
      </c>
      <c r="F18" s="134">
        <v>1757.7874703691161</v>
      </c>
      <c r="G18" s="133">
        <f t="shared" si="2"/>
        <v>10</v>
      </c>
      <c r="H18" s="126"/>
    </row>
    <row r="19">
      <c r="A19" s="126"/>
      <c r="B19" s="126" t="str">
        <f>'RR Scores'!B26</f>
        <v>Lexington A</v>
      </c>
      <c r="C19" s="129">
        <f>'RR Scores'!N26</f>
        <v>1197.929699</v>
      </c>
      <c r="D19" s="126"/>
      <c r="E19" s="133" t="s">
        <v>3</v>
      </c>
      <c r="F19" s="134">
        <v>1688.2939383677617</v>
      </c>
      <c r="G19" s="135">
        <v>11.0</v>
      </c>
      <c r="H19" s="126"/>
    </row>
    <row r="20">
      <c r="A20" s="126"/>
      <c r="B20" s="131" t="str">
        <f>'RR Scores'!B27</f>
        <v>Edwin's Victims</v>
      </c>
      <c r="C20" s="132">
        <f>'RR Scores'!N27</f>
        <v>1757.78747</v>
      </c>
      <c r="D20" s="126"/>
      <c r="E20" s="133" t="s">
        <v>15</v>
      </c>
      <c r="F20" s="134">
        <v>1662.056214019641</v>
      </c>
      <c r="G20" s="135">
        <v>12.0</v>
      </c>
      <c r="H20" s="126"/>
    </row>
    <row r="21">
      <c r="A21" s="126"/>
      <c r="B21" s="126" t="str">
        <f>'RR Scores'!B31</f>
        <v>North Hollywood B</v>
      </c>
      <c r="C21" s="129">
        <f>'RR Scores'!N31</f>
        <v>2290.120149</v>
      </c>
      <c r="D21" s="126"/>
      <c r="E21" s="133" t="s">
        <v>24</v>
      </c>
      <c r="F21" s="134">
        <v>1224.0682695563833</v>
      </c>
      <c r="G21" s="135">
        <v>13.0</v>
      </c>
      <c r="H21" s="126"/>
    </row>
    <row r="22">
      <c r="A22" s="126"/>
      <c r="B22" s="126" t="str">
        <f>'RR Scores'!B32</f>
        <v>Chicken Jockies</v>
      </c>
      <c r="C22" s="129">
        <f>'RR Scores'!N32</f>
        <v>112.2535726</v>
      </c>
      <c r="D22" s="126"/>
      <c r="E22" s="133" t="s">
        <v>39</v>
      </c>
      <c r="F22" s="134">
        <v>1197.9296986115814</v>
      </c>
      <c r="G22" s="135">
        <v>14.0</v>
      </c>
      <c r="H22" s="126"/>
    </row>
    <row r="23">
      <c r="A23" s="126"/>
      <c r="B23" s="126" t="str">
        <f>'RR Scores'!B33</f>
        <v>LE SSERAFIM</v>
      </c>
      <c r="C23" s="129">
        <f>'RR Scores'!N33</f>
        <v>591.7001016</v>
      </c>
      <c r="D23" s="126"/>
      <c r="E23" s="133" t="s">
        <v>25</v>
      </c>
      <c r="F23" s="134">
        <v>1192.8864205892312</v>
      </c>
      <c r="G23" s="136">
        <v>15.0</v>
      </c>
      <c r="H23" s="126"/>
    </row>
    <row r="24">
      <c r="A24" s="126"/>
      <c r="B24" s="126" t="str">
        <f>'RR Scores'!B34</f>
        <v>Seven Lakes A</v>
      </c>
      <c r="C24" s="129">
        <f>'RR Scores'!N34</f>
        <v>1192.886421</v>
      </c>
      <c r="D24" s="126"/>
      <c r="E24" s="133" t="s">
        <v>19</v>
      </c>
      <c r="F24" s="134">
        <v>1174.1718929901795</v>
      </c>
      <c r="G24" s="135">
        <v>16.0</v>
      </c>
      <c r="H24" s="126"/>
    </row>
    <row r="25">
      <c r="A25" s="126"/>
      <c r="B25" s="126" t="str">
        <f>'RR Scores'!B35</f>
        <v>Palo Alto</v>
      </c>
      <c r="C25" s="129">
        <f>'RR Scores'!N35</f>
        <v>1662.056214</v>
      </c>
      <c r="D25" s="126"/>
      <c r="E25" s="126" t="s">
        <v>18</v>
      </c>
      <c r="F25" s="129">
        <v>1136.4757196071791</v>
      </c>
      <c r="G25" s="126"/>
      <c r="H25" s="126"/>
    </row>
    <row r="26">
      <c r="A26" s="126"/>
      <c r="B26" s="131" t="str">
        <f>'RR Scores'!B36</f>
        <v>Blair Clemens</v>
      </c>
      <c r="C26" s="132">
        <f>'RR Scores'!N36</f>
        <v>2804.349475</v>
      </c>
      <c r="D26" s="126"/>
      <c r="E26" s="126" t="s">
        <v>12</v>
      </c>
      <c r="F26" s="129">
        <v>638.8667795462242</v>
      </c>
      <c r="G26" s="126"/>
      <c r="H26" s="126"/>
    </row>
    <row r="27">
      <c r="A27" s="126"/>
      <c r="B27" s="126" t="str">
        <f>'RR Scores'!B40</f>
        <v/>
      </c>
      <c r="C27" s="129" t="str">
        <f>'RR Scores'!N40</f>
        <v/>
      </c>
      <c r="D27" s="126"/>
      <c r="E27" s="126" t="s">
        <v>23</v>
      </c>
      <c r="F27" s="129">
        <v>591.7001015916018</v>
      </c>
      <c r="G27" s="126"/>
      <c r="H27" s="126"/>
    </row>
    <row r="28">
      <c r="A28" s="126"/>
      <c r="B28" s="126" t="str">
        <f>'RR Scores'!B41</f>
        <v/>
      </c>
      <c r="C28" s="129" t="str">
        <f>'RR Scores'!N41</f>
        <v/>
      </c>
      <c r="D28" s="126"/>
      <c r="E28" s="126" t="s">
        <v>13</v>
      </c>
      <c r="F28" s="129">
        <v>581.0283779207585</v>
      </c>
      <c r="G28" s="126"/>
      <c r="H28" s="126"/>
    </row>
    <row r="29">
      <c r="A29" s="126"/>
      <c r="B29" s="126" t="str">
        <f>'RR Scores'!B42</f>
        <v/>
      </c>
      <c r="C29" s="129" t="str">
        <f>'RR Scores'!N42</f>
        <v/>
      </c>
      <c r="D29" s="126"/>
      <c r="E29" s="126" t="s">
        <v>16</v>
      </c>
      <c r="F29" s="129">
        <v>112.25357263799525</v>
      </c>
      <c r="G29" s="126"/>
      <c r="H29" s="126"/>
    </row>
    <row r="30">
      <c r="A30" s="126"/>
      <c r="B30" s="126" t="str">
        <f>'RR Scores'!B43</f>
        <v/>
      </c>
      <c r="C30" s="129" t="str">
        <f>'RR Scores'!N43</f>
        <v/>
      </c>
      <c r="D30" s="126"/>
      <c r="E30" s="126" t="s">
        <v>26</v>
      </c>
      <c r="F30" s="129">
        <v>80.20155773789367</v>
      </c>
      <c r="G30" s="126"/>
      <c r="H30" s="126"/>
    </row>
    <row r="31">
      <c r="A31" s="126"/>
      <c r="B31" s="126" t="str">
        <f>'RR Scores'!B44</f>
        <v/>
      </c>
      <c r="C31" s="129" t="str">
        <f>'RR Scores'!N44</f>
        <v/>
      </c>
      <c r="D31" s="126"/>
      <c r="E31" s="126" t="s">
        <v>21</v>
      </c>
      <c r="F31" s="129">
        <v>60.655875380968496</v>
      </c>
      <c r="G31" s="126"/>
      <c r="H31" s="126"/>
    </row>
    <row r="32">
      <c r="A32" s="126"/>
      <c r="B32" s="126" t="str">
        <f>'RR Scores'!B45</f>
        <v/>
      </c>
      <c r="C32" s="129" t="str">
        <f>'RR Scores'!N45</f>
        <v/>
      </c>
      <c r="D32" s="126"/>
      <c r="E32" s="126" t="s">
        <v>22</v>
      </c>
      <c r="F32" s="129">
        <v>57.27273958686082</v>
      </c>
      <c r="G32" s="126"/>
      <c r="H32" s="126"/>
    </row>
    <row r="33">
      <c r="A33" s="126"/>
      <c r="B33" s="126" t="str">
        <f t="shared" ref="B33:C33" si="3">#REF!</f>
        <v>#REF!</v>
      </c>
      <c r="C33" s="126" t="str">
        <f t="shared" si="3"/>
        <v>#REF!</v>
      </c>
      <c r="D33" s="126"/>
      <c r="E33" s="126"/>
      <c r="F33" s="129"/>
      <c r="G33" s="126"/>
      <c r="H33" s="126"/>
    </row>
    <row r="34">
      <c r="A34" s="126"/>
      <c r="B34" s="126" t="str">
        <f t="shared" ref="B34:C34" si="4">#REF!</f>
        <v>#REF!</v>
      </c>
      <c r="C34" s="126" t="str">
        <f t="shared" si="4"/>
        <v>#REF!</v>
      </c>
      <c r="D34" s="126"/>
      <c r="E34" s="126"/>
      <c r="F34" s="129"/>
      <c r="G34" s="126"/>
      <c r="H34" s="126"/>
    </row>
    <row r="35">
      <c r="A35" s="126"/>
      <c r="B35" s="126" t="str">
        <f t="shared" ref="B35:C35" si="5">#REF!</f>
        <v>#REF!</v>
      </c>
      <c r="C35" s="126" t="str">
        <f t="shared" si="5"/>
        <v>#REF!</v>
      </c>
      <c r="D35" s="126"/>
      <c r="E35" s="131"/>
      <c r="F35" s="132"/>
      <c r="G35" s="131"/>
      <c r="H35" s="126"/>
    </row>
    <row r="36">
      <c r="A36" s="126"/>
      <c r="B36" s="126" t="str">
        <f t="shared" ref="B36:C36" si="6">#REF!</f>
        <v>#REF!</v>
      </c>
      <c r="C36" s="126" t="str">
        <f t="shared" si="6"/>
        <v>#REF!</v>
      </c>
      <c r="D36" s="126"/>
      <c r="E36" s="131"/>
      <c r="F36" s="132"/>
      <c r="G36" s="131"/>
      <c r="H36" s="126"/>
    </row>
    <row r="37">
      <c r="A37" s="126"/>
      <c r="B37" s="126" t="str">
        <f t="shared" ref="B37:C37" si="7">#REF!</f>
        <v>#REF!</v>
      </c>
      <c r="C37" s="126" t="str">
        <f t="shared" si="7"/>
        <v>#REF!</v>
      </c>
      <c r="D37" s="126"/>
      <c r="E37" s="131"/>
      <c r="F37" s="132"/>
      <c r="G37" s="131"/>
      <c r="H37" s="126"/>
    </row>
    <row r="38">
      <c r="A38" s="126"/>
      <c r="B38" s="131" t="str">
        <f t="shared" ref="B38:C38" si="8">#REF!</f>
        <v>#REF!</v>
      </c>
      <c r="C38" s="131" t="str">
        <f t="shared" si="8"/>
        <v>#REF!</v>
      </c>
      <c r="D38" s="126"/>
      <c r="E38" s="131"/>
      <c r="F38" s="132"/>
      <c r="G38" s="131"/>
      <c r="H38" s="126"/>
    </row>
    <row r="39">
      <c r="A39" s="126"/>
      <c r="B39" s="126"/>
      <c r="C39" s="126"/>
      <c r="D39" s="126"/>
      <c r="E39" s="126"/>
      <c r="F39" s="126"/>
      <c r="G39" s="126"/>
      <c r="H39" s="1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38"/>
    <col customWidth="1" min="2" max="2" width="3.75"/>
    <col customWidth="1" min="3" max="3" width="21.38"/>
    <col customWidth="1" min="4" max="4" width="3.75"/>
    <col customWidth="1" min="5" max="5" width="21.38"/>
    <col customWidth="1" min="6" max="6" width="3.75"/>
    <col customWidth="1" min="7" max="7" width="21.5"/>
    <col customWidth="1" min="8" max="8" width="3.75"/>
    <col customWidth="1" min="9" max="9" width="21.5"/>
    <col customWidth="1" min="10" max="10" width="3.75"/>
    <col customWidth="1" min="11" max="11" width="21.5"/>
    <col customWidth="1" min="12" max="12" width="3.75"/>
    <col customWidth="1" min="13" max="13" width="21.5"/>
    <col customWidth="1" min="14" max="14" width="3.75"/>
    <col customWidth="1" min="15" max="15" width="23.75"/>
    <col customWidth="1" min="16" max="17" width="3.75"/>
    <col customWidth="1" min="18" max="18" width="25.5"/>
    <col customWidth="1" min="19" max="20" width="5.63"/>
  </cols>
  <sheetData>
    <row r="1">
      <c r="A1" s="137" t="s">
        <v>179</v>
      </c>
      <c r="B1" s="78"/>
      <c r="C1" s="138" t="s">
        <v>180</v>
      </c>
      <c r="D1" s="78"/>
      <c r="E1" s="138" t="s">
        <v>181</v>
      </c>
      <c r="F1" s="78"/>
      <c r="G1" s="138" t="s">
        <v>182</v>
      </c>
      <c r="H1" s="139"/>
      <c r="I1" s="138" t="s">
        <v>183</v>
      </c>
      <c r="J1" s="139"/>
      <c r="K1" s="138" t="s">
        <v>184</v>
      </c>
      <c r="L1" s="139"/>
      <c r="M1" s="138" t="s">
        <v>185</v>
      </c>
      <c r="N1" s="140"/>
      <c r="O1" s="138" t="s">
        <v>186</v>
      </c>
      <c r="P1" s="140"/>
      <c r="Q1" s="140"/>
      <c r="R1" s="138" t="s">
        <v>187</v>
      </c>
      <c r="S1" s="24"/>
      <c r="T1" s="24"/>
    </row>
    <row r="2">
      <c r="A2" s="141" t="s">
        <v>188</v>
      </c>
      <c r="B2" s="23"/>
      <c r="C2" s="142" t="s">
        <v>189</v>
      </c>
      <c r="D2" s="23"/>
      <c r="E2" s="28"/>
      <c r="F2" s="23"/>
      <c r="G2" s="22"/>
      <c r="H2" s="23"/>
      <c r="I2" s="22"/>
      <c r="J2" s="23"/>
      <c r="K2" s="28"/>
      <c r="L2" s="23"/>
      <c r="M2" s="28"/>
      <c r="N2" s="23"/>
      <c r="O2" s="28"/>
      <c r="P2" s="23"/>
      <c r="Q2" s="23"/>
      <c r="R2" s="15"/>
      <c r="S2" s="15"/>
      <c r="T2" s="15"/>
    </row>
    <row r="3">
      <c r="A3" s="28"/>
      <c r="B3" s="28"/>
      <c r="C3" s="23"/>
      <c r="D3" s="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</row>
    <row r="4">
      <c r="A4" s="143" t="s">
        <v>190</v>
      </c>
      <c r="B4" s="144"/>
      <c r="C4" s="28"/>
      <c r="D4" s="28"/>
      <c r="E4" s="143" t="s">
        <v>5</v>
      </c>
      <c r="F4" s="145">
        <v>32.0</v>
      </c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</row>
    <row r="5">
      <c r="A5" s="58" t="s">
        <v>191</v>
      </c>
      <c r="B5" s="146"/>
      <c r="C5" s="22" t="s">
        <v>5</v>
      </c>
      <c r="D5" s="23"/>
      <c r="E5" s="147" t="s">
        <v>192</v>
      </c>
      <c r="F5" s="146"/>
      <c r="G5" s="148"/>
      <c r="H5" s="149"/>
      <c r="I5" s="143" t="s">
        <v>9</v>
      </c>
      <c r="J5" s="144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>
      <c r="A6" s="150" t="s">
        <v>193</v>
      </c>
      <c r="B6" s="144"/>
      <c r="C6" s="28"/>
      <c r="D6" s="23"/>
      <c r="E6" s="151" t="s">
        <v>194</v>
      </c>
      <c r="F6" s="145">
        <v>138.0</v>
      </c>
      <c r="G6" s="73"/>
      <c r="H6" s="73"/>
      <c r="I6" s="123"/>
      <c r="J6" s="144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>
      <c r="A7" s="152"/>
      <c r="B7" s="123"/>
      <c r="C7" s="23"/>
      <c r="D7" s="23"/>
      <c r="E7" s="123"/>
      <c r="F7" s="123"/>
      <c r="G7" s="123"/>
      <c r="H7" s="123"/>
      <c r="I7" s="147" t="s">
        <v>192</v>
      </c>
      <c r="J7" s="146"/>
      <c r="K7" s="153"/>
      <c r="L7" s="149"/>
      <c r="M7" s="143" t="s">
        <v>195</v>
      </c>
      <c r="N7" s="144"/>
      <c r="O7" s="123"/>
      <c r="P7" s="123"/>
      <c r="Q7" s="123"/>
      <c r="R7" s="123"/>
      <c r="S7" s="123"/>
      <c r="T7" s="123"/>
    </row>
    <row r="8">
      <c r="A8" s="143" t="s">
        <v>196</v>
      </c>
      <c r="B8" s="145">
        <v>38.0</v>
      </c>
      <c r="C8" s="28"/>
      <c r="D8" s="28"/>
      <c r="E8" s="143" t="s">
        <v>197</v>
      </c>
      <c r="F8" s="145">
        <v>24.0</v>
      </c>
      <c r="G8" s="123"/>
      <c r="H8" s="123"/>
      <c r="I8" s="123"/>
      <c r="J8" s="144"/>
      <c r="K8" s="123"/>
      <c r="L8" s="123"/>
      <c r="M8" s="123"/>
      <c r="N8" s="144"/>
      <c r="O8" s="123"/>
      <c r="P8" s="123"/>
      <c r="Q8" s="123"/>
      <c r="R8" s="123"/>
      <c r="S8" s="123"/>
      <c r="T8" s="123"/>
    </row>
    <row r="9">
      <c r="A9" s="58" t="s">
        <v>198</v>
      </c>
      <c r="B9" s="146"/>
      <c r="C9" s="22" t="s">
        <v>9</v>
      </c>
      <c r="D9" s="23"/>
      <c r="E9" s="147" t="s">
        <v>199</v>
      </c>
      <c r="F9" s="146"/>
      <c r="G9" s="148"/>
      <c r="H9" s="149"/>
      <c r="I9" s="143" t="s">
        <v>17</v>
      </c>
      <c r="J9" s="144"/>
      <c r="K9" s="123"/>
      <c r="L9" s="123"/>
      <c r="M9" s="123"/>
      <c r="N9" s="144"/>
      <c r="O9" s="123"/>
      <c r="P9" s="123"/>
      <c r="Q9" s="123"/>
      <c r="R9" s="123"/>
      <c r="S9" s="123"/>
      <c r="T9" s="123"/>
    </row>
    <row r="10">
      <c r="A10" s="143" t="s">
        <v>200</v>
      </c>
      <c r="B10" s="145">
        <v>144.0</v>
      </c>
      <c r="C10" s="28"/>
      <c r="D10" s="23"/>
      <c r="E10" s="143" t="s">
        <v>17</v>
      </c>
      <c r="F10" s="145">
        <v>96.0</v>
      </c>
      <c r="G10" s="73"/>
      <c r="H10" s="123"/>
      <c r="I10" s="73"/>
      <c r="J10" s="123"/>
      <c r="K10" s="73"/>
      <c r="L10" s="73"/>
      <c r="M10" s="123"/>
      <c r="N10" s="144"/>
      <c r="O10" s="123"/>
      <c r="P10" s="123"/>
      <c r="Q10" s="123"/>
      <c r="R10" s="123"/>
      <c r="S10" s="123"/>
      <c r="T10" s="123"/>
    </row>
    <row r="11">
      <c r="A11" s="123"/>
      <c r="B11" s="123"/>
      <c r="C11" s="23"/>
      <c r="D11" s="23"/>
      <c r="E11" s="123"/>
      <c r="F11" s="123"/>
      <c r="G11" s="123"/>
      <c r="H11" s="123"/>
      <c r="I11" s="123"/>
      <c r="J11" s="123"/>
      <c r="K11" s="123"/>
      <c r="L11" s="123"/>
      <c r="M11" s="147" t="s">
        <v>201</v>
      </c>
      <c r="N11" s="144"/>
      <c r="O11" s="153" t="s">
        <v>195</v>
      </c>
      <c r="P11" s="149"/>
      <c r="Q11" s="154"/>
      <c r="R11" s="152" t="s">
        <v>195</v>
      </c>
      <c r="S11" s="154"/>
      <c r="T11" s="123"/>
    </row>
    <row r="12">
      <c r="A12" s="143" t="s">
        <v>202</v>
      </c>
      <c r="B12" s="144"/>
      <c r="C12" s="28"/>
      <c r="D12" s="28"/>
      <c r="E12" s="143" t="s">
        <v>25</v>
      </c>
      <c r="F12" s="145">
        <v>56.0</v>
      </c>
      <c r="G12" s="123"/>
      <c r="H12" s="123"/>
      <c r="I12" s="123"/>
      <c r="J12" s="123"/>
      <c r="K12" s="123"/>
      <c r="L12" s="123"/>
      <c r="M12" s="123"/>
      <c r="N12" s="144"/>
      <c r="O12" s="123"/>
      <c r="P12" s="123"/>
      <c r="Q12" s="123"/>
      <c r="R12" s="123"/>
      <c r="S12" s="123"/>
      <c r="T12" s="123"/>
    </row>
    <row r="13">
      <c r="A13" s="58" t="s">
        <v>203</v>
      </c>
      <c r="B13" s="146"/>
      <c r="C13" s="22" t="s">
        <v>197</v>
      </c>
      <c r="D13" s="23"/>
      <c r="E13" s="58" t="s">
        <v>204</v>
      </c>
      <c r="F13" s="146"/>
      <c r="G13" s="149"/>
      <c r="H13" s="149"/>
      <c r="I13" s="143" t="s">
        <v>205</v>
      </c>
      <c r="J13" s="144"/>
      <c r="K13" s="123"/>
      <c r="L13" s="123"/>
      <c r="M13" s="123"/>
      <c r="N13" s="144"/>
      <c r="O13" s="123"/>
      <c r="P13" s="123"/>
      <c r="Q13" s="123"/>
      <c r="R13" s="123"/>
      <c r="S13" s="123"/>
      <c r="T13" s="123"/>
    </row>
    <row r="14">
      <c r="A14" s="143" t="s">
        <v>206</v>
      </c>
      <c r="B14" s="144"/>
      <c r="C14" s="28"/>
      <c r="D14" s="23"/>
      <c r="E14" s="151" t="s">
        <v>205</v>
      </c>
      <c r="F14" s="145">
        <v>130.0</v>
      </c>
      <c r="G14" s="73"/>
      <c r="H14" s="73"/>
      <c r="I14" s="123"/>
      <c r="J14" s="144"/>
      <c r="K14" s="123"/>
      <c r="L14" s="123"/>
      <c r="M14" s="123"/>
      <c r="N14" s="144"/>
      <c r="O14" s="123"/>
      <c r="P14" s="123"/>
      <c r="Q14" s="123"/>
      <c r="R14" s="123"/>
      <c r="S14" s="123"/>
      <c r="T14" s="123"/>
    </row>
    <row r="15">
      <c r="A15" s="123"/>
      <c r="B15" s="123"/>
      <c r="C15" s="23"/>
      <c r="D15" s="23"/>
      <c r="E15" s="123"/>
      <c r="F15" s="123"/>
      <c r="G15" s="123"/>
      <c r="H15" s="123"/>
      <c r="I15" s="147" t="s">
        <v>199</v>
      </c>
      <c r="J15" s="146"/>
      <c r="K15" s="153"/>
      <c r="L15" s="149"/>
      <c r="M15" s="143" t="s">
        <v>205</v>
      </c>
      <c r="N15" s="144"/>
      <c r="O15" s="152"/>
      <c r="P15" s="123"/>
      <c r="Q15" s="123"/>
      <c r="R15" s="123"/>
      <c r="S15" s="123"/>
      <c r="T15" s="123"/>
    </row>
    <row r="16">
      <c r="A16" s="143" t="s">
        <v>207</v>
      </c>
      <c r="B16" s="145">
        <v>120.0</v>
      </c>
      <c r="C16" s="28"/>
      <c r="D16" s="28"/>
      <c r="E16" s="143" t="s">
        <v>208</v>
      </c>
      <c r="F16" s="145">
        <v>32.0</v>
      </c>
      <c r="G16" s="123"/>
      <c r="H16" s="123"/>
      <c r="I16" s="123"/>
      <c r="J16" s="144"/>
      <c r="K16" s="123"/>
      <c r="L16" s="123"/>
      <c r="M16" s="73"/>
      <c r="N16" s="123"/>
      <c r="O16" s="73"/>
      <c r="P16" s="123"/>
      <c r="Q16" s="155" t="s">
        <v>201</v>
      </c>
      <c r="R16" s="123"/>
      <c r="S16" s="155"/>
      <c r="T16" s="123"/>
    </row>
    <row r="17">
      <c r="A17" s="58" t="s">
        <v>209</v>
      </c>
      <c r="B17" s="146"/>
      <c r="C17" s="23" t="s">
        <v>17</v>
      </c>
      <c r="D17" s="23"/>
      <c r="E17" s="58" t="s">
        <v>210</v>
      </c>
      <c r="F17" s="146"/>
      <c r="G17" s="148"/>
      <c r="H17" s="149"/>
      <c r="I17" s="143" t="s">
        <v>6</v>
      </c>
      <c r="J17" s="144"/>
      <c r="K17" s="123"/>
      <c r="L17" s="123"/>
      <c r="M17" s="123"/>
      <c r="N17" s="123"/>
      <c r="O17" s="123"/>
      <c r="P17" s="73"/>
      <c r="Q17" s="123"/>
      <c r="R17" s="123"/>
      <c r="S17" s="123"/>
      <c r="T17" s="123"/>
    </row>
    <row r="18">
      <c r="A18" s="143" t="s">
        <v>211</v>
      </c>
      <c r="B18" s="145">
        <v>40.0</v>
      </c>
      <c r="C18" s="23"/>
      <c r="D18" s="23"/>
      <c r="E18" s="143" t="s">
        <v>6</v>
      </c>
      <c r="F18" s="145">
        <v>104.0</v>
      </c>
      <c r="G18" s="123"/>
      <c r="H18" s="123"/>
      <c r="I18" s="123"/>
      <c r="J18" s="123"/>
      <c r="K18" s="73"/>
      <c r="L18" s="73"/>
      <c r="M18" s="73"/>
      <c r="N18" s="123"/>
      <c r="O18" s="143" t="s">
        <v>205</v>
      </c>
      <c r="P18" s="156"/>
      <c r="Q18" s="73"/>
      <c r="R18" s="157" t="s">
        <v>212</v>
      </c>
      <c r="S18" s="123"/>
      <c r="T18" s="123"/>
    </row>
    <row r="19">
      <c r="A19" s="28"/>
      <c r="B19" s="28"/>
      <c r="C19" s="23"/>
      <c r="D19" s="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44"/>
      <c r="Q19" s="123"/>
      <c r="R19" s="152" t="s">
        <v>195</v>
      </c>
      <c r="S19" s="123"/>
      <c r="T19" s="123"/>
    </row>
    <row r="20">
      <c r="A20" s="143" t="s">
        <v>213</v>
      </c>
      <c r="B20" s="145">
        <v>90.0</v>
      </c>
      <c r="C20" s="28"/>
      <c r="D20" s="28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44"/>
      <c r="Q20" s="123"/>
      <c r="R20" s="123"/>
      <c r="S20" s="123"/>
      <c r="T20" s="123"/>
    </row>
    <row r="21">
      <c r="A21" s="58" t="s">
        <v>214</v>
      </c>
      <c r="B21" s="146"/>
      <c r="C21" s="22" t="s">
        <v>25</v>
      </c>
      <c r="D21" s="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44"/>
      <c r="Q21" s="123"/>
      <c r="R21" s="123"/>
      <c r="S21" s="123"/>
      <c r="T21" s="123"/>
    </row>
    <row r="22">
      <c r="A22" s="150" t="s">
        <v>215</v>
      </c>
      <c r="B22" s="145">
        <v>110.0</v>
      </c>
      <c r="C22" s="28"/>
      <c r="D22" s="23"/>
      <c r="E22" s="73"/>
      <c r="F22" s="123"/>
      <c r="G22" s="73"/>
      <c r="H22" s="73"/>
      <c r="I22" s="123"/>
      <c r="J22" s="123"/>
      <c r="K22" s="143" t="s">
        <v>6</v>
      </c>
      <c r="L22" s="144"/>
      <c r="M22" s="123"/>
      <c r="N22" s="123"/>
      <c r="O22" s="123"/>
      <c r="P22" s="144"/>
      <c r="Q22" s="123"/>
      <c r="R22" s="123"/>
      <c r="S22" s="123"/>
      <c r="T22" s="123"/>
    </row>
    <row r="23">
      <c r="A23" s="123"/>
      <c r="B23" s="123"/>
      <c r="C23" s="23"/>
      <c r="D23" s="23"/>
      <c r="E23" s="123"/>
      <c r="F23" s="123"/>
      <c r="G23" s="123"/>
      <c r="H23" s="123"/>
      <c r="I23" s="123"/>
      <c r="J23" s="123"/>
      <c r="K23" s="123"/>
      <c r="L23" s="144"/>
      <c r="M23" s="123"/>
      <c r="N23" s="123"/>
      <c r="O23" s="123"/>
      <c r="P23" s="144"/>
      <c r="Q23" s="123"/>
      <c r="R23" s="123"/>
      <c r="S23" s="123"/>
      <c r="T23" s="123"/>
    </row>
    <row r="24">
      <c r="A24" s="143" t="s">
        <v>216</v>
      </c>
      <c r="B24" s="144"/>
      <c r="C24" s="158"/>
      <c r="D24" s="159"/>
      <c r="E24" s="123"/>
      <c r="F24" s="123"/>
      <c r="G24" s="143" t="s">
        <v>4</v>
      </c>
      <c r="H24" s="145">
        <v>108.0</v>
      </c>
      <c r="I24" s="123"/>
      <c r="J24" s="123"/>
      <c r="K24" s="123"/>
      <c r="L24" s="144"/>
      <c r="M24" s="123"/>
      <c r="N24" s="123"/>
      <c r="O24" s="123"/>
      <c r="P24" s="144"/>
      <c r="Q24" s="123"/>
      <c r="R24" s="123"/>
      <c r="S24" s="123"/>
      <c r="T24" s="123"/>
    </row>
    <row r="25">
      <c r="A25" s="58" t="s">
        <v>217</v>
      </c>
      <c r="B25" s="146"/>
      <c r="C25" s="22" t="s">
        <v>216</v>
      </c>
      <c r="D25" s="23"/>
      <c r="E25" s="123"/>
      <c r="F25" s="123"/>
      <c r="G25" s="123"/>
      <c r="H25" s="144"/>
      <c r="I25" s="123"/>
      <c r="J25" s="123"/>
      <c r="K25" s="123"/>
      <c r="L25" s="144"/>
      <c r="M25" s="123"/>
      <c r="N25" s="123"/>
      <c r="O25" s="123"/>
      <c r="P25" s="144"/>
      <c r="Q25" s="123"/>
      <c r="R25" s="123"/>
      <c r="S25" s="123"/>
      <c r="T25" s="123"/>
    </row>
    <row r="26">
      <c r="A26" s="143" t="s">
        <v>218</v>
      </c>
      <c r="B26" s="144"/>
      <c r="C26" s="147"/>
      <c r="D26" s="23"/>
      <c r="E26" s="73"/>
      <c r="F26" s="73"/>
      <c r="G26" s="58" t="s">
        <v>192</v>
      </c>
      <c r="H26" s="144"/>
      <c r="I26" s="143" t="s">
        <v>4</v>
      </c>
      <c r="J26" s="146"/>
      <c r="K26" s="147" t="s">
        <v>192</v>
      </c>
      <c r="L26" s="146"/>
      <c r="M26" s="143" t="s">
        <v>25</v>
      </c>
      <c r="N26" s="160">
        <v>50.0</v>
      </c>
      <c r="O26" s="123"/>
      <c r="P26" s="144"/>
      <c r="Q26" s="154"/>
      <c r="R26" s="152" t="s">
        <v>3</v>
      </c>
      <c r="S26" s="154"/>
      <c r="T26" s="123"/>
    </row>
    <row r="27">
      <c r="A27" s="123"/>
      <c r="B27" s="123"/>
      <c r="C27" s="23"/>
      <c r="D27" s="23"/>
      <c r="E27" s="143" t="s">
        <v>19</v>
      </c>
      <c r="F27" s="145">
        <v>16.0</v>
      </c>
      <c r="G27" s="123"/>
      <c r="H27" s="144"/>
      <c r="I27" s="123"/>
      <c r="J27" s="144"/>
      <c r="K27" s="123"/>
      <c r="L27" s="144"/>
      <c r="M27" s="123"/>
      <c r="N27" s="144"/>
      <c r="O27" s="123"/>
      <c r="P27" s="144"/>
      <c r="Q27" s="123"/>
      <c r="R27" s="123"/>
      <c r="S27" s="123"/>
      <c r="T27" s="123"/>
    </row>
    <row r="28">
      <c r="A28" s="143" t="s">
        <v>208</v>
      </c>
      <c r="B28" s="145">
        <v>90.0</v>
      </c>
      <c r="C28" s="158"/>
      <c r="D28" s="159"/>
      <c r="E28" s="58" t="s">
        <v>219</v>
      </c>
      <c r="F28" s="146"/>
      <c r="G28" s="143" t="s">
        <v>2</v>
      </c>
      <c r="H28" s="145">
        <v>14.0</v>
      </c>
      <c r="I28" s="123"/>
      <c r="J28" s="144"/>
      <c r="K28" s="73"/>
      <c r="L28" s="144"/>
      <c r="M28" s="123"/>
      <c r="N28" s="144"/>
      <c r="O28" s="58" t="s">
        <v>201</v>
      </c>
      <c r="P28" s="144"/>
      <c r="Q28" s="123"/>
      <c r="R28" s="123"/>
      <c r="S28" s="123"/>
      <c r="T28" s="123"/>
    </row>
    <row r="29">
      <c r="A29" s="58" t="s">
        <v>220</v>
      </c>
      <c r="B29" s="146"/>
      <c r="C29" s="22" t="s">
        <v>208</v>
      </c>
      <c r="D29" s="23"/>
      <c r="E29" s="151" t="s">
        <v>2</v>
      </c>
      <c r="F29" s="145">
        <v>120.0</v>
      </c>
      <c r="G29" s="123"/>
      <c r="H29" s="123"/>
      <c r="I29" s="123"/>
      <c r="J29" s="144"/>
      <c r="K29" s="123"/>
      <c r="L29" s="144"/>
      <c r="M29" s="123"/>
      <c r="N29" s="144"/>
      <c r="O29" s="73"/>
      <c r="P29" s="144"/>
      <c r="Q29" s="123"/>
      <c r="R29" s="123"/>
      <c r="S29" s="123"/>
      <c r="T29" s="123"/>
    </row>
    <row r="30">
      <c r="A30" s="143" t="s">
        <v>221</v>
      </c>
      <c r="B30" s="145">
        <v>28.0</v>
      </c>
      <c r="C30" s="28"/>
      <c r="D30" s="23"/>
      <c r="E30" s="123"/>
      <c r="F30" s="123"/>
      <c r="G30" s="73"/>
      <c r="H30" s="73"/>
      <c r="I30" s="155" t="s">
        <v>204</v>
      </c>
      <c r="J30" s="144"/>
      <c r="K30" s="143" t="s">
        <v>25</v>
      </c>
      <c r="L30" s="144"/>
      <c r="M30" s="73"/>
      <c r="N30" s="146"/>
      <c r="O30" s="123"/>
      <c r="P30" s="144"/>
      <c r="Q30" s="123"/>
      <c r="R30" s="123"/>
      <c r="S30" s="123"/>
      <c r="T30" s="123"/>
    </row>
    <row r="31">
      <c r="A31" s="123"/>
      <c r="B31" s="123"/>
      <c r="C31" s="23"/>
      <c r="D31" s="23"/>
      <c r="E31" s="152"/>
      <c r="F31" s="123"/>
      <c r="G31" s="123"/>
      <c r="H31" s="123"/>
      <c r="I31" s="123"/>
      <c r="J31" s="144"/>
      <c r="K31" s="123"/>
      <c r="L31" s="123"/>
      <c r="M31" s="123"/>
      <c r="N31" s="144"/>
      <c r="O31" s="123"/>
      <c r="P31" s="144"/>
      <c r="Q31" s="123"/>
      <c r="R31" s="123"/>
      <c r="S31" s="123"/>
      <c r="T31" s="123"/>
    </row>
    <row r="32">
      <c r="A32" s="143" t="s">
        <v>222</v>
      </c>
      <c r="B32" s="145">
        <v>122.0</v>
      </c>
      <c r="C32" s="158"/>
      <c r="D32" s="159"/>
      <c r="E32" s="147"/>
      <c r="F32" s="73"/>
      <c r="G32" s="143" t="s">
        <v>25</v>
      </c>
      <c r="H32" s="161">
        <v>100.0</v>
      </c>
      <c r="I32" s="123"/>
      <c r="J32" s="144"/>
      <c r="K32" s="123"/>
      <c r="L32" s="123"/>
      <c r="M32" s="123"/>
      <c r="N32" s="144"/>
      <c r="O32" s="123"/>
      <c r="P32" s="144"/>
      <c r="Q32" s="123"/>
      <c r="R32" s="123"/>
      <c r="S32" s="123"/>
      <c r="T32" s="123"/>
    </row>
    <row r="33">
      <c r="A33" s="58" t="s">
        <v>223</v>
      </c>
      <c r="B33" s="146"/>
      <c r="C33" s="22" t="s">
        <v>224</v>
      </c>
      <c r="D33" s="23"/>
      <c r="E33" s="152"/>
      <c r="F33" s="123"/>
      <c r="G33" s="123"/>
      <c r="H33" s="144"/>
      <c r="I33" s="123"/>
      <c r="J33" s="144"/>
      <c r="K33" s="123"/>
      <c r="L33" s="123"/>
      <c r="M33" s="123"/>
      <c r="N33" s="144"/>
      <c r="O33" s="123"/>
      <c r="P33" s="144"/>
      <c r="Q33" s="123"/>
      <c r="R33" s="123"/>
      <c r="S33" s="123"/>
      <c r="T33" s="123"/>
    </row>
    <row r="34">
      <c r="A34" s="143" t="s">
        <v>225</v>
      </c>
      <c r="B34" s="145">
        <v>90.0</v>
      </c>
      <c r="C34" s="155"/>
      <c r="D34" s="23"/>
      <c r="E34" s="73"/>
      <c r="F34" s="73"/>
      <c r="G34" s="58" t="s">
        <v>199</v>
      </c>
      <c r="H34" s="144"/>
      <c r="I34" s="143" t="s">
        <v>25</v>
      </c>
      <c r="J34" s="146"/>
      <c r="K34" s="73"/>
      <c r="L34" s="73"/>
      <c r="M34" s="155" t="s">
        <v>226</v>
      </c>
      <c r="N34" s="144"/>
      <c r="O34" s="143" t="s">
        <v>3</v>
      </c>
      <c r="P34" s="162"/>
      <c r="Q34" s="123"/>
      <c r="R34" s="123"/>
      <c r="S34" s="123"/>
      <c r="T34" s="123"/>
    </row>
    <row r="35">
      <c r="A35" s="158"/>
      <c r="B35" s="159"/>
      <c r="C35" s="23"/>
      <c r="D35" s="23"/>
      <c r="E35" s="143" t="s">
        <v>24</v>
      </c>
      <c r="F35" s="145">
        <v>60.0</v>
      </c>
      <c r="G35" s="123"/>
      <c r="H35" s="144"/>
      <c r="I35" s="123"/>
      <c r="J35" s="123"/>
      <c r="K35" s="123"/>
      <c r="L35" s="123"/>
      <c r="M35" s="123"/>
      <c r="N35" s="144"/>
      <c r="O35" s="123"/>
      <c r="P35" s="123"/>
      <c r="Q35" s="123"/>
      <c r="R35" s="123"/>
      <c r="S35" s="123"/>
      <c r="T35" s="123"/>
    </row>
    <row r="36">
      <c r="A36" s="155"/>
      <c r="B36" s="23"/>
      <c r="C36" s="158"/>
      <c r="D36" s="159"/>
      <c r="E36" s="58" t="s">
        <v>227</v>
      </c>
      <c r="F36" s="146"/>
      <c r="G36" s="143" t="s">
        <v>15</v>
      </c>
      <c r="H36" s="161">
        <v>26.0</v>
      </c>
      <c r="I36" s="123"/>
      <c r="J36" s="123"/>
      <c r="K36" s="123"/>
      <c r="L36" s="163"/>
      <c r="M36" s="73"/>
      <c r="N36" s="144"/>
      <c r="O36" s="123"/>
      <c r="P36" s="163"/>
      <c r="Q36" s="123"/>
      <c r="R36" s="123"/>
      <c r="S36" s="123"/>
      <c r="T36" s="123"/>
    </row>
    <row r="37">
      <c r="A37" s="158"/>
      <c r="B37" s="159"/>
      <c r="C37" s="23"/>
      <c r="D37" s="23"/>
      <c r="E37" s="151" t="s">
        <v>15</v>
      </c>
      <c r="F37" s="145">
        <v>82.0</v>
      </c>
      <c r="G37" s="123"/>
      <c r="H37" s="123"/>
      <c r="I37" s="123"/>
      <c r="J37" s="123"/>
      <c r="K37" s="123"/>
      <c r="L37" s="163"/>
      <c r="M37" s="73"/>
      <c r="N37" s="144"/>
      <c r="O37" s="123"/>
      <c r="P37" s="163"/>
      <c r="Q37" s="123"/>
      <c r="R37" s="123"/>
      <c r="S37" s="123"/>
      <c r="T37" s="123"/>
    </row>
    <row r="38">
      <c r="A38" s="23"/>
      <c r="B38" s="23"/>
      <c r="C38" s="23"/>
      <c r="D38" s="23"/>
      <c r="E38" s="123"/>
      <c r="F38" s="123"/>
      <c r="G38" s="73"/>
      <c r="H38" s="73"/>
      <c r="I38" s="73"/>
      <c r="J38" s="123"/>
      <c r="K38" s="143" t="s">
        <v>17</v>
      </c>
      <c r="L38" s="164">
        <v>40.0</v>
      </c>
      <c r="M38" s="123"/>
      <c r="N38" s="144"/>
      <c r="O38" s="73"/>
      <c r="P38" s="163"/>
      <c r="Q38" s="73"/>
      <c r="R38" s="123"/>
      <c r="S38" s="123"/>
      <c r="T38" s="123"/>
    </row>
    <row r="39">
      <c r="A39" s="23"/>
      <c r="B39" s="23"/>
      <c r="C39" s="28"/>
      <c r="D39" s="28"/>
      <c r="E39" s="152"/>
      <c r="F39" s="123"/>
      <c r="G39" s="123"/>
      <c r="H39" s="123"/>
      <c r="I39" s="123"/>
      <c r="J39" s="123"/>
      <c r="K39" s="123"/>
      <c r="L39" s="165"/>
      <c r="M39" s="123"/>
      <c r="N39" s="144"/>
      <c r="O39" s="123"/>
      <c r="P39" s="163"/>
      <c r="Q39" s="123"/>
      <c r="R39" s="123"/>
      <c r="S39" s="123"/>
      <c r="T39" s="123"/>
    </row>
    <row r="40">
      <c r="A40" s="23"/>
      <c r="B40" s="23"/>
      <c r="C40" s="158"/>
      <c r="D40" s="159"/>
      <c r="E40" s="147"/>
      <c r="F40" s="73"/>
      <c r="G40" s="143" t="s">
        <v>197</v>
      </c>
      <c r="H40" s="166"/>
      <c r="I40" s="123"/>
      <c r="J40" s="123"/>
      <c r="K40" s="123"/>
      <c r="L40" s="165"/>
      <c r="M40" s="123"/>
      <c r="N40" s="144"/>
      <c r="O40" s="123"/>
      <c r="P40" s="163"/>
      <c r="Q40" s="123"/>
      <c r="R40" s="123"/>
      <c r="S40" s="123"/>
      <c r="T40" s="123"/>
    </row>
    <row r="41">
      <c r="A41" s="23"/>
      <c r="B41" s="23"/>
      <c r="C41" s="28"/>
      <c r="D41" s="28"/>
      <c r="E41" s="152"/>
      <c r="F41" s="123"/>
      <c r="G41" s="123"/>
      <c r="H41" s="144"/>
      <c r="I41" s="123"/>
      <c r="J41" s="123"/>
      <c r="K41" s="123"/>
      <c r="L41" s="165"/>
      <c r="M41" s="123"/>
      <c r="N41" s="144"/>
      <c r="O41" s="123"/>
      <c r="P41" s="163"/>
      <c r="Q41" s="123"/>
      <c r="R41" s="123"/>
      <c r="S41" s="123"/>
      <c r="T41" s="123"/>
    </row>
    <row r="42">
      <c r="A42" s="23"/>
      <c r="B42" s="23"/>
      <c r="C42" s="155"/>
      <c r="D42" s="23"/>
      <c r="E42" s="73"/>
      <c r="F42" s="73"/>
      <c r="G42" s="58" t="s">
        <v>204</v>
      </c>
      <c r="H42" s="144"/>
      <c r="I42" s="143" t="s">
        <v>20</v>
      </c>
      <c r="J42" s="167"/>
      <c r="K42" s="155" t="s">
        <v>199</v>
      </c>
      <c r="L42" s="165"/>
      <c r="M42" s="143" t="s">
        <v>3</v>
      </c>
      <c r="N42" s="160">
        <v>74.0</v>
      </c>
      <c r="O42" s="123"/>
      <c r="P42" s="163"/>
      <c r="Q42" s="123"/>
      <c r="R42" s="123"/>
      <c r="S42" s="123"/>
      <c r="T42" s="123"/>
    </row>
    <row r="43">
      <c r="A43" s="158"/>
      <c r="B43" s="159"/>
      <c r="C43" s="23"/>
      <c r="D43" s="23"/>
      <c r="E43" s="143" t="s">
        <v>7</v>
      </c>
      <c r="F43" s="145">
        <v>78.0</v>
      </c>
      <c r="G43" s="123"/>
      <c r="H43" s="144"/>
      <c r="I43" s="123"/>
      <c r="J43" s="144"/>
      <c r="K43" s="123"/>
      <c r="L43" s="165"/>
      <c r="M43" s="123"/>
      <c r="N43" s="123"/>
      <c r="O43" s="123"/>
      <c r="P43" s="163"/>
      <c r="Q43" s="123"/>
      <c r="R43" s="123"/>
      <c r="S43" s="123"/>
      <c r="T43" s="123"/>
    </row>
    <row r="44">
      <c r="A44" s="155"/>
      <c r="B44" s="23"/>
      <c r="C44" s="158"/>
      <c r="D44" s="159"/>
      <c r="E44" s="58" t="s">
        <v>228</v>
      </c>
      <c r="F44" s="146"/>
      <c r="G44" s="143" t="s">
        <v>20</v>
      </c>
      <c r="H44" s="166"/>
      <c r="I44" s="123"/>
      <c r="J44" s="144"/>
      <c r="K44" s="123"/>
      <c r="L44" s="165"/>
      <c r="M44" s="123"/>
      <c r="N44" s="123"/>
      <c r="O44" s="123"/>
      <c r="P44" s="163"/>
      <c r="Q44" s="123"/>
      <c r="R44" s="123"/>
      <c r="S44" s="123"/>
      <c r="T44" s="123"/>
    </row>
    <row r="45">
      <c r="A45" s="158"/>
      <c r="B45" s="159"/>
      <c r="C45" s="23"/>
      <c r="D45" s="23"/>
      <c r="E45" s="151" t="s">
        <v>20</v>
      </c>
      <c r="F45" s="145">
        <v>148.0</v>
      </c>
      <c r="G45" s="123"/>
      <c r="H45" s="123"/>
      <c r="I45" s="123"/>
      <c r="J45" s="144"/>
      <c r="K45" s="123"/>
      <c r="L45" s="165"/>
      <c r="M45" s="123"/>
      <c r="N45" s="123"/>
      <c r="O45" s="123"/>
      <c r="P45" s="163"/>
      <c r="Q45" s="123"/>
      <c r="R45" s="123"/>
      <c r="S45" s="123"/>
      <c r="T45" s="123"/>
    </row>
    <row r="46">
      <c r="A46" s="23"/>
      <c r="B46" s="23"/>
      <c r="C46" s="23"/>
      <c r="D46" s="23"/>
      <c r="E46" s="123"/>
      <c r="F46" s="123"/>
      <c r="G46" s="73"/>
      <c r="H46" s="73"/>
      <c r="I46" s="155" t="s">
        <v>210</v>
      </c>
      <c r="J46" s="144"/>
      <c r="K46" s="143" t="s">
        <v>3</v>
      </c>
      <c r="L46" s="164">
        <v>108.0</v>
      </c>
      <c r="M46" s="73"/>
      <c r="N46" s="73"/>
      <c r="O46" s="123"/>
      <c r="P46" s="163"/>
      <c r="Q46" s="123"/>
      <c r="R46" s="123"/>
      <c r="S46" s="123"/>
      <c r="T46" s="123"/>
    </row>
    <row r="47">
      <c r="A47" s="23"/>
      <c r="B47" s="23"/>
      <c r="C47" s="28"/>
      <c r="D47" s="28"/>
      <c r="E47" s="152"/>
      <c r="F47" s="123"/>
      <c r="G47" s="123"/>
      <c r="H47" s="123"/>
      <c r="I47" s="123"/>
      <c r="J47" s="144"/>
      <c r="K47" s="123"/>
      <c r="L47" s="163"/>
      <c r="M47" s="73"/>
      <c r="N47" s="123"/>
      <c r="O47" s="123"/>
      <c r="P47" s="163"/>
      <c r="Q47" s="123"/>
      <c r="R47" s="123"/>
      <c r="S47" s="123"/>
      <c r="T47" s="123"/>
    </row>
    <row r="48">
      <c r="A48" s="23"/>
      <c r="B48" s="23"/>
      <c r="C48" s="158"/>
      <c r="D48" s="168"/>
      <c r="E48" s="147"/>
      <c r="F48" s="73"/>
      <c r="G48" s="143" t="s">
        <v>5</v>
      </c>
      <c r="H48" s="145">
        <v>42.0</v>
      </c>
      <c r="I48" s="123"/>
      <c r="J48" s="144"/>
      <c r="K48" s="123"/>
      <c r="L48" s="163"/>
      <c r="M48" s="73"/>
      <c r="N48" s="123"/>
      <c r="O48" s="123"/>
      <c r="P48" s="163"/>
      <c r="Q48" s="123"/>
      <c r="R48" s="123"/>
      <c r="S48" s="123"/>
      <c r="T48" s="123"/>
    </row>
    <row r="49">
      <c r="A49" s="23"/>
      <c r="B49" s="23"/>
      <c r="C49" s="28"/>
      <c r="D49" s="28"/>
      <c r="E49" s="152"/>
      <c r="F49" s="123"/>
      <c r="G49" s="123"/>
      <c r="H49" s="144"/>
      <c r="I49" s="123"/>
      <c r="J49" s="144"/>
      <c r="K49" s="123"/>
      <c r="L49" s="163"/>
      <c r="M49" s="73"/>
      <c r="N49" s="123"/>
      <c r="O49" s="123"/>
      <c r="P49" s="163"/>
      <c r="Q49" s="123"/>
      <c r="R49" s="123"/>
      <c r="S49" s="123"/>
      <c r="T49" s="123"/>
    </row>
    <row r="50">
      <c r="A50" s="23"/>
      <c r="B50" s="23"/>
      <c r="C50" s="155"/>
      <c r="D50" s="23"/>
      <c r="E50" s="73"/>
      <c r="F50" s="73"/>
      <c r="G50" s="58" t="s">
        <v>210</v>
      </c>
      <c r="H50" s="144"/>
      <c r="I50" s="143" t="s">
        <v>3</v>
      </c>
      <c r="J50" s="167"/>
      <c r="K50" s="123"/>
      <c r="L50" s="163"/>
      <c r="M50" s="123"/>
      <c r="N50" s="123"/>
      <c r="O50" s="123"/>
      <c r="P50" s="163"/>
      <c r="Q50" s="123"/>
      <c r="R50" s="123"/>
      <c r="S50" s="123"/>
      <c r="T50" s="123"/>
    </row>
    <row r="51">
      <c r="A51" s="158"/>
      <c r="B51" s="159"/>
      <c r="C51" s="23"/>
      <c r="D51" s="23"/>
      <c r="E51" s="143" t="s">
        <v>39</v>
      </c>
      <c r="F51" s="161">
        <v>68.0</v>
      </c>
      <c r="G51" s="123"/>
      <c r="H51" s="144"/>
      <c r="I51" s="123"/>
      <c r="J51" s="123"/>
      <c r="K51" s="123"/>
      <c r="L51" s="163"/>
      <c r="M51" s="73"/>
      <c r="N51" s="123"/>
      <c r="O51" s="123"/>
      <c r="P51" s="163"/>
      <c r="Q51" s="123"/>
      <c r="R51" s="123"/>
      <c r="S51" s="123"/>
      <c r="T51" s="123"/>
    </row>
    <row r="52">
      <c r="A52" s="155"/>
      <c r="B52" s="23"/>
      <c r="C52" s="158"/>
      <c r="D52" s="168"/>
      <c r="E52" s="147" t="s">
        <v>229</v>
      </c>
      <c r="F52" s="146"/>
      <c r="G52" s="143" t="s">
        <v>3</v>
      </c>
      <c r="H52" s="145">
        <v>64.0</v>
      </c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</row>
    <row r="53">
      <c r="A53" s="158"/>
      <c r="B53" s="159"/>
      <c r="C53" s="23"/>
      <c r="D53" s="23"/>
      <c r="E53" s="143" t="s">
        <v>3</v>
      </c>
      <c r="F53" s="161">
        <v>122.0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</row>
    <row r="54">
      <c r="A54" s="23"/>
      <c r="B54" s="23"/>
      <c r="C54" s="23"/>
      <c r="D54" s="23"/>
      <c r="E54" s="28"/>
      <c r="F54" s="23"/>
      <c r="G54" s="28"/>
      <c r="H54" s="28"/>
      <c r="I54" s="28"/>
      <c r="J54" s="23"/>
      <c r="K54" s="28"/>
      <c r="L54" s="28"/>
      <c r="M54" s="23"/>
      <c r="N54" s="23"/>
      <c r="O54" s="15"/>
      <c r="P54" s="15"/>
      <c r="Q54" s="15"/>
      <c r="R54" s="15"/>
      <c r="S54" s="15"/>
      <c r="T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>
      <c r="A58" s="13" t="s">
        <v>230</v>
      </c>
      <c r="B58" s="15"/>
      <c r="C58" s="15"/>
      <c r="D58" s="15"/>
      <c r="E58" s="13" t="s">
        <v>231</v>
      </c>
      <c r="F58" s="15"/>
      <c r="G58" s="13" t="s">
        <v>232</v>
      </c>
      <c r="H58" s="15"/>
      <c r="I58" s="13" t="s">
        <v>233</v>
      </c>
      <c r="J58" s="15"/>
      <c r="K58" s="13" t="s">
        <v>234</v>
      </c>
      <c r="L58" s="15"/>
      <c r="M58" s="13" t="s">
        <v>235</v>
      </c>
      <c r="N58" s="15"/>
      <c r="O58" s="13" t="s">
        <v>236</v>
      </c>
      <c r="P58" s="15"/>
      <c r="Q58" s="15"/>
      <c r="R58" s="13" t="s">
        <v>237</v>
      </c>
      <c r="S58" s="15"/>
      <c r="T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</sheetData>
  <mergeCells count="3">
    <mergeCell ref="A1:B1"/>
    <mergeCell ref="C1:D1"/>
    <mergeCell ref="E1:F1"/>
  </mergeCells>
  <hyperlinks>
    <hyperlink r:id="rId1" location="gid=204270256" ref="C2"/>
  </hyperlinks>
  <drawing r:id="rId2"/>
</worksheet>
</file>