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Schedule" sheetId="1" r:id="rId5"/>
    <sheet state="visible" name="RR Groups" sheetId="2" r:id="rId6"/>
    <sheet state="visible" name="Bracket" sheetId="3" r:id="rId7"/>
  </sheets>
  <definedNames/>
  <calcPr/>
</workbook>
</file>

<file path=xl/sharedStrings.xml><?xml version="1.0" encoding="utf-8"?>
<sst xmlns="http://schemas.openxmlformats.org/spreadsheetml/2006/main" count="373" uniqueCount="237">
  <si>
    <t>Round Robin Team Names</t>
  </si>
  <si>
    <t>DE1</t>
  </si>
  <si>
    <t>DE2</t>
  </si>
  <si>
    <t>DE 3</t>
  </si>
  <si>
    <t>DE4</t>
  </si>
  <si>
    <t>DE5</t>
  </si>
  <si>
    <t>DE6</t>
  </si>
  <si>
    <t>DE7</t>
  </si>
  <si>
    <t>DE8</t>
  </si>
  <si>
    <t>All times are in CT</t>
  </si>
  <si>
    <t>DE9</t>
  </si>
  <si>
    <t>Teams</t>
  </si>
  <si>
    <t>paid</t>
  </si>
  <si>
    <t>1130-1210</t>
  </si>
  <si>
    <t>1210-1250</t>
  </si>
  <si>
    <t>1250-1330</t>
  </si>
  <si>
    <t>1400-1440</t>
  </si>
  <si>
    <t>1440-1520</t>
  </si>
  <si>
    <t>1520-1600</t>
  </si>
  <si>
    <t>1600-1640</t>
  </si>
  <si>
    <t>1640-1720</t>
  </si>
  <si>
    <t>1720-1800</t>
  </si>
  <si>
    <t>alpha</t>
  </si>
  <si>
    <t>W-L</t>
  </si>
  <si>
    <t>Start Time</t>
  </si>
  <si>
    <t>End Time</t>
  </si>
  <si>
    <t>Description</t>
  </si>
  <si>
    <t>Amador Valley A</t>
  </si>
  <si>
    <t>Game 1 Score</t>
  </si>
  <si>
    <t>Game 2 Score</t>
  </si>
  <si>
    <t>Game 3 Score</t>
  </si>
  <si>
    <t>beta</t>
  </si>
  <si>
    <t>Opening Ceremony</t>
  </si>
  <si>
    <t>RR1</t>
  </si>
  <si>
    <t>gamma</t>
  </si>
  <si>
    <t>Team 1 v Team 2 (rr game 1 channel)</t>
  </si>
  <si>
    <t>Team 3 v Team 4 (rr game 2 channel)</t>
  </si>
  <si>
    <t>TJHSST A</t>
  </si>
  <si>
    <t>RR2</t>
  </si>
  <si>
    <t>Team 1 v Team 3 (rr game 1 channel)</t>
  </si>
  <si>
    <t>Team 2 v Team 4  (rr game 2 channel)</t>
  </si>
  <si>
    <t>TJHSST A - 210</t>
  </si>
  <si>
    <t>110-72</t>
  </si>
  <si>
    <t>34-48</t>
  </si>
  <si>
    <t>66-4</t>
  </si>
  <si>
    <t>Foothill B - 98</t>
  </si>
  <si>
    <t>6-152</t>
  </si>
  <si>
    <t>60-22</t>
  </si>
  <si>
    <t>RR3</t>
  </si>
  <si>
    <t>Team 1 v Team 4 (rr game 1 channel)</t>
  </si>
  <si>
    <t>32-60</t>
  </si>
  <si>
    <t>Team 2 v Team 3  (rr game 2 channel)</t>
  </si>
  <si>
    <t>Winner's Bracket</t>
  </si>
  <si>
    <t>North Hollywood</t>
  </si>
  <si>
    <t>East Brunswick B</t>
  </si>
  <si>
    <t>0-3</t>
  </si>
  <si>
    <t>8-126</t>
  </si>
  <si>
    <t>DAST 2024 Bracket</t>
  </si>
  <si>
    <t>18-90</t>
  </si>
  <si>
    <t>break</t>
  </si>
  <si>
    <t>East Brunswick A</t>
  </si>
  <si>
    <t>26-84</t>
  </si>
  <si>
    <t>Canyon Crest - 298</t>
  </si>
  <si>
    <t>72-110</t>
  </si>
  <si>
    <t>Check Bracket Tab</t>
  </si>
  <si>
    <t>126-22</t>
  </si>
  <si>
    <t>100-60</t>
  </si>
  <si>
    <t>ASFA A</t>
  </si>
  <si>
    <t>3-0</t>
  </si>
  <si>
    <t>152-6</t>
  </si>
  <si>
    <t>110-12</t>
  </si>
  <si>
    <t>80-48</t>
  </si>
  <si>
    <t>Lynbrook</t>
  </si>
  <si>
    <t>126-8</t>
  </si>
  <si>
    <t>120-42</t>
  </si>
  <si>
    <t>74-50</t>
  </si>
  <si>
    <t>Lubbock</t>
  </si>
  <si>
    <t>Clements - 232</t>
  </si>
  <si>
    <t>124-32</t>
  </si>
  <si>
    <t>48-34</t>
  </si>
  <si>
    <t>60-100</t>
  </si>
  <si>
    <t>East Brunswick A - 150</t>
  </si>
  <si>
    <t>DE3</t>
  </si>
  <si>
    <t>80-14</t>
  </si>
  <si>
    <t>Jordan</t>
  </si>
  <si>
    <t>22-60</t>
  </si>
  <si>
    <t>48-80</t>
  </si>
  <si>
    <t>Misson San Jose</t>
  </si>
  <si>
    <t>24-130</t>
  </si>
  <si>
    <t>90-18</t>
  </si>
  <si>
    <t>50-74</t>
  </si>
  <si>
    <t>Foothill A</t>
  </si>
  <si>
    <t>32-124</t>
  </si>
  <si>
    <t>22-126</t>
  </si>
  <si>
    <t>4-66</t>
  </si>
  <si>
    <t>Venice - 86</t>
  </si>
  <si>
    <t>14-80</t>
  </si>
  <si>
    <t>12-110</t>
  </si>
  <si>
    <t>Foothill B</t>
  </si>
  <si>
    <t>60-32</t>
  </si>
  <si>
    <t>130-24</t>
  </si>
  <si>
    <t>42-120</t>
  </si>
  <si>
    <t>84-26</t>
  </si>
  <si>
    <t>Princeton</t>
  </si>
  <si>
    <t>Middleton</t>
  </si>
  <si>
    <t>delta</t>
  </si>
  <si>
    <t>Clements</t>
  </si>
  <si>
    <t>epsilon</t>
  </si>
  <si>
    <t>Canyon Crest</t>
  </si>
  <si>
    <t xml:space="preserve">DE8 </t>
  </si>
  <si>
    <t xml:space="preserve">Canyon Crest </t>
  </si>
  <si>
    <t>62-56</t>
  </si>
  <si>
    <t>0-164</t>
  </si>
  <si>
    <t>46-48</t>
  </si>
  <si>
    <t>DE9 (if needed)</t>
  </si>
  <si>
    <t>Princeton - 130</t>
  </si>
  <si>
    <t>Iolani</t>
  </si>
  <si>
    <t>Game 1 Channel</t>
  </si>
  <si>
    <t>66-34</t>
  </si>
  <si>
    <t>0-104</t>
  </si>
  <si>
    <t>Game 1</t>
  </si>
  <si>
    <t>64-34</t>
  </si>
  <si>
    <t>Closing Ceremony/Awards</t>
  </si>
  <si>
    <t>Venice</t>
  </si>
  <si>
    <t>56-62</t>
  </si>
  <si>
    <t>18-88</t>
  </si>
  <si>
    <t>32-86</t>
  </si>
  <si>
    <t>ASFA B</t>
  </si>
  <si>
    <t>34-66</t>
  </si>
  <si>
    <t>14-120</t>
  </si>
  <si>
    <t>10-100</t>
  </si>
  <si>
    <t>West Windsor-Plainsboro North</t>
  </si>
  <si>
    <t>West Windsor</t>
  </si>
  <si>
    <t>104-70</t>
  </si>
  <si>
    <t>164-0</t>
  </si>
  <si>
    <t>86-32</t>
  </si>
  <si>
    <t>Iolani - 268</t>
  </si>
  <si>
    <t>64-104</t>
  </si>
  <si>
    <t>104-0</t>
  </si>
  <si>
    <t>100-10</t>
  </si>
  <si>
    <t>Mission San Jose</t>
  </si>
  <si>
    <t>70-104</t>
  </si>
  <si>
    <t>88-18</t>
  </si>
  <si>
    <t>48-46</t>
  </si>
  <si>
    <t>Amador Valley A - 258</t>
  </si>
  <si>
    <t>104-64</t>
  </si>
  <si>
    <t>120-14</t>
  </si>
  <si>
    <t>34-64</t>
  </si>
  <si>
    <t>Game 9</t>
  </si>
  <si>
    <t>60 - 42</t>
  </si>
  <si>
    <t>Round Robin Team Rankings</t>
  </si>
  <si>
    <t>Game 2 Channel</t>
  </si>
  <si>
    <t>Game 2</t>
  </si>
  <si>
    <t>[42]</t>
  </si>
  <si>
    <t>Game 3 Channel</t>
  </si>
  <si>
    <t>Game 3</t>
  </si>
  <si>
    <t>132-36</t>
  </si>
  <si>
    <t>Game 13</t>
  </si>
  <si>
    <t>130-68</t>
  </si>
  <si>
    <t>Game 10</t>
  </si>
  <si>
    <t>108-34</t>
  </si>
  <si>
    <t>Game 4 Channel</t>
  </si>
  <si>
    <t>Game 4</t>
  </si>
  <si>
    <t>36-12</t>
  </si>
  <si>
    <t>Game 5 Channel</t>
  </si>
  <si>
    <t>Game 5</t>
  </si>
  <si>
    <t>72-28</t>
  </si>
  <si>
    <t>Game 15</t>
  </si>
  <si>
    <t>82-76</t>
  </si>
  <si>
    <t>Game 11</t>
  </si>
  <si>
    <t>48-62</t>
  </si>
  <si>
    <t>Gme 6 Channel</t>
  </si>
  <si>
    <t>Game 6</t>
  </si>
  <si>
    <t>66-10</t>
  </si>
  <si>
    <t>Game 14</t>
  </si>
  <si>
    <t>86-36</t>
  </si>
  <si>
    <t>Game 30</t>
  </si>
  <si>
    <t>56-36</t>
  </si>
  <si>
    <t>Game 7 Channel</t>
  </si>
  <si>
    <t>Game 7</t>
  </si>
  <si>
    <t>114-50</t>
  </si>
  <si>
    <t>Game 12</t>
  </si>
  <si>
    <t>40-106</t>
  </si>
  <si>
    <t>W29</t>
  </si>
  <si>
    <t>92-64</t>
  </si>
  <si>
    <t>Game 31</t>
  </si>
  <si>
    <t>North Hollywood and Lynbrook</t>
  </si>
  <si>
    <t>Champion</t>
  </si>
  <si>
    <t>Game 8</t>
  </si>
  <si>
    <t>N/A</t>
  </si>
  <si>
    <t>Loser Bracket</t>
  </si>
  <si>
    <t>L12</t>
  </si>
  <si>
    <t>Game 20</t>
  </si>
  <si>
    <t>78-70</t>
  </si>
  <si>
    <t>L15</t>
  </si>
  <si>
    <t>L1</t>
  </si>
  <si>
    <t>Game 16</t>
  </si>
  <si>
    <t>116 -12</t>
  </si>
  <si>
    <t>L2</t>
  </si>
  <si>
    <t>Game 24</t>
  </si>
  <si>
    <t>22-4</t>
  </si>
  <si>
    <t>L11</t>
  </si>
  <si>
    <t>Game 21</t>
  </si>
  <si>
    <t>86-38</t>
  </si>
  <si>
    <t>Game 26</t>
  </si>
  <si>
    <t>52-26</t>
  </si>
  <si>
    <t>Game 29</t>
  </si>
  <si>
    <t>To W29</t>
  </si>
  <si>
    <t>L3</t>
  </si>
  <si>
    <t>Game 6 Channel</t>
  </si>
  <si>
    <t>Game 17</t>
  </si>
  <si>
    <t>34-22</t>
  </si>
  <si>
    <t>L4</t>
  </si>
  <si>
    <t>L13</t>
  </si>
  <si>
    <t>L10</t>
  </si>
  <si>
    <t>Game 22</t>
  </si>
  <si>
    <t>74-40</t>
  </si>
  <si>
    <t>Game 28</t>
  </si>
  <si>
    <t>94-66</t>
  </si>
  <si>
    <t>L5</t>
  </si>
  <si>
    <t>Game 18</t>
  </si>
  <si>
    <t>102-38</t>
  </si>
  <si>
    <t>L6</t>
  </si>
  <si>
    <t>Game 25</t>
  </si>
  <si>
    <t>56-50</t>
  </si>
  <si>
    <t>L9</t>
  </si>
  <si>
    <t>Game 23</t>
  </si>
  <si>
    <t>78- -2</t>
  </si>
  <si>
    <t>Amdor Valley A</t>
  </si>
  <si>
    <t>Game 27</t>
  </si>
  <si>
    <t>68-32</t>
  </si>
  <si>
    <t>L7</t>
  </si>
  <si>
    <t xml:space="preserve"> </t>
  </si>
  <si>
    <t>Game 8 Channel</t>
  </si>
  <si>
    <t>Game 19</t>
  </si>
  <si>
    <t>L8</t>
  </si>
  <si>
    <t>L14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</si>
</sst>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-d"/>
  </numFmts>
  <fonts count="23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2.0"/>
      <color theme="1"/>
      <name val="Titillium Web"/>
    </font>
    <font>
      <b/>
      <sz val="10.0"/>
      <color theme="1"/>
      <name val="Titillium Web"/>
    </font>
    <font>
      <sz val="10.0"/>
      <color theme="1"/>
      <name val="Titillium Web"/>
    </font>
    <font>
      <sz val="12.0"/>
      <color theme="1"/>
      <name val="Arial"/>
      <scheme val="minor"/>
    </font>
    <font>
      <i/>
      <sz val="10.0"/>
      <color theme="1"/>
      <name val="Titillium Web"/>
    </font>
    <font>
      <sz val="10.0"/>
      <color theme="1"/>
      <name val="Arial"/>
    </font>
    <font>
      <sz val="10.0"/>
      <color rgb="FFC0C0C0"/>
      <name val="Arial"/>
    </font>
    <font>
      <sz val="10.0"/>
      <color rgb="FF000000"/>
      <name val="Titillium Web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theme="1"/>
      <name val="Tahoma"/>
    </font>
    <font>
      <sz val="12.0"/>
      <color rgb="FF000000"/>
      <name val="Titillium Web"/>
    </font>
    <font>
      <sz val="12.0"/>
      <color theme="1"/>
      <name val="&quot;Roboto Mono&quot;"/>
    </font>
    <font>
      <b/>
      <color theme="1"/>
      <name val="Arial"/>
      <scheme val="minor"/>
    </font>
    <font>
      <color theme="1"/>
      <name val="Arial"/>
      <scheme val="minor"/>
    </font>
    <font>
      <i/>
      <sz val="10.0"/>
      <color theme="1"/>
      <name val="Arial"/>
    </font>
    <font>
      <b/>
      <sz val="10.0"/>
      <color rgb="FF000000"/>
      <name val="Titillium Web"/>
    </font>
    <font>
      <sz val="10.0"/>
      <color rgb="FFF3F3F3"/>
      <name val="Titillium Web"/>
    </font>
    <font>
      <i/>
      <sz val="10.0"/>
      <color rgb="FF000000"/>
      <name val="Arial"/>
    </font>
    <font>
      <sz val="10.0"/>
      <color rgb="FFFFFFFF"/>
      <name val="Arial"/>
    </font>
    <font>
      <b/>
      <strike/>
      <sz val="10.0"/>
      <color theme="1"/>
      <name val="Titillium Web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D0E0E3"/>
        <bgColor rgb="FFD0E0E3"/>
      </patternFill>
    </fill>
    <fill>
      <patternFill patternType="solid">
        <fgColor rgb="FFF4F4F4"/>
        <bgColor rgb="FFF4F4F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</fills>
  <borders count="11">
    <border/>
    <border>
      <bottom style="hair">
        <color rgb="FF000000"/>
      </bottom>
    </border>
    <border>
      <right style="hair">
        <color rgb="FF000000"/>
      </right>
      <bottom style="medium">
        <color rgb="FF000000"/>
      </bottom>
    </border>
    <border>
      <right style="medium">
        <color rgb="FF000000"/>
      </right>
      <bottom style="hair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right style="dotted">
        <color rgb="FF000000"/>
      </right>
    </border>
    <border>
      <bottom style="dotted">
        <color rgb="FF000000"/>
      </bottom>
    </border>
    <border>
      <right style="dotted">
        <color rgb="FF000000"/>
      </right>
      <bottom style="hair">
        <color rgb="FF000000"/>
      </bottom>
    </border>
    <border>
      <right style="hair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0" fillId="3" fontId="6" numFmtId="0" xfId="0" applyAlignment="1" applyFill="1" applyFont="1">
      <alignment readingOrder="0" vertical="bottom"/>
    </xf>
    <xf borderId="0" fillId="4" fontId="7" numFmtId="0" xfId="0" applyAlignment="1" applyFill="1" applyFont="1">
      <alignment horizontal="center" shrinkToFit="0" wrapText="0"/>
    </xf>
    <xf borderId="0" fillId="0" fontId="4" numFmtId="0" xfId="0" applyAlignment="1" applyFont="1">
      <alignment readingOrder="0"/>
    </xf>
    <xf borderId="0" fillId="4" fontId="7" numFmtId="0" xfId="0" applyAlignment="1" applyFill="1" applyFont="1">
      <alignment horizontal="center"/>
    </xf>
    <xf borderId="0" fillId="2" fontId="2" numFmtId="0" xfId="0" applyAlignment="1" applyFill="1" applyFont="1">
      <alignment readingOrder="0" vertical="bottom"/>
    </xf>
    <xf borderId="0" fillId="4" fontId="8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left" readingOrder="0" vertical="bottom"/>
    </xf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6" fontId="9" numFmtId="0" xfId="0" applyAlignment="1" applyFill="1" applyFont="1">
      <alignment horizontal="left" readingOrder="0"/>
    </xf>
    <xf borderId="0" fillId="4" fontId="10" numFmtId="0" xfId="0" applyAlignment="1" applyFill="1" applyFont="1">
      <alignment horizontal="center" vertical="bottom"/>
    </xf>
    <xf borderId="0" fillId="0" fontId="4" numFmtId="0" xfId="0" applyFont="1"/>
    <xf borderId="0" fillId="0" fontId="2" numFmtId="0" xfId="0" applyFont="1"/>
    <xf borderId="0" fillId="4" fontId="7" numFmtId="0" xfId="0" applyAlignment="1" applyFill="1" applyFont="1">
      <alignment horizontal="center" vertical="bottom"/>
    </xf>
    <xf borderId="0" fillId="7" fontId="6" numFmtId="0" xfId="0" applyAlignment="1" applyFill="1" applyFont="1">
      <alignment readingOrder="0" vertical="bottom"/>
    </xf>
    <xf borderId="0" fillId="4" fontId="11" numFmtId="0" xfId="0" applyAlignment="1" applyFill="1" applyFont="1">
      <alignment horizontal="center" vertical="bottom"/>
    </xf>
    <xf borderId="0" fillId="4" fontId="12" numFmtId="0" xfId="0" applyAlignment="1" applyFill="1" applyFont="1">
      <alignment horizontal="center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horizontal="left" readingOrder="0"/>
    </xf>
    <xf borderId="0" fillId="0" fontId="7" numFmtId="0" xfId="0" applyAlignment="1" applyFont="1">
      <alignment horizontal="center" vertical="bottom"/>
    </xf>
    <xf borderId="0" fillId="0" fontId="4" numFmtId="165" xfId="0" applyAlignment="1" applyFont="1" applyNumberFormat="1">
      <alignment readingOrder="0"/>
    </xf>
    <xf borderId="0" fillId="0" fontId="14" numFmtId="0" xfId="0" applyAlignment="1" applyFont="1">
      <alignment horizontal="center" vertical="bottom"/>
    </xf>
    <xf borderId="0" fillId="0" fontId="1" numFmtId="0" xfId="0" applyFont="1"/>
    <xf borderId="0" fillId="0" fontId="7" numFmtId="0" xfId="0" applyAlignment="1" applyFont="1">
      <alignment horizontal="center" shrinkToFit="0" vertical="bottom" wrapText="0"/>
    </xf>
    <xf borderId="0" fillId="0" fontId="15" numFmtId="0" xfId="0" applyAlignment="1" applyFont="1">
      <alignment readingOrder="0"/>
    </xf>
    <xf borderId="0" fillId="0" fontId="7" numFmtId="0" xfId="0" applyAlignment="1" applyFont="1">
      <alignment horizontal="center" readingOrder="0" vertical="bottom"/>
    </xf>
    <xf borderId="0" fillId="8" fontId="14" numFmtId="0" xfId="0" applyAlignment="1" applyFill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vertical="bottom"/>
    </xf>
    <xf borderId="0" fillId="2" fontId="13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1" fillId="0" fontId="7" numFmtId="0" xfId="0" applyAlignment="1" applyBorder="1" applyFont="1">
      <alignment horizontal="center" vertical="bottom"/>
    </xf>
    <xf borderId="0" fillId="0" fontId="16" numFmtId="0" xfId="0" applyFont="1"/>
    <xf borderId="0" fillId="2" fontId="2" numFmtId="0" xfId="0" applyAlignment="1" applyFill="1" applyFont="1">
      <alignment vertical="bottom"/>
    </xf>
    <xf borderId="0" fillId="9" fontId="4" numFmtId="0" xfId="0" applyAlignment="1" applyFill="1" applyFont="1">
      <alignment readingOrder="0" vertical="bottom"/>
    </xf>
    <xf borderId="2" fillId="0" fontId="7" numFmtId="0" xfId="0" applyAlignment="1" applyBorder="1" applyFont="1">
      <alignment horizontal="center" vertical="bottom"/>
    </xf>
    <xf borderId="0" fillId="10" fontId="6" numFmtId="0" xfId="0" applyAlignment="1" applyFill="1" applyFont="1">
      <alignment readingOrder="0" vertical="bottom"/>
    </xf>
    <xf borderId="2" fillId="4" fontId="7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0" fillId="0" fontId="16" numFmtId="0" xfId="0" applyAlignment="1" applyFont="1">
      <alignment readingOrder="0"/>
    </xf>
    <xf borderId="2" fillId="0" fontId="7" numFmtId="0" xfId="0" applyAlignment="1" applyBorder="1" applyFont="1">
      <alignment horizontal="center" vertical="bottom"/>
    </xf>
    <xf borderId="4" fillId="4" fontId="7" numFmtId="0" xfId="0" applyAlignment="1" applyBorder="1" applyFill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0" fillId="0" fontId="9" numFmtId="165" xfId="0" applyAlignment="1" applyFont="1" applyNumberFormat="1">
      <alignment readingOrder="0" vertical="bottom"/>
    </xf>
    <xf borderId="5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0" fillId="0" fontId="18" numFmtId="0" xfId="0" applyAlignment="1" applyFont="1">
      <alignment vertical="bottom"/>
    </xf>
    <xf borderId="2" fillId="0" fontId="7" numFmtId="0" xfId="0" applyAlignment="1" applyBorder="1" applyFont="1">
      <alignment horizontal="center" readingOrder="0"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center" readingOrder="0" vertical="bottom"/>
    </xf>
    <xf borderId="0" fillId="0" fontId="19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  <xf borderId="3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vertical="bottom"/>
    </xf>
    <xf borderId="0" fillId="6" fontId="20" numFmtId="0" xfId="0" applyAlignment="1" applyFill="1" applyFont="1">
      <alignment horizontal="center" readingOrder="0"/>
    </xf>
    <xf borderId="0" fillId="0" fontId="21" numFmtId="0" xfId="0" applyAlignment="1" applyFont="1">
      <alignment horizontal="center" vertical="bottom"/>
    </xf>
    <xf borderId="0" fillId="0" fontId="22" numFmtId="0" xfId="0" applyAlignment="1" applyFont="1">
      <alignment readingOrder="0" vertical="bottom"/>
    </xf>
    <xf borderId="0" fillId="0" fontId="4" numFmtId="165" xfId="0" applyAlignment="1" applyFont="1" applyNumberFormat="1">
      <alignment readingOrder="0" vertical="bottom"/>
    </xf>
    <xf borderId="3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0" fillId="0" fontId="17" numFmtId="0" xfId="0" applyAlignment="1" applyFont="1">
      <alignment horizontal="center" vertical="bottom"/>
    </xf>
    <xf borderId="8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shrinkToFit="0" vertical="bottom" wrapText="0"/>
    </xf>
    <xf borderId="9" fillId="0" fontId="7" numFmtId="0" xfId="0" applyAlignment="1" applyBorder="1" applyFont="1">
      <alignment horizontal="center" vertical="bottom"/>
    </xf>
    <xf borderId="10" fillId="4" fontId="7" numFmtId="0" xfId="0" applyAlignment="1" applyBorder="1" applyFill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4" fontId="7" numFmtId="0" xfId="0" applyAlignment="1" applyFill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25"/>
    <col customWidth="1" min="5" max="5" width="32.38"/>
    <col customWidth="1" min="6" max="6" width="16.13"/>
    <col customWidth="1" min="7" max="7" width="16.63"/>
  </cols>
  <sheetData>
    <row r="1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45396.0</v>
      </c>
      <c r="B2" s="7" t="s">
        <v>9</v>
      </c>
      <c r="C2" s="2"/>
      <c r="D2" s="2"/>
      <c r="F2" s="7" t="s">
        <v>11</v>
      </c>
      <c r="G2" s="10" t="s">
        <v>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/>
      <c r="B3" s="12"/>
      <c r="C3" s="2"/>
      <c r="D3" s="2"/>
      <c r="F3" s="2"/>
      <c r="G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24</v>
      </c>
      <c r="B4" s="7" t="s">
        <v>25</v>
      </c>
      <c r="C4" s="7" t="s">
        <v>26</v>
      </c>
      <c r="D4" s="2"/>
      <c r="F4" s="17" t="s">
        <v>27</v>
      </c>
      <c r="G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830.0</v>
      </c>
      <c r="B5" s="7">
        <v>900.0</v>
      </c>
      <c r="C5" s="7" t="s">
        <v>32</v>
      </c>
      <c r="D5" s="2"/>
      <c r="F5" s="21"/>
      <c r="G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5">
        <v>900.0</v>
      </c>
      <c r="B6" s="7">
        <v>940.0</v>
      </c>
      <c r="C6" s="25" t="s">
        <v>33</v>
      </c>
      <c r="D6" s="7" t="s">
        <v>35</v>
      </c>
      <c r="E6" s="7" t="s">
        <v>36</v>
      </c>
      <c r="F6" s="17" t="s">
        <v>37</v>
      </c>
      <c r="G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940.0</v>
      </c>
      <c r="B7" s="7">
        <v>1020.0</v>
      </c>
      <c r="C7" s="25" t="s">
        <v>38</v>
      </c>
      <c r="D7" s="7" t="s">
        <v>39</v>
      </c>
      <c r="E7" s="7" t="s">
        <v>40</v>
      </c>
      <c r="F7" s="31"/>
      <c r="G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4">
        <v>1020.0</v>
      </c>
      <c r="B8" s="34">
        <v>1130.0</v>
      </c>
      <c r="C8" s="25" t="s">
        <v>48</v>
      </c>
      <c r="D8" s="7" t="s">
        <v>49</v>
      </c>
      <c r="E8" s="7" t="s">
        <v>51</v>
      </c>
      <c r="F8" s="17" t="s">
        <v>53</v>
      </c>
      <c r="G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9">
        <v>1130.0</v>
      </c>
      <c r="B9" s="39">
        <v>1200.0</v>
      </c>
      <c r="C9" s="25" t="s">
        <v>59</v>
      </c>
      <c r="D9" s="2"/>
      <c r="F9" s="17" t="s">
        <v>60</v>
      </c>
      <c r="G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4">
        <v>1200.0</v>
      </c>
      <c r="B10" s="34">
        <v>1240.0</v>
      </c>
      <c r="C10" s="25" t="s">
        <v>1</v>
      </c>
      <c r="D10" s="7" t="s">
        <v>64</v>
      </c>
      <c r="F10" s="42" t="s">
        <v>54</v>
      </c>
      <c r="G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4">
        <v>1240.0</v>
      </c>
      <c r="B11" s="34">
        <v>1320.0</v>
      </c>
      <c r="C11" s="25" t="s">
        <v>2</v>
      </c>
      <c r="D11" s="2"/>
      <c r="F11" s="21" t="s">
        <v>76</v>
      </c>
      <c r="G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4">
        <v>1320.0</v>
      </c>
      <c r="B12" s="34">
        <v>1400.0</v>
      </c>
      <c r="C12" s="25" t="s">
        <v>82</v>
      </c>
      <c r="D12" s="2"/>
      <c r="F12" s="17" t="s">
        <v>84</v>
      </c>
      <c r="G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9">
        <v>1400.0</v>
      </c>
      <c r="B13" s="39">
        <v>1430.0</v>
      </c>
      <c r="C13" s="25" t="s">
        <v>59</v>
      </c>
      <c r="D13" s="2"/>
      <c r="F13" s="17" t="s">
        <v>91</v>
      </c>
      <c r="G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4">
        <v>1430.0</v>
      </c>
      <c r="B14" s="34">
        <v>1510.0</v>
      </c>
      <c r="C14" s="25" t="s">
        <v>4</v>
      </c>
      <c r="D14" s="7"/>
      <c r="F14" s="10" t="s">
        <v>98</v>
      </c>
      <c r="G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4">
        <v>1510.0</v>
      </c>
      <c r="B15" s="34">
        <v>1550.0</v>
      </c>
      <c r="C15" s="25" t="s">
        <v>5</v>
      </c>
      <c r="D15" s="2"/>
      <c r="F15" s="17" t="s">
        <v>103</v>
      </c>
      <c r="G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4">
        <v>1550.0</v>
      </c>
      <c r="B16" s="34">
        <v>1630.0</v>
      </c>
      <c r="C16" s="25" t="s">
        <v>6</v>
      </c>
      <c r="D16" s="2"/>
      <c r="F16" s="46" t="s">
        <v>104</v>
      </c>
      <c r="G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4">
        <v>1630.0</v>
      </c>
      <c r="B17" s="34">
        <v>1710.0</v>
      </c>
      <c r="C17" s="25" t="s">
        <v>7</v>
      </c>
      <c r="D17" s="2"/>
      <c r="F17" s="17" t="s">
        <v>106</v>
      </c>
      <c r="G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4">
        <v>1710.0</v>
      </c>
      <c r="B18" s="34">
        <v>1750.0</v>
      </c>
      <c r="C18" s="7" t="s">
        <v>109</v>
      </c>
      <c r="D18" s="2"/>
      <c r="F18" s="17" t="s">
        <v>110</v>
      </c>
      <c r="G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4">
        <v>1750.0</v>
      </c>
      <c r="B19" s="34">
        <v>1830.0</v>
      </c>
      <c r="C19" s="7" t="s">
        <v>114</v>
      </c>
      <c r="F19" s="46" t="s">
        <v>116</v>
      </c>
      <c r="G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4">
        <v>1840.0</v>
      </c>
      <c r="B20" s="34">
        <v>1900.0</v>
      </c>
      <c r="C20" s="7" t="s">
        <v>122</v>
      </c>
      <c r="D20" s="2"/>
      <c r="F20" s="17" t="s">
        <v>123</v>
      </c>
      <c r="G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F21" s="17" t="s">
        <v>72</v>
      </c>
      <c r="G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F22" s="17" t="s">
        <v>131</v>
      </c>
      <c r="G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F23" s="17" t="s">
        <v>140</v>
      </c>
      <c r="G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F24" s="17" t="s">
        <v>67</v>
      </c>
      <c r="G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F25" s="17" t="s">
        <v>127</v>
      </c>
      <c r="G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2" width="12.5"/>
    <col customWidth="1" min="3" max="3" width="5.5"/>
    <col customWidth="1" min="4" max="6" width="10.88"/>
    <col customWidth="1" min="7" max="7" width="1.75"/>
    <col customWidth="1" min="8" max="8" width="13.63"/>
    <col customWidth="1" min="9" max="9" width="5.0"/>
    <col customWidth="1" min="10" max="10" width="10.75"/>
    <col customWidth="1" min="11" max="11" width="10.88"/>
    <col customWidth="1" min="12" max="12" width="10.75"/>
    <col customWidth="1" min="13" max="13" width="1.63"/>
    <col customWidth="1" min="15" max="15" width="5.0"/>
    <col customWidth="1" min="16" max="18" width="10.75"/>
  </cols>
  <sheetData>
    <row r="1">
      <c r="A1" s="3" t="s">
        <v>0</v>
      </c>
      <c r="S1" s="9"/>
      <c r="T1" s="9"/>
      <c r="U1" s="9"/>
      <c r="V1" s="9"/>
      <c r="W1" s="9"/>
      <c r="X1" s="9"/>
      <c r="Y1" s="9"/>
      <c r="Z1" s="9"/>
      <c r="AA1" s="9"/>
    </row>
    <row r="2">
      <c r="A2" s="11"/>
      <c r="B2" s="13" t="s">
        <v>22</v>
      </c>
      <c r="C2" s="15" t="s">
        <v>23</v>
      </c>
      <c r="D2" s="15" t="s">
        <v>28</v>
      </c>
      <c r="E2" s="15" t="s">
        <v>29</v>
      </c>
      <c r="F2" s="15" t="s">
        <v>30</v>
      </c>
      <c r="G2" s="9"/>
      <c r="H2" s="19" t="s">
        <v>31</v>
      </c>
      <c r="I2" s="22" t="s">
        <v>23</v>
      </c>
      <c r="J2" s="15" t="s">
        <v>28</v>
      </c>
      <c r="K2" s="24" t="s">
        <v>29</v>
      </c>
      <c r="L2" s="24" t="s">
        <v>30</v>
      </c>
      <c r="M2" s="24"/>
      <c r="N2" s="27" t="s">
        <v>34</v>
      </c>
      <c r="O2" s="22" t="s">
        <v>23</v>
      </c>
      <c r="P2" s="9" t="s">
        <v>28</v>
      </c>
      <c r="Q2" s="9" t="s">
        <v>29</v>
      </c>
      <c r="R2" s="9" t="s">
        <v>30</v>
      </c>
      <c r="S2" s="9"/>
      <c r="T2" s="9"/>
      <c r="U2" s="9"/>
      <c r="V2" s="9"/>
      <c r="W2" s="9"/>
      <c r="X2" s="9"/>
      <c r="Y2" s="9"/>
      <c r="Z2" s="9"/>
      <c r="AA2" s="9"/>
    </row>
    <row r="3">
      <c r="A3" s="30">
        <v>1.0</v>
      </c>
      <c r="B3" s="30" t="s">
        <v>41</v>
      </c>
      <c r="C3" s="33">
        <v>45323.0</v>
      </c>
      <c r="D3" s="15" t="s">
        <v>42</v>
      </c>
      <c r="E3" s="15" t="s">
        <v>43</v>
      </c>
      <c r="F3" s="15" t="s">
        <v>44</v>
      </c>
      <c r="G3" s="30">
        <v>1.0</v>
      </c>
      <c r="H3" s="30" t="s">
        <v>45</v>
      </c>
      <c r="I3" s="33">
        <v>45293.0</v>
      </c>
      <c r="J3" s="15" t="s">
        <v>46</v>
      </c>
      <c r="K3" s="15" t="s">
        <v>47</v>
      </c>
      <c r="L3" s="15" t="s">
        <v>50</v>
      </c>
      <c r="M3" s="37">
        <v>1.0</v>
      </c>
      <c r="N3" s="30" t="s">
        <v>54</v>
      </c>
      <c r="O3" s="15" t="s">
        <v>55</v>
      </c>
      <c r="P3" s="15" t="s">
        <v>56</v>
      </c>
      <c r="Q3" s="41" t="s">
        <v>58</v>
      </c>
      <c r="R3" s="41" t="s">
        <v>61</v>
      </c>
      <c r="S3" s="9"/>
      <c r="T3" s="9"/>
      <c r="U3" s="9"/>
      <c r="V3" s="9"/>
      <c r="W3" s="9"/>
      <c r="X3" s="9"/>
      <c r="Y3" s="9"/>
      <c r="Z3" s="9"/>
      <c r="AA3" s="9"/>
    </row>
    <row r="4">
      <c r="A4" s="30">
        <v>2.0</v>
      </c>
      <c r="B4" s="30" t="s">
        <v>62</v>
      </c>
      <c r="C4" s="33">
        <v>45323.0</v>
      </c>
      <c r="D4" s="15" t="s">
        <v>63</v>
      </c>
      <c r="E4" s="15" t="s">
        <v>65</v>
      </c>
      <c r="F4" s="15" t="s">
        <v>66</v>
      </c>
      <c r="G4" s="30">
        <v>2.0</v>
      </c>
      <c r="H4" s="30" t="s">
        <v>67</v>
      </c>
      <c r="I4" s="15" t="s">
        <v>68</v>
      </c>
      <c r="J4" s="15" t="s">
        <v>69</v>
      </c>
      <c r="K4" s="15" t="s">
        <v>70</v>
      </c>
      <c r="L4" s="15" t="s">
        <v>71</v>
      </c>
      <c r="M4" s="43">
        <v>2.0</v>
      </c>
      <c r="N4" s="30" t="s">
        <v>72</v>
      </c>
      <c r="O4" s="15" t="s">
        <v>68</v>
      </c>
      <c r="P4" s="15" t="s">
        <v>73</v>
      </c>
      <c r="Q4" s="41" t="s">
        <v>74</v>
      </c>
      <c r="R4" s="41" t="s">
        <v>75</v>
      </c>
      <c r="S4" s="9"/>
      <c r="T4" s="9"/>
      <c r="U4" s="9"/>
      <c r="V4" s="9"/>
      <c r="W4" s="9"/>
      <c r="X4" s="9"/>
      <c r="Y4" s="9"/>
      <c r="Z4" s="9"/>
      <c r="AA4" s="9"/>
    </row>
    <row r="5">
      <c r="A5" s="30">
        <v>3.0</v>
      </c>
      <c r="B5" s="30" t="s">
        <v>77</v>
      </c>
      <c r="C5" s="33">
        <v>45323.0</v>
      </c>
      <c r="D5" s="15" t="s">
        <v>78</v>
      </c>
      <c r="E5" s="15" t="s">
        <v>79</v>
      </c>
      <c r="F5" s="15" t="s">
        <v>80</v>
      </c>
      <c r="G5" s="30">
        <v>3.0</v>
      </c>
      <c r="H5" s="30" t="s">
        <v>81</v>
      </c>
      <c r="I5" s="33">
        <v>45293.0</v>
      </c>
      <c r="J5" s="15" t="s">
        <v>83</v>
      </c>
      <c r="K5" s="15" t="s">
        <v>85</v>
      </c>
      <c r="L5" s="15" t="s">
        <v>86</v>
      </c>
      <c r="M5" s="43">
        <v>3.0</v>
      </c>
      <c r="N5" s="30" t="s">
        <v>87</v>
      </c>
      <c r="O5" s="33">
        <v>45293.0</v>
      </c>
      <c r="P5" s="15" t="s">
        <v>88</v>
      </c>
      <c r="Q5" s="41" t="s">
        <v>89</v>
      </c>
      <c r="R5" s="41" t="s">
        <v>90</v>
      </c>
      <c r="S5" s="9"/>
      <c r="T5" s="9"/>
      <c r="U5" s="9"/>
      <c r="V5" s="9"/>
      <c r="W5" s="9"/>
      <c r="X5" s="9"/>
      <c r="Y5" s="9"/>
      <c r="Z5" s="9"/>
      <c r="AA5" s="9"/>
    </row>
    <row r="6">
      <c r="A6" s="30">
        <v>4.0</v>
      </c>
      <c r="B6" s="30" t="s">
        <v>84</v>
      </c>
      <c r="C6" s="15" t="s">
        <v>55</v>
      </c>
      <c r="D6" s="15" t="s">
        <v>92</v>
      </c>
      <c r="E6" s="15" t="s">
        <v>93</v>
      </c>
      <c r="F6" s="15" t="s">
        <v>94</v>
      </c>
      <c r="G6" s="30">
        <v>4.0</v>
      </c>
      <c r="H6" s="30" t="s">
        <v>95</v>
      </c>
      <c r="I6" s="33">
        <v>45293.0</v>
      </c>
      <c r="J6" s="15" t="s">
        <v>96</v>
      </c>
      <c r="K6" s="15" t="s">
        <v>97</v>
      </c>
      <c r="L6" s="15" t="s">
        <v>99</v>
      </c>
      <c r="M6" s="43">
        <v>4.0</v>
      </c>
      <c r="N6" s="30" t="s">
        <v>53</v>
      </c>
      <c r="O6" s="33">
        <v>45323.0</v>
      </c>
      <c r="P6" s="15" t="s">
        <v>100</v>
      </c>
      <c r="Q6" s="41" t="s">
        <v>101</v>
      </c>
      <c r="R6" s="41" t="s">
        <v>102</v>
      </c>
      <c r="S6" s="9"/>
      <c r="T6" s="9"/>
      <c r="U6" s="9"/>
      <c r="V6" s="9"/>
      <c r="W6" s="9"/>
      <c r="X6" s="9"/>
      <c r="Y6" s="9"/>
      <c r="Z6" s="9"/>
      <c r="AA6" s="9"/>
    </row>
    <row r="7">
      <c r="A7" s="11"/>
      <c r="B7" s="41"/>
      <c r="C7" s="24"/>
      <c r="D7" s="24"/>
      <c r="E7" s="24"/>
      <c r="F7" s="24"/>
      <c r="G7" s="41"/>
      <c r="H7" s="41"/>
      <c r="I7" s="24"/>
      <c r="J7" s="9"/>
      <c r="K7" s="24"/>
      <c r="M7" s="45"/>
      <c r="N7" s="45"/>
      <c r="P7" s="24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47" t="s">
        <v>105</v>
      </c>
      <c r="C8" s="33"/>
      <c r="D8" s="24"/>
      <c r="E8" s="24"/>
      <c r="F8" s="24"/>
      <c r="G8" s="9"/>
      <c r="H8" s="49" t="s">
        <v>107</v>
      </c>
      <c r="I8" s="24"/>
      <c r="J8" s="9"/>
      <c r="K8" s="24"/>
      <c r="M8" s="45"/>
      <c r="N8" s="45"/>
      <c r="P8" s="24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30">
        <v>1.0</v>
      </c>
      <c r="B9" s="30" t="s">
        <v>76</v>
      </c>
      <c r="C9" s="33">
        <v>45293.0</v>
      </c>
      <c r="D9" s="15" t="s">
        <v>111</v>
      </c>
      <c r="E9" s="15" t="s">
        <v>112</v>
      </c>
      <c r="F9" s="15" t="s">
        <v>113</v>
      </c>
      <c r="G9" s="30">
        <v>1.0</v>
      </c>
      <c r="H9" s="30" t="s">
        <v>115</v>
      </c>
      <c r="I9" s="33">
        <v>45323.0</v>
      </c>
      <c r="J9" s="41" t="s">
        <v>118</v>
      </c>
      <c r="K9" s="15" t="s">
        <v>119</v>
      </c>
      <c r="L9" s="53" t="s">
        <v>121</v>
      </c>
      <c r="M9" s="45"/>
      <c r="P9" s="24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30">
        <v>2.0</v>
      </c>
      <c r="B10" s="30" t="s">
        <v>91</v>
      </c>
      <c r="C10" s="15" t="s">
        <v>55</v>
      </c>
      <c r="D10" s="15" t="s">
        <v>124</v>
      </c>
      <c r="E10" s="15" t="s">
        <v>125</v>
      </c>
      <c r="F10" s="15" t="s">
        <v>126</v>
      </c>
      <c r="G10" s="30">
        <v>2.0</v>
      </c>
      <c r="H10" s="30" t="s">
        <v>127</v>
      </c>
      <c r="I10" s="33">
        <v>45293.0</v>
      </c>
      <c r="J10" s="41" t="s">
        <v>128</v>
      </c>
      <c r="K10" s="15" t="s">
        <v>129</v>
      </c>
      <c r="L10" s="53" t="s">
        <v>130</v>
      </c>
      <c r="M10" s="45"/>
      <c r="N10" s="45"/>
      <c r="P10" s="24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30">
        <v>3.0</v>
      </c>
      <c r="B11" s="30" t="s">
        <v>132</v>
      </c>
      <c r="C11" s="15" t="s">
        <v>68</v>
      </c>
      <c r="D11" s="15" t="s">
        <v>133</v>
      </c>
      <c r="E11" s="15" t="s">
        <v>134</v>
      </c>
      <c r="F11" s="15" t="s">
        <v>135</v>
      </c>
      <c r="G11" s="30">
        <v>3.0</v>
      </c>
      <c r="H11" s="30" t="s">
        <v>136</v>
      </c>
      <c r="I11" s="33">
        <v>45323.0</v>
      </c>
      <c r="J11" s="41" t="s">
        <v>137</v>
      </c>
      <c r="K11" s="15" t="s">
        <v>138</v>
      </c>
      <c r="L11" s="53" t="s">
        <v>139</v>
      </c>
      <c r="M11" s="45"/>
      <c r="P11" s="24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30">
        <v>4.0</v>
      </c>
      <c r="B12" s="30" t="s">
        <v>104</v>
      </c>
      <c r="C12" s="33">
        <v>45323.0</v>
      </c>
      <c r="D12" s="41" t="s">
        <v>141</v>
      </c>
      <c r="E12" s="41" t="s">
        <v>142</v>
      </c>
      <c r="F12" s="41" t="s">
        <v>143</v>
      </c>
      <c r="G12" s="43">
        <v>4.0</v>
      </c>
      <c r="H12" s="30" t="s">
        <v>144</v>
      </c>
      <c r="I12" s="57">
        <v>45323.0</v>
      </c>
      <c r="J12" s="41" t="s">
        <v>145</v>
      </c>
      <c r="K12" s="15" t="s">
        <v>146</v>
      </c>
      <c r="L12" s="53" t="s">
        <v>147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62"/>
      <c r="B17" s="63" t="s">
        <v>150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/>
      <c r="B18" s="13" t="s">
        <v>22</v>
      </c>
      <c r="C18" s="64"/>
      <c r="D18" s="9"/>
      <c r="E18" s="19" t="s">
        <v>31</v>
      </c>
      <c r="F18" s="65"/>
      <c r="G18" s="24"/>
      <c r="H18" s="27" t="s">
        <v>34</v>
      </c>
      <c r="I18" s="9"/>
      <c r="J18" s="9"/>
      <c r="K18" s="15"/>
      <c r="L18" s="45"/>
      <c r="N18" s="45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30">
        <v>1.0</v>
      </c>
      <c r="B19" s="30" t="s">
        <v>108</v>
      </c>
      <c r="C19" s="68">
        <v>298.0</v>
      </c>
      <c r="D19" s="30">
        <v>1.0</v>
      </c>
      <c r="E19" s="30" t="s">
        <v>67</v>
      </c>
      <c r="F19" s="69">
        <v>342.0</v>
      </c>
      <c r="G19" s="37">
        <v>1.0</v>
      </c>
      <c r="H19" s="30" t="s">
        <v>72</v>
      </c>
      <c r="I19" s="68">
        <v>320.0</v>
      </c>
      <c r="J19" s="9"/>
      <c r="K19" s="68"/>
      <c r="L19" s="45"/>
      <c r="M19" s="45"/>
      <c r="N19" s="45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30">
        <v>2.0</v>
      </c>
      <c r="B20" s="30" t="s">
        <v>106</v>
      </c>
      <c r="C20" s="11"/>
      <c r="D20" s="30">
        <v>2.0</v>
      </c>
      <c r="E20" s="30" t="s">
        <v>60</v>
      </c>
      <c r="F20" s="11"/>
      <c r="G20" s="43">
        <v>2.0</v>
      </c>
      <c r="H20" s="30" t="s">
        <v>53</v>
      </c>
      <c r="I20" s="9"/>
      <c r="J20" s="9"/>
      <c r="K20" s="15"/>
      <c r="L20" s="45"/>
      <c r="M20" s="45"/>
      <c r="N20" s="4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30">
        <v>3.0</v>
      </c>
      <c r="B21" s="30" t="s">
        <v>37</v>
      </c>
      <c r="C21" s="41"/>
      <c r="D21" s="30">
        <v>3.0</v>
      </c>
      <c r="E21" s="30" t="s">
        <v>98</v>
      </c>
      <c r="F21" s="11"/>
      <c r="G21" s="43">
        <v>3.0</v>
      </c>
      <c r="H21" s="30" t="s">
        <v>140</v>
      </c>
      <c r="I21" s="9"/>
      <c r="J21" s="9"/>
      <c r="K21" s="15"/>
      <c r="L21" s="11"/>
      <c r="M21" s="43"/>
      <c r="N21" s="3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0">
        <v>4.0</v>
      </c>
      <c r="B22" s="72" t="s">
        <v>84</v>
      </c>
      <c r="C22" s="73"/>
      <c r="D22" s="30">
        <v>4.0</v>
      </c>
      <c r="E22" s="72" t="s">
        <v>123</v>
      </c>
      <c r="F22" s="11"/>
      <c r="G22" s="43">
        <v>4.0</v>
      </c>
      <c r="H22" s="72" t="s">
        <v>54</v>
      </c>
      <c r="I22" s="9"/>
      <c r="J22" s="9"/>
      <c r="K22" s="15"/>
      <c r="L22" s="11"/>
      <c r="M22" s="43"/>
      <c r="N22" s="30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/>
      <c r="B23" s="41"/>
      <c r="C23" s="73"/>
      <c r="D23" s="41"/>
      <c r="E23" s="41"/>
      <c r="F23" s="9"/>
      <c r="G23" s="9"/>
      <c r="H23" s="9"/>
      <c r="I23" s="41"/>
      <c r="J23" s="9"/>
      <c r="K23" s="15"/>
      <c r="L23" s="11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47" t="s">
        <v>105</v>
      </c>
      <c r="C24" s="73"/>
      <c r="D24" s="9"/>
      <c r="E24" s="49" t="s">
        <v>107</v>
      </c>
      <c r="F24" s="9"/>
      <c r="G24" s="9"/>
      <c r="H24" s="9"/>
      <c r="I24" s="41"/>
      <c r="J24" s="9"/>
      <c r="K24" s="15"/>
      <c r="L24" s="11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0">
        <v>1.0</v>
      </c>
      <c r="B25" s="30" t="s">
        <v>132</v>
      </c>
      <c r="C25" s="41">
        <v>354.0</v>
      </c>
      <c r="D25" s="30">
        <v>1.0</v>
      </c>
      <c r="E25" s="30" t="s">
        <v>116</v>
      </c>
      <c r="F25" s="9"/>
      <c r="G25" s="9"/>
      <c r="H25" s="9"/>
      <c r="I25" s="41"/>
      <c r="J25" s="9"/>
      <c r="K25" s="15"/>
      <c r="L25" s="11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0">
        <v>2.0</v>
      </c>
      <c r="B26" s="30" t="s">
        <v>104</v>
      </c>
      <c r="C26" s="73"/>
      <c r="D26" s="30">
        <v>2.0</v>
      </c>
      <c r="E26" s="30" t="s">
        <v>27</v>
      </c>
      <c r="F26" s="9"/>
      <c r="G26" s="9"/>
      <c r="H26" s="9"/>
      <c r="I26" s="41"/>
      <c r="J26" s="9"/>
      <c r="K26" s="15"/>
      <c r="L26" s="11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30">
        <v>3.0</v>
      </c>
      <c r="B27" s="30" t="s">
        <v>76</v>
      </c>
      <c r="C27" s="11"/>
      <c r="D27" s="30">
        <v>3.0</v>
      </c>
      <c r="E27" s="30" t="s">
        <v>103</v>
      </c>
      <c r="F27" s="11"/>
      <c r="G27" s="9"/>
      <c r="H27" s="9"/>
      <c r="I27" s="41"/>
      <c r="J27" s="9"/>
      <c r="K27" s="15"/>
      <c r="L27" s="11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30">
        <v>4.0</v>
      </c>
      <c r="B28" s="72" t="s">
        <v>91</v>
      </c>
      <c r="C28" s="11"/>
      <c r="D28" s="43">
        <v>4.0</v>
      </c>
      <c r="E28" s="72" t="s">
        <v>127</v>
      </c>
      <c r="F28" s="11"/>
      <c r="G28" s="9"/>
      <c r="H28" s="9"/>
      <c r="I28" s="41"/>
      <c r="J28" s="9"/>
      <c r="K28" s="15"/>
      <c r="L28" s="11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15"/>
      <c r="L29" s="11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15"/>
      <c r="L30" s="11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15"/>
      <c r="L31" s="11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15"/>
      <c r="L32" s="11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15"/>
      <c r="L33" s="11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15"/>
      <c r="L34" s="11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15"/>
      <c r="L35" s="11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15"/>
      <c r="L36" s="11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</sheetData>
  <mergeCells count="2">
    <mergeCell ref="A1:R1"/>
    <mergeCell ref="B17:N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63"/>
    <col customWidth="1" min="2" max="2" width="17.0"/>
    <col customWidth="1" min="3" max="3" width="17.88"/>
    <col customWidth="1" min="10" max="10" width="14.63"/>
    <col customWidth="1" min="20" max="20" width="23.75"/>
  </cols>
  <sheetData>
    <row r="1">
      <c r="A1" s="1"/>
      <c r="B1" s="1" t="s">
        <v>1</v>
      </c>
      <c r="C1" s="1"/>
      <c r="D1" s="1"/>
      <c r="E1" s="1" t="s">
        <v>2</v>
      </c>
      <c r="F1" s="4"/>
      <c r="G1" s="1" t="s">
        <v>3</v>
      </c>
      <c r="H1" s="4"/>
      <c r="I1" s="4" t="s">
        <v>4</v>
      </c>
      <c r="J1" s="4"/>
      <c r="K1" s="1" t="s">
        <v>5</v>
      </c>
      <c r="L1" s="4"/>
      <c r="M1" s="1" t="s">
        <v>6</v>
      </c>
      <c r="N1" s="1"/>
      <c r="O1" s="1" t="s">
        <v>7</v>
      </c>
      <c r="P1" s="4"/>
      <c r="Q1" s="6" t="s">
        <v>8</v>
      </c>
      <c r="R1" s="1"/>
      <c r="S1" s="8" t="s">
        <v>10</v>
      </c>
      <c r="T1" s="1"/>
      <c r="U1" s="1"/>
      <c r="V1" s="1"/>
      <c r="W1" s="1"/>
      <c r="X1" s="1"/>
      <c r="Y1" s="1"/>
      <c r="Z1" s="1"/>
      <c r="AA1" s="1"/>
    </row>
    <row r="2">
      <c r="A2" s="1"/>
      <c r="B2" s="1" t="s">
        <v>13</v>
      </c>
      <c r="C2" s="1"/>
      <c r="D2" s="4"/>
      <c r="E2" s="1" t="s">
        <v>14</v>
      </c>
      <c r="F2" s="4"/>
      <c r="G2" s="1" t="s">
        <v>15</v>
      </c>
      <c r="H2" s="4"/>
      <c r="I2" s="4" t="s">
        <v>16</v>
      </c>
      <c r="J2" s="4"/>
      <c r="K2" s="1" t="s">
        <v>17</v>
      </c>
      <c r="L2" s="4"/>
      <c r="M2" s="1" t="s">
        <v>18</v>
      </c>
      <c r="N2" s="1"/>
      <c r="O2" s="1" t="s">
        <v>19</v>
      </c>
      <c r="P2" s="4"/>
      <c r="Q2" s="6" t="s">
        <v>20</v>
      </c>
      <c r="R2" s="1"/>
      <c r="S2" s="8" t="s">
        <v>21</v>
      </c>
      <c r="T2" s="1"/>
      <c r="U2" s="1"/>
      <c r="V2" s="1"/>
      <c r="W2" s="1"/>
      <c r="X2" s="1"/>
      <c r="Y2" s="1"/>
      <c r="Z2" s="1"/>
      <c r="AA2" s="1"/>
    </row>
    <row r="3">
      <c r="A3" s="14"/>
      <c r="B3" s="16"/>
      <c r="C3" s="16"/>
      <c r="D3" s="16"/>
      <c r="E3" s="16"/>
      <c r="F3" s="16"/>
      <c r="G3" s="16"/>
      <c r="H3" s="16"/>
      <c r="I3" s="16"/>
      <c r="J3" s="18"/>
      <c r="K3" s="16"/>
      <c r="L3" s="16"/>
      <c r="M3" s="16"/>
      <c r="N3" s="16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1"/>
    </row>
    <row r="4">
      <c r="A4" s="23"/>
      <c r="E4" s="26"/>
      <c r="F4" s="26"/>
      <c r="G4" s="26"/>
      <c r="H4" s="28"/>
      <c r="I4" s="26"/>
      <c r="J4" s="18"/>
      <c r="K4" s="26"/>
      <c r="L4" s="16"/>
      <c r="M4" s="26"/>
      <c r="N4" s="29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1"/>
    </row>
    <row r="5">
      <c r="A5" s="20"/>
      <c r="B5" s="32"/>
      <c r="C5" s="20"/>
      <c r="D5" s="32"/>
      <c r="E5" s="32"/>
      <c r="F5" s="20"/>
      <c r="G5" s="32"/>
      <c r="H5" s="32"/>
      <c r="I5" s="20"/>
      <c r="J5" s="20"/>
      <c r="K5" s="20"/>
      <c r="L5" s="20"/>
      <c r="M5" s="20"/>
      <c r="N5" s="20"/>
      <c r="O5" s="20"/>
      <c r="P5" s="20"/>
      <c r="Q5" s="20"/>
      <c r="R5" s="20"/>
      <c r="S5" s="32"/>
      <c r="T5" s="20"/>
      <c r="U5" s="20"/>
      <c r="V5" s="20"/>
      <c r="W5" s="20"/>
      <c r="X5" s="20"/>
      <c r="Y5" s="20"/>
      <c r="Z5" s="20"/>
      <c r="AA5" s="1"/>
    </row>
    <row r="6">
      <c r="A6" s="35"/>
      <c r="B6" s="36" t="s">
        <v>52</v>
      </c>
      <c r="C6" s="32"/>
      <c r="D6" s="20"/>
      <c r="E6" s="20"/>
      <c r="F6" s="20"/>
      <c r="G6" s="20"/>
      <c r="H6" s="20"/>
      <c r="I6" s="38"/>
      <c r="J6" s="40" t="s">
        <v>57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"/>
    </row>
    <row r="7">
      <c r="A7" s="20"/>
      <c r="B7" s="20"/>
      <c r="C7" s="20"/>
      <c r="D7" s="20"/>
      <c r="E7" s="20"/>
      <c r="F7" s="20"/>
      <c r="G7" s="32"/>
      <c r="H7" s="20"/>
      <c r="I7" s="32"/>
      <c r="J7" s="32"/>
      <c r="K7" s="32"/>
      <c r="L7" s="32"/>
      <c r="M7" s="32"/>
      <c r="N7" s="20"/>
      <c r="O7" s="20"/>
      <c r="P7" s="20"/>
      <c r="Q7" s="20"/>
      <c r="R7" s="20"/>
      <c r="S7" s="32"/>
      <c r="T7" s="32"/>
      <c r="U7" s="32"/>
      <c r="V7" s="20"/>
      <c r="W7" s="20"/>
      <c r="X7" s="20"/>
      <c r="Y7" s="20"/>
      <c r="Z7" s="20"/>
      <c r="AA7" s="1"/>
    </row>
    <row r="8">
      <c r="A8" s="32"/>
      <c r="B8" s="32"/>
      <c r="C8" s="44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1"/>
    </row>
    <row r="9">
      <c r="A9" s="32" t="str">
        <f>IF($I$2=TRUE,1,"")</f>
        <v/>
      </c>
      <c r="B9" s="48"/>
      <c r="C9" s="50" t="s">
        <v>108</v>
      </c>
      <c r="D9" s="32"/>
      <c r="E9" s="44"/>
      <c r="F9" s="20"/>
      <c r="G9" s="32"/>
      <c r="H9" s="32"/>
      <c r="I9" s="20"/>
      <c r="J9" s="20"/>
      <c r="K9" s="20"/>
      <c r="L9" s="20"/>
      <c r="M9" s="20"/>
      <c r="N9" s="20"/>
      <c r="O9" s="20"/>
      <c r="P9" s="20"/>
      <c r="Q9" s="20"/>
      <c r="R9" s="20"/>
      <c r="S9" s="32"/>
      <c r="T9" s="20"/>
      <c r="U9" s="20"/>
      <c r="V9" s="20"/>
      <c r="W9" s="20"/>
      <c r="X9" s="20"/>
      <c r="Y9" s="20"/>
      <c r="Z9" s="20"/>
      <c r="AA9" s="1"/>
    </row>
    <row r="10">
      <c r="A10" s="32"/>
      <c r="B10" s="51" t="s">
        <v>117</v>
      </c>
      <c r="C10" s="52" t="s">
        <v>120</v>
      </c>
      <c r="D10" s="54"/>
      <c r="E10" s="50" t="s">
        <v>108</v>
      </c>
      <c r="F10" s="20"/>
      <c r="G10" s="20"/>
      <c r="H10" s="20"/>
      <c r="I10" s="32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1"/>
    </row>
    <row r="11">
      <c r="A11" s="20" t="str">
        <f>IF($I$2=TRUE,16,"")</f>
        <v/>
      </c>
      <c r="B11" s="54"/>
      <c r="C11" s="55" t="s">
        <v>98</v>
      </c>
      <c r="D11" s="20"/>
      <c r="E11" s="56"/>
      <c r="F11" s="20"/>
      <c r="G11" s="20"/>
      <c r="H11" s="20"/>
      <c r="I11" s="20"/>
      <c r="J11" s="20"/>
      <c r="K11" s="20"/>
      <c r="L11" s="32"/>
      <c r="M11" s="20"/>
      <c r="N11" s="20"/>
      <c r="O11" s="20"/>
      <c r="P11" s="32"/>
      <c r="Q11" s="32"/>
      <c r="R11" s="20"/>
      <c r="S11" s="20"/>
      <c r="T11" s="20"/>
      <c r="U11" s="20"/>
      <c r="V11" s="20"/>
      <c r="W11" s="20"/>
      <c r="X11" s="20"/>
      <c r="Y11" s="20"/>
      <c r="Z11" s="20"/>
      <c r="AA11" s="1"/>
    </row>
    <row r="12">
      <c r="A12" s="32"/>
      <c r="B12" s="32"/>
      <c r="C12" s="32"/>
      <c r="D12" s="20"/>
      <c r="E12" s="58"/>
      <c r="F12" s="20"/>
      <c r="G12" s="59"/>
      <c r="H12" s="20"/>
      <c r="I12" s="20"/>
      <c r="J12" s="32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"/>
    </row>
    <row r="13">
      <c r="A13" s="32"/>
      <c r="B13" s="32"/>
      <c r="C13" s="20"/>
      <c r="D13" s="51" t="s">
        <v>117</v>
      </c>
      <c r="E13" s="58" t="s">
        <v>148</v>
      </c>
      <c r="F13" s="61" t="s">
        <v>149</v>
      </c>
      <c r="G13" s="50" t="s">
        <v>108</v>
      </c>
      <c r="H13" s="32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1"/>
    </row>
    <row r="14">
      <c r="A14" s="32"/>
      <c r="B14" s="32"/>
      <c r="C14" s="44"/>
      <c r="D14" s="20"/>
      <c r="E14" s="56"/>
      <c r="F14" s="20"/>
      <c r="G14" s="56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1"/>
    </row>
    <row r="15">
      <c r="A15" s="20" t="str">
        <f>IF($I$2=TRUE,8,"")</f>
        <v/>
      </c>
      <c r="B15" s="54"/>
      <c r="C15" s="50" t="s">
        <v>67</v>
      </c>
      <c r="D15" s="20"/>
      <c r="E15" s="66"/>
      <c r="F15" s="20"/>
      <c r="G15" s="67"/>
      <c r="H15" s="20"/>
      <c r="I15" s="32"/>
      <c r="J15" s="32"/>
      <c r="K15" s="32"/>
      <c r="L15" s="32"/>
      <c r="M15" s="3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1"/>
    </row>
    <row r="16">
      <c r="A16" s="32"/>
      <c r="B16" s="70" t="s">
        <v>151</v>
      </c>
      <c r="C16" s="52" t="s">
        <v>152</v>
      </c>
      <c r="D16" s="54"/>
      <c r="E16" s="55" t="s">
        <v>140</v>
      </c>
      <c r="F16" s="20"/>
      <c r="G16" s="56"/>
      <c r="H16" s="20"/>
      <c r="I16" s="20"/>
      <c r="J16" s="20"/>
      <c r="K16" s="20"/>
      <c r="L16" s="20"/>
      <c r="M16" s="20"/>
      <c r="N16" s="20"/>
      <c r="O16" s="20"/>
      <c r="P16" s="20"/>
      <c r="Q16" s="32"/>
      <c r="R16" s="32"/>
      <c r="S16" s="20"/>
      <c r="T16" s="20"/>
      <c r="U16" s="20"/>
      <c r="V16" s="20"/>
      <c r="W16" s="20"/>
      <c r="X16" s="20"/>
      <c r="Y16" s="20"/>
      <c r="Z16" s="20"/>
      <c r="AA16" s="1"/>
    </row>
    <row r="17">
      <c r="A17" s="32" t="str">
        <f>IF($I$2=TRUE,9,"")</f>
        <v/>
      </c>
      <c r="B17" s="48"/>
      <c r="C17" s="55" t="s">
        <v>140</v>
      </c>
      <c r="D17" s="32"/>
      <c r="E17" s="32"/>
      <c r="F17" s="20"/>
      <c r="G17" s="67"/>
      <c r="H17" s="32"/>
      <c r="I17" s="20"/>
      <c r="J17" s="20"/>
      <c r="K17" s="32"/>
      <c r="L17" s="20"/>
      <c r="M17" s="71" t="s">
        <v>153</v>
      </c>
      <c r="N17" s="32"/>
      <c r="O17" s="32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1"/>
    </row>
    <row r="18">
      <c r="A18" s="32"/>
      <c r="B18" s="32"/>
      <c r="C18" s="32"/>
      <c r="D18" s="20"/>
      <c r="E18" s="20"/>
      <c r="F18" s="20"/>
      <c r="G18" s="56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1"/>
    </row>
    <row r="19">
      <c r="A19" s="20"/>
      <c r="B19" s="20"/>
      <c r="C19" s="59"/>
      <c r="D19" s="20"/>
      <c r="E19" s="20"/>
      <c r="F19" s="20"/>
      <c r="G19" s="56"/>
      <c r="H19" s="20"/>
      <c r="I19" s="32"/>
      <c r="J19" s="32"/>
      <c r="K19" s="32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1"/>
    </row>
    <row r="20">
      <c r="A20" s="32" t="str">
        <f>IF($I$2=TRUE,5,"")</f>
        <v/>
      </c>
      <c r="B20" s="54"/>
      <c r="C20" s="50" t="s">
        <v>72</v>
      </c>
      <c r="D20" s="32"/>
      <c r="E20" s="44"/>
      <c r="F20" s="32"/>
      <c r="G20" s="56"/>
      <c r="H20" s="20"/>
      <c r="I20" s="5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1"/>
    </row>
    <row r="21">
      <c r="A21" s="32"/>
      <c r="B21" s="70" t="s">
        <v>154</v>
      </c>
      <c r="C21" s="52" t="s">
        <v>155</v>
      </c>
      <c r="D21" s="61" t="s">
        <v>156</v>
      </c>
      <c r="E21" s="50" t="s">
        <v>72</v>
      </c>
      <c r="F21" s="51" t="s">
        <v>117</v>
      </c>
      <c r="G21" s="58" t="s">
        <v>157</v>
      </c>
      <c r="H21" s="54"/>
      <c r="I21" s="54"/>
      <c r="J21" s="61" t="s">
        <v>158</v>
      </c>
      <c r="K21" s="50" t="s">
        <v>72</v>
      </c>
      <c r="L21" s="32"/>
      <c r="M21" s="32"/>
      <c r="N21" s="20"/>
      <c r="O21" s="32"/>
      <c r="P21" s="32"/>
      <c r="Q21" s="32"/>
      <c r="R21" s="20"/>
      <c r="S21" s="20"/>
      <c r="T21" s="20"/>
      <c r="U21" s="20"/>
      <c r="V21" s="20"/>
      <c r="W21" s="20"/>
      <c r="X21" s="20"/>
      <c r="Y21" s="20"/>
      <c r="Z21" s="20"/>
      <c r="AA21" s="1"/>
    </row>
    <row r="22">
      <c r="A22" s="32" t="str">
        <f>IF($I$2=TRUE,12,"")</f>
        <v/>
      </c>
      <c r="B22" s="48"/>
      <c r="C22" s="55" t="s">
        <v>76</v>
      </c>
      <c r="D22" s="32"/>
      <c r="E22" s="67"/>
      <c r="F22" s="32"/>
      <c r="G22" s="56"/>
      <c r="J22" s="20"/>
      <c r="K22" s="56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1"/>
    </row>
    <row r="23">
      <c r="A23" s="32"/>
      <c r="B23" s="32"/>
      <c r="C23" s="32"/>
      <c r="D23" s="20"/>
      <c r="E23" s="56"/>
      <c r="F23" s="20"/>
      <c r="G23" s="74"/>
      <c r="J23" s="20"/>
      <c r="K23" s="67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1"/>
    </row>
    <row r="24">
      <c r="A24" s="20"/>
      <c r="B24" s="20"/>
      <c r="C24" s="20"/>
      <c r="D24" s="51" t="s">
        <v>151</v>
      </c>
      <c r="E24" s="58" t="s">
        <v>159</v>
      </c>
      <c r="F24" s="61" t="s">
        <v>160</v>
      </c>
      <c r="G24" s="55" t="s">
        <v>72</v>
      </c>
      <c r="J24" s="20"/>
      <c r="K24" s="56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1"/>
    </row>
    <row r="25">
      <c r="A25" s="32"/>
      <c r="B25" s="32"/>
      <c r="C25" s="44"/>
      <c r="D25" s="20"/>
      <c r="E25" s="67"/>
      <c r="F25" s="20"/>
      <c r="G25" s="32"/>
      <c r="J25" s="32"/>
      <c r="K25" s="56"/>
      <c r="L25" s="32"/>
      <c r="M25" s="20"/>
      <c r="N25" s="32"/>
      <c r="O25" s="32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1"/>
    </row>
    <row r="26">
      <c r="A26" s="32" t="str">
        <f>IF($I$2=TRUE,4,"")</f>
        <v/>
      </c>
      <c r="B26" s="48"/>
      <c r="C26" s="50" t="s">
        <v>104</v>
      </c>
      <c r="D26" s="32"/>
      <c r="E26" s="74"/>
      <c r="F26" s="32"/>
      <c r="G26" s="20"/>
      <c r="J26" s="20"/>
      <c r="K26" s="56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1"/>
    </row>
    <row r="27">
      <c r="A27" s="32"/>
      <c r="B27" s="51" t="s">
        <v>161</v>
      </c>
      <c r="C27" s="52" t="s">
        <v>162</v>
      </c>
      <c r="D27" s="61" t="s">
        <v>163</v>
      </c>
      <c r="E27" s="55" t="s">
        <v>104</v>
      </c>
      <c r="F27" s="20"/>
      <c r="G27" s="20"/>
      <c r="J27" s="20"/>
      <c r="K27" s="67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1"/>
    </row>
    <row r="28">
      <c r="A28" s="20" t="str">
        <f>IF($I$2=TRUE,13,"")</f>
        <v/>
      </c>
      <c r="B28" s="54"/>
      <c r="C28" s="55" t="s">
        <v>103</v>
      </c>
      <c r="D28" s="32"/>
      <c r="E28" s="32"/>
      <c r="F28" s="32"/>
      <c r="G28" s="20"/>
      <c r="J28" s="20"/>
      <c r="K28" s="56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1"/>
    </row>
    <row r="29">
      <c r="A29" s="32"/>
      <c r="B29" s="32"/>
      <c r="C29" s="32"/>
      <c r="D29" s="20"/>
      <c r="E29" s="32"/>
      <c r="F29" s="20"/>
      <c r="G29" s="32"/>
      <c r="J29" s="32"/>
      <c r="K29" s="56"/>
      <c r="L29" s="32"/>
      <c r="M29" s="32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1"/>
    </row>
    <row r="30">
      <c r="A30" s="32"/>
      <c r="B30" s="32"/>
      <c r="C30" s="59"/>
      <c r="D30" s="32"/>
      <c r="E30" s="32"/>
      <c r="F30" s="32"/>
      <c r="G30" s="20"/>
      <c r="J30" s="20"/>
      <c r="K30" s="56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1"/>
    </row>
    <row r="31">
      <c r="A31" s="32" t="str">
        <f>IF($I$2=TRUE,3,"")</f>
        <v/>
      </c>
      <c r="B31" s="48"/>
      <c r="C31" s="50" t="s">
        <v>116</v>
      </c>
      <c r="D31" s="20"/>
      <c r="E31" s="59"/>
      <c r="F31" s="20"/>
      <c r="G31" s="32"/>
      <c r="J31" s="20"/>
      <c r="K31" s="67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1"/>
    </row>
    <row r="32">
      <c r="A32" s="20"/>
      <c r="B32" s="51" t="s">
        <v>164</v>
      </c>
      <c r="C32" s="52" t="s">
        <v>165</v>
      </c>
      <c r="D32" s="61" t="s">
        <v>166</v>
      </c>
      <c r="E32" s="50" t="s">
        <v>116</v>
      </c>
      <c r="F32" s="32"/>
      <c r="G32" s="20"/>
      <c r="J32" s="51" t="s">
        <v>117</v>
      </c>
      <c r="K32" s="58" t="s">
        <v>167</v>
      </c>
      <c r="L32" s="61" t="s">
        <v>168</v>
      </c>
      <c r="M32" s="54"/>
      <c r="N32" s="54"/>
      <c r="O32" s="54"/>
      <c r="P32" s="54"/>
      <c r="Q32" s="50" t="s">
        <v>72</v>
      </c>
      <c r="R32" s="20"/>
      <c r="S32" s="20"/>
      <c r="T32" s="20"/>
      <c r="U32" s="20"/>
      <c r="V32" s="20"/>
      <c r="W32" s="20"/>
      <c r="X32" s="20"/>
      <c r="Y32" s="20"/>
      <c r="Z32" s="20"/>
      <c r="AA32" s="1"/>
    </row>
    <row r="33">
      <c r="A33" s="32" t="str">
        <f>IF($I$2=TRUE,14,"")</f>
        <v/>
      </c>
      <c r="B33" s="48"/>
      <c r="C33" s="55" t="s">
        <v>37</v>
      </c>
      <c r="D33" s="20"/>
      <c r="E33" s="67"/>
      <c r="F33" s="20"/>
      <c r="G33" s="32"/>
      <c r="J33" s="32"/>
      <c r="K33" s="56"/>
      <c r="L33" s="35"/>
      <c r="M33" s="35"/>
      <c r="N33" s="35"/>
      <c r="O33" s="35"/>
      <c r="P33" s="20"/>
      <c r="Q33" s="56"/>
      <c r="R33" s="20"/>
      <c r="S33" s="20"/>
      <c r="T33" s="20"/>
      <c r="U33" s="20"/>
      <c r="V33" s="20"/>
      <c r="W33" s="20"/>
      <c r="X33" s="20"/>
      <c r="Y33" s="20"/>
      <c r="Z33" s="20"/>
      <c r="AA33" s="1"/>
    </row>
    <row r="34">
      <c r="A34" s="32"/>
      <c r="B34" s="32"/>
      <c r="C34" s="20"/>
      <c r="D34" s="32"/>
      <c r="E34" s="67"/>
      <c r="F34" s="32"/>
      <c r="G34" s="59"/>
      <c r="J34" s="20"/>
      <c r="K34" s="56"/>
      <c r="L34" s="35"/>
      <c r="M34" s="35"/>
      <c r="N34" s="35"/>
      <c r="O34" s="35"/>
      <c r="P34" s="20"/>
      <c r="Q34" s="67"/>
      <c r="R34" s="20"/>
      <c r="S34" s="20"/>
      <c r="T34" s="20"/>
      <c r="U34" s="20"/>
      <c r="V34" s="20"/>
      <c r="W34" s="20"/>
      <c r="X34" s="20"/>
      <c r="Y34" s="20"/>
      <c r="Z34" s="20"/>
      <c r="AA34" s="1"/>
    </row>
    <row r="35">
      <c r="A35" s="32"/>
      <c r="B35" s="32"/>
      <c r="C35" s="32"/>
      <c r="D35" s="51" t="s">
        <v>154</v>
      </c>
      <c r="E35" s="58" t="s">
        <v>169</v>
      </c>
      <c r="F35" s="61" t="s">
        <v>170</v>
      </c>
      <c r="G35" s="50" t="s">
        <v>106</v>
      </c>
      <c r="J35" s="20"/>
      <c r="K35" s="56"/>
      <c r="L35" s="35"/>
      <c r="M35" s="35"/>
      <c r="N35" s="35"/>
      <c r="O35" s="35"/>
      <c r="P35" s="20"/>
      <c r="Q35" s="56"/>
      <c r="R35" s="20"/>
      <c r="S35" s="20"/>
      <c r="T35" s="20"/>
      <c r="U35" s="20"/>
      <c r="V35" s="20"/>
      <c r="W35" s="20"/>
      <c r="X35" s="20"/>
      <c r="Y35" s="20"/>
      <c r="Z35" s="20"/>
      <c r="AA35" s="1"/>
    </row>
    <row r="36">
      <c r="A36" s="20"/>
      <c r="B36" s="20"/>
      <c r="C36" s="59"/>
      <c r="D36" s="20"/>
      <c r="E36" s="56"/>
      <c r="F36" s="20"/>
      <c r="G36" s="56"/>
      <c r="J36" s="20"/>
      <c r="K36" s="56"/>
      <c r="L36" s="35"/>
      <c r="M36" s="35"/>
      <c r="N36" s="35"/>
      <c r="O36" s="35"/>
      <c r="P36" s="20"/>
      <c r="Q36" s="56"/>
      <c r="R36" s="20"/>
      <c r="S36" s="20"/>
      <c r="T36" s="20"/>
      <c r="U36" s="20"/>
      <c r="V36" s="20"/>
      <c r="W36" s="20"/>
      <c r="X36" s="20"/>
      <c r="Y36" s="20"/>
      <c r="Z36" s="20"/>
      <c r="AA36" s="1"/>
    </row>
    <row r="37">
      <c r="A37" s="20" t="str">
        <f>IF($I$2=TRUE,6,"")</f>
        <v/>
      </c>
      <c r="B37" s="54"/>
      <c r="C37" s="50" t="s">
        <v>106</v>
      </c>
      <c r="D37" s="20"/>
      <c r="E37" s="66"/>
      <c r="F37" s="20"/>
      <c r="G37" s="56"/>
      <c r="J37" s="20"/>
      <c r="K37" s="66"/>
      <c r="L37" s="35"/>
      <c r="M37" s="35"/>
      <c r="N37" s="35"/>
      <c r="O37" s="35"/>
      <c r="P37" s="20"/>
      <c r="Q37" s="56"/>
      <c r="R37" s="20"/>
      <c r="S37" s="59"/>
      <c r="T37" s="20"/>
      <c r="U37" s="20"/>
      <c r="V37" s="20"/>
      <c r="W37" s="20"/>
      <c r="X37" s="20"/>
      <c r="Y37" s="20"/>
      <c r="Z37" s="20"/>
      <c r="AA37" s="1"/>
    </row>
    <row r="38">
      <c r="A38" s="20"/>
      <c r="B38" s="51" t="s">
        <v>171</v>
      </c>
      <c r="C38" s="52" t="s">
        <v>172</v>
      </c>
      <c r="D38" s="61" t="s">
        <v>173</v>
      </c>
      <c r="E38" s="55" t="s">
        <v>106</v>
      </c>
      <c r="F38" s="51" t="s">
        <v>151</v>
      </c>
      <c r="G38" s="58" t="s">
        <v>174</v>
      </c>
      <c r="H38" s="54"/>
      <c r="I38" s="54"/>
      <c r="J38" s="61" t="s">
        <v>175</v>
      </c>
      <c r="K38" s="55" t="s">
        <v>53</v>
      </c>
      <c r="L38" s="35"/>
      <c r="M38" s="35"/>
      <c r="N38" s="35"/>
      <c r="O38" s="35"/>
      <c r="P38" s="51" t="s">
        <v>117</v>
      </c>
      <c r="Q38" s="58" t="s">
        <v>176</v>
      </c>
      <c r="R38" s="61" t="s">
        <v>177</v>
      </c>
      <c r="S38" s="50" t="s">
        <v>53</v>
      </c>
      <c r="T38" s="20"/>
      <c r="U38" s="20"/>
      <c r="V38" s="20"/>
      <c r="W38" s="20"/>
      <c r="X38" s="20"/>
      <c r="Y38" s="20"/>
      <c r="Z38" s="20"/>
      <c r="AA38" s="1"/>
    </row>
    <row r="39">
      <c r="A39" s="20" t="str">
        <f>IF($I$2=TRUE,11,"")</f>
        <v/>
      </c>
      <c r="B39" s="54"/>
      <c r="C39" s="55" t="s">
        <v>60</v>
      </c>
      <c r="D39" s="20"/>
      <c r="E39" s="20"/>
      <c r="F39" s="20"/>
      <c r="G39" s="56"/>
      <c r="H39" s="20"/>
      <c r="I39" s="20"/>
      <c r="J39" s="35"/>
      <c r="K39" s="35"/>
      <c r="L39" s="35"/>
      <c r="M39" s="35"/>
      <c r="N39" s="35"/>
      <c r="O39" s="35"/>
      <c r="P39" s="20"/>
      <c r="Q39" s="56"/>
      <c r="R39" s="20"/>
      <c r="S39" s="75"/>
      <c r="T39" s="20"/>
      <c r="U39" s="20"/>
      <c r="V39" s="20"/>
      <c r="W39" s="20"/>
      <c r="X39" s="20"/>
      <c r="Y39" s="20"/>
      <c r="Z39" s="20"/>
      <c r="AA39" s="1"/>
    </row>
    <row r="40">
      <c r="A40" s="20"/>
      <c r="B40" s="20"/>
      <c r="C40" s="20"/>
      <c r="D40" s="20"/>
      <c r="E40" s="20"/>
      <c r="F40" s="20"/>
      <c r="G40" s="56"/>
      <c r="H40" s="20"/>
      <c r="I40" s="20"/>
      <c r="J40" s="35"/>
      <c r="K40" s="35"/>
      <c r="L40" s="35"/>
      <c r="M40" s="35"/>
      <c r="N40" s="35"/>
      <c r="O40" s="35"/>
      <c r="P40" s="20"/>
      <c r="Q40" s="56"/>
      <c r="R40" s="20"/>
      <c r="S40" s="75"/>
      <c r="T40" s="20"/>
      <c r="U40" s="20"/>
      <c r="V40" s="20"/>
      <c r="W40" s="20"/>
      <c r="X40" s="20"/>
      <c r="Y40" s="20"/>
      <c r="Z40" s="20"/>
      <c r="AA40" s="1"/>
    </row>
    <row r="41">
      <c r="A41" s="20"/>
      <c r="B41" s="20"/>
      <c r="C41" s="59"/>
      <c r="D41" s="20"/>
      <c r="E41" s="20"/>
      <c r="F41" s="20"/>
      <c r="G41" s="56"/>
      <c r="H41" s="20"/>
      <c r="I41" s="20"/>
      <c r="J41" s="35"/>
      <c r="K41" s="35"/>
      <c r="L41" s="35"/>
      <c r="M41" s="35"/>
      <c r="N41" s="35"/>
      <c r="O41" s="35"/>
      <c r="P41" s="20"/>
      <c r="Q41" s="56"/>
      <c r="R41" s="20"/>
      <c r="S41" s="75"/>
      <c r="T41" s="20"/>
      <c r="U41" s="20"/>
      <c r="V41" s="20"/>
      <c r="W41" s="20"/>
      <c r="X41" s="20"/>
      <c r="Y41" s="20"/>
      <c r="Z41" s="20"/>
      <c r="AA41" s="1"/>
    </row>
    <row r="42">
      <c r="A42" s="20" t="str">
        <f>IF($I$2=TRUE,7,"")</f>
        <v/>
      </c>
      <c r="B42" s="54"/>
      <c r="C42" s="50" t="s">
        <v>53</v>
      </c>
      <c r="D42" s="20"/>
      <c r="E42" s="59"/>
      <c r="F42" s="20"/>
      <c r="G42" s="56"/>
      <c r="H42" s="20"/>
      <c r="I42" s="20"/>
      <c r="J42" s="35"/>
      <c r="K42" s="35"/>
      <c r="L42" s="35"/>
      <c r="M42" s="35"/>
      <c r="N42" s="35"/>
      <c r="O42" s="35"/>
      <c r="P42" s="20"/>
      <c r="Q42" s="56"/>
      <c r="R42" s="20"/>
      <c r="S42" s="75"/>
      <c r="T42" s="20"/>
      <c r="U42" s="20"/>
      <c r="V42" s="20"/>
      <c r="W42" s="20"/>
      <c r="X42" s="20"/>
      <c r="Y42" s="20"/>
      <c r="Z42" s="20"/>
      <c r="AA42" s="1"/>
    </row>
    <row r="43">
      <c r="A43" s="20"/>
      <c r="B43" s="51" t="s">
        <v>178</v>
      </c>
      <c r="C43" s="52" t="s">
        <v>179</v>
      </c>
      <c r="D43" s="61" t="s">
        <v>180</v>
      </c>
      <c r="E43" s="50" t="s">
        <v>53</v>
      </c>
      <c r="F43" s="20"/>
      <c r="G43" s="56"/>
      <c r="H43" s="20"/>
      <c r="I43" s="20"/>
      <c r="J43" s="35"/>
      <c r="K43" s="35"/>
      <c r="L43" s="35"/>
      <c r="M43" s="35"/>
      <c r="N43" s="35"/>
      <c r="O43" s="35"/>
      <c r="P43" s="20"/>
      <c r="Q43" s="56"/>
      <c r="R43" s="20"/>
      <c r="S43" s="75"/>
      <c r="T43" s="20"/>
      <c r="U43" s="20"/>
      <c r="V43" s="20"/>
      <c r="W43" s="20"/>
      <c r="X43" s="20"/>
      <c r="Y43" s="20"/>
      <c r="Z43" s="20"/>
      <c r="AA43" s="1"/>
    </row>
    <row r="44">
      <c r="A44" s="20" t="str">
        <f>IF($I$2=TRUE,10,"")</f>
        <v/>
      </c>
      <c r="B44" s="54"/>
      <c r="C44" s="55" t="s">
        <v>27</v>
      </c>
      <c r="D44" s="20"/>
      <c r="E44" s="56"/>
      <c r="F44" s="20"/>
      <c r="G44" s="56"/>
      <c r="H44" s="20"/>
      <c r="I44" s="20"/>
      <c r="J44" s="35"/>
      <c r="K44" s="35"/>
      <c r="L44" s="35"/>
      <c r="M44" s="35"/>
      <c r="N44" s="35"/>
      <c r="O44" s="35"/>
      <c r="P44" s="20"/>
      <c r="Q44" s="56"/>
      <c r="R44" s="20"/>
      <c r="S44" s="75"/>
      <c r="T44" s="20"/>
      <c r="U44" s="20"/>
      <c r="V44" s="20"/>
      <c r="W44" s="20"/>
      <c r="X44" s="20"/>
      <c r="Y44" s="20"/>
      <c r="Z44" s="20"/>
      <c r="AA44" s="1"/>
    </row>
    <row r="45">
      <c r="A45" s="20"/>
      <c r="B45" s="20"/>
      <c r="C45" s="20"/>
      <c r="D45" s="20"/>
      <c r="E45" s="56"/>
      <c r="F45" s="20"/>
      <c r="G45" s="66"/>
      <c r="H45" s="20"/>
      <c r="I45" s="20"/>
      <c r="J45" s="35"/>
      <c r="K45" s="35"/>
      <c r="L45" s="35"/>
      <c r="M45" s="35"/>
      <c r="N45" s="35"/>
      <c r="O45" s="35"/>
      <c r="P45" s="20"/>
      <c r="Q45" s="66"/>
      <c r="R45" s="20"/>
      <c r="S45" s="75"/>
      <c r="T45" s="20"/>
      <c r="U45" s="20"/>
      <c r="V45" s="20"/>
      <c r="W45" s="20"/>
      <c r="X45" s="20"/>
      <c r="Y45" s="20"/>
      <c r="Z45" s="20"/>
      <c r="AA45" s="1"/>
    </row>
    <row r="46">
      <c r="A46" s="20"/>
      <c r="B46" s="20"/>
      <c r="C46" s="20"/>
      <c r="D46" s="51" t="s">
        <v>161</v>
      </c>
      <c r="E46" s="58" t="s">
        <v>181</v>
      </c>
      <c r="F46" s="61" t="s">
        <v>182</v>
      </c>
      <c r="G46" s="55" t="s">
        <v>53</v>
      </c>
      <c r="H46" s="20"/>
      <c r="I46" s="35"/>
      <c r="J46" s="35"/>
      <c r="K46" s="35"/>
      <c r="L46" s="35"/>
      <c r="M46" s="35"/>
      <c r="N46" s="35"/>
      <c r="O46" s="20" t="s">
        <v>183</v>
      </c>
      <c r="P46" s="61" t="s">
        <v>184</v>
      </c>
      <c r="Q46" s="55" t="s">
        <v>53</v>
      </c>
      <c r="R46" s="51" t="s">
        <v>117</v>
      </c>
      <c r="S46" s="76" t="s">
        <v>185</v>
      </c>
      <c r="T46" s="77" t="s">
        <v>186</v>
      </c>
      <c r="U46" s="20"/>
      <c r="V46" s="20"/>
      <c r="W46" s="20"/>
      <c r="X46" s="20"/>
      <c r="Y46" s="20"/>
      <c r="Z46" s="20"/>
      <c r="AA46" s="1"/>
    </row>
    <row r="47">
      <c r="A47" s="20"/>
      <c r="B47" s="20"/>
      <c r="C47" s="59"/>
      <c r="D47" s="20"/>
      <c r="E47" s="56"/>
      <c r="F47" s="20"/>
      <c r="G47" s="20"/>
      <c r="H47" s="20"/>
      <c r="I47" s="20"/>
      <c r="J47" s="35"/>
      <c r="K47" s="35"/>
      <c r="L47" s="35"/>
      <c r="M47" s="35"/>
      <c r="N47" s="35"/>
      <c r="O47" s="35"/>
      <c r="P47" s="20"/>
      <c r="Q47" s="20"/>
      <c r="R47" s="20"/>
      <c r="S47" s="75"/>
      <c r="T47" s="20" t="s">
        <v>187</v>
      </c>
      <c r="U47" s="20"/>
      <c r="V47" s="20"/>
      <c r="W47" s="20"/>
      <c r="X47" s="20"/>
      <c r="Y47" s="20"/>
      <c r="Z47" s="20"/>
      <c r="AA47" s="1"/>
    </row>
    <row r="48">
      <c r="A48" s="20" t="str">
        <f>IF($I$2=TRUE,2,"")</f>
        <v/>
      </c>
      <c r="B48" s="54"/>
      <c r="C48" s="50" t="s">
        <v>132</v>
      </c>
      <c r="D48" s="20"/>
      <c r="E48" s="66"/>
      <c r="F48" s="20"/>
      <c r="G48" s="20"/>
      <c r="H48" s="20"/>
      <c r="I48" s="20"/>
      <c r="J48" s="35"/>
      <c r="K48" s="35"/>
      <c r="L48" s="35"/>
      <c r="M48" s="35"/>
      <c r="N48" s="35"/>
      <c r="O48" s="35"/>
      <c r="P48" s="20"/>
      <c r="Q48" s="20"/>
      <c r="R48" s="20"/>
      <c r="S48" s="75"/>
      <c r="T48" s="20"/>
      <c r="U48" s="20"/>
      <c r="V48" s="20"/>
      <c r="W48" s="20"/>
      <c r="X48" s="20"/>
      <c r="Y48" s="20"/>
      <c r="Z48" s="20"/>
      <c r="AA48" s="1"/>
    </row>
    <row r="49">
      <c r="A49" s="20"/>
      <c r="B49" s="78"/>
      <c r="C49" s="52" t="s">
        <v>188</v>
      </c>
      <c r="D49" s="54"/>
      <c r="E49" s="55" t="s">
        <v>132</v>
      </c>
      <c r="F49" s="20"/>
      <c r="G49" s="20"/>
      <c r="H49" s="20"/>
      <c r="I49" s="20"/>
      <c r="J49" s="35"/>
      <c r="K49" s="35"/>
      <c r="L49" s="35"/>
      <c r="M49" s="35"/>
      <c r="N49" s="35"/>
      <c r="O49" s="35"/>
      <c r="P49" s="20"/>
      <c r="Q49" s="20"/>
      <c r="R49" s="20"/>
      <c r="S49" s="79"/>
      <c r="T49" s="20"/>
      <c r="U49" s="20"/>
      <c r="V49" s="20"/>
      <c r="W49" s="20"/>
      <c r="X49" s="20"/>
      <c r="Y49" s="20"/>
      <c r="Z49" s="20"/>
      <c r="AA49" s="1"/>
    </row>
    <row r="50">
      <c r="A50" s="20" t="str">
        <f>IF($I$2=TRUE,15,"")</f>
        <v/>
      </c>
      <c r="B50" s="54"/>
      <c r="C50" s="55" t="s">
        <v>189</v>
      </c>
      <c r="D50" s="20"/>
      <c r="E50" s="20"/>
      <c r="F50" s="20"/>
      <c r="G50" s="20"/>
      <c r="H50" s="20"/>
      <c r="I50" s="20"/>
      <c r="J50" s="35"/>
      <c r="K50" s="35"/>
      <c r="L50" s="35"/>
      <c r="M50" s="35"/>
      <c r="N50" s="35"/>
      <c r="O50" s="35"/>
      <c r="P50" s="20"/>
      <c r="Q50" s="80"/>
      <c r="R50" s="81"/>
      <c r="S50" s="82" t="s">
        <v>72</v>
      </c>
      <c r="T50" s="20"/>
      <c r="U50" s="20"/>
      <c r="V50" s="20"/>
      <c r="W50" s="20"/>
      <c r="X50" s="20"/>
      <c r="Y50" s="20"/>
      <c r="Z50" s="20"/>
      <c r="AA50" s="1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35"/>
      <c r="K51" s="35"/>
      <c r="L51" s="35"/>
      <c r="M51" s="35"/>
      <c r="N51" s="35"/>
      <c r="O51" s="35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1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1"/>
    </row>
    <row r="53">
      <c r="A53" s="40" t="s">
        <v>190</v>
      </c>
      <c r="B53" s="20"/>
      <c r="C53" s="20"/>
      <c r="D53" s="20"/>
      <c r="E53" s="20"/>
      <c r="F53" s="20"/>
      <c r="G53" s="83" t="s">
        <v>153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1"/>
    </row>
    <row r="54">
      <c r="A54" s="35"/>
      <c r="B54" s="35"/>
      <c r="C54" s="20"/>
      <c r="D54" s="20"/>
      <c r="E54" s="20"/>
      <c r="F54" s="20"/>
      <c r="G54" s="5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1"/>
    </row>
    <row r="55">
      <c r="A55" s="35"/>
      <c r="B55" s="35"/>
      <c r="C55" s="20"/>
      <c r="D55" s="20"/>
      <c r="E55" s="38" t="s">
        <v>191</v>
      </c>
      <c r="F55" s="54"/>
      <c r="G55" s="50" t="s">
        <v>132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1"/>
    </row>
    <row r="56">
      <c r="A56" s="35"/>
      <c r="B56" s="35"/>
      <c r="C56" s="20"/>
      <c r="D56" s="20"/>
      <c r="E56" s="20"/>
      <c r="F56" s="20"/>
      <c r="G56" s="56"/>
      <c r="H56" s="20"/>
      <c r="I56" s="59"/>
      <c r="J56" s="20"/>
      <c r="K56" s="20"/>
      <c r="L56" s="20"/>
      <c r="M56" s="20"/>
      <c r="N56" s="20"/>
      <c r="O56" s="59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1"/>
    </row>
    <row r="57">
      <c r="A57" s="35"/>
      <c r="B57" s="35"/>
      <c r="C57" s="20"/>
      <c r="D57" s="20"/>
      <c r="E57" s="59"/>
      <c r="F57" s="51" t="s">
        <v>154</v>
      </c>
      <c r="G57" s="58" t="s">
        <v>192</v>
      </c>
      <c r="H57" s="61" t="s">
        <v>193</v>
      </c>
      <c r="I57" s="50" t="s">
        <v>67</v>
      </c>
      <c r="J57" s="20"/>
      <c r="K57" s="20"/>
      <c r="L57" s="20"/>
      <c r="M57" s="38" t="s">
        <v>194</v>
      </c>
      <c r="N57" s="54"/>
      <c r="O57" s="50" t="s">
        <v>53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1"/>
    </row>
    <row r="58">
      <c r="A58" s="35"/>
      <c r="B58" s="35"/>
      <c r="C58" s="20" t="s">
        <v>195</v>
      </c>
      <c r="D58" s="54"/>
      <c r="E58" s="50" t="s">
        <v>98</v>
      </c>
      <c r="F58" s="20"/>
      <c r="G58" s="66"/>
      <c r="H58" s="20"/>
      <c r="I58" s="56"/>
      <c r="J58" s="20"/>
      <c r="K58" s="20"/>
      <c r="L58" s="20"/>
      <c r="M58" s="20"/>
      <c r="N58" s="20"/>
      <c r="O58" s="56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"/>
    </row>
    <row r="59">
      <c r="A59" s="35"/>
      <c r="B59" s="35"/>
      <c r="C59" s="20"/>
      <c r="D59" s="51" t="s">
        <v>164</v>
      </c>
      <c r="E59" s="52" t="s">
        <v>196</v>
      </c>
      <c r="F59" s="61" t="s">
        <v>197</v>
      </c>
      <c r="G59" s="55" t="s">
        <v>67</v>
      </c>
      <c r="H59" s="20"/>
      <c r="I59" s="56"/>
      <c r="J59" s="20"/>
      <c r="K59" s="59"/>
      <c r="L59" s="20"/>
      <c r="M59" s="20"/>
      <c r="N59" s="20"/>
      <c r="O59" s="56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"/>
    </row>
    <row r="60">
      <c r="A60" s="35"/>
      <c r="B60" s="35"/>
      <c r="C60" s="20" t="s">
        <v>198</v>
      </c>
      <c r="D60" s="54"/>
      <c r="E60" s="55" t="s">
        <v>67</v>
      </c>
      <c r="F60" s="20"/>
      <c r="G60" s="20"/>
      <c r="H60" s="51" t="s">
        <v>151</v>
      </c>
      <c r="I60" s="58" t="s">
        <v>199</v>
      </c>
      <c r="J60" s="61" t="s">
        <v>200</v>
      </c>
      <c r="K60" s="50" t="s">
        <v>116</v>
      </c>
      <c r="L60" s="20"/>
      <c r="M60" s="20"/>
      <c r="N60" s="20"/>
      <c r="O60" s="56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1"/>
    </row>
    <row r="61">
      <c r="A61" s="35"/>
      <c r="B61" s="35"/>
      <c r="C61" s="20"/>
      <c r="D61" s="20"/>
      <c r="E61" s="38"/>
      <c r="F61" s="20"/>
      <c r="G61" s="59"/>
      <c r="H61" s="20"/>
      <c r="I61" s="56"/>
      <c r="J61" s="20"/>
      <c r="K61" s="56"/>
      <c r="L61" s="20"/>
      <c r="M61" s="20"/>
      <c r="N61" s="20"/>
      <c r="O61" s="56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1"/>
    </row>
    <row r="62">
      <c r="A62" s="35"/>
      <c r="B62" s="35"/>
      <c r="C62" s="20"/>
      <c r="D62" s="20"/>
      <c r="E62" s="38" t="s">
        <v>201</v>
      </c>
      <c r="F62" s="54"/>
      <c r="G62" s="50" t="s">
        <v>116</v>
      </c>
      <c r="H62" s="20"/>
      <c r="I62" s="56"/>
      <c r="J62" s="20"/>
      <c r="K62" s="56"/>
      <c r="L62" s="20"/>
      <c r="M62" s="20"/>
      <c r="N62" s="20"/>
      <c r="O62" s="56"/>
      <c r="P62" s="20"/>
      <c r="Q62" s="84"/>
      <c r="R62" s="20"/>
      <c r="S62" s="20"/>
      <c r="T62" s="20"/>
      <c r="U62" s="20"/>
      <c r="V62" s="20"/>
      <c r="W62" s="20"/>
      <c r="X62" s="20"/>
      <c r="Y62" s="20"/>
      <c r="Z62" s="20"/>
      <c r="AA62" s="1"/>
    </row>
    <row r="63">
      <c r="A63" s="35"/>
      <c r="B63" s="35"/>
      <c r="C63" s="20"/>
      <c r="D63" s="20"/>
      <c r="E63" s="20"/>
      <c r="F63" s="20"/>
      <c r="G63" s="56"/>
      <c r="H63" s="20"/>
      <c r="I63" s="66"/>
      <c r="J63" s="20"/>
      <c r="K63" s="56"/>
      <c r="L63" s="20"/>
      <c r="M63" s="59"/>
      <c r="N63" s="20"/>
      <c r="O63" s="56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1"/>
    </row>
    <row r="64">
      <c r="A64" s="35"/>
      <c r="B64" s="35"/>
      <c r="C64" s="20"/>
      <c r="D64" s="20"/>
      <c r="E64" s="59"/>
      <c r="F64" s="51" t="s">
        <v>161</v>
      </c>
      <c r="G64" s="58" t="s">
        <v>202</v>
      </c>
      <c r="H64" s="61" t="s">
        <v>203</v>
      </c>
      <c r="I64" s="55" t="s">
        <v>116</v>
      </c>
      <c r="J64" s="51" t="s">
        <v>151</v>
      </c>
      <c r="K64" s="58" t="s">
        <v>204</v>
      </c>
      <c r="L64" s="61" t="s">
        <v>205</v>
      </c>
      <c r="M64" s="50" t="s">
        <v>108</v>
      </c>
      <c r="N64" s="51" t="s">
        <v>117</v>
      </c>
      <c r="O64" s="58" t="s">
        <v>206</v>
      </c>
      <c r="P64" s="61" t="s">
        <v>184</v>
      </c>
      <c r="Q64" s="50" t="s">
        <v>53</v>
      </c>
      <c r="R64" s="85" t="s">
        <v>207</v>
      </c>
      <c r="S64" s="20"/>
      <c r="T64" s="20"/>
      <c r="U64" s="20"/>
      <c r="V64" s="20"/>
      <c r="W64" s="20"/>
      <c r="X64" s="20"/>
      <c r="Y64" s="20"/>
      <c r="Z64" s="20"/>
      <c r="AA64" s="1"/>
    </row>
    <row r="65">
      <c r="A65" s="35"/>
      <c r="B65" s="35"/>
      <c r="C65" s="20" t="s">
        <v>208</v>
      </c>
      <c r="D65" s="54"/>
      <c r="E65" s="50" t="s">
        <v>76</v>
      </c>
      <c r="F65" s="20"/>
      <c r="G65" s="66"/>
      <c r="H65" s="20"/>
      <c r="I65" s="20"/>
      <c r="J65" s="20"/>
      <c r="K65" s="56"/>
      <c r="L65" s="20"/>
      <c r="M65" s="56"/>
      <c r="N65" s="20"/>
      <c r="O65" s="56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1"/>
    </row>
    <row r="66">
      <c r="A66" s="35"/>
      <c r="B66" s="35"/>
      <c r="C66" s="20"/>
      <c r="D66" s="51" t="s">
        <v>209</v>
      </c>
      <c r="E66" s="52" t="s">
        <v>210</v>
      </c>
      <c r="F66" s="61" t="s">
        <v>211</v>
      </c>
      <c r="G66" s="55" t="s">
        <v>76</v>
      </c>
      <c r="H66" s="20"/>
      <c r="I66" s="20"/>
      <c r="J66" s="20"/>
      <c r="K66" s="56"/>
      <c r="L66" s="20"/>
      <c r="M66" s="56"/>
      <c r="N66" s="20"/>
      <c r="O66" s="56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1"/>
    </row>
    <row r="67">
      <c r="A67" s="35"/>
      <c r="B67" s="35"/>
      <c r="C67" s="20" t="s">
        <v>212</v>
      </c>
      <c r="D67" s="54"/>
      <c r="E67" s="55" t="s">
        <v>103</v>
      </c>
      <c r="F67" s="20"/>
      <c r="G67" s="20"/>
      <c r="H67" s="20"/>
      <c r="I67" s="20"/>
      <c r="J67" s="20"/>
      <c r="K67" s="66"/>
      <c r="L67" s="20"/>
      <c r="M67" s="56"/>
      <c r="N67" s="20"/>
      <c r="O67" s="56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1"/>
    </row>
    <row r="68">
      <c r="A68" s="35"/>
      <c r="B68" s="35"/>
      <c r="C68" s="20"/>
      <c r="D68" s="20"/>
      <c r="E68" s="20"/>
      <c r="F68" s="20"/>
      <c r="G68" s="20"/>
      <c r="H68" s="20"/>
      <c r="I68" s="38" t="s">
        <v>213</v>
      </c>
      <c r="J68" s="54"/>
      <c r="K68" s="55" t="s">
        <v>108</v>
      </c>
      <c r="L68" s="20"/>
      <c r="M68" s="56"/>
      <c r="N68" s="20"/>
      <c r="O68" s="56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1"/>
    </row>
    <row r="69">
      <c r="A69" s="35"/>
      <c r="B69" s="35"/>
      <c r="C69" s="20"/>
      <c r="D69" s="20"/>
      <c r="E69" s="20"/>
      <c r="F69" s="20"/>
      <c r="G69" s="59"/>
      <c r="H69" s="20"/>
      <c r="I69" s="20"/>
      <c r="J69" s="20"/>
      <c r="K69" s="20"/>
      <c r="L69" s="20"/>
      <c r="M69" s="56"/>
      <c r="N69" s="20"/>
      <c r="O69" s="56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1"/>
    </row>
    <row r="70">
      <c r="A70" s="35"/>
      <c r="B70" s="35"/>
      <c r="C70" s="20"/>
      <c r="D70" s="20"/>
      <c r="E70" s="38" t="s">
        <v>214</v>
      </c>
      <c r="F70" s="54"/>
      <c r="G70" s="50" t="s">
        <v>104</v>
      </c>
      <c r="H70" s="20"/>
      <c r="I70" s="20"/>
      <c r="J70" s="20"/>
      <c r="K70" s="20"/>
      <c r="L70" s="20"/>
      <c r="M70" s="56"/>
      <c r="N70" s="20"/>
      <c r="O70" s="56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1"/>
    </row>
    <row r="71">
      <c r="A71" s="35"/>
      <c r="B71" s="35"/>
      <c r="C71" s="20"/>
      <c r="D71" s="20"/>
      <c r="E71" s="20"/>
      <c r="F71" s="20"/>
      <c r="G71" s="56"/>
      <c r="H71" s="20"/>
      <c r="I71" s="59"/>
      <c r="J71" s="20"/>
      <c r="K71" s="20"/>
      <c r="L71" s="20"/>
      <c r="M71" s="56"/>
      <c r="N71" s="20"/>
      <c r="O71" s="66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1"/>
    </row>
    <row r="72">
      <c r="A72" s="35"/>
      <c r="B72" s="35"/>
      <c r="C72" s="20"/>
      <c r="D72" s="20"/>
      <c r="E72" s="59"/>
      <c r="F72" s="51" t="s">
        <v>164</v>
      </c>
      <c r="G72" s="58" t="s">
        <v>215</v>
      </c>
      <c r="H72" s="61" t="s">
        <v>216</v>
      </c>
      <c r="I72" s="50" t="s">
        <v>37</v>
      </c>
      <c r="J72" s="20"/>
      <c r="K72" s="20"/>
      <c r="L72" s="51" t="s">
        <v>117</v>
      </c>
      <c r="M72" s="58" t="s">
        <v>217</v>
      </c>
      <c r="N72" s="61" t="s">
        <v>218</v>
      </c>
      <c r="O72" s="55" t="s">
        <v>27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1"/>
    </row>
    <row r="73">
      <c r="A73" s="35"/>
      <c r="B73" s="35"/>
      <c r="C73" s="20" t="s">
        <v>219</v>
      </c>
      <c r="D73" s="54"/>
      <c r="E73" s="50" t="s">
        <v>37</v>
      </c>
      <c r="F73" s="20"/>
      <c r="G73" s="66"/>
      <c r="H73" s="20"/>
      <c r="I73" s="56"/>
      <c r="J73" s="20"/>
      <c r="K73" s="20"/>
      <c r="L73" s="20"/>
      <c r="M73" s="56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1"/>
    </row>
    <row r="74">
      <c r="A74" s="35"/>
      <c r="B74" s="35"/>
      <c r="C74" s="20"/>
      <c r="D74" s="51" t="s">
        <v>178</v>
      </c>
      <c r="E74" s="52" t="s">
        <v>220</v>
      </c>
      <c r="F74" s="61" t="s">
        <v>221</v>
      </c>
      <c r="G74" s="55" t="s">
        <v>37</v>
      </c>
      <c r="H74" s="20"/>
      <c r="I74" s="56"/>
      <c r="J74" s="20"/>
      <c r="K74" s="59"/>
      <c r="L74" s="20"/>
      <c r="M74" s="56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1"/>
    </row>
    <row r="75">
      <c r="A75" s="35"/>
      <c r="B75" s="35"/>
      <c r="C75" s="20" t="s">
        <v>222</v>
      </c>
      <c r="D75" s="54"/>
      <c r="E75" s="55" t="s">
        <v>60</v>
      </c>
      <c r="F75" s="20"/>
      <c r="G75" s="20"/>
      <c r="H75" s="51" t="s">
        <v>154</v>
      </c>
      <c r="I75" s="58" t="s">
        <v>223</v>
      </c>
      <c r="J75" s="61" t="s">
        <v>224</v>
      </c>
      <c r="K75" s="50" t="s">
        <v>27</v>
      </c>
      <c r="L75" s="20"/>
      <c r="M75" s="56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1"/>
    </row>
    <row r="76">
      <c r="A76" s="35"/>
      <c r="B76" s="35"/>
      <c r="C76" s="20"/>
      <c r="D76" s="20"/>
      <c r="E76" s="20"/>
      <c r="F76" s="20"/>
      <c r="G76" s="59"/>
      <c r="H76" s="20"/>
      <c r="I76" s="56"/>
      <c r="J76" s="20"/>
      <c r="K76" s="56"/>
      <c r="L76" s="20"/>
      <c r="M76" s="56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1"/>
    </row>
    <row r="77">
      <c r="A77" s="35"/>
      <c r="B77" s="35"/>
      <c r="C77" s="20"/>
      <c r="D77" s="20"/>
      <c r="E77" s="38" t="s">
        <v>225</v>
      </c>
      <c r="F77" s="54"/>
      <c r="G77" s="50" t="s">
        <v>140</v>
      </c>
      <c r="H77" s="20"/>
      <c r="I77" s="56"/>
      <c r="J77" s="20"/>
      <c r="K77" s="56"/>
      <c r="L77" s="20"/>
      <c r="M77" s="56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1"/>
    </row>
    <row r="78">
      <c r="A78" s="35"/>
      <c r="B78" s="35"/>
      <c r="C78" s="20"/>
      <c r="D78" s="20"/>
      <c r="E78" s="20"/>
      <c r="F78" s="20"/>
      <c r="G78" s="56"/>
      <c r="H78" s="20"/>
      <c r="I78" s="66"/>
      <c r="J78" s="20"/>
      <c r="K78" s="56"/>
      <c r="L78" s="20"/>
      <c r="M78" s="66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1"/>
    </row>
    <row r="79">
      <c r="A79" s="35"/>
      <c r="B79" s="35"/>
      <c r="C79" s="20"/>
      <c r="D79" s="20"/>
      <c r="E79" s="59"/>
      <c r="F79" s="51" t="s">
        <v>209</v>
      </c>
      <c r="G79" s="58" t="s">
        <v>226</v>
      </c>
      <c r="H79" s="61" t="s">
        <v>227</v>
      </c>
      <c r="I79" s="55" t="s">
        <v>228</v>
      </c>
      <c r="J79" s="51" t="s">
        <v>154</v>
      </c>
      <c r="K79" s="58" t="s">
        <v>229</v>
      </c>
      <c r="L79" s="61" t="s">
        <v>230</v>
      </c>
      <c r="M79" s="55" t="s">
        <v>27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1"/>
    </row>
    <row r="80">
      <c r="A80" s="35"/>
      <c r="B80" s="35"/>
      <c r="C80" s="20" t="s">
        <v>231</v>
      </c>
      <c r="D80" s="54"/>
      <c r="E80" s="50" t="s">
        <v>27</v>
      </c>
      <c r="F80" s="20" t="s">
        <v>232</v>
      </c>
      <c r="G80" s="66"/>
      <c r="H80" s="20"/>
      <c r="I80" s="20"/>
      <c r="J80" s="20"/>
      <c r="K80" s="56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1"/>
    </row>
    <row r="81">
      <c r="A81" s="35"/>
      <c r="B81" s="35"/>
      <c r="C81" s="20"/>
      <c r="D81" s="51" t="s">
        <v>233</v>
      </c>
      <c r="E81" s="52" t="s">
        <v>234</v>
      </c>
      <c r="F81" s="54"/>
      <c r="G81" s="55" t="s">
        <v>27</v>
      </c>
      <c r="H81" s="20"/>
      <c r="I81" s="20"/>
      <c r="J81" s="20"/>
      <c r="K81" s="56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1"/>
    </row>
    <row r="82">
      <c r="A82" s="35"/>
      <c r="B82" s="35"/>
      <c r="C82" s="20" t="s">
        <v>235</v>
      </c>
      <c r="D82" s="54"/>
      <c r="E82" s="55" t="s">
        <v>189</v>
      </c>
      <c r="F82" s="20"/>
      <c r="G82" s="20"/>
      <c r="H82" s="20"/>
      <c r="I82" s="20"/>
      <c r="J82" s="20"/>
      <c r="K82" s="66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1"/>
    </row>
    <row r="83">
      <c r="A83" s="35"/>
      <c r="B83" s="35"/>
      <c r="C83" s="20"/>
      <c r="D83" s="20"/>
      <c r="E83" s="20"/>
      <c r="F83" s="20"/>
      <c r="G83" s="20"/>
      <c r="H83" s="20"/>
      <c r="I83" s="38" t="s">
        <v>236</v>
      </c>
      <c r="J83" s="54"/>
      <c r="K83" s="55" t="s">
        <v>106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1"/>
    </row>
    <row r="84">
      <c r="A84" s="35"/>
      <c r="B84" s="35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1"/>
    </row>
    <row r="85">
      <c r="A85" s="35"/>
      <c r="B85" s="35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1"/>
    </row>
    <row r="86">
      <c r="A86" s="35"/>
      <c r="B86" s="35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1"/>
    </row>
    <row r="87">
      <c r="A87" s="35"/>
      <c r="B87" s="35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1"/>
    </row>
    <row r="88">
      <c r="A88" s="35"/>
      <c r="B88" s="35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1"/>
    </row>
    <row r="89">
      <c r="A89" s="35"/>
      <c r="B89" s="35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1"/>
    </row>
    <row r="90">
      <c r="A90" s="35"/>
      <c r="B90" s="35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1"/>
    </row>
    <row r="91">
      <c r="A91" s="35"/>
      <c r="B91" s="35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1"/>
    </row>
    <row r="92">
      <c r="A92" s="35"/>
      <c r="B92" s="35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1"/>
    </row>
    <row r="93">
      <c r="A93" s="35"/>
      <c r="B93" s="35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1"/>
    </row>
    <row r="94">
      <c r="A94" s="35"/>
      <c r="B94" s="35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1"/>
    </row>
    <row r="95">
      <c r="A95" s="35"/>
      <c r="B95" s="35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1"/>
    </row>
    <row r="96">
      <c r="A96" s="35"/>
      <c r="B96" s="35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1"/>
    </row>
    <row r="97">
      <c r="A97" s="35"/>
      <c r="B97" s="35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1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1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1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1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1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1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1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1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1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1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1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1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1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1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1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1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1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1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1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1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1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1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1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1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1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1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1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1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1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1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1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1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1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1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1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1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1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1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1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1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1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1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1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1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1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1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1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1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1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1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1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1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1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1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1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1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1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1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1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1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1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1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1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1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1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1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1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1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1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1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1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1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1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1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1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1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1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1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1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1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1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1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1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1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1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1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1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1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1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1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1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1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1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1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1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1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1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1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1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1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1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1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1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1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1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1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1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1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1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1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1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1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1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1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1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1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1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1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1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1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1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1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1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1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1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1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1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1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1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1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1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1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1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1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1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1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1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1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1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1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1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1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1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1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1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1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1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1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1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1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1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1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1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1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1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1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1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1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1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1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1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1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1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1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1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1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1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1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1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1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1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1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1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1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1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1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1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1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1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1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1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1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1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1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1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1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1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1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1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1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1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1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1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1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1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1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1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1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1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1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1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1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1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1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1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1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1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1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1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1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1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1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1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1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1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1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1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1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1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1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1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1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1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1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1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1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1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1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1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1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1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1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1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1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1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1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1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1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1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1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1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1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1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1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1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1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1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1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1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1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1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1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1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1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1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1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1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1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1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1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1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1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1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1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1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1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1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1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1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1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1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1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1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1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1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1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1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1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1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1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1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1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1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1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1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1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1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1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1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1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1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1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1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1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1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1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1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1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1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1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1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1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1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1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1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1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1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1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1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1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1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1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1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1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1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1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1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1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1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1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1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1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1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1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1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1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1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1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1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1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1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1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1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1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1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1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1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1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1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1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1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1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1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1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1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1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1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1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1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1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1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1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1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1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1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1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1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1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1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1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1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1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1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1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1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1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1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1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1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1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1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1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1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1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1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1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1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1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1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1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1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1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1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1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1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1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1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1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1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1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1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1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1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1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1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1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1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1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1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1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1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1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1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1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1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1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1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1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1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1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1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1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1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1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1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1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1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1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1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1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1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1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1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1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1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1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1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1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1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1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1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1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1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1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1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1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1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1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1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1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1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1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1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1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1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1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1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1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1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1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1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1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1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1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1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1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1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1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1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1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1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1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1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1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1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1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1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1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1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1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1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1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1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1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1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1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1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1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1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1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1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1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1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1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1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1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1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1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1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1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1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1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1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1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1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1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1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1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1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1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1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1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1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1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1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1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1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1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1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1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1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1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1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1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1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1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1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1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1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1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1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1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1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1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1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1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1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1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1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1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1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1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1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1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1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1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1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1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1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1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1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1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1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1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1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1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1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1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1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1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1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1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1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1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1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1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1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1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1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1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1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1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1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1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1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1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1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1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1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1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1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1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1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1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1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1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1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1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1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1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1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1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1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1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1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1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1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1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1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1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1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1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1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1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1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1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1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1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1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1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1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1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1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1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1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1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1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1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1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1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1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1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1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1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1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1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1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1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1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1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1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1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1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1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1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1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1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1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1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1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1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1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1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1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1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1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1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1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1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1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1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1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1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1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1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1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1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1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1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1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1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1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1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1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1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1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1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1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1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1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1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1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1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1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1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1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1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1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1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1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1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1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1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1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1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1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1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1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1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1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1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1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1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1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1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1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1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1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1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1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1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1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1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1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1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1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1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1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1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1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1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1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1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1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1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1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1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1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1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1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1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1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1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1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1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1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1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1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1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1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1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1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1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1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1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1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1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1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1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1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1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1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1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1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1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1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1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1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1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1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1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1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1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1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1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1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1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1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1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1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1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1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1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1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1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1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1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1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1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1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1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1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1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1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1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1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1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1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1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1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1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1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1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1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1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1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1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1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1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1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1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1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1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1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1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1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1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1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1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1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1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1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1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1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1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1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1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1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1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1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1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1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1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1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1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1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1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1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1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1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1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1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1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1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1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1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1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1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1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1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1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1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1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1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1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1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1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1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1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1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1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1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1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1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1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1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1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1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1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1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1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1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1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1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1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1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1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1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1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1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1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1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1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1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1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1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1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1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1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1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1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1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1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1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1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1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1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1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1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1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1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1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1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1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1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1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1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1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1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1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1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1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1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1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1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1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1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1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1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1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1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1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1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1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1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1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1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1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1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1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1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1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1"/>
    </row>
    <row r="1000">
      <c r="A1000" s="20"/>
      <c r="B1000" s="3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1"/>
    </row>
    <row r="1001">
      <c r="A1001" s="20"/>
      <c r="B1001" s="32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1"/>
    </row>
    <row r="1002">
      <c r="A1002" s="20"/>
      <c r="B1002" s="32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1"/>
    </row>
  </sheetData>
  <mergeCells count="1">
    <mergeCell ref="A4:D4"/>
  </mergeCells>
  <drawing r:id="rId1"/>
</worksheet>
</file>