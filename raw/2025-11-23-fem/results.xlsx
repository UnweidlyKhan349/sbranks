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RR Brackets &amp; Scores" sheetId="2" r:id="rId6"/>
    <sheet state="visible" name="RR Matchups" sheetId="3" r:id="rId7"/>
    <sheet state="visible" name="DE Ranking" sheetId="4" r:id="rId8"/>
    <sheet state="visible" name="DE Brackets" sheetId="5" r:id="rId9"/>
    <sheet state="visible" name="RR Overall PPG" sheetId="6" r:id="rId10"/>
    <sheet state="visible" name="RR NegPG" sheetId="7" r:id="rId11"/>
    <sheet state="visible" name="RR Bio PPG" sheetId="8" r:id="rId12"/>
    <sheet state="visible" name="RR Chem PPG" sheetId="9" r:id="rId13"/>
    <sheet state="visible" name="RR Physics PPG" sheetId="10" r:id="rId14"/>
    <sheet state="visible" name="RR Math PPG" sheetId="11" r:id="rId15"/>
    <sheet state="visible" name="RR ESS PPG" sheetId="12" r:id="rId16"/>
  </sheets>
  <definedNames>
    <definedName hidden="1" localSheetId="3" name="_xlnm._FilterDatabase">'DE Ranking'!$A$1:$F$48</definedName>
  </definedNames>
  <calcPr/>
</workbook>
</file>

<file path=xl/sharedStrings.xml><?xml version="1.0" encoding="utf-8"?>
<sst xmlns="http://schemas.openxmlformats.org/spreadsheetml/2006/main" count="2192" uniqueCount="421">
  <si>
    <t>Team</t>
  </si>
  <si>
    <t>Advai</t>
  </si>
  <si>
    <t>Wins</t>
  </si>
  <si>
    <t>Game Points</t>
  </si>
  <si>
    <t>Win Score</t>
  </si>
  <si>
    <t>Total Points</t>
  </si>
  <si>
    <t>Seed #</t>
  </si>
  <si>
    <t>North Hollywood 1</t>
  </si>
  <si>
    <t>Lynbrook 1</t>
  </si>
  <si>
    <t>TIME</t>
  </si>
  <si>
    <t>School of Geology</t>
  </si>
  <si>
    <t>Jericho High School</t>
  </si>
  <si>
    <t>Aromatase</t>
  </si>
  <si>
    <t>BISV</t>
  </si>
  <si>
    <t>WWPS 1</t>
  </si>
  <si>
    <t>Lubbock High School</t>
  </si>
  <si>
    <t>ROUND</t>
  </si>
  <si>
    <t>BASIS Chandler 1</t>
  </si>
  <si>
    <t>ASFA</t>
  </si>
  <si>
    <t>VMATHS</t>
  </si>
  <si>
    <t>Balbiani</t>
  </si>
  <si>
    <t>Iolani School 1</t>
  </si>
  <si>
    <t>Cassini</t>
  </si>
  <si>
    <t>Dedekind</t>
  </si>
  <si>
    <t>8:00 - 8:20 a.m. PDT</t>
  </si>
  <si>
    <t>Einstein</t>
  </si>
  <si>
    <t>Thomas Jefferson 1</t>
  </si>
  <si>
    <t xml:space="preserve"> OPENING CEREMONY</t>
  </si>
  <si>
    <t xml:space="preserve">Fairy	</t>
  </si>
  <si>
    <t>8:20 - 9:00 a.m. PDT</t>
  </si>
  <si>
    <t>Orange County School of the Arts</t>
  </si>
  <si>
    <t xml:space="preserve"> Round Robin 1</t>
  </si>
  <si>
    <t>Galena</t>
  </si>
  <si>
    <t>Arcadia High School 1</t>
  </si>
  <si>
    <t>9:20 - 9:50 a.m. PDT</t>
  </si>
  <si>
    <t>Heartwood</t>
  </si>
  <si>
    <t>North Hollywood 2</t>
  </si>
  <si>
    <t xml:space="preserve"> Round Robin 2</t>
  </si>
  <si>
    <t>Losses</t>
  </si>
  <si>
    <t>Team 1</t>
  </si>
  <si>
    <t>9:50 - 10:20 a.m. PDT</t>
  </si>
  <si>
    <t>Team 2</t>
  </si>
  <si>
    <t>Baton Rouge Magnet High School</t>
  </si>
  <si>
    <t>Room</t>
  </si>
  <si>
    <t xml:space="preserve"> Round Robin 3</t>
  </si>
  <si>
    <t>Points</t>
  </si>
  <si>
    <t>10:45 - 11:15 a.m. PDT</t>
  </si>
  <si>
    <t xml:space="preserve"> Round Robin 4</t>
  </si>
  <si>
    <t>Chattahoochee High School</t>
  </si>
  <si>
    <t>11:15 - 11:45 a.m. PDT</t>
  </si>
  <si>
    <t>A1</t>
  </si>
  <si>
    <t xml:space="preserve"> Round Robin 5</t>
  </si>
  <si>
    <t>WWPS 2</t>
  </si>
  <si>
    <t>Round 1</t>
  </si>
  <si>
    <t>11:45 - ??:??p.m. PDT</t>
  </si>
  <si>
    <t xml:space="preserve"> LUNCH BREAK</t>
  </si>
  <si>
    <t>A2</t>
  </si>
  <si>
    <t>Lynbrook 2</t>
  </si>
  <si>
    <t>Aromatase-1</t>
  </si>
  <si>
    <t>1:00 - 1:40 p.m. PDT</t>
  </si>
  <si>
    <t>B1</t>
  </si>
  <si>
    <t>B2</t>
  </si>
  <si>
    <t>Balbiani-1</t>
  </si>
  <si>
    <t>C1</t>
  </si>
  <si>
    <t xml:space="preserve"> Double Elimination 1 </t>
  </si>
  <si>
    <t>C2</t>
  </si>
  <si>
    <t>Cassini-1</t>
  </si>
  <si>
    <t>D1</t>
  </si>
  <si>
    <t>D2</t>
  </si>
  <si>
    <t>Hunter College High School</t>
  </si>
  <si>
    <t>Dedekind-1</t>
  </si>
  <si>
    <t>E1</t>
  </si>
  <si>
    <t>E2</t>
  </si>
  <si>
    <t>Einstein-1</t>
  </si>
  <si>
    <t>F1</t>
  </si>
  <si>
    <t>F2</t>
  </si>
  <si>
    <t>Fairy	-1</t>
  </si>
  <si>
    <t xml:space="preserve">BASIS Chandler 2 </t>
  </si>
  <si>
    <t>G1</t>
  </si>
  <si>
    <t>1:40 - 2:10 p.m. PDT</t>
  </si>
  <si>
    <t>G2</t>
  </si>
  <si>
    <t>Galena-1</t>
  </si>
  <si>
    <t>H1</t>
  </si>
  <si>
    <t>Iolani School 2</t>
  </si>
  <si>
    <t>H2</t>
  </si>
  <si>
    <t xml:space="preserve"> Double Elimination 2 </t>
  </si>
  <si>
    <t>Heartwood-1</t>
  </si>
  <si>
    <t>Lexington High School</t>
  </si>
  <si>
    <t>Harvard Westlake</t>
  </si>
  <si>
    <t>A3</t>
  </si>
  <si>
    <t>2:10 - 2:45 p.m. PDT</t>
  </si>
  <si>
    <t>Jericho High School 2</t>
  </si>
  <si>
    <t xml:space="preserve">A4 </t>
  </si>
  <si>
    <t xml:space="preserve"> Double Elimination 3 </t>
  </si>
  <si>
    <t>Mira Loma High School</t>
  </si>
  <si>
    <t>Aromatase-2</t>
  </si>
  <si>
    <t>B3</t>
  </si>
  <si>
    <t>Madison West</t>
  </si>
  <si>
    <t>2:45 - 3:20 p.m. PDT</t>
  </si>
  <si>
    <t xml:space="preserve">B4 </t>
  </si>
  <si>
    <t>Balbiani-2</t>
  </si>
  <si>
    <t>C3</t>
  </si>
  <si>
    <t xml:space="preserve">C4 </t>
  </si>
  <si>
    <t>Cassini-2</t>
  </si>
  <si>
    <t>The Frazer School</t>
  </si>
  <si>
    <t>D3</t>
  </si>
  <si>
    <t xml:space="preserve"> Double Elimination 4 </t>
  </si>
  <si>
    <t xml:space="preserve">D4 </t>
  </si>
  <si>
    <t>Dedekind-2</t>
  </si>
  <si>
    <t>E3</t>
  </si>
  <si>
    <t xml:space="preserve">E4 </t>
  </si>
  <si>
    <t>Einstein-2</t>
  </si>
  <si>
    <t>F3</t>
  </si>
  <si>
    <t xml:space="preserve">F4 </t>
  </si>
  <si>
    <t>Palo Alto</t>
  </si>
  <si>
    <t>Fairy	-2</t>
  </si>
  <si>
    <t>G3</t>
  </si>
  <si>
    <t xml:space="preserve">G4 </t>
  </si>
  <si>
    <t>Galena-2</t>
  </si>
  <si>
    <t>H3</t>
  </si>
  <si>
    <t xml:space="preserve">H4 </t>
  </si>
  <si>
    <t>Heartwood-2</t>
  </si>
  <si>
    <t>Plano West Senior High</t>
  </si>
  <si>
    <t>3:20 - 3:55 p.m. PDT</t>
  </si>
  <si>
    <t>A5</t>
  </si>
  <si>
    <t>A6</t>
  </si>
  <si>
    <t>Aromatase-3</t>
  </si>
  <si>
    <t>South Texas ISD Science Academy</t>
  </si>
  <si>
    <t>B5</t>
  </si>
  <si>
    <t xml:space="preserve"> Double Elimination 5 </t>
  </si>
  <si>
    <t>B6</t>
  </si>
  <si>
    <t>Balbiani-3</t>
  </si>
  <si>
    <t>C5</t>
  </si>
  <si>
    <t>C6</t>
  </si>
  <si>
    <t>Cassini-3</t>
  </si>
  <si>
    <t>D5</t>
  </si>
  <si>
    <t>Morgantown High School</t>
  </si>
  <si>
    <t>D6</t>
  </si>
  <si>
    <t>Dedekind-3</t>
  </si>
  <si>
    <t>E5</t>
  </si>
  <si>
    <t>E6</t>
  </si>
  <si>
    <t>Einstein-3</t>
  </si>
  <si>
    <t>F5</t>
  </si>
  <si>
    <t>F6</t>
  </si>
  <si>
    <t>Fairy	-3</t>
  </si>
  <si>
    <t>College Park High School</t>
  </si>
  <si>
    <t>G5</t>
  </si>
  <si>
    <t>3:55 - 4:30 p.m. PDT</t>
  </si>
  <si>
    <t>Collierville</t>
  </si>
  <si>
    <t xml:space="preserve"> Double Elimination 6 </t>
  </si>
  <si>
    <t>G6</t>
  </si>
  <si>
    <t>Galena 3</t>
  </si>
  <si>
    <t>Eastlake High School</t>
  </si>
  <si>
    <t>H5</t>
  </si>
  <si>
    <t>H6</t>
  </si>
  <si>
    <t>Heartwood 3</t>
  </si>
  <si>
    <t>Round 2</t>
  </si>
  <si>
    <t>Northwood High School</t>
  </si>
  <si>
    <t>4:30 - 5:05 p.m. PDT</t>
  </si>
  <si>
    <t>Arcadia High School 2</t>
  </si>
  <si>
    <t xml:space="preserve"> Double Elimination 7 </t>
  </si>
  <si>
    <t>Westview High School 1</t>
  </si>
  <si>
    <t>Thomas Jefferson 2</t>
  </si>
  <si>
    <t>5:05 - 5:40 p.m. PDT</t>
  </si>
  <si>
    <t>Punahou School</t>
  </si>
  <si>
    <t xml:space="preserve"> Double Elimination 8 </t>
  </si>
  <si>
    <t>Mira Loma High School 2</t>
  </si>
  <si>
    <t>Westview High School 2</t>
  </si>
  <si>
    <t>5:40 - 6:15 p.m. PDT</t>
  </si>
  <si>
    <t>Bridgeland High School</t>
  </si>
  <si>
    <t xml:space="preserve"> Double Elimination 9 (if necessary)</t>
  </si>
  <si>
    <t>Palm Desert High School</t>
  </si>
  <si>
    <t>Irvington High School</t>
  </si>
  <si>
    <t>Bridgeland High School 2</t>
  </si>
  <si>
    <t>Cupertino High School</t>
  </si>
  <si>
    <t>Round 3</t>
  </si>
  <si>
    <t>6:30 - 6:45 p.m. PDT</t>
  </si>
  <si>
    <t xml:space="preserve"> CLOSING CEREMONY</t>
  </si>
  <si>
    <t>Round 4</t>
  </si>
  <si>
    <t>Round 5</t>
  </si>
  <si>
    <t>DE 1</t>
  </si>
  <si>
    <t>BYE</t>
  </si>
  <si>
    <t>DE 2</t>
  </si>
  <si>
    <t>DE 3</t>
  </si>
  <si>
    <t>DE 4</t>
  </si>
  <si>
    <t>DE 5</t>
  </si>
  <si>
    <t>DE 6</t>
  </si>
  <si>
    <t>DE 7</t>
  </si>
  <si>
    <t>DE 8, 9</t>
  </si>
  <si>
    <t>Competitor</t>
  </si>
  <si>
    <t>Overall PP20TUH</t>
  </si>
  <si>
    <t>NegP20TUH</t>
  </si>
  <si>
    <t>Bio PP4TUH</t>
  </si>
  <si>
    <t>Stage 1</t>
  </si>
  <si>
    <t>Chem PP4TUH</t>
  </si>
  <si>
    <t>Phys PP4TUH</t>
  </si>
  <si>
    <t>Math PP4TUH</t>
  </si>
  <si>
    <t>ESS PP4TUH</t>
  </si>
  <si>
    <t>b1 kian d</t>
  </si>
  <si>
    <t>a1 suzuko o</t>
  </si>
  <si>
    <t>c1 sohil r</t>
  </si>
  <si>
    <t>e1 akhil b</t>
  </si>
  <si>
    <t>f5 ferris l</t>
  </si>
  <si>
    <t>e2 chris w</t>
  </si>
  <si>
    <t>g5 andrew w</t>
  </si>
  <si>
    <t>d1 edwin g</t>
  </si>
  <si>
    <t>g1 nihar b</t>
  </si>
  <si>
    <t>d5 shaun i</t>
  </si>
  <si>
    <t>g2 ethan w</t>
  </si>
  <si>
    <t>e3 abhinav krishna s</t>
  </si>
  <si>
    <t>f1 sanjay o</t>
  </si>
  <si>
    <t>e4 adrian b</t>
  </si>
  <si>
    <t>a4 shannon i</t>
  </si>
  <si>
    <t>d4 troy g</t>
  </si>
  <si>
    <t>Stage 2</t>
  </si>
  <si>
    <t>d2 Liran Z</t>
  </si>
  <si>
    <t>a6 kevin w</t>
  </si>
  <si>
    <t>c4 shubam v</t>
  </si>
  <si>
    <t>h1 lucas q</t>
  </si>
  <si>
    <t>b4 allen f</t>
  </si>
  <si>
    <t>d2 Helen W</t>
  </si>
  <si>
    <t>h5 abhinav a</t>
  </si>
  <si>
    <t>h3 sola m</t>
  </si>
  <si>
    <t>f2 mary p</t>
  </si>
  <si>
    <t>g2 paxton l</t>
  </si>
  <si>
    <t>d2 Ryan T</t>
  </si>
  <si>
    <t>f3 camille p</t>
  </si>
  <si>
    <t>h2 hrishi b</t>
  </si>
  <si>
    <t>c5 jayson z</t>
  </si>
  <si>
    <t>f4 aqil t</t>
  </si>
  <si>
    <t>a3 ishan a</t>
  </si>
  <si>
    <t>Stage 6</t>
  </si>
  <si>
    <t>g1 varyan j</t>
  </si>
  <si>
    <t>f2 ziang z</t>
  </si>
  <si>
    <t>d5 varun g</t>
  </si>
  <si>
    <t>g3 shreshta p</t>
  </si>
  <si>
    <t>a4 aryan s</t>
  </si>
  <si>
    <t>h3 min s</t>
  </si>
  <si>
    <t>H4 Larry D</t>
  </si>
  <si>
    <t>e6 naoto h</t>
  </si>
  <si>
    <t>c1 philip k</t>
  </si>
  <si>
    <t>Stage 4</t>
  </si>
  <si>
    <t>b2 kensuke o</t>
  </si>
  <si>
    <t>h1 larry z</t>
  </si>
  <si>
    <t>b4 william j</t>
  </si>
  <si>
    <t>f1 arjun d</t>
  </si>
  <si>
    <t>g3 vincent q</t>
  </si>
  <si>
    <t>d3 min s</t>
  </si>
  <si>
    <t>g1 praneel a</t>
  </si>
  <si>
    <t>A4</t>
  </si>
  <si>
    <t>f4 seonho c</t>
  </si>
  <si>
    <t>H4 sunnyguppi</t>
  </si>
  <si>
    <t>Stage 5</t>
  </si>
  <si>
    <t>h2 sophia g</t>
  </si>
  <si>
    <t>b2 jake r</t>
  </si>
  <si>
    <t>b3 vincent q</t>
  </si>
  <si>
    <t>Aracadia 1</t>
  </si>
  <si>
    <t>h5 samuel d</t>
  </si>
  <si>
    <t>e5 alex l</t>
  </si>
  <si>
    <t>Stage 3</t>
  </si>
  <si>
    <t>f6 Darsh T</t>
  </si>
  <si>
    <t>c3 joshua h</t>
  </si>
  <si>
    <t>f3 gabe l</t>
  </si>
  <si>
    <t>WWPS</t>
  </si>
  <si>
    <t>e5 rohan a</t>
  </si>
  <si>
    <t>b3 robert y</t>
  </si>
  <si>
    <t>g4 samy e</t>
  </si>
  <si>
    <t>h5 dennis j</t>
  </si>
  <si>
    <t>c1 sophia f</t>
  </si>
  <si>
    <t>c5 daniel w</t>
  </si>
  <si>
    <t>a1 patrick l</t>
  </si>
  <si>
    <t>b6 saahil d</t>
  </si>
  <si>
    <t>a4 henry k</t>
  </si>
  <si>
    <t>c1 matthew y</t>
  </si>
  <si>
    <t>a1 connor z</t>
  </si>
  <si>
    <t>f3 christine c</t>
  </si>
  <si>
    <t>g4 shaleen b</t>
  </si>
  <si>
    <t>d6 Ayan D</t>
  </si>
  <si>
    <t>b1 rohan g</t>
  </si>
  <si>
    <t>h2 nathan l</t>
  </si>
  <si>
    <t>e6 alex h</t>
  </si>
  <si>
    <t>d3 vittal k</t>
  </si>
  <si>
    <t>c3 bowen l</t>
  </si>
  <si>
    <t>Stage 7</t>
  </si>
  <si>
    <t>g2 kevin w</t>
  </si>
  <si>
    <t>g6 travis d</t>
  </si>
  <si>
    <t>H4 William T</t>
  </si>
  <si>
    <t>a6 christopher c</t>
  </si>
  <si>
    <t>f6 Jai S</t>
  </si>
  <si>
    <t>Grand Finals Stage</t>
  </si>
  <si>
    <t>c2 thaman v</t>
  </si>
  <si>
    <t>a5 Sudeep S</t>
  </si>
  <si>
    <t>f4 raaghav n</t>
  </si>
  <si>
    <t>d1 eric l</t>
  </si>
  <si>
    <t>Winner Winner Chicken Dinner</t>
  </si>
  <si>
    <t>D3 anthony c</t>
  </si>
  <si>
    <t>a3 cherry b</t>
  </si>
  <si>
    <t>Stage 8</t>
  </si>
  <si>
    <t>b6 yash n</t>
  </si>
  <si>
    <t>a6 anika j</t>
  </si>
  <si>
    <t>g4 ved p</t>
  </si>
  <si>
    <t>a1 nathaniel o</t>
  </si>
  <si>
    <t>daniel y</t>
  </si>
  <si>
    <t>h4 larry d</t>
  </si>
  <si>
    <t>f4 lishan p</t>
  </si>
  <si>
    <t>h1 aaron c</t>
  </si>
  <si>
    <t>c6 rosa l</t>
  </si>
  <si>
    <t>b2 charles h</t>
  </si>
  <si>
    <t>d5 uddip k</t>
  </si>
  <si>
    <t>f3 andres f</t>
  </si>
  <si>
    <t>e5 bryant y</t>
  </si>
  <si>
    <t>e4 osric d</t>
  </si>
  <si>
    <t>a5 kapilan k</t>
  </si>
  <si>
    <t>b3 ryan w</t>
  </si>
  <si>
    <t>a3 tahmeed s</t>
  </si>
  <si>
    <t>d4 donovan b</t>
  </si>
  <si>
    <t>ethan z</t>
  </si>
  <si>
    <t>B6 Shivam C</t>
  </si>
  <si>
    <t>g4 ilia m</t>
  </si>
  <si>
    <t>c2 kunwoo y</t>
  </si>
  <si>
    <t>f6 Austin T</t>
  </si>
  <si>
    <t>e6 hong jin k</t>
  </si>
  <si>
    <t>e3 jeeva k</t>
  </si>
  <si>
    <t>B6 Saamik A</t>
  </si>
  <si>
    <t>d4 mike d</t>
  </si>
  <si>
    <t>d6 Srikar Karri</t>
  </si>
  <si>
    <t>a4 elena h</t>
  </si>
  <si>
    <t>d1 jaganesh r</t>
  </si>
  <si>
    <t>e3 bryan n</t>
  </si>
  <si>
    <t>g5 jacob g</t>
  </si>
  <si>
    <t>h6 aarav g</t>
  </si>
  <si>
    <t>f2 bhaskar m</t>
  </si>
  <si>
    <t>e4 aditya d</t>
  </si>
  <si>
    <t>Caden Y</t>
  </si>
  <si>
    <t>h6 Aariv A.</t>
  </si>
  <si>
    <t>c3 olivia f</t>
  </si>
  <si>
    <t>e1 albert c</t>
  </si>
  <si>
    <t>D1 Tovy G.</t>
  </si>
  <si>
    <t>e5 anmy t</t>
  </si>
  <si>
    <t>f1 gyan c</t>
  </si>
  <si>
    <t>d3 advait a</t>
  </si>
  <si>
    <t>a6 jamie w</t>
  </si>
  <si>
    <t>g3 carson p</t>
  </si>
  <si>
    <t>g6 luke i</t>
  </si>
  <si>
    <t>d2 Mahdi K</t>
  </si>
  <si>
    <t>B5 Yatharth M</t>
  </si>
  <si>
    <t>b5 Samuel H</t>
  </si>
  <si>
    <t>g5 sayan s</t>
  </si>
  <si>
    <t>H6 Gabriella L</t>
  </si>
  <si>
    <t>a4 armaan d</t>
  </si>
  <si>
    <t>f3 benjamin m</t>
  </si>
  <si>
    <t>c6 elaine c</t>
  </si>
  <si>
    <t>d4 Lisa c</t>
  </si>
  <si>
    <t>c2 avan g</t>
  </si>
  <si>
    <t>a3 jacob l</t>
  </si>
  <si>
    <t>b4 juyang l</t>
  </si>
  <si>
    <t>g4 aarnav p</t>
  </si>
  <si>
    <t>c4 shaan p</t>
  </si>
  <si>
    <t>f1 monish s</t>
  </si>
  <si>
    <t>c4 saketh k</t>
  </si>
  <si>
    <t>c3 audrey p</t>
  </si>
  <si>
    <t>g6 kainoa t</t>
  </si>
  <si>
    <t>f6 Gurucharan C</t>
  </si>
  <si>
    <t>e4 santiago o</t>
  </si>
  <si>
    <t>b5 Siddu J</t>
  </si>
  <si>
    <t>h2 rohan b</t>
  </si>
  <si>
    <t>g3 ben d</t>
  </si>
  <si>
    <t>b2 minghao g</t>
  </si>
  <si>
    <t>f1 aarush p</t>
  </si>
  <si>
    <t>e1 advik s</t>
  </si>
  <si>
    <t>h6 abhiram k</t>
  </si>
  <si>
    <t>a5 rohith g</t>
  </si>
  <si>
    <t>g3 sidh k</t>
  </si>
  <si>
    <t>b3 kush g</t>
  </si>
  <si>
    <t>c6 anya s</t>
  </si>
  <si>
    <t>e6 peter y</t>
  </si>
  <si>
    <t>c6 jaanya a</t>
  </si>
  <si>
    <t>h1 zanda z</t>
  </si>
  <si>
    <t>h3 haru g</t>
  </si>
  <si>
    <t>d1 Isabella M</t>
  </si>
  <si>
    <t>f5 alli wang</t>
  </si>
  <si>
    <t>d5 marty h</t>
  </si>
  <si>
    <t>e1 skyler b</t>
  </si>
  <si>
    <t>h3 daniel y</t>
  </si>
  <si>
    <t>c2 abhay a</t>
  </si>
  <si>
    <t>f5 decong z</t>
  </si>
  <si>
    <t>d4 Arman T</t>
  </si>
  <si>
    <t>B5 Prachi A</t>
  </si>
  <si>
    <t>g6 minh n</t>
  </si>
  <si>
    <t>b6 Neal Kedia</t>
  </si>
  <si>
    <t>h5 akhil m</t>
  </si>
  <si>
    <t>b4 simon z</t>
  </si>
  <si>
    <t>c6 eunho n</t>
  </si>
  <si>
    <t>e3 krish s</t>
  </si>
  <si>
    <t>D3 Lisa X</t>
  </si>
  <si>
    <t>g2 henry z</t>
  </si>
  <si>
    <t>c4 andrew z</t>
  </si>
  <si>
    <t>f2 rishabh g</t>
  </si>
  <si>
    <t>a5 john b k</t>
  </si>
  <si>
    <t>Aaqil s</t>
  </si>
  <si>
    <t>c5 alex z</t>
  </si>
  <si>
    <t>D3 Sanjana B</t>
  </si>
  <si>
    <t>d4 Jessie C</t>
  </si>
  <si>
    <t>d6 Kaylee T</t>
  </si>
  <si>
    <t>g5 jonathan y</t>
  </si>
  <si>
    <t>e5 eli l</t>
  </si>
  <si>
    <t>f5 alli w</t>
  </si>
  <si>
    <t>f5 kevin c</t>
  </si>
  <si>
    <t>g2 johnson p</t>
  </si>
  <si>
    <t>g5 jeremy y</t>
  </si>
  <si>
    <t>h4 gloria h</t>
  </si>
  <si>
    <t>h6 Arya.R</t>
  </si>
  <si>
    <t>W</t>
  </si>
  <si>
    <t>B4</t>
  </si>
  <si>
    <t>C4</t>
  </si>
  <si>
    <t>D4</t>
  </si>
  <si>
    <t>E4</t>
  </si>
  <si>
    <t>Fairy</t>
  </si>
  <si>
    <t>F4</t>
  </si>
  <si>
    <t>G4</t>
  </si>
  <si>
    <t>H4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</si>
</sst>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000000"/>
      <name val="EB Garamond"/>
    </font>
    <font/>
    <font>
      <color theme="1"/>
      <name val="Arial"/>
    </font>
    <font>
      <sz val="10.0"/>
      <color rgb="FF000000"/>
      <name val="EB Garamond"/>
    </font>
    <font>
      <b/>
      <sz val="18.0"/>
      <color theme="1"/>
      <name val="Source Sans Pro"/>
    </font>
    <font>
      <b/>
      <sz val="16.0"/>
      <color theme="1"/>
      <name val="Calibri"/>
    </font>
    <font>
      <sz val="14.0"/>
      <color theme="1"/>
      <name val="Source Sans Pro"/>
    </font>
    <font>
      <b/>
      <sz val="14.0"/>
      <color theme="1"/>
      <name val="Source Sans Pro"/>
    </font>
    <font>
      <color theme="1"/>
      <name val="Calibri"/>
    </font>
    <font>
      <sz val="10.0"/>
      <color theme="1"/>
      <name val="EB Garamond"/>
    </font>
    <font>
      <b/>
      <sz val="12.0"/>
      <color theme="1"/>
      <name val="Calibri"/>
    </font>
    <font>
      <b/>
      <color theme="1"/>
      <name val="EB Garamond"/>
    </font>
    <font>
      <color theme="1"/>
      <name val="EB Garamond"/>
    </font>
    <font>
      <b/>
      <color theme="1"/>
      <name val="Arial"/>
    </font>
    <font>
      <sz val="11.0"/>
      <color theme="1"/>
      <name val="EB Garamond"/>
    </font>
  </fonts>
  <fills count="2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</fills>
  <borders count="61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351C75"/>
      </right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B7B7B7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B7B7B7"/>
      </right>
      <top style="thick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000000"/>
      </top>
      <bottom style="medium">
        <color rgb="FF000000"/>
      </bottom>
    </border>
    <border>
      <left style="thin">
        <color rgb="FFB7B7B7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FFFFFF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FFFFFF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000000"/>
      </right>
      <bottom style="thin">
        <color rgb="FFB7B7B7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FFFFFF"/>
      </left>
      <right style="thin">
        <color rgb="FFFFFFFF"/>
      </right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n">
        <color rgb="FFB7B7B7"/>
      </righ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EFEFEF"/>
      </bottom>
    </border>
    <border>
      <bottom style="medium">
        <color rgb="FFEFEFEF"/>
      </bottom>
    </border>
    <border>
      <right style="thin">
        <color rgb="FFB7B7B7"/>
      </right>
      <bottom style="thin">
        <color rgb="FF000000"/>
      </bottom>
    </border>
    <border>
      <left style="thick">
        <color rgb="FF000000"/>
      </left>
      <top style="thin">
        <color rgb="FFB7B7B7"/>
      </top>
      <bottom style="thick">
        <color rgb="FF000000"/>
      </bottom>
    </border>
    <border>
      <right style="medium">
        <color rgb="FF000000"/>
      </right>
      <top style="thin">
        <color rgb="FFB7B7B7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right style="thin">
        <color rgb="FFB7B7B7"/>
      </right>
      <bottom style="thick">
        <color rgb="FF000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00000"/>
      </bottom>
    </border>
    <border>
      <left style="thin">
        <color rgb="FFB7B7B7"/>
      </left>
      <right style="thick">
        <color rgb="FF000000"/>
      </right>
      <top style="thin">
        <color rgb="FFB7B7B7"/>
      </top>
      <bottom style="thick">
        <color rgb="FF000000"/>
      </bottom>
    </border>
  </borders>
  <cellStyleXfs count="1">
    <xf borderId="0" fillId="0" fontId="0" numFmtId="0" applyAlignment="1" applyFont="1"/>
  </cellStyleXfs>
  <cellXfs count="2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Font="1"/>
    <xf borderId="2" fillId="0" fontId="3" numFmtId="0" xfId="0" applyBorder="1" applyFont="1"/>
    <xf borderId="0" fillId="2" fontId="4" numFmtId="0" xfId="0" applyAlignment="1" applyFill="1" applyFont="1">
      <alignment vertical="bottom"/>
    </xf>
    <xf borderId="0" fillId="3" fontId="1" numFmtId="0" xfId="0" applyAlignment="1" applyFill="1" applyFont="1">
      <alignment readingOrder="0"/>
    </xf>
    <xf borderId="3" fillId="0" fontId="4" numFmtId="0" xfId="0" applyAlignment="1" applyBorder="1" applyFont="1">
      <alignment vertical="bottom"/>
    </xf>
    <xf borderId="4" fillId="4" fontId="5" numFmtId="0" xfId="0" applyAlignment="1" applyBorder="1" applyFill="1" applyFont="1">
      <alignment horizontal="center"/>
    </xf>
    <xf borderId="5" fillId="4" fontId="6" numFmtId="0" xfId="0" applyAlignment="1" applyBorder="1" applyFill="1" applyFon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8" fillId="5" fontId="7" numFmtId="0" xfId="0" applyAlignment="1" applyBorder="1" applyFill="1" applyFont="1">
      <alignment horizontal="center" readingOrder="0" vertical="bottom"/>
    </xf>
    <xf borderId="9" fillId="0" fontId="3" numFmtId="0" xfId="0" applyBorder="1" applyFont="1"/>
    <xf borderId="10" fillId="0" fontId="3" numFmtId="0" xfId="0" applyBorder="1" applyFont="1"/>
    <xf borderId="11" fillId="4" fontId="6" numFmtId="0" xfId="0" applyAlignment="1" applyBorder="1" applyFill="1" applyFont="1">
      <alignment horizontal="center" vertical="bottom"/>
    </xf>
    <xf borderId="12" fillId="0" fontId="3" numFmtId="0" xfId="0" applyBorder="1" applyFont="1"/>
    <xf borderId="9" fillId="6" fontId="7" numFmtId="0" xfId="0" applyAlignment="1" applyBorder="1" applyFill="1" applyFont="1">
      <alignment horizontal="center" readingOrder="0" vertical="bottom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9" fillId="7" fontId="7" numFmtId="0" xfId="0" applyAlignment="1" applyBorder="1" applyFill="1" applyFont="1">
      <alignment horizontal="center" readingOrder="0" vertical="bottom"/>
    </xf>
    <xf borderId="17" fillId="0" fontId="3" numFmtId="0" xfId="0" applyBorder="1" applyFont="1"/>
    <xf borderId="18" fillId="0" fontId="3" numFmtId="0" xfId="0" applyBorder="1" applyFont="1"/>
    <xf borderId="9" fillId="8" fontId="7" numFmtId="0" xfId="0" applyAlignment="1" applyBorder="1" applyFill="1" applyFont="1">
      <alignment horizontal="center" readingOrder="0" vertical="bottom"/>
    </xf>
    <xf borderId="19" fillId="0" fontId="8" numFmtId="0" xfId="0" applyAlignment="1" applyBorder="1" applyFont="1">
      <alignment horizontal="center" readingOrder="0" vertical="bottom"/>
    </xf>
    <xf borderId="20" fillId="0" fontId="3" numFmtId="0" xfId="0" applyBorder="1" applyFont="1"/>
    <xf borderId="8" fillId="9" fontId="7" numFmtId="0" xfId="0" applyAlignment="1" applyBorder="1" applyFill="1" applyFont="1">
      <alignment horizontal="center" readingOrder="0" vertical="bottom"/>
    </xf>
    <xf borderId="0" fillId="0" fontId="9" numFmtId="0" xfId="0" applyAlignment="1" applyFont="1">
      <alignment vertical="bottom"/>
    </xf>
    <xf borderId="21" fillId="0" fontId="3" numFmtId="0" xfId="0" applyBorder="1" applyFont="1"/>
    <xf borderId="19" fillId="0" fontId="3" numFmtId="0" xfId="0" applyBorder="1" applyFont="1"/>
    <xf borderId="9" fillId="10" fontId="7" numFmtId="0" xfId="0" applyAlignment="1" applyBorder="1" applyFill="1" applyFont="1">
      <alignment horizontal="center" readingOrder="0" vertical="bottom"/>
    </xf>
    <xf borderId="0" fillId="0" fontId="8" numFmtId="0" xfId="0" applyAlignment="1" applyFont="1">
      <alignment vertical="bottom"/>
    </xf>
    <xf borderId="4" fillId="0" fontId="3" numFmtId="0" xfId="0" applyBorder="1" applyFont="1"/>
    <xf borderId="9" fillId="11" fontId="7" numFmtId="0" xfId="0" applyAlignment="1" applyBorder="1" applyFill="1" applyFont="1">
      <alignment horizontal="center" readingOrder="0" vertical="bottom"/>
    </xf>
    <xf borderId="22" fillId="4" fontId="2" numFmtId="0" xfId="0" applyAlignment="1" applyBorder="1" applyFill="1" applyFont="1">
      <alignment horizontal="center" readingOrder="0"/>
    </xf>
    <xf borderId="9" fillId="12" fontId="7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0" fillId="0" fontId="10" numFmtId="0" xfId="0" applyAlignment="1" applyFont="1">
      <alignment horizontal="center" vertical="bottom"/>
    </xf>
    <xf borderId="23" fillId="4" fontId="2" numFmtId="0" xfId="0" applyAlignment="1" applyBorder="1" applyFill="1" applyFont="1">
      <alignment horizontal="center" readingOrder="0"/>
    </xf>
    <xf borderId="19" fillId="0" fontId="10" numFmtId="0" xfId="0" applyAlignment="1" applyBorder="1" applyFont="1">
      <alignment horizontal="center" vertical="bottom"/>
    </xf>
    <xf borderId="24" fillId="4" fontId="2" numFmtId="0" xfId="0" applyAlignment="1" applyBorder="1" applyFill="1" applyFont="1">
      <alignment horizontal="center" readingOrder="0"/>
    </xf>
    <xf borderId="21" fillId="0" fontId="10" numFmtId="0" xfId="0" applyAlignment="1" applyBorder="1" applyFont="1">
      <alignment horizontal="center" vertical="bottom"/>
    </xf>
    <xf borderId="0" fillId="0" fontId="11" numFmtId="0" xfId="0" applyFont="1"/>
    <xf borderId="25" fillId="4" fontId="5" numFmtId="0" xfId="0" applyAlignment="1" applyBorder="1" applyFill="1" applyFont="1">
      <alignment readingOrder="0"/>
    </xf>
    <xf borderId="18" fillId="4" fontId="5" numFmtId="0" xfId="0" applyAlignment="1" applyBorder="1" applyFill="1" applyFont="1">
      <alignment readingOrder="0"/>
    </xf>
    <xf borderId="26" fillId="0" fontId="12" numFmtId="0" xfId="0" applyAlignment="1" applyBorder="1" applyFont="1">
      <alignment horizontal="center" readingOrder="0" vertical="center"/>
    </xf>
    <xf borderId="0" fillId="2" fontId="5" numFmtId="0" xfId="0" applyAlignment="1" applyFill="1" applyFont="1">
      <alignment horizontal="center"/>
    </xf>
    <xf borderId="27" fillId="0" fontId="10" numFmtId="0" xfId="0" applyAlignment="1" applyBorder="1" applyFont="1">
      <alignment horizontal="center" readingOrder="0" vertical="bottom"/>
    </xf>
    <xf borderId="28" fillId="2" fontId="5" numFmtId="0" xfId="0" applyAlignment="1" applyBorder="1" applyFill="1" applyFont="1">
      <alignment horizontal="center" readingOrder="0"/>
    </xf>
    <xf borderId="12" fillId="0" fontId="10" numFmtId="0" xfId="0" applyAlignment="1" applyBorder="1" applyFont="1">
      <alignment horizontal="center" readingOrder="0" vertical="bottom"/>
    </xf>
    <xf borderId="29" fillId="0" fontId="10" numFmtId="0" xfId="0" applyAlignment="1" applyBorder="1" applyFont="1">
      <alignment horizontal="center" readingOrder="0" vertical="bottom"/>
    </xf>
    <xf borderId="13" fillId="0" fontId="10" numFmtId="0" xfId="0" applyAlignment="1" applyBorder="1" applyFont="1">
      <alignment horizontal="center" readingOrder="0" vertical="bottom"/>
    </xf>
    <xf borderId="30" fillId="0" fontId="3" numFmtId="0" xfId="0" applyBorder="1" applyFont="1"/>
    <xf borderId="0" fillId="0" fontId="10" numFmtId="0" xfId="0" applyAlignment="1" applyFont="1">
      <alignment horizontal="center" readingOrder="0" vertical="bottom"/>
    </xf>
    <xf borderId="31" fillId="0" fontId="10" numFmtId="0" xfId="0" applyAlignment="1" applyBorder="1" applyFont="1">
      <alignment horizontal="center" readingOrder="0" vertical="bottom"/>
    </xf>
    <xf borderId="21" fillId="0" fontId="10" numFmtId="0" xfId="0" applyAlignment="1" applyBorder="1" applyFont="1">
      <alignment horizontal="center" readingOrder="0" vertical="bottom"/>
    </xf>
    <xf borderId="32" fillId="2" fontId="5" numFmtId="0" xfId="0" applyAlignment="1" applyBorder="1" applyFill="1" applyFont="1">
      <alignment horizontal="center"/>
    </xf>
    <xf borderId="19" fillId="0" fontId="10" numFmtId="0" xfId="0" applyAlignment="1" applyBorder="1" applyFont="1">
      <alignment horizontal="center" readingOrder="0" vertical="bottom"/>
    </xf>
    <xf borderId="33" fillId="5" fontId="5" numFmtId="0" xfId="0" applyAlignment="1" applyBorder="1" applyFill="1" applyFont="1">
      <alignment horizontal="center" readingOrder="0"/>
    </xf>
    <xf borderId="34" fillId="0" fontId="3" numFmtId="0" xfId="0" applyBorder="1" applyFont="1"/>
    <xf borderId="32" fillId="5" fontId="5" numFmtId="0" xfId="0" applyAlignment="1" applyBorder="1" applyFill="1" applyFont="1">
      <alignment horizontal="center"/>
    </xf>
    <xf borderId="35" fillId="0" fontId="8" numFmtId="0" xfId="0" applyAlignment="1" applyBorder="1" applyFont="1">
      <alignment vertical="bottom"/>
    </xf>
    <xf borderId="35" fillId="0" fontId="3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39" fillId="0" fontId="3" numFmtId="0" xfId="0" applyBorder="1" applyFont="1"/>
    <xf borderId="0" fillId="2" fontId="1" numFmtId="0" xfId="0" applyFill="1" applyFont="1"/>
    <xf borderId="40" fillId="0" fontId="5" numFmtId="0" xfId="0" applyBorder="1" applyFont="1"/>
    <xf borderId="41" fillId="0" fontId="5" numFmtId="0" xfId="0" applyBorder="1" applyFont="1"/>
    <xf borderId="42" fillId="0" fontId="5" numFmtId="0" xfId="0" applyBorder="1" applyFont="1"/>
    <xf borderId="18" fillId="4" fontId="2" numFmtId="0" xfId="0" applyAlignment="1" applyBorder="1" applyFill="1" applyFont="1">
      <alignment horizontal="center" readingOrder="0"/>
    </xf>
    <xf borderId="33" fillId="2" fontId="5" numFmtId="0" xfId="0" applyAlignment="1" applyBorder="1" applyFill="1" applyFont="1">
      <alignment horizontal="center" readingOrder="0"/>
    </xf>
    <xf borderId="43" fillId="13" fontId="13" numFmtId="0" xfId="0" applyAlignment="1" applyBorder="1" applyFill="1" applyFont="1">
      <alignment horizontal="center" vertical="bottom"/>
    </xf>
    <xf borderId="44" fillId="0" fontId="3" numFmtId="0" xfId="0" applyBorder="1" applyFont="1"/>
    <xf borderId="38" fillId="0" fontId="10" numFmtId="0" xfId="0" applyAlignment="1" applyBorder="1" applyFont="1">
      <alignment horizontal="center" readingOrder="0" vertical="bottom"/>
    </xf>
    <xf borderId="45" fillId="0" fontId="10" numFmtId="0" xfId="0" applyAlignment="1" applyBorder="1" applyFont="1">
      <alignment horizontal="center" readingOrder="0" vertical="bottom"/>
    </xf>
    <xf borderId="46" fillId="0" fontId="10" numFmtId="0" xfId="0" applyAlignment="1" applyBorder="1" applyFont="1">
      <alignment horizontal="center" readingOrder="0" vertical="bottom"/>
    </xf>
    <xf borderId="36" fillId="0" fontId="10" numFmtId="0" xfId="0" applyAlignment="1" applyBorder="1" applyFont="1">
      <alignment horizontal="center" readingOrder="0" vertical="bottom"/>
    </xf>
    <xf borderId="39" fillId="0" fontId="10" numFmtId="0" xfId="0" applyAlignment="1" applyBorder="1" applyFont="1">
      <alignment horizontal="center" readingOrder="0" vertical="bottom"/>
    </xf>
    <xf borderId="47" fillId="2" fontId="5" numFmtId="0" xfId="0" applyAlignment="1" applyBorder="1" applyFill="1" applyFont="1">
      <alignment horizontal="center"/>
    </xf>
    <xf borderId="48" fillId="0" fontId="3" numFmtId="0" xfId="0" applyBorder="1" applyFont="1"/>
    <xf borderId="0" fillId="13" fontId="14" numFmtId="0" xfId="0" applyAlignment="1" applyFill="1" applyFont="1">
      <alignment vertical="bottom"/>
    </xf>
    <xf borderId="38" fillId="4" fontId="14" numFmtId="0" xfId="0" applyAlignment="1" applyBorder="1" applyFill="1" applyFont="1">
      <alignment horizontal="center" readingOrder="0" vertical="bottom"/>
    </xf>
    <xf borderId="0" fillId="0" fontId="15" numFmtId="0" xfId="0" applyAlignment="1" applyFont="1">
      <alignment vertical="bottom"/>
    </xf>
    <xf borderId="38" fillId="13" fontId="14" numFmtId="0" xfId="0" applyAlignment="1" applyBorder="1" applyFill="1" applyFont="1">
      <alignment horizontal="center" readingOrder="0" vertical="bottom"/>
    </xf>
    <xf borderId="0" fillId="14" fontId="15" numFmtId="4" xfId="0" applyAlignment="1" applyFill="1" applyFont="1" applyNumberFormat="1">
      <alignment horizontal="center" vertical="bottom"/>
    </xf>
    <xf borderId="0" fillId="0" fontId="15" numFmtId="4" xfId="0" applyAlignment="1" applyFont="1" applyNumberFormat="1">
      <alignment horizontal="center" vertical="bottom"/>
    </xf>
    <xf borderId="0" fillId="13" fontId="13" numFmtId="0" xfId="0" applyAlignment="1" applyFill="1" applyFont="1">
      <alignment horizontal="center" vertical="bottom"/>
    </xf>
    <xf borderId="0" fillId="13" fontId="13" numFmtId="0" xfId="0" applyAlignment="1" applyFill="1" applyFont="1">
      <alignment horizontal="center" readingOrder="0" vertical="bottom"/>
    </xf>
    <xf borderId="0" fillId="0" fontId="4" numFmtId="0" xfId="0" applyAlignment="1" applyFont="1">
      <alignment vertical="bottom"/>
    </xf>
    <xf borderId="0" fillId="13" fontId="14" numFmtId="0" xfId="0" applyAlignment="1" applyFill="1" applyFont="1">
      <alignment horizontal="center" vertical="bottom"/>
    </xf>
    <xf borderId="0" fillId="14" fontId="4" numFmtId="4" xfId="0" applyAlignment="1" applyFill="1" applyFont="1" applyNumberFormat="1">
      <alignment horizontal="center" vertical="bottom"/>
    </xf>
    <xf borderId="0" fillId="0" fontId="4" numFmtId="4" xfId="0" applyAlignment="1" applyFont="1" applyNumberFormat="1">
      <alignment horizontal="center" vertical="bottom"/>
    </xf>
    <xf borderId="38" fillId="15" fontId="14" numFmtId="0" xfId="0" applyAlignment="1" applyBorder="1" applyFill="1" applyFont="1">
      <alignment horizontal="center" readingOrder="0" vertical="bottom"/>
    </xf>
    <xf borderId="5" fillId="13" fontId="14" numFmtId="0" xfId="0" applyAlignment="1" applyBorder="1" applyFill="1" applyFont="1">
      <alignment vertical="bottom"/>
    </xf>
    <xf borderId="19" fillId="13" fontId="14" numFmtId="0" xfId="0" applyAlignment="1" applyBorder="1" applyFill="1" applyFont="1">
      <alignment vertical="bottom"/>
    </xf>
    <xf borderId="0" fillId="13" fontId="14" numFmtId="1" xfId="0" applyAlignment="1" applyFill="1" applyFont="1" applyNumberFormat="1">
      <alignment vertical="bottom"/>
    </xf>
    <xf borderId="36" fillId="13" fontId="13" numFmtId="0" xfId="0" applyAlignment="1" applyBorder="1" applyFill="1" applyFont="1">
      <alignment horizontal="center" vertical="bottom"/>
    </xf>
    <xf borderId="38" fillId="13" fontId="14" numFmtId="0" xfId="0" applyAlignment="1" applyBorder="1" applyFill="1" applyFont="1">
      <alignment vertical="bottom"/>
    </xf>
    <xf borderId="38" fillId="16" fontId="14" numFmtId="0" xfId="0" applyAlignment="1" applyBorder="1" applyFill="1" applyFont="1">
      <alignment horizontal="center" readingOrder="0" vertical="bottom"/>
    </xf>
    <xf borderId="15" fillId="5" fontId="5" numFmtId="0" xfId="0" applyAlignment="1" applyBorder="1" applyFill="1" applyFont="1">
      <alignment horizontal="center"/>
    </xf>
    <xf borderId="19" fillId="15" fontId="14" numFmtId="0" xfId="0" applyAlignment="1" applyBorder="1" applyFill="1" applyFont="1">
      <alignment horizontal="center" readingOrder="0" vertical="bottom"/>
    </xf>
    <xf borderId="38" fillId="14" fontId="14" numFmtId="0" xfId="0" applyAlignment="1" applyBorder="1" applyFill="1" applyFont="1">
      <alignment horizontal="center" readingOrder="0" vertical="bottom"/>
    </xf>
    <xf borderId="49" fillId="17" fontId="14" numFmtId="0" xfId="0" applyAlignment="1" applyBorder="1" applyFill="1" applyFont="1">
      <alignment horizontal="center" vertical="bottom"/>
    </xf>
    <xf borderId="0" fillId="13" fontId="13" numFmtId="1" xfId="0" applyAlignment="1" applyFill="1" applyFont="1" applyNumberFormat="1">
      <alignment horizontal="center" vertical="bottom"/>
    </xf>
    <xf borderId="28" fillId="5" fontId="5" numFmtId="0" xfId="0" applyAlignment="1" applyBorder="1" applyFill="1" applyFont="1">
      <alignment horizontal="center" readingOrder="0"/>
    </xf>
    <xf borderId="38" fillId="15" fontId="14" numFmtId="0" xfId="0" applyAlignment="1" applyBorder="1" applyFill="1" applyFont="1">
      <alignment horizontal="center" vertical="bottom"/>
    </xf>
    <xf borderId="50" fillId="13" fontId="14" numFmtId="0" xfId="0" applyAlignment="1" applyBorder="1" applyFill="1" applyFont="1">
      <alignment horizontal="center" vertical="bottom"/>
    </xf>
    <xf borderId="21" fillId="13" fontId="14" numFmtId="0" xfId="0" applyAlignment="1" applyBorder="1" applyFill="1" applyFont="1">
      <alignment vertical="bottom"/>
    </xf>
    <xf borderId="19" fillId="16" fontId="14" numFmtId="0" xfId="0" applyAlignment="1" applyBorder="1" applyFill="1" applyFont="1">
      <alignment horizontal="center" vertical="bottom"/>
    </xf>
    <xf borderId="38" fillId="16" fontId="14" numFmtId="0" xfId="0" applyAlignment="1" applyBorder="1" applyFill="1" applyFont="1">
      <alignment horizontal="center" vertical="bottom"/>
    </xf>
    <xf borderId="38" fillId="18" fontId="14" numFmtId="0" xfId="0" applyAlignment="1" applyBorder="1" applyFill="1" applyFont="1">
      <alignment horizontal="center" readingOrder="0" vertical="bottom"/>
    </xf>
    <xf borderId="19" fillId="14" fontId="14" numFmtId="0" xfId="0" applyAlignment="1" applyBorder="1" applyFill="1" applyFont="1">
      <alignment horizontal="center" readingOrder="0" vertical="bottom"/>
    </xf>
    <xf borderId="38" fillId="19" fontId="14" numFmtId="0" xfId="0" applyAlignment="1" applyBorder="1" applyFill="1" applyFont="1">
      <alignment horizontal="center" readingOrder="0" vertical="bottom"/>
    </xf>
    <xf borderId="38" fillId="13" fontId="14" numFmtId="0" xfId="0" applyAlignment="1" applyBorder="1" applyFill="1" applyFont="1">
      <alignment horizontal="center" vertical="bottom"/>
    </xf>
    <xf borderId="38" fillId="20" fontId="14" numFmtId="0" xfId="0" applyAlignment="1" applyBorder="1" applyFill="1" applyFont="1">
      <alignment horizontal="center" readingOrder="0" vertical="bottom"/>
    </xf>
    <xf borderId="19" fillId="21" fontId="14" numFmtId="0" xfId="0" applyAlignment="1" applyBorder="1" applyFill="1" applyFont="1">
      <alignment horizontal="center" readingOrder="0" vertical="bottom"/>
    </xf>
    <xf borderId="38" fillId="21" fontId="14" numFmtId="0" xfId="0" applyAlignment="1" applyBorder="1" applyFill="1" applyFont="1">
      <alignment horizontal="center" readingOrder="0" vertical="bottom"/>
    </xf>
    <xf borderId="19" fillId="22" fontId="14" numFmtId="0" xfId="0" applyAlignment="1" applyBorder="1" applyFill="1" applyFont="1">
      <alignment horizontal="center" readingOrder="0" vertical="bottom"/>
    </xf>
    <xf borderId="38" fillId="22" fontId="14" numFmtId="0" xfId="0" applyAlignment="1" applyBorder="1" applyFill="1" applyFont="1">
      <alignment horizontal="center" readingOrder="0" vertical="bottom"/>
    </xf>
    <xf borderId="39" fillId="13" fontId="14" numFmtId="0" xfId="0" applyAlignment="1" applyBorder="1" applyFill="1" applyFont="1">
      <alignment horizontal="center" readingOrder="0" vertical="bottom"/>
    </xf>
    <xf borderId="38" fillId="13" fontId="16" numFmtId="0" xfId="0" applyAlignment="1" applyBorder="1" applyFill="1" applyFont="1">
      <alignment horizontal="center" readingOrder="0" vertical="bottom"/>
    </xf>
    <xf borderId="19" fillId="18" fontId="14" numFmtId="0" xfId="0" applyAlignment="1" applyBorder="1" applyFill="1" applyFont="1">
      <alignment horizontal="center" readingOrder="0" vertical="bottom"/>
    </xf>
    <xf borderId="38" fillId="7" fontId="14" numFmtId="0" xfId="0" applyAlignment="1" applyBorder="1" applyFill="1" applyFont="1">
      <alignment horizontal="center" readingOrder="0" vertical="bottom"/>
    </xf>
    <xf borderId="19" fillId="19" fontId="14" numFmtId="0" xfId="0" applyAlignment="1" applyBorder="1" applyFill="1" applyFont="1">
      <alignment horizontal="center" readingOrder="0" vertical="bottom"/>
    </xf>
    <xf borderId="38" fillId="18" fontId="14" numFmtId="0" xfId="0" applyAlignment="1" applyBorder="1" applyFill="1" applyFont="1">
      <alignment horizontal="center" readingOrder="0"/>
    </xf>
    <xf borderId="21" fillId="13" fontId="14" numFmtId="1" xfId="0" applyAlignment="1" applyBorder="1" applyFill="1" applyFont="1" applyNumberFormat="1">
      <alignment vertical="bottom"/>
    </xf>
    <xf borderId="38" fillId="13" fontId="14" numFmtId="1" xfId="0" applyAlignment="1" applyBorder="1" applyFill="1" applyFont="1" applyNumberFormat="1">
      <alignment horizontal="center" readingOrder="0" vertical="bottom"/>
    </xf>
    <xf borderId="39" fillId="13" fontId="14" numFmtId="0" xfId="0" applyAlignment="1" applyBorder="1" applyFill="1" applyFont="1">
      <alignment vertical="bottom"/>
    </xf>
    <xf borderId="51" fillId="2" fontId="5" numFmtId="0" xfId="0" applyAlignment="1" applyBorder="1" applyFill="1" applyFont="1">
      <alignment horizontal="center"/>
    </xf>
    <xf borderId="38" fillId="22" fontId="14" numFmtId="0" xfId="0" applyAlignment="1" applyBorder="1" applyFill="1" applyFont="1">
      <alignment horizontal="center" vertical="bottom"/>
    </xf>
    <xf borderId="52" fillId="4" fontId="5" numFmtId="0" xfId="0" applyAlignment="1" applyBorder="1" applyFill="1" applyFont="1">
      <alignment readingOrder="0"/>
    </xf>
    <xf borderId="39" fillId="13" fontId="14" numFmtId="1" xfId="0" applyAlignment="1" applyBorder="1" applyFill="1" applyFont="1" applyNumberFormat="1">
      <alignment horizontal="center" readingOrder="0" vertical="bottom"/>
    </xf>
    <xf borderId="53" fillId="4" fontId="5" numFmtId="0" xfId="0" applyAlignment="1" applyBorder="1" applyFill="1" applyFont="1">
      <alignment readingOrder="0"/>
    </xf>
    <xf borderId="39" fillId="13" fontId="14" numFmtId="0" xfId="0" applyAlignment="1" applyBorder="1" applyFill="1" applyFont="1">
      <alignment horizontal="center" vertical="bottom"/>
    </xf>
    <xf borderId="54" fillId="5" fontId="5" numFmtId="0" xfId="0" applyAlignment="1" applyBorder="1" applyFill="1" applyFont="1">
      <alignment horizontal="center" readingOrder="0"/>
    </xf>
    <xf borderId="55" fillId="5" fontId="5" numFmtId="0" xfId="0" applyAlignment="1" applyBorder="1" applyFill="1" applyFont="1">
      <alignment horizontal="center"/>
    </xf>
    <xf borderId="54" fillId="2" fontId="5" numFmtId="0" xfId="0" applyAlignment="1" applyBorder="1" applyFill="1" applyFont="1">
      <alignment horizontal="center" readingOrder="0"/>
    </xf>
    <xf borderId="55" fillId="2" fontId="5" numFmtId="0" xfId="0" applyAlignment="1" applyBorder="1" applyFill="1" applyFont="1">
      <alignment horizontal="center"/>
    </xf>
    <xf borderId="56" fillId="2" fontId="5" numFmtId="0" xfId="0" applyAlignment="1" applyBorder="1" applyFill="1" applyFont="1">
      <alignment horizontal="center"/>
    </xf>
    <xf borderId="57" fillId="2" fontId="5" numFmtId="0" xfId="0" applyAlignment="1" applyBorder="1" applyFill="1" applyFont="1">
      <alignment horizontal="center"/>
    </xf>
    <xf borderId="58" fillId="0" fontId="5" numFmtId="0" xfId="0" applyBorder="1" applyFont="1"/>
    <xf borderId="59" fillId="0" fontId="5" numFmtId="0" xfId="0" applyBorder="1" applyFont="1"/>
    <xf borderId="60" fillId="0" fontId="5" numFmtId="0" xfId="0" applyBorder="1" applyFont="1"/>
    <xf borderId="0" fillId="0" fontId="11" numFmtId="0" xfId="0" applyAlignment="1" applyFont="1">
      <alignment horizontal="center"/>
    </xf>
    <xf borderId="4" fillId="15" fontId="5" numFmtId="0" xfId="0" applyAlignment="1" applyBorder="1" applyFill="1" applyFont="1">
      <alignment horizontal="center"/>
    </xf>
    <xf borderId="22" fillId="15" fontId="2" numFmtId="0" xfId="0" applyAlignment="1" applyBorder="1" applyFill="1" applyFont="1">
      <alignment horizontal="center" readingOrder="0"/>
    </xf>
    <xf borderId="23" fillId="15" fontId="2" numFmtId="0" xfId="0" applyAlignment="1" applyBorder="1" applyFill="1" applyFont="1">
      <alignment horizontal="center" readingOrder="0"/>
    </xf>
    <xf borderId="24" fillId="15" fontId="2" numFmtId="0" xfId="0" applyAlignment="1" applyBorder="1" applyFill="1" applyFont="1">
      <alignment horizontal="center" readingOrder="0"/>
    </xf>
    <xf borderId="0" fillId="14" fontId="1" numFmtId="0" xfId="0" applyFill="1" applyFont="1"/>
    <xf borderId="25" fillId="15" fontId="5" numFmtId="0" xfId="0" applyAlignment="1" applyBorder="1" applyFill="1" applyFont="1">
      <alignment readingOrder="0"/>
    </xf>
    <xf borderId="18" fillId="15" fontId="5" numFmtId="0" xfId="0" applyAlignment="1" applyBorder="1" applyFill="1" applyFont="1">
      <alignment readingOrder="0"/>
    </xf>
    <xf borderId="28" fillId="6" fontId="5" numFmtId="0" xfId="0" applyAlignment="1" applyBorder="1" applyFill="1" applyFont="1">
      <alignment horizontal="center" readingOrder="0"/>
    </xf>
    <xf borderId="0" fillId="14" fontId="4" numFmtId="4" xfId="0" applyAlignment="1" applyFill="1" applyFont="1" applyNumberFormat="1">
      <alignment horizontal="center" readingOrder="0" vertical="bottom"/>
    </xf>
    <xf borderId="32" fillId="6" fontId="5" numFmtId="0" xfId="0" applyAlignment="1" applyBorder="1" applyFill="1" applyFont="1">
      <alignment horizontal="center"/>
    </xf>
    <xf borderId="33" fillId="6" fontId="5" numFmtId="0" xfId="0" applyAlignment="1" applyBorder="1" applyFill="1" applyFont="1">
      <alignment horizontal="center" readingOrder="0"/>
    </xf>
    <xf borderId="32" fillId="6" fontId="5" numFmtId="0" xfId="0" applyAlignment="1" applyBorder="1" applyFill="1" applyFont="1">
      <alignment horizontal="center" readingOrder="0"/>
    </xf>
    <xf borderId="15" fillId="6" fontId="5" numFmtId="0" xfId="0" applyAlignment="1" applyBorder="1" applyFill="1" applyFont="1">
      <alignment horizontal="center"/>
    </xf>
    <xf borderId="52" fillId="15" fontId="5" numFmtId="0" xfId="0" applyAlignment="1" applyBorder="1" applyFill="1" applyFont="1">
      <alignment readingOrder="0"/>
    </xf>
    <xf borderId="53" fillId="15" fontId="5" numFmtId="0" xfId="0" applyAlignment="1" applyBorder="1" applyFill="1" applyFont="1">
      <alignment readingOrder="0"/>
    </xf>
    <xf borderId="54" fillId="6" fontId="5" numFmtId="0" xfId="0" applyAlignment="1" applyBorder="1" applyFill="1" applyFont="1">
      <alignment horizontal="center" readingOrder="0"/>
    </xf>
    <xf borderId="55" fillId="6" fontId="5" numFmtId="0" xfId="0" applyAlignment="1" applyBorder="1" applyFill="1" applyFont="1">
      <alignment horizontal="center"/>
    </xf>
    <xf borderId="4" fillId="16" fontId="5" numFmtId="0" xfId="0" applyAlignment="1" applyBorder="1" applyFill="1" applyFont="1">
      <alignment horizontal="center"/>
    </xf>
    <xf borderId="22" fillId="16" fontId="2" numFmtId="0" xfId="0" applyAlignment="1" applyBorder="1" applyFill="1" applyFont="1">
      <alignment horizontal="center" readingOrder="0"/>
    </xf>
    <xf borderId="23" fillId="16" fontId="2" numFmtId="0" xfId="0" applyAlignment="1" applyBorder="1" applyFill="1" applyFont="1">
      <alignment horizontal="center" readingOrder="0"/>
    </xf>
    <xf borderId="24" fillId="16" fontId="2" numFmtId="0" xfId="0" applyAlignment="1" applyBorder="1" applyFill="1" applyFont="1">
      <alignment horizontal="center" readingOrder="0"/>
    </xf>
    <xf borderId="25" fillId="16" fontId="5" numFmtId="0" xfId="0" applyAlignment="1" applyBorder="1" applyFill="1" applyFont="1">
      <alignment readingOrder="0"/>
    </xf>
    <xf borderId="18" fillId="16" fontId="5" numFmtId="0" xfId="0" applyAlignment="1" applyBorder="1" applyFill="1" applyFont="1">
      <alignment readingOrder="0"/>
    </xf>
    <xf borderId="28" fillId="7" fontId="5" numFmtId="0" xfId="0" applyAlignment="1" applyBorder="1" applyFill="1" applyFont="1">
      <alignment horizontal="center" readingOrder="0"/>
    </xf>
    <xf borderId="32" fillId="7" fontId="5" numFmtId="0" xfId="0" applyAlignment="1" applyBorder="1" applyFill="1" applyFont="1">
      <alignment horizontal="center"/>
    </xf>
    <xf borderId="33" fillId="7" fontId="5" numFmtId="0" xfId="0" applyAlignment="1" applyBorder="1" applyFill="1" applyFont="1">
      <alignment horizontal="center" readingOrder="0"/>
    </xf>
    <xf borderId="15" fillId="7" fontId="5" numFmtId="0" xfId="0" applyAlignment="1" applyBorder="1" applyFill="1" applyFont="1">
      <alignment horizontal="center"/>
    </xf>
    <xf borderId="52" fillId="16" fontId="5" numFmtId="0" xfId="0" applyAlignment="1" applyBorder="1" applyFill="1" applyFont="1">
      <alignment readingOrder="0"/>
    </xf>
    <xf borderId="53" fillId="16" fontId="5" numFmtId="0" xfId="0" applyAlignment="1" applyBorder="1" applyFill="1" applyFont="1">
      <alignment readingOrder="0"/>
    </xf>
    <xf borderId="54" fillId="7" fontId="5" numFmtId="0" xfId="0" applyAlignment="1" applyBorder="1" applyFill="1" applyFont="1">
      <alignment horizontal="center" readingOrder="0"/>
    </xf>
    <xf borderId="55" fillId="7" fontId="5" numFmtId="0" xfId="0" applyAlignment="1" applyBorder="1" applyFill="1" applyFont="1">
      <alignment horizontal="center"/>
    </xf>
    <xf borderId="4" fillId="14" fontId="5" numFmtId="0" xfId="0" applyAlignment="1" applyBorder="1" applyFill="1" applyFont="1">
      <alignment horizontal="center"/>
    </xf>
    <xf borderId="22" fillId="14" fontId="2" numFmtId="0" xfId="0" applyAlignment="1" applyBorder="1" applyFill="1" applyFont="1">
      <alignment horizontal="center" readingOrder="0"/>
    </xf>
    <xf borderId="23" fillId="14" fontId="2" numFmtId="0" xfId="0" applyAlignment="1" applyBorder="1" applyFill="1" applyFont="1">
      <alignment horizontal="center" readingOrder="0"/>
    </xf>
    <xf borderId="24" fillId="14" fontId="2" numFmtId="0" xfId="0" applyAlignment="1" applyBorder="1" applyFill="1" applyFont="1">
      <alignment horizontal="center" readingOrder="0"/>
    </xf>
    <xf borderId="25" fillId="14" fontId="5" numFmtId="0" xfId="0" applyAlignment="1" applyBorder="1" applyFill="1" applyFont="1">
      <alignment readingOrder="0"/>
    </xf>
    <xf borderId="18" fillId="14" fontId="5" numFmtId="0" xfId="0" applyAlignment="1" applyBorder="1" applyFill="1" applyFont="1">
      <alignment readingOrder="0"/>
    </xf>
    <xf borderId="28" fillId="8" fontId="5" numFmtId="0" xfId="0" applyAlignment="1" applyBorder="1" applyFill="1" applyFont="1">
      <alignment horizontal="center" readingOrder="0"/>
    </xf>
    <xf borderId="32" fillId="8" fontId="5" numFmtId="0" xfId="0" applyAlignment="1" applyBorder="1" applyFill="1" applyFont="1">
      <alignment horizontal="center"/>
    </xf>
    <xf borderId="33" fillId="8" fontId="5" numFmtId="0" xfId="0" applyAlignment="1" applyBorder="1" applyFill="1" applyFont="1">
      <alignment horizontal="center" readingOrder="0"/>
    </xf>
    <xf borderId="15" fillId="8" fontId="5" numFmtId="0" xfId="0" applyAlignment="1" applyBorder="1" applyFill="1" applyFont="1">
      <alignment horizontal="center"/>
    </xf>
    <xf borderId="52" fillId="14" fontId="5" numFmtId="0" xfId="0" applyAlignment="1" applyBorder="1" applyFill="1" applyFont="1">
      <alignment readingOrder="0"/>
    </xf>
    <xf borderId="53" fillId="14" fontId="5" numFmtId="0" xfId="0" applyAlignment="1" applyBorder="1" applyFill="1" applyFont="1">
      <alignment readingOrder="0"/>
    </xf>
    <xf borderId="54" fillId="8" fontId="5" numFmtId="0" xfId="0" applyAlignment="1" applyBorder="1" applyFill="1" applyFont="1">
      <alignment horizontal="center" readingOrder="0"/>
    </xf>
    <xf borderId="55" fillId="8" fontId="5" numFmtId="0" xfId="0" applyAlignment="1" applyBorder="1" applyFill="1" applyFont="1">
      <alignment horizontal="center"/>
    </xf>
    <xf borderId="4" fillId="21" fontId="5" numFmtId="0" xfId="0" applyAlignment="1" applyBorder="1" applyFill="1" applyFont="1">
      <alignment horizontal="center"/>
    </xf>
    <xf borderId="22" fillId="21" fontId="2" numFmtId="0" xfId="0" applyAlignment="1" applyBorder="1" applyFill="1" applyFont="1">
      <alignment horizontal="center" readingOrder="0"/>
    </xf>
    <xf borderId="23" fillId="21" fontId="2" numFmtId="0" xfId="0" applyAlignment="1" applyBorder="1" applyFill="1" applyFont="1">
      <alignment horizontal="center" readingOrder="0"/>
    </xf>
    <xf borderId="24" fillId="21" fontId="2" numFmtId="0" xfId="0" applyAlignment="1" applyBorder="1" applyFill="1" applyFont="1">
      <alignment horizontal="center" readingOrder="0"/>
    </xf>
    <xf borderId="25" fillId="21" fontId="5" numFmtId="0" xfId="0" applyAlignment="1" applyBorder="1" applyFill="1" applyFont="1">
      <alignment readingOrder="0"/>
    </xf>
    <xf borderId="18" fillId="21" fontId="5" numFmtId="0" xfId="0" applyAlignment="1" applyBorder="1" applyFill="1" applyFont="1">
      <alignment readingOrder="0"/>
    </xf>
    <xf borderId="28" fillId="9" fontId="5" numFmtId="0" xfId="0" applyAlignment="1" applyBorder="1" applyFill="1" applyFont="1">
      <alignment horizontal="center" readingOrder="0"/>
    </xf>
    <xf borderId="32" fillId="9" fontId="5" numFmtId="0" xfId="0" applyAlignment="1" applyBorder="1" applyFill="1" applyFont="1">
      <alignment horizontal="center"/>
    </xf>
    <xf borderId="33" fillId="9" fontId="5" numFmtId="0" xfId="0" applyAlignment="1" applyBorder="1" applyFill="1" applyFont="1">
      <alignment horizontal="center" readingOrder="0"/>
    </xf>
    <xf borderId="18" fillId="21" fontId="5" numFmtId="0" xfId="0" applyAlignment="1" applyBorder="1" applyFill="1" applyFont="1">
      <alignment horizontal="left" readingOrder="0"/>
    </xf>
    <xf borderId="15" fillId="9" fontId="5" numFmtId="0" xfId="0" applyAlignment="1" applyBorder="1" applyFill="1" applyFont="1">
      <alignment horizontal="center"/>
    </xf>
    <xf borderId="52" fillId="21" fontId="5" numFmtId="0" xfId="0" applyAlignment="1" applyBorder="1" applyFill="1" applyFont="1">
      <alignment readingOrder="0"/>
    </xf>
    <xf borderId="53" fillId="21" fontId="5" numFmtId="0" xfId="0" applyAlignment="1" applyBorder="1" applyFill="1" applyFont="1">
      <alignment readingOrder="0"/>
    </xf>
    <xf borderId="54" fillId="9" fontId="5" numFmtId="0" xfId="0" applyAlignment="1" applyBorder="1" applyFill="1" applyFont="1">
      <alignment horizontal="center" readingOrder="0"/>
    </xf>
    <xf borderId="55" fillId="9" fontId="5" numFmtId="0" xfId="0" applyAlignment="1" applyBorder="1" applyFill="1" applyFont="1">
      <alignment horizontal="center"/>
    </xf>
    <xf borderId="4" fillId="22" fontId="5" numFmtId="0" xfId="0" applyAlignment="1" applyBorder="1" applyFill="1" applyFont="1">
      <alignment horizontal="center"/>
    </xf>
    <xf borderId="22" fillId="22" fontId="2" numFmtId="0" xfId="0" applyAlignment="1" applyBorder="1" applyFill="1" applyFont="1">
      <alignment horizontal="center" readingOrder="0"/>
    </xf>
    <xf borderId="23" fillId="22" fontId="2" numFmtId="0" xfId="0" applyAlignment="1" applyBorder="1" applyFill="1" applyFont="1">
      <alignment horizontal="center" readingOrder="0"/>
    </xf>
    <xf borderId="24" fillId="22" fontId="2" numFmtId="0" xfId="0" applyAlignment="1" applyBorder="1" applyFill="1" applyFont="1">
      <alignment horizontal="center" readingOrder="0"/>
    </xf>
    <xf borderId="25" fillId="22" fontId="5" numFmtId="0" xfId="0" applyAlignment="1" applyBorder="1" applyFill="1" applyFont="1">
      <alignment readingOrder="0"/>
    </xf>
    <xf borderId="18" fillId="22" fontId="5" numFmtId="0" xfId="0" applyAlignment="1" applyBorder="1" applyFill="1" applyFont="1">
      <alignment readingOrder="0"/>
    </xf>
    <xf borderId="28" fillId="10" fontId="5" numFmtId="0" xfId="0" applyAlignment="1" applyBorder="1" applyFill="1" applyFont="1">
      <alignment horizontal="center" readingOrder="0"/>
    </xf>
    <xf borderId="32" fillId="10" fontId="5" numFmtId="0" xfId="0" applyAlignment="1" applyBorder="1" applyFill="1" applyFont="1">
      <alignment horizontal="center"/>
    </xf>
    <xf borderId="33" fillId="10" fontId="5" numFmtId="0" xfId="0" applyAlignment="1" applyBorder="1" applyFill="1" applyFont="1">
      <alignment horizontal="center" readingOrder="0"/>
    </xf>
    <xf borderId="15" fillId="10" fontId="5" numFmtId="0" xfId="0" applyAlignment="1" applyBorder="1" applyFill="1" applyFont="1">
      <alignment horizontal="center"/>
    </xf>
    <xf borderId="52" fillId="22" fontId="5" numFmtId="0" xfId="0" applyAlignment="1" applyBorder="1" applyFill="1" applyFont="1">
      <alignment readingOrder="0"/>
    </xf>
    <xf borderId="53" fillId="22" fontId="5" numFmtId="0" xfId="0" applyAlignment="1" applyBorder="1" applyFill="1" applyFont="1">
      <alignment readingOrder="0"/>
    </xf>
    <xf borderId="54" fillId="10" fontId="5" numFmtId="0" xfId="0" applyAlignment="1" applyBorder="1" applyFill="1" applyFont="1">
      <alignment horizontal="center" readingOrder="0"/>
    </xf>
    <xf borderId="55" fillId="10" fontId="5" numFmtId="0" xfId="0" applyAlignment="1" applyBorder="1" applyFill="1" applyFont="1">
      <alignment horizontal="center"/>
    </xf>
    <xf borderId="4" fillId="18" fontId="5" numFmtId="0" xfId="0" applyAlignment="1" applyBorder="1" applyFill="1" applyFont="1">
      <alignment horizontal="center"/>
    </xf>
    <xf borderId="22" fillId="18" fontId="2" numFmtId="0" xfId="0" applyAlignment="1" applyBorder="1" applyFill="1" applyFont="1">
      <alignment horizontal="center" readingOrder="0"/>
    </xf>
    <xf borderId="23" fillId="18" fontId="2" numFmtId="0" xfId="0" applyAlignment="1" applyBorder="1" applyFill="1" applyFont="1">
      <alignment horizontal="center" readingOrder="0"/>
    </xf>
    <xf borderId="24" fillId="18" fontId="2" numFmtId="0" xfId="0" applyAlignment="1" applyBorder="1" applyFill="1" applyFont="1">
      <alignment horizontal="center" readingOrder="0"/>
    </xf>
    <xf borderId="25" fillId="18" fontId="5" numFmtId="0" xfId="0" applyAlignment="1" applyBorder="1" applyFill="1" applyFont="1">
      <alignment readingOrder="0"/>
    </xf>
    <xf borderId="18" fillId="18" fontId="5" numFmtId="0" xfId="0" applyAlignment="1" applyBorder="1" applyFill="1" applyFont="1">
      <alignment readingOrder="0"/>
    </xf>
    <xf borderId="28" fillId="11" fontId="5" numFmtId="0" xfId="0" applyAlignment="1" applyBorder="1" applyFill="1" applyFont="1">
      <alignment horizontal="center" readingOrder="0"/>
    </xf>
    <xf borderId="32" fillId="11" fontId="5" numFmtId="0" xfId="0" applyAlignment="1" applyBorder="1" applyFill="1" applyFont="1">
      <alignment horizontal="center"/>
    </xf>
    <xf borderId="33" fillId="11" fontId="5" numFmtId="0" xfId="0" applyAlignment="1" applyBorder="1" applyFill="1" applyFont="1">
      <alignment horizontal="center" readingOrder="0"/>
    </xf>
    <xf borderId="15" fillId="11" fontId="5" numFmtId="0" xfId="0" applyAlignment="1" applyBorder="1" applyFill="1" applyFont="1">
      <alignment horizontal="center"/>
    </xf>
    <xf borderId="52" fillId="18" fontId="5" numFmtId="0" xfId="0" applyAlignment="1" applyBorder="1" applyFill="1" applyFont="1">
      <alignment readingOrder="0"/>
    </xf>
    <xf borderId="53" fillId="18" fontId="5" numFmtId="0" xfId="0" applyAlignment="1" applyBorder="1" applyFill="1" applyFont="1">
      <alignment readingOrder="0"/>
    </xf>
    <xf borderId="54" fillId="11" fontId="5" numFmtId="0" xfId="0" applyAlignment="1" applyBorder="1" applyFill="1" applyFont="1">
      <alignment horizontal="center" readingOrder="0"/>
    </xf>
    <xf borderId="55" fillId="11" fontId="5" numFmtId="0" xfId="0" applyAlignment="1" applyBorder="1" applyFill="1" applyFont="1">
      <alignment horizontal="center"/>
    </xf>
    <xf borderId="4" fillId="19" fontId="5" numFmtId="0" xfId="0" applyAlignment="1" applyBorder="1" applyFill="1" applyFont="1">
      <alignment horizontal="center"/>
    </xf>
    <xf borderId="22" fillId="19" fontId="2" numFmtId="0" xfId="0" applyAlignment="1" applyBorder="1" applyFill="1" applyFont="1">
      <alignment horizontal="center" readingOrder="0"/>
    </xf>
    <xf borderId="23" fillId="19" fontId="2" numFmtId="0" xfId="0" applyAlignment="1" applyBorder="1" applyFill="1" applyFont="1">
      <alignment horizontal="center" readingOrder="0"/>
    </xf>
    <xf borderId="24" fillId="19" fontId="2" numFmtId="0" xfId="0" applyAlignment="1" applyBorder="1" applyFill="1" applyFont="1">
      <alignment horizontal="center" readingOrder="0"/>
    </xf>
    <xf borderId="25" fillId="19" fontId="5" numFmtId="0" xfId="0" applyAlignment="1" applyBorder="1" applyFill="1" applyFont="1">
      <alignment readingOrder="0"/>
    </xf>
    <xf borderId="18" fillId="19" fontId="5" numFmtId="0" xfId="0" applyAlignment="1" applyBorder="1" applyFill="1" applyFont="1">
      <alignment readingOrder="0"/>
    </xf>
    <xf borderId="28" fillId="12" fontId="5" numFmtId="0" xfId="0" applyAlignment="1" applyBorder="1" applyFill="1" applyFont="1">
      <alignment horizontal="center" readingOrder="0"/>
    </xf>
    <xf borderId="32" fillId="12" fontId="5" numFmtId="0" xfId="0" applyAlignment="1" applyBorder="1" applyFill="1" applyFont="1">
      <alignment horizontal="center"/>
    </xf>
    <xf borderId="33" fillId="12" fontId="5" numFmtId="0" xfId="0" applyAlignment="1" applyBorder="1" applyFill="1" applyFont="1">
      <alignment horizontal="center" readingOrder="0"/>
    </xf>
    <xf borderId="15" fillId="12" fontId="5" numFmtId="0" xfId="0" applyAlignment="1" applyBorder="1" applyFill="1" applyFont="1">
      <alignment horizontal="center"/>
    </xf>
    <xf borderId="52" fillId="19" fontId="5" numFmtId="0" xfId="0" applyAlignment="1" applyBorder="1" applyFill="1" applyFont="1">
      <alignment readingOrder="0"/>
    </xf>
    <xf borderId="53" fillId="19" fontId="5" numFmtId="0" xfId="0" applyAlignment="1" applyBorder="1" applyFill="1" applyFont="1">
      <alignment readingOrder="0"/>
    </xf>
    <xf borderId="54" fillId="12" fontId="5" numFmtId="0" xfId="0" applyAlignment="1" applyBorder="1" applyFill="1" applyFont="1">
      <alignment horizontal="center" readingOrder="0"/>
    </xf>
    <xf borderId="55" fillId="12" fontId="5" numFmtId="0" xfId="0" applyAlignment="1" applyBorder="1" applyFill="1" applyFont="1">
      <alignment horizont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9527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.75"/>
    <col customWidth="1" min="11" max="12" width="2.75"/>
  </cols>
  <sheetData>
    <row r="1" ht="15.7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9" t="s">
        <v>9</v>
      </c>
      <c r="D3" s="11"/>
      <c r="E3" s="15" t="s">
        <v>16</v>
      </c>
      <c r="F3" s="16"/>
      <c r="G3" s="16"/>
      <c r="H3" s="16"/>
      <c r="I3" s="16"/>
      <c r="J3" s="18"/>
      <c r="K3" s="5"/>
      <c r="L3" s="5"/>
    </row>
    <row r="4">
      <c r="A4" s="5"/>
      <c r="B4" s="5"/>
      <c r="C4" s="19"/>
      <c r="D4" s="20"/>
      <c r="E4" s="21"/>
      <c r="F4" s="23"/>
      <c r="G4" s="23"/>
      <c r="H4" s="23"/>
      <c r="I4" s="23"/>
      <c r="J4" s="24"/>
      <c r="K4" s="5"/>
      <c r="L4" s="5"/>
    </row>
    <row r="5">
      <c r="A5" s="5"/>
      <c r="B5" s="5"/>
      <c r="C5" s="26" t="s">
        <v>24</v>
      </c>
      <c r="D5" s="27"/>
      <c r="E5" s="29" t="s">
        <v>27</v>
      </c>
      <c r="J5" s="30"/>
      <c r="K5" s="5"/>
      <c r="L5" s="5"/>
    </row>
    <row r="6">
      <c r="A6" s="5"/>
      <c r="B6" s="5"/>
      <c r="C6" s="31"/>
      <c r="D6" s="27"/>
      <c r="J6" s="30"/>
      <c r="K6" s="5"/>
      <c r="L6" s="5"/>
    </row>
    <row r="7">
      <c r="A7" s="5"/>
      <c r="B7" s="5"/>
      <c r="C7" s="26" t="s">
        <v>29</v>
      </c>
      <c r="D7" s="27"/>
      <c r="E7" s="33" t="s">
        <v>31</v>
      </c>
      <c r="J7" s="30"/>
      <c r="K7" s="5"/>
      <c r="L7" s="5"/>
    </row>
    <row r="8">
      <c r="A8" s="5"/>
      <c r="B8" s="5"/>
      <c r="C8" s="31"/>
      <c r="D8" s="27"/>
      <c r="J8" s="30"/>
      <c r="K8" s="5"/>
      <c r="L8" s="5"/>
    </row>
    <row r="9">
      <c r="A9" s="5"/>
      <c r="B9" s="5"/>
      <c r="C9" s="26" t="s">
        <v>34</v>
      </c>
      <c r="D9" s="27"/>
      <c r="E9" s="33" t="s">
        <v>37</v>
      </c>
      <c r="J9" s="30"/>
      <c r="K9" s="5"/>
      <c r="L9" s="5"/>
    </row>
    <row r="10">
      <c r="A10" s="5"/>
      <c r="B10" s="5"/>
      <c r="C10" s="31"/>
      <c r="D10" s="27"/>
      <c r="J10" s="30"/>
      <c r="K10" s="5"/>
      <c r="L10" s="5"/>
    </row>
    <row r="11">
      <c r="A11" s="5"/>
      <c r="B11" s="5"/>
      <c r="C11" s="26" t="s">
        <v>40</v>
      </c>
      <c r="D11" s="27"/>
      <c r="E11" s="33" t="s">
        <v>44</v>
      </c>
      <c r="J11" s="30"/>
      <c r="K11" s="5"/>
      <c r="L11" s="5"/>
    </row>
    <row r="12">
      <c r="A12" s="5"/>
      <c r="B12" s="5"/>
      <c r="C12" s="31"/>
      <c r="D12" s="27"/>
      <c r="J12" s="30"/>
      <c r="K12" s="5"/>
      <c r="L12" s="5"/>
    </row>
    <row r="13">
      <c r="A13" s="5"/>
      <c r="B13" s="5"/>
      <c r="C13" s="26" t="s">
        <v>46</v>
      </c>
      <c r="D13" s="27"/>
      <c r="E13" s="33" t="s">
        <v>47</v>
      </c>
      <c r="J13" s="30"/>
      <c r="K13" s="5"/>
      <c r="L13" s="5"/>
    </row>
    <row r="14">
      <c r="A14" s="5"/>
      <c r="B14" s="5"/>
      <c r="C14" s="31"/>
      <c r="D14" s="27"/>
      <c r="J14" s="30"/>
      <c r="K14" s="5"/>
      <c r="L14" s="5"/>
    </row>
    <row r="15">
      <c r="A15" s="5"/>
      <c r="B15" s="5"/>
      <c r="C15" s="26" t="s">
        <v>49</v>
      </c>
      <c r="D15" s="27"/>
      <c r="E15" s="33" t="s">
        <v>51</v>
      </c>
      <c r="J15" s="30"/>
      <c r="K15" s="5"/>
      <c r="L15" s="5"/>
    </row>
    <row r="16">
      <c r="A16" s="5"/>
      <c r="B16" s="5"/>
      <c r="C16" s="31"/>
      <c r="D16" s="27"/>
      <c r="J16" s="30"/>
      <c r="K16" s="5"/>
      <c r="L16" s="5"/>
    </row>
    <row r="17">
      <c r="A17" s="5"/>
      <c r="B17" s="5"/>
      <c r="C17" s="26" t="s">
        <v>54</v>
      </c>
      <c r="D17" s="27"/>
      <c r="E17" s="29" t="s">
        <v>55</v>
      </c>
      <c r="J17" s="30"/>
      <c r="K17" s="5"/>
      <c r="L17" s="5"/>
    </row>
    <row r="18">
      <c r="A18" s="5"/>
      <c r="B18" s="5"/>
      <c r="C18" s="31"/>
      <c r="D18" s="27"/>
      <c r="J18" s="30"/>
      <c r="K18" s="5"/>
      <c r="L18" s="5"/>
    </row>
    <row r="19">
      <c r="A19" s="5"/>
      <c r="B19" s="5"/>
      <c r="C19" s="26" t="s">
        <v>59</v>
      </c>
      <c r="D19" s="27"/>
      <c r="E19" s="33" t="s">
        <v>64</v>
      </c>
      <c r="J19" s="30"/>
      <c r="K19" s="5"/>
      <c r="L19" s="5"/>
    </row>
    <row r="20">
      <c r="A20" s="5"/>
      <c r="B20" s="5"/>
      <c r="C20" s="31"/>
      <c r="D20" s="27"/>
      <c r="J20" s="30"/>
      <c r="K20" s="5"/>
      <c r="L20" s="5"/>
    </row>
    <row r="21">
      <c r="A21" s="5"/>
      <c r="B21" s="5"/>
      <c r="C21" s="26" t="s">
        <v>79</v>
      </c>
      <c r="D21" s="27"/>
      <c r="E21" s="33" t="s">
        <v>85</v>
      </c>
      <c r="J21" s="30"/>
      <c r="K21" s="5"/>
      <c r="L21" s="5"/>
    </row>
    <row r="22">
      <c r="A22" s="5"/>
      <c r="B22" s="5"/>
      <c r="C22" s="31"/>
      <c r="D22" s="27"/>
      <c r="J22" s="30"/>
      <c r="K22" s="5"/>
      <c r="L22" s="5"/>
    </row>
    <row r="23">
      <c r="A23" s="5"/>
      <c r="B23" s="5"/>
      <c r="C23" s="26" t="s">
        <v>90</v>
      </c>
      <c r="D23" s="27"/>
      <c r="E23" s="33" t="s">
        <v>93</v>
      </c>
      <c r="J23" s="30"/>
      <c r="K23" s="5"/>
      <c r="L23" s="5"/>
    </row>
    <row r="24">
      <c r="A24" s="5"/>
      <c r="B24" s="5"/>
      <c r="C24" s="31"/>
      <c r="D24" s="27"/>
      <c r="J24" s="30"/>
      <c r="K24" s="5"/>
      <c r="L24" s="5"/>
    </row>
    <row r="25">
      <c r="A25" s="5"/>
      <c r="B25" s="5"/>
      <c r="C25" s="26" t="s">
        <v>98</v>
      </c>
      <c r="D25" s="27"/>
      <c r="E25" s="33" t="s">
        <v>106</v>
      </c>
      <c r="J25" s="30"/>
      <c r="K25" s="5"/>
      <c r="L25" s="5"/>
    </row>
    <row r="26">
      <c r="A26" s="5"/>
      <c r="B26" s="5"/>
      <c r="C26" s="31"/>
      <c r="D26" s="27"/>
      <c r="J26" s="30"/>
      <c r="K26" s="5"/>
      <c r="L26" s="5"/>
    </row>
    <row r="27">
      <c r="A27" s="5"/>
      <c r="B27" s="5"/>
      <c r="C27" s="26" t="s">
        <v>123</v>
      </c>
      <c r="D27" s="27"/>
      <c r="E27" s="33" t="s">
        <v>129</v>
      </c>
      <c r="J27" s="30"/>
      <c r="K27" s="5"/>
      <c r="L27" s="5"/>
    </row>
    <row r="28">
      <c r="A28" s="5"/>
      <c r="B28" s="5"/>
      <c r="C28" s="31"/>
      <c r="D28" s="27"/>
      <c r="J28" s="30"/>
      <c r="K28" s="5"/>
      <c r="L28" s="5"/>
    </row>
    <row r="29">
      <c r="A29" s="5"/>
      <c r="B29" s="5"/>
      <c r="C29" s="26" t="s">
        <v>147</v>
      </c>
      <c r="D29" s="27"/>
      <c r="E29" s="33" t="s">
        <v>149</v>
      </c>
      <c r="J29" s="30"/>
      <c r="K29" s="5"/>
      <c r="L29" s="5"/>
    </row>
    <row r="30">
      <c r="A30" s="5"/>
      <c r="B30" s="5"/>
      <c r="C30" s="31"/>
      <c r="D30" s="27"/>
      <c r="J30" s="30"/>
      <c r="K30" s="5"/>
      <c r="L30" s="5"/>
    </row>
    <row r="31">
      <c r="A31" s="5"/>
      <c r="B31" s="5"/>
      <c r="C31" s="26" t="s">
        <v>158</v>
      </c>
      <c r="D31" s="27"/>
      <c r="E31" s="33" t="s">
        <v>160</v>
      </c>
      <c r="J31" s="30"/>
      <c r="K31" s="5"/>
      <c r="L31" s="5"/>
    </row>
    <row r="32">
      <c r="A32" s="5"/>
      <c r="B32" s="5"/>
      <c r="C32" s="31"/>
      <c r="D32" s="27"/>
      <c r="J32" s="30"/>
      <c r="K32" s="5"/>
      <c r="L32" s="5"/>
    </row>
    <row r="33">
      <c r="A33" s="5"/>
      <c r="B33" s="5"/>
      <c r="C33" s="26" t="s">
        <v>163</v>
      </c>
      <c r="D33" s="27"/>
      <c r="E33" s="33" t="s">
        <v>165</v>
      </c>
      <c r="J33" s="30"/>
      <c r="K33" s="5"/>
      <c r="L33" s="5"/>
    </row>
    <row r="34">
      <c r="A34" s="5"/>
      <c r="B34" s="5"/>
      <c r="C34" s="31"/>
      <c r="D34" s="27"/>
      <c r="J34" s="30"/>
      <c r="K34" s="5"/>
      <c r="L34" s="5"/>
    </row>
    <row r="35">
      <c r="A35" s="5"/>
      <c r="B35" s="5"/>
      <c r="C35" s="26" t="s">
        <v>168</v>
      </c>
      <c r="E35" s="63" t="s">
        <v>170</v>
      </c>
      <c r="J35" s="30"/>
      <c r="K35" s="5"/>
      <c r="L35" s="5"/>
    </row>
    <row r="36">
      <c r="A36" s="5"/>
      <c r="B36" s="5"/>
      <c r="C36" s="31"/>
      <c r="E36" s="64"/>
      <c r="J36" s="30"/>
      <c r="K36" s="5"/>
      <c r="L36" s="5"/>
    </row>
    <row r="37">
      <c r="A37" s="5"/>
      <c r="B37" s="5"/>
      <c r="C37" s="26" t="s">
        <v>176</v>
      </c>
      <c r="D37" s="27"/>
      <c r="E37" s="29" t="s">
        <v>177</v>
      </c>
      <c r="J37" s="30"/>
      <c r="K37" s="5"/>
      <c r="L37" s="5"/>
    </row>
    <row r="38">
      <c r="A38" s="5"/>
      <c r="B38" s="5"/>
      <c r="C38" s="65"/>
      <c r="D38" s="66"/>
      <c r="E38" s="67"/>
      <c r="F38" s="67"/>
      <c r="G38" s="67"/>
      <c r="H38" s="67"/>
      <c r="I38" s="67"/>
      <c r="J38" s="68"/>
      <c r="K38" s="5"/>
      <c r="L38" s="5"/>
    </row>
    <row r="39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</row>
    <row r="40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</row>
  </sheetData>
  <mergeCells count="36">
    <mergeCell ref="C3:D4"/>
    <mergeCell ref="E3:J4"/>
    <mergeCell ref="C5:D6"/>
    <mergeCell ref="E5:J6"/>
    <mergeCell ref="C7:D8"/>
    <mergeCell ref="E7:J8"/>
    <mergeCell ref="E9:J10"/>
    <mergeCell ref="C23:D24"/>
    <mergeCell ref="C25:D26"/>
    <mergeCell ref="C27:D28"/>
    <mergeCell ref="C29:D30"/>
    <mergeCell ref="C31:D32"/>
    <mergeCell ref="C33:D34"/>
    <mergeCell ref="C35:D36"/>
    <mergeCell ref="C37:D38"/>
    <mergeCell ref="C9:D10"/>
    <mergeCell ref="C11:D12"/>
    <mergeCell ref="C13:D14"/>
    <mergeCell ref="C15:D16"/>
    <mergeCell ref="C17:D18"/>
    <mergeCell ref="C19:D20"/>
    <mergeCell ref="C21:D22"/>
    <mergeCell ref="E25:J26"/>
    <mergeCell ref="E27:J28"/>
    <mergeCell ref="E29:J30"/>
    <mergeCell ref="E31:J32"/>
    <mergeCell ref="E33:J34"/>
    <mergeCell ref="E35:J36"/>
    <mergeCell ref="E37:J38"/>
    <mergeCell ref="E11:J12"/>
    <mergeCell ref="E13:J14"/>
    <mergeCell ref="E15:J16"/>
    <mergeCell ref="E17:J18"/>
    <mergeCell ref="E19:J20"/>
    <mergeCell ref="E21:J22"/>
    <mergeCell ref="E23:J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23.88"/>
    <col customWidth="1" min="3" max="3" width="17.75"/>
    <col customWidth="1" min="4" max="4" width="5.13"/>
    <col customWidth="1" min="5" max="5" width="17.75"/>
    <col customWidth="1" min="6" max="6" width="5.13"/>
    <col customWidth="1" min="7" max="7" width="17.75"/>
    <col customWidth="1" min="8" max="8" width="5.13"/>
    <col customWidth="1" min="9" max="9" width="17.75"/>
    <col customWidth="1" min="10" max="10" width="5.13"/>
    <col customWidth="1" min="11" max="11" width="17.75"/>
    <col customWidth="1" min="12" max="12" width="5.13"/>
    <col customWidth="1" min="13" max="13" width="17.75"/>
    <col customWidth="1" min="14" max="14" width="5.13"/>
    <col customWidth="1" min="15" max="17" width="10.13"/>
  </cols>
  <sheetData>
    <row r="1">
      <c r="A1" s="2" t="s">
        <v>1</v>
      </c>
      <c r="B1" s="4"/>
      <c r="C1" s="8" t="str">
        <f>B2</f>
        <v>North Hollywood 1</v>
      </c>
      <c r="D1" s="10"/>
      <c r="E1" s="8" t="str">
        <f>B3</f>
        <v>BYE</v>
      </c>
      <c r="F1" s="10"/>
      <c r="G1" s="8" t="str">
        <f>B4</f>
        <v>Collierville</v>
      </c>
      <c r="H1" s="10"/>
      <c r="I1" s="8" t="str">
        <f>B5</f>
        <v>Orange County School of the Arts</v>
      </c>
      <c r="J1" s="10"/>
      <c r="K1" s="8" t="str">
        <f>B6</f>
        <v>Mira Loma High School 2</v>
      </c>
      <c r="L1" s="10"/>
      <c r="M1" s="8" t="str">
        <f>B7</f>
        <v>Arcadia High School 2</v>
      </c>
      <c r="N1" s="34"/>
      <c r="O1" s="36" t="s">
        <v>2</v>
      </c>
      <c r="P1" s="40" t="s">
        <v>38</v>
      </c>
      <c r="Q1" s="42" t="s">
        <v>45</v>
      </c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>
      <c r="A2" s="45" t="s">
        <v>50</v>
      </c>
      <c r="B2" s="46" t="s">
        <v>7</v>
      </c>
      <c r="C2" s="48"/>
      <c r="D2" s="48"/>
      <c r="E2" s="50"/>
      <c r="F2" s="58" t="str">
        <f>if(E2&gt;C3,"W",if(E2&lt;C3,"L",if(isblank(E2),"","T")))</f>
        <v/>
      </c>
      <c r="G2" s="60">
        <v>152.0</v>
      </c>
      <c r="H2" s="62" t="str">
        <f>if(G2&gt;C4,"W",if(G2&lt;C4,"L",if(isblank(G2),"","T")))</f>
        <v>W</v>
      </c>
      <c r="I2" s="60">
        <v>128.0</v>
      </c>
      <c r="J2" s="62" t="str">
        <f>if(I2&gt;C5,"W",if(I2&lt;C5,"L",if(isblank(I2),"","T")))</f>
        <v>W</v>
      </c>
      <c r="K2" s="60">
        <v>112.0</v>
      </c>
      <c r="L2" s="62" t="str">
        <f>if(K2&gt;C6,"W",if(K2&lt;C6,"L",if(isblank(K2),"","T")))</f>
        <v>W</v>
      </c>
      <c r="M2" s="60">
        <v>130.0</v>
      </c>
      <c r="N2" s="62" t="str">
        <f>if(M2&gt;C7,"W",if(M2&lt;C7,"L",if(isblank(M2),"","T")))</f>
        <v>W</v>
      </c>
      <c r="O2" s="70">
        <f t="shared" ref="O2:O7" si="1">countif(C2:N2,"W")+0.5*countif(C2:N2,"T")</f>
        <v>4</v>
      </c>
      <c r="P2" s="71">
        <f t="shared" ref="P2:P7" si="2">countif(C2:N2,"L")+0.5*countif(C2:N2,"T")</f>
        <v>0</v>
      </c>
      <c r="Q2" s="72">
        <f t="shared" ref="Q2:Q7" si="3">sum(C2:N2)</f>
        <v>522</v>
      </c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</row>
    <row r="3">
      <c r="A3" s="45" t="s">
        <v>56</v>
      </c>
      <c r="B3" s="73" t="s">
        <v>181</v>
      </c>
      <c r="C3" s="74"/>
      <c r="D3" s="58" t="str">
        <f>if(E2&lt;C3,"W",if(E2&gt;C3,"L",if(isblank(C3),"","T")))</f>
        <v/>
      </c>
      <c r="E3" s="48"/>
      <c r="F3" s="82"/>
      <c r="G3" s="50"/>
      <c r="H3" s="58" t="str">
        <f>if(G3&gt;E4,"W",if(G3&lt;E4,"L",if(isblank(G3),"","T")))</f>
        <v/>
      </c>
      <c r="I3" s="74"/>
      <c r="J3" s="58" t="str">
        <f>if(I3&gt;E5,"W",if(I3&lt;E5,"L",if(isblank(I3),"","T")))</f>
        <v/>
      </c>
      <c r="K3" s="74"/>
      <c r="L3" s="58" t="str">
        <f>if(K3&gt;E6,"W",if(K3&lt;E6,"L",if(isblank(K3),"","T")))</f>
        <v/>
      </c>
      <c r="M3" s="74"/>
      <c r="N3" s="58" t="str">
        <f>if(M3&gt;E7,"W",if(M3&lt;E7,"L",if(isblank(M3),"","T")))</f>
        <v/>
      </c>
      <c r="O3" s="70">
        <f t="shared" si="1"/>
        <v>0</v>
      </c>
      <c r="P3" s="71">
        <f t="shared" si="2"/>
        <v>0</v>
      </c>
      <c r="Q3" s="72">
        <f t="shared" si="3"/>
        <v>0</v>
      </c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</row>
    <row r="4">
      <c r="A4" s="45" t="s">
        <v>89</v>
      </c>
      <c r="B4" s="46" t="s">
        <v>148</v>
      </c>
      <c r="C4" s="60">
        <v>8.0</v>
      </c>
      <c r="D4" s="103" t="str">
        <f>if(G2&lt;C4,"W",if(G2&gt;C4,"L",if(isblank(C4),"","T")))</f>
        <v>L</v>
      </c>
      <c r="E4" s="74"/>
      <c r="F4" s="58" t="str">
        <f>if(G3&lt;E4,"W",if(G3&gt;E4,"L",if(isblank(E4),"","T")))</f>
        <v/>
      </c>
      <c r="G4" s="48"/>
      <c r="H4" s="82"/>
      <c r="I4" s="108">
        <v>16.0</v>
      </c>
      <c r="J4" s="62" t="str">
        <f>if(I4&gt;G5,"W",if(I4&lt;G5,"L",if(isblank(I4),"","T")))</f>
        <v>L</v>
      </c>
      <c r="K4" s="60">
        <v>54.0</v>
      </c>
      <c r="L4" s="62" t="str">
        <f>if(K4&gt;G6,"W",if(K4&lt;G6,"L",if(isblank(K4),"","T")))</f>
        <v>W</v>
      </c>
      <c r="M4" s="60">
        <v>34.0</v>
      </c>
      <c r="N4" s="62" t="str">
        <f>if(M4&gt;G7,"W",if(M4&lt;G7,"L",if(isblank(M4),"","T")))</f>
        <v>W</v>
      </c>
      <c r="O4" s="70">
        <f t="shared" si="1"/>
        <v>2</v>
      </c>
      <c r="P4" s="71">
        <f t="shared" si="2"/>
        <v>2</v>
      </c>
      <c r="Q4" s="72">
        <f t="shared" si="3"/>
        <v>112</v>
      </c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</row>
    <row r="5">
      <c r="A5" s="45" t="s">
        <v>249</v>
      </c>
      <c r="B5" s="46" t="s">
        <v>30</v>
      </c>
      <c r="C5" s="60">
        <v>12.0</v>
      </c>
      <c r="D5" s="103" t="str">
        <f>if(I2&lt;C5,"W",if(I2&gt;C5,"L",if(isblank(C5),"","T")))</f>
        <v>L</v>
      </c>
      <c r="E5" s="74"/>
      <c r="F5" s="58" t="str">
        <f>if(I3&lt;E5,"W",if(I3&gt;E5,"L",if(isblank(E5),"","T")))</f>
        <v/>
      </c>
      <c r="G5" s="60">
        <v>126.0</v>
      </c>
      <c r="H5" s="62" t="str">
        <f>if(I4&lt;G5,"W",if(I4&gt;G5,"L",if(isblank(G5),"","T")))</f>
        <v>W</v>
      </c>
      <c r="I5" s="48"/>
      <c r="J5" s="82"/>
      <c r="K5" s="108">
        <v>118.0</v>
      </c>
      <c r="L5" s="62" t="str">
        <f>if(K5&gt;I6,"W",if(K5&lt;I6,"L",if(isblank(K5),"","T")))</f>
        <v>W</v>
      </c>
      <c r="M5" s="60">
        <v>54.0</v>
      </c>
      <c r="N5" s="62" t="str">
        <f>if(M5&gt;I7,"W",if(M5&lt;I7,"L",if(isblank(M5),"","T")))</f>
        <v>L</v>
      </c>
      <c r="O5" s="70">
        <f t="shared" si="1"/>
        <v>2</v>
      </c>
      <c r="P5" s="71">
        <f t="shared" si="2"/>
        <v>2</v>
      </c>
      <c r="Q5" s="72">
        <f t="shared" si="3"/>
        <v>310</v>
      </c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</row>
    <row r="6">
      <c r="A6" s="45" t="s">
        <v>124</v>
      </c>
      <c r="B6" s="46" t="s">
        <v>166</v>
      </c>
      <c r="C6" s="60">
        <v>14.0</v>
      </c>
      <c r="D6" s="103" t="str">
        <f>if(K2&lt;C6,"W",if(K2&gt;C6,"L",if(isblank(C6),"","T")))</f>
        <v>L</v>
      </c>
      <c r="E6" s="74"/>
      <c r="F6" s="58" t="str">
        <f>if(K3&lt;E6,"W",if(K3&gt;E6,"L",if(isblank(E6),"","T")))</f>
        <v/>
      </c>
      <c r="G6" s="60">
        <v>20.0</v>
      </c>
      <c r="H6" s="62" t="str">
        <f>if(K4&lt;G6,"W",if(K4&gt;G6,"L",if(isblank(G6),"","T")))</f>
        <v>L</v>
      </c>
      <c r="I6" s="60">
        <v>4.0</v>
      </c>
      <c r="J6" s="62" t="str">
        <f>if(K5&lt;I6,"W",if(K5&gt;I6,"L",if(isblank(I6),"","T")))</f>
        <v>L</v>
      </c>
      <c r="K6" s="48"/>
      <c r="L6" s="132"/>
      <c r="M6" s="108">
        <v>36.0</v>
      </c>
      <c r="N6" s="62" t="str">
        <f>if(M6&gt;K7,"W",if(M6&lt;K7,"L",if(isblank(M6),"","T")))</f>
        <v>W</v>
      </c>
      <c r="O6" s="70">
        <f t="shared" si="1"/>
        <v>1</v>
      </c>
      <c r="P6" s="71">
        <f t="shared" si="2"/>
        <v>3</v>
      </c>
      <c r="Q6" s="72">
        <f t="shared" si="3"/>
        <v>74</v>
      </c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</row>
    <row r="7">
      <c r="A7" s="134" t="s">
        <v>125</v>
      </c>
      <c r="B7" s="136" t="s">
        <v>159</v>
      </c>
      <c r="C7" s="138">
        <v>30.0</v>
      </c>
      <c r="D7" s="139" t="str">
        <f>if(M2&lt;C7,"W",if(M2&gt;C7,"L",if(isblank(C7),"","T")))</f>
        <v>L</v>
      </c>
      <c r="E7" s="140"/>
      <c r="F7" s="141" t="str">
        <f>if(M3&lt;E7,"W",if(M3&gt;E7,"L",if(isblank(E7),"","T")))</f>
        <v/>
      </c>
      <c r="G7" s="138">
        <v>14.0</v>
      </c>
      <c r="H7" s="139" t="str">
        <f>if(M4&lt;G7,"W",if(M4&gt;G7,"L",if(isblank(G7),"","T")))</f>
        <v>L</v>
      </c>
      <c r="I7" s="138">
        <v>58.0</v>
      </c>
      <c r="J7" s="139" t="str">
        <f>if(M5&lt;I7,"W",if(M5&gt;I7,"L",if(isblank(I7),"","T")))</f>
        <v>W</v>
      </c>
      <c r="K7" s="138">
        <v>30.0</v>
      </c>
      <c r="L7" s="139" t="str">
        <f>if(M6&lt;K7,"W",if(M6&gt;K7,"L",if(isblank(K7),"","T")))</f>
        <v>L</v>
      </c>
      <c r="M7" s="142"/>
      <c r="N7" s="143"/>
      <c r="O7" s="144">
        <f t="shared" si="1"/>
        <v>1</v>
      </c>
      <c r="P7" s="145">
        <f t="shared" si="2"/>
        <v>3</v>
      </c>
      <c r="Q7" s="146">
        <f t="shared" si="3"/>
        <v>132</v>
      </c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</row>
    <row r="8">
      <c r="A8" s="44"/>
      <c r="B8" s="44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</row>
    <row r="9">
      <c r="A9" s="2" t="s">
        <v>20</v>
      </c>
      <c r="B9" s="4"/>
      <c r="C9" s="148" t="str">
        <f>B10</f>
        <v>School of Geology</v>
      </c>
      <c r="D9" s="10"/>
      <c r="E9" s="148" t="str">
        <f>B11</f>
        <v>North Hollywood 2</v>
      </c>
      <c r="F9" s="10"/>
      <c r="G9" s="148" t="str">
        <f>B12</f>
        <v>Lynbrook 2</v>
      </c>
      <c r="H9" s="10"/>
      <c r="I9" s="148" t="str">
        <f>B13</f>
        <v>Lexington High School</v>
      </c>
      <c r="J9" s="10"/>
      <c r="K9" s="148" t="str">
        <f>B14</f>
        <v>Palm Desert High School</v>
      </c>
      <c r="L9" s="10"/>
      <c r="M9" s="148" t="str">
        <f>B15</f>
        <v>Eastlake High School</v>
      </c>
      <c r="N9" s="34"/>
      <c r="O9" s="149" t="s">
        <v>2</v>
      </c>
      <c r="P9" s="150" t="s">
        <v>38</v>
      </c>
      <c r="Q9" s="151" t="s">
        <v>45</v>
      </c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</row>
    <row r="10">
      <c r="A10" s="153" t="s">
        <v>60</v>
      </c>
      <c r="B10" s="154" t="s">
        <v>10</v>
      </c>
      <c r="C10" s="48"/>
      <c r="D10" s="48"/>
      <c r="E10" s="155">
        <v>120.0</v>
      </c>
      <c r="F10" s="157" t="str">
        <f>if(E10&gt;C11,"W",if(E10&lt;C11,"L",if(isblank(E10),"","T")))</f>
        <v>W</v>
      </c>
      <c r="G10" s="158">
        <v>114.0</v>
      </c>
      <c r="H10" s="157" t="str">
        <f>if(G10&gt;C12,"W",if(G10&lt;C12,"L",if(isblank(G10),"","T")))</f>
        <v>W</v>
      </c>
      <c r="I10" s="158">
        <v>28.0</v>
      </c>
      <c r="J10" s="157" t="str">
        <f>if(I10&gt;C13,"W",if(I10&lt;C13,"L",if(isblank(I10),"","T")))</f>
        <v>W</v>
      </c>
      <c r="K10" s="158">
        <v>150.0</v>
      </c>
      <c r="L10" s="157" t="str">
        <f>if(K10&gt;C14,"W",if(K10&lt;C14,"L",if(isblank(K10),"","T")))</f>
        <v>W</v>
      </c>
      <c r="M10" s="158">
        <v>64.0</v>
      </c>
      <c r="N10" s="157" t="str">
        <f>if(M10&gt;C15,"W",if(M10&lt;C15,"L",if(isblank(M10),"","T")))</f>
        <v>W</v>
      </c>
      <c r="O10" s="70">
        <f t="shared" ref="O10:O15" si="4">countif(C10:N10,"W")+0.5*countif(C10:N10,"T")</f>
        <v>5</v>
      </c>
      <c r="P10" s="71">
        <f t="shared" ref="P10:P15" si="5">countif(C10:N10,"L")+0.5*countif(C10:N10,"T")</f>
        <v>0</v>
      </c>
      <c r="Q10" s="72">
        <f t="shared" ref="Q10:Q15" si="6">sum(C10:N10)</f>
        <v>476</v>
      </c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</row>
    <row r="11">
      <c r="A11" s="153" t="s">
        <v>61</v>
      </c>
      <c r="B11" s="154" t="s">
        <v>36</v>
      </c>
      <c r="C11" s="158">
        <v>70.0</v>
      </c>
      <c r="D11" s="157" t="str">
        <f>if(E10&lt;C11,"W",if(E10&gt;C11,"L",if(isblank(C11),"","T")))</f>
        <v>L</v>
      </c>
      <c r="E11" s="48"/>
      <c r="F11" s="48"/>
      <c r="G11" s="155">
        <v>46.0</v>
      </c>
      <c r="H11" s="157" t="str">
        <f>if(G11&gt;E12,"W",if(G11&lt;E12,"L",if(isblank(G11),"","T")))</f>
        <v>L</v>
      </c>
      <c r="I11" s="158">
        <v>54.0</v>
      </c>
      <c r="J11" s="159" t="s">
        <v>412</v>
      </c>
      <c r="K11" s="158">
        <v>82.0</v>
      </c>
      <c r="L11" s="157" t="str">
        <f>if(K11&gt;E14,"W",if(K11&lt;E14,"L",if(isblank(K11),"","T")))</f>
        <v>W</v>
      </c>
      <c r="M11" s="158">
        <v>70.0</v>
      </c>
      <c r="N11" s="157" t="str">
        <f>if(M11&gt;E15,"W",if(M11&lt;E15,"L",if(isblank(M11),"","T")))</f>
        <v>T</v>
      </c>
      <c r="O11" s="70">
        <f t="shared" si="4"/>
        <v>2.5</v>
      </c>
      <c r="P11" s="71">
        <f t="shared" si="5"/>
        <v>2.5</v>
      </c>
      <c r="Q11" s="72">
        <f t="shared" si="6"/>
        <v>322</v>
      </c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>
      <c r="A12" s="153" t="s">
        <v>96</v>
      </c>
      <c r="B12" s="154" t="s">
        <v>57</v>
      </c>
      <c r="C12" s="158">
        <v>28.0</v>
      </c>
      <c r="D12" s="160" t="str">
        <f>if(G10&lt;C12,"W",if(G10&gt;C12,"L",if(isblank(C12),"","T")))</f>
        <v>L</v>
      </c>
      <c r="E12" s="158">
        <v>58.0</v>
      </c>
      <c r="F12" s="157" t="str">
        <f>if(G11&lt;E12,"W",if(G11&gt;E12,"L",if(isblank(E12),"","T")))</f>
        <v>W</v>
      </c>
      <c r="G12" s="48"/>
      <c r="H12" s="48"/>
      <c r="I12" s="155">
        <v>28.0</v>
      </c>
      <c r="J12" s="157" t="str">
        <f>if(I12&gt;G13,"W",if(I12&lt;G13,"L",if(isblank(I12),"","T")))</f>
        <v>L</v>
      </c>
      <c r="K12" s="158">
        <v>76.0</v>
      </c>
      <c r="L12" s="157" t="str">
        <f>if(K12&gt;G14,"W",if(K12&lt;G14,"L",if(isblank(K12),"","T")))</f>
        <v>W</v>
      </c>
      <c r="M12" s="158">
        <v>48.0</v>
      </c>
      <c r="N12" s="157" t="str">
        <f>if(M12&gt;G15,"W",if(M12&lt;G15,"L",if(isblank(M12),"","T")))</f>
        <v>W</v>
      </c>
      <c r="O12" s="70">
        <f t="shared" si="4"/>
        <v>3</v>
      </c>
      <c r="P12" s="71">
        <f t="shared" si="5"/>
        <v>2</v>
      </c>
      <c r="Q12" s="72">
        <f t="shared" si="6"/>
        <v>238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</row>
    <row r="13">
      <c r="A13" s="153" t="s">
        <v>413</v>
      </c>
      <c r="B13" s="154" t="s">
        <v>87</v>
      </c>
      <c r="C13" s="158">
        <v>18.0</v>
      </c>
      <c r="D13" s="160" t="str">
        <f>if(I10&lt;C13,"W",if(I10&gt;C13,"L",if(isblank(C13),"","T")))</f>
        <v>L</v>
      </c>
      <c r="E13" s="158">
        <v>46.0</v>
      </c>
      <c r="F13" s="157" t="str">
        <f>if(I11&lt;E13,"W",if(I11&gt;E13,"L",if(isblank(E13),"","T")))</f>
        <v>L</v>
      </c>
      <c r="G13" s="158">
        <v>62.0</v>
      </c>
      <c r="H13" s="157" t="str">
        <f>if(I12&lt;G13,"W",if(I12&gt;G13,"L",if(isblank(G13),"","T")))</f>
        <v>W</v>
      </c>
      <c r="I13" s="48"/>
      <c r="J13" s="48"/>
      <c r="K13" s="155">
        <v>126.0</v>
      </c>
      <c r="L13" s="157" t="str">
        <f>if(K13&gt;I14,"W",if(K13&lt;I14,"L",if(isblank(K13),"","T")))</f>
        <v>W</v>
      </c>
      <c r="M13" s="158">
        <v>42.0</v>
      </c>
      <c r="N13" s="157" t="str">
        <f>if(M13&gt;I15,"W",if(M13&lt;I15,"L",if(isblank(M13),"","T")))</f>
        <v>L</v>
      </c>
      <c r="O13" s="70">
        <f t="shared" si="4"/>
        <v>2</v>
      </c>
      <c r="P13" s="71">
        <f t="shared" si="5"/>
        <v>3</v>
      </c>
      <c r="Q13" s="72">
        <f t="shared" si="6"/>
        <v>294</v>
      </c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</row>
    <row r="14">
      <c r="A14" s="153" t="s">
        <v>128</v>
      </c>
      <c r="B14" s="154" t="s">
        <v>171</v>
      </c>
      <c r="C14" s="158">
        <v>8.0</v>
      </c>
      <c r="D14" s="160" t="str">
        <f>if(K10&lt;C14,"W",if(K10&gt;C14,"L",if(isblank(C14),"","T")))</f>
        <v>L</v>
      </c>
      <c r="E14" s="158">
        <v>22.0</v>
      </c>
      <c r="F14" s="157" t="str">
        <f>if(K11&lt;E14,"W",if(K11&gt;E14,"L",if(isblank(E14),"","T")))</f>
        <v>L</v>
      </c>
      <c r="G14" s="158">
        <v>0.0</v>
      </c>
      <c r="H14" s="157" t="str">
        <f>if(K12&lt;G14,"W",if(K12&gt;G14,"L",if(isblank(G14),"","T")))</f>
        <v>L</v>
      </c>
      <c r="I14" s="158">
        <v>4.0</v>
      </c>
      <c r="J14" s="157" t="str">
        <f>if(K13&lt;I14,"W",if(K13&gt;I14,"L",if(isblank(I14),"","T")))</f>
        <v>L</v>
      </c>
      <c r="K14" s="48"/>
      <c r="L14" s="132"/>
      <c r="M14" s="155">
        <v>44.0</v>
      </c>
      <c r="N14" s="157" t="str">
        <f>if(M14&gt;K15,"W",if(M14&lt;K15,"L",if(isblank(M14),"","T")))</f>
        <v>W</v>
      </c>
      <c r="O14" s="70">
        <f t="shared" si="4"/>
        <v>1</v>
      </c>
      <c r="P14" s="71">
        <f t="shared" si="5"/>
        <v>4</v>
      </c>
      <c r="Q14" s="72">
        <f t="shared" si="6"/>
        <v>78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>
      <c r="A15" s="161" t="s">
        <v>130</v>
      </c>
      <c r="B15" s="162" t="s">
        <v>152</v>
      </c>
      <c r="C15" s="163">
        <v>22.0</v>
      </c>
      <c r="D15" s="164" t="str">
        <f>if(M10&lt;C15,"W",if(M10&gt;C15,"L",if(isblank(C15),"","T")))</f>
        <v>L</v>
      </c>
      <c r="E15" s="163">
        <v>70.0</v>
      </c>
      <c r="F15" s="164" t="str">
        <f>if(M11&lt;E15,"W",if(M11&gt;E15,"L",if(isblank(E15),"","T")))</f>
        <v>T</v>
      </c>
      <c r="G15" s="163">
        <v>30.0</v>
      </c>
      <c r="H15" s="164" t="str">
        <f>if(M12&lt;G15,"W",if(M12&gt;G15,"L",if(isblank(G15),"","T")))</f>
        <v>L</v>
      </c>
      <c r="I15" s="163">
        <v>50.0</v>
      </c>
      <c r="J15" s="164" t="str">
        <f>if(M13&lt;I15,"W",if(M13&gt;I15,"L",if(isblank(I15),"","T")))</f>
        <v>W</v>
      </c>
      <c r="K15" s="163">
        <v>42.0</v>
      </c>
      <c r="L15" s="164" t="str">
        <f>if(M14&lt;K15,"W",if(M14&gt;K15,"L",if(isblank(K15),"","T")))</f>
        <v>L</v>
      </c>
      <c r="M15" s="142"/>
      <c r="N15" s="143"/>
      <c r="O15" s="144">
        <f t="shared" si="4"/>
        <v>1.5</v>
      </c>
      <c r="P15" s="145">
        <f t="shared" si="5"/>
        <v>3.5</v>
      </c>
      <c r="Q15" s="146">
        <f t="shared" si="6"/>
        <v>214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</row>
    <row r="16">
      <c r="A16" s="44"/>
      <c r="B16" s="44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>
      <c r="A17" s="2" t="s">
        <v>22</v>
      </c>
      <c r="B17" s="4"/>
      <c r="C17" s="165" t="str">
        <f>B18</f>
        <v>Lynbrook 1</v>
      </c>
      <c r="D17" s="10"/>
      <c r="E17" s="165" t="str">
        <f>B19</f>
        <v>Thomas Jefferson 2</v>
      </c>
      <c r="F17" s="10"/>
      <c r="G17" s="165" t="str">
        <f>B20</f>
        <v>Jericho High School 2</v>
      </c>
      <c r="H17" s="10"/>
      <c r="I17" s="165" t="str">
        <f>B21</f>
        <v>College Park High School</v>
      </c>
      <c r="J17" s="10"/>
      <c r="K17" s="165" t="str">
        <f>B22</f>
        <v>Plano West Senior High</v>
      </c>
      <c r="L17" s="10"/>
      <c r="M17" s="165" t="str">
        <f>B23</f>
        <v>Cupertino High School</v>
      </c>
      <c r="N17" s="34"/>
      <c r="O17" s="166" t="s">
        <v>2</v>
      </c>
      <c r="P17" s="167" t="s">
        <v>38</v>
      </c>
      <c r="Q17" s="168" t="s">
        <v>45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>
      <c r="A18" s="169" t="s">
        <v>63</v>
      </c>
      <c r="B18" s="170" t="s">
        <v>8</v>
      </c>
      <c r="C18" s="48"/>
      <c r="D18" s="48"/>
      <c r="E18" s="171">
        <v>122.0</v>
      </c>
      <c r="F18" s="172" t="str">
        <f>if(E18&gt;C19,"W",if(E18&lt;C19,"L",if(isblank(E18),"","T")))</f>
        <v>W</v>
      </c>
      <c r="G18" s="173">
        <v>126.0</v>
      </c>
      <c r="H18" s="172" t="str">
        <f>if(G18&gt;C20,"W",if(G18&lt;C20,"L",if(isblank(G18),"","T")))</f>
        <v>W</v>
      </c>
      <c r="I18" s="173">
        <v>54.0</v>
      </c>
      <c r="J18" s="172" t="str">
        <f>if(I18&gt;C21,"W",if(I18&lt;C21,"L",if(isblank(I18),"","T")))</f>
        <v>W</v>
      </c>
      <c r="K18" s="173">
        <v>130.0</v>
      </c>
      <c r="L18" s="172" t="str">
        <f>if(K18&gt;C22,"W",if(K18&lt;C22,"L",if(isblank(K18),"","T")))</f>
        <v>W</v>
      </c>
      <c r="M18" s="173">
        <v>142.0</v>
      </c>
      <c r="N18" s="172" t="str">
        <f>if(M18&gt;C23,"W",if(M18&lt;C23,"L",if(isblank(M18),"","T")))</f>
        <v>W</v>
      </c>
      <c r="O18" s="70">
        <f t="shared" ref="O18:O23" si="7">countif(C18:N18,"W")+0.5*countif(C18:N18,"T")</f>
        <v>5</v>
      </c>
      <c r="P18" s="71">
        <f t="shared" ref="P18:P23" si="8">countif(C18:N18,"L")+0.5*countif(C18:N18,"T")</f>
        <v>0</v>
      </c>
      <c r="Q18" s="72">
        <f t="shared" ref="Q18:Q23" si="9">sum(C18:N18)</f>
        <v>574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>
      <c r="A19" s="169" t="s">
        <v>65</v>
      </c>
      <c r="B19" s="170" t="s">
        <v>162</v>
      </c>
      <c r="C19" s="173">
        <v>0.0</v>
      </c>
      <c r="D19" s="172" t="str">
        <f>if(E18&lt;C19,"W",if(E18&gt;C19,"L",if(isblank(C19),"","T")))</f>
        <v>L</v>
      </c>
      <c r="E19" s="48"/>
      <c r="F19" s="82"/>
      <c r="G19" s="171">
        <v>26.0</v>
      </c>
      <c r="H19" s="172" t="str">
        <f>if(G19&gt;E20,"W",if(G19&lt;E20,"L",if(isblank(G19),"","T")))</f>
        <v>L</v>
      </c>
      <c r="I19" s="173">
        <v>16.0</v>
      </c>
      <c r="J19" s="172" t="str">
        <f>if(I19&gt;E21,"W",if(I19&lt;E21,"L",if(isblank(I19),"","T")))</f>
        <v>T</v>
      </c>
      <c r="K19" s="173">
        <v>18.0</v>
      </c>
      <c r="L19" s="172" t="str">
        <f>if(K19&gt;E22,"W",if(K19&lt;E22,"L",if(isblank(K19),"","T")))</f>
        <v>L</v>
      </c>
      <c r="M19" s="173">
        <v>40.0</v>
      </c>
      <c r="N19" s="172" t="str">
        <f>if(M19&gt;E23,"W",if(M19&lt;E23,"L",if(isblank(M19),"","T")))</f>
        <v>W</v>
      </c>
      <c r="O19" s="70">
        <f t="shared" si="7"/>
        <v>1.5</v>
      </c>
      <c r="P19" s="71">
        <f t="shared" si="8"/>
        <v>3.5</v>
      </c>
      <c r="Q19" s="72">
        <f t="shared" si="9"/>
        <v>100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>
      <c r="A20" s="169" t="s">
        <v>101</v>
      </c>
      <c r="B20" s="170" t="s">
        <v>91</v>
      </c>
      <c r="C20" s="173">
        <v>12.0</v>
      </c>
      <c r="D20" s="174" t="str">
        <f>if(G18&lt;C20,"W",if(G18&gt;C20,"L",if(isblank(C20),"","T")))</f>
        <v>L</v>
      </c>
      <c r="E20" s="173">
        <v>34.0</v>
      </c>
      <c r="F20" s="172" t="str">
        <f>if(G19&lt;E20,"W",if(G19&gt;E20,"L",if(isblank(E20),"","T")))</f>
        <v>W</v>
      </c>
      <c r="G20" s="48"/>
      <c r="H20" s="82"/>
      <c r="I20" s="171">
        <v>46.0</v>
      </c>
      <c r="J20" s="172" t="str">
        <f>if(I20&gt;G21,"W",if(I20&lt;G21,"L",if(isblank(I20),"","T")))</f>
        <v>W</v>
      </c>
      <c r="K20" s="173">
        <v>26.0</v>
      </c>
      <c r="L20" s="172" t="str">
        <f>if(K20&gt;G22,"W",if(K20&lt;G22,"L",if(isblank(K20),"","T")))</f>
        <v>T</v>
      </c>
      <c r="M20" s="173">
        <v>18.0</v>
      </c>
      <c r="N20" s="172" t="str">
        <f>if(M20&gt;G23,"W",if(M20&lt;G23,"L",if(isblank(M20),"","T")))</f>
        <v>W</v>
      </c>
      <c r="O20" s="70">
        <f t="shared" si="7"/>
        <v>3.5</v>
      </c>
      <c r="P20" s="71">
        <f t="shared" si="8"/>
        <v>1.5</v>
      </c>
      <c r="Q20" s="72">
        <f t="shared" si="9"/>
        <v>136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>
      <c r="A21" s="169" t="s">
        <v>414</v>
      </c>
      <c r="B21" s="170" t="s">
        <v>145</v>
      </c>
      <c r="C21" s="173">
        <v>20.0</v>
      </c>
      <c r="D21" s="174" t="str">
        <f>if(I18&lt;C21,"W",if(I18&gt;C21,"L",if(isblank(C21),"","T")))</f>
        <v>L</v>
      </c>
      <c r="E21" s="173">
        <v>16.0</v>
      </c>
      <c r="F21" s="172" t="str">
        <f>if(I19&lt;E21,"W",if(I19&gt;E21,"L",if(isblank(E21),"","T")))</f>
        <v>T</v>
      </c>
      <c r="G21" s="173">
        <v>44.0</v>
      </c>
      <c r="H21" s="172" t="str">
        <f>if(I20&lt;G21,"W",if(I20&gt;G21,"L",if(isblank(G21),"","T")))</f>
        <v>L</v>
      </c>
      <c r="I21" s="48"/>
      <c r="J21" s="82"/>
      <c r="K21" s="171">
        <v>46.0</v>
      </c>
      <c r="L21" s="172" t="str">
        <f>if(K21&gt;I22,"W",if(K21&lt;I22,"L",if(isblank(K21),"","T")))</f>
        <v>W</v>
      </c>
      <c r="M21" s="173">
        <v>20.0</v>
      </c>
      <c r="N21" s="172" t="str">
        <f>if(M21&gt;I23,"W",if(M21&lt;I23,"L",if(isblank(M21),"","T")))</f>
        <v>W</v>
      </c>
      <c r="O21" s="70">
        <f t="shared" si="7"/>
        <v>2.5</v>
      </c>
      <c r="P21" s="71">
        <f t="shared" si="8"/>
        <v>2.5</v>
      </c>
      <c r="Q21" s="72">
        <f t="shared" si="9"/>
        <v>146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>
      <c r="A22" s="169" t="s">
        <v>132</v>
      </c>
      <c r="B22" s="170" t="s">
        <v>122</v>
      </c>
      <c r="C22" s="173">
        <v>4.0</v>
      </c>
      <c r="D22" s="174" t="str">
        <f>if(K18&lt;C22,"W",if(K18&gt;C22,"L",if(isblank(C22),"","T")))</f>
        <v>L</v>
      </c>
      <c r="E22" s="173">
        <v>26.0</v>
      </c>
      <c r="F22" s="172" t="str">
        <f>if(K19&lt;E22,"W",if(K19&gt;E22,"L",if(isblank(E22),"","T")))</f>
        <v>W</v>
      </c>
      <c r="G22" s="173">
        <v>26.0</v>
      </c>
      <c r="H22" s="172" t="str">
        <f>if(K20&lt;G22,"W",if(K20&gt;G22,"L",if(isblank(G22),"","T")))</f>
        <v>T</v>
      </c>
      <c r="I22" s="173">
        <v>30.0</v>
      </c>
      <c r="J22" s="172" t="str">
        <f>if(K21&lt;I22,"W",if(K21&gt;I22,"L",if(isblank(I22),"","T")))</f>
        <v>L</v>
      </c>
      <c r="K22" s="48"/>
      <c r="L22" s="132"/>
      <c r="M22" s="171">
        <v>82.0</v>
      </c>
      <c r="N22" s="172" t="str">
        <f>if(M22&gt;K23,"W",if(M22&lt;K23,"L",if(isblank(M22),"","T")))</f>
        <v>W</v>
      </c>
      <c r="O22" s="70">
        <f t="shared" si="7"/>
        <v>2.5</v>
      </c>
      <c r="P22" s="71">
        <f t="shared" si="8"/>
        <v>2.5</v>
      </c>
      <c r="Q22" s="72">
        <f t="shared" si="9"/>
        <v>168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>
      <c r="A23" s="175" t="s">
        <v>133</v>
      </c>
      <c r="B23" s="176" t="s">
        <v>174</v>
      </c>
      <c r="C23" s="177">
        <v>0.0</v>
      </c>
      <c r="D23" s="178" t="str">
        <f>if(M18&lt;C23,"W",if(M18&gt;C23,"L",if(isblank(C23),"","T")))</f>
        <v>L</v>
      </c>
      <c r="E23" s="177">
        <v>22.0</v>
      </c>
      <c r="F23" s="178" t="str">
        <f>if(M19&lt;E23,"W",if(M19&gt;E23,"L",if(isblank(E23),"","T")))</f>
        <v>L</v>
      </c>
      <c r="G23" s="177">
        <v>16.0</v>
      </c>
      <c r="H23" s="178" t="str">
        <f>if(M20&lt;G23,"W",if(M20&gt;G23,"L",if(isblank(G23),"","T")))</f>
        <v>L</v>
      </c>
      <c r="I23" s="177">
        <v>12.0</v>
      </c>
      <c r="J23" s="178" t="str">
        <f>if(M21&lt;I23,"W",if(M21&gt;I23,"L",if(isblank(I23),"","T")))</f>
        <v>L</v>
      </c>
      <c r="K23" s="177">
        <v>14.0</v>
      </c>
      <c r="L23" s="178" t="str">
        <f>if(M22&lt;K23,"W",if(M22&gt;K23,"L",if(isblank(K23),"","T")))</f>
        <v>L</v>
      </c>
      <c r="M23" s="142"/>
      <c r="N23" s="143"/>
      <c r="O23" s="144">
        <f t="shared" si="7"/>
        <v>0</v>
      </c>
      <c r="P23" s="145">
        <f t="shared" si="8"/>
        <v>5</v>
      </c>
      <c r="Q23" s="146">
        <f t="shared" si="9"/>
        <v>64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>
      <c r="A24" s="44"/>
      <c r="B24" s="44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</row>
    <row r="25">
      <c r="A25" s="2" t="s">
        <v>23</v>
      </c>
      <c r="B25" s="4"/>
      <c r="C25" s="179" t="str">
        <f>B26</f>
        <v>The Frazer School</v>
      </c>
      <c r="D25" s="10"/>
      <c r="E25" s="179" t="str">
        <f>B27</f>
        <v>Jericho High School</v>
      </c>
      <c r="F25" s="10"/>
      <c r="G25" s="179" t="str">
        <f>B28</f>
        <v>Westview High School 2</v>
      </c>
      <c r="H25" s="10"/>
      <c r="I25" s="179" t="str">
        <f>B29</f>
        <v>Harvard Westlake</v>
      </c>
      <c r="J25" s="10"/>
      <c r="K25" s="179" t="str">
        <f>B30</f>
        <v>VMATHS</v>
      </c>
      <c r="L25" s="10"/>
      <c r="M25" s="179" t="str">
        <f>B31</f>
        <v>Bridgeland High School 2</v>
      </c>
      <c r="N25" s="34"/>
      <c r="O25" s="180" t="s">
        <v>2</v>
      </c>
      <c r="P25" s="181" t="s">
        <v>38</v>
      </c>
      <c r="Q25" s="182" t="s">
        <v>45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>
      <c r="A26" s="183" t="s">
        <v>67</v>
      </c>
      <c r="B26" s="184" t="s">
        <v>104</v>
      </c>
      <c r="C26" s="48"/>
      <c r="D26" s="48"/>
      <c r="E26" s="185">
        <v>46.0</v>
      </c>
      <c r="F26" s="186" t="str">
        <f>if(E26&gt;C27,"W",if(E26&lt;C27,"L",if(isblank(E26),"","T")))</f>
        <v>L</v>
      </c>
      <c r="G26" s="187">
        <v>68.0</v>
      </c>
      <c r="H26" s="186" t="str">
        <f>if(G26&gt;C28,"W",if(G26&lt;C28,"L",if(isblank(G26),"","T")))</f>
        <v>W</v>
      </c>
      <c r="I26" s="187">
        <v>14.0</v>
      </c>
      <c r="J26" s="186" t="str">
        <f>if(I26&gt;C29,"W",if(I26&lt;C29,"L",if(isblank(I26),"","T")))</f>
        <v>L</v>
      </c>
      <c r="K26" s="187">
        <v>56.0</v>
      </c>
      <c r="L26" s="186" t="str">
        <f>if(K26&gt;C30,"W",if(K26&lt;C30,"L",if(isblank(K26),"","T")))</f>
        <v>L</v>
      </c>
      <c r="M26" s="187">
        <v>36.0</v>
      </c>
      <c r="N26" s="186" t="str">
        <f>if(M26&gt;C31,"W",if(M26&lt;C31,"L",if(isblank(M26),"","T")))</f>
        <v>W</v>
      </c>
      <c r="O26" s="70">
        <f t="shared" ref="O26:O31" si="10">countif(C26:N26,"W")+0.5*countif(C26:N26,"T")</f>
        <v>2</v>
      </c>
      <c r="P26" s="71">
        <f t="shared" ref="P26:P31" si="11">countif(C26:N26,"L")+0.5*countif(C26:N26,"T")</f>
        <v>3</v>
      </c>
      <c r="Q26" s="72">
        <f t="shared" ref="Q26:Q31" si="12">sum(C26:N26)</f>
        <v>220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>
      <c r="A27" s="183" t="s">
        <v>68</v>
      </c>
      <c r="B27" s="184" t="s">
        <v>11</v>
      </c>
      <c r="C27" s="187">
        <v>82.0</v>
      </c>
      <c r="D27" s="186" t="str">
        <f>if(E26&lt;C27,"W",if(E26&gt;C27,"L",if(isblank(C27),"","T")))</f>
        <v>W</v>
      </c>
      <c r="E27" s="48"/>
      <c r="F27" s="82"/>
      <c r="G27" s="185">
        <v>100.0</v>
      </c>
      <c r="H27" s="186" t="str">
        <f>if(G27&gt;E28,"W",if(G27&lt;E28,"L",if(isblank(G27),"","T")))</f>
        <v>W</v>
      </c>
      <c r="I27" s="187">
        <v>80.0</v>
      </c>
      <c r="J27" s="186" t="str">
        <f>if(I27&gt;E29,"W",if(I27&lt;E29,"L",if(isblank(I27),"","T")))</f>
        <v>W</v>
      </c>
      <c r="K27" s="187">
        <v>44.0</v>
      </c>
      <c r="L27" s="186" t="str">
        <f>if(K27&gt;E30,"W",if(K27&lt;E30,"L",if(isblank(K27),"","T")))</f>
        <v>W</v>
      </c>
      <c r="M27" s="187">
        <v>152.0</v>
      </c>
      <c r="N27" s="186" t="str">
        <f>if(M27&gt;E31,"W",if(M27&lt;E31,"L",if(isblank(M27),"","T")))</f>
        <v>W</v>
      </c>
      <c r="O27" s="70">
        <f t="shared" si="10"/>
        <v>5</v>
      </c>
      <c r="P27" s="71">
        <f t="shared" si="11"/>
        <v>0</v>
      </c>
      <c r="Q27" s="72">
        <f t="shared" si="12"/>
        <v>458</v>
      </c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>
      <c r="A28" s="183" t="s">
        <v>105</v>
      </c>
      <c r="B28" s="184" t="s">
        <v>167</v>
      </c>
      <c r="C28" s="187">
        <v>22.0</v>
      </c>
      <c r="D28" s="188" t="str">
        <f>if(G26&lt;C28,"W",if(G26&gt;C28,"L",if(isblank(C28),"","T")))</f>
        <v>L</v>
      </c>
      <c r="E28" s="187">
        <v>8.0</v>
      </c>
      <c r="F28" s="186" t="str">
        <f>if(G27&lt;E28,"W",if(G27&gt;E28,"L",if(isblank(E28),"","T")))</f>
        <v>L</v>
      </c>
      <c r="G28" s="48"/>
      <c r="H28" s="82"/>
      <c r="I28" s="185">
        <v>24.0</v>
      </c>
      <c r="J28" s="186" t="str">
        <f>if(I28&gt;G29,"W",if(I28&lt;G29,"L",if(isblank(I28),"","T")))</f>
        <v>L</v>
      </c>
      <c r="K28" s="187">
        <v>12.0</v>
      </c>
      <c r="L28" s="186" t="str">
        <f>if(K28&gt;G30,"W",if(K28&lt;G30,"L",if(isblank(K28),"","T")))</f>
        <v>L</v>
      </c>
      <c r="M28" s="187">
        <v>28.0</v>
      </c>
      <c r="N28" s="186" t="str">
        <f>if(M28&gt;G31,"W",if(M28&lt;G31,"L",if(isblank(M28),"","T")))</f>
        <v>W</v>
      </c>
      <c r="O28" s="70">
        <f t="shared" si="10"/>
        <v>1</v>
      </c>
      <c r="P28" s="71">
        <f t="shared" si="11"/>
        <v>4</v>
      </c>
      <c r="Q28" s="72">
        <f t="shared" si="12"/>
        <v>94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>
      <c r="A29" s="183" t="s">
        <v>415</v>
      </c>
      <c r="B29" s="184" t="s">
        <v>88</v>
      </c>
      <c r="C29" s="187">
        <v>36.0</v>
      </c>
      <c r="D29" s="188" t="str">
        <f>if(I26&lt;C29,"W",if(I26&gt;C29,"L",if(isblank(C29),"","T")))</f>
        <v>W</v>
      </c>
      <c r="E29" s="187">
        <v>12.0</v>
      </c>
      <c r="F29" s="186" t="str">
        <f>if(I27&lt;E29,"W",if(I27&gt;E29,"L",if(isblank(E29),"","T")))</f>
        <v>L</v>
      </c>
      <c r="G29" s="187">
        <v>48.0</v>
      </c>
      <c r="H29" s="186" t="str">
        <f>if(I28&lt;G29,"W",if(I28&gt;G29,"L",if(isblank(G29),"","T")))</f>
        <v>W</v>
      </c>
      <c r="I29" s="48"/>
      <c r="J29" s="82"/>
      <c r="K29" s="185">
        <v>32.0</v>
      </c>
      <c r="L29" s="186" t="str">
        <f>if(K29&gt;I30,"W",if(K29&lt;I30,"L",if(isblank(K29),"","T")))</f>
        <v>L</v>
      </c>
      <c r="M29" s="187">
        <v>54.0</v>
      </c>
      <c r="N29" s="186" t="str">
        <f>if(M29&gt;I31,"W",if(M29&lt;I31,"L",if(isblank(M29),"","T")))</f>
        <v>W</v>
      </c>
      <c r="O29" s="70">
        <f t="shared" si="10"/>
        <v>3</v>
      </c>
      <c r="P29" s="71">
        <f t="shared" si="11"/>
        <v>2</v>
      </c>
      <c r="Q29" s="72">
        <f t="shared" si="12"/>
        <v>182</v>
      </c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>
      <c r="A30" s="183" t="s">
        <v>135</v>
      </c>
      <c r="B30" s="184" t="s">
        <v>19</v>
      </c>
      <c r="C30" s="187">
        <v>100.0</v>
      </c>
      <c r="D30" s="188" t="str">
        <f>if(K26&lt;C30,"W",if(K26&gt;C30,"L",if(isblank(C30),"","T")))</f>
        <v>W</v>
      </c>
      <c r="E30" s="187">
        <v>8.0</v>
      </c>
      <c r="F30" s="186" t="str">
        <f>if(K27&lt;E30,"W",if(K27&gt;E30,"L",if(isblank(E30),"","T")))</f>
        <v>L</v>
      </c>
      <c r="G30" s="187">
        <v>62.0</v>
      </c>
      <c r="H30" s="186" t="str">
        <f>if(K28&lt;G30,"W",if(K28&gt;G30,"L",if(isblank(G30),"","T")))</f>
        <v>W</v>
      </c>
      <c r="I30" s="187">
        <v>140.0</v>
      </c>
      <c r="J30" s="186" t="str">
        <f>if(K29&lt;I30,"W",if(K29&gt;I30,"L",if(isblank(I30),"","T")))</f>
        <v>W</v>
      </c>
      <c r="K30" s="48"/>
      <c r="L30" s="132"/>
      <c r="M30" s="185">
        <v>72.0</v>
      </c>
      <c r="N30" s="186" t="str">
        <f>if(M30&gt;K31,"W",if(M30&lt;K31,"L",if(isblank(M30),"","T")))</f>
        <v>W</v>
      </c>
      <c r="O30" s="70">
        <f t="shared" si="10"/>
        <v>4</v>
      </c>
      <c r="P30" s="71">
        <f t="shared" si="11"/>
        <v>1</v>
      </c>
      <c r="Q30" s="72">
        <f t="shared" si="12"/>
        <v>382</v>
      </c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>
      <c r="A31" s="189" t="s">
        <v>137</v>
      </c>
      <c r="B31" s="190" t="s">
        <v>173</v>
      </c>
      <c r="C31" s="191">
        <v>20.0</v>
      </c>
      <c r="D31" s="192" t="str">
        <f>if(M26&lt;C31,"W",if(M26&gt;C31,"L",if(isblank(C31),"","T")))</f>
        <v>L</v>
      </c>
      <c r="E31" s="191">
        <v>14.0</v>
      </c>
      <c r="F31" s="192" t="str">
        <f>if(M27&lt;E31,"W",if(M27&gt;E31,"L",if(isblank(E31),"","T")))</f>
        <v>L</v>
      </c>
      <c r="G31" s="191">
        <v>18.0</v>
      </c>
      <c r="H31" s="192" t="str">
        <f>if(M28&lt;G31,"W",if(M28&gt;G31,"L",if(isblank(G31),"","T")))</f>
        <v>L</v>
      </c>
      <c r="I31" s="191">
        <v>12.0</v>
      </c>
      <c r="J31" s="192" t="str">
        <f>if(M29&lt;I31,"W",if(M29&gt;I31,"L",if(isblank(I31),"","T")))</f>
        <v>L</v>
      </c>
      <c r="K31" s="191">
        <v>18.0</v>
      </c>
      <c r="L31" s="192" t="str">
        <f>if(M30&lt;K31,"W",if(M30&gt;K31,"L",if(isblank(K31),"","T")))</f>
        <v>L</v>
      </c>
      <c r="M31" s="142"/>
      <c r="N31" s="143"/>
      <c r="O31" s="144">
        <f t="shared" si="10"/>
        <v>0</v>
      </c>
      <c r="P31" s="145">
        <f t="shared" si="11"/>
        <v>5</v>
      </c>
      <c r="Q31" s="146">
        <f t="shared" si="12"/>
        <v>82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</row>
    <row r="32">
      <c r="A32" s="44"/>
      <c r="B32" s="44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  <row r="33">
      <c r="A33" s="2" t="s">
        <v>25</v>
      </c>
      <c r="B33" s="4"/>
      <c r="C33" s="193" t="str">
        <f>B34</f>
        <v>ASFA</v>
      </c>
      <c r="D33" s="10"/>
      <c r="E33" s="193" t="str">
        <f>B35</f>
        <v>BASIS Chandler 2 </v>
      </c>
      <c r="F33" s="10"/>
      <c r="G33" s="193" t="str">
        <f>B36</f>
        <v>Mira Loma High School</v>
      </c>
      <c r="H33" s="10"/>
      <c r="I33" s="193" t="str">
        <f>B37</f>
        <v>South Texas ISD Science Academy</v>
      </c>
      <c r="J33" s="10"/>
      <c r="K33" s="193" t="str">
        <f>B38</f>
        <v>Madison West</v>
      </c>
      <c r="L33" s="10"/>
      <c r="M33" s="193" t="str">
        <f>B39</f>
        <v>Iolani School 2</v>
      </c>
      <c r="N33" s="34"/>
      <c r="O33" s="194" t="s">
        <v>2</v>
      </c>
      <c r="P33" s="195" t="s">
        <v>38</v>
      </c>
      <c r="Q33" s="196" t="s">
        <v>45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</row>
    <row r="34">
      <c r="A34" s="197" t="s">
        <v>71</v>
      </c>
      <c r="B34" s="198" t="s">
        <v>18</v>
      </c>
      <c r="C34" s="48"/>
      <c r="D34" s="48"/>
      <c r="E34" s="199">
        <v>70.0</v>
      </c>
      <c r="F34" s="200" t="str">
        <f>if(E34&gt;C35,"W",if(E34&lt;C35,"L",if(isblank(E34),"","T")))</f>
        <v>L</v>
      </c>
      <c r="G34" s="201">
        <v>82.0</v>
      </c>
      <c r="H34" s="200" t="str">
        <f>if(G34&gt;C36,"W",if(G34&lt;C36,"L",if(isblank(G34),"","T")))</f>
        <v>W</v>
      </c>
      <c r="I34" s="201">
        <v>60.0</v>
      </c>
      <c r="J34" s="200" t="str">
        <f>if(I34&gt;C37,"W",if(I34&lt;C37,"L",if(isblank(I34),"","T")))</f>
        <v>W</v>
      </c>
      <c r="K34" s="201">
        <v>86.0</v>
      </c>
      <c r="L34" s="200" t="str">
        <f>if(K34&gt;C38,"W",if(K34&lt;C38,"L",if(isblank(K34),"","T")))</f>
        <v>W</v>
      </c>
      <c r="M34" s="201">
        <v>80.0</v>
      </c>
      <c r="N34" s="200" t="str">
        <f>if(M34&gt;C39,"W",if(M34&lt;C39,"L",if(isblank(M34),"","T")))</f>
        <v>W</v>
      </c>
      <c r="O34" s="70">
        <f t="shared" ref="O34:O39" si="13">countif(C34:N34,"W")+0.5*countif(C34:N34,"T")</f>
        <v>4</v>
      </c>
      <c r="P34" s="71">
        <f t="shared" ref="P34:P39" si="14">countif(C34:N34,"L")+0.5*countif(C34:N34,"T")</f>
        <v>1</v>
      </c>
      <c r="Q34" s="72">
        <f t="shared" ref="Q34:Q39" si="15">sum(C34:N34)</f>
        <v>378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</row>
    <row r="35">
      <c r="A35" s="197" t="s">
        <v>72</v>
      </c>
      <c r="B35" s="202" t="s">
        <v>77</v>
      </c>
      <c r="C35" s="201">
        <v>78.0</v>
      </c>
      <c r="D35" s="200" t="str">
        <f>if(E34&lt;C35,"W",if(E34&gt;C35,"L",if(isblank(C35),"","T")))</f>
        <v>W</v>
      </c>
      <c r="E35" s="48"/>
      <c r="F35" s="82"/>
      <c r="G35" s="199">
        <v>32.0</v>
      </c>
      <c r="H35" s="200" t="str">
        <f>if(G35&gt;E36,"W",if(G35&lt;E36,"L",if(isblank(G35),"","T")))</f>
        <v>L</v>
      </c>
      <c r="I35" s="201">
        <v>78.0</v>
      </c>
      <c r="J35" s="200" t="str">
        <f>if(I35&gt;E37,"W",if(I35&lt;E37,"L",if(isblank(I35),"","T")))</f>
        <v>W</v>
      </c>
      <c r="K35" s="201">
        <v>40.0</v>
      </c>
      <c r="L35" s="200" t="str">
        <f>if(K35&gt;E38,"W",if(K35&lt;E38,"L",if(isblank(K35),"","T")))</f>
        <v>W</v>
      </c>
      <c r="M35" s="201">
        <v>8.0</v>
      </c>
      <c r="N35" s="200" t="str">
        <f>if(M35&gt;E39,"W",if(M35&lt;E39,"L",if(isblank(M35),"","T")))</f>
        <v>L</v>
      </c>
      <c r="O35" s="70">
        <f t="shared" si="13"/>
        <v>3</v>
      </c>
      <c r="P35" s="71">
        <f t="shared" si="14"/>
        <v>2</v>
      </c>
      <c r="Q35" s="72">
        <f t="shared" si="15"/>
        <v>236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</row>
    <row r="36">
      <c r="A36" s="197" t="s">
        <v>109</v>
      </c>
      <c r="B36" s="198" t="s">
        <v>94</v>
      </c>
      <c r="C36" s="201">
        <v>52.0</v>
      </c>
      <c r="D36" s="203" t="str">
        <f>if(G34&lt;C36,"W",if(G34&gt;C36,"L",if(isblank(C36),"","T")))</f>
        <v>L</v>
      </c>
      <c r="E36" s="201">
        <v>72.0</v>
      </c>
      <c r="F36" s="200" t="str">
        <f>if(G35&lt;E36,"W",if(G35&gt;E36,"L",if(isblank(E36),"","T")))</f>
        <v>W</v>
      </c>
      <c r="G36" s="48"/>
      <c r="H36" s="82"/>
      <c r="I36" s="199">
        <v>78.0</v>
      </c>
      <c r="J36" s="200" t="str">
        <f>if(I36&gt;G37,"W",if(I36&lt;G37,"L",if(isblank(I36),"","T")))</f>
        <v>W</v>
      </c>
      <c r="K36" s="201">
        <v>50.0</v>
      </c>
      <c r="L36" s="200" t="str">
        <f>if(K36&gt;G38,"W",if(K36&lt;G38,"L",if(isblank(K36),"","T")))</f>
        <v>L</v>
      </c>
      <c r="M36" s="201">
        <v>4.0</v>
      </c>
      <c r="N36" s="200" t="str">
        <f>if(M36&gt;G39,"W",if(M36&lt;G39,"L",if(isblank(M36),"","T")))</f>
        <v>L</v>
      </c>
      <c r="O36" s="70">
        <f t="shared" si="13"/>
        <v>2</v>
      </c>
      <c r="P36" s="71">
        <f t="shared" si="14"/>
        <v>3</v>
      </c>
      <c r="Q36" s="72">
        <f t="shared" si="15"/>
        <v>256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</row>
    <row r="37">
      <c r="A37" s="197" t="s">
        <v>416</v>
      </c>
      <c r="B37" s="198" t="s">
        <v>127</v>
      </c>
      <c r="C37" s="201">
        <v>56.0</v>
      </c>
      <c r="D37" s="203" t="str">
        <f>if(I34&lt;C37,"W",if(I34&gt;C37,"L",if(isblank(C37),"","T")))</f>
        <v>L</v>
      </c>
      <c r="E37" s="201">
        <v>30.0</v>
      </c>
      <c r="F37" s="200" t="str">
        <f>if(I35&lt;E37,"W",if(I35&gt;E37,"L",if(isblank(E37),"","T")))</f>
        <v>L</v>
      </c>
      <c r="G37" s="201">
        <v>44.0</v>
      </c>
      <c r="H37" s="200" t="str">
        <f>if(I36&lt;G37,"W",if(I36&gt;G37,"L",if(isblank(G37),"","T")))</f>
        <v>L</v>
      </c>
      <c r="I37" s="48"/>
      <c r="J37" s="82"/>
      <c r="K37" s="199">
        <v>68.0</v>
      </c>
      <c r="L37" s="200" t="str">
        <f>if(K37&gt;I38,"W",if(K37&lt;I38,"L",if(isblank(K37),"","T")))</f>
        <v>L</v>
      </c>
      <c r="M37" s="201">
        <v>100.0</v>
      </c>
      <c r="N37" s="200" t="str">
        <f>if(M37&gt;I39,"W",if(M37&lt;I39,"L",if(isblank(M37),"","T")))</f>
        <v>W</v>
      </c>
      <c r="O37" s="70">
        <f t="shared" si="13"/>
        <v>1</v>
      </c>
      <c r="P37" s="71">
        <f t="shared" si="14"/>
        <v>4</v>
      </c>
      <c r="Q37" s="72">
        <f t="shared" si="15"/>
        <v>298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</row>
    <row r="38">
      <c r="A38" s="197" t="s">
        <v>139</v>
      </c>
      <c r="B38" s="198" t="s">
        <v>97</v>
      </c>
      <c r="C38" s="201">
        <v>18.0</v>
      </c>
      <c r="D38" s="203" t="str">
        <f>if(K34&lt;C38,"W",if(K34&gt;C38,"L",if(isblank(C38),"","T")))</f>
        <v>L</v>
      </c>
      <c r="E38" s="201">
        <v>34.0</v>
      </c>
      <c r="F38" s="200" t="str">
        <f>if(K35&lt;E38,"W",if(K35&gt;E38,"L",if(isblank(E38),"","T")))</f>
        <v>L</v>
      </c>
      <c r="G38" s="201">
        <v>62.0</v>
      </c>
      <c r="H38" s="200" t="str">
        <f>if(K36&lt;G38,"W",if(K36&gt;G38,"L",if(isblank(G38),"","T")))</f>
        <v>W</v>
      </c>
      <c r="I38" s="201">
        <v>72.0</v>
      </c>
      <c r="J38" s="200" t="str">
        <f>if(K37&lt;I38,"W",if(K37&gt;I38,"L",if(isblank(I38),"","T")))</f>
        <v>W</v>
      </c>
      <c r="K38" s="48"/>
      <c r="L38" s="132"/>
      <c r="M38" s="199">
        <v>42.0</v>
      </c>
      <c r="N38" s="200" t="str">
        <f>if(M38&gt;K39,"W",if(M38&lt;K39,"L",if(isblank(M38),"","T")))</f>
        <v>L</v>
      </c>
      <c r="O38" s="70">
        <f t="shared" si="13"/>
        <v>2</v>
      </c>
      <c r="P38" s="71">
        <f t="shared" si="14"/>
        <v>3</v>
      </c>
      <c r="Q38" s="72">
        <f t="shared" si="15"/>
        <v>228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</row>
    <row r="39">
      <c r="A39" s="204" t="s">
        <v>140</v>
      </c>
      <c r="B39" s="205" t="s">
        <v>83</v>
      </c>
      <c r="C39" s="206">
        <v>46.0</v>
      </c>
      <c r="D39" s="207" t="str">
        <f>if(M34&lt;C39,"W",if(M34&gt;C39,"L",if(isblank(C39),"","T")))</f>
        <v>L</v>
      </c>
      <c r="E39" s="206">
        <v>96.0</v>
      </c>
      <c r="F39" s="207" t="str">
        <f>if(M35&lt;E39,"W",if(M35&gt;E39,"L",if(isblank(E39),"","T")))</f>
        <v>W</v>
      </c>
      <c r="G39" s="206">
        <v>18.0</v>
      </c>
      <c r="H39" s="207" t="str">
        <f>if(M36&lt;G39,"W",if(M36&gt;G39,"L",if(isblank(G39),"","T")))</f>
        <v>W</v>
      </c>
      <c r="I39" s="206">
        <v>18.0</v>
      </c>
      <c r="J39" s="207" t="str">
        <f>if(M37&lt;I39,"W",if(M37&gt;I39,"L",if(isblank(I39),"","T")))</f>
        <v>L</v>
      </c>
      <c r="K39" s="206">
        <v>46.0</v>
      </c>
      <c r="L39" s="207" t="str">
        <f>if(M38&lt;K39,"W",if(M38&gt;K39,"L",if(isblank(K39),"","T")))</f>
        <v>W</v>
      </c>
      <c r="M39" s="142"/>
      <c r="N39" s="143"/>
      <c r="O39" s="144">
        <f t="shared" si="13"/>
        <v>3</v>
      </c>
      <c r="P39" s="145">
        <f t="shared" si="14"/>
        <v>2</v>
      </c>
      <c r="Q39" s="146">
        <f t="shared" si="15"/>
        <v>224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</row>
    <row r="40">
      <c r="A40" s="44"/>
      <c r="B40" s="44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</row>
    <row r="41">
      <c r="A41" s="2" t="s">
        <v>417</v>
      </c>
      <c r="B41" s="4"/>
      <c r="C41" s="208" t="str">
        <f>B42</f>
        <v>WWPS 1</v>
      </c>
      <c r="D41" s="10"/>
      <c r="E41" s="208" t="str">
        <f>B43</f>
        <v>Baton Rouge Magnet High School</v>
      </c>
      <c r="F41" s="10"/>
      <c r="G41" s="208" t="str">
        <f>B44</f>
        <v>Hunter College High School</v>
      </c>
      <c r="H41" s="10"/>
      <c r="I41" s="208" t="str">
        <f>B45</f>
        <v>Lubbock High School</v>
      </c>
      <c r="J41" s="10"/>
      <c r="K41" s="208" t="str">
        <f>B46</f>
        <v>Northwood High School</v>
      </c>
      <c r="L41" s="10"/>
      <c r="M41" s="208" t="str">
        <f>B47</f>
        <v>Westview High School 1</v>
      </c>
      <c r="N41" s="34"/>
      <c r="O41" s="209" t="s">
        <v>2</v>
      </c>
      <c r="P41" s="210" t="s">
        <v>38</v>
      </c>
      <c r="Q41" s="211" t="s">
        <v>45</v>
      </c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</row>
    <row r="42">
      <c r="A42" s="212" t="s">
        <v>74</v>
      </c>
      <c r="B42" s="213" t="s">
        <v>14</v>
      </c>
      <c r="C42" s="48"/>
      <c r="D42" s="48"/>
      <c r="E42" s="214">
        <v>98.0</v>
      </c>
      <c r="F42" s="215" t="str">
        <f>if(E42&gt;C43,"W",if(E42&lt;C43,"L",if(isblank(E42),"","T")))</f>
        <v>W</v>
      </c>
      <c r="G42" s="216">
        <v>112.0</v>
      </c>
      <c r="H42" s="215" t="str">
        <f>if(G42&gt;C44,"W",if(G42&lt;C44,"L",if(isblank(G42),"","T")))</f>
        <v>W</v>
      </c>
      <c r="I42" s="216">
        <v>20.0</v>
      </c>
      <c r="J42" s="215" t="str">
        <f>if(I42&gt;C45,"W",if(I42&lt;C45,"L",if(isblank(I42),"","T")))</f>
        <v>L</v>
      </c>
      <c r="K42" s="216">
        <v>120.0</v>
      </c>
      <c r="L42" s="215" t="str">
        <f>if(K42&gt;C46,"W",if(K42&lt;C46,"L",if(isblank(K42),"","T")))</f>
        <v>W</v>
      </c>
      <c r="M42" s="216">
        <v>98.0</v>
      </c>
      <c r="N42" s="215" t="str">
        <f>if(M42&gt;C47,"W",if(M42&lt;C47,"L",if(isblank(M42),"","T")))</f>
        <v>W</v>
      </c>
      <c r="O42" s="70">
        <f t="shared" ref="O42:O47" si="16">countif(C42:N42,"W")+0.5*countif(C42:N42,"T")</f>
        <v>4</v>
      </c>
      <c r="P42" s="71">
        <f t="shared" ref="P42:P47" si="17">countif(C42:N42,"L")+0.5*countif(C42:N42,"T")</f>
        <v>1</v>
      </c>
      <c r="Q42" s="72">
        <f t="shared" ref="Q42:Q47" si="18">sum(C42:N42)</f>
        <v>448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</row>
    <row r="43">
      <c r="A43" s="212" t="s">
        <v>75</v>
      </c>
      <c r="B43" s="213" t="s">
        <v>42</v>
      </c>
      <c r="C43" s="216">
        <v>64.0</v>
      </c>
      <c r="D43" s="215" t="str">
        <f>if(E42&lt;C43,"W",if(E42&gt;C43,"L",if(isblank(C43),"","T")))</f>
        <v>L</v>
      </c>
      <c r="E43" s="48"/>
      <c r="F43" s="82"/>
      <c r="G43" s="214">
        <v>60.0</v>
      </c>
      <c r="H43" s="215" t="str">
        <f>if(G43&gt;E44,"W",if(G43&lt;E44,"L",if(isblank(G43),"","T")))</f>
        <v>W</v>
      </c>
      <c r="I43" s="216">
        <v>38.0</v>
      </c>
      <c r="J43" s="215" t="str">
        <f>if(I43&gt;E45,"W",if(I43&lt;E45,"L",if(isblank(I43),"","T")))</f>
        <v>T</v>
      </c>
      <c r="K43" s="216">
        <v>16.0</v>
      </c>
      <c r="L43" s="215" t="str">
        <f>if(K43&gt;E46,"W",if(K43&lt;E46,"L",if(isblank(K43),"","T")))</f>
        <v>L</v>
      </c>
      <c r="M43" s="216">
        <v>126.0</v>
      </c>
      <c r="N43" s="215" t="str">
        <f>if(M43&gt;E47,"W",if(M43&lt;E47,"L",if(isblank(M43),"","T")))</f>
        <v>W</v>
      </c>
      <c r="O43" s="70">
        <f t="shared" si="16"/>
        <v>2.5</v>
      </c>
      <c r="P43" s="71">
        <f t="shared" si="17"/>
        <v>2.5</v>
      </c>
      <c r="Q43" s="72">
        <f t="shared" si="18"/>
        <v>304</v>
      </c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</row>
    <row r="44">
      <c r="A44" s="212" t="s">
        <v>112</v>
      </c>
      <c r="B44" s="213" t="s">
        <v>69</v>
      </c>
      <c r="C44" s="216">
        <v>68.0</v>
      </c>
      <c r="D44" s="217" t="str">
        <f>if(G42&lt;C44,"W",if(G42&gt;C44,"L",if(isblank(C44),"","T")))</f>
        <v>L</v>
      </c>
      <c r="E44" s="216">
        <v>56.0</v>
      </c>
      <c r="F44" s="215" t="str">
        <f>if(G43&lt;E44,"W",if(G43&gt;E44,"L",if(isblank(E44),"","T")))</f>
        <v>L</v>
      </c>
      <c r="G44" s="48"/>
      <c r="H44" s="82"/>
      <c r="I44" s="214">
        <v>70.0</v>
      </c>
      <c r="J44" s="215" t="str">
        <f>if(I44&gt;G45,"W",if(I44&lt;G45,"L",if(isblank(I44),"","T")))</f>
        <v>L</v>
      </c>
      <c r="K44" s="216">
        <v>60.0</v>
      </c>
      <c r="L44" s="215" t="str">
        <f>if(K44&gt;G46,"W",if(K44&lt;G46,"L",if(isblank(K44),"","T")))</f>
        <v>W</v>
      </c>
      <c r="M44" s="216">
        <v>76.0</v>
      </c>
      <c r="N44" s="215" t="str">
        <f>if(M44&gt;G47,"W",if(M44&lt;G47,"L",if(isblank(M44),"","T")))</f>
        <v>W</v>
      </c>
      <c r="O44" s="70">
        <f t="shared" si="16"/>
        <v>2</v>
      </c>
      <c r="P44" s="71">
        <f t="shared" si="17"/>
        <v>3</v>
      </c>
      <c r="Q44" s="72">
        <f t="shared" si="18"/>
        <v>330</v>
      </c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</row>
    <row r="45">
      <c r="A45" s="212" t="s">
        <v>418</v>
      </c>
      <c r="B45" s="213" t="s">
        <v>15</v>
      </c>
      <c r="C45" s="216">
        <v>36.0</v>
      </c>
      <c r="D45" s="217" t="str">
        <f>if(I42&lt;C45,"W",if(I42&gt;C45,"L",if(isblank(C45),"","T")))</f>
        <v>W</v>
      </c>
      <c r="E45" s="216">
        <v>38.0</v>
      </c>
      <c r="F45" s="215" t="str">
        <f>if(I43&lt;E45,"W",if(I43&gt;E45,"L",if(isblank(E45),"","T")))</f>
        <v>T</v>
      </c>
      <c r="G45" s="216">
        <v>106.0</v>
      </c>
      <c r="H45" s="215" t="str">
        <f>if(I44&lt;G45,"W",if(I44&gt;G45,"L",if(isblank(G45),"","T")))</f>
        <v>W</v>
      </c>
      <c r="I45" s="48"/>
      <c r="J45" s="82"/>
      <c r="K45" s="214">
        <v>98.0</v>
      </c>
      <c r="L45" s="215" t="str">
        <f>if(K45&gt;I46,"W",if(K45&lt;I46,"L",if(isblank(K45),"","T")))</f>
        <v>W</v>
      </c>
      <c r="M45" s="216">
        <v>88.0</v>
      </c>
      <c r="N45" s="215" t="str">
        <f>if(M45&gt;I47,"W",if(M45&lt;I47,"L",if(isblank(M45),"","T")))</f>
        <v>W</v>
      </c>
      <c r="O45" s="70">
        <f t="shared" si="16"/>
        <v>4.5</v>
      </c>
      <c r="P45" s="71">
        <f t="shared" si="17"/>
        <v>0.5</v>
      </c>
      <c r="Q45" s="72">
        <f t="shared" si="18"/>
        <v>366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</row>
    <row r="46">
      <c r="A46" s="212" t="s">
        <v>142</v>
      </c>
      <c r="B46" s="213" t="s">
        <v>157</v>
      </c>
      <c r="C46" s="216">
        <v>18.0</v>
      </c>
      <c r="D46" s="217" t="str">
        <f>if(K42&lt;C46,"W",if(K42&gt;C46,"L",if(isblank(C46),"","T")))</f>
        <v>L</v>
      </c>
      <c r="E46" s="216">
        <v>62.0</v>
      </c>
      <c r="F46" s="215" t="str">
        <f>if(K43&lt;E46,"W",if(K43&gt;E46,"L",if(isblank(E46),"","T")))</f>
        <v>W</v>
      </c>
      <c r="G46" s="216">
        <v>58.0</v>
      </c>
      <c r="H46" s="215" t="str">
        <f>if(K44&lt;G46,"W",if(K44&gt;G46,"L",if(isblank(G46),"","T")))</f>
        <v>L</v>
      </c>
      <c r="I46" s="216">
        <v>64.0</v>
      </c>
      <c r="J46" s="215" t="str">
        <f>if(K45&lt;I46,"W",if(K45&gt;I46,"L",if(isblank(I46),"","T")))</f>
        <v>L</v>
      </c>
      <c r="K46" s="48"/>
      <c r="L46" s="132"/>
      <c r="M46" s="214">
        <v>40.0</v>
      </c>
      <c r="N46" s="215" t="str">
        <f>if(M46&gt;K47,"W",if(M46&lt;K47,"L",if(isblank(M46),"","T")))</f>
        <v>L</v>
      </c>
      <c r="O46" s="70">
        <f t="shared" si="16"/>
        <v>1</v>
      </c>
      <c r="P46" s="71">
        <f t="shared" si="17"/>
        <v>4</v>
      </c>
      <c r="Q46" s="72">
        <f t="shared" si="18"/>
        <v>242</v>
      </c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</row>
    <row r="47">
      <c r="A47" s="218" t="s">
        <v>143</v>
      </c>
      <c r="B47" s="219" t="s">
        <v>161</v>
      </c>
      <c r="C47" s="220">
        <v>26.0</v>
      </c>
      <c r="D47" s="221" t="str">
        <f>if(M42&lt;C47,"W",if(M42&gt;C47,"L",if(isblank(C47),"","T")))</f>
        <v>L</v>
      </c>
      <c r="E47" s="220">
        <v>28.0</v>
      </c>
      <c r="F47" s="221" t="str">
        <f>if(M43&lt;E47,"W",if(M43&gt;E47,"L",if(isblank(E47),"","T")))</f>
        <v>L</v>
      </c>
      <c r="G47" s="220">
        <v>26.0</v>
      </c>
      <c r="H47" s="221" t="str">
        <f>if(M44&lt;G47,"W",if(M44&gt;G47,"L",if(isblank(G47),"","T")))</f>
        <v>L</v>
      </c>
      <c r="I47" s="220">
        <v>32.0</v>
      </c>
      <c r="J47" s="221" t="str">
        <f>if(M45&lt;I47,"W",if(M45&gt;I47,"L",if(isblank(I47),"","T")))</f>
        <v>L</v>
      </c>
      <c r="K47" s="220">
        <v>50.0</v>
      </c>
      <c r="L47" s="221" t="str">
        <f>if(M46&lt;K47,"W",if(M46&gt;K47,"L",if(isblank(K47),"","T")))</f>
        <v>W</v>
      </c>
      <c r="M47" s="142"/>
      <c r="N47" s="143"/>
      <c r="O47" s="144">
        <f t="shared" si="16"/>
        <v>1</v>
      </c>
      <c r="P47" s="145">
        <f t="shared" si="17"/>
        <v>4</v>
      </c>
      <c r="Q47" s="146">
        <f t="shared" si="18"/>
        <v>162</v>
      </c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</row>
    <row r="48">
      <c r="A48" s="44"/>
      <c r="B48" s="44"/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</row>
    <row r="49">
      <c r="A49" s="2" t="s">
        <v>32</v>
      </c>
      <c r="B49" s="4"/>
      <c r="C49" s="222" t="str">
        <f>B50</f>
        <v>BASIS Chandler 1</v>
      </c>
      <c r="D49" s="10"/>
      <c r="E49" s="222" t="str">
        <f>B51</f>
        <v>Arcadia High School 1</v>
      </c>
      <c r="F49" s="10"/>
      <c r="G49" s="222" t="str">
        <f>B52</f>
        <v>Bridgeland High School</v>
      </c>
      <c r="H49" s="10"/>
      <c r="I49" s="222" t="str">
        <f>B53</f>
        <v>Chattahoochee High School</v>
      </c>
      <c r="J49" s="10"/>
      <c r="K49" s="222" t="str">
        <f>B54</f>
        <v>Palo Alto</v>
      </c>
      <c r="L49" s="10"/>
      <c r="M49" s="222" t="str">
        <f>B55</f>
        <v>Punahou School</v>
      </c>
      <c r="N49" s="34"/>
      <c r="O49" s="223" t="s">
        <v>2</v>
      </c>
      <c r="P49" s="224" t="s">
        <v>38</v>
      </c>
      <c r="Q49" s="225" t="s">
        <v>45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</row>
    <row r="50">
      <c r="A50" s="226" t="s">
        <v>78</v>
      </c>
      <c r="B50" s="227" t="s">
        <v>17</v>
      </c>
      <c r="C50" s="48"/>
      <c r="D50" s="48"/>
      <c r="E50" s="228">
        <v>128.0</v>
      </c>
      <c r="F50" s="229" t="str">
        <f>if(E50&gt;C51,"W",if(E50&lt;C51,"L",if(isblank(E50),"","T")))</f>
        <v>W</v>
      </c>
      <c r="G50" s="230">
        <v>78.0</v>
      </c>
      <c r="H50" s="229" t="str">
        <f>if(G50&gt;C52,"W",if(G50&lt;C52,"L",if(isblank(G50),"","T")))</f>
        <v>W</v>
      </c>
      <c r="I50" s="230">
        <v>36.0</v>
      </c>
      <c r="J50" s="229" t="str">
        <f>if(I50&gt;C53,"W",if(I50&lt;C53,"L",if(isblank(I50),"","T")))</f>
        <v>L</v>
      </c>
      <c r="K50" s="230">
        <v>72.0</v>
      </c>
      <c r="L50" s="229" t="str">
        <f>if(K50&gt;C54,"W",if(K50&lt;C54,"L",if(isblank(K50),"","T")))</f>
        <v>W</v>
      </c>
      <c r="M50" s="230">
        <v>114.0</v>
      </c>
      <c r="N50" s="229" t="str">
        <f>if(M50&gt;C55,"W",if(M50&lt;C55,"L",if(isblank(M50),"","T")))</f>
        <v>W</v>
      </c>
      <c r="O50" s="70">
        <f t="shared" ref="O50:O55" si="19">countif(C50:N50,"W")+0.5*countif(C50:N50,"T")</f>
        <v>4</v>
      </c>
      <c r="P50" s="71">
        <f t="shared" ref="P50:P55" si="20">countif(C50:N50,"L")+0.5*countif(C50:N50,"T")</f>
        <v>1</v>
      </c>
      <c r="Q50" s="72">
        <f t="shared" ref="Q50:Q55" si="21">sum(C50:N50)</f>
        <v>428</v>
      </c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</row>
    <row r="51">
      <c r="A51" s="226" t="s">
        <v>80</v>
      </c>
      <c r="B51" s="227" t="s">
        <v>33</v>
      </c>
      <c r="C51" s="230">
        <v>48.0</v>
      </c>
      <c r="D51" s="229" t="str">
        <f>if(E50&lt;C51,"W",if(E50&gt;C51,"L",if(isblank(C51),"","T")))</f>
        <v>L</v>
      </c>
      <c r="E51" s="48"/>
      <c r="F51" s="82"/>
      <c r="G51" s="228">
        <v>54.0</v>
      </c>
      <c r="H51" s="229" t="str">
        <f>if(G51&gt;E52,"W",if(G51&lt;E52,"L",if(isblank(G51),"","T")))</f>
        <v>W</v>
      </c>
      <c r="I51" s="230">
        <v>64.0</v>
      </c>
      <c r="J51" s="229" t="str">
        <f>if(I51&gt;E53,"W",if(I51&lt;E53,"L",if(isblank(I51),"","T")))</f>
        <v>W</v>
      </c>
      <c r="K51" s="230">
        <v>38.0</v>
      </c>
      <c r="L51" s="229" t="str">
        <f>if(K51&gt;E54,"W",if(K51&lt;E54,"L",if(isblank(K51),"","T")))</f>
        <v>W</v>
      </c>
      <c r="M51" s="230">
        <v>68.0</v>
      </c>
      <c r="N51" s="229" t="str">
        <f>if(M51&gt;E55,"W",if(M51&lt;E55,"L",if(isblank(M51),"","T")))</f>
        <v>W</v>
      </c>
      <c r="O51" s="70">
        <f t="shared" si="19"/>
        <v>4</v>
      </c>
      <c r="P51" s="71">
        <f t="shared" si="20"/>
        <v>1</v>
      </c>
      <c r="Q51" s="72">
        <f t="shared" si="21"/>
        <v>272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</row>
    <row r="52">
      <c r="A52" s="226" t="s">
        <v>116</v>
      </c>
      <c r="B52" s="227" t="s">
        <v>169</v>
      </c>
      <c r="C52" s="230">
        <v>8.0</v>
      </c>
      <c r="D52" s="231" t="str">
        <f>if(G50&lt;C52,"W",if(G50&gt;C52,"L",if(isblank(C52),"","T")))</f>
        <v>L</v>
      </c>
      <c r="E52" s="230">
        <v>44.0</v>
      </c>
      <c r="F52" s="229" t="str">
        <f>if(G51&lt;E52,"W",if(G51&gt;E52,"L",if(isblank(E52),"","T")))</f>
        <v>L</v>
      </c>
      <c r="G52" s="48"/>
      <c r="H52" s="82"/>
      <c r="I52" s="228">
        <v>0.0</v>
      </c>
      <c r="J52" s="229" t="str">
        <f>if(I52&gt;G53,"W",if(I52&lt;G53,"L",if(isblank(I52),"","T")))</f>
        <v>L</v>
      </c>
      <c r="K52" s="230">
        <v>0.0</v>
      </c>
      <c r="L52" s="229" t="str">
        <f>if(K52&gt;G54,"W",if(K52&lt;G54,"L",if(isblank(K52),"","T")))</f>
        <v>L</v>
      </c>
      <c r="M52" s="230">
        <v>36.0</v>
      </c>
      <c r="N52" s="229" t="str">
        <f>if(M52&gt;G55,"W",if(M52&lt;G55,"L",if(isblank(M52),"","T")))</f>
        <v>W</v>
      </c>
      <c r="O52" s="70">
        <f t="shared" si="19"/>
        <v>1</v>
      </c>
      <c r="P52" s="71">
        <f t="shared" si="20"/>
        <v>4</v>
      </c>
      <c r="Q52" s="72">
        <f t="shared" si="21"/>
        <v>88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>
      <c r="A53" s="226" t="s">
        <v>419</v>
      </c>
      <c r="B53" s="227" t="s">
        <v>48</v>
      </c>
      <c r="C53" s="230">
        <v>64.0</v>
      </c>
      <c r="D53" s="231" t="str">
        <f>if(I50&lt;C53,"W",if(I50&gt;C53,"L",if(isblank(C53),"","T")))</f>
        <v>W</v>
      </c>
      <c r="E53" s="230">
        <v>22.0</v>
      </c>
      <c r="F53" s="229" t="str">
        <f>if(I51&lt;E53,"W",if(I51&gt;E53,"L",if(isblank(E53),"","T")))</f>
        <v>L</v>
      </c>
      <c r="G53" s="230">
        <v>66.0</v>
      </c>
      <c r="H53" s="229" t="str">
        <f>if(I52&lt;G53,"W",if(I52&gt;G53,"L",if(isblank(G53),"","T")))</f>
        <v>W</v>
      </c>
      <c r="I53" s="48"/>
      <c r="J53" s="82"/>
      <c r="K53" s="228">
        <v>60.0</v>
      </c>
      <c r="L53" s="229" t="str">
        <f>if(K53&gt;I54,"W",if(K53&lt;I54,"L",if(isblank(K53),"","T")))</f>
        <v>L</v>
      </c>
      <c r="M53" s="230">
        <v>46.0</v>
      </c>
      <c r="N53" s="229" t="str">
        <f>if(M53&gt;I55,"W",if(M53&lt;I55,"L",if(isblank(M53),"","T")))</f>
        <v>W</v>
      </c>
      <c r="O53" s="70">
        <f t="shared" si="19"/>
        <v>3</v>
      </c>
      <c r="P53" s="71">
        <f t="shared" si="20"/>
        <v>2</v>
      </c>
      <c r="Q53" s="72">
        <f t="shared" si="21"/>
        <v>258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>
      <c r="A54" s="226" t="s">
        <v>146</v>
      </c>
      <c r="B54" s="227" t="s">
        <v>114</v>
      </c>
      <c r="C54" s="230">
        <v>4.0</v>
      </c>
      <c r="D54" s="231" t="str">
        <f>if(K50&lt;C54,"W",if(K50&gt;C54,"L",if(isblank(C54),"","T")))</f>
        <v>L</v>
      </c>
      <c r="E54" s="230">
        <v>18.0</v>
      </c>
      <c r="F54" s="229" t="str">
        <f>if(K51&lt;E54,"W",if(K51&gt;E54,"L",if(isblank(E54),"","T")))</f>
        <v>L</v>
      </c>
      <c r="G54" s="230">
        <v>62.0</v>
      </c>
      <c r="H54" s="229" t="str">
        <f>if(K52&lt;G54,"W",if(K52&gt;G54,"L",if(isblank(G54),"","T")))</f>
        <v>W</v>
      </c>
      <c r="I54" s="230">
        <v>94.0</v>
      </c>
      <c r="J54" s="229" t="str">
        <f>if(K53&lt;I54,"W",if(K53&gt;I54,"L",if(isblank(I54),"","T")))</f>
        <v>W</v>
      </c>
      <c r="K54" s="48"/>
      <c r="L54" s="132"/>
      <c r="M54" s="228">
        <v>40.0</v>
      </c>
      <c r="N54" s="229" t="str">
        <f>if(M54&gt;K55,"W",if(M54&lt;K55,"L",if(isblank(M54),"","T")))</f>
        <v>L</v>
      </c>
      <c r="O54" s="70">
        <f t="shared" si="19"/>
        <v>2</v>
      </c>
      <c r="P54" s="71">
        <f t="shared" si="20"/>
        <v>3</v>
      </c>
      <c r="Q54" s="72">
        <f t="shared" si="21"/>
        <v>218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</row>
    <row r="55">
      <c r="A55" s="232" t="s">
        <v>150</v>
      </c>
      <c r="B55" s="233" t="s">
        <v>164</v>
      </c>
      <c r="C55" s="234">
        <v>4.0</v>
      </c>
      <c r="D55" s="235" t="str">
        <f>if(M50&lt;C55,"W",if(M50&gt;C55,"L",if(isblank(C55),"","T")))</f>
        <v>L</v>
      </c>
      <c r="E55" s="234">
        <v>50.0</v>
      </c>
      <c r="F55" s="235" t="str">
        <f>if(M51&lt;E55,"W",if(M51&gt;E55,"L",if(isblank(E55),"","T")))</f>
        <v>L</v>
      </c>
      <c r="G55" s="234">
        <v>4.0</v>
      </c>
      <c r="H55" s="235" t="str">
        <f>if(M52&lt;G55,"W",if(M52&gt;G55,"L",if(isblank(G55),"","T")))</f>
        <v>L</v>
      </c>
      <c r="I55" s="234">
        <v>26.0</v>
      </c>
      <c r="J55" s="235" t="str">
        <f>if(M53&lt;I55,"W",if(M53&gt;I55,"L",if(isblank(I55),"","T")))</f>
        <v>L</v>
      </c>
      <c r="K55" s="234">
        <v>50.0</v>
      </c>
      <c r="L55" s="235" t="str">
        <f>if(M54&lt;K55,"W",if(M54&gt;K55,"L",if(isblank(K55),"","T")))</f>
        <v>W</v>
      </c>
      <c r="M55" s="142"/>
      <c r="N55" s="143"/>
      <c r="O55" s="144">
        <f t="shared" si="19"/>
        <v>1</v>
      </c>
      <c r="P55" s="145">
        <f t="shared" si="20"/>
        <v>4</v>
      </c>
      <c r="Q55" s="146">
        <f t="shared" si="21"/>
        <v>134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>
      <c r="A56" s="44"/>
      <c r="B56" s="44"/>
      <c r="C56" s="147"/>
      <c r="D56" s="147"/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>
      <c r="A57" s="2" t="s">
        <v>35</v>
      </c>
      <c r="B57" s="4"/>
      <c r="C57" s="236" t="str">
        <f>B58</f>
        <v>BISV</v>
      </c>
      <c r="D57" s="10"/>
      <c r="E57" s="236" t="str">
        <f>B59</f>
        <v>Thomas Jefferson 1</v>
      </c>
      <c r="F57" s="10"/>
      <c r="G57" s="236" t="str">
        <f>B60</f>
        <v>Iolani School 1</v>
      </c>
      <c r="H57" s="10"/>
      <c r="I57" s="236" t="str">
        <f>B61</f>
        <v>Morgantown High School</v>
      </c>
      <c r="J57" s="10"/>
      <c r="K57" s="236" t="str">
        <f>B62</f>
        <v>WWPS 2</v>
      </c>
      <c r="L57" s="10"/>
      <c r="M57" s="236" t="str">
        <f>B63</f>
        <v>Irvington High School</v>
      </c>
      <c r="N57" s="34"/>
      <c r="O57" s="237" t="s">
        <v>2</v>
      </c>
      <c r="P57" s="238" t="s">
        <v>38</v>
      </c>
      <c r="Q57" s="239" t="s">
        <v>45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>
      <c r="A58" s="240" t="s">
        <v>82</v>
      </c>
      <c r="B58" s="241" t="s">
        <v>13</v>
      </c>
      <c r="C58" s="48"/>
      <c r="D58" s="48"/>
      <c r="E58" s="242">
        <v>88.0</v>
      </c>
      <c r="F58" s="243" t="str">
        <f>if(E58&gt;C59,"W",if(E58&lt;C59,"L",if(isblank(E58),"","T")))</f>
        <v>W</v>
      </c>
      <c r="G58" s="244">
        <v>74.0</v>
      </c>
      <c r="H58" s="243" t="str">
        <f>if(G58&gt;C60,"W",if(G58&lt;C60,"L",if(isblank(G58),"","T")))</f>
        <v>W</v>
      </c>
      <c r="I58" s="244">
        <v>62.0</v>
      </c>
      <c r="J58" s="243" t="str">
        <f>if(I58&gt;C61,"W",if(I58&lt;C61,"L",if(isblank(I58),"","T")))</f>
        <v>W</v>
      </c>
      <c r="K58" s="244">
        <v>82.0</v>
      </c>
      <c r="L58" s="243" t="str">
        <f>if(K58&gt;C62,"W",if(K58&lt;C62,"L",if(isblank(K58),"","T")))</f>
        <v>W</v>
      </c>
      <c r="M58" s="244">
        <v>82.0</v>
      </c>
      <c r="N58" s="243" t="str">
        <f>if(M58&gt;C63,"W",if(M58&lt;C63,"L",if(isblank(M58),"","T")))</f>
        <v>W</v>
      </c>
      <c r="O58" s="70">
        <f t="shared" ref="O58:O63" si="22">countif(C58:N58,"W")+0.5*countif(C58:N58,"T")</f>
        <v>5</v>
      </c>
      <c r="P58" s="71">
        <f t="shared" ref="P58:P63" si="23">countif(C58:N58,"L")+0.5*countif(C58:N58,"T")</f>
        <v>0</v>
      </c>
      <c r="Q58" s="72">
        <f t="shared" ref="Q58:Q63" si="24">sum(C58:N58)</f>
        <v>388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>
      <c r="A59" s="240" t="s">
        <v>84</v>
      </c>
      <c r="B59" s="241" t="s">
        <v>26</v>
      </c>
      <c r="C59" s="244">
        <v>38.0</v>
      </c>
      <c r="D59" s="243" t="str">
        <f>if(E58&lt;C59,"W",if(E58&gt;C59,"L",if(isblank(C59),"","T")))</f>
        <v>L</v>
      </c>
      <c r="E59" s="48"/>
      <c r="F59" s="82"/>
      <c r="G59" s="242">
        <v>36.0</v>
      </c>
      <c r="H59" s="243" t="str">
        <f>if(G59&gt;E60,"W",if(G59&lt;E60,"L",if(isblank(G59),"","T")))</f>
        <v>L</v>
      </c>
      <c r="I59" s="244">
        <v>86.0</v>
      </c>
      <c r="J59" s="243" t="str">
        <f>if(I59&gt;E61,"W",if(I59&lt;E61,"L",if(isblank(I59),"","T")))</f>
        <v>W</v>
      </c>
      <c r="K59" s="244">
        <v>48.0</v>
      </c>
      <c r="L59" s="243" t="str">
        <f>if(K59&gt;E62,"W",if(K59&lt;E62,"L",if(isblank(K59),"","T")))</f>
        <v>W</v>
      </c>
      <c r="M59" s="244">
        <v>128.0</v>
      </c>
      <c r="N59" s="243" t="str">
        <f>if(M59&gt;E63,"W",if(M59&lt;E63,"L",if(isblank(M59),"","T")))</f>
        <v>W</v>
      </c>
      <c r="O59" s="70">
        <f t="shared" si="22"/>
        <v>3</v>
      </c>
      <c r="P59" s="71">
        <f t="shared" si="23"/>
        <v>2</v>
      </c>
      <c r="Q59" s="72">
        <f t="shared" si="24"/>
        <v>336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>
      <c r="A60" s="240" t="s">
        <v>119</v>
      </c>
      <c r="B60" s="241" t="s">
        <v>21</v>
      </c>
      <c r="C60" s="244">
        <v>72.0</v>
      </c>
      <c r="D60" s="245" t="str">
        <f>if(G58&lt;C60,"W",if(G58&gt;C60,"L",if(isblank(C60),"","T")))</f>
        <v>L</v>
      </c>
      <c r="E60" s="244">
        <v>70.0</v>
      </c>
      <c r="F60" s="243" t="str">
        <f>if(G59&lt;E60,"W",if(G59&gt;E60,"L",if(isblank(E60),"","T")))</f>
        <v>W</v>
      </c>
      <c r="G60" s="48"/>
      <c r="H60" s="82"/>
      <c r="I60" s="242">
        <v>46.0</v>
      </c>
      <c r="J60" s="243" t="str">
        <f>if(I60&gt;G61,"W",if(I60&lt;G61,"L",if(isblank(I60),"","T")))</f>
        <v>L</v>
      </c>
      <c r="K60" s="244">
        <v>86.0</v>
      </c>
      <c r="L60" s="243" t="str">
        <f>if(K60&gt;G62,"W",if(K60&lt;G62,"L",if(isblank(K60),"","T")))</f>
        <v>W</v>
      </c>
      <c r="M60" s="244">
        <v>58.0</v>
      </c>
      <c r="N60" s="243" t="str">
        <f>if(M60&gt;G63,"W",if(M60&lt;G63,"L",if(isblank(M60),"","T")))</f>
        <v>W</v>
      </c>
      <c r="O60" s="70">
        <f t="shared" si="22"/>
        <v>3</v>
      </c>
      <c r="P60" s="71">
        <f t="shared" si="23"/>
        <v>2</v>
      </c>
      <c r="Q60" s="72">
        <f t="shared" si="24"/>
        <v>332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>
      <c r="A61" s="240" t="s">
        <v>420</v>
      </c>
      <c r="B61" s="241" t="s">
        <v>136</v>
      </c>
      <c r="C61" s="244">
        <v>20.0</v>
      </c>
      <c r="D61" s="245" t="str">
        <f>if(I58&lt;C61,"W",if(I58&gt;C61,"L",if(isblank(C61),"","T")))</f>
        <v>L</v>
      </c>
      <c r="E61" s="244">
        <v>12.0</v>
      </c>
      <c r="F61" s="243" t="str">
        <f>if(I59&lt;E61,"W",if(I59&gt;E61,"L",if(isblank(E61),"","T")))</f>
        <v>L</v>
      </c>
      <c r="G61" s="244">
        <v>64.0</v>
      </c>
      <c r="H61" s="243" t="str">
        <f>if(I60&lt;G61,"W",if(I60&gt;G61,"L",if(isblank(G61),"","T")))</f>
        <v>W</v>
      </c>
      <c r="I61" s="48"/>
      <c r="J61" s="82"/>
      <c r="K61" s="242">
        <v>32.0</v>
      </c>
      <c r="L61" s="243" t="str">
        <f>if(K61&gt;I62,"W",if(K61&lt;I62,"L",if(isblank(K61),"","T")))</f>
        <v>L</v>
      </c>
      <c r="M61" s="244">
        <v>66.0</v>
      </c>
      <c r="N61" s="243" t="str">
        <f>if(M61&gt;I63,"W",if(M61&lt;I63,"L",if(isblank(M61),"","T")))</f>
        <v>W</v>
      </c>
      <c r="O61" s="70">
        <f t="shared" si="22"/>
        <v>2</v>
      </c>
      <c r="P61" s="71">
        <f t="shared" si="23"/>
        <v>3</v>
      </c>
      <c r="Q61" s="72">
        <f t="shared" si="24"/>
        <v>194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</row>
    <row r="62">
      <c r="A62" s="240" t="s">
        <v>153</v>
      </c>
      <c r="B62" s="241" t="s">
        <v>52</v>
      </c>
      <c r="C62" s="244">
        <v>26.0</v>
      </c>
      <c r="D62" s="245" t="str">
        <f>if(K58&lt;C62,"W",if(K58&gt;C62,"L",if(isblank(C62),"","T")))</f>
        <v>L</v>
      </c>
      <c r="E62" s="244">
        <v>32.0</v>
      </c>
      <c r="F62" s="243" t="str">
        <f>if(K59&lt;E62,"W",if(K59&gt;E62,"L",if(isblank(E62),"","T")))</f>
        <v>L</v>
      </c>
      <c r="G62" s="244">
        <v>48.0</v>
      </c>
      <c r="H62" s="243" t="str">
        <f>if(K60&lt;G62,"W",if(K60&gt;G62,"L",if(isblank(G62),"","T")))</f>
        <v>L</v>
      </c>
      <c r="I62" s="244">
        <v>128.0</v>
      </c>
      <c r="J62" s="243" t="str">
        <f>if(K61&lt;I62,"W",if(K61&gt;I62,"L",if(isblank(I62),"","T")))</f>
        <v>W</v>
      </c>
      <c r="K62" s="48"/>
      <c r="L62" s="132"/>
      <c r="M62" s="242">
        <v>112.0</v>
      </c>
      <c r="N62" s="243" t="str">
        <f>if(M62&gt;K63,"W",if(M62&lt;K63,"L",if(isblank(M62),"","T")))</f>
        <v>W</v>
      </c>
      <c r="O62" s="70">
        <f t="shared" si="22"/>
        <v>2</v>
      </c>
      <c r="P62" s="71">
        <f t="shared" si="23"/>
        <v>3</v>
      </c>
      <c r="Q62" s="72">
        <f t="shared" si="24"/>
        <v>346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>
      <c r="A63" s="246" t="s">
        <v>154</v>
      </c>
      <c r="B63" s="247" t="s">
        <v>172</v>
      </c>
      <c r="C63" s="248">
        <v>26.0</v>
      </c>
      <c r="D63" s="249" t="str">
        <f>if(M58&lt;C63,"W",if(M58&gt;C63,"L",if(isblank(C63),"","T")))</f>
        <v>L</v>
      </c>
      <c r="E63" s="248">
        <v>18.0</v>
      </c>
      <c r="F63" s="249" t="str">
        <f>if(M59&lt;E63,"W",if(M59&gt;E63,"L",if(isblank(E63),"","T")))</f>
        <v>L</v>
      </c>
      <c r="G63" s="248">
        <v>8.0</v>
      </c>
      <c r="H63" s="249" t="str">
        <f>if(M60&lt;G63,"W",if(M60&gt;G63,"L",if(isblank(G63),"","T")))</f>
        <v>L</v>
      </c>
      <c r="I63" s="248">
        <v>40.0</v>
      </c>
      <c r="J63" s="249" t="str">
        <f>if(M61&lt;I63,"W",if(M61&gt;I63,"L",if(isblank(I63),"","T")))</f>
        <v>L</v>
      </c>
      <c r="K63" s="248">
        <v>28.0</v>
      </c>
      <c r="L63" s="249" t="str">
        <f>if(M62&lt;K63,"W",if(M62&gt;K63,"L",if(isblank(K63),"","T")))</f>
        <v>L</v>
      </c>
      <c r="M63" s="142"/>
      <c r="N63" s="143"/>
      <c r="O63" s="144">
        <f t="shared" si="22"/>
        <v>0</v>
      </c>
      <c r="P63" s="145">
        <f t="shared" si="23"/>
        <v>5</v>
      </c>
      <c r="Q63" s="146">
        <f t="shared" si="24"/>
        <v>120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>
      <c r="A64" s="44"/>
      <c r="B64" s="44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>
      <c r="A65" s="44"/>
      <c r="B65" s="44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>
      <c r="A66" s="44"/>
      <c r="B66" s="44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>
      <c r="A67" s="44"/>
      <c r="B67" s="44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>
      <c r="A68" s="44"/>
      <c r="B68" s="44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>
      <c r="A69" s="44"/>
      <c r="B69" s="44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>
      <c r="A70" s="44"/>
      <c r="B70" s="44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>
      <c r="A71" s="44"/>
      <c r="B71" s="44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>
      <c r="A72" s="44"/>
      <c r="B72" s="44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>
      <c r="A73" s="44"/>
      <c r="B73" s="44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>
      <c r="A74" s="44"/>
      <c r="B74" s="44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>
      <c r="A75" s="44"/>
      <c r="B75" s="44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47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>
      <c r="A76" s="44"/>
      <c r="B76" s="44"/>
      <c r="C76" s="147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>
      <c r="A77" s="44"/>
      <c r="B77" s="44"/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>
      <c r="A78" s="44"/>
      <c r="B78" s="44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>
      <c r="A79" s="44"/>
      <c r="B79" s="44"/>
      <c r="C79" s="147"/>
      <c r="D79" s="147"/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>
      <c r="A80" s="44"/>
      <c r="B80" s="44"/>
      <c r="C80" s="147"/>
      <c r="D80" s="147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>
      <c r="A81" s="44"/>
      <c r="B81" s="44"/>
      <c r="C81" s="147"/>
      <c r="D81" s="147"/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>
      <c r="A82" s="44"/>
      <c r="B82" s="44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>
      <c r="A83" s="44"/>
      <c r="B83" s="44"/>
      <c r="C83" s="147"/>
      <c r="D83" s="147"/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>
      <c r="A84" s="44"/>
      <c r="B84" s="44"/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>
      <c r="A85" s="44"/>
      <c r="B85" s="44"/>
      <c r="C85" s="147"/>
      <c r="D85" s="147"/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>
      <c r="A86" s="44"/>
      <c r="B86" s="44"/>
      <c r="C86" s="147"/>
      <c r="D86" s="147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>
      <c r="A87" s="44"/>
      <c r="B87" s="44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>
      <c r="A88" s="44"/>
      <c r="B88" s="44"/>
      <c r="C88" s="147"/>
      <c r="D88" s="147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>
      <c r="A89" s="44"/>
      <c r="B89" s="44"/>
      <c r="C89" s="147"/>
      <c r="D89" s="147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</row>
    <row r="90">
      <c r="A90" s="44"/>
      <c r="B90" s="44"/>
      <c r="C90" s="147"/>
      <c r="D90" s="147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>
      <c r="A91" s="44"/>
      <c r="B91" s="44"/>
      <c r="C91" s="147"/>
      <c r="D91" s="147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>
      <c r="A92" s="44"/>
      <c r="B92" s="44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</row>
    <row r="93">
      <c r="A93" s="44"/>
      <c r="B93" s="44"/>
      <c r="C93" s="147"/>
      <c r="D93" s="147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>
      <c r="A94" s="44"/>
      <c r="B94" s="44"/>
      <c r="C94" s="147"/>
      <c r="D94" s="147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>
      <c r="A95" s="44"/>
      <c r="B95" s="44"/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>
      <c r="A96" s="44"/>
      <c r="B96" s="44"/>
      <c r="C96" s="147"/>
      <c r="D96" s="147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</row>
    <row r="97">
      <c r="A97" s="44"/>
      <c r="B97" s="44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>
      <c r="A98" s="44"/>
      <c r="B98" s="44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>
      <c r="A99" s="44"/>
      <c r="B99" s="44"/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>
      <c r="A100" s="44"/>
      <c r="B100" s="44"/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>
      <c r="A101" s="44"/>
      <c r="B101" s="44"/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>
      <c r="A102" s="44"/>
      <c r="B102" s="44"/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>
      <c r="A103" s="44"/>
      <c r="B103" s="44"/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>
      <c r="A104" s="44"/>
      <c r="B104" s="44"/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>
      <c r="A105" s="44"/>
      <c r="B105" s="44"/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>
      <c r="A106" s="44"/>
      <c r="B106" s="44"/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>
      <c r="A107" s="44"/>
      <c r="B107" s="44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>
      <c r="A108" s="44"/>
      <c r="B108" s="44"/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>
      <c r="A109" s="44"/>
      <c r="B109" s="44"/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>
      <c r="A110" s="44"/>
      <c r="B110" s="44"/>
      <c r="C110" s="147"/>
      <c r="D110" s="147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</row>
    <row r="111">
      <c r="A111" s="44"/>
      <c r="B111" s="44"/>
      <c r="C111" s="147"/>
      <c r="D111" s="147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</row>
    <row r="112">
      <c r="A112" s="44"/>
      <c r="B112" s="44"/>
      <c r="C112" s="147"/>
      <c r="D112" s="147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>
      <c r="A113" s="44"/>
      <c r="B113" s="44"/>
      <c r="C113" s="147"/>
      <c r="D113" s="147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>
      <c r="A114" s="44"/>
      <c r="B114" s="44"/>
      <c r="C114" s="147"/>
      <c r="D114" s="147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>
      <c r="A115" s="44"/>
      <c r="B115" s="44"/>
      <c r="C115" s="147"/>
      <c r="D115" s="147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>
      <c r="A116" s="44"/>
      <c r="B116" s="44"/>
      <c r="C116" s="147"/>
      <c r="D116" s="147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</row>
    <row r="117">
      <c r="A117" s="44"/>
      <c r="B117" s="44"/>
      <c r="C117" s="147"/>
      <c r="D117" s="147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>
      <c r="A118" s="44"/>
      <c r="B118" s="44"/>
      <c r="C118" s="147"/>
      <c r="D118" s="147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>
      <c r="A119" s="44"/>
      <c r="B119" s="44"/>
      <c r="C119" s="147"/>
      <c r="D119" s="147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>
      <c r="A120" s="44"/>
      <c r="B120" s="44"/>
      <c r="C120" s="147"/>
      <c r="D120" s="147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>
      <c r="A121" s="44"/>
      <c r="B121" s="44"/>
      <c r="C121" s="147"/>
      <c r="D121" s="147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>
      <c r="A122" s="44"/>
      <c r="B122" s="44"/>
      <c r="C122" s="147"/>
      <c r="D122" s="147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>
      <c r="A123" s="44"/>
      <c r="B123" s="44"/>
      <c r="C123" s="147"/>
      <c r="D123" s="147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>
      <c r="A124" s="44"/>
      <c r="B124" s="44"/>
      <c r="C124" s="147"/>
      <c r="D124" s="147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>
      <c r="A125" s="44"/>
      <c r="B125" s="44"/>
      <c r="C125" s="147"/>
      <c r="D125" s="147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>
      <c r="A126" s="44"/>
      <c r="B126" s="44"/>
      <c r="C126" s="147"/>
      <c r="D126" s="147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>
      <c r="A127" s="44"/>
      <c r="B127" s="44"/>
      <c r="C127" s="147"/>
      <c r="D127" s="147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>
      <c r="A128" s="44"/>
      <c r="B128" s="44"/>
      <c r="C128" s="147"/>
      <c r="D128" s="147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>
      <c r="A129" s="44"/>
      <c r="B129" s="44"/>
      <c r="C129" s="147"/>
      <c r="D129" s="147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>
      <c r="A130" s="44"/>
      <c r="B130" s="44"/>
      <c r="C130" s="147"/>
      <c r="D130" s="147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>
      <c r="A131" s="44"/>
      <c r="B131" s="44"/>
      <c r="C131" s="147"/>
      <c r="D131" s="147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>
      <c r="A132" s="44"/>
      <c r="B132" s="44"/>
      <c r="C132" s="147"/>
      <c r="D132" s="147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>
      <c r="A133" s="44"/>
      <c r="B133" s="44"/>
      <c r="C133" s="147"/>
      <c r="D133" s="147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>
      <c r="A134" s="44"/>
      <c r="B134" s="44"/>
      <c r="C134" s="147"/>
      <c r="D134" s="147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>
      <c r="A135" s="44"/>
      <c r="B135" s="44"/>
      <c r="C135" s="147"/>
      <c r="D135" s="147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>
      <c r="A136" s="44"/>
      <c r="B136" s="44"/>
      <c r="C136" s="147"/>
      <c r="D136" s="147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>
      <c r="A137" s="44"/>
      <c r="B137" s="44"/>
      <c r="C137" s="147"/>
      <c r="D137" s="147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>
      <c r="A138" s="44"/>
      <c r="B138" s="44"/>
      <c r="C138" s="147"/>
      <c r="D138" s="147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>
      <c r="A139" s="44"/>
      <c r="B139" s="44"/>
      <c r="C139" s="147"/>
      <c r="D139" s="147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>
      <c r="A140" s="44"/>
      <c r="B140" s="44"/>
      <c r="C140" s="147"/>
      <c r="D140" s="147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>
      <c r="A141" s="44"/>
      <c r="B141" s="44"/>
      <c r="C141" s="147"/>
      <c r="D141" s="147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>
      <c r="A142" s="44"/>
      <c r="B142" s="44"/>
      <c r="C142" s="147"/>
      <c r="D142" s="147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>
      <c r="A143" s="44"/>
      <c r="B143" s="44"/>
      <c r="C143" s="147"/>
      <c r="D143" s="147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>
      <c r="A144" s="44"/>
      <c r="B144" s="44"/>
      <c r="C144" s="147"/>
      <c r="D144" s="147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>
      <c r="A145" s="44"/>
      <c r="B145" s="44"/>
      <c r="C145" s="147"/>
      <c r="D145" s="147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>
      <c r="A146" s="44"/>
      <c r="B146" s="44"/>
      <c r="C146" s="147"/>
      <c r="D146" s="147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>
      <c r="A147" s="44"/>
      <c r="B147" s="44"/>
      <c r="C147" s="147"/>
      <c r="D147" s="147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>
      <c r="A148" s="44"/>
      <c r="B148" s="44"/>
      <c r="C148" s="147"/>
      <c r="D148" s="147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>
      <c r="A149" s="44"/>
      <c r="B149" s="44"/>
      <c r="C149" s="147"/>
      <c r="D149" s="147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>
      <c r="A150" s="44"/>
      <c r="B150" s="44"/>
      <c r="C150" s="147"/>
      <c r="D150" s="147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>
      <c r="A151" s="44"/>
      <c r="B151" s="44"/>
      <c r="C151" s="147"/>
      <c r="D151" s="147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>
      <c r="A152" s="44"/>
      <c r="B152" s="44"/>
      <c r="C152" s="147"/>
      <c r="D152" s="147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>
      <c r="A153" s="44"/>
      <c r="B153" s="44"/>
      <c r="C153" s="147"/>
      <c r="D153" s="147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>
      <c r="A154" s="44"/>
      <c r="B154" s="44"/>
      <c r="C154" s="147"/>
      <c r="D154" s="147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>
      <c r="A155" s="44"/>
      <c r="B155" s="44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>
      <c r="A156" s="44"/>
      <c r="B156" s="44"/>
      <c r="C156" s="147"/>
      <c r="D156" s="147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>
      <c r="A157" s="44"/>
      <c r="B157" s="44"/>
      <c r="C157" s="147"/>
      <c r="D157" s="147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>
      <c r="A158" s="44"/>
      <c r="B158" s="44"/>
      <c r="C158" s="147"/>
      <c r="D158" s="147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>
      <c r="A159" s="44"/>
      <c r="B159" s="44"/>
      <c r="C159" s="147"/>
      <c r="D159" s="147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>
      <c r="A160" s="44"/>
      <c r="B160" s="44"/>
      <c r="C160" s="147"/>
      <c r="D160" s="147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>
      <c r="A161" s="44"/>
      <c r="B161" s="44"/>
      <c r="C161" s="147"/>
      <c r="D161" s="147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>
      <c r="A162" s="44"/>
      <c r="B162" s="44"/>
      <c r="C162" s="147"/>
      <c r="D162" s="147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>
      <c r="A163" s="44"/>
      <c r="B163" s="44"/>
      <c r="C163" s="147"/>
      <c r="D163" s="147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>
      <c r="A164" s="44"/>
      <c r="B164" s="44"/>
      <c r="C164" s="147"/>
      <c r="D164" s="147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>
      <c r="A165" s="44"/>
      <c r="B165" s="44"/>
      <c r="C165" s="147"/>
      <c r="D165" s="147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>
      <c r="A166" s="44"/>
      <c r="B166" s="44"/>
      <c r="C166" s="147"/>
      <c r="D166" s="147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>
      <c r="A167" s="44"/>
      <c r="B167" s="44"/>
      <c r="C167" s="147"/>
      <c r="D167" s="147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>
      <c r="A168" s="44"/>
      <c r="B168" s="44"/>
      <c r="C168" s="147"/>
      <c r="D168" s="147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>
      <c r="A169" s="44"/>
      <c r="B169" s="44"/>
      <c r="C169" s="147"/>
      <c r="D169" s="147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>
      <c r="A170" s="44"/>
      <c r="B170" s="44"/>
      <c r="C170" s="147"/>
      <c r="D170" s="147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>
      <c r="A171" s="44"/>
      <c r="B171" s="44"/>
      <c r="C171" s="147"/>
      <c r="D171" s="147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>
      <c r="A172" s="44"/>
      <c r="B172" s="44"/>
      <c r="C172" s="147"/>
      <c r="D172" s="147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>
      <c r="A173" s="44"/>
      <c r="B173" s="44"/>
      <c r="C173" s="147"/>
      <c r="D173" s="147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>
      <c r="A174" s="44"/>
      <c r="B174" s="44"/>
      <c r="C174" s="147"/>
      <c r="D174" s="147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>
      <c r="A175" s="44"/>
      <c r="B175" s="44"/>
      <c r="C175" s="147"/>
      <c r="D175" s="147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>
      <c r="A176" s="44"/>
      <c r="B176" s="44"/>
      <c r="C176" s="147"/>
      <c r="D176" s="147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>
      <c r="A177" s="44"/>
      <c r="B177" s="44"/>
      <c r="C177" s="147"/>
      <c r="D177" s="147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>
      <c r="A178" s="44"/>
      <c r="B178" s="44"/>
      <c r="C178" s="147"/>
      <c r="D178" s="147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>
      <c r="A179" s="44"/>
      <c r="B179" s="44"/>
      <c r="C179" s="147"/>
      <c r="D179" s="147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>
      <c r="A180" s="44"/>
      <c r="B180" s="44"/>
      <c r="C180" s="147"/>
      <c r="D180" s="147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>
      <c r="A181" s="44"/>
      <c r="B181" s="44"/>
      <c r="C181" s="147"/>
      <c r="D181" s="147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>
      <c r="A182" s="44"/>
      <c r="B182" s="44"/>
      <c r="C182" s="147"/>
      <c r="D182" s="147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>
      <c r="A183" s="44"/>
      <c r="B183" s="44"/>
      <c r="C183" s="147"/>
      <c r="D183" s="147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>
      <c r="A184" s="44"/>
      <c r="B184" s="44"/>
      <c r="C184" s="147"/>
      <c r="D184" s="147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>
      <c r="A185" s="44"/>
      <c r="B185" s="44"/>
      <c r="C185" s="147"/>
      <c r="D185" s="147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>
      <c r="A186" s="44"/>
      <c r="B186" s="44"/>
      <c r="C186" s="147"/>
      <c r="D186" s="147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>
      <c r="A187" s="44"/>
      <c r="B187" s="44"/>
      <c r="C187" s="147"/>
      <c r="D187" s="147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>
      <c r="A188" s="44"/>
      <c r="B188" s="44"/>
      <c r="C188" s="147"/>
      <c r="D188" s="147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>
      <c r="A189" s="44"/>
      <c r="B189" s="44"/>
      <c r="C189" s="147"/>
      <c r="D189" s="147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>
      <c r="A190" s="44"/>
      <c r="B190" s="44"/>
      <c r="C190" s="147"/>
      <c r="D190" s="147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>
      <c r="A191" s="44"/>
      <c r="B191" s="44"/>
      <c r="C191" s="147"/>
      <c r="D191" s="147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>
      <c r="A192" s="44"/>
      <c r="B192" s="44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>
      <c r="A193" s="44"/>
      <c r="B193" s="44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>
      <c r="A194" s="44"/>
      <c r="B194" s="44"/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>
      <c r="A195" s="44"/>
      <c r="B195" s="44"/>
      <c r="C195" s="147"/>
      <c r="D195" s="147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>
      <c r="A196" s="44"/>
      <c r="B196" s="44"/>
      <c r="C196" s="147"/>
      <c r="D196" s="147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>
      <c r="A197" s="44"/>
      <c r="B197" s="44"/>
      <c r="C197" s="147"/>
      <c r="D197" s="147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>
      <c r="A198" s="44"/>
      <c r="B198" s="44"/>
      <c r="C198" s="147"/>
      <c r="D198" s="147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>
      <c r="A199" s="44"/>
      <c r="B199" s="44"/>
      <c r="C199" s="147"/>
      <c r="D199" s="147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>
      <c r="A200" s="44"/>
      <c r="B200" s="44"/>
      <c r="C200" s="147"/>
      <c r="D200" s="147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>
      <c r="A201" s="44"/>
      <c r="B201" s="44"/>
      <c r="C201" s="147"/>
      <c r="D201" s="147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>
      <c r="A202" s="44"/>
      <c r="B202" s="44"/>
      <c r="C202" s="147"/>
      <c r="D202" s="147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>
      <c r="A203" s="44"/>
      <c r="B203" s="44"/>
      <c r="C203" s="147"/>
      <c r="D203" s="147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>
      <c r="A204" s="44"/>
      <c r="B204" s="44"/>
      <c r="C204" s="147"/>
      <c r="D204" s="147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>
      <c r="A205" s="44"/>
      <c r="B205" s="44"/>
      <c r="C205" s="147"/>
      <c r="D205" s="147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>
      <c r="A206" s="44"/>
      <c r="B206" s="44"/>
      <c r="C206" s="147"/>
      <c r="D206" s="147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>
      <c r="A207" s="44"/>
      <c r="B207" s="44"/>
      <c r="C207" s="147"/>
      <c r="D207" s="147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>
      <c r="A208" s="44"/>
      <c r="B208" s="44"/>
      <c r="C208" s="147"/>
      <c r="D208" s="147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>
      <c r="A209" s="44"/>
      <c r="B209" s="44"/>
      <c r="C209" s="147"/>
      <c r="D209" s="147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>
      <c r="A210" s="44"/>
      <c r="B210" s="44"/>
      <c r="C210" s="147"/>
      <c r="D210" s="147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>
      <c r="A211" s="44"/>
      <c r="B211" s="44"/>
      <c r="C211" s="147"/>
      <c r="D211" s="147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>
      <c r="A212" s="44"/>
      <c r="B212" s="44"/>
      <c r="C212" s="147"/>
      <c r="D212" s="147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>
      <c r="A213" s="44"/>
      <c r="B213" s="44"/>
      <c r="C213" s="147"/>
      <c r="D213" s="147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>
      <c r="A214" s="44"/>
      <c r="B214" s="44"/>
      <c r="C214" s="147"/>
      <c r="D214" s="147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>
      <c r="A215" s="44"/>
      <c r="B215" s="44"/>
      <c r="C215" s="147"/>
      <c r="D215" s="147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>
      <c r="A216" s="44"/>
      <c r="B216" s="44"/>
      <c r="C216" s="147"/>
      <c r="D216" s="147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>
      <c r="A217" s="44"/>
      <c r="B217" s="44"/>
      <c r="C217" s="147"/>
      <c r="D217" s="147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>
      <c r="A218" s="44"/>
      <c r="B218" s="44"/>
      <c r="C218" s="147"/>
      <c r="D218" s="147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>
      <c r="A219" s="44"/>
      <c r="B219" s="44"/>
      <c r="C219" s="147"/>
      <c r="D219" s="147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>
      <c r="A220" s="44"/>
      <c r="B220" s="44"/>
      <c r="C220" s="147"/>
      <c r="D220" s="147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>
      <c r="A221" s="44"/>
      <c r="B221" s="44"/>
      <c r="C221" s="147"/>
      <c r="D221" s="147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>
      <c r="A222" s="44"/>
      <c r="B222" s="44"/>
      <c r="C222" s="147"/>
      <c r="D222" s="147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>
      <c r="A223" s="44"/>
      <c r="B223" s="44"/>
      <c r="C223" s="147"/>
      <c r="D223" s="147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>
      <c r="A224" s="44"/>
      <c r="B224" s="44"/>
      <c r="C224" s="147"/>
      <c r="D224" s="147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>
      <c r="A225" s="44"/>
      <c r="B225" s="44"/>
      <c r="C225" s="147"/>
      <c r="D225" s="147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>
      <c r="A226" s="44"/>
      <c r="B226" s="44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>
      <c r="A227" s="44"/>
      <c r="B227" s="44"/>
      <c r="C227" s="147"/>
      <c r="D227" s="147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>
      <c r="A228" s="44"/>
      <c r="B228" s="44"/>
      <c r="C228" s="147"/>
      <c r="D228" s="147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>
      <c r="A229" s="44"/>
      <c r="B229" s="44"/>
      <c r="C229" s="147"/>
      <c r="D229" s="147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>
      <c r="A230" s="44"/>
      <c r="B230" s="44"/>
      <c r="C230" s="147"/>
      <c r="D230" s="147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>
      <c r="A231" s="44"/>
      <c r="B231" s="44"/>
      <c r="C231" s="147"/>
      <c r="D231" s="147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>
      <c r="A232" s="44"/>
      <c r="B232" s="44"/>
      <c r="C232" s="147"/>
      <c r="D232" s="147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>
      <c r="A233" s="44"/>
      <c r="B233" s="44"/>
      <c r="C233" s="147"/>
      <c r="D233" s="147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>
      <c r="A234" s="44"/>
      <c r="B234" s="44"/>
      <c r="C234" s="147"/>
      <c r="D234" s="147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>
      <c r="A235" s="44"/>
      <c r="B235" s="44"/>
      <c r="C235" s="147"/>
      <c r="D235" s="147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>
      <c r="A236" s="44"/>
      <c r="B236" s="44"/>
      <c r="C236" s="147"/>
      <c r="D236" s="147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>
      <c r="A237" s="44"/>
      <c r="B237" s="44"/>
      <c r="C237" s="147"/>
      <c r="D237" s="147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>
      <c r="A238" s="44"/>
      <c r="B238" s="44"/>
      <c r="C238" s="147"/>
      <c r="D238" s="147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>
      <c r="A239" s="44"/>
      <c r="B239" s="44"/>
      <c r="C239" s="147"/>
      <c r="D239" s="147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>
      <c r="A240" s="44"/>
      <c r="B240" s="44"/>
      <c r="C240" s="147"/>
      <c r="D240" s="147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</row>
    <row r="241">
      <c r="A241" s="44"/>
      <c r="B241" s="44"/>
      <c r="C241" s="147"/>
      <c r="D241" s="147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>
      <c r="A242" s="44"/>
      <c r="B242" s="44"/>
      <c r="C242" s="147"/>
      <c r="D242" s="147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>
      <c r="A243" s="44"/>
      <c r="B243" s="44"/>
      <c r="C243" s="147"/>
      <c r="D243" s="147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>
      <c r="A244" s="44"/>
      <c r="B244" s="44"/>
      <c r="C244" s="147"/>
      <c r="D244" s="147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>
      <c r="A245" s="44"/>
      <c r="B245" s="44"/>
      <c r="C245" s="147"/>
      <c r="D245" s="147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>
      <c r="A246" s="44"/>
      <c r="B246" s="44"/>
      <c r="C246" s="147"/>
      <c r="D246" s="147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>
      <c r="A247" s="44"/>
      <c r="B247" s="44"/>
      <c r="C247" s="147"/>
      <c r="D247" s="147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>
      <c r="A248" s="44"/>
      <c r="B248" s="44"/>
      <c r="C248" s="147"/>
      <c r="D248" s="147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>
      <c r="A249" s="44"/>
      <c r="B249" s="44"/>
      <c r="C249" s="147"/>
      <c r="D249" s="147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>
      <c r="A250" s="44"/>
      <c r="B250" s="44"/>
      <c r="C250" s="147"/>
      <c r="D250" s="147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>
      <c r="A251" s="44"/>
      <c r="B251" s="44"/>
      <c r="C251" s="147"/>
      <c r="D251" s="147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>
      <c r="A252" s="44"/>
      <c r="B252" s="44"/>
      <c r="C252" s="147"/>
      <c r="D252" s="147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>
      <c r="A253" s="44"/>
      <c r="B253" s="44"/>
      <c r="C253" s="147"/>
      <c r="D253" s="147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>
      <c r="A254" s="44"/>
      <c r="B254" s="44"/>
      <c r="C254" s="147"/>
      <c r="D254" s="147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>
      <c r="A255" s="44"/>
      <c r="B255" s="44"/>
      <c r="C255" s="147"/>
      <c r="D255" s="147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>
      <c r="A256" s="44"/>
      <c r="B256" s="44"/>
      <c r="C256" s="147"/>
      <c r="D256" s="147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>
      <c r="A257" s="44"/>
      <c r="B257" s="44"/>
      <c r="C257" s="147"/>
      <c r="D257" s="147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>
      <c r="A258" s="44"/>
      <c r="B258" s="44"/>
      <c r="C258" s="147"/>
      <c r="D258" s="147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>
      <c r="A259" s="44"/>
      <c r="B259" s="44"/>
      <c r="C259" s="147"/>
      <c r="D259" s="147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>
      <c r="A260" s="44"/>
      <c r="B260" s="44"/>
      <c r="C260" s="147"/>
      <c r="D260" s="147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>
      <c r="A261" s="44"/>
      <c r="B261" s="44"/>
      <c r="C261" s="147"/>
      <c r="D261" s="147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>
      <c r="A262" s="44"/>
      <c r="B262" s="44"/>
      <c r="C262" s="147"/>
      <c r="D262" s="147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>
      <c r="A263" s="44"/>
      <c r="B263" s="44"/>
      <c r="C263" s="147"/>
      <c r="D263" s="147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>
      <c r="A264" s="44"/>
      <c r="B264" s="44"/>
      <c r="C264" s="147"/>
      <c r="D264" s="147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>
      <c r="A265" s="44"/>
      <c r="B265" s="44"/>
      <c r="C265" s="147"/>
      <c r="D265" s="147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>
      <c r="A266" s="44"/>
      <c r="B266" s="44"/>
      <c r="C266" s="147"/>
      <c r="D266" s="147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>
      <c r="A267" s="44"/>
      <c r="B267" s="44"/>
      <c r="C267" s="147"/>
      <c r="D267" s="147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>
      <c r="A268" s="44"/>
      <c r="B268" s="44"/>
      <c r="C268" s="147"/>
      <c r="D268" s="147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>
      <c r="A269" s="44"/>
      <c r="B269" s="44"/>
      <c r="C269" s="147"/>
      <c r="D269" s="147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>
      <c r="A270" s="44"/>
      <c r="B270" s="44"/>
      <c r="C270" s="147"/>
      <c r="D270" s="147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>
      <c r="A271" s="44"/>
      <c r="B271" s="44"/>
      <c r="C271" s="147"/>
      <c r="D271" s="147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>
      <c r="A272" s="44"/>
      <c r="B272" s="44"/>
      <c r="C272" s="147"/>
      <c r="D272" s="147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>
      <c r="A273" s="44"/>
      <c r="B273" s="44"/>
      <c r="C273" s="147"/>
      <c r="D273" s="147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>
      <c r="A274" s="44"/>
      <c r="B274" s="44"/>
      <c r="C274" s="147"/>
      <c r="D274" s="147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>
      <c r="A275" s="44"/>
      <c r="B275" s="44"/>
      <c r="C275" s="147"/>
      <c r="D275" s="147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>
      <c r="A276" s="44"/>
      <c r="B276" s="44"/>
      <c r="C276" s="147"/>
      <c r="D276" s="147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>
      <c r="A277" s="44"/>
      <c r="B277" s="44"/>
      <c r="C277" s="147"/>
      <c r="D277" s="147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>
      <c r="A278" s="44"/>
      <c r="B278" s="44"/>
      <c r="C278" s="147"/>
      <c r="D278" s="147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>
      <c r="A279" s="44"/>
      <c r="B279" s="44"/>
      <c r="C279" s="147"/>
      <c r="D279" s="147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>
      <c r="A280" s="44"/>
      <c r="B280" s="44"/>
      <c r="C280" s="147"/>
      <c r="D280" s="147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>
      <c r="A281" s="44"/>
      <c r="B281" s="44"/>
      <c r="C281" s="147"/>
      <c r="D281" s="147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>
      <c r="A282" s="44"/>
      <c r="B282" s="44"/>
      <c r="C282" s="147"/>
      <c r="D282" s="147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>
      <c r="A283" s="44"/>
      <c r="B283" s="44"/>
      <c r="C283" s="147"/>
      <c r="D283" s="147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>
      <c r="A284" s="44"/>
      <c r="B284" s="44"/>
      <c r="C284" s="147"/>
      <c r="D284" s="147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>
      <c r="A285" s="44"/>
      <c r="B285" s="44"/>
      <c r="C285" s="147"/>
      <c r="D285" s="147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>
      <c r="A286" s="44"/>
      <c r="B286" s="44"/>
      <c r="C286" s="147"/>
      <c r="D286" s="147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>
      <c r="A287" s="44"/>
      <c r="B287" s="44"/>
      <c r="C287" s="147"/>
      <c r="D287" s="147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>
      <c r="A288" s="44"/>
      <c r="B288" s="44"/>
      <c r="C288" s="147"/>
      <c r="D288" s="147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>
      <c r="A289" s="44"/>
      <c r="B289" s="44"/>
      <c r="C289" s="147"/>
      <c r="D289" s="147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>
      <c r="A290" s="44"/>
      <c r="B290" s="44"/>
      <c r="C290" s="147"/>
      <c r="D290" s="147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>
      <c r="A291" s="44"/>
      <c r="B291" s="44"/>
      <c r="C291" s="147"/>
      <c r="D291" s="147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>
      <c r="A292" s="44"/>
      <c r="B292" s="44"/>
      <c r="C292" s="147"/>
      <c r="D292" s="147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>
      <c r="A293" s="44"/>
      <c r="B293" s="44"/>
      <c r="C293" s="147"/>
      <c r="D293" s="147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>
      <c r="A294" s="44"/>
      <c r="B294" s="44"/>
      <c r="C294" s="147"/>
      <c r="D294" s="147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>
      <c r="A295" s="44"/>
      <c r="B295" s="44"/>
      <c r="C295" s="147"/>
      <c r="D295" s="147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>
      <c r="A296" s="44"/>
      <c r="B296" s="44"/>
      <c r="C296" s="147"/>
      <c r="D296" s="147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>
      <c r="A297" s="44"/>
      <c r="B297" s="44"/>
      <c r="C297" s="147"/>
      <c r="D297" s="147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>
      <c r="A298" s="44"/>
      <c r="B298" s="44"/>
      <c r="C298" s="147"/>
      <c r="D298" s="147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>
      <c r="A299" s="44"/>
      <c r="B299" s="44"/>
      <c r="C299" s="147"/>
      <c r="D299" s="147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>
      <c r="A300" s="44"/>
      <c r="B300" s="44"/>
      <c r="C300" s="147"/>
      <c r="D300" s="147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>
      <c r="A301" s="44"/>
      <c r="B301" s="44"/>
      <c r="C301" s="147"/>
      <c r="D301" s="147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>
      <c r="A302" s="44"/>
      <c r="B302" s="44"/>
      <c r="C302" s="147"/>
      <c r="D302" s="147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>
      <c r="A303" s="44"/>
      <c r="B303" s="44"/>
      <c r="C303" s="147"/>
      <c r="D303" s="147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>
      <c r="A304" s="44"/>
      <c r="B304" s="44"/>
      <c r="C304" s="147"/>
      <c r="D304" s="147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>
      <c r="A305" s="44"/>
      <c r="B305" s="44"/>
      <c r="C305" s="147"/>
      <c r="D305" s="147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>
      <c r="A306" s="44"/>
      <c r="B306" s="44"/>
      <c r="C306" s="147"/>
      <c r="D306" s="147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>
      <c r="A307" s="44"/>
      <c r="B307" s="44"/>
      <c r="C307" s="147"/>
      <c r="D307" s="147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>
      <c r="A308" s="44"/>
      <c r="B308" s="44"/>
      <c r="C308" s="147"/>
      <c r="D308" s="147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>
      <c r="A309" s="44"/>
      <c r="B309" s="44"/>
      <c r="C309" s="147"/>
      <c r="D309" s="147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>
      <c r="A310" s="44"/>
      <c r="B310" s="44"/>
      <c r="C310" s="147"/>
      <c r="D310" s="147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>
      <c r="A311" s="44"/>
      <c r="B311" s="44"/>
      <c r="C311" s="147"/>
      <c r="D311" s="147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>
      <c r="A312" s="44"/>
      <c r="B312" s="44"/>
      <c r="C312" s="147"/>
      <c r="D312" s="147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>
      <c r="A313" s="44"/>
      <c r="B313" s="44"/>
      <c r="C313" s="147"/>
      <c r="D313" s="147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>
      <c r="A314" s="44"/>
      <c r="B314" s="44"/>
      <c r="C314" s="147"/>
      <c r="D314" s="147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>
      <c r="A315" s="44"/>
      <c r="B315" s="44"/>
      <c r="C315" s="147"/>
      <c r="D315" s="147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>
      <c r="A316" s="44"/>
      <c r="B316" s="44"/>
      <c r="C316" s="147"/>
      <c r="D316" s="147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>
      <c r="A317" s="44"/>
      <c r="B317" s="44"/>
      <c r="C317" s="147"/>
      <c r="D317" s="147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>
      <c r="A318" s="44"/>
      <c r="B318" s="44"/>
      <c r="C318" s="147"/>
      <c r="D318" s="147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>
      <c r="A319" s="44"/>
      <c r="B319" s="44"/>
      <c r="C319" s="147"/>
      <c r="D319" s="147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>
      <c r="A320" s="44"/>
      <c r="B320" s="44"/>
      <c r="C320" s="147"/>
      <c r="D320" s="147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>
      <c r="A321" s="44"/>
      <c r="B321" s="44"/>
      <c r="C321" s="147"/>
      <c r="D321" s="147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>
      <c r="A322" s="44"/>
      <c r="B322" s="44"/>
      <c r="C322" s="147"/>
      <c r="D322" s="147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>
      <c r="A323" s="44"/>
      <c r="B323" s="44"/>
      <c r="C323" s="147"/>
      <c r="D323" s="147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>
      <c r="A324" s="44"/>
      <c r="B324" s="44"/>
      <c r="C324" s="147"/>
      <c r="D324" s="147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>
      <c r="A325" s="44"/>
      <c r="B325" s="44"/>
      <c r="C325" s="147"/>
      <c r="D325" s="147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>
      <c r="A326" s="44"/>
      <c r="B326" s="44"/>
      <c r="C326" s="147"/>
      <c r="D326" s="147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>
      <c r="A327" s="44"/>
      <c r="B327" s="44"/>
      <c r="C327" s="147"/>
      <c r="D327" s="147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>
      <c r="A328" s="44"/>
      <c r="B328" s="44"/>
      <c r="C328" s="147"/>
      <c r="D328" s="147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>
      <c r="A329" s="44"/>
      <c r="B329" s="44"/>
      <c r="C329" s="147"/>
      <c r="D329" s="147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>
      <c r="A330" s="44"/>
      <c r="B330" s="44"/>
      <c r="C330" s="147"/>
      <c r="D330" s="147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>
      <c r="A331" s="44"/>
      <c r="B331" s="44"/>
      <c r="C331" s="147"/>
      <c r="D331" s="147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>
      <c r="A332" s="44"/>
      <c r="B332" s="44"/>
      <c r="C332" s="147"/>
      <c r="D332" s="147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>
      <c r="A333" s="44"/>
      <c r="B333" s="44"/>
      <c r="C333" s="147"/>
      <c r="D333" s="147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>
      <c r="A334" s="44"/>
      <c r="B334" s="44"/>
      <c r="C334" s="147"/>
      <c r="D334" s="147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>
      <c r="A335" s="44"/>
      <c r="B335" s="44"/>
      <c r="C335" s="147"/>
      <c r="D335" s="147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>
      <c r="A336" s="44"/>
      <c r="B336" s="44"/>
      <c r="C336" s="147"/>
      <c r="D336" s="147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>
      <c r="A337" s="44"/>
      <c r="B337" s="44"/>
      <c r="C337" s="147"/>
      <c r="D337" s="147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>
      <c r="A338" s="44"/>
      <c r="B338" s="44"/>
      <c r="C338" s="147"/>
      <c r="D338" s="147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>
      <c r="A339" s="44"/>
      <c r="B339" s="44"/>
      <c r="C339" s="147"/>
      <c r="D339" s="147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>
      <c r="A340" s="44"/>
      <c r="B340" s="44"/>
      <c r="C340" s="147"/>
      <c r="D340" s="147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>
      <c r="A341" s="44"/>
      <c r="B341" s="44"/>
      <c r="C341" s="147"/>
      <c r="D341" s="147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>
      <c r="A342" s="44"/>
      <c r="B342" s="44"/>
      <c r="C342" s="147"/>
      <c r="D342" s="147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>
      <c r="A343" s="44"/>
      <c r="B343" s="44"/>
      <c r="C343" s="147"/>
      <c r="D343" s="147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>
      <c r="A344" s="44"/>
      <c r="B344" s="44"/>
      <c r="C344" s="147"/>
      <c r="D344" s="147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>
      <c r="A345" s="44"/>
      <c r="B345" s="44"/>
      <c r="C345" s="147"/>
      <c r="D345" s="147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>
      <c r="A346" s="44"/>
      <c r="B346" s="44"/>
      <c r="C346" s="147"/>
      <c r="D346" s="147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>
      <c r="A347" s="44"/>
      <c r="B347" s="44"/>
      <c r="C347" s="147"/>
      <c r="D347" s="147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>
      <c r="A348" s="44"/>
      <c r="B348" s="44"/>
      <c r="C348" s="147"/>
      <c r="D348" s="147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>
      <c r="A349" s="44"/>
      <c r="B349" s="44"/>
      <c r="C349" s="147"/>
      <c r="D349" s="147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>
      <c r="A350" s="44"/>
      <c r="B350" s="44"/>
      <c r="C350" s="147"/>
      <c r="D350" s="147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>
      <c r="A351" s="44"/>
      <c r="B351" s="44"/>
      <c r="C351" s="147"/>
      <c r="D351" s="147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>
      <c r="A352" s="44"/>
      <c r="B352" s="44"/>
      <c r="C352" s="147"/>
      <c r="D352" s="147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>
      <c r="A353" s="44"/>
      <c r="B353" s="44"/>
      <c r="C353" s="147"/>
      <c r="D353" s="147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>
      <c r="A354" s="44"/>
      <c r="B354" s="44"/>
      <c r="C354" s="147"/>
      <c r="D354" s="147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>
      <c r="A355" s="44"/>
      <c r="B355" s="44"/>
      <c r="C355" s="147"/>
      <c r="D355" s="147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>
      <c r="A356" s="44"/>
      <c r="B356" s="44"/>
      <c r="C356" s="147"/>
      <c r="D356" s="147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>
      <c r="A357" s="44"/>
      <c r="B357" s="44"/>
      <c r="C357" s="147"/>
      <c r="D357" s="147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>
      <c r="A358" s="44"/>
      <c r="B358" s="44"/>
      <c r="C358" s="147"/>
      <c r="D358" s="147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>
      <c r="A359" s="44"/>
      <c r="B359" s="44"/>
      <c r="C359" s="147"/>
      <c r="D359" s="147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>
      <c r="A360" s="44"/>
      <c r="B360" s="44"/>
      <c r="C360" s="147"/>
      <c r="D360" s="147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>
      <c r="A361" s="44"/>
      <c r="B361" s="44"/>
      <c r="C361" s="147"/>
      <c r="D361" s="147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>
      <c r="A362" s="44"/>
      <c r="B362" s="44"/>
      <c r="C362" s="147"/>
      <c r="D362" s="147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>
      <c r="A363" s="44"/>
      <c r="B363" s="44"/>
      <c r="C363" s="147"/>
      <c r="D363" s="147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>
      <c r="A364" s="44"/>
      <c r="B364" s="44"/>
      <c r="C364" s="147"/>
      <c r="D364" s="147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>
      <c r="A365" s="44"/>
      <c r="B365" s="44"/>
      <c r="C365" s="147"/>
      <c r="D365" s="147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>
      <c r="A366" s="44"/>
      <c r="B366" s="44"/>
      <c r="C366" s="147"/>
      <c r="D366" s="147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>
      <c r="A367" s="44"/>
      <c r="B367" s="44"/>
      <c r="C367" s="147"/>
      <c r="D367" s="147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>
      <c r="A368" s="44"/>
      <c r="B368" s="44"/>
      <c r="C368" s="147"/>
      <c r="D368" s="147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>
      <c r="A369" s="44"/>
      <c r="B369" s="44"/>
      <c r="C369" s="147"/>
      <c r="D369" s="147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>
      <c r="A370" s="44"/>
      <c r="B370" s="44"/>
      <c r="C370" s="147"/>
      <c r="D370" s="147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>
      <c r="A371" s="44"/>
      <c r="B371" s="44"/>
      <c r="C371" s="147"/>
      <c r="D371" s="147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>
      <c r="A372" s="44"/>
      <c r="B372" s="44"/>
      <c r="C372" s="147"/>
      <c r="D372" s="147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>
      <c r="A373" s="44"/>
      <c r="B373" s="44"/>
      <c r="C373" s="147"/>
      <c r="D373" s="147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>
      <c r="A374" s="44"/>
      <c r="B374" s="44"/>
      <c r="C374" s="147"/>
      <c r="D374" s="147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>
      <c r="A375" s="44"/>
      <c r="B375" s="44"/>
      <c r="C375" s="147"/>
      <c r="D375" s="147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>
      <c r="A376" s="44"/>
      <c r="B376" s="44"/>
      <c r="C376" s="147"/>
      <c r="D376" s="147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>
      <c r="A377" s="44"/>
      <c r="B377" s="44"/>
      <c r="C377" s="147"/>
      <c r="D377" s="147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>
      <c r="A378" s="44"/>
      <c r="B378" s="44"/>
      <c r="C378" s="147"/>
      <c r="D378" s="147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>
      <c r="A379" s="44"/>
      <c r="B379" s="44"/>
      <c r="C379" s="147"/>
      <c r="D379" s="147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>
      <c r="A380" s="44"/>
      <c r="B380" s="44"/>
      <c r="C380" s="147"/>
      <c r="D380" s="147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>
      <c r="A381" s="44"/>
      <c r="B381" s="44"/>
      <c r="C381" s="147"/>
      <c r="D381" s="147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>
      <c r="A382" s="44"/>
      <c r="B382" s="44"/>
      <c r="C382" s="147"/>
      <c r="D382" s="147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>
      <c r="A383" s="44"/>
      <c r="B383" s="44"/>
      <c r="C383" s="147"/>
      <c r="D383" s="147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>
      <c r="A384" s="44"/>
      <c r="B384" s="44"/>
      <c r="C384" s="147"/>
      <c r="D384" s="147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>
      <c r="A385" s="44"/>
      <c r="B385" s="44"/>
      <c r="C385" s="147"/>
      <c r="D385" s="147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>
      <c r="A386" s="44"/>
      <c r="B386" s="44"/>
      <c r="C386" s="147"/>
      <c r="D386" s="147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>
      <c r="A387" s="44"/>
      <c r="B387" s="44"/>
      <c r="C387" s="147"/>
      <c r="D387" s="147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>
      <c r="A388" s="44"/>
      <c r="B388" s="44"/>
      <c r="C388" s="147"/>
      <c r="D388" s="147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>
      <c r="A389" s="44"/>
      <c r="B389" s="44"/>
      <c r="C389" s="147"/>
      <c r="D389" s="147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>
      <c r="A390" s="44"/>
      <c r="B390" s="44"/>
      <c r="C390" s="147"/>
      <c r="D390" s="147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>
      <c r="A391" s="44"/>
      <c r="B391" s="44"/>
      <c r="C391" s="147"/>
      <c r="D391" s="147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>
      <c r="A392" s="44"/>
      <c r="B392" s="44"/>
      <c r="C392" s="147"/>
      <c r="D392" s="147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>
      <c r="A393" s="44"/>
      <c r="B393" s="44"/>
      <c r="C393" s="147"/>
      <c r="D393" s="147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>
      <c r="A394" s="44"/>
      <c r="B394" s="44"/>
      <c r="C394" s="147"/>
      <c r="D394" s="147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>
      <c r="A395" s="44"/>
      <c r="B395" s="44"/>
      <c r="C395" s="147"/>
      <c r="D395" s="147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>
      <c r="A396" s="44"/>
      <c r="B396" s="44"/>
      <c r="C396" s="147"/>
      <c r="D396" s="147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>
      <c r="A397" s="44"/>
      <c r="B397" s="44"/>
      <c r="C397" s="147"/>
      <c r="D397" s="147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>
      <c r="A398" s="44"/>
      <c r="B398" s="44"/>
      <c r="C398" s="147"/>
      <c r="D398" s="147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>
      <c r="A399" s="44"/>
      <c r="B399" s="44"/>
      <c r="C399" s="147"/>
      <c r="D399" s="147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>
      <c r="A400" s="44"/>
      <c r="B400" s="44"/>
      <c r="C400" s="147"/>
      <c r="D400" s="147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>
      <c r="A401" s="44"/>
      <c r="B401" s="44"/>
      <c r="C401" s="147"/>
      <c r="D401" s="147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>
      <c r="A402" s="44"/>
      <c r="B402" s="44"/>
      <c r="C402" s="147"/>
      <c r="D402" s="147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>
      <c r="A403" s="44"/>
      <c r="B403" s="44"/>
      <c r="C403" s="147"/>
      <c r="D403" s="147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>
      <c r="A404" s="44"/>
      <c r="B404" s="44"/>
      <c r="C404" s="147"/>
      <c r="D404" s="147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>
      <c r="A405" s="44"/>
      <c r="B405" s="44"/>
      <c r="C405" s="147"/>
      <c r="D405" s="147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>
      <c r="A406" s="44"/>
      <c r="B406" s="44"/>
      <c r="C406" s="147"/>
      <c r="D406" s="147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>
      <c r="A407" s="44"/>
      <c r="B407" s="44"/>
      <c r="C407" s="147"/>
      <c r="D407" s="147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>
      <c r="A408" s="44"/>
      <c r="B408" s="44"/>
      <c r="C408" s="147"/>
      <c r="D408" s="147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>
      <c r="A409" s="44"/>
      <c r="B409" s="44"/>
      <c r="C409" s="147"/>
      <c r="D409" s="147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>
      <c r="A410" s="44"/>
      <c r="B410" s="44"/>
      <c r="C410" s="147"/>
      <c r="D410" s="147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>
      <c r="A411" s="44"/>
      <c r="B411" s="44"/>
      <c r="C411" s="147"/>
      <c r="D411" s="147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>
      <c r="A412" s="44"/>
      <c r="B412" s="44"/>
      <c r="C412" s="147"/>
      <c r="D412" s="147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</row>
    <row r="413">
      <c r="A413" s="44"/>
      <c r="B413" s="44"/>
      <c r="C413" s="147"/>
      <c r="D413" s="147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>
      <c r="A414" s="44"/>
      <c r="B414" s="44"/>
      <c r="C414" s="147"/>
      <c r="D414" s="147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>
      <c r="A415" s="44"/>
      <c r="B415" s="44"/>
      <c r="C415" s="147"/>
      <c r="D415" s="147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>
      <c r="A416" s="44"/>
      <c r="B416" s="44"/>
      <c r="C416" s="147"/>
      <c r="D416" s="147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>
      <c r="A417" s="44"/>
      <c r="B417" s="44"/>
      <c r="C417" s="147"/>
      <c r="D417" s="147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>
      <c r="A418" s="44"/>
      <c r="B418" s="44"/>
      <c r="C418" s="147"/>
      <c r="D418" s="147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>
      <c r="A419" s="44"/>
      <c r="B419" s="44"/>
      <c r="C419" s="147"/>
      <c r="D419" s="147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>
      <c r="A420" s="44"/>
      <c r="B420" s="44"/>
      <c r="C420" s="147"/>
      <c r="D420" s="147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>
      <c r="A421" s="44"/>
      <c r="B421" s="44"/>
      <c r="C421" s="147"/>
      <c r="D421" s="147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>
      <c r="A422" s="44"/>
      <c r="B422" s="44"/>
      <c r="C422" s="147"/>
      <c r="D422" s="147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>
      <c r="A423" s="44"/>
      <c r="B423" s="44"/>
      <c r="C423" s="147"/>
      <c r="D423" s="147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>
      <c r="A424" s="44"/>
      <c r="B424" s="44"/>
      <c r="C424" s="147"/>
      <c r="D424" s="147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>
      <c r="A425" s="44"/>
      <c r="B425" s="44"/>
      <c r="C425" s="147"/>
      <c r="D425" s="147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>
      <c r="A426" s="44"/>
      <c r="B426" s="44"/>
      <c r="C426" s="147"/>
      <c r="D426" s="147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>
      <c r="A427" s="44"/>
      <c r="B427" s="44"/>
      <c r="C427" s="147"/>
      <c r="D427" s="147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>
      <c r="A428" s="44"/>
      <c r="B428" s="44"/>
      <c r="C428" s="147"/>
      <c r="D428" s="147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>
      <c r="A429" s="44"/>
      <c r="B429" s="44"/>
      <c r="C429" s="147"/>
      <c r="D429" s="147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>
      <c r="A430" s="44"/>
      <c r="B430" s="44"/>
      <c r="C430" s="147"/>
      <c r="D430" s="147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>
      <c r="A431" s="44"/>
      <c r="B431" s="44"/>
      <c r="C431" s="147"/>
      <c r="D431" s="147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>
      <c r="A432" s="44"/>
      <c r="B432" s="44"/>
      <c r="C432" s="147"/>
      <c r="D432" s="147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>
      <c r="A433" s="44"/>
      <c r="B433" s="44"/>
      <c r="C433" s="147"/>
      <c r="D433" s="147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>
      <c r="A434" s="44"/>
      <c r="B434" s="44"/>
      <c r="C434" s="147"/>
      <c r="D434" s="147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>
      <c r="A435" s="44"/>
      <c r="B435" s="44"/>
      <c r="C435" s="147"/>
      <c r="D435" s="147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>
      <c r="A436" s="44"/>
      <c r="B436" s="44"/>
      <c r="C436" s="147"/>
      <c r="D436" s="147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>
      <c r="A437" s="44"/>
      <c r="B437" s="44"/>
      <c r="C437" s="147"/>
      <c r="D437" s="147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>
      <c r="A438" s="44"/>
      <c r="B438" s="44"/>
      <c r="C438" s="147"/>
      <c r="D438" s="147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>
      <c r="A439" s="44"/>
      <c r="B439" s="44"/>
      <c r="C439" s="147"/>
      <c r="D439" s="147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>
      <c r="A440" s="44"/>
      <c r="B440" s="44"/>
      <c r="C440" s="147"/>
      <c r="D440" s="147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>
      <c r="A441" s="44"/>
      <c r="B441" s="44"/>
      <c r="C441" s="147"/>
      <c r="D441" s="147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>
      <c r="A442" s="44"/>
      <c r="B442" s="44"/>
      <c r="C442" s="147"/>
      <c r="D442" s="147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>
      <c r="A443" s="44"/>
      <c r="B443" s="44"/>
      <c r="C443" s="147"/>
      <c r="D443" s="147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>
      <c r="A444" s="44"/>
      <c r="B444" s="44"/>
      <c r="C444" s="147"/>
      <c r="D444" s="147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</row>
    <row r="445">
      <c r="A445" s="44"/>
      <c r="B445" s="44"/>
      <c r="C445" s="147"/>
      <c r="D445" s="147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>
      <c r="A446" s="44"/>
      <c r="B446" s="44"/>
      <c r="C446" s="147"/>
      <c r="D446" s="147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>
      <c r="A447" s="44"/>
      <c r="B447" s="44"/>
      <c r="C447" s="147"/>
      <c r="D447" s="147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</row>
    <row r="448">
      <c r="A448" s="44"/>
      <c r="B448" s="44"/>
      <c r="C448" s="147"/>
      <c r="D448" s="147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</row>
    <row r="449">
      <c r="A449" s="44"/>
      <c r="B449" s="44"/>
      <c r="C449" s="147"/>
      <c r="D449" s="147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>
      <c r="A450" s="44"/>
      <c r="B450" s="44"/>
      <c r="C450" s="147"/>
      <c r="D450" s="147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</row>
    <row r="451">
      <c r="A451" s="44"/>
      <c r="B451" s="44"/>
      <c r="C451" s="147"/>
      <c r="D451" s="147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>
      <c r="A452" s="44"/>
      <c r="B452" s="44"/>
      <c r="C452" s="147"/>
      <c r="D452" s="147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</row>
    <row r="453">
      <c r="A453" s="44"/>
      <c r="B453" s="44"/>
      <c r="C453" s="147"/>
      <c r="D453" s="147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>
      <c r="A454" s="44"/>
      <c r="B454" s="44"/>
      <c r="C454" s="147"/>
      <c r="D454" s="147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>
      <c r="A455" s="44"/>
      <c r="B455" s="44"/>
      <c r="C455" s="147"/>
      <c r="D455" s="147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>
      <c r="A456" s="44"/>
      <c r="B456" s="44"/>
      <c r="C456" s="147"/>
      <c r="D456" s="147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>
      <c r="A457" s="44"/>
      <c r="B457" s="44"/>
      <c r="C457" s="147"/>
      <c r="D457" s="147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>
      <c r="A458" s="44"/>
      <c r="B458" s="44"/>
      <c r="C458" s="147"/>
      <c r="D458" s="147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>
      <c r="A459" s="44"/>
      <c r="B459" s="44"/>
      <c r="C459" s="147"/>
      <c r="D459" s="147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>
      <c r="A460" s="44"/>
      <c r="B460" s="44"/>
      <c r="C460" s="147"/>
      <c r="D460" s="147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>
      <c r="A461" s="44"/>
      <c r="B461" s="44"/>
      <c r="C461" s="147"/>
      <c r="D461" s="147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>
      <c r="A462" s="44"/>
      <c r="B462" s="44"/>
      <c r="C462" s="147"/>
      <c r="D462" s="147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>
      <c r="A463" s="44"/>
      <c r="B463" s="44"/>
      <c r="C463" s="147"/>
      <c r="D463" s="147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>
      <c r="A464" s="44"/>
      <c r="B464" s="44"/>
      <c r="C464" s="147"/>
      <c r="D464" s="147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>
      <c r="A465" s="44"/>
      <c r="B465" s="44"/>
      <c r="C465" s="147"/>
      <c r="D465" s="147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>
      <c r="A466" s="44"/>
      <c r="B466" s="44"/>
      <c r="C466" s="147"/>
      <c r="D466" s="147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>
      <c r="A467" s="44"/>
      <c r="B467" s="44"/>
      <c r="C467" s="147"/>
      <c r="D467" s="147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>
      <c r="A468" s="44"/>
      <c r="B468" s="44"/>
      <c r="C468" s="147"/>
      <c r="D468" s="147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>
      <c r="A469" s="44"/>
      <c r="B469" s="44"/>
      <c r="C469" s="147"/>
      <c r="D469" s="147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>
      <c r="A470" s="44"/>
      <c r="B470" s="44"/>
      <c r="C470" s="147"/>
      <c r="D470" s="147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</row>
    <row r="471">
      <c r="A471" s="44"/>
      <c r="B471" s="44"/>
      <c r="C471" s="147"/>
      <c r="D471" s="147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</row>
    <row r="472">
      <c r="A472" s="44"/>
      <c r="B472" s="44"/>
      <c r="C472" s="147"/>
      <c r="D472" s="147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>
      <c r="A473" s="44"/>
      <c r="B473" s="44"/>
      <c r="C473" s="147"/>
      <c r="D473" s="147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>
      <c r="A474" s="44"/>
      <c r="B474" s="44"/>
      <c r="C474" s="147"/>
      <c r="D474" s="147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>
      <c r="A475" s="44"/>
      <c r="B475" s="44"/>
      <c r="C475" s="147"/>
      <c r="D475" s="147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>
      <c r="A476" s="44"/>
      <c r="B476" s="44"/>
      <c r="C476" s="147"/>
      <c r="D476" s="147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</row>
    <row r="477">
      <c r="A477" s="44"/>
      <c r="B477" s="44"/>
      <c r="C477" s="147"/>
      <c r="D477" s="147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>
      <c r="A478" s="44"/>
      <c r="B478" s="44"/>
      <c r="C478" s="147"/>
      <c r="D478" s="147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>
      <c r="A479" s="44"/>
      <c r="B479" s="44"/>
      <c r="C479" s="147"/>
      <c r="D479" s="147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>
      <c r="A480" s="44"/>
      <c r="B480" s="44"/>
      <c r="C480" s="147"/>
      <c r="D480" s="147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>
      <c r="A481" s="44"/>
      <c r="B481" s="44"/>
      <c r="C481" s="147"/>
      <c r="D481" s="147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>
      <c r="A482" s="44"/>
      <c r="B482" s="44"/>
      <c r="C482" s="147"/>
      <c r="D482" s="147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>
      <c r="A483" s="44"/>
      <c r="B483" s="44"/>
      <c r="C483" s="147"/>
      <c r="D483" s="147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>
      <c r="A484" s="44"/>
      <c r="B484" s="44"/>
      <c r="C484" s="147"/>
      <c r="D484" s="147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>
      <c r="A485" s="44"/>
      <c r="B485" s="44"/>
      <c r="C485" s="147"/>
      <c r="D485" s="147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>
      <c r="A486" s="44"/>
      <c r="B486" s="44"/>
      <c r="C486" s="147"/>
      <c r="D486" s="147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>
      <c r="A487" s="44"/>
      <c r="B487" s="44"/>
      <c r="C487" s="147"/>
      <c r="D487" s="147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</row>
    <row r="488">
      <c r="A488" s="44"/>
      <c r="B488" s="44"/>
      <c r="C488" s="147"/>
      <c r="D488" s="147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>
      <c r="A489" s="44"/>
      <c r="B489" s="44"/>
      <c r="C489" s="147"/>
      <c r="D489" s="147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>
      <c r="A490" s="44"/>
      <c r="B490" s="44"/>
      <c r="C490" s="147"/>
      <c r="D490" s="147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>
      <c r="A491" s="44"/>
      <c r="B491" s="44"/>
      <c r="C491" s="147"/>
      <c r="D491" s="147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>
      <c r="A492" s="44"/>
      <c r="B492" s="44"/>
      <c r="C492" s="147"/>
      <c r="D492" s="147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>
      <c r="A493" s="44"/>
      <c r="B493" s="44"/>
      <c r="C493" s="147"/>
      <c r="D493" s="147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>
      <c r="A494" s="44"/>
      <c r="B494" s="44"/>
      <c r="C494" s="147"/>
      <c r="D494" s="147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>
      <c r="A495" s="44"/>
      <c r="B495" s="44"/>
      <c r="C495" s="147"/>
      <c r="D495" s="147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>
      <c r="A496" s="44"/>
      <c r="B496" s="44"/>
      <c r="C496" s="147"/>
      <c r="D496" s="147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>
      <c r="A497" s="44"/>
      <c r="B497" s="44"/>
      <c r="C497" s="147"/>
      <c r="D497" s="147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>
      <c r="A498" s="44"/>
      <c r="B498" s="44"/>
      <c r="C498" s="147"/>
      <c r="D498" s="147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</row>
    <row r="499">
      <c r="A499" s="44"/>
      <c r="B499" s="44"/>
      <c r="C499" s="147"/>
      <c r="D499" s="147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</row>
    <row r="500">
      <c r="A500" s="44"/>
      <c r="B500" s="44"/>
      <c r="C500" s="147"/>
      <c r="D500" s="147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>
      <c r="A501" s="44"/>
      <c r="B501" s="44"/>
      <c r="C501" s="147"/>
      <c r="D501" s="147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>
      <c r="A502" s="44"/>
      <c r="B502" s="44"/>
      <c r="C502" s="147"/>
      <c r="D502" s="147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>
      <c r="A503" s="44"/>
      <c r="B503" s="44"/>
      <c r="C503" s="147"/>
      <c r="D503" s="147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>
      <c r="A504" s="44"/>
      <c r="B504" s="44"/>
      <c r="C504" s="147"/>
      <c r="D504" s="147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>
      <c r="A505" s="44"/>
      <c r="B505" s="44"/>
      <c r="C505" s="147"/>
      <c r="D505" s="147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>
      <c r="A506" s="44"/>
      <c r="B506" s="44"/>
      <c r="C506" s="147"/>
      <c r="D506" s="147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>
      <c r="A507" s="44"/>
      <c r="B507" s="44"/>
      <c r="C507" s="147"/>
      <c r="D507" s="147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>
      <c r="A508" s="44"/>
      <c r="B508" s="44"/>
      <c r="C508" s="147"/>
      <c r="D508" s="147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>
      <c r="A509" s="44"/>
      <c r="B509" s="44"/>
      <c r="C509" s="147"/>
      <c r="D509" s="147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>
      <c r="A510" s="44"/>
      <c r="B510" s="44"/>
      <c r="C510" s="147"/>
      <c r="D510" s="147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>
      <c r="A511" s="44"/>
      <c r="B511" s="44"/>
      <c r="C511" s="147"/>
      <c r="D511" s="147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>
      <c r="A512" s="44"/>
      <c r="B512" s="44"/>
      <c r="C512" s="147"/>
      <c r="D512" s="147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</row>
    <row r="513">
      <c r="A513" s="44"/>
      <c r="B513" s="44"/>
      <c r="C513" s="147"/>
      <c r="D513" s="147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>
      <c r="A514" s="44"/>
      <c r="B514" s="44"/>
      <c r="C514" s="147"/>
      <c r="D514" s="147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>
      <c r="A515" s="44"/>
      <c r="B515" s="44"/>
      <c r="C515" s="147"/>
      <c r="D515" s="147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>
      <c r="A516" s="44"/>
      <c r="B516" s="44"/>
      <c r="C516" s="147"/>
      <c r="D516" s="147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>
      <c r="A517" s="44"/>
      <c r="B517" s="44"/>
      <c r="C517" s="147"/>
      <c r="D517" s="147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>
      <c r="A518" s="44"/>
      <c r="B518" s="44"/>
      <c r="C518" s="147"/>
      <c r="D518" s="147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>
      <c r="A519" s="44"/>
      <c r="B519" s="44"/>
      <c r="C519" s="147"/>
      <c r="D519" s="147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</row>
    <row r="520">
      <c r="A520" s="44"/>
      <c r="B520" s="44"/>
      <c r="C520" s="147"/>
      <c r="D520" s="147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>
      <c r="A521" s="44"/>
      <c r="B521" s="44"/>
      <c r="C521" s="147"/>
      <c r="D521" s="147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>
      <c r="A522" s="44"/>
      <c r="B522" s="44"/>
      <c r="C522" s="147"/>
      <c r="D522" s="147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</row>
    <row r="523">
      <c r="A523" s="44"/>
      <c r="B523" s="44"/>
      <c r="C523" s="147"/>
      <c r="D523" s="147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>
      <c r="A524" s="44"/>
      <c r="B524" s="44"/>
      <c r="C524" s="147"/>
      <c r="D524" s="147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</row>
    <row r="525">
      <c r="A525" s="44"/>
      <c r="B525" s="44"/>
      <c r="C525" s="147"/>
      <c r="D525" s="147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</row>
    <row r="526">
      <c r="A526" s="44"/>
      <c r="B526" s="44"/>
      <c r="C526" s="147"/>
      <c r="D526" s="147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</row>
    <row r="527">
      <c r="A527" s="44"/>
      <c r="B527" s="44"/>
      <c r="C527" s="147"/>
      <c r="D527" s="147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</row>
    <row r="528">
      <c r="A528" s="44"/>
      <c r="B528" s="44"/>
      <c r="C528" s="147"/>
      <c r="D528" s="147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>
      <c r="A529" s="44"/>
      <c r="B529" s="44"/>
      <c r="C529" s="147"/>
      <c r="D529" s="147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>
      <c r="A530" s="44"/>
      <c r="B530" s="44"/>
      <c r="C530" s="147"/>
      <c r="D530" s="147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</row>
    <row r="531">
      <c r="A531" s="44"/>
      <c r="B531" s="44"/>
      <c r="C531" s="147"/>
      <c r="D531" s="147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</row>
    <row r="532">
      <c r="A532" s="44"/>
      <c r="B532" s="44"/>
      <c r="C532" s="147"/>
      <c r="D532" s="147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</row>
    <row r="533">
      <c r="A533" s="44"/>
      <c r="B533" s="44"/>
      <c r="C533" s="147"/>
      <c r="D533" s="147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>
      <c r="A534" s="44"/>
      <c r="B534" s="44"/>
      <c r="C534" s="147"/>
      <c r="D534" s="147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>
      <c r="A535" s="44"/>
      <c r="B535" s="44"/>
      <c r="C535" s="147"/>
      <c r="D535" s="147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>
      <c r="A536" s="44"/>
      <c r="B536" s="44"/>
      <c r="C536" s="147"/>
      <c r="D536" s="147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>
      <c r="A537" s="44"/>
      <c r="B537" s="44"/>
      <c r="C537" s="147"/>
      <c r="D537" s="147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>
      <c r="A538" s="44"/>
      <c r="B538" s="44"/>
      <c r="C538" s="147"/>
      <c r="D538" s="147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>
      <c r="A539" s="44"/>
      <c r="B539" s="44"/>
      <c r="C539" s="147"/>
      <c r="D539" s="147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>
      <c r="A540" s="44"/>
      <c r="B540" s="44"/>
      <c r="C540" s="147"/>
      <c r="D540" s="147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>
      <c r="A541" s="44"/>
      <c r="B541" s="44"/>
      <c r="C541" s="147"/>
      <c r="D541" s="147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>
      <c r="A542" s="44"/>
      <c r="B542" s="44"/>
      <c r="C542" s="147"/>
      <c r="D542" s="147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>
      <c r="A543" s="44"/>
      <c r="B543" s="44"/>
      <c r="C543" s="147"/>
      <c r="D543" s="147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>
      <c r="A544" s="44"/>
      <c r="B544" s="44"/>
      <c r="C544" s="147"/>
      <c r="D544" s="147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>
      <c r="A545" s="44"/>
      <c r="B545" s="44"/>
      <c r="C545" s="147"/>
      <c r="D545" s="147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>
      <c r="A546" s="44"/>
      <c r="B546" s="44"/>
      <c r="C546" s="147"/>
      <c r="D546" s="147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>
      <c r="A547" s="44"/>
      <c r="B547" s="44"/>
      <c r="C547" s="147"/>
      <c r="D547" s="147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>
      <c r="A548" s="44"/>
      <c r="B548" s="44"/>
      <c r="C548" s="147"/>
      <c r="D548" s="147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>
      <c r="A549" s="44"/>
      <c r="B549" s="44"/>
      <c r="C549" s="147"/>
      <c r="D549" s="147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>
      <c r="A550" s="44"/>
      <c r="B550" s="44"/>
      <c r="C550" s="147"/>
      <c r="D550" s="147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>
      <c r="A551" s="44"/>
      <c r="B551" s="44"/>
      <c r="C551" s="147"/>
      <c r="D551" s="147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>
      <c r="A552" s="44"/>
      <c r="B552" s="44"/>
      <c r="C552" s="147"/>
      <c r="D552" s="147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>
      <c r="A553" s="44"/>
      <c r="B553" s="44"/>
      <c r="C553" s="147"/>
      <c r="D553" s="147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>
      <c r="A554" s="44"/>
      <c r="B554" s="44"/>
      <c r="C554" s="147"/>
      <c r="D554" s="147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>
      <c r="A555" s="44"/>
      <c r="B555" s="44"/>
      <c r="C555" s="147"/>
      <c r="D555" s="147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>
      <c r="A556" s="44"/>
      <c r="B556" s="44"/>
      <c r="C556" s="147"/>
      <c r="D556" s="147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>
      <c r="A557" s="44"/>
      <c r="B557" s="44"/>
      <c r="C557" s="147"/>
      <c r="D557" s="147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</row>
    <row r="558">
      <c r="A558" s="44"/>
      <c r="B558" s="44"/>
      <c r="C558" s="147"/>
      <c r="D558" s="147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>
      <c r="A559" s="44"/>
      <c r="B559" s="44"/>
      <c r="C559" s="147"/>
      <c r="D559" s="147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>
      <c r="A560" s="44"/>
      <c r="B560" s="44"/>
      <c r="C560" s="147"/>
      <c r="D560" s="147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>
      <c r="A561" s="44"/>
      <c r="B561" s="44"/>
      <c r="C561" s="147"/>
      <c r="D561" s="147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</row>
    <row r="562">
      <c r="A562" s="44"/>
      <c r="B562" s="44"/>
      <c r="C562" s="147"/>
      <c r="D562" s="147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>
      <c r="A563" s="44"/>
      <c r="B563" s="44"/>
      <c r="C563" s="147"/>
      <c r="D563" s="147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>
      <c r="A564" s="44"/>
      <c r="B564" s="44"/>
      <c r="C564" s="147"/>
      <c r="D564" s="147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>
      <c r="A565" s="44"/>
      <c r="B565" s="44"/>
      <c r="C565" s="147"/>
      <c r="D565" s="147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>
      <c r="A566" s="44"/>
      <c r="B566" s="44"/>
      <c r="C566" s="147"/>
      <c r="D566" s="147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>
      <c r="A567" s="44"/>
      <c r="B567" s="44"/>
      <c r="C567" s="147"/>
      <c r="D567" s="147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</row>
    <row r="568">
      <c r="A568" s="44"/>
      <c r="B568" s="44"/>
      <c r="C568" s="147"/>
      <c r="D568" s="147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>
      <c r="A569" s="44"/>
      <c r="B569" s="44"/>
      <c r="C569" s="147"/>
      <c r="D569" s="147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>
      <c r="A570" s="44"/>
      <c r="B570" s="44"/>
      <c r="C570" s="147"/>
      <c r="D570" s="147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>
      <c r="A571" s="44"/>
      <c r="B571" s="44"/>
      <c r="C571" s="147"/>
      <c r="D571" s="147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>
      <c r="A572" s="44"/>
      <c r="B572" s="44"/>
      <c r="C572" s="147"/>
      <c r="D572" s="147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>
      <c r="A573" s="44"/>
      <c r="B573" s="44"/>
      <c r="C573" s="147"/>
      <c r="D573" s="147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>
      <c r="A574" s="44"/>
      <c r="B574" s="44"/>
      <c r="C574" s="147"/>
      <c r="D574" s="147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>
      <c r="A575" s="44"/>
      <c r="B575" s="44"/>
      <c r="C575" s="147"/>
      <c r="D575" s="147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>
      <c r="A576" s="44"/>
      <c r="B576" s="44"/>
      <c r="C576" s="147"/>
      <c r="D576" s="147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>
      <c r="A577" s="44"/>
      <c r="B577" s="44"/>
      <c r="C577" s="147"/>
      <c r="D577" s="147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>
      <c r="A578" s="44"/>
      <c r="B578" s="44"/>
      <c r="C578" s="147"/>
      <c r="D578" s="147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>
      <c r="A579" s="44"/>
      <c r="B579" s="44"/>
      <c r="C579" s="147"/>
      <c r="D579" s="147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>
      <c r="A580" s="44"/>
      <c r="B580" s="44"/>
      <c r="C580" s="147"/>
      <c r="D580" s="147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>
      <c r="A581" s="44"/>
      <c r="B581" s="44"/>
      <c r="C581" s="147"/>
      <c r="D581" s="147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>
      <c r="A582" s="44"/>
      <c r="B582" s="44"/>
      <c r="C582" s="147"/>
      <c r="D582" s="147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>
      <c r="A583" s="44"/>
      <c r="B583" s="44"/>
      <c r="C583" s="147"/>
      <c r="D583" s="147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>
      <c r="A584" s="44"/>
      <c r="B584" s="44"/>
      <c r="C584" s="147"/>
      <c r="D584" s="147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>
      <c r="A585" s="44"/>
      <c r="B585" s="44"/>
      <c r="C585" s="147"/>
      <c r="D585" s="147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>
      <c r="A586" s="44"/>
      <c r="B586" s="44"/>
      <c r="C586" s="147"/>
      <c r="D586" s="147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>
      <c r="A587" s="44"/>
      <c r="B587" s="44"/>
      <c r="C587" s="147"/>
      <c r="D587" s="147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>
      <c r="A588" s="44"/>
      <c r="B588" s="44"/>
      <c r="C588" s="147"/>
      <c r="D588" s="147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>
      <c r="A589" s="44"/>
      <c r="B589" s="44"/>
      <c r="C589" s="147"/>
      <c r="D589" s="147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>
      <c r="A590" s="44"/>
      <c r="B590" s="44"/>
      <c r="C590" s="147"/>
      <c r="D590" s="147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>
      <c r="A591" s="44"/>
      <c r="B591" s="44"/>
      <c r="C591" s="147"/>
      <c r="D591" s="147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>
      <c r="A592" s="44"/>
      <c r="B592" s="44"/>
      <c r="C592" s="147"/>
      <c r="D592" s="147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>
      <c r="A593" s="44"/>
      <c r="B593" s="44"/>
      <c r="C593" s="147"/>
      <c r="D593" s="147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>
      <c r="A594" s="44"/>
      <c r="B594" s="44"/>
      <c r="C594" s="147"/>
      <c r="D594" s="147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>
      <c r="A595" s="44"/>
      <c r="B595" s="44"/>
      <c r="C595" s="147"/>
      <c r="D595" s="147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>
      <c r="A596" s="44"/>
      <c r="B596" s="44"/>
      <c r="C596" s="147"/>
      <c r="D596" s="147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>
      <c r="A597" s="44"/>
      <c r="B597" s="44"/>
      <c r="C597" s="147"/>
      <c r="D597" s="147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>
      <c r="A598" s="44"/>
      <c r="B598" s="44"/>
      <c r="C598" s="147"/>
      <c r="D598" s="147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>
      <c r="A599" s="44"/>
      <c r="B599" s="44"/>
      <c r="C599" s="147"/>
      <c r="D599" s="147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>
      <c r="A600" s="44"/>
      <c r="B600" s="44"/>
      <c r="C600" s="147"/>
      <c r="D600" s="147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>
      <c r="A601" s="44"/>
      <c r="B601" s="44"/>
      <c r="C601" s="147"/>
      <c r="D601" s="147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>
      <c r="A602" s="44"/>
      <c r="B602" s="44"/>
      <c r="C602" s="147"/>
      <c r="D602" s="147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>
      <c r="A603" s="44"/>
      <c r="B603" s="44"/>
      <c r="C603" s="147"/>
      <c r="D603" s="147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>
      <c r="A604" s="44"/>
      <c r="B604" s="44"/>
      <c r="C604" s="147"/>
      <c r="D604" s="147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>
      <c r="A605" s="44"/>
      <c r="B605" s="44"/>
      <c r="C605" s="147"/>
      <c r="D605" s="147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>
      <c r="A606" s="44"/>
      <c r="B606" s="44"/>
      <c r="C606" s="147"/>
      <c r="D606" s="147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</row>
    <row r="607">
      <c r="A607" s="44"/>
      <c r="B607" s="44"/>
      <c r="C607" s="147"/>
      <c r="D607" s="147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>
      <c r="A608" s="44"/>
      <c r="B608" s="44"/>
      <c r="C608" s="147"/>
      <c r="D608" s="147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>
      <c r="A609" s="44"/>
      <c r="B609" s="44"/>
      <c r="C609" s="147"/>
      <c r="D609" s="147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>
      <c r="A610" s="44"/>
      <c r="B610" s="44"/>
      <c r="C610" s="147"/>
      <c r="D610" s="147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>
      <c r="A611" s="44"/>
      <c r="B611" s="44"/>
      <c r="C611" s="147"/>
      <c r="D611" s="147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>
      <c r="A612" s="44"/>
      <c r="B612" s="44"/>
      <c r="C612" s="147"/>
      <c r="D612" s="147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>
      <c r="A613" s="44"/>
      <c r="B613" s="44"/>
      <c r="C613" s="147"/>
      <c r="D613" s="147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>
      <c r="A614" s="44"/>
      <c r="B614" s="44"/>
      <c r="C614" s="147"/>
      <c r="D614" s="147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>
      <c r="A615" s="44"/>
      <c r="B615" s="44"/>
      <c r="C615" s="147"/>
      <c r="D615" s="147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>
      <c r="A616" s="44"/>
      <c r="B616" s="44"/>
      <c r="C616" s="147"/>
      <c r="D616" s="147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>
      <c r="A617" s="44"/>
      <c r="B617" s="44"/>
      <c r="C617" s="147"/>
      <c r="D617" s="147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>
      <c r="A618" s="44"/>
      <c r="B618" s="44"/>
      <c r="C618" s="147"/>
      <c r="D618" s="147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>
      <c r="A619" s="44"/>
      <c r="B619" s="44"/>
      <c r="C619" s="147"/>
      <c r="D619" s="147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>
      <c r="A620" s="44"/>
      <c r="B620" s="44"/>
      <c r="C620" s="147"/>
      <c r="D620" s="147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>
      <c r="A621" s="44"/>
      <c r="B621" s="44"/>
      <c r="C621" s="147"/>
      <c r="D621" s="147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>
      <c r="A622" s="44"/>
      <c r="B622" s="44"/>
      <c r="C622" s="147"/>
      <c r="D622" s="147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>
      <c r="A623" s="44"/>
      <c r="B623" s="44"/>
      <c r="C623" s="147"/>
      <c r="D623" s="147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>
      <c r="A624" s="44"/>
      <c r="B624" s="44"/>
      <c r="C624" s="147"/>
      <c r="D624" s="147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>
      <c r="A625" s="44"/>
      <c r="B625" s="44"/>
      <c r="C625" s="147"/>
      <c r="D625" s="147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>
      <c r="A626" s="44"/>
      <c r="B626" s="44"/>
      <c r="C626" s="147"/>
      <c r="D626" s="147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>
      <c r="A627" s="44"/>
      <c r="B627" s="44"/>
      <c r="C627" s="147"/>
      <c r="D627" s="147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>
      <c r="A628" s="44"/>
      <c r="B628" s="44"/>
      <c r="C628" s="147"/>
      <c r="D628" s="147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>
      <c r="A629" s="44"/>
      <c r="B629" s="44"/>
      <c r="C629" s="147"/>
      <c r="D629" s="147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>
      <c r="A630" s="44"/>
      <c r="B630" s="44"/>
      <c r="C630" s="147"/>
      <c r="D630" s="147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>
      <c r="A631" s="44"/>
      <c r="B631" s="44"/>
      <c r="C631" s="147"/>
      <c r="D631" s="147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>
      <c r="A632" s="44"/>
      <c r="B632" s="44"/>
      <c r="C632" s="147"/>
      <c r="D632" s="147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>
      <c r="A633" s="44"/>
      <c r="B633" s="44"/>
      <c r="C633" s="147"/>
      <c r="D633" s="147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>
      <c r="A634" s="44"/>
      <c r="B634" s="44"/>
      <c r="C634" s="147"/>
      <c r="D634" s="147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>
      <c r="A635" s="44"/>
      <c r="B635" s="44"/>
      <c r="C635" s="147"/>
      <c r="D635" s="147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>
      <c r="A636" s="44"/>
      <c r="B636" s="44"/>
      <c r="C636" s="147"/>
      <c r="D636" s="147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>
      <c r="A637" s="44"/>
      <c r="B637" s="44"/>
      <c r="C637" s="147"/>
      <c r="D637" s="147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>
      <c r="A638" s="44"/>
      <c r="B638" s="44"/>
      <c r="C638" s="147"/>
      <c r="D638" s="147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>
      <c r="A639" s="44"/>
      <c r="B639" s="44"/>
      <c r="C639" s="147"/>
      <c r="D639" s="147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>
      <c r="A640" s="44"/>
      <c r="B640" s="44"/>
      <c r="C640" s="147"/>
      <c r="D640" s="147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>
      <c r="A641" s="44"/>
      <c r="B641" s="44"/>
      <c r="C641" s="147"/>
      <c r="D641" s="147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>
      <c r="A642" s="44"/>
      <c r="B642" s="44"/>
      <c r="C642" s="147"/>
      <c r="D642" s="147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>
      <c r="A643" s="44"/>
      <c r="B643" s="44"/>
      <c r="C643" s="147"/>
      <c r="D643" s="147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>
      <c r="A644" s="44"/>
      <c r="B644" s="44"/>
      <c r="C644" s="147"/>
      <c r="D644" s="147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>
      <c r="A645" s="44"/>
      <c r="B645" s="44"/>
      <c r="C645" s="147"/>
      <c r="D645" s="147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>
      <c r="A646" s="44"/>
      <c r="B646" s="44"/>
      <c r="C646" s="147"/>
      <c r="D646" s="147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>
      <c r="A647" s="44"/>
      <c r="B647" s="44"/>
      <c r="C647" s="147"/>
      <c r="D647" s="147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>
      <c r="A648" s="44"/>
      <c r="B648" s="44"/>
      <c r="C648" s="147"/>
      <c r="D648" s="147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>
      <c r="A649" s="44"/>
      <c r="B649" s="44"/>
      <c r="C649" s="147"/>
      <c r="D649" s="147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>
      <c r="A650" s="44"/>
      <c r="B650" s="44"/>
      <c r="C650" s="147"/>
      <c r="D650" s="147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>
      <c r="A651" s="44"/>
      <c r="B651" s="44"/>
      <c r="C651" s="147"/>
      <c r="D651" s="147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>
      <c r="A652" s="44"/>
      <c r="B652" s="44"/>
      <c r="C652" s="147"/>
      <c r="D652" s="147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>
      <c r="A653" s="44"/>
      <c r="B653" s="44"/>
      <c r="C653" s="147"/>
      <c r="D653" s="147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>
      <c r="A654" s="44"/>
      <c r="B654" s="44"/>
      <c r="C654" s="147"/>
      <c r="D654" s="147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>
      <c r="A655" s="44"/>
      <c r="B655" s="44"/>
      <c r="C655" s="147"/>
      <c r="D655" s="147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>
      <c r="A656" s="44"/>
      <c r="B656" s="44"/>
      <c r="C656" s="147"/>
      <c r="D656" s="147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>
      <c r="A657" s="44"/>
      <c r="B657" s="44"/>
      <c r="C657" s="147"/>
      <c r="D657" s="147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>
      <c r="A658" s="44"/>
      <c r="B658" s="44"/>
      <c r="C658" s="147"/>
      <c r="D658" s="147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>
      <c r="A659" s="44"/>
      <c r="B659" s="44"/>
      <c r="C659" s="147"/>
      <c r="D659" s="147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>
      <c r="A660" s="44"/>
      <c r="B660" s="44"/>
      <c r="C660" s="147"/>
      <c r="D660" s="147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>
      <c r="A661" s="44"/>
      <c r="B661" s="44"/>
      <c r="C661" s="147"/>
      <c r="D661" s="147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>
      <c r="A662" s="44"/>
      <c r="B662" s="44"/>
      <c r="C662" s="147"/>
      <c r="D662" s="147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>
      <c r="A663" s="44"/>
      <c r="B663" s="44"/>
      <c r="C663" s="147"/>
      <c r="D663" s="147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>
      <c r="A664" s="44"/>
      <c r="B664" s="44"/>
      <c r="C664" s="147"/>
      <c r="D664" s="147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>
      <c r="A665" s="44"/>
      <c r="B665" s="44"/>
      <c r="C665" s="147"/>
      <c r="D665" s="147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>
      <c r="A666" s="44"/>
      <c r="B666" s="44"/>
      <c r="C666" s="147"/>
      <c r="D666" s="147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>
      <c r="A667" s="44"/>
      <c r="B667" s="44"/>
      <c r="C667" s="147"/>
      <c r="D667" s="147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>
      <c r="A668" s="44"/>
      <c r="B668" s="44"/>
      <c r="C668" s="147"/>
      <c r="D668" s="147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>
      <c r="A669" s="44"/>
      <c r="B669" s="44"/>
      <c r="C669" s="147"/>
      <c r="D669" s="147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>
      <c r="A670" s="44"/>
      <c r="B670" s="44"/>
      <c r="C670" s="147"/>
      <c r="D670" s="147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>
      <c r="A671" s="44"/>
      <c r="B671" s="44"/>
      <c r="C671" s="147"/>
      <c r="D671" s="147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>
      <c r="A672" s="44"/>
      <c r="B672" s="44"/>
      <c r="C672" s="147"/>
      <c r="D672" s="147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>
      <c r="A673" s="44"/>
      <c r="B673" s="44"/>
      <c r="C673" s="147"/>
      <c r="D673" s="147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>
      <c r="A674" s="44"/>
      <c r="B674" s="44"/>
      <c r="C674" s="147"/>
      <c r="D674" s="147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>
      <c r="A675" s="44"/>
      <c r="B675" s="44"/>
      <c r="C675" s="147"/>
      <c r="D675" s="147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>
      <c r="A676" s="44"/>
      <c r="B676" s="44"/>
      <c r="C676" s="147"/>
      <c r="D676" s="147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>
      <c r="A677" s="44"/>
      <c r="B677" s="44"/>
      <c r="C677" s="147"/>
      <c r="D677" s="147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>
      <c r="A678" s="44"/>
      <c r="B678" s="44"/>
      <c r="C678" s="147"/>
      <c r="D678" s="147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>
      <c r="A679" s="44"/>
      <c r="B679" s="44"/>
      <c r="C679" s="147"/>
      <c r="D679" s="147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>
      <c r="A680" s="44"/>
      <c r="B680" s="44"/>
      <c r="C680" s="147"/>
      <c r="D680" s="147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>
      <c r="A681" s="44"/>
      <c r="B681" s="44"/>
      <c r="C681" s="147"/>
      <c r="D681" s="147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>
      <c r="A682" s="44"/>
      <c r="B682" s="44"/>
      <c r="C682" s="147"/>
      <c r="D682" s="147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>
      <c r="A683" s="44"/>
      <c r="B683" s="44"/>
      <c r="C683" s="147"/>
      <c r="D683" s="147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>
      <c r="A684" s="44"/>
      <c r="B684" s="44"/>
      <c r="C684" s="147"/>
      <c r="D684" s="147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>
      <c r="A685" s="44"/>
      <c r="B685" s="44"/>
      <c r="C685" s="147"/>
      <c r="D685" s="147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>
      <c r="A686" s="44"/>
      <c r="B686" s="44"/>
      <c r="C686" s="147"/>
      <c r="D686" s="147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>
      <c r="A687" s="44"/>
      <c r="B687" s="44"/>
      <c r="C687" s="147"/>
      <c r="D687" s="147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>
      <c r="A688" s="44"/>
      <c r="B688" s="44"/>
      <c r="C688" s="147"/>
      <c r="D688" s="147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>
      <c r="A689" s="44"/>
      <c r="B689" s="44"/>
      <c r="C689" s="147"/>
      <c r="D689" s="147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>
      <c r="A690" s="44"/>
      <c r="B690" s="44"/>
      <c r="C690" s="147"/>
      <c r="D690" s="147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>
      <c r="A691" s="44"/>
      <c r="B691" s="44"/>
      <c r="C691" s="147"/>
      <c r="D691" s="147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>
      <c r="A692" s="44"/>
      <c r="B692" s="44"/>
      <c r="C692" s="147"/>
      <c r="D692" s="147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>
      <c r="A693" s="44"/>
      <c r="B693" s="44"/>
      <c r="C693" s="147"/>
      <c r="D693" s="147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>
      <c r="A694" s="44"/>
      <c r="B694" s="44"/>
      <c r="C694" s="147"/>
      <c r="D694" s="147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>
      <c r="A695" s="44"/>
      <c r="B695" s="44"/>
      <c r="C695" s="147"/>
      <c r="D695" s="147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>
      <c r="A696" s="44"/>
      <c r="B696" s="44"/>
      <c r="C696" s="147"/>
      <c r="D696" s="147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>
      <c r="A697" s="44"/>
      <c r="B697" s="44"/>
      <c r="C697" s="147"/>
      <c r="D697" s="147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>
      <c r="A698" s="44"/>
      <c r="B698" s="44"/>
      <c r="C698" s="147"/>
      <c r="D698" s="147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>
      <c r="A699" s="44"/>
      <c r="B699" s="44"/>
      <c r="C699" s="147"/>
      <c r="D699" s="147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>
      <c r="A700" s="44"/>
      <c r="B700" s="44"/>
      <c r="C700" s="147"/>
      <c r="D700" s="147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>
      <c r="A701" s="44"/>
      <c r="B701" s="44"/>
      <c r="C701" s="147"/>
      <c r="D701" s="147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>
      <c r="A702" s="44"/>
      <c r="B702" s="44"/>
      <c r="C702" s="147"/>
      <c r="D702" s="147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>
      <c r="A703" s="44"/>
      <c r="B703" s="44"/>
      <c r="C703" s="147"/>
      <c r="D703" s="147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>
      <c r="A704" s="44"/>
      <c r="B704" s="44"/>
      <c r="C704" s="147"/>
      <c r="D704" s="147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>
      <c r="A705" s="44"/>
      <c r="B705" s="44"/>
      <c r="C705" s="147"/>
      <c r="D705" s="147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>
      <c r="A706" s="44"/>
      <c r="B706" s="44"/>
      <c r="C706" s="147"/>
      <c r="D706" s="147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>
      <c r="A707" s="44"/>
      <c r="B707" s="44"/>
      <c r="C707" s="147"/>
      <c r="D707" s="147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>
      <c r="A708" s="44"/>
      <c r="B708" s="44"/>
      <c r="C708" s="147"/>
      <c r="D708" s="147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>
      <c r="A709" s="44"/>
      <c r="B709" s="44"/>
      <c r="C709" s="147"/>
      <c r="D709" s="147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>
      <c r="A710" s="44"/>
      <c r="B710" s="44"/>
      <c r="C710" s="147"/>
      <c r="D710" s="147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>
      <c r="A711" s="44"/>
      <c r="B711" s="44"/>
      <c r="C711" s="147"/>
      <c r="D711" s="147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>
      <c r="A712" s="44"/>
      <c r="B712" s="44"/>
      <c r="C712" s="147"/>
      <c r="D712" s="147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>
      <c r="A713" s="44"/>
      <c r="B713" s="44"/>
      <c r="C713" s="147"/>
      <c r="D713" s="147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>
      <c r="A714" s="44"/>
      <c r="B714" s="44"/>
      <c r="C714" s="147"/>
      <c r="D714" s="147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>
      <c r="A715" s="44"/>
      <c r="B715" s="44"/>
      <c r="C715" s="147"/>
      <c r="D715" s="147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>
      <c r="A716" s="44"/>
      <c r="B716" s="44"/>
      <c r="C716" s="147"/>
      <c r="D716" s="147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>
      <c r="A717" s="44"/>
      <c r="B717" s="44"/>
      <c r="C717" s="147"/>
      <c r="D717" s="147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>
      <c r="A718" s="44"/>
      <c r="B718" s="44"/>
      <c r="C718" s="147"/>
      <c r="D718" s="147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>
      <c r="A719" s="44"/>
      <c r="B719" s="44"/>
      <c r="C719" s="147"/>
      <c r="D719" s="147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>
      <c r="A720" s="44"/>
      <c r="B720" s="44"/>
      <c r="C720" s="147"/>
      <c r="D720" s="147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>
      <c r="A721" s="44"/>
      <c r="B721" s="44"/>
      <c r="C721" s="147"/>
      <c r="D721" s="147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>
      <c r="A722" s="44"/>
      <c r="B722" s="44"/>
      <c r="C722" s="147"/>
      <c r="D722" s="147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>
      <c r="A723" s="44"/>
      <c r="B723" s="44"/>
      <c r="C723" s="147"/>
      <c r="D723" s="147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>
      <c r="A724" s="44"/>
      <c r="B724" s="44"/>
      <c r="C724" s="147"/>
      <c r="D724" s="147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</row>
    <row r="725">
      <c r="A725" s="44"/>
      <c r="B725" s="44"/>
      <c r="C725" s="147"/>
      <c r="D725" s="147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</row>
    <row r="726">
      <c r="A726" s="44"/>
      <c r="B726" s="44"/>
      <c r="C726" s="147"/>
      <c r="D726" s="147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</row>
    <row r="727">
      <c r="A727" s="44"/>
      <c r="B727" s="44"/>
      <c r="C727" s="147"/>
      <c r="D727" s="147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</row>
    <row r="728">
      <c r="A728" s="44"/>
      <c r="B728" s="44"/>
      <c r="C728" s="147"/>
      <c r="D728" s="147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</row>
    <row r="729">
      <c r="A729" s="44"/>
      <c r="B729" s="44"/>
      <c r="C729" s="147"/>
      <c r="D729" s="147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</row>
    <row r="730">
      <c r="A730" s="44"/>
      <c r="B730" s="44"/>
      <c r="C730" s="147"/>
      <c r="D730" s="147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</row>
    <row r="731">
      <c r="A731" s="44"/>
      <c r="B731" s="44"/>
      <c r="C731" s="147"/>
      <c r="D731" s="147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</row>
    <row r="732">
      <c r="A732" s="44"/>
      <c r="B732" s="44"/>
      <c r="C732" s="147"/>
      <c r="D732" s="147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</row>
    <row r="733">
      <c r="A733" s="44"/>
      <c r="B733" s="44"/>
      <c r="C733" s="147"/>
      <c r="D733" s="147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</row>
    <row r="734">
      <c r="A734" s="44"/>
      <c r="B734" s="44"/>
      <c r="C734" s="147"/>
      <c r="D734" s="147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</row>
    <row r="735">
      <c r="A735" s="44"/>
      <c r="B735" s="44"/>
      <c r="C735" s="147"/>
      <c r="D735" s="147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</row>
    <row r="736">
      <c r="A736" s="44"/>
      <c r="B736" s="44"/>
      <c r="C736" s="147"/>
      <c r="D736" s="147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</row>
    <row r="737">
      <c r="A737" s="44"/>
      <c r="B737" s="44"/>
      <c r="C737" s="147"/>
      <c r="D737" s="147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</row>
    <row r="738">
      <c r="A738" s="44"/>
      <c r="B738" s="44"/>
      <c r="C738" s="147"/>
      <c r="D738" s="147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</row>
    <row r="739">
      <c r="A739" s="44"/>
      <c r="B739" s="44"/>
      <c r="C739" s="147"/>
      <c r="D739" s="147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</row>
    <row r="740">
      <c r="A740" s="44"/>
      <c r="B740" s="44"/>
      <c r="C740" s="147"/>
      <c r="D740" s="147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</row>
    <row r="741">
      <c r="A741" s="44"/>
      <c r="B741" s="44"/>
      <c r="C741" s="147"/>
      <c r="D741" s="147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</row>
    <row r="742">
      <c r="A742" s="44"/>
      <c r="B742" s="44"/>
      <c r="C742" s="147"/>
      <c r="D742" s="147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</row>
    <row r="743">
      <c r="A743" s="44"/>
      <c r="B743" s="44"/>
      <c r="C743" s="147"/>
      <c r="D743" s="147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</row>
    <row r="744">
      <c r="A744" s="44"/>
      <c r="B744" s="44"/>
      <c r="C744" s="147"/>
      <c r="D744" s="147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>
      <c r="A745" s="44"/>
      <c r="B745" s="44"/>
      <c r="C745" s="147"/>
      <c r="D745" s="147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>
      <c r="A746" s="44"/>
      <c r="B746" s="44"/>
      <c r="C746" s="147"/>
      <c r="D746" s="147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>
      <c r="A747" s="44"/>
      <c r="B747" s="44"/>
      <c r="C747" s="147"/>
      <c r="D747" s="147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>
      <c r="A748" s="44"/>
      <c r="B748" s="44"/>
      <c r="C748" s="147"/>
      <c r="D748" s="147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>
      <c r="A749" s="44"/>
      <c r="B749" s="44"/>
      <c r="C749" s="147"/>
      <c r="D749" s="147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>
      <c r="A750" s="44"/>
      <c r="B750" s="44"/>
      <c r="C750" s="147"/>
      <c r="D750" s="147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>
      <c r="A751" s="44"/>
      <c r="B751" s="44"/>
      <c r="C751" s="147"/>
      <c r="D751" s="147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>
      <c r="A752" s="44"/>
      <c r="B752" s="44"/>
      <c r="C752" s="147"/>
      <c r="D752" s="147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>
      <c r="A753" s="44"/>
      <c r="B753" s="44"/>
      <c r="C753" s="147"/>
      <c r="D753" s="147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>
      <c r="A754" s="44"/>
      <c r="B754" s="44"/>
      <c r="C754" s="147"/>
      <c r="D754" s="147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>
      <c r="A755" s="44"/>
      <c r="B755" s="44"/>
      <c r="C755" s="147"/>
      <c r="D755" s="147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>
      <c r="A756" s="44"/>
      <c r="B756" s="44"/>
      <c r="C756" s="147"/>
      <c r="D756" s="147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>
      <c r="A757" s="44"/>
      <c r="B757" s="44"/>
      <c r="C757" s="147"/>
      <c r="D757" s="147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>
      <c r="A758" s="44"/>
      <c r="B758" s="44"/>
      <c r="C758" s="147"/>
      <c r="D758" s="147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>
      <c r="A759" s="44"/>
      <c r="B759" s="44"/>
      <c r="C759" s="147"/>
      <c r="D759" s="147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>
      <c r="A760" s="44"/>
      <c r="B760" s="44"/>
      <c r="C760" s="147"/>
      <c r="D760" s="147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>
      <c r="A761" s="44"/>
      <c r="B761" s="44"/>
      <c r="C761" s="147"/>
      <c r="D761" s="147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>
      <c r="A762" s="44"/>
      <c r="B762" s="44"/>
      <c r="C762" s="147"/>
      <c r="D762" s="147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>
      <c r="A763" s="44"/>
      <c r="B763" s="44"/>
      <c r="C763" s="147"/>
      <c r="D763" s="147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>
      <c r="A764" s="44"/>
      <c r="B764" s="44"/>
      <c r="C764" s="147"/>
      <c r="D764" s="147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>
      <c r="A765" s="44"/>
      <c r="B765" s="44"/>
      <c r="C765" s="147"/>
      <c r="D765" s="147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>
      <c r="A766" s="44"/>
      <c r="B766" s="44"/>
      <c r="C766" s="147"/>
      <c r="D766" s="147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>
      <c r="A767" s="44"/>
      <c r="B767" s="44"/>
      <c r="C767" s="147"/>
      <c r="D767" s="147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>
      <c r="A768" s="44"/>
      <c r="B768" s="44"/>
      <c r="C768" s="147"/>
      <c r="D768" s="147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>
      <c r="A769" s="44"/>
      <c r="B769" s="44"/>
      <c r="C769" s="147"/>
      <c r="D769" s="147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>
      <c r="A770" s="44"/>
      <c r="B770" s="44"/>
      <c r="C770" s="147"/>
      <c r="D770" s="147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>
      <c r="A771" s="44"/>
      <c r="B771" s="44"/>
      <c r="C771" s="147"/>
      <c r="D771" s="147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>
      <c r="A772" s="44"/>
      <c r="B772" s="44"/>
      <c r="C772" s="147"/>
      <c r="D772" s="147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>
      <c r="A773" s="44"/>
      <c r="B773" s="44"/>
      <c r="C773" s="147"/>
      <c r="D773" s="147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>
      <c r="A774" s="44"/>
      <c r="B774" s="44"/>
      <c r="C774" s="147"/>
      <c r="D774" s="147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>
      <c r="A775" s="44"/>
      <c r="B775" s="44"/>
      <c r="C775" s="147"/>
      <c r="D775" s="147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>
      <c r="A776" s="44"/>
      <c r="B776" s="44"/>
      <c r="C776" s="147"/>
      <c r="D776" s="147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>
      <c r="A777" s="44"/>
      <c r="B777" s="44"/>
      <c r="C777" s="147"/>
      <c r="D777" s="147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>
      <c r="A778" s="44"/>
      <c r="B778" s="44"/>
      <c r="C778" s="147"/>
      <c r="D778" s="147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>
      <c r="A779" s="44"/>
      <c r="B779" s="44"/>
      <c r="C779" s="147"/>
      <c r="D779" s="147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>
      <c r="A780" s="44"/>
      <c r="B780" s="44"/>
      <c r="C780" s="147"/>
      <c r="D780" s="147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>
      <c r="A781" s="44"/>
      <c r="B781" s="44"/>
      <c r="C781" s="147"/>
      <c r="D781" s="147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>
      <c r="A782" s="44"/>
      <c r="B782" s="44"/>
      <c r="C782" s="147"/>
      <c r="D782" s="147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>
      <c r="A783" s="44"/>
      <c r="B783" s="44"/>
      <c r="C783" s="147"/>
      <c r="D783" s="147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>
      <c r="A784" s="44"/>
      <c r="B784" s="44"/>
      <c r="C784" s="147"/>
      <c r="D784" s="147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>
      <c r="A785" s="44"/>
      <c r="B785" s="44"/>
      <c r="C785" s="147"/>
      <c r="D785" s="147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>
      <c r="A786" s="44"/>
      <c r="B786" s="44"/>
      <c r="C786" s="147"/>
      <c r="D786" s="147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>
      <c r="A787" s="44"/>
      <c r="B787" s="44"/>
      <c r="C787" s="147"/>
      <c r="D787" s="147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>
      <c r="A788" s="44"/>
      <c r="B788" s="44"/>
      <c r="C788" s="147"/>
      <c r="D788" s="147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>
      <c r="A789" s="44"/>
      <c r="B789" s="44"/>
      <c r="C789" s="147"/>
      <c r="D789" s="147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>
      <c r="A790" s="44"/>
      <c r="B790" s="44"/>
      <c r="C790" s="147"/>
      <c r="D790" s="147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>
      <c r="A791" s="44"/>
      <c r="B791" s="44"/>
      <c r="C791" s="147"/>
      <c r="D791" s="147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>
      <c r="A792" s="44"/>
      <c r="B792" s="44"/>
      <c r="C792" s="147"/>
      <c r="D792" s="147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>
      <c r="A793" s="44"/>
      <c r="B793" s="44"/>
      <c r="C793" s="147"/>
      <c r="D793" s="147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>
      <c r="A794" s="44"/>
      <c r="B794" s="44"/>
      <c r="C794" s="147"/>
      <c r="D794" s="147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>
      <c r="A795" s="44"/>
      <c r="B795" s="44"/>
      <c r="C795" s="147"/>
      <c r="D795" s="147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>
      <c r="A796" s="44"/>
      <c r="B796" s="44"/>
      <c r="C796" s="147"/>
      <c r="D796" s="147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>
      <c r="A797" s="44"/>
      <c r="B797" s="44"/>
      <c r="C797" s="147"/>
      <c r="D797" s="147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>
      <c r="A798" s="44"/>
      <c r="B798" s="44"/>
      <c r="C798" s="147"/>
      <c r="D798" s="147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>
      <c r="A799" s="44"/>
      <c r="B799" s="44"/>
      <c r="C799" s="147"/>
      <c r="D799" s="147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>
      <c r="A800" s="44"/>
      <c r="B800" s="44"/>
      <c r="C800" s="147"/>
      <c r="D800" s="147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>
      <c r="A801" s="44"/>
      <c r="B801" s="44"/>
      <c r="C801" s="147"/>
      <c r="D801" s="147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>
      <c r="A802" s="44"/>
      <c r="B802" s="44"/>
      <c r="C802" s="147"/>
      <c r="D802" s="147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>
      <c r="A803" s="44"/>
      <c r="B803" s="44"/>
      <c r="C803" s="147"/>
      <c r="D803" s="147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>
      <c r="A804" s="44"/>
      <c r="B804" s="44"/>
      <c r="C804" s="147"/>
      <c r="D804" s="147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>
      <c r="A805" s="44"/>
      <c r="B805" s="44"/>
      <c r="C805" s="147"/>
      <c r="D805" s="147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>
      <c r="A806" s="44"/>
      <c r="B806" s="44"/>
      <c r="C806" s="147"/>
      <c r="D806" s="147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>
      <c r="A807" s="44"/>
      <c r="B807" s="44"/>
      <c r="C807" s="147"/>
      <c r="D807" s="147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>
      <c r="A808" s="44"/>
      <c r="B808" s="44"/>
      <c r="C808" s="147"/>
      <c r="D808" s="147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>
      <c r="A809" s="44"/>
      <c r="B809" s="44"/>
      <c r="C809" s="147"/>
      <c r="D809" s="147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>
      <c r="A810" s="44"/>
      <c r="B810" s="44"/>
      <c r="C810" s="147"/>
      <c r="D810" s="147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>
      <c r="A811" s="44"/>
      <c r="B811" s="44"/>
      <c r="C811" s="147"/>
      <c r="D811" s="147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>
      <c r="A812" s="44"/>
      <c r="B812" s="44"/>
      <c r="C812" s="147"/>
      <c r="D812" s="147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>
      <c r="A813" s="44"/>
      <c r="B813" s="44"/>
      <c r="C813" s="147"/>
      <c r="D813" s="147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>
      <c r="A814" s="44"/>
      <c r="B814" s="44"/>
      <c r="C814" s="147"/>
      <c r="D814" s="147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>
      <c r="A815" s="44"/>
      <c r="B815" s="44"/>
      <c r="C815" s="147"/>
      <c r="D815" s="147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>
      <c r="A816" s="44"/>
      <c r="B816" s="44"/>
      <c r="C816" s="147"/>
      <c r="D816" s="147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>
      <c r="A817" s="44"/>
      <c r="B817" s="44"/>
      <c r="C817" s="147"/>
      <c r="D817" s="147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>
      <c r="A818" s="44"/>
      <c r="B818" s="44"/>
      <c r="C818" s="147"/>
      <c r="D818" s="147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>
      <c r="A819" s="44"/>
      <c r="B819" s="44"/>
      <c r="C819" s="147"/>
      <c r="D819" s="147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>
      <c r="A820" s="44"/>
      <c r="B820" s="44"/>
      <c r="C820" s="147"/>
      <c r="D820" s="147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>
      <c r="A821" s="44"/>
      <c r="B821" s="44"/>
      <c r="C821" s="147"/>
      <c r="D821" s="147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>
      <c r="A822" s="44"/>
      <c r="B822" s="44"/>
      <c r="C822" s="147"/>
      <c r="D822" s="147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>
      <c r="A823" s="44"/>
      <c r="B823" s="44"/>
      <c r="C823" s="147"/>
      <c r="D823" s="147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>
      <c r="A824" s="44"/>
      <c r="B824" s="44"/>
      <c r="C824" s="147"/>
      <c r="D824" s="147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>
      <c r="A825" s="44"/>
      <c r="B825" s="44"/>
      <c r="C825" s="147"/>
      <c r="D825" s="147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>
      <c r="A826" s="44"/>
      <c r="B826" s="44"/>
      <c r="C826" s="147"/>
      <c r="D826" s="147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>
      <c r="A827" s="44"/>
      <c r="B827" s="44"/>
      <c r="C827" s="147"/>
      <c r="D827" s="147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>
      <c r="A828" s="44"/>
      <c r="B828" s="44"/>
      <c r="C828" s="147"/>
      <c r="D828" s="147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>
      <c r="A829" s="44"/>
      <c r="B829" s="44"/>
      <c r="C829" s="147"/>
      <c r="D829" s="147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>
      <c r="A830" s="44"/>
      <c r="B830" s="44"/>
      <c r="C830" s="147"/>
      <c r="D830" s="147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>
      <c r="A831" s="44"/>
      <c r="B831" s="44"/>
      <c r="C831" s="147"/>
      <c r="D831" s="147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>
      <c r="A832" s="44"/>
      <c r="B832" s="44"/>
      <c r="C832" s="147"/>
      <c r="D832" s="147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>
      <c r="A833" s="44"/>
      <c r="B833" s="44"/>
      <c r="C833" s="147"/>
      <c r="D833" s="147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>
      <c r="A834" s="44"/>
      <c r="B834" s="44"/>
      <c r="C834" s="147"/>
      <c r="D834" s="147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>
      <c r="A835" s="44"/>
      <c r="B835" s="44"/>
      <c r="C835" s="147"/>
      <c r="D835" s="147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>
      <c r="A836" s="44"/>
      <c r="B836" s="44"/>
      <c r="C836" s="147"/>
      <c r="D836" s="147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>
      <c r="A837" s="44"/>
      <c r="B837" s="44"/>
      <c r="C837" s="147"/>
      <c r="D837" s="147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>
      <c r="A838" s="44"/>
      <c r="B838" s="44"/>
      <c r="C838" s="147"/>
      <c r="D838" s="147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>
      <c r="A839" s="44"/>
      <c r="B839" s="44"/>
      <c r="C839" s="147"/>
      <c r="D839" s="147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>
      <c r="A840" s="44"/>
      <c r="B840" s="44"/>
      <c r="C840" s="147"/>
      <c r="D840" s="147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>
      <c r="A841" s="44"/>
      <c r="B841" s="44"/>
      <c r="C841" s="147"/>
      <c r="D841" s="147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>
      <c r="A842" s="44"/>
      <c r="B842" s="44"/>
      <c r="C842" s="147"/>
      <c r="D842" s="147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>
      <c r="A843" s="44"/>
      <c r="B843" s="44"/>
      <c r="C843" s="147"/>
      <c r="D843" s="147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>
      <c r="A844" s="44"/>
      <c r="B844" s="44"/>
      <c r="C844" s="147"/>
      <c r="D844" s="147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>
      <c r="A845" s="44"/>
      <c r="B845" s="44"/>
      <c r="C845" s="147"/>
      <c r="D845" s="147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>
      <c r="A846" s="44"/>
      <c r="B846" s="44"/>
      <c r="C846" s="147"/>
      <c r="D846" s="147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>
      <c r="A847" s="44"/>
      <c r="B847" s="44"/>
      <c r="C847" s="147"/>
      <c r="D847" s="147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>
      <c r="A848" s="44"/>
      <c r="B848" s="44"/>
      <c r="C848" s="147"/>
      <c r="D848" s="147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>
      <c r="A849" s="44"/>
      <c r="B849" s="44"/>
      <c r="C849" s="147"/>
      <c r="D849" s="147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>
      <c r="A850" s="44"/>
      <c r="B850" s="44"/>
      <c r="C850" s="147"/>
      <c r="D850" s="147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>
      <c r="A851" s="44"/>
      <c r="B851" s="44"/>
      <c r="C851" s="147"/>
      <c r="D851" s="147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>
      <c r="A852" s="44"/>
      <c r="B852" s="44"/>
      <c r="C852" s="147"/>
      <c r="D852" s="147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>
      <c r="A853" s="44"/>
      <c r="B853" s="44"/>
      <c r="C853" s="147"/>
      <c r="D853" s="147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>
      <c r="A854" s="44"/>
      <c r="B854" s="44"/>
      <c r="C854" s="147"/>
      <c r="D854" s="147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>
      <c r="A855" s="44"/>
      <c r="B855" s="44"/>
      <c r="C855" s="147"/>
      <c r="D855" s="147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>
      <c r="A856" s="44"/>
      <c r="B856" s="44"/>
      <c r="C856" s="147"/>
      <c r="D856" s="147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>
      <c r="A857" s="44"/>
      <c r="B857" s="44"/>
      <c r="C857" s="147"/>
      <c r="D857" s="147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>
      <c r="A858" s="44"/>
      <c r="B858" s="44"/>
      <c r="C858" s="147"/>
      <c r="D858" s="147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>
      <c r="A859" s="44"/>
      <c r="B859" s="44"/>
      <c r="C859" s="147"/>
      <c r="D859" s="147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>
      <c r="A860" s="44"/>
      <c r="B860" s="44"/>
      <c r="C860" s="147"/>
      <c r="D860" s="147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>
      <c r="A861" s="44"/>
      <c r="B861" s="44"/>
      <c r="C861" s="147"/>
      <c r="D861" s="147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>
      <c r="A862" s="44"/>
      <c r="B862" s="44"/>
      <c r="C862" s="147"/>
      <c r="D862" s="147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>
      <c r="A863" s="44"/>
      <c r="B863" s="44"/>
      <c r="C863" s="147"/>
      <c r="D863" s="147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>
      <c r="A864" s="44"/>
      <c r="B864" s="44"/>
      <c r="C864" s="147"/>
      <c r="D864" s="147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>
      <c r="A865" s="44"/>
      <c r="B865" s="44"/>
      <c r="C865" s="147"/>
      <c r="D865" s="147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>
      <c r="A866" s="44"/>
      <c r="B866" s="44"/>
      <c r="C866" s="147"/>
      <c r="D866" s="147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>
      <c r="A867" s="44"/>
      <c r="B867" s="44"/>
      <c r="C867" s="147"/>
      <c r="D867" s="147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>
      <c r="A868" s="44"/>
      <c r="B868" s="44"/>
      <c r="C868" s="147"/>
      <c r="D868" s="147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>
      <c r="A869" s="44"/>
      <c r="B869" s="44"/>
      <c r="C869" s="147"/>
      <c r="D869" s="147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>
      <c r="A870" s="44"/>
      <c r="B870" s="44"/>
      <c r="C870" s="147"/>
      <c r="D870" s="147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>
      <c r="A871" s="44"/>
      <c r="B871" s="44"/>
      <c r="C871" s="147"/>
      <c r="D871" s="147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>
      <c r="A872" s="44"/>
      <c r="B872" s="44"/>
      <c r="C872" s="147"/>
      <c r="D872" s="147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>
      <c r="A873" s="44"/>
      <c r="B873" s="44"/>
      <c r="C873" s="147"/>
      <c r="D873" s="147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>
      <c r="A874" s="44"/>
      <c r="B874" s="44"/>
      <c r="C874" s="147"/>
      <c r="D874" s="147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>
      <c r="A875" s="44"/>
      <c r="B875" s="44"/>
      <c r="C875" s="147"/>
      <c r="D875" s="147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>
      <c r="A876" s="44"/>
      <c r="B876" s="44"/>
      <c r="C876" s="147"/>
      <c r="D876" s="147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>
      <c r="A877" s="44"/>
      <c r="B877" s="44"/>
      <c r="C877" s="147"/>
      <c r="D877" s="147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>
      <c r="A878" s="44"/>
      <c r="B878" s="44"/>
      <c r="C878" s="147"/>
      <c r="D878" s="147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>
      <c r="A879" s="44"/>
      <c r="B879" s="44"/>
      <c r="C879" s="147"/>
      <c r="D879" s="147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>
      <c r="A880" s="44"/>
      <c r="B880" s="44"/>
      <c r="C880" s="147"/>
      <c r="D880" s="147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>
      <c r="A881" s="44"/>
      <c r="B881" s="44"/>
      <c r="C881" s="147"/>
      <c r="D881" s="147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>
      <c r="A882" s="44"/>
      <c r="B882" s="44"/>
      <c r="C882" s="147"/>
      <c r="D882" s="147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>
      <c r="A883" s="44"/>
      <c r="B883" s="44"/>
      <c r="C883" s="147"/>
      <c r="D883" s="147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>
      <c r="A884" s="44"/>
      <c r="B884" s="44"/>
      <c r="C884" s="147"/>
      <c r="D884" s="147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>
      <c r="A885" s="44"/>
      <c r="B885" s="44"/>
      <c r="C885" s="147"/>
      <c r="D885" s="147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>
      <c r="A886" s="44"/>
      <c r="B886" s="44"/>
      <c r="C886" s="147"/>
      <c r="D886" s="147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>
      <c r="A887" s="44"/>
      <c r="B887" s="44"/>
      <c r="C887" s="147"/>
      <c r="D887" s="147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>
      <c r="A888" s="44"/>
      <c r="B888" s="44"/>
      <c r="C888" s="147"/>
      <c r="D888" s="147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>
      <c r="A889" s="44"/>
      <c r="B889" s="44"/>
      <c r="C889" s="147"/>
      <c r="D889" s="147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>
      <c r="A890" s="44"/>
      <c r="B890" s="44"/>
      <c r="C890" s="147"/>
      <c r="D890" s="147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>
      <c r="A891" s="44"/>
      <c r="B891" s="44"/>
      <c r="C891" s="147"/>
      <c r="D891" s="147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>
      <c r="A892" s="44"/>
      <c r="B892" s="44"/>
      <c r="C892" s="147"/>
      <c r="D892" s="147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>
      <c r="A893" s="44"/>
      <c r="B893" s="44"/>
      <c r="C893" s="147"/>
      <c r="D893" s="147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>
      <c r="A894" s="44"/>
      <c r="B894" s="44"/>
      <c r="C894" s="147"/>
      <c r="D894" s="147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>
      <c r="A895" s="44"/>
      <c r="B895" s="44"/>
      <c r="C895" s="147"/>
      <c r="D895" s="147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>
      <c r="A896" s="44"/>
      <c r="B896" s="44"/>
      <c r="C896" s="147"/>
      <c r="D896" s="147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>
      <c r="A897" s="44"/>
      <c r="B897" s="44"/>
      <c r="C897" s="147"/>
      <c r="D897" s="147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>
      <c r="A898" s="44"/>
      <c r="B898" s="44"/>
      <c r="C898" s="147"/>
      <c r="D898" s="147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</row>
    <row r="899">
      <c r="A899" s="44"/>
      <c r="B899" s="44"/>
      <c r="C899" s="147"/>
      <c r="D899" s="147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</row>
    <row r="900">
      <c r="A900" s="44"/>
      <c r="B900" s="44"/>
      <c r="C900" s="147"/>
      <c r="D900" s="147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</row>
    <row r="901">
      <c r="A901" s="44"/>
      <c r="B901" s="44"/>
      <c r="C901" s="147"/>
      <c r="D901" s="147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</row>
    <row r="902">
      <c r="A902" s="44"/>
      <c r="B902" s="44"/>
      <c r="C902" s="147"/>
      <c r="D902" s="147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</row>
    <row r="903">
      <c r="A903" s="44"/>
      <c r="B903" s="44"/>
      <c r="C903" s="147"/>
      <c r="D903" s="147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</row>
    <row r="904">
      <c r="A904" s="44"/>
      <c r="B904" s="44"/>
      <c r="C904" s="147"/>
      <c r="D904" s="147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</row>
    <row r="905">
      <c r="A905" s="44"/>
      <c r="B905" s="44"/>
      <c r="C905" s="147"/>
      <c r="D905" s="147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</row>
    <row r="906">
      <c r="A906" s="44"/>
      <c r="B906" s="44"/>
      <c r="C906" s="147"/>
      <c r="D906" s="147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</row>
    <row r="907">
      <c r="A907" s="44"/>
      <c r="B907" s="44"/>
      <c r="C907" s="147"/>
      <c r="D907" s="147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</row>
    <row r="908">
      <c r="A908" s="44"/>
      <c r="B908" s="44"/>
      <c r="C908" s="147"/>
      <c r="D908" s="147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</row>
    <row r="909">
      <c r="A909" s="44"/>
      <c r="B909" s="44"/>
      <c r="C909" s="147"/>
      <c r="D909" s="147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</row>
    <row r="910">
      <c r="A910" s="44"/>
      <c r="B910" s="44"/>
      <c r="C910" s="147"/>
      <c r="D910" s="147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</row>
    <row r="911">
      <c r="A911" s="44"/>
      <c r="B911" s="44"/>
      <c r="C911" s="147"/>
      <c r="D911" s="147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</row>
    <row r="912">
      <c r="A912" s="44"/>
      <c r="B912" s="44"/>
      <c r="C912" s="147"/>
      <c r="D912" s="147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</row>
    <row r="913">
      <c r="A913" s="44"/>
      <c r="B913" s="44"/>
      <c r="C913" s="147"/>
      <c r="D913" s="147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</row>
    <row r="914">
      <c r="A914" s="44"/>
      <c r="B914" s="44"/>
      <c r="C914" s="147"/>
      <c r="D914" s="147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</row>
    <row r="915">
      <c r="A915" s="44"/>
      <c r="B915" s="44"/>
      <c r="C915" s="147"/>
      <c r="D915" s="147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</row>
    <row r="916">
      <c r="A916" s="44"/>
      <c r="B916" s="44"/>
      <c r="C916" s="147"/>
      <c r="D916" s="147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</row>
    <row r="917">
      <c r="A917" s="44"/>
      <c r="B917" s="44"/>
      <c r="C917" s="147"/>
      <c r="D917" s="147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</row>
    <row r="918">
      <c r="A918" s="44"/>
      <c r="B918" s="44"/>
      <c r="C918" s="147"/>
      <c r="D918" s="147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</row>
    <row r="919">
      <c r="A919" s="44"/>
      <c r="B919" s="44"/>
      <c r="C919" s="147"/>
      <c r="D919" s="147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</row>
    <row r="920">
      <c r="A920" s="44"/>
      <c r="B920" s="44"/>
      <c r="C920" s="147"/>
      <c r="D920" s="147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</row>
    <row r="921">
      <c r="A921" s="44"/>
      <c r="B921" s="44"/>
      <c r="C921" s="147"/>
      <c r="D921" s="147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</row>
    <row r="922">
      <c r="A922" s="44"/>
      <c r="B922" s="44"/>
      <c r="C922" s="147"/>
      <c r="D922" s="147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</row>
    <row r="923">
      <c r="A923" s="44"/>
      <c r="B923" s="44"/>
      <c r="C923" s="147"/>
      <c r="D923" s="147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</row>
    <row r="924">
      <c r="A924" s="44"/>
      <c r="B924" s="44"/>
      <c r="C924" s="147"/>
      <c r="D924" s="147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</row>
    <row r="925">
      <c r="A925" s="44"/>
      <c r="B925" s="44"/>
      <c r="C925" s="147"/>
      <c r="D925" s="147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</row>
    <row r="926">
      <c r="A926" s="44"/>
      <c r="B926" s="44"/>
      <c r="C926" s="147"/>
      <c r="D926" s="147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</row>
    <row r="927">
      <c r="A927" s="44"/>
      <c r="B927" s="44"/>
      <c r="C927" s="147"/>
      <c r="D927" s="147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</row>
    <row r="928">
      <c r="A928" s="44"/>
      <c r="B928" s="44"/>
      <c r="C928" s="147"/>
      <c r="D928" s="147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</row>
    <row r="929">
      <c r="A929" s="44"/>
      <c r="B929" s="44"/>
      <c r="C929" s="147"/>
      <c r="D929" s="147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</row>
    <row r="930">
      <c r="A930" s="44"/>
      <c r="B930" s="44"/>
      <c r="C930" s="147"/>
      <c r="D930" s="147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</row>
    <row r="931">
      <c r="A931" s="44"/>
      <c r="B931" s="44"/>
      <c r="C931" s="147"/>
      <c r="D931" s="147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</row>
    <row r="932">
      <c r="A932" s="44"/>
      <c r="B932" s="44"/>
      <c r="C932" s="147"/>
      <c r="D932" s="147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</row>
    <row r="933">
      <c r="A933" s="44"/>
      <c r="B933" s="44"/>
      <c r="C933" s="147"/>
      <c r="D933" s="147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</row>
    <row r="934">
      <c r="A934" s="44"/>
      <c r="B934" s="44"/>
      <c r="C934" s="147"/>
      <c r="D934" s="147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</row>
    <row r="935">
      <c r="A935" s="44"/>
      <c r="B935" s="44"/>
      <c r="C935" s="147"/>
      <c r="D935" s="147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</row>
    <row r="936">
      <c r="A936" s="44"/>
      <c r="B936" s="44"/>
      <c r="C936" s="147"/>
      <c r="D936" s="147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</row>
    <row r="937">
      <c r="A937" s="44"/>
      <c r="B937" s="44"/>
      <c r="C937" s="147"/>
      <c r="D937" s="147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</row>
    <row r="938">
      <c r="A938" s="44"/>
      <c r="B938" s="44"/>
      <c r="C938" s="147"/>
      <c r="D938" s="147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</row>
    <row r="939">
      <c r="A939" s="44"/>
      <c r="B939" s="44"/>
      <c r="C939" s="147"/>
      <c r="D939" s="147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</row>
    <row r="940">
      <c r="A940" s="44"/>
      <c r="B940" s="44"/>
      <c r="C940" s="147"/>
      <c r="D940" s="147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</row>
    <row r="941">
      <c r="A941" s="44"/>
      <c r="B941" s="44"/>
      <c r="C941" s="147"/>
      <c r="D941" s="147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</row>
    <row r="942">
      <c r="A942" s="44"/>
      <c r="B942" s="44"/>
      <c r="C942" s="147"/>
      <c r="D942" s="147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</row>
    <row r="943">
      <c r="A943" s="44"/>
      <c r="B943" s="44"/>
      <c r="C943" s="147"/>
      <c r="D943" s="147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</row>
    <row r="944">
      <c r="A944" s="44"/>
      <c r="B944" s="44"/>
      <c r="C944" s="147"/>
      <c r="D944" s="147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</row>
    <row r="945">
      <c r="A945" s="44"/>
      <c r="B945" s="44"/>
      <c r="C945" s="147"/>
      <c r="D945" s="147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</row>
    <row r="946">
      <c r="A946" s="44"/>
      <c r="B946" s="44"/>
      <c r="C946" s="147"/>
      <c r="D946" s="147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</row>
    <row r="947">
      <c r="A947" s="44"/>
      <c r="B947" s="44"/>
      <c r="C947" s="147"/>
      <c r="D947" s="147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</row>
    <row r="948">
      <c r="A948" s="44"/>
      <c r="B948" s="44"/>
      <c r="C948" s="147"/>
      <c r="D948" s="147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</row>
    <row r="949">
      <c r="A949" s="44"/>
      <c r="B949" s="44"/>
      <c r="C949" s="147"/>
      <c r="D949" s="147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</row>
    <row r="950">
      <c r="A950" s="44"/>
      <c r="B950" s="44"/>
      <c r="C950" s="147"/>
      <c r="D950" s="147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</row>
    <row r="951">
      <c r="A951" s="44"/>
      <c r="B951" s="44"/>
      <c r="C951" s="147"/>
      <c r="D951" s="147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</row>
    <row r="952">
      <c r="A952" s="44"/>
      <c r="B952" s="44"/>
      <c r="C952" s="147"/>
      <c r="D952" s="147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</row>
    <row r="953">
      <c r="A953" s="44"/>
      <c r="B953" s="44"/>
      <c r="C953" s="147"/>
      <c r="D953" s="147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</row>
    <row r="954">
      <c r="A954" s="44"/>
      <c r="B954" s="44"/>
      <c r="C954" s="147"/>
      <c r="D954" s="147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</row>
    <row r="955">
      <c r="A955" s="44"/>
      <c r="B955" s="44"/>
      <c r="C955" s="147"/>
      <c r="D955" s="147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</row>
    <row r="956">
      <c r="A956" s="44"/>
      <c r="B956" s="44"/>
      <c r="C956" s="147"/>
      <c r="D956" s="147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</row>
    <row r="957">
      <c r="A957" s="44"/>
      <c r="B957" s="44"/>
      <c r="C957" s="147"/>
      <c r="D957" s="147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</row>
    <row r="958">
      <c r="A958" s="44"/>
      <c r="B958" s="44"/>
      <c r="C958" s="147"/>
      <c r="D958" s="147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</row>
    <row r="959">
      <c r="A959" s="44"/>
      <c r="B959" s="44"/>
      <c r="C959" s="147"/>
      <c r="D959" s="147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</row>
    <row r="960">
      <c r="A960" s="44"/>
      <c r="B960" s="44"/>
      <c r="C960" s="147"/>
      <c r="D960" s="147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</row>
    <row r="961">
      <c r="A961" s="44"/>
      <c r="B961" s="44"/>
      <c r="C961" s="147"/>
      <c r="D961" s="147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</row>
    <row r="962">
      <c r="A962" s="44"/>
      <c r="B962" s="44"/>
      <c r="C962" s="147"/>
      <c r="D962" s="147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</row>
    <row r="963">
      <c r="A963" s="44"/>
      <c r="B963" s="44"/>
      <c r="C963" s="147"/>
      <c r="D963" s="147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</row>
    <row r="964">
      <c r="A964" s="44"/>
      <c r="B964" s="44"/>
      <c r="C964" s="147"/>
      <c r="D964" s="147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</row>
    <row r="965">
      <c r="A965" s="44"/>
      <c r="B965" s="44"/>
      <c r="C965" s="147"/>
      <c r="D965" s="147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</row>
    <row r="966">
      <c r="A966" s="44"/>
      <c r="B966" s="44"/>
      <c r="C966" s="147"/>
      <c r="D966" s="147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</row>
    <row r="967">
      <c r="A967" s="44"/>
      <c r="B967" s="44"/>
      <c r="C967" s="147"/>
      <c r="D967" s="147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</row>
    <row r="968">
      <c r="A968" s="44"/>
      <c r="B968" s="44"/>
      <c r="C968" s="147"/>
      <c r="D968" s="147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</row>
    <row r="969">
      <c r="A969" s="44"/>
      <c r="B969" s="44"/>
      <c r="C969" s="147"/>
      <c r="D969" s="147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</row>
    <row r="970">
      <c r="A970" s="44"/>
      <c r="B970" s="44"/>
      <c r="C970" s="147"/>
      <c r="D970" s="147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</row>
    <row r="971">
      <c r="A971" s="44"/>
      <c r="B971" s="44"/>
      <c r="C971" s="147"/>
      <c r="D971" s="147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</row>
    <row r="972">
      <c r="A972" s="44"/>
      <c r="B972" s="44"/>
      <c r="C972" s="147"/>
      <c r="D972" s="147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</row>
    <row r="973">
      <c r="A973" s="44"/>
      <c r="B973" s="44"/>
      <c r="C973" s="147"/>
      <c r="D973" s="147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</row>
    <row r="974">
      <c r="A974" s="44"/>
      <c r="B974" s="44"/>
      <c r="C974" s="147"/>
      <c r="D974" s="147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</row>
    <row r="975">
      <c r="A975" s="44"/>
      <c r="B975" s="44"/>
      <c r="C975" s="147"/>
      <c r="D975" s="147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</row>
    <row r="976">
      <c r="A976" s="44"/>
      <c r="B976" s="44"/>
      <c r="C976" s="147"/>
      <c r="D976" s="147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</row>
    <row r="977">
      <c r="A977" s="44"/>
      <c r="B977" s="44"/>
      <c r="C977" s="147"/>
      <c r="D977" s="147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</row>
    <row r="978">
      <c r="A978" s="44"/>
      <c r="B978" s="44"/>
      <c r="C978" s="147"/>
      <c r="D978" s="147"/>
      <c r="E978" s="147"/>
      <c r="F978" s="147"/>
      <c r="G978" s="147"/>
      <c r="H978" s="147"/>
      <c r="I978" s="147"/>
      <c r="J978" s="147"/>
      <c r="K978" s="147"/>
      <c r="L978" s="147"/>
      <c r="M978" s="147"/>
      <c r="N978" s="147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</row>
    <row r="979">
      <c r="A979" s="44"/>
      <c r="B979" s="44"/>
      <c r="C979" s="147"/>
      <c r="D979" s="147"/>
      <c r="E979" s="147"/>
      <c r="F979" s="147"/>
      <c r="G979" s="147"/>
      <c r="H979" s="147"/>
      <c r="I979" s="147"/>
      <c r="J979" s="147"/>
      <c r="K979" s="147"/>
      <c r="L979" s="147"/>
      <c r="M979" s="147"/>
      <c r="N979" s="147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</row>
    <row r="980">
      <c r="A980" s="44"/>
      <c r="B980" s="44"/>
      <c r="C980" s="147"/>
      <c r="D980" s="147"/>
      <c r="E980" s="147"/>
      <c r="F980" s="147"/>
      <c r="G980" s="147"/>
      <c r="H980" s="147"/>
      <c r="I980" s="147"/>
      <c r="J980" s="147"/>
      <c r="K980" s="147"/>
      <c r="L980" s="147"/>
      <c r="M980" s="147"/>
      <c r="N980" s="147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</row>
    <row r="981">
      <c r="A981" s="44"/>
      <c r="B981" s="44"/>
      <c r="C981" s="147"/>
      <c r="D981" s="147"/>
      <c r="E981" s="147"/>
      <c r="F981" s="147"/>
      <c r="G981" s="147"/>
      <c r="H981" s="147"/>
      <c r="I981" s="147"/>
      <c r="J981" s="147"/>
      <c r="K981" s="147"/>
      <c r="L981" s="147"/>
      <c r="M981" s="147"/>
      <c r="N981" s="147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</row>
    <row r="982">
      <c r="A982" s="44"/>
      <c r="B982" s="44"/>
      <c r="C982" s="147"/>
      <c r="D982" s="147"/>
      <c r="E982" s="147"/>
      <c r="F982" s="147"/>
      <c r="G982" s="147"/>
      <c r="H982" s="147"/>
      <c r="I982" s="147"/>
      <c r="J982" s="147"/>
      <c r="K982" s="147"/>
      <c r="L982" s="147"/>
      <c r="M982" s="147"/>
      <c r="N982" s="147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</row>
    <row r="983">
      <c r="A983" s="44"/>
      <c r="B983" s="44"/>
      <c r="C983" s="147"/>
      <c r="D983" s="147"/>
      <c r="E983" s="147"/>
      <c r="F983" s="147"/>
      <c r="G983" s="147"/>
      <c r="H983" s="147"/>
      <c r="I983" s="147"/>
      <c r="J983" s="147"/>
      <c r="K983" s="147"/>
      <c r="L983" s="147"/>
      <c r="M983" s="147"/>
      <c r="N983" s="147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</row>
    <row r="984">
      <c r="A984" s="44"/>
      <c r="B984" s="44"/>
      <c r="C984" s="147"/>
      <c r="D984" s="147"/>
      <c r="E984" s="147"/>
      <c r="F984" s="147"/>
      <c r="G984" s="147"/>
      <c r="H984" s="147"/>
      <c r="I984" s="147"/>
      <c r="J984" s="147"/>
      <c r="K984" s="147"/>
      <c r="L984" s="147"/>
      <c r="M984" s="147"/>
      <c r="N984" s="147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</row>
    <row r="985">
      <c r="A985" s="44"/>
      <c r="B985" s="44"/>
      <c r="C985" s="147"/>
      <c r="D985" s="147"/>
      <c r="E985" s="147"/>
      <c r="F985" s="147"/>
      <c r="G985" s="147"/>
      <c r="H985" s="147"/>
      <c r="I985" s="147"/>
      <c r="J985" s="147"/>
      <c r="K985" s="147"/>
      <c r="L985" s="147"/>
      <c r="M985" s="147"/>
      <c r="N985" s="147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</row>
    <row r="986">
      <c r="A986" s="44"/>
      <c r="B986" s="44"/>
      <c r="C986" s="147"/>
      <c r="D986" s="147"/>
      <c r="E986" s="147"/>
      <c r="F986" s="147"/>
      <c r="G986" s="147"/>
      <c r="H986" s="147"/>
      <c r="I986" s="147"/>
      <c r="J986" s="147"/>
      <c r="K986" s="147"/>
      <c r="L986" s="147"/>
      <c r="M986" s="147"/>
      <c r="N986" s="147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</row>
    <row r="987">
      <c r="A987" s="44"/>
      <c r="B987" s="44"/>
      <c r="C987" s="147"/>
      <c r="D987" s="147"/>
      <c r="E987" s="147"/>
      <c r="F987" s="147"/>
      <c r="G987" s="147"/>
      <c r="H987" s="147"/>
      <c r="I987" s="147"/>
      <c r="J987" s="147"/>
      <c r="K987" s="147"/>
      <c r="L987" s="147"/>
      <c r="M987" s="147"/>
      <c r="N987" s="147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</row>
    <row r="988">
      <c r="A988" s="44"/>
      <c r="B988" s="44"/>
      <c r="C988" s="147"/>
      <c r="D988" s="147"/>
      <c r="E988" s="147"/>
      <c r="F988" s="147"/>
      <c r="G988" s="147"/>
      <c r="H988" s="147"/>
      <c r="I988" s="147"/>
      <c r="J988" s="147"/>
      <c r="K988" s="147"/>
      <c r="L988" s="147"/>
      <c r="M988" s="147"/>
      <c r="N988" s="147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</row>
    <row r="989">
      <c r="A989" s="44"/>
      <c r="B989" s="44"/>
      <c r="C989" s="147"/>
      <c r="D989" s="147"/>
      <c r="E989" s="147"/>
      <c r="F989" s="147"/>
      <c r="G989" s="147"/>
      <c r="H989" s="147"/>
      <c r="I989" s="147"/>
      <c r="J989" s="147"/>
      <c r="K989" s="147"/>
      <c r="L989" s="147"/>
      <c r="M989" s="147"/>
      <c r="N989" s="147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</row>
    <row r="990">
      <c r="A990" s="44"/>
      <c r="B990" s="44"/>
      <c r="C990" s="147"/>
      <c r="D990" s="147"/>
      <c r="E990" s="147"/>
      <c r="F990" s="147"/>
      <c r="G990" s="147"/>
      <c r="H990" s="147"/>
      <c r="I990" s="147"/>
      <c r="J990" s="147"/>
      <c r="K990" s="147"/>
      <c r="L990" s="147"/>
      <c r="M990" s="147"/>
      <c r="N990" s="147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</row>
    <row r="991">
      <c r="A991" s="44"/>
      <c r="B991" s="44"/>
      <c r="C991" s="147"/>
      <c r="D991" s="147"/>
      <c r="E991" s="147"/>
      <c r="F991" s="147"/>
      <c r="G991" s="147"/>
      <c r="H991" s="147"/>
      <c r="I991" s="147"/>
      <c r="J991" s="147"/>
      <c r="K991" s="147"/>
      <c r="L991" s="147"/>
      <c r="M991" s="147"/>
      <c r="N991" s="147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</row>
    <row r="992">
      <c r="A992" s="44"/>
      <c r="B992" s="44"/>
      <c r="C992" s="147"/>
      <c r="D992" s="147"/>
      <c r="E992" s="147"/>
      <c r="F992" s="147"/>
      <c r="G992" s="147"/>
      <c r="H992" s="147"/>
      <c r="I992" s="147"/>
      <c r="J992" s="147"/>
      <c r="K992" s="147"/>
      <c r="L992" s="147"/>
      <c r="M992" s="147"/>
      <c r="N992" s="147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</row>
    <row r="993">
      <c r="A993" s="44"/>
      <c r="B993" s="44"/>
      <c r="C993" s="147"/>
      <c r="D993" s="147"/>
      <c r="E993" s="147"/>
      <c r="F993" s="147"/>
      <c r="G993" s="147"/>
      <c r="H993" s="147"/>
      <c r="I993" s="147"/>
      <c r="J993" s="147"/>
      <c r="K993" s="147"/>
      <c r="L993" s="147"/>
      <c r="M993" s="147"/>
      <c r="N993" s="147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</row>
    <row r="994">
      <c r="A994" s="44"/>
      <c r="B994" s="44"/>
      <c r="C994" s="147"/>
      <c r="D994" s="147"/>
      <c r="E994" s="147"/>
      <c r="F994" s="147"/>
      <c r="G994" s="147"/>
      <c r="H994" s="147"/>
      <c r="I994" s="147"/>
      <c r="J994" s="147"/>
      <c r="K994" s="147"/>
      <c r="L994" s="147"/>
      <c r="M994" s="147"/>
      <c r="N994" s="147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</row>
    <row r="995">
      <c r="A995" s="44"/>
      <c r="B995" s="44"/>
      <c r="C995" s="147"/>
      <c r="D995" s="147"/>
      <c r="E995" s="147"/>
      <c r="F995" s="147"/>
      <c r="G995" s="147"/>
      <c r="H995" s="147"/>
      <c r="I995" s="147"/>
      <c r="J995" s="147"/>
      <c r="K995" s="147"/>
      <c r="L995" s="147"/>
      <c r="M995" s="147"/>
      <c r="N995" s="147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</row>
    <row r="996">
      <c r="A996" s="44"/>
      <c r="B996" s="44"/>
      <c r="C996" s="147"/>
      <c r="D996" s="147"/>
      <c r="E996" s="147"/>
      <c r="F996" s="147"/>
      <c r="G996" s="147"/>
      <c r="H996" s="147"/>
      <c r="I996" s="147"/>
      <c r="J996" s="147"/>
      <c r="K996" s="147"/>
      <c r="L996" s="147"/>
      <c r="M996" s="147"/>
      <c r="N996" s="147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</row>
    <row r="997">
      <c r="A997" s="44"/>
      <c r="B997" s="44"/>
      <c r="C997" s="147"/>
      <c r="D997" s="147"/>
      <c r="E997" s="147"/>
      <c r="F997" s="147"/>
      <c r="G997" s="147"/>
      <c r="H997" s="147"/>
      <c r="I997" s="147"/>
      <c r="J997" s="147"/>
      <c r="K997" s="147"/>
      <c r="L997" s="147"/>
      <c r="M997" s="147"/>
      <c r="N997" s="147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</row>
    <row r="998">
      <c r="A998" s="44"/>
      <c r="B998" s="44"/>
      <c r="C998" s="147"/>
      <c r="D998" s="147"/>
      <c r="E998" s="147"/>
      <c r="F998" s="147"/>
      <c r="G998" s="147"/>
      <c r="H998" s="147"/>
      <c r="I998" s="147"/>
      <c r="J998" s="147"/>
      <c r="K998" s="147"/>
      <c r="L998" s="147"/>
      <c r="M998" s="147"/>
      <c r="N998" s="147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</row>
    <row r="999">
      <c r="A999" s="44"/>
      <c r="B999" s="44"/>
      <c r="C999" s="147"/>
      <c r="D999" s="147"/>
      <c r="E999" s="147"/>
      <c r="F999" s="147"/>
      <c r="G999" s="147"/>
      <c r="H999" s="147"/>
      <c r="I999" s="147"/>
      <c r="J999" s="147"/>
      <c r="K999" s="147"/>
      <c r="L999" s="147"/>
      <c r="M999" s="147"/>
      <c r="N999" s="147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</row>
    <row r="1000">
      <c r="A1000" s="44"/>
      <c r="B1000" s="44"/>
      <c r="C1000" s="147"/>
      <c r="D1000" s="147"/>
      <c r="E1000" s="147"/>
      <c r="F1000" s="147"/>
      <c r="G1000" s="147"/>
      <c r="H1000" s="147"/>
      <c r="I1000" s="147"/>
      <c r="J1000" s="147"/>
      <c r="K1000" s="147"/>
      <c r="L1000" s="147"/>
      <c r="M1000" s="147"/>
      <c r="N1000" s="147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</row>
  </sheetData>
  <mergeCells count="56">
    <mergeCell ref="A1:B1"/>
    <mergeCell ref="C1:D1"/>
    <mergeCell ref="E1:F1"/>
    <mergeCell ref="G1:H1"/>
    <mergeCell ref="I1:J1"/>
    <mergeCell ref="K1:L1"/>
    <mergeCell ref="M1:N1"/>
    <mergeCell ref="A9:B9"/>
    <mergeCell ref="C9:D9"/>
    <mergeCell ref="E9:F9"/>
    <mergeCell ref="G9:H9"/>
    <mergeCell ref="I9:J9"/>
    <mergeCell ref="K9:L9"/>
    <mergeCell ref="M9:N9"/>
    <mergeCell ref="A17:B17"/>
    <mergeCell ref="C17:D17"/>
    <mergeCell ref="E17:F17"/>
    <mergeCell ref="G17:H17"/>
    <mergeCell ref="I17:J17"/>
    <mergeCell ref="K17:L17"/>
    <mergeCell ref="M17:N17"/>
    <mergeCell ref="A25:B25"/>
    <mergeCell ref="C25:D25"/>
    <mergeCell ref="E25:F25"/>
    <mergeCell ref="G25:H25"/>
    <mergeCell ref="I25:J25"/>
    <mergeCell ref="K25:L25"/>
    <mergeCell ref="M25:N25"/>
    <mergeCell ref="A33:B33"/>
    <mergeCell ref="C33:D33"/>
    <mergeCell ref="E33:F33"/>
    <mergeCell ref="G33:H33"/>
    <mergeCell ref="I33:J33"/>
    <mergeCell ref="K33:L33"/>
    <mergeCell ref="M33:N33"/>
    <mergeCell ref="A41:B41"/>
    <mergeCell ref="C41:D41"/>
    <mergeCell ref="E41:F41"/>
    <mergeCell ref="G41:H41"/>
    <mergeCell ref="I41:J41"/>
    <mergeCell ref="K41:L41"/>
    <mergeCell ref="M41:N41"/>
    <mergeCell ref="A57:B57"/>
    <mergeCell ref="C57:D57"/>
    <mergeCell ref="E57:F57"/>
    <mergeCell ref="G57:H57"/>
    <mergeCell ref="I57:J57"/>
    <mergeCell ref="K57:L57"/>
    <mergeCell ref="M57:N57"/>
    <mergeCell ref="A49:B49"/>
    <mergeCell ref="C49:D49"/>
    <mergeCell ref="E49:F49"/>
    <mergeCell ref="G49:H49"/>
    <mergeCell ref="I49:J49"/>
    <mergeCell ref="K49:L49"/>
    <mergeCell ref="M49:N49"/>
  </mergeCells>
  <conditionalFormatting sqref="D1:D1000 F1:F1000 H1:H1000 J1:J1000 L1:L1000 N1:N1000">
    <cfRule type="cellIs" dxfId="0" priority="1" operator="equal">
      <formula>"W"</formula>
    </cfRule>
  </conditionalFormatting>
  <conditionalFormatting sqref="D1:D1000 F1:F1000 H1:H1000 J1:J1000 L1:L1000 N1:N1000">
    <cfRule type="cellIs" dxfId="1" priority="2" operator="equal">
      <formula>"L"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</cols>
  <sheetData>
    <row r="1">
      <c r="A1" s="7"/>
      <c r="B1" s="12" t="s">
        <v>12</v>
      </c>
      <c r="C1" s="13"/>
      <c r="D1" s="14"/>
      <c r="E1" s="17" t="s">
        <v>20</v>
      </c>
      <c r="F1" s="13"/>
      <c r="G1" s="14"/>
      <c r="H1" s="22" t="s">
        <v>22</v>
      </c>
      <c r="I1" s="13"/>
      <c r="J1" s="14"/>
      <c r="K1" s="25" t="s">
        <v>23</v>
      </c>
      <c r="L1" s="13"/>
      <c r="M1" s="14"/>
      <c r="N1" s="28" t="s">
        <v>25</v>
      </c>
      <c r="O1" s="13"/>
      <c r="P1" s="14"/>
      <c r="Q1" s="32" t="s">
        <v>28</v>
      </c>
      <c r="R1" s="13"/>
      <c r="S1" s="14"/>
      <c r="T1" s="35" t="s">
        <v>32</v>
      </c>
      <c r="U1" s="13"/>
      <c r="V1" s="14"/>
      <c r="W1" s="37" t="s">
        <v>35</v>
      </c>
      <c r="X1" s="13"/>
      <c r="Y1" s="14"/>
    </row>
    <row r="2">
      <c r="A2" s="38"/>
      <c r="B2" s="39" t="s">
        <v>39</v>
      </c>
      <c r="C2" s="39" t="s">
        <v>41</v>
      </c>
      <c r="D2" s="39" t="s">
        <v>43</v>
      </c>
      <c r="E2" s="41" t="s">
        <v>39</v>
      </c>
      <c r="F2" s="39" t="s">
        <v>41</v>
      </c>
      <c r="G2" s="43" t="s">
        <v>43</v>
      </c>
      <c r="H2" s="39" t="s">
        <v>39</v>
      </c>
      <c r="I2" s="39" t="s">
        <v>41</v>
      </c>
      <c r="J2" s="43" t="s">
        <v>43</v>
      </c>
      <c r="K2" s="39" t="s">
        <v>39</v>
      </c>
      <c r="L2" s="39" t="s">
        <v>41</v>
      </c>
      <c r="M2" s="43" t="s">
        <v>43</v>
      </c>
      <c r="N2" s="39" t="s">
        <v>39</v>
      </c>
      <c r="O2" s="39" t="s">
        <v>41</v>
      </c>
      <c r="P2" s="39" t="s">
        <v>43</v>
      </c>
      <c r="Q2" s="41" t="s">
        <v>39</v>
      </c>
      <c r="R2" s="39" t="s">
        <v>41</v>
      </c>
      <c r="S2" s="43" t="s">
        <v>43</v>
      </c>
      <c r="T2" s="39" t="s">
        <v>39</v>
      </c>
      <c r="U2" s="39" t="s">
        <v>41</v>
      </c>
      <c r="V2" s="43" t="s">
        <v>43</v>
      </c>
      <c r="W2" s="39" t="s">
        <v>39</v>
      </c>
      <c r="X2" s="39" t="s">
        <v>41</v>
      </c>
      <c r="Y2" s="43" t="s">
        <v>43</v>
      </c>
    </row>
    <row r="3">
      <c r="A3" s="47" t="s">
        <v>53</v>
      </c>
      <c r="B3" s="49" t="s">
        <v>50</v>
      </c>
      <c r="C3" s="49" t="s">
        <v>56</v>
      </c>
      <c r="D3" s="51" t="s">
        <v>58</v>
      </c>
      <c r="E3" s="52" t="s">
        <v>60</v>
      </c>
      <c r="F3" s="49" t="s">
        <v>61</v>
      </c>
      <c r="G3" s="51" t="s">
        <v>62</v>
      </c>
      <c r="H3" s="52" t="s">
        <v>63</v>
      </c>
      <c r="I3" s="49" t="s">
        <v>65</v>
      </c>
      <c r="J3" s="51" t="s">
        <v>66</v>
      </c>
      <c r="K3" s="52" t="s">
        <v>67</v>
      </c>
      <c r="L3" s="49" t="s">
        <v>68</v>
      </c>
      <c r="M3" s="51" t="s">
        <v>70</v>
      </c>
      <c r="N3" s="52" t="s">
        <v>71</v>
      </c>
      <c r="O3" s="49" t="s">
        <v>72</v>
      </c>
      <c r="P3" s="51" t="s">
        <v>73</v>
      </c>
      <c r="Q3" s="52" t="s">
        <v>74</v>
      </c>
      <c r="R3" s="49" t="s">
        <v>75</v>
      </c>
      <c r="S3" s="51" t="s">
        <v>76</v>
      </c>
      <c r="T3" s="52" t="s">
        <v>78</v>
      </c>
      <c r="U3" s="49" t="s">
        <v>80</v>
      </c>
      <c r="V3" s="51" t="s">
        <v>81</v>
      </c>
      <c r="W3" s="52" t="s">
        <v>82</v>
      </c>
      <c r="X3" s="49" t="s">
        <v>84</v>
      </c>
      <c r="Y3" s="53" t="s">
        <v>86</v>
      </c>
    </row>
    <row r="4">
      <c r="A4" s="54"/>
      <c r="B4" s="55" t="s">
        <v>89</v>
      </c>
      <c r="C4" s="56" t="s">
        <v>92</v>
      </c>
      <c r="D4" s="57" t="s">
        <v>95</v>
      </c>
      <c r="E4" s="59" t="s">
        <v>96</v>
      </c>
      <c r="F4" s="56" t="s">
        <v>99</v>
      </c>
      <c r="G4" s="57" t="s">
        <v>100</v>
      </c>
      <c r="H4" s="59" t="s">
        <v>101</v>
      </c>
      <c r="I4" s="56" t="s">
        <v>102</v>
      </c>
      <c r="J4" s="57" t="s">
        <v>103</v>
      </c>
      <c r="K4" s="59" t="s">
        <v>105</v>
      </c>
      <c r="L4" s="56" t="s">
        <v>107</v>
      </c>
      <c r="M4" s="57" t="s">
        <v>108</v>
      </c>
      <c r="N4" s="59" t="s">
        <v>109</v>
      </c>
      <c r="O4" s="56" t="s">
        <v>110</v>
      </c>
      <c r="P4" s="57" t="s">
        <v>111</v>
      </c>
      <c r="Q4" s="59" t="s">
        <v>112</v>
      </c>
      <c r="R4" s="56" t="s">
        <v>113</v>
      </c>
      <c r="S4" s="57" t="s">
        <v>115</v>
      </c>
      <c r="T4" s="59" t="s">
        <v>116</v>
      </c>
      <c r="U4" s="56" t="s">
        <v>117</v>
      </c>
      <c r="V4" s="57" t="s">
        <v>118</v>
      </c>
      <c r="W4" s="59" t="s">
        <v>119</v>
      </c>
      <c r="X4" s="56" t="s">
        <v>120</v>
      </c>
      <c r="Y4" s="57" t="s">
        <v>121</v>
      </c>
    </row>
    <row r="5">
      <c r="A5" s="61"/>
      <c r="B5" s="55" t="s">
        <v>124</v>
      </c>
      <c r="C5" s="56" t="s">
        <v>125</v>
      </c>
      <c r="D5" s="57" t="s">
        <v>126</v>
      </c>
      <c r="E5" s="59" t="s">
        <v>128</v>
      </c>
      <c r="F5" s="56" t="s">
        <v>130</v>
      </c>
      <c r="G5" s="57" t="s">
        <v>131</v>
      </c>
      <c r="H5" s="59" t="s">
        <v>132</v>
      </c>
      <c r="I5" s="56" t="s">
        <v>133</v>
      </c>
      <c r="J5" s="57" t="s">
        <v>134</v>
      </c>
      <c r="K5" s="59" t="s">
        <v>135</v>
      </c>
      <c r="L5" s="56" t="s">
        <v>137</v>
      </c>
      <c r="M5" s="57" t="s">
        <v>138</v>
      </c>
      <c r="N5" s="59" t="s">
        <v>139</v>
      </c>
      <c r="O5" s="56" t="s">
        <v>140</v>
      </c>
      <c r="P5" s="57" t="s">
        <v>141</v>
      </c>
      <c r="Q5" s="59" t="s">
        <v>142</v>
      </c>
      <c r="R5" s="56" t="s">
        <v>143</v>
      </c>
      <c r="S5" s="57" t="s">
        <v>144</v>
      </c>
      <c r="T5" s="59" t="s">
        <v>146</v>
      </c>
      <c r="U5" s="56" t="s">
        <v>150</v>
      </c>
      <c r="V5" s="57" t="s">
        <v>151</v>
      </c>
      <c r="W5" s="59" t="s">
        <v>153</v>
      </c>
      <c r="X5" s="56" t="s">
        <v>154</v>
      </c>
      <c r="Y5" s="57" t="s">
        <v>155</v>
      </c>
    </row>
    <row r="6">
      <c r="A6" s="47" t="s">
        <v>156</v>
      </c>
      <c r="B6" s="49" t="s">
        <v>124</v>
      </c>
      <c r="C6" s="49" t="s">
        <v>92</v>
      </c>
      <c r="D6" s="51" t="s">
        <v>58</v>
      </c>
      <c r="E6" s="52" t="s">
        <v>128</v>
      </c>
      <c r="F6" s="49" t="s">
        <v>99</v>
      </c>
      <c r="G6" s="51" t="s">
        <v>62</v>
      </c>
      <c r="H6" s="52" t="s">
        <v>132</v>
      </c>
      <c r="I6" s="49" t="s">
        <v>102</v>
      </c>
      <c r="J6" s="51" t="s">
        <v>66</v>
      </c>
      <c r="K6" s="52" t="s">
        <v>135</v>
      </c>
      <c r="L6" s="49" t="s">
        <v>107</v>
      </c>
      <c r="M6" s="51" t="s">
        <v>70</v>
      </c>
      <c r="N6" s="52" t="s">
        <v>139</v>
      </c>
      <c r="O6" s="49" t="s">
        <v>110</v>
      </c>
      <c r="P6" s="51" t="s">
        <v>73</v>
      </c>
      <c r="Q6" s="52" t="s">
        <v>142</v>
      </c>
      <c r="R6" s="49" t="s">
        <v>113</v>
      </c>
      <c r="S6" s="51" t="s">
        <v>76</v>
      </c>
      <c r="T6" s="52" t="s">
        <v>146</v>
      </c>
      <c r="U6" s="49" t="s">
        <v>117</v>
      </c>
      <c r="V6" s="51" t="s">
        <v>81</v>
      </c>
      <c r="W6" s="52" t="s">
        <v>153</v>
      </c>
      <c r="X6" s="49" t="s">
        <v>120</v>
      </c>
      <c r="Y6" s="53" t="s">
        <v>86</v>
      </c>
    </row>
    <row r="7">
      <c r="A7" s="54"/>
      <c r="B7" s="55" t="s">
        <v>50</v>
      </c>
      <c r="C7" s="56" t="s">
        <v>89</v>
      </c>
      <c r="D7" s="57" t="s">
        <v>95</v>
      </c>
      <c r="E7" s="59" t="s">
        <v>60</v>
      </c>
      <c r="F7" s="56" t="s">
        <v>96</v>
      </c>
      <c r="G7" s="57" t="s">
        <v>100</v>
      </c>
      <c r="H7" s="59" t="s">
        <v>63</v>
      </c>
      <c r="I7" s="56" t="s">
        <v>101</v>
      </c>
      <c r="J7" s="57" t="s">
        <v>103</v>
      </c>
      <c r="K7" s="59" t="s">
        <v>67</v>
      </c>
      <c r="L7" s="56" t="s">
        <v>105</v>
      </c>
      <c r="M7" s="57" t="s">
        <v>108</v>
      </c>
      <c r="N7" s="59" t="s">
        <v>71</v>
      </c>
      <c r="O7" s="56" t="s">
        <v>109</v>
      </c>
      <c r="P7" s="57" t="s">
        <v>111</v>
      </c>
      <c r="Q7" s="59" t="s">
        <v>74</v>
      </c>
      <c r="R7" s="56" t="s">
        <v>112</v>
      </c>
      <c r="S7" s="57" t="s">
        <v>115</v>
      </c>
      <c r="T7" s="59" t="s">
        <v>78</v>
      </c>
      <c r="U7" s="56" t="s">
        <v>116</v>
      </c>
      <c r="V7" s="57" t="s">
        <v>118</v>
      </c>
      <c r="W7" s="59" t="s">
        <v>82</v>
      </c>
      <c r="X7" s="56" t="s">
        <v>119</v>
      </c>
      <c r="Y7" s="57" t="s">
        <v>121</v>
      </c>
    </row>
    <row r="8">
      <c r="A8" s="61"/>
      <c r="B8" s="55" t="s">
        <v>56</v>
      </c>
      <c r="C8" s="56" t="s">
        <v>125</v>
      </c>
      <c r="D8" s="57" t="s">
        <v>126</v>
      </c>
      <c r="E8" s="59" t="s">
        <v>61</v>
      </c>
      <c r="F8" s="56" t="s">
        <v>130</v>
      </c>
      <c r="G8" s="57" t="s">
        <v>131</v>
      </c>
      <c r="H8" s="59" t="s">
        <v>65</v>
      </c>
      <c r="I8" s="56" t="s">
        <v>133</v>
      </c>
      <c r="J8" s="57" t="s">
        <v>134</v>
      </c>
      <c r="K8" s="59" t="s">
        <v>68</v>
      </c>
      <c r="L8" s="56" t="s">
        <v>137</v>
      </c>
      <c r="M8" s="57" t="s">
        <v>138</v>
      </c>
      <c r="N8" s="59" t="s">
        <v>72</v>
      </c>
      <c r="O8" s="56" t="s">
        <v>140</v>
      </c>
      <c r="P8" s="57" t="s">
        <v>141</v>
      </c>
      <c r="Q8" s="59" t="s">
        <v>75</v>
      </c>
      <c r="R8" s="56" t="s">
        <v>143</v>
      </c>
      <c r="S8" s="57" t="s">
        <v>144</v>
      </c>
      <c r="T8" s="59" t="s">
        <v>80</v>
      </c>
      <c r="U8" s="56" t="s">
        <v>150</v>
      </c>
      <c r="V8" s="57" t="s">
        <v>151</v>
      </c>
      <c r="W8" s="59" t="s">
        <v>84</v>
      </c>
      <c r="X8" s="56" t="s">
        <v>154</v>
      </c>
      <c r="Y8" s="57" t="s">
        <v>155</v>
      </c>
    </row>
    <row r="9">
      <c r="A9" s="47" t="s">
        <v>175</v>
      </c>
      <c r="B9" s="49" t="s">
        <v>56</v>
      </c>
      <c r="C9" s="49" t="s">
        <v>89</v>
      </c>
      <c r="D9" s="51" t="s">
        <v>58</v>
      </c>
      <c r="E9" s="52" t="s">
        <v>61</v>
      </c>
      <c r="F9" s="49" t="s">
        <v>96</v>
      </c>
      <c r="G9" s="51" t="s">
        <v>62</v>
      </c>
      <c r="H9" s="52" t="s">
        <v>65</v>
      </c>
      <c r="I9" s="49" t="s">
        <v>101</v>
      </c>
      <c r="J9" s="51" t="s">
        <v>66</v>
      </c>
      <c r="K9" s="52" t="s">
        <v>68</v>
      </c>
      <c r="L9" s="49" t="s">
        <v>105</v>
      </c>
      <c r="M9" s="51" t="s">
        <v>70</v>
      </c>
      <c r="N9" s="52" t="s">
        <v>72</v>
      </c>
      <c r="O9" s="49" t="s">
        <v>109</v>
      </c>
      <c r="P9" s="51" t="s">
        <v>73</v>
      </c>
      <c r="Q9" s="52" t="s">
        <v>75</v>
      </c>
      <c r="R9" s="49" t="s">
        <v>112</v>
      </c>
      <c r="S9" s="51" t="s">
        <v>76</v>
      </c>
      <c r="T9" s="52" t="s">
        <v>80</v>
      </c>
      <c r="U9" s="49" t="s">
        <v>116</v>
      </c>
      <c r="V9" s="51" t="s">
        <v>81</v>
      </c>
      <c r="W9" s="52" t="s">
        <v>84</v>
      </c>
      <c r="X9" s="49" t="s">
        <v>119</v>
      </c>
      <c r="Y9" s="53" t="s">
        <v>86</v>
      </c>
    </row>
    <row r="10">
      <c r="A10" s="54"/>
      <c r="B10" s="55" t="s">
        <v>92</v>
      </c>
      <c r="C10" s="56" t="s">
        <v>125</v>
      </c>
      <c r="D10" s="57" t="s">
        <v>95</v>
      </c>
      <c r="E10" s="59" t="s">
        <v>99</v>
      </c>
      <c r="F10" s="56" t="s">
        <v>130</v>
      </c>
      <c r="G10" s="57" t="s">
        <v>100</v>
      </c>
      <c r="H10" s="59" t="s">
        <v>102</v>
      </c>
      <c r="I10" s="56" t="s">
        <v>133</v>
      </c>
      <c r="J10" s="57" t="s">
        <v>103</v>
      </c>
      <c r="K10" s="59" t="s">
        <v>107</v>
      </c>
      <c r="L10" s="56" t="s">
        <v>137</v>
      </c>
      <c r="M10" s="57" t="s">
        <v>108</v>
      </c>
      <c r="N10" s="59" t="s">
        <v>110</v>
      </c>
      <c r="O10" s="56" t="s">
        <v>140</v>
      </c>
      <c r="P10" s="57" t="s">
        <v>111</v>
      </c>
      <c r="Q10" s="59" t="s">
        <v>113</v>
      </c>
      <c r="R10" s="56" t="s">
        <v>143</v>
      </c>
      <c r="S10" s="57" t="s">
        <v>115</v>
      </c>
      <c r="T10" s="59" t="s">
        <v>117</v>
      </c>
      <c r="U10" s="56" t="s">
        <v>150</v>
      </c>
      <c r="V10" s="57" t="s">
        <v>118</v>
      </c>
      <c r="W10" s="59" t="s">
        <v>120</v>
      </c>
      <c r="X10" s="56" t="s">
        <v>154</v>
      </c>
      <c r="Y10" s="57" t="s">
        <v>121</v>
      </c>
    </row>
    <row r="11">
      <c r="A11" s="61"/>
      <c r="B11" s="55" t="s">
        <v>50</v>
      </c>
      <c r="C11" s="56" t="s">
        <v>124</v>
      </c>
      <c r="D11" s="57" t="s">
        <v>126</v>
      </c>
      <c r="E11" s="59" t="s">
        <v>60</v>
      </c>
      <c r="F11" s="56" t="s">
        <v>128</v>
      </c>
      <c r="G11" s="57" t="s">
        <v>131</v>
      </c>
      <c r="H11" s="59" t="s">
        <v>63</v>
      </c>
      <c r="I11" s="56" t="s">
        <v>132</v>
      </c>
      <c r="J11" s="57" t="s">
        <v>134</v>
      </c>
      <c r="K11" s="59" t="s">
        <v>67</v>
      </c>
      <c r="L11" s="56" t="s">
        <v>135</v>
      </c>
      <c r="M11" s="57" t="s">
        <v>138</v>
      </c>
      <c r="N11" s="59" t="s">
        <v>71</v>
      </c>
      <c r="O11" s="56" t="s">
        <v>139</v>
      </c>
      <c r="P11" s="57" t="s">
        <v>141</v>
      </c>
      <c r="Q11" s="59" t="s">
        <v>74</v>
      </c>
      <c r="R11" s="56" t="s">
        <v>142</v>
      </c>
      <c r="S11" s="57" t="s">
        <v>144</v>
      </c>
      <c r="T11" s="59" t="s">
        <v>78</v>
      </c>
      <c r="U11" s="56" t="s">
        <v>146</v>
      </c>
      <c r="V11" s="57" t="s">
        <v>151</v>
      </c>
      <c r="W11" s="59" t="s">
        <v>82</v>
      </c>
      <c r="X11" s="56" t="s">
        <v>153</v>
      </c>
      <c r="Y11" s="57" t="s">
        <v>155</v>
      </c>
    </row>
    <row r="12">
      <c r="A12" s="47" t="s">
        <v>178</v>
      </c>
      <c r="B12" s="49" t="s">
        <v>50</v>
      </c>
      <c r="C12" s="49" t="s">
        <v>92</v>
      </c>
      <c r="D12" s="51" t="s">
        <v>58</v>
      </c>
      <c r="E12" s="52" t="s">
        <v>60</v>
      </c>
      <c r="F12" s="49" t="s">
        <v>99</v>
      </c>
      <c r="G12" s="51" t="s">
        <v>62</v>
      </c>
      <c r="H12" s="52" t="s">
        <v>63</v>
      </c>
      <c r="I12" s="49" t="s">
        <v>102</v>
      </c>
      <c r="J12" s="51" t="s">
        <v>66</v>
      </c>
      <c r="K12" s="52" t="s">
        <v>67</v>
      </c>
      <c r="L12" s="49" t="s">
        <v>107</v>
      </c>
      <c r="M12" s="51" t="s">
        <v>70</v>
      </c>
      <c r="N12" s="52" t="s">
        <v>71</v>
      </c>
      <c r="O12" s="49" t="s">
        <v>110</v>
      </c>
      <c r="P12" s="51" t="s">
        <v>73</v>
      </c>
      <c r="Q12" s="52" t="s">
        <v>74</v>
      </c>
      <c r="R12" s="49" t="s">
        <v>113</v>
      </c>
      <c r="S12" s="51" t="s">
        <v>76</v>
      </c>
      <c r="T12" s="52" t="s">
        <v>78</v>
      </c>
      <c r="U12" s="49" t="s">
        <v>117</v>
      </c>
      <c r="V12" s="51" t="s">
        <v>81</v>
      </c>
      <c r="W12" s="52" t="s">
        <v>82</v>
      </c>
      <c r="X12" s="49" t="s">
        <v>120</v>
      </c>
      <c r="Y12" s="53" t="s">
        <v>86</v>
      </c>
    </row>
    <row r="13">
      <c r="A13" s="54"/>
      <c r="B13" s="55" t="s">
        <v>56</v>
      </c>
      <c r="C13" s="56" t="s">
        <v>124</v>
      </c>
      <c r="D13" s="57" t="s">
        <v>95</v>
      </c>
      <c r="E13" s="59" t="s">
        <v>61</v>
      </c>
      <c r="F13" s="56" t="s">
        <v>128</v>
      </c>
      <c r="G13" s="57" t="s">
        <v>100</v>
      </c>
      <c r="H13" s="59" t="s">
        <v>65</v>
      </c>
      <c r="I13" s="56" t="s">
        <v>132</v>
      </c>
      <c r="J13" s="57" t="s">
        <v>103</v>
      </c>
      <c r="K13" s="59" t="s">
        <v>68</v>
      </c>
      <c r="L13" s="56" t="s">
        <v>135</v>
      </c>
      <c r="M13" s="57" t="s">
        <v>108</v>
      </c>
      <c r="N13" s="59" t="s">
        <v>72</v>
      </c>
      <c r="O13" s="56" t="s">
        <v>139</v>
      </c>
      <c r="P13" s="57" t="s">
        <v>111</v>
      </c>
      <c r="Q13" s="59" t="s">
        <v>75</v>
      </c>
      <c r="R13" s="56" t="s">
        <v>142</v>
      </c>
      <c r="S13" s="57" t="s">
        <v>115</v>
      </c>
      <c r="T13" s="59" t="s">
        <v>80</v>
      </c>
      <c r="U13" s="56" t="s">
        <v>146</v>
      </c>
      <c r="V13" s="57" t="s">
        <v>118</v>
      </c>
      <c r="W13" s="59" t="s">
        <v>84</v>
      </c>
      <c r="X13" s="56" t="s">
        <v>153</v>
      </c>
      <c r="Y13" s="57" t="s">
        <v>121</v>
      </c>
    </row>
    <row r="14">
      <c r="A14" s="61"/>
      <c r="B14" s="55" t="s">
        <v>89</v>
      </c>
      <c r="C14" s="56" t="s">
        <v>125</v>
      </c>
      <c r="D14" s="57" t="s">
        <v>126</v>
      </c>
      <c r="E14" s="59" t="s">
        <v>96</v>
      </c>
      <c r="F14" s="56" t="s">
        <v>130</v>
      </c>
      <c r="G14" s="57" t="s">
        <v>131</v>
      </c>
      <c r="H14" s="59" t="s">
        <v>101</v>
      </c>
      <c r="I14" s="56" t="s">
        <v>133</v>
      </c>
      <c r="J14" s="57" t="s">
        <v>134</v>
      </c>
      <c r="K14" s="59" t="s">
        <v>105</v>
      </c>
      <c r="L14" s="56" t="s">
        <v>137</v>
      </c>
      <c r="M14" s="57" t="s">
        <v>138</v>
      </c>
      <c r="N14" s="59" t="s">
        <v>109</v>
      </c>
      <c r="O14" s="56" t="s">
        <v>140</v>
      </c>
      <c r="P14" s="57" t="s">
        <v>141</v>
      </c>
      <c r="Q14" s="59" t="s">
        <v>112</v>
      </c>
      <c r="R14" s="56" t="s">
        <v>143</v>
      </c>
      <c r="S14" s="57" t="s">
        <v>144</v>
      </c>
      <c r="T14" s="59" t="s">
        <v>116</v>
      </c>
      <c r="U14" s="56" t="s">
        <v>150</v>
      </c>
      <c r="V14" s="57" t="s">
        <v>151</v>
      </c>
      <c r="W14" s="59" t="s">
        <v>119</v>
      </c>
      <c r="X14" s="56" t="s">
        <v>154</v>
      </c>
      <c r="Y14" s="57" t="s">
        <v>155</v>
      </c>
    </row>
    <row r="15">
      <c r="A15" s="47" t="s">
        <v>179</v>
      </c>
      <c r="B15" s="49" t="s">
        <v>89</v>
      </c>
      <c r="C15" s="49" t="s">
        <v>124</v>
      </c>
      <c r="D15" s="51" t="s">
        <v>58</v>
      </c>
      <c r="E15" s="52" t="s">
        <v>96</v>
      </c>
      <c r="F15" s="49" t="s">
        <v>128</v>
      </c>
      <c r="G15" s="51" t="s">
        <v>62</v>
      </c>
      <c r="H15" s="52" t="s">
        <v>101</v>
      </c>
      <c r="I15" s="49" t="s">
        <v>132</v>
      </c>
      <c r="J15" s="51" t="s">
        <v>66</v>
      </c>
      <c r="K15" s="52" t="s">
        <v>105</v>
      </c>
      <c r="L15" s="49" t="s">
        <v>135</v>
      </c>
      <c r="M15" s="51" t="s">
        <v>70</v>
      </c>
      <c r="N15" s="52" t="s">
        <v>109</v>
      </c>
      <c r="O15" s="49" t="s">
        <v>139</v>
      </c>
      <c r="P15" s="51" t="s">
        <v>73</v>
      </c>
      <c r="Q15" s="52" t="s">
        <v>112</v>
      </c>
      <c r="R15" s="49" t="s">
        <v>142</v>
      </c>
      <c r="S15" s="51" t="s">
        <v>76</v>
      </c>
      <c r="T15" s="52" t="s">
        <v>116</v>
      </c>
      <c r="U15" s="49" t="s">
        <v>146</v>
      </c>
      <c r="V15" s="51" t="s">
        <v>81</v>
      </c>
      <c r="W15" s="52" t="s">
        <v>119</v>
      </c>
      <c r="X15" s="49" t="s">
        <v>153</v>
      </c>
      <c r="Y15" s="53" t="s">
        <v>86</v>
      </c>
    </row>
    <row r="16">
      <c r="A16" s="54"/>
      <c r="B16" s="55" t="s">
        <v>50</v>
      </c>
      <c r="C16" s="56" t="s">
        <v>125</v>
      </c>
      <c r="D16" s="57" t="s">
        <v>95</v>
      </c>
      <c r="E16" s="59" t="s">
        <v>60</v>
      </c>
      <c r="F16" s="56" t="s">
        <v>130</v>
      </c>
      <c r="G16" s="57" t="s">
        <v>100</v>
      </c>
      <c r="H16" s="59" t="s">
        <v>63</v>
      </c>
      <c r="I16" s="56" t="s">
        <v>133</v>
      </c>
      <c r="J16" s="57" t="s">
        <v>103</v>
      </c>
      <c r="K16" s="59" t="s">
        <v>67</v>
      </c>
      <c r="L16" s="56" t="s">
        <v>137</v>
      </c>
      <c r="M16" s="57" t="s">
        <v>108</v>
      </c>
      <c r="N16" s="59" t="s">
        <v>71</v>
      </c>
      <c r="O16" s="56" t="s">
        <v>140</v>
      </c>
      <c r="P16" s="57" t="s">
        <v>111</v>
      </c>
      <c r="Q16" s="59" t="s">
        <v>74</v>
      </c>
      <c r="R16" s="56" t="s">
        <v>143</v>
      </c>
      <c r="S16" s="57" t="s">
        <v>115</v>
      </c>
      <c r="T16" s="59" t="s">
        <v>78</v>
      </c>
      <c r="U16" s="56" t="s">
        <v>150</v>
      </c>
      <c r="V16" s="57" t="s">
        <v>118</v>
      </c>
      <c r="W16" s="59" t="s">
        <v>82</v>
      </c>
      <c r="X16" s="56" t="s">
        <v>154</v>
      </c>
      <c r="Y16" s="57" t="s">
        <v>121</v>
      </c>
    </row>
    <row r="17">
      <c r="A17" s="61"/>
      <c r="B17" s="77" t="s">
        <v>56</v>
      </c>
      <c r="C17" s="78" t="s">
        <v>92</v>
      </c>
      <c r="D17" s="79" t="s">
        <v>126</v>
      </c>
      <c r="E17" s="80" t="s">
        <v>61</v>
      </c>
      <c r="F17" s="78" t="s">
        <v>99</v>
      </c>
      <c r="G17" s="81" t="s">
        <v>131</v>
      </c>
      <c r="H17" s="80" t="s">
        <v>65</v>
      </c>
      <c r="I17" s="78" t="s">
        <v>102</v>
      </c>
      <c r="J17" s="81" t="s">
        <v>134</v>
      </c>
      <c r="K17" s="80" t="s">
        <v>68</v>
      </c>
      <c r="L17" s="78" t="s">
        <v>107</v>
      </c>
      <c r="M17" s="81" t="s">
        <v>138</v>
      </c>
      <c r="N17" s="80" t="s">
        <v>72</v>
      </c>
      <c r="O17" s="78" t="s">
        <v>110</v>
      </c>
      <c r="P17" s="81" t="s">
        <v>141</v>
      </c>
      <c r="Q17" s="80" t="s">
        <v>75</v>
      </c>
      <c r="R17" s="78" t="s">
        <v>113</v>
      </c>
      <c r="S17" s="81" t="s">
        <v>144</v>
      </c>
      <c r="T17" s="80" t="s">
        <v>80</v>
      </c>
      <c r="U17" s="78" t="s">
        <v>117</v>
      </c>
      <c r="V17" s="81" t="s">
        <v>151</v>
      </c>
      <c r="W17" s="80" t="s">
        <v>84</v>
      </c>
      <c r="X17" s="78" t="s">
        <v>120</v>
      </c>
      <c r="Y17" s="81" t="s">
        <v>155</v>
      </c>
    </row>
  </sheetData>
  <mergeCells count="14">
    <mergeCell ref="T1:V1"/>
    <mergeCell ref="W1:Y1"/>
    <mergeCell ref="A3:A5"/>
    <mergeCell ref="A6:A8"/>
    <mergeCell ref="A9:A11"/>
    <mergeCell ref="A12:A14"/>
    <mergeCell ref="A15:A17"/>
    <mergeCell ref="A1:A2"/>
    <mergeCell ref="B1:D1"/>
    <mergeCell ref="E1:G1"/>
    <mergeCell ref="H1:J1"/>
    <mergeCell ref="K1:M1"/>
    <mergeCell ref="N1:P1"/>
    <mergeCell ref="Q1:S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3" t="s">
        <v>7</v>
      </c>
      <c r="B2" s="3">
        <v>4.0</v>
      </c>
      <c r="C2" s="3">
        <v>522.0</v>
      </c>
      <c r="D2" s="3">
        <v>400.0</v>
      </c>
      <c r="E2" s="3">
        <v>1228.01875</v>
      </c>
      <c r="F2" s="6">
        <v>1.0</v>
      </c>
    </row>
    <row r="3">
      <c r="A3" s="3" t="s">
        <v>8</v>
      </c>
      <c r="B3" s="3">
        <v>5.0</v>
      </c>
      <c r="C3" s="3">
        <v>574.0</v>
      </c>
      <c r="D3" s="3">
        <v>500.0</v>
      </c>
      <c r="E3" s="3">
        <v>1149.5328</v>
      </c>
      <c r="F3" s="6">
        <v>2.0</v>
      </c>
    </row>
    <row r="4">
      <c r="A4" s="3" t="s">
        <v>10</v>
      </c>
      <c r="B4" s="3">
        <v>5.0</v>
      </c>
      <c r="C4" s="3">
        <v>476.0</v>
      </c>
      <c r="D4" s="3">
        <v>500.0</v>
      </c>
      <c r="E4" s="3">
        <v>1063.7282</v>
      </c>
      <c r="F4" s="6">
        <v>3.0</v>
      </c>
    </row>
    <row r="5">
      <c r="A5" s="3" t="s">
        <v>11</v>
      </c>
      <c r="B5" s="3">
        <v>5.0</v>
      </c>
      <c r="C5" s="3">
        <v>458.0</v>
      </c>
      <c r="D5" s="3">
        <v>500.0</v>
      </c>
      <c r="E5" s="3">
        <v>1039.9958</v>
      </c>
      <c r="F5" s="6">
        <v>4.0</v>
      </c>
    </row>
    <row r="6">
      <c r="A6" s="3" t="s">
        <v>13</v>
      </c>
      <c r="B6" s="3">
        <v>5.0</v>
      </c>
      <c r="C6" s="3">
        <v>388.0</v>
      </c>
      <c r="D6" s="3">
        <v>500.0</v>
      </c>
      <c r="E6" s="3">
        <v>978.3696</v>
      </c>
      <c r="F6" s="6">
        <v>5.0</v>
      </c>
    </row>
    <row r="7">
      <c r="A7" s="3" t="s">
        <v>14</v>
      </c>
      <c r="B7" s="3">
        <v>4.0</v>
      </c>
      <c r="C7" s="3">
        <v>448.0</v>
      </c>
      <c r="D7" s="3">
        <v>400.0</v>
      </c>
      <c r="E7" s="3">
        <v>942.1912</v>
      </c>
      <c r="F7" s="6">
        <v>6.0</v>
      </c>
    </row>
    <row r="8">
      <c r="A8" s="3" t="s">
        <v>15</v>
      </c>
      <c r="B8" s="3">
        <v>4.5</v>
      </c>
      <c r="C8" s="3">
        <v>366.0</v>
      </c>
      <c r="D8" s="3">
        <v>450.0</v>
      </c>
      <c r="E8" s="3">
        <v>910.1912</v>
      </c>
      <c r="F8" s="6">
        <v>7.0</v>
      </c>
    </row>
    <row r="9">
      <c r="A9" s="3" t="s">
        <v>17</v>
      </c>
      <c r="B9" s="3">
        <v>4.0</v>
      </c>
      <c r="C9" s="3">
        <v>428.0</v>
      </c>
      <c r="D9" s="3">
        <v>400.0</v>
      </c>
      <c r="E9" s="3">
        <v>909.4338</v>
      </c>
      <c r="F9" s="6">
        <v>8.0</v>
      </c>
    </row>
    <row r="10">
      <c r="A10" s="3" t="s">
        <v>18</v>
      </c>
      <c r="B10" s="3">
        <v>4.0</v>
      </c>
      <c r="C10" s="3">
        <v>378.0</v>
      </c>
      <c r="D10" s="3">
        <v>400.0</v>
      </c>
      <c r="E10" s="3">
        <v>865.672</v>
      </c>
      <c r="F10" s="6">
        <v>9.0</v>
      </c>
    </row>
    <row r="11">
      <c r="A11" s="3" t="s">
        <v>19</v>
      </c>
      <c r="B11" s="3">
        <v>4.0</v>
      </c>
      <c r="C11" s="3">
        <v>382.0</v>
      </c>
      <c r="D11" s="3">
        <v>400.0</v>
      </c>
      <c r="E11" s="3">
        <v>863.9958</v>
      </c>
      <c r="F11" s="6">
        <v>10.0</v>
      </c>
    </row>
    <row r="12">
      <c r="A12" s="3" t="s">
        <v>21</v>
      </c>
      <c r="B12" s="3">
        <v>3.0</v>
      </c>
      <c r="C12" s="3">
        <v>332.0</v>
      </c>
      <c r="D12" s="3">
        <v>300.0</v>
      </c>
      <c r="E12" s="3">
        <f>722.3696+48+32</f>
        <v>802.3696</v>
      </c>
      <c r="F12" s="6">
        <v>11.0</v>
      </c>
    </row>
    <row r="13">
      <c r="A13" s="3" t="s">
        <v>26</v>
      </c>
      <c r="B13" s="3">
        <v>3.0</v>
      </c>
      <c r="C13" s="3">
        <v>336.0</v>
      </c>
      <c r="D13" s="3">
        <v>300.0</v>
      </c>
      <c r="E13" s="3">
        <f>34+726.3696</f>
        <v>760.3696</v>
      </c>
      <c r="F13" s="6">
        <v>12.0</v>
      </c>
    </row>
    <row r="14">
      <c r="A14" s="3" t="s">
        <v>30</v>
      </c>
      <c r="B14" s="3">
        <v>2.0</v>
      </c>
      <c r="C14" s="3">
        <v>310.0</v>
      </c>
      <c r="D14" s="3">
        <v>200.0</v>
      </c>
      <c r="E14" s="3">
        <f>46+713.01875</f>
        <v>759.01875</v>
      </c>
      <c r="F14" s="6">
        <v>13.0</v>
      </c>
    </row>
    <row r="15">
      <c r="A15" s="3" t="s">
        <v>33</v>
      </c>
      <c r="B15" s="3">
        <v>4.0</v>
      </c>
      <c r="C15" s="3">
        <v>272.0</v>
      </c>
      <c r="D15" s="3">
        <v>400.0</v>
      </c>
      <c r="E15" s="3">
        <v>753.4338</v>
      </c>
      <c r="F15" s="6">
        <v>14.0</v>
      </c>
    </row>
    <row r="16">
      <c r="A16" s="3" t="s">
        <v>36</v>
      </c>
      <c r="B16" s="3">
        <v>2.5</v>
      </c>
      <c r="C16" s="3">
        <v>322.0</v>
      </c>
      <c r="D16" s="3">
        <v>250.0</v>
      </c>
      <c r="E16" s="3">
        <f>38+659.7282</f>
        <v>697.7282</v>
      </c>
      <c r="F16" s="6">
        <v>15.0</v>
      </c>
    </row>
    <row r="17">
      <c r="A17" s="3" t="s">
        <v>42</v>
      </c>
      <c r="B17" s="3">
        <v>2.5</v>
      </c>
      <c r="C17" s="3">
        <v>304.0</v>
      </c>
      <c r="D17" s="3">
        <v>250.0</v>
      </c>
      <c r="E17" s="3">
        <f>16+4+648.1912</f>
        <v>668.1912</v>
      </c>
      <c r="F17" s="6">
        <v>16.0</v>
      </c>
    </row>
    <row r="18" hidden="1">
      <c r="A18" s="3" t="s">
        <v>48</v>
      </c>
      <c r="B18" s="3">
        <v>3.0</v>
      </c>
      <c r="C18" s="3">
        <v>258.0</v>
      </c>
      <c r="D18" s="3">
        <v>300.0</v>
      </c>
      <c r="E18" s="3">
        <f>8+16+639.4338</f>
        <v>663.4338</v>
      </c>
    </row>
    <row r="19" hidden="1">
      <c r="A19" s="3" t="s">
        <v>52</v>
      </c>
      <c r="B19" s="3">
        <v>2.0</v>
      </c>
      <c r="C19" s="3">
        <v>346.0</v>
      </c>
      <c r="D19" s="3">
        <v>200.0</v>
      </c>
      <c r="E19" s="3">
        <f>20+4+636.3696</f>
        <v>660.3696</v>
      </c>
    </row>
    <row r="20" hidden="1">
      <c r="A20" s="3" t="s">
        <v>57</v>
      </c>
      <c r="B20" s="3">
        <v>3.0</v>
      </c>
      <c r="C20" s="3">
        <v>238.0</v>
      </c>
      <c r="D20" s="3">
        <v>300.0</v>
      </c>
      <c r="E20" s="3">
        <f>4+625.7282</f>
        <v>629.7282</v>
      </c>
    </row>
    <row r="21" hidden="1">
      <c r="A21" s="3" t="s">
        <v>69</v>
      </c>
      <c r="B21" s="3">
        <v>2.0</v>
      </c>
      <c r="C21" s="3">
        <v>330.0</v>
      </c>
      <c r="D21" s="3">
        <v>200.0</v>
      </c>
      <c r="E21" s="3">
        <v>624.1912</v>
      </c>
    </row>
    <row r="22" hidden="1">
      <c r="A22" s="3" t="s">
        <v>77</v>
      </c>
      <c r="B22" s="3">
        <v>3.0</v>
      </c>
      <c r="C22" s="3">
        <v>236.0</v>
      </c>
      <c r="D22" s="3">
        <v>300.0</v>
      </c>
      <c r="E22" s="3">
        <v>623.672</v>
      </c>
    </row>
    <row r="23" hidden="1">
      <c r="A23" s="3" t="s">
        <v>83</v>
      </c>
      <c r="B23" s="3">
        <v>3.0</v>
      </c>
      <c r="C23" s="3">
        <v>224.0</v>
      </c>
      <c r="D23" s="3">
        <v>300.0</v>
      </c>
      <c r="E23" s="3">
        <v>611.672</v>
      </c>
    </row>
    <row r="24" hidden="1">
      <c r="A24" s="3" t="s">
        <v>87</v>
      </c>
      <c r="B24" s="3">
        <v>2.0</v>
      </c>
      <c r="C24" s="3">
        <v>294.0</v>
      </c>
      <c r="D24" s="3">
        <v>200.0</v>
      </c>
      <c r="E24" s="3">
        <v>581.7282</v>
      </c>
    </row>
    <row r="25" hidden="1">
      <c r="A25" s="3" t="s">
        <v>88</v>
      </c>
      <c r="B25" s="3">
        <v>3.0</v>
      </c>
      <c r="C25" s="3">
        <v>182.0</v>
      </c>
      <c r="D25" s="3">
        <v>300.0</v>
      </c>
      <c r="E25" s="3">
        <v>563.9958</v>
      </c>
    </row>
    <row r="26" hidden="1">
      <c r="A26" s="3" t="s">
        <v>91</v>
      </c>
      <c r="B26" s="3">
        <v>3.5</v>
      </c>
      <c r="C26" s="3">
        <v>136.0</v>
      </c>
      <c r="D26" s="3">
        <v>350.0</v>
      </c>
      <c r="E26" s="3">
        <v>561.5328</v>
      </c>
    </row>
    <row r="27" hidden="1">
      <c r="A27" s="3" t="s">
        <v>94</v>
      </c>
      <c r="B27" s="3">
        <v>2.0</v>
      </c>
      <c r="C27" s="3">
        <v>256.0</v>
      </c>
      <c r="D27" s="3">
        <v>200.0</v>
      </c>
      <c r="E27" s="3">
        <v>543.672</v>
      </c>
    </row>
    <row r="28" hidden="1">
      <c r="A28" s="3" t="s">
        <v>97</v>
      </c>
      <c r="B28" s="3">
        <v>2.0</v>
      </c>
      <c r="C28" s="3">
        <v>228.0</v>
      </c>
      <c r="D28" s="3">
        <v>200.0</v>
      </c>
      <c r="E28" s="3">
        <v>515.672</v>
      </c>
    </row>
    <row r="29" hidden="1">
      <c r="A29" s="3" t="s">
        <v>104</v>
      </c>
      <c r="B29" s="3">
        <v>2.0</v>
      </c>
      <c r="C29" s="3">
        <v>220.0</v>
      </c>
      <c r="D29" s="3">
        <v>200.0</v>
      </c>
      <c r="E29" s="3">
        <v>501.99580000000003</v>
      </c>
      <c r="F29" s="1">
        <v>28.0</v>
      </c>
    </row>
    <row r="30" hidden="1">
      <c r="A30" s="3" t="s">
        <v>114</v>
      </c>
      <c r="B30" s="3">
        <v>2.0</v>
      </c>
      <c r="C30" s="3">
        <v>218.0</v>
      </c>
      <c r="D30" s="3">
        <v>200.0</v>
      </c>
      <c r="E30" s="3">
        <v>499.4338</v>
      </c>
      <c r="F30" s="1">
        <v>29.0</v>
      </c>
    </row>
    <row r="31" hidden="1">
      <c r="A31" s="3" t="s">
        <v>122</v>
      </c>
      <c r="B31" s="3">
        <v>2.5</v>
      </c>
      <c r="C31" s="3">
        <v>168.0</v>
      </c>
      <c r="D31" s="3">
        <v>250.0</v>
      </c>
      <c r="E31" s="3">
        <v>493.5328</v>
      </c>
      <c r="F31" s="1">
        <v>30.0</v>
      </c>
    </row>
    <row r="32" hidden="1">
      <c r="A32" s="3" t="s">
        <v>127</v>
      </c>
      <c r="B32" s="3">
        <v>1.0</v>
      </c>
      <c r="C32" s="3">
        <v>298.0</v>
      </c>
      <c r="D32" s="3">
        <v>100.0</v>
      </c>
      <c r="E32" s="3">
        <v>485.672</v>
      </c>
      <c r="F32" s="1">
        <v>31.0</v>
      </c>
    </row>
    <row r="33" hidden="1">
      <c r="A33" s="3" t="s">
        <v>136</v>
      </c>
      <c r="B33" s="3">
        <v>2.0</v>
      </c>
      <c r="C33" s="3">
        <v>194.0</v>
      </c>
      <c r="D33" s="3">
        <v>200.0</v>
      </c>
      <c r="E33" s="3">
        <v>484.3696</v>
      </c>
      <c r="F33" s="1">
        <v>32.0</v>
      </c>
    </row>
    <row r="34" hidden="1">
      <c r="A34" s="3" t="s">
        <v>145</v>
      </c>
      <c r="B34" s="3">
        <v>2.5</v>
      </c>
      <c r="C34" s="3">
        <v>146.0</v>
      </c>
      <c r="D34" s="3">
        <v>250.0</v>
      </c>
      <c r="E34" s="3">
        <v>471.5328</v>
      </c>
      <c r="F34" s="1">
        <v>33.0</v>
      </c>
    </row>
    <row r="35" hidden="1">
      <c r="A35" s="3" t="s">
        <v>148</v>
      </c>
      <c r="B35" s="3">
        <v>2.0</v>
      </c>
      <c r="C35" s="3">
        <v>112.0</v>
      </c>
      <c r="D35" s="3">
        <v>200.0</v>
      </c>
      <c r="E35" s="3">
        <v>465.51875</v>
      </c>
      <c r="F35" s="1">
        <v>34.0</v>
      </c>
    </row>
    <row r="36" hidden="1">
      <c r="A36" s="3" t="s">
        <v>152</v>
      </c>
      <c r="B36" s="3">
        <v>1.5</v>
      </c>
      <c r="C36" s="3">
        <v>214.0</v>
      </c>
      <c r="D36" s="3">
        <v>150.0</v>
      </c>
      <c r="E36" s="3">
        <v>451.7282</v>
      </c>
      <c r="F36" s="1">
        <v>35.0</v>
      </c>
    </row>
    <row r="37" hidden="1">
      <c r="A37" s="3" t="s">
        <v>157</v>
      </c>
      <c r="B37" s="3">
        <v>1.0</v>
      </c>
      <c r="C37" s="3">
        <v>242.0</v>
      </c>
      <c r="D37" s="3">
        <v>100.0</v>
      </c>
      <c r="E37" s="3">
        <v>436.1912</v>
      </c>
      <c r="F37" s="1">
        <v>36.0</v>
      </c>
    </row>
    <row r="38" hidden="1">
      <c r="A38" s="3" t="s">
        <v>159</v>
      </c>
      <c r="B38" s="3">
        <v>1.0</v>
      </c>
      <c r="C38" s="3">
        <v>132.0</v>
      </c>
      <c r="D38" s="3">
        <v>100.0</v>
      </c>
      <c r="E38" s="3">
        <v>365.51875</v>
      </c>
      <c r="F38" s="1">
        <v>37.0</v>
      </c>
    </row>
    <row r="39" hidden="1">
      <c r="A39" s="3" t="s">
        <v>161</v>
      </c>
      <c r="B39" s="3">
        <v>1.0</v>
      </c>
      <c r="C39" s="3">
        <v>162.0</v>
      </c>
      <c r="D39" s="3">
        <v>100.0</v>
      </c>
      <c r="E39" s="3">
        <v>356.1912</v>
      </c>
      <c r="F39" s="1">
        <v>38.0</v>
      </c>
    </row>
    <row r="40" hidden="1">
      <c r="A40" s="3" t="s">
        <v>162</v>
      </c>
      <c r="B40" s="3">
        <v>1.5</v>
      </c>
      <c r="C40" s="3">
        <v>100.0</v>
      </c>
      <c r="D40" s="3">
        <v>150.0</v>
      </c>
      <c r="E40" s="3">
        <v>325.5328</v>
      </c>
      <c r="F40" s="1">
        <v>39.0</v>
      </c>
    </row>
    <row r="41" hidden="1">
      <c r="A41" s="3" t="s">
        <v>164</v>
      </c>
      <c r="B41" s="3">
        <v>1.0</v>
      </c>
      <c r="C41" s="3">
        <v>134.0</v>
      </c>
      <c r="D41" s="3">
        <v>100.0</v>
      </c>
      <c r="E41" s="3">
        <v>315.4338</v>
      </c>
      <c r="F41" s="1">
        <v>40.0</v>
      </c>
    </row>
    <row r="42" hidden="1">
      <c r="A42" s="3" t="s">
        <v>166</v>
      </c>
      <c r="B42" s="3">
        <v>1.0</v>
      </c>
      <c r="C42" s="3">
        <v>74.0</v>
      </c>
      <c r="D42" s="3">
        <v>100.0</v>
      </c>
      <c r="E42" s="3">
        <v>293.01875</v>
      </c>
      <c r="F42" s="1">
        <v>41.0</v>
      </c>
    </row>
    <row r="43" hidden="1">
      <c r="A43" s="3" t="s">
        <v>167</v>
      </c>
      <c r="B43" s="3">
        <v>1.0</v>
      </c>
      <c r="C43" s="3">
        <v>94.0</v>
      </c>
      <c r="D43" s="3">
        <v>100.0</v>
      </c>
      <c r="E43" s="3">
        <v>275.99580000000003</v>
      </c>
      <c r="F43" s="1">
        <v>42.0</v>
      </c>
    </row>
    <row r="44" hidden="1">
      <c r="A44" s="3" t="s">
        <v>169</v>
      </c>
      <c r="B44" s="3">
        <v>1.0</v>
      </c>
      <c r="C44" s="3">
        <v>88.0</v>
      </c>
      <c r="D44" s="3">
        <v>100.0</v>
      </c>
      <c r="E44" s="3">
        <v>269.4338</v>
      </c>
      <c r="F44" s="1">
        <v>43.0</v>
      </c>
    </row>
    <row r="45" hidden="1">
      <c r="A45" s="3" t="s">
        <v>171</v>
      </c>
      <c r="B45" s="3">
        <v>1.0</v>
      </c>
      <c r="C45" s="3">
        <v>78.0</v>
      </c>
      <c r="D45" s="3">
        <v>100.0</v>
      </c>
      <c r="E45" s="3">
        <v>265.7282</v>
      </c>
      <c r="F45" s="1">
        <v>44.0</v>
      </c>
    </row>
    <row r="46" hidden="1">
      <c r="A46" s="3" t="s">
        <v>172</v>
      </c>
      <c r="B46" s="3">
        <v>0.0</v>
      </c>
      <c r="C46" s="3">
        <v>120.0</v>
      </c>
      <c r="D46" s="3">
        <v>0.0</v>
      </c>
      <c r="E46" s="3">
        <v>210.3696</v>
      </c>
      <c r="F46" s="1">
        <v>45.0</v>
      </c>
    </row>
    <row r="47" hidden="1">
      <c r="A47" s="3" t="s">
        <v>173</v>
      </c>
      <c r="B47" s="3">
        <v>0.0</v>
      </c>
      <c r="C47" s="3">
        <v>82.0</v>
      </c>
      <c r="D47" s="3">
        <v>0.0</v>
      </c>
      <c r="E47" s="3">
        <v>163.9958</v>
      </c>
      <c r="F47" s="1">
        <v>46.0</v>
      </c>
    </row>
    <row r="48" hidden="1">
      <c r="A48" s="3" t="s">
        <v>174</v>
      </c>
      <c r="B48" s="3">
        <v>0.0</v>
      </c>
      <c r="C48" s="3">
        <v>64.0</v>
      </c>
      <c r="D48" s="3">
        <v>0.0</v>
      </c>
      <c r="E48" s="3">
        <v>139.5328</v>
      </c>
      <c r="F48" s="1">
        <v>47.0</v>
      </c>
    </row>
    <row r="49">
      <c r="A49" s="3" t="str">
        <f>'RR Brackets &amp; Scores'!B65</f>
        <v/>
      </c>
    </row>
    <row r="50">
      <c r="A50" s="3" t="str">
        <f>'RR Brackets &amp; Scores'!B66</f>
        <v/>
      </c>
    </row>
    <row r="51">
      <c r="A51" s="3" t="str">
        <f>'RR Brackets &amp; Scores'!B67</f>
        <v/>
      </c>
    </row>
  </sheetData>
  <autoFilter ref="$A$1:$F$48">
    <sortState ref="A1:F48">
      <sortCondition descending="1" ref="E1:E48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4.63"/>
    <col customWidth="1" min="3" max="3" width="22.25"/>
    <col customWidth="1" min="4" max="4" width="4.63"/>
    <col customWidth="1" min="5" max="5" width="22.25"/>
    <col customWidth="1" min="6" max="6" width="4.63"/>
    <col customWidth="1" min="7" max="7" width="22.25"/>
    <col customWidth="1" min="8" max="8" width="4.63"/>
    <col customWidth="1" min="9" max="9" width="22.25"/>
    <col customWidth="1" min="10" max="10" width="4.63"/>
    <col customWidth="1" min="11" max="11" width="22.25"/>
    <col customWidth="1" min="12" max="12" width="4.63"/>
    <col customWidth="1" min="13" max="13" width="22.25"/>
    <col customWidth="1" min="14" max="14" width="4.63"/>
    <col customWidth="1" min="15" max="15" width="22.25"/>
    <col customWidth="1" min="16" max="16" width="4.63"/>
    <col customWidth="1" min="18" max="18" width="27.5"/>
    <col customWidth="1" min="19" max="19" width="12.63"/>
  </cols>
  <sheetData>
    <row r="1">
      <c r="A1" s="75" t="s">
        <v>180</v>
      </c>
      <c r="B1" s="76"/>
      <c r="C1" s="75" t="s">
        <v>182</v>
      </c>
      <c r="D1" s="76"/>
      <c r="E1" s="75" t="s">
        <v>183</v>
      </c>
      <c r="F1" s="76"/>
      <c r="G1" s="75" t="s">
        <v>184</v>
      </c>
      <c r="H1" s="76"/>
      <c r="I1" s="75" t="s">
        <v>185</v>
      </c>
      <c r="J1" s="76"/>
      <c r="K1" s="75" t="s">
        <v>186</v>
      </c>
      <c r="L1" s="76"/>
      <c r="M1" s="75" t="s">
        <v>187</v>
      </c>
      <c r="N1" s="76"/>
      <c r="O1" s="75" t="s">
        <v>188</v>
      </c>
      <c r="P1" s="83"/>
      <c r="Q1" s="76"/>
      <c r="R1" s="84"/>
      <c r="S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</row>
    <row r="3">
      <c r="A3" s="85" t="s">
        <v>7</v>
      </c>
      <c r="B3" s="87">
        <v>86.0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90"/>
    </row>
    <row r="4">
      <c r="A4" s="91" t="s">
        <v>193</v>
      </c>
      <c r="B4" s="84"/>
      <c r="C4" s="85" t="s">
        <v>7</v>
      </c>
      <c r="D4" s="87">
        <v>90.0</v>
      </c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93"/>
      <c r="S4" s="93"/>
    </row>
    <row r="5">
      <c r="A5" s="96" t="s">
        <v>42</v>
      </c>
      <c r="B5" s="87">
        <v>30.0</v>
      </c>
      <c r="C5" s="97"/>
      <c r="D5" s="84"/>
      <c r="E5" s="98"/>
      <c r="F5" s="99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93"/>
      <c r="S5" s="93"/>
    </row>
    <row r="6">
      <c r="A6" s="84"/>
      <c r="B6" s="84"/>
      <c r="C6" s="91" t="s">
        <v>193</v>
      </c>
      <c r="D6" s="84"/>
      <c r="E6" s="100" t="s">
        <v>181</v>
      </c>
      <c r="F6" s="101"/>
      <c r="G6" s="85" t="s">
        <v>7</v>
      </c>
      <c r="H6" s="87">
        <v>90.0</v>
      </c>
      <c r="I6" s="84"/>
      <c r="J6" s="84"/>
      <c r="K6" s="84"/>
      <c r="L6" s="84"/>
      <c r="M6" s="84"/>
      <c r="N6" s="84"/>
      <c r="O6" s="84"/>
      <c r="P6" s="84"/>
      <c r="Q6" s="84"/>
      <c r="R6" s="93"/>
      <c r="S6" s="93"/>
    </row>
    <row r="7">
      <c r="A7" s="102" t="s">
        <v>18</v>
      </c>
      <c r="B7" s="87">
        <v>40.0</v>
      </c>
      <c r="C7" s="84"/>
      <c r="D7" s="84"/>
      <c r="E7" s="98"/>
      <c r="F7" s="84"/>
      <c r="G7" s="84"/>
      <c r="H7" s="84"/>
      <c r="I7" s="98"/>
      <c r="J7" s="99"/>
      <c r="K7" s="84"/>
      <c r="L7" s="84"/>
      <c r="M7" s="84"/>
      <c r="N7" s="84"/>
      <c r="O7" s="84"/>
      <c r="P7" s="84"/>
      <c r="Q7" s="84"/>
      <c r="R7" s="93"/>
      <c r="S7" s="93"/>
    </row>
    <row r="8">
      <c r="A8" s="91" t="s">
        <v>214</v>
      </c>
      <c r="B8" s="84"/>
      <c r="C8" s="104" t="s">
        <v>17</v>
      </c>
      <c r="D8" s="87">
        <v>16.0</v>
      </c>
      <c r="E8" s="98"/>
      <c r="F8" s="84"/>
      <c r="G8" s="84"/>
      <c r="H8" s="84"/>
      <c r="I8" s="98"/>
      <c r="J8" s="84"/>
      <c r="K8" s="84"/>
      <c r="L8" s="84"/>
      <c r="M8" s="84"/>
      <c r="N8" s="84"/>
      <c r="O8" s="84"/>
      <c r="P8" s="84"/>
      <c r="Q8" s="84"/>
      <c r="R8" s="84"/>
      <c r="S8" s="84"/>
    </row>
    <row r="9">
      <c r="A9" s="105" t="s">
        <v>17</v>
      </c>
      <c r="B9" s="87">
        <v>70.0</v>
      </c>
      <c r="C9" s="106"/>
      <c r="D9" s="84"/>
      <c r="E9" s="84"/>
      <c r="F9" s="99"/>
      <c r="G9" s="84"/>
      <c r="H9" s="84"/>
      <c r="I9" s="98"/>
      <c r="J9" s="84"/>
      <c r="K9" s="84"/>
      <c r="L9" s="84"/>
      <c r="M9" s="84"/>
      <c r="N9" s="84"/>
      <c r="O9" s="84"/>
      <c r="P9" s="84"/>
      <c r="Q9" s="84"/>
      <c r="R9" s="84"/>
      <c r="S9" s="84"/>
    </row>
    <row r="10">
      <c r="A10" s="84"/>
      <c r="B10" s="84"/>
      <c r="C10" s="107"/>
      <c r="D10" s="84"/>
      <c r="E10" s="84"/>
      <c r="F10" s="84"/>
      <c r="G10" s="91" t="s">
        <v>193</v>
      </c>
      <c r="H10" s="84"/>
      <c r="I10" s="100" t="s">
        <v>181</v>
      </c>
      <c r="J10" s="101"/>
      <c r="K10" s="85" t="s">
        <v>7</v>
      </c>
      <c r="L10" s="87">
        <v>26.0</v>
      </c>
      <c r="M10" s="84"/>
      <c r="N10" s="84"/>
      <c r="O10" s="84"/>
      <c r="P10" s="84"/>
      <c r="Q10" s="84"/>
      <c r="R10" s="84"/>
      <c r="S10" s="84"/>
    </row>
    <row r="11">
      <c r="A11" s="109" t="s">
        <v>26</v>
      </c>
      <c r="B11" s="87">
        <v>60.0</v>
      </c>
      <c r="C11" s="110"/>
      <c r="D11" s="84"/>
      <c r="E11" s="84"/>
      <c r="F11" s="84"/>
      <c r="G11" s="84"/>
      <c r="H11" s="84"/>
      <c r="I11" s="98"/>
      <c r="J11" s="84"/>
      <c r="K11" s="84"/>
      <c r="L11" s="111"/>
      <c r="M11" s="84"/>
      <c r="N11" s="99"/>
      <c r="O11" s="84"/>
      <c r="P11" s="84"/>
      <c r="Q11" s="84"/>
      <c r="R11" s="84"/>
      <c r="S11" s="84"/>
    </row>
    <row r="12">
      <c r="A12" s="107" t="s">
        <v>231</v>
      </c>
      <c r="B12" s="84"/>
      <c r="C12" s="112" t="s">
        <v>13</v>
      </c>
      <c r="D12" s="87">
        <v>20.0</v>
      </c>
      <c r="E12" s="84"/>
      <c r="F12" s="84"/>
      <c r="G12" s="84"/>
      <c r="H12" s="84"/>
      <c r="I12" s="98"/>
      <c r="J12" s="84"/>
      <c r="K12" s="84"/>
      <c r="L12" s="111"/>
      <c r="M12" s="84"/>
      <c r="N12" s="84"/>
      <c r="O12" s="84"/>
      <c r="P12" s="84"/>
      <c r="Q12" s="84"/>
      <c r="R12" s="84"/>
      <c r="S12" s="84"/>
    </row>
    <row r="13">
      <c r="A13" s="113" t="s">
        <v>13</v>
      </c>
      <c r="B13" s="87">
        <v>106.0</v>
      </c>
      <c r="C13" s="97"/>
      <c r="D13" s="84"/>
      <c r="E13" s="98"/>
      <c r="F13" s="99"/>
      <c r="G13" s="84"/>
      <c r="H13" s="84"/>
      <c r="I13" s="98"/>
      <c r="J13" s="84"/>
      <c r="K13" s="84"/>
      <c r="L13" s="111"/>
      <c r="M13" s="84"/>
      <c r="N13" s="84"/>
      <c r="O13" s="84"/>
      <c r="P13" s="84"/>
      <c r="Q13" s="84"/>
      <c r="R13" s="84"/>
      <c r="S13" s="84"/>
    </row>
    <row r="14">
      <c r="A14" s="84"/>
      <c r="B14" s="84"/>
      <c r="C14" s="91" t="s">
        <v>214</v>
      </c>
      <c r="D14" s="84"/>
      <c r="E14" s="100" t="s">
        <v>181</v>
      </c>
      <c r="F14" s="101"/>
      <c r="G14" s="96" t="s">
        <v>11</v>
      </c>
      <c r="H14" s="87">
        <v>42.0</v>
      </c>
      <c r="I14" s="98"/>
      <c r="J14" s="84"/>
      <c r="K14" s="84"/>
      <c r="L14" s="111"/>
      <c r="M14" s="84"/>
      <c r="N14" s="84"/>
      <c r="O14" s="84"/>
      <c r="P14" s="84"/>
      <c r="Q14" s="84"/>
      <c r="R14" s="84"/>
      <c r="S14" s="84"/>
    </row>
    <row r="15">
      <c r="A15" s="114" t="s">
        <v>11</v>
      </c>
      <c r="B15" s="87">
        <v>78.0</v>
      </c>
      <c r="C15" s="84"/>
      <c r="D15" s="84"/>
      <c r="E15" s="98"/>
      <c r="F15" s="84"/>
      <c r="G15" s="84"/>
      <c r="H15" s="84"/>
      <c r="I15" s="84"/>
      <c r="J15" s="99"/>
      <c r="K15" s="84"/>
      <c r="L15" s="111"/>
      <c r="M15" s="84"/>
      <c r="N15" s="84"/>
      <c r="O15" s="84"/>
      <c r="P15" s="84"/>
      <c r="Q15" s="84"/>
      <c r="R15" s="84"/>
      <c r="S15" s="84"/>
    </row>
    <row r="16">
      <c r="A16" s="91" t="s">
        <v>241</v>
      </c>
      <c r="B16" s="84"/>
      <c r="C16" s="115" t="s">
        <v>11</v>
      </c>
      <c r="D16" s="87">
        <v>48.0</v>
      </c>
      <c r="E16" s="98"/>
      <c r="F16" s="84"/>
      <c r="G16" s="84"/>
      <c r="H16" s="84"/>
      <c r="I16" s="84"/>
      <c r="J16" s="84"/>
      <c r="K16" s="84"/>
      <c r="L16" s="111"/>
      <c r="M16" s="84"/>
      <c r="N16" s="84"/>
      <c r="O16" s="84"/>
      <c r="P16" s="84"/>
      <c r="Q16" s="84"/>
      <c r="R16" s="84"/>
      <c r="S16" s="84"/>
    </row>
    <row r="17">
      <c r="A17" s="116" t="s">
        <v>30</v>
      </c>
      <c r="B17" s="87">
        <v>28.0</v>
      </c>
      <c r="C17" s="97"/>
      <c r="D17" s="84"/>
      <c r="E17" s="84"/>
      <c r="F17" s="99"/>
      <c r="G17" s="93"/>
      <c r="H17" s="84"/>
      <c r="I17" s="84"/>
      <c r="J17" s="84"/>
      <c r="K17" s="84"/>
      <c r="L17" s="111"/>
      <c r="M17" s="84"/>
      <c r="N17" s="84"/>
      <c r="O17" s="84"/>
      <c r="P17" s="84"/>
      <c r="Q17" s="84"/>
      <c r="R17" s="84"/>
      <c r="S17" s="84"/>
    </row>
    <row r="18">
      <c r="A18" s="84"/>
      <c r="B18" s="84"/>
      <c r="C18" s="99"/>
      <c r="D18" s="84"/>
      <c r="E18" s="84"/>
      <c r="F18" s="84"/>
      <c r="G18" s="84"/>
      <c r="H18" s="84"/>
      <c r="I18" s="84"/>
      <c r="J18" s="84"/>
      <c r="K18" s="91" t="s">
        <v>193</v>
      </c>
      <c r="L18" s="111"/>
      <c r="M18" s="100" t="s">
        <v>181</v>
      </c>
      <c r="N18" s="101"/>
      <c r="O18" s="85" t="s">
        <v>10</v>
      </c>
      <c r="P18" s="117"/>
      <c r="Q18" s="101"/>
      <c r="R18" s="84"/>
      <c r="S18" s="84"/>
    </row>
    <row r="19">
      <c r="A19" s="118" t="s">
        <v>10</v>
      </c>
      <c r="B19" s="87">
        <v>72.0</v>
      </c>
      <c r="C19" s="84"/>
      <c r="D19" s="84"/>
      <c r="E19" s="84"/>
      <c r="F19" s="84"/>
      <c r="G19" s="84"/>
      <c r="H19" s="84"/>
      <c r="I19" s="84"/>
      <c r="J19" s="84"/>
      <c r="K19" s="84"/>
      <c r="L19" s="111"/>
      <c r="M19" s="84"/>
      <c r="N19" s="84"/>
      <c r="O19" s="84"/>
      <c r="P19" s="84"/>
      <c r="Q19" s="111"/>
      <c r="R19" s="99"/>
      <c r="S19" s="84"/>
    </row>
    <row r="20">
      <c r="A20" s="91" t="s">
        <v>252</v>
      </c>
      <c r="B20" s="84"/>
      <c r="C20" s="119" t="s">
        <v>10</v>
      </c>
      <c r="D20" s="87">
        <v>94.0</v>
      </c>
      <c r="E20" s="84"/>
      <c r="F20" s="84"/>
      <c r="G20" s="84"/>
      <c r="H20" s="84"/>
      <c r="I20" s="84"/>
      <c r="J20" s="84"/>
      <c r="K20" s="84"/>
      <c r="L20" s="111"/>
      <c r="M20" s="84"/>
      <c r="N20" s="84"/>
      <c r="O20" s="84"/>
      <c r="P20" s="84"/>
      <c r="Q20" s="111"/>
      <c r="R20" s="84"/>
      <c r="S20" s="84"/>
    </row>
    <row r="21">
      <c r="A21" s="85" t="s">
        <v>256</v>
      </c>
      <c r="B21" s="87">
        <v>32.0</v>
      </c>
      <c r="C21" s="97"/>
      <c r="D21" s="84"/>
      <c r="E21" s="98"/>
      <c r="F21" s="99"/>
      <c r="G21" s="84"/>
      <c r="H21" s="84"/>
      <c r="I21" s="84"/>
      <c r="J21" s="84"/>
      <c r="K21" s="84"/>
      <c r="L21" s="111"/>
      <c r="M21" s="84"/>
      <c r="N21" s="84"/>
      <c r="O21" s="84"/>
      <c r="P21" s="84"/>
      <c r="Q21" s="111"/>
      <c r="R21" s="84"/>
      <c r="S21" s="84"/>
    </row>
    <row r="22">
      <c r="A22" s="84"/>
      <c r="B22" s="84"/>
      <c r="C22" s="91" t="s">
        <v>259</v>
      </c>
      <c r="D22" s="84"/>
      <c r="E22" s="100" t="s">
        <v>181</v>
      </c>
      <c r="F22" s="101"/>
      <c r="G22" s="102" t="s">
        <v>10</v>
      </c>
      <c r="H22" s="87">
        <v>84.0</v>
      </c>
      <c r="I22" s="84"/>
      <c r="J22" s="84"/>
      <c r="K22" s="84"/>
      <c r="L22" s="111"/>
      <c r="M22" s="84"/>
      <c r="N22" s="84"/>
      <c r="O22" s="84"/>
      <c r="P22" s="84"/>
      <c r="Q22" s="111"/>
      <c r="R22" s="84"/>
      <c r="S22" s="84"/>
    </row>
    <row r="23">
      <c r="A23" s="120" t="s">
        <v>263</v>
      </c>
      <c r="B23" s="87">
        <v>84.0</v>
      </c>
      <c r="C23" s="84"/>
      <c r="D23" s="84"/>
      <c r="E23" s="98"/>
      <c r="F23" s="84"/>
      <c r="G23" s="84"/>
      <c r="H23" s="84"/>
      <c r="I23" s="98"/>
      <c r="J23" s="99"/>
      <c r="K23" s="84"/>
      <c r="L23" s="111"/>
      <c r="M23" s="84"/>
      <c r="N23" s="84"/>
      <c r="O23" s="84"/>
      <c r="P23" s="84"/>
      <c r="Q23" s="111"/>
      <c r="R23" s="84"/>
      <c r="S23" s="84"/>
    </row>
    <row r="24">
      <c r="A24" s="91" t="s">
        <v>259</v>
      </c>
      <c r="B24" s="84"/>
      <c r="C24" s="121" t="s">
        <v>263</v>
      </c>
      <c r="D24" s="87">
        <v>52.0</v>
      </c>
      <c r="E24" s="98"/>
      <c r="F24" s="84"/>
      <c r="G24" s="84"/>
      <c r="H24" s="84"/>
      <c r="I24" s="98"/>
      <c r="J24" s="84"/>
      <c r="K24" s="84"/>
      <c r="L24" s="111"/>
      <c r="M24" s="84"/>
      <c r="N24" s="84"/>
      <c r="O24" s="84"/>
      <c r="P24" s="84"/>
      <c r="Q24" s="111"/>
      <c r="R24" s="84"/>
      <c r="S24" s="84"/>
    </row>
    <row r="25">
      <c r="A25" s="122" t="s">
        <v>21</v>
      </c>
      <c r="B25" s="87">
        <v>58.0</v>
      </c>
      <c r="C25" s="97"/>
      <c r="D25" s="84"/>
      <c r="E25" s="84"/>
      <c r="F25" s="99"/>
      <c r="G25" s="84"/>
      <c r="H25" s="84"/>
      <c r="I25" s="98"/>
      <c r="J25" s="84"/>
      <c r="K25" s="84"/>
      <c r="L25" s="111"/>
      <c r="M25" s="84"/>
      <c r="N25" s="84"/>
      <c r="O25" s="84"/>
      <c r="P25" s="84"/>
      <c r="Q25" s="111"/>
      <c r="R25" s="84"/>
      <c r="S25" s="84"/>
    </row>
    <row r="26">
      <c r="A26" s="84"/>
      <c r="B26" s="84"/>
      <c r="C26" s="99"/>
      <c r="D26" s="84"/>
      <c r="E26" s="84"/>
      <c r="F26" s="84"/>
      <c r="G26" s="91" t="s">
        <v>214</v>
      </c>
      <c r="H26" s="84"/>
      <c r="I26" s="100" t="s">
        <v>181</v>
      </c>
      <c r="J26" s="101"/>
      <c r="K26" s="96" t="s">
        <v>10</v>
      </c>
      <c r="L26" s="123">
        <v>28.0</v>
      </c>
      <c r="M26" s="84"/>
      <c r="N26" s="84"/>
      <c r="O26" s="84"/>
      <c r="P26" s="84"/>
      <c r="Q26" s="111"/>
      <c r="R26" s="84"/>
      <c r="S26" s="84"/>
    </row>
    <row r="27">
      <c r="A27" s="105" t="s">
        <v>15</v>
      </c>
      <c r="B27" s="124">
        <v>48.0</v>
      </c>
      <c r="C27" s="84"/>
      <c r="D27" s="84"/>
      <c r="E27" s="84"/>
      <c r="F27" s="84"/>
      <c r="G27" s="84"/>
      <c r="H27" s="84"/>
      <c r="I27" s="98"/>
      <c r="J27" s="84"/>
      <c r="K27" s="84"/>
      <c r="L27" s="84"/>
      <c r="M27" s="84"/>
      <c r="N27" s="99"/>
      <c r="O27" s="84"/>
      <c r="P27" s="84"/>
      <c r="Q27" s="111"/>
      <c r="R27" s="84"/>
      <c r="S27" s="84"/>
    </row>
    <row r="28">
      <c r="A28" s="91" t="s">
        <v>283</v>
      </c>
      <c r="B28" s="84"/>
      <c r="C28" s="125" t="s">
        <v>15</v>
      </c>
      <c r="D28" s="87">
        <v>-8.0</v>
      </c>
      <c r="E28" s="84"/>
      <c r="F28" s="84"/>
      <c r="G28" s="84"/>
      <c r="H28" s="84"/>
      <c r="I28" s="98"/>
      <c r="J28" s="84"/>
      <c r="K28" s="84"/>
      <c r="L28" s="84"/>
      <c r="M28" s="84"/>
      <c r="N28" s="84"/>
      <c r="O28" s="84"/>
      <c r="P28" s="84"/>
      <c r="Q28" s="111"/>
      <c r="R28" s="84"/>
      <c r="S28" s="84"/>
    </row>
    <row r="29">
      <c r="A29" s="120" t="s">
        <v>19</v>
      </c>
      <c r="B29" s="124">
        <v>32.0</v>
      </c>
      <c r="C29" s="97"/>
      <c r="D29" s="84"/>
      <c r="E29" s="98"/>
      <c r="F29" s="99"/>
      <c r="G29" s="84"/>
      <c r="H29" s="84"/>
      <c r="I29" s="98"/>
      <c r="J29" s="84"/>
      <c r="K29" s="84"/>
      <c r="L29" s="84"/>
      <c r="M29" s="84"/>
      <c r="N29" s="84"/>
      <c r="O29" s="91" t="s">
        <v>289</v>
      </c>
      <c r="P29" s="84"/>
      <c r="Q29" s="111"/>
      <c r="R29" s="126" t="s">
        <v>10</v>
      </c>
      <c r="S29" s="84"/>
    </row>
    <row r="30">
      <c r="A30" s="84"/>
      <c r="B30" s="84"/>
      <c r="C30" s="91" t="s">
        <v>241</v>
      </c>
      <c r="D30" s="84"/>
      <c r="E30" s="100" t="s">
        <v>181</v>
      </c>
      <c r="F30" s="101"/>
      <c r="G30" s="105" t="s">
        <v>36</v>
      </c>
      <c r="H30" s="87">
        <v>38.0</v>
      </c>
      <c r="I30" s="98"/>
      <c r="J30" s="84"/>
      <c r="K30" s="84"/>
      <c r="L30" s="84"/>
      <c r="M30" s="85" t="s">
        <v>7</v>
      </c>
      <c r="N30" s="117"/>
      <c r="O30" s="84"/>
      <c r="P30" s="84"/>
      <c r="Q30" s="111"/>
      <c r="R30" s="91" t="s">
        <v>294</v>
      </c>
      <c r="S30" s="84"/>
    </row>
    <row r="31">
      <c r="A31" s="122" t="s">
        <v>36</v>
      </c>
      <c r="B31" s="87">
        <v>76.0</v>
      </c>
      <c r="C31" s="84"/>
      <c r="D31" s="84"/>
      <c r="E31" s="98"/>
      <c r="F31" s="84"/>
      <c r="G31" s="84"/>
      <c r="H31" s="84"/>
      <c r="I31" s="84"/>
      <c r="J31" s="99"/>
      <c r="K31" s="84"/>
      <c r="L31" s="84"/>
      <c r="M31" s="84"/>
      <c r="N31" s="111"/>
      <c r="O31" s="84"/>
      <c r="P31" s="84"/>
      <c r="Q31" s="111"/>
      <c r="R31" s="84"/>
      <c r="S31" s="84"/>
    </row>
    <row r="32">
      <c r="A32" s="91" t="s">
        <v>297</v>
      </c>
      <c r="B32" s="84"/>
      <c r="C32" s="127" t="s">
        <v>36</v>
      </c>
      <c r="D32" s="87">
        <v>58.0</v>
      </c>
      <c r="E32" s="98"/>
      <c r="F32" s="84"/>
      <c r="G32" s="84"/>
      <c r="H32" s="84"/>
      <c r="I32" s="84"/>
      <c r="J32" s="84"/>
      <c r="K32" s="84"/>
      <c r="L32" s="84"/>
      <c r="M32" s="84"/>
      <c r="N32" s="111"/>
      <c r="O32" s="84"/>
      <c r="P32" s="84"/>
      <c r="Q32" s="111"/>
      <c r="R32" s="84"/>
      <c r="S32" s="84"/>
    </row>
    <row r="33">
      <c r="A33" s="128" t="s">
        <v>8</v>
      </c>
      <c r="B33" s="87">
        <v>28.0</v>
      </c>
      <c r="C33" s="97"/>
      <c r="D33" s="84"/>
      <c r="E33" s="84"/>
      <c r="F33" s="99"/>
      <c r="G33" s="84"/>
      <c r="H33" s="84"/>
      <c r="I33" s="84"/>
      <c r="J33" s="84"/>
      <c r="K33" s="84"/>
      <c r="L33" s="84"/>
      <c r="M33" s="84"/>
      <c r="N33" s="111"/>
      <c r="O33" s="84"/>
      <c r="P33" s="84"/>
      <c r="Q33" s="111"/>
      <c r="R33" s="84"/>
      <c r="S33" s="84"/>
    </row>
    <row r="34">
      <c r="A34" s="84"/>
      <c r="B34" s="84"/>
      <c r="C34" s="99"/>
      <c r="D34" s="84"/>
      <c r="E34" s="84"/>
      <c r="F34" s="84"/>
      <c r="G34" s="84"/>
      <c r="H34" s="84"/>
      <c r="I34" s="85" t="s">
        <v>11</v>
      </c>
      <c r="J34" s="87">
        <v>28.0</v>
      </c>
      <c r="K34" s="84"/>
      <c r="L34" s="84"/>
      <c r="M34" s="84"/>
      <c r="N34" s="111"/>
      <c r="O34" s="84"/>
      <c r="P34" s="84"/>
      <c r="Q34" s="111"/>
      <c r="R34" s="84"/>
      <c r="S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111"/>
      <c r="K35" s="84"/>
      <c r="L35" s="99"/>
      <c r="M35" s="84"/>
      <c r="N35" s="111"/>
      <c r="O35" s="84"/>
      <c r="P35" s="99"/>
      <c r="Q35" s="111"/>
      <c r="R35" s="84"/>
      <c r="S35" s="84"/>
    </row>
    <row r="36">
      <c r="A36" s="84"/>
      <c r="B36" s="84"/>
      <c r="C36" s="84"/>
      <c r="D36" s="84"/>
      <c r="E36" s="85" t="s">
        <v>17</v>
      </c>
      <c r="F36" s="87">
        <v>34.0</v>
      </c>
      <c r="G36" s="84"/>
      <c r="H36" s="99"/>
      <c r="I36" s="84"/>
      <c r="J36" s="111"/>
      <c r="K36" s="84"/>
      <c r="L36" s="84"/>
      <c r="M36" s="84"/>
      <c r="N36" s="111"/>
      <c r="O36" s="84"/>
      <c r="P36" s="84"/>
      <c r="Q36" s="111"/>
      <c r="R36" s="84"/>
      <c r="S36" s="84"/>
    </row>
    <row r="37">
      <c r="A37" s="84"/>
      <c r="B37" s="84"/>
      <c r="C37" s="84"/>
      <c r="D37" s="84"/>
      <c r="E37" s="84"/>
      <c r="F37" s="129"/>
      <c r="G37" s="84"/>
      <c r="H37" s="84"/>
      <c r="I37" s="84"/>
      <c r="J37" s="129"/>
      <c r="K37" s="84"/>
      <c r="L37" s="84"/>
      <c r="M37" s="84"/>
      <c r="N37" s="129"/>
      <c r="O37" s="84"/>
      <c r="P37" s="84"/>
      <c r="Q37" s="111"/>
      <c r="R37" s="84"/>
      <c r="S37" s="84"/>
    </row>
    <row r="38">
      <c r="A38" s="84"/>
      <c r="B38" s="84"/>
      <c r="C38" s="84"/>
      <c r="D38" s="84"/>
      <c r="E38" s="91" t="s">
        <v>193</v>
      </c>
      <c r="F38" s="111"/>
      <c r="G38" s="120" t="s">
        <v>17</v>
      </c>
      <c r="H38" s="130">
        <v>70.0</v>
      </c>
      <c r="I38" s="91" t="s">
        <v>193</v>
      </c>
      <c r="J38" s="111"/>
      <c r="K38" s="102" t="s">
        <v>17</v>
      </c>
      <c r="L38" s="87">
        <v>36.0</v>
      </c>
      <c r="M38" s="91" t="s">
        <v>193</v>
      </c>
      <c r="N38" s="111"/>
      <c r="O38" s="96" t="s">
        <v>7</v>
      </c>
      <c r="P38" s="117"/>
      <c r="Q38" s="131"/>
      <c r="R38" s="99"/>
      <c r="S38" s="84"/>
    </row>
    <row r="39">
      <c r="A39" s="84"/>
      <c r="B39" s="84"/>
      <c r="C39" s="118" t="s">
        <v>19</v>
      </c>
      <c r="D39" s="87">
        <v>54.0</v>
      </c>
      <c r="E39" s="84"/>
      <c r="F39" s="129"/>
      <c r="G39" s="84"/>
      <c r="H39" s="111"/>
      <c r="I39" s="84"/>
      <c r="J39" s="111"/>
      <c r="K39" s="84"/>
      <c r="L39" s="129"/>
      <c r="M39" s="84"/>
      <c r="N39" s="111"/>
      <c r="O39" s="84"/>
      <c r="P39" s="84"/>
      <c r="Q39" s="84"/>
      <c r="R39" s="84"/>
      <c r="S39" s="84"/>
    </row>
    <row r="40">
      <c r="A40" s="84"/>
      <c r="B40" s="84"/>
      <c r="C40" s="91" t="s">
        <v>252</v>
      </c>
      <c r="D40" s="84"/>
      <c r="E40" s="104" t="s">
        <v>8</v>
      </c>
      <c r="F40" s="123">
        <v>32.0</v>
      </c>
      <c r="G40" s="84"/>
      <c r="H40" s="129"/>
      <c r="I40" s="84"/>
      <c r="J40" s="111"/>
      <c r="K40" s="84"/>
      <c r="L40" s="111"/>
      <c r="M40" s="84"/>
      <c r="N40" s="111"/>
      <c r="O40" s="84"/>
      <c r="P40" s="84"/>
      <c r="Q40" s="84"/>
      <c r="R40" s="84"/>
      <c r="S40" s="84"/>
    </row>
    <row r="41">
      <c r="A41" s="84"/>
      <c r="B41" s="84"/>
      <c r="C41" s="85" t="s">
        <v>8</v>
      </c>
      <c r="D41" s="87">
        <v>112.0</v>
      </c>
      <c r="E41" s="97"/>
      <c r="F41" s="99"/>
      <c r="G41" s="84"/>
      <c r="H41" s="111"/>
      <c r="I41" s="84"/>
      <c r="J41" s="129"/>
      <c r="K41" s="84"/>
      <c r="L41" s="111"/>
      <c r="M41" s="84"/>
      <c r="N41" s="111"/>
      <c r="O41" s="84"/>
      <c r="P41" s="99"/>
      <c r="Q41" s="84"/>
      <c r="R41" s="84"/>
      <c r="S41" s="84"/>
    </row>
    <row r="42">
      <c r="A42" s="84"/>
      <c r="B42" s="84"/>
      <c r="C42" s="84"/>
      <c r="D42" s="84"/>
      <c r="E42" s="84"/>
      <c r="F42" s="84"/>
      <c r="G42" s="91" t="s">
        <v>259</v>
      </c>
      <c r="H42" s="129"/>
      <c r="I42" s="96" t="s">
        <v>17</v>
      </c>
      <c r="J42" s="123">
        <v>30.0</v>
      </c>
      <c r="K42" s="84"/>
      <c r="L42" s="111"/>
      <c r="M42" s="84"/>
      <c r="N42" s="111"/>
      <c r="O42" s="84"/>
      <c r="P42" s="84"/>
      <c r="Q42" s="84"/>
      <c r="R42" s="84"/>
      <c r="S42" s="84"/>
    </row>
    <row r="43">
      <c r="A43" s="84"/>
      <c r="B43" s="84"/>
      <c r="C43" s="84"/>
      <c r="D43" s="84"/>
      <c r="E43" s="84"/>
      <c r="F43" s="99"/>
      <c r="G43" s="84"/>
      <c r="H43" s="111"/>
      <c r="I43" s="84"/>
      <c r="J43" s="84"/>
      <c r="K43" s="84"/>
      <c r="L43" s="129"/>
      <c r="M43" s="84"/>
      <c r="N43" s="111"/>
      <c r="O43" s="84"/>
      <c r="P43" s="84"/>
      <c r="Q43" s="84"/>
      <c r="R43" s="84"/>
      <c r="S43" s="84"/>
    </row>
    <row r="44">
      <c r="A44" s="84"/>
      <c r="B44" s="84"/>
      <c r="C44" s="84"/>
      <c r="D44" s="84"/>
      <c r="E44" s="113" t="s">
        <v>13</v>
      </c>
      <c r="F44" s="87">
        <v>82.0</v>
      </c>
      <c r="G44" s="84"/>
      <c r="H44" s="129"/>
      <c r="I44" s="84"/>
      <c r="J44" s="84"/>
      <c r="K44" s="84"/>
      <c r="L44" s="111"/>
      <c r="M44" s="84"/>
      <c r="N44" s="111"/>
      <c r="O44" s="84"/>
      <c r="P44" s="84"/>
      <c r="Q44" s="84"/>
      <c r="R44" s="84"/>
      <c r="S44" s="84"/>
    </row>
    <row r="45">
      <c r="A45" s="84"/>
      <c r="B45" s="84"/>
      <c r="C45" s="84"/>
      <c r="D45" s="84"/>
      <c r="E45" s="84"/>
      <c r="F45" s="129"/>
      <c r="G45" s="84"/>
      <c r="H45" s="111"/>
      <c r="I45" s="84"/>
      <c r="J45" s="99"/>
      <c r="K45" s="84"/>
      <c r="L45" s="111"/>
      <c r="M45" s="84"/>
      <c r="N45" s="129"/>
      <c r="O45" s="84"/>
      <c r="P45" s="84"/>
      <c r="Q45" s="84"/>
      <c r="R45" s="84"/>
      <c r="S45" s="84"/>
    </row>
    <row r="46">
      <c r="A46" s="84"/>
      <c r="B46" s="84"/>
      <c r="C46" s="84"/>
      <c r="D46" s="84"/>
      <c r="E46" s="91" t="s">
        <v>214</v>
      </c>
      <c r="F46" s="111"/>
      <c r="G46" s="133" t="s">
        <v>13</v>
      </c>
      <c r="H46" s="135">
        <v>26.0</v>
      </c>
      <c r="I46" s="84"/>
      <c r="J46" s="84"/>
      <c r="K46" s="91" t="s">
        <v>214</v>
      </c>
      <c r="L46" s="111"/>
      <c r="M46" s="96" t="s">
        <v>17</v>
      </c>
      <c r="N46" s="137"/>
      <c r="O46" s="84"/>
      <c r="P46" s="84"/>
      <c r="Q46" s="84"/>
      <c r="R46" s="84"/>
      <c r="S46" s="84"/>
    </row>
    <row r="47">
      <c r="A47" s="84"/>
      <c r="B47" s="84"/>
      <c r="C47" s="96" t="s">
        <v>21</v>
      </c>
      <c r="D47" s="87">
        <v>72.0</v>
      </c>
      <c r="E47" s="84"/>
      <c r="F47" s="129"/>
      <c r="G47" s="84"/>
      <c r="H47" s="84"/>
      <c r="I47" s="84"/>
      <c r="J47" s="84"/>
      <c r="K47" s="84"/>
      <c r="L47" s="129"/>
      <c r="M47" s="84"/>
      <c r="N47" s="84"/>
      <c r="O47" s="84"/>
      <c r="P47" s="84"/>
      <c r="Q47" s="84"/>
      <c r="R47" s="84"/>
      <c r="S47" s="84"/>
    </row>
    <row r="48">
      <c r="A48" s="84"/>
      <c r="B48" s="84"/>
      <c r="C48" s="91" t="s">
        <v>231</v>
      </c>
      <c r="D48" s="84"/>
      <c r="E48" s="115" t="s">
        <v>21</v>
      </c>
      <c r="F48" s="123">
        <v>30.0</v>
      </c>
      <c r="G48" s="84"/>
      <c r="H48" s="99"/>
      <c r="I48" s="84"/>
      <c r="J48" s="84"/>
      <c r="K48" s="84"/>
      <c r="L48" s="111"/>
      <c r="M48" s="84"/>
      <c r="N48" s="84"/>
      <c r="O48" s="84"/>
      <c r="P48" s="84"/>
      <c r="Q48" s="84"/>
      <c r="R48" s="84"/>
      <c r="S48" s="84"/>
    </row>
    <row r="49">
      <c r="A49" s="84"/>
      <c r="B49" s="84"/>
      <c r="C49" s="113" t="s">
        <v>26</v>
      </c>
      <c r="D49" s="87">
        <v>66.0</v>
      </c>
      <c r="E49" s="97"/>
      <c r="F49" s="99"/>
      <c r="G49" s="84"/>
      <c r="H49" s="84"/>
      <c r="I49" s="84"/>
      <c r="J49" s="99"/>
      <c r="K49" s="84"/>
      <c r="L49" s="111"/>
      <c r="M49" s="84"/>
      <c r="N49" s="84"/>
      <c r="O49" s="84"/>
      <c r="P49" s="84"/>
      <c r="Q49" s="84"/>
      <c r="R49" s="84"/>
      <c r="S49" s="84"/>
    </row>
    <row r="50">
      <c r="A50" s="84"/>
      <c r="B50" s="84"/>
      <c r="C50" s="84"/>
      <c r="D50" s="84"/>
      <c r="E50" s="84"/>
      <c r="F50" s="84"/>
      <c r="G50" s="84"/>
      <c r="H50" s="99"/>
      <c r="I50" s="102" t="s">
        <v>36</v>
      </c>
      <c r="J50" s="87">
        <v>26.0</v>
      </c>
      <c r="K50" s="84"/>
      <c r="L50" s="111"/>
      <c r="M50" s="84"/>
      <c r="N50" s="84"/>
      <c r="O50" s="84"/>
      <c r="P50" s="84"/>
      <c r="Q50" s="84"/>
      <c r="R50" s="84"/>
      <c r="S50" s="84"/>
    </row>
    <row r="51">
      <c r="A51" s="84"/>
      <c r="B51" s="84"/>
      <c r="C51" s="84"/>
      <c r="D51" s="84"/>
      <c r="E51" s="84"/>
      <c r="F51" s="99"/>
      <c r="G51" s="84"/>
      <c r="H51" s="84"/>
      <c r="I51" s="84"/>
      <c r="J51" s="111"/>
      <c r="K51" s="84"/>
      <c r="L51" s="111"/>
      <c r="M51" s="84"/>
      <c r="N51" s="84"/>
      <c r="O51" s="84"/>
      <c r="P51" s="84"/>
      <c r="Q51" s="84"/>
      <c r="R51" s="84"/>
      <c r="S51" s="84"/>
    </row>
    <row r="52">
      <c r="A52" s="84"/>
      <c r="B52" s="84"/>
      <c r="C52" s="84"/>
      <c r="D52" s="84"/>
      <c r="E52" s="120" t="s">
        <v>263</v>
      </c>
      <c r="F52" s="87">
        <v>70.0</v>
      </c>
      <c r="G52" s="84"/>
      <c r="H52" s="84"/>
      <c r="I52" s="84"/>
      <c r="J52" s="111"/>
      <c r="K52" s="84"/>
      <c r="L52" s="111"/>
      <c r="M52" s="84"/>
      <c r="N52" s="84"/>
      <c r="O52" s="84"/>
      <c r="P52" s="84"/>
      <c r="Q52" s="84"/>
      <c r="R52" s="84"/>
      <c r="S52" s="84"/>
    </row>
    <row r="53">
      <c r="A53" s="84"/>
      <c r="B53" s="84"/>
      <c r="C53" s="84"/>
      <c r="D53" s="84"/>
      <c r="E53" s="84"/>
      <c r="F53" s="111"/>
      <c r="G53" s="84"/>
      <c r="H53" s="84"/>
      <c r="I53" s="84"/>
      <c r="J53" s="111"/>
      <c r="K53" s="84"/>
      <c r="L53" s="111"/>
      <c r="M53" s="84"/>
      <c r="N53" s="84"/>
      <c r="O53" s="84"/>
      <c r="P53" s="84"/>
      <c r="Q53" s="84"/>
      <c r="R53" s="84"/>
      <c r="S53" s="84"/>
    </row>
    <row r="54">
      <c r="A54" s="84"/>
      <c r="B54" s="84"/>
      <c r="C54" s="84"/>
      <c r="D54" s="84"/>
      <c r="E54" s="91" t="s">
        <v>259</v>
      </c>
      <c r="F54" s="111"/>
      <c r="G54" s="114" t="s">
        <v>263</v>
      </c>
      <c r="H54" s="87">
        <v>100.0</v>
      </c>
      <c r="I54" s="91" t="s">
        <v>214</v>
      </c>
      <c r="J54" s="111"/>
      <c r="K54" s="105" t="s">
        <v>263</v>
      </c>
      <c r="L54" s="123">
        <v>16.0</v>
      </c>
      <c r="M54" s="84"/>
      <c r="N54" s="84"/>
      <c r="O54" s="84"/>
      <c r="P54" s="84"/>
      <c r="Q54" s="84"/>
      <c r="R54" s="84"/>
      <c r="S54" s="84"/>
    </row>
    <row r="55">
      <c r="A55" s="84"/>
      <c r="B55" s="84"/>
      <c r="C55" s="105" t="s">
        <v>30</v>
      </c>
      <c r="D55" s="87">
        <v>32.0</v>
      </c>
      <c r="E55" s="84"/>
      <c r="F55" s="111"/>
      <c r="G55" s="84"/>
      <c r="H55" s="111"/>
      <c r="I55" s="84"/>
      <c r="J55" s="111"/>
      <c r="K55" s="84"/>
      <c r="L55" s="84"/>
      <c r="M55" s="84"/>
      <c r="N55" s="84"/>
      <c r="O55" s="84"/>
      <c r="P55" s="84"/>
      <c r="Q55" s="84"/>
      <c r="R55" s="84"/>
      <c r="S55" s="84"/>
    </row>
    <row r="56">
      <c r="A56" s="84"/>
      <c r="B56" s="84"/>
      <c r="C56" s="91" t="s">
        <v>283</v>
      </c>
      <c r="D56" s="84"/>
      <c r="E56" s="121" t="s">
        <v>256</v>
      </c>
      <c r="F56" s="123">
        <v>34.0</v>
      </c>
      <c r="G56" s="84"/>
      <c r="H56" s="111"/>
      <c r="I56" s="84"/>
      <c r="J56" s="111"/>
      <c r="K56" s="84"/>
      <c r="L56" s="84"/>
      <c r="M56" s="84"/>
      <c r="N56" s="84"/>
      <c r="O56" s="84"/>
      <c r="P56" s="84"/>
      <c r="Q56" s="84"/>
      <c r="R56" s="84"/>
      <c r="S56" s="84"/>
    </row>
    <row r="57">
      <c r="A57" s="84"/>
      <c r="B57" s="84"/>
      <c r="C57" s="120" t="s">
        <v>256</v>
      </c>
      <c r="D57" s="87">
        <v>58.0</v>
      </c>
      <c r="E57" s="97"/>
      <c r="F57" s="84"/>
      <c r="G57" s="84"/>
      <c r="H57" s="111"/>
      <c r="I57" s="84"/>
      <c r="J57" s="111"/>
      <c r="K57" s="84"/>
      <c r="L57" s="84"/>
      <c r="M57" s="84"/>
      <c r="N57" s="84"/>
      <c r="O57" s="84"/>
      <c r="P57" s="84"/>
      <c r="Q57" s="84"/>
      <c r="R57" s="84"/>
      <c r="S57" s="84"/>
    </row>
    <row r="58">
      <c r="A58" s="84"/>
      <c r="B58" s="84"/>
      <c r="C58" s="84"/>
      <c r="D58" s="84"/>
      <c r="E58" s="84"/>
      <c r="F58" s="84"/>
      <c r="G58" s="91" t="s">
        <v>241</v>
      </c>
      <c r="H58" s="111"/>
      <c r="I58" s="105" t="s">
        <v>263</v>
      </c>
      <c r="J58" s="123">
        <v>36.0</v>
      </c>
      <c r="K58" s="84"/>
      <c r="L58" s="84"/>
      <c r="M58" s="84"/>
      <c r="N58" s="84"/>
      <c r="O58" s="84"/>
      <c r="P58" s="84"/>
      <c r="Q58" s="84"/>
      <c r="R58" s="84"/>
      <c r="S58" s="84"/>
    </row>
    <row r="59">
      <c r="A59" s="84"/>
      <c r="B59" s="84"/>
      <c r="C59" s="84"/>
      <c r="D59" s="84"/>
      <c r="E59" s="84"/>
      <c r="F59" s="84"/>
      <c r="G59" s="84"/>
      <c r="H59" s="111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</row>
    <row r="60">
      <c r="A60" s="84"/>
      <c r="B60" s="84"/>
      <c r="C60" s="84"/>
      <c r="D60" s="84"/>
      <c r="E60" s="114" t="s">
        <v>15</v>
      </c>
      <c r="F60" s="87">
        <v>6.0</v>
      </c>
      <c r="G60" s="84"/>
      <c r="H60" s="111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</row>
    <row r="61">
      <c r="A61" s="84"/>
      <c r="B61" s="84"/>
      <c r="C61" s="84"/>
      <c r="D61" s="84"/>
      <c r="E61" s="84"/>
      <c r="F61" s="111"/>
      <c r="G61" s="84"/>
      <c r="H61" s="111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</row>
    <row r="62">
      <c r="A62" s="84"/>
      <c r="B62" s="84"/>
      <c r="C62" s="84"/>
      <c r="D62" s="84"/>
      <c r="E62" s="91" t="s">
        <v>241</v>
      </c>
      <c r="F62" s="111"/>
      <c r="G62" s="116" t="s">
        <v>18</v>
      </c>
      <c r="H62" s="123">
        <v>20.0</v>
      </c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</row>
    <row r="63">
      <c r="A63" s="84"/>
      <c r="B63" s="84"/>
      <c r="C63" s="122" t="s">
        <v>42</v>
      </c>
      <c r="D63" s="87">
        <v>34.0</v>
      </c>
      <c r="E63" s="84"/>
      <c r="F63" s="111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</row>
    <row r="64">
      <c r="A64" s="84"/>
      <c r="B64" s="84"/>
      <c r="C64" s="91" t="s">
        <v>297</v>
      </c>
      <c r="D64" s="84"/>
      <c r="E64" s="127" t="s">
        <v>18</v>
      </c>
      <c r="F64" s="123">
        <v>36.0</v>
      </c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</row>
    <row r="65">
      <c r="A65" s="84"/>
      <c r="B65" s="84"/>
      <c r="C65" s="114" t="s">
        <v>18</v>
      </c>
      <c r="D65" s="87">
        <v>54.0</v>
      </c>
      <c r="E65" s="97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</row>
  </sheetData>
  <mergeCells count="9">
    <mergeCell ref="O1:Q1"/>
    <mergeCell ref="R3:S3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8" t="s">
        <v>190</v>
      </c>
      <c r="C1" s="89" t="s">
        <v>191</v>
      </c>
      <c r="D1" s="89" t="s">
        <v>192</v>
      </c>
      <c r="E1" s="89" t="s">
        <v>194</v>
      </c>
      <c r="F1" s="89" t="s">
        <v>195</v>
      </c>
      <c r="G1" s="89" t="s">
        <v>196</v>
      </c>
      <c r="H1" s="89" t="s">
        <v>197</v>
      </c>
    </row>
    <row r="2">
      <c r="A2" s="92" t="s">
        <v>198</v>
      </c>
      <c r="B2" s="94">
        <v>31.189830508474575</v>
      </c>
      <c r="C2" s="95">
        <v>0.8440677966101695</v>
      </c>
      <c r="D2" s="95">
        <v>12.521739130434783</v>
      </c>
      <c r="E2" s="95">
        <v>8.67</v>
      </c>
      <c r="F2" s="95">
        <v>4.0</v>
      </c>
      <c r="G2" s="95">
        <v>1.3878260869565218</v>
      </c>
      <c r="H2" s="95">
        <v>4.67</v>
      </c>
    </row>
    <row r="3">
      <c r="A3" s="92" t="s">
        <v>199</v>
      </c>
      <c r="B3" s="94">
        <v>30.76923076923077</v>
      </c>
      <c r="C3" s="95">
        <v>1.0256410256410258</v>
      </c>
      <c r="D3" s="95">
        <v>12.0</v>
      </c>
      <c r="E3" s="95">
        <v>4.0</v>
      </c>
      <c r="F3" s="95">
        <v>7.466666666666667</v>
      </c>
      <c r="G3" s="95">
        <v>-1.0666666666666667</v>
      </c>
      <c r="H3" s="95">
        <v>8.0</v>
      </c>
    </row>
    <row r="4">
      <c r="A4" s="92" t="s">
        <v>200</v>
      </c>
      <c r="B4" s="94">
        <v>23.43232323232323</v>
      </c>
      <c r="C4" s="95">
        <v>0.05</v>
      </c>
      <c r="D4" s="95">
        <v>3.0025</v>
      </c>
      <c r="E4" s="95">
        <v>5.9975000000000005</v>
      </c>
      <c r="F4" s="95">
        <v>8.0</v>
      </c>
      <c r="G4" s="95">
        <v>11.9975</v>
      </c>
      <c r="H4" s="95">
        <v>0.0</v>
      </c>
    </row>
    <row r="5">
      <c r="A5" s="92" t="s">
        <v>201</v>
      </c>
      <c r="B5" s="94">
        <v>22.4</v>
      </c>
      <c r="C5" s="95">
        <v>2.2</v>
      </c>
      <c r="D5" s="95">
        <v>4.8</v>
      </c>
      <c r="E5" s="95">
        <v>5.6</v>
      </c>
      <c r="F5" s="95">
        <v>0.0</v>
      </c>
      <c r="G5" s="95">
        <v>3.2</v>
      </c>
      <c r="H5" s="95">
        <v>8.421052631578947</v>
      </c>
    </row>
    <row r="6">
      <c r="A6" s="92" t="s">
        <v>202</v>
      </c>
      <c r="B6" s="94">
        <v>20.0</v>
      </c>
      <c r="C6" s="95">
        <v>0.0</v>
      </c>
      <c r="D6" s="95">
        <v>12.0</v>
      </c>
      <c r="E6" s="95">
        <v>6.4</v>
      </c>
      <c r="F6" s="95">
        <v>0.0</v>
      </c>
      <c r="G6" s="95">
        <v>0.0</v>
      </c>
      <c r="H6" s="95">
        <v>1.6</v>
      </c>
    </row>
    <row r="7">
      <c r="A7" s="92" t="s">
        <v>203</v>
      </c>
      <c r="B7" s="94">
        <v>19.393939393939394</v>
      </c>
      <c r="C7" s="95">
        <v>0.40404040404040403</v>
      </c>
      <c r="D7" s="95">
        <v>0.8</v>
      </c>
      <c r="E7" s="95">
        <v>3.0476190476190474</v>
      </c>
      <c r="F7" s="95">
        <v>8.0</v>
      </c>
      <c r="G7" s="95">
        <v>5.894736842105263</v>
      </c>
      <c r="H7" s="95">
        <v>1.6842105263157894</v>
      </c>
    </row>
    <row r="8">
      <c r="A8" s="92" t="s">
        <v>204</v>
      </c>
      <c r="B8" s="94">
        <v>16.842105263157894</v>
      </c>
      <c r="C8" s="95">
        <v>0.8421052631578947</v>
      </c>
      <c r="D8" s="95">
        <v>0.0</v>
      </c>
      <c r="E8" s="95">
        <v>5.052631578947368</v>
      </c>
      <c r="F8" s="95">
        <v>6.4</v>
      </c>
      <c r="G8" s="95">
        <v>6.222222222222222</v>
      </c>
      <c r="H8" s="95">
        <v>-0.8888888888888888</v>
      </c>
    </row>
    <row r="9">
      <c r="A9" s="92" t="s">
        <v>205</v>
      </c>
      <c r="B9" s="94">
        <v>16.0</v>
      </c>
      <c r="C9" s="95">
        <v>0.5</v>
      </c>
      <c r="D9" s="95">
        <v>0.0</v>
      </c>
      <c r="E9" s="95">
        <v>4.0</v>
      </c>
      <c r="F9" s="95">
        <v>6.0</v>
      </c>
      <c r="G9" s="95">
        <v>6.0</v>
      </c>
      <c r="H9" s="95">
        <v>0.0</v>
      </c>
    </row>
    <row r="10">
      <c r="A10" s="92" t="s">
        <v>206</v>
      </c>
      <c r="B10" s="94">
        <v>15.0</v>
      </c>
      <c r="C10" s="95">
        <v>0.0</v>
      </c>
      <c r="D10" s="95">
        <v>14.4</v>
      </c>
      <c r="E10" s="95">
        <v>0.0</v>
      </c>
      <c r="F10" s="95">
        <v>0.0</v>
      </c>
      <c r="G10" s="95">
        <v>0.0</v>
      </c>
      <c r="H10" s="95">
        <v>0.0</v>
      </c>
    </row>
    <row r="11">
      <c r="A11" s="92" t="s">
        <v>207</v>
      </c>
      <c r="B11" s="94">
        <v>14.545454545454545</v>
      </c>
      <c r="C11" s="95">
        <v>0.6060606060606061</v>
      </c>
      <c r="D11" s="95">
        <v>3.5555555555555554</v>
      </c>
      <c r="E11" s="95">
        <v>6.4</v>
      </c>
      <c r="F11" s="95">
        <v>1.6</v>
      </c>
      <c r="G11" s="95">
        <v>0.0</v>
      </c>
      <c r="H11" s="95">
        <v>3.0476190476190474</v>
      </c>
    </row>
    <row r="12">
      <c r="A12" s="92" t="s">
        <v>208</v>
      </c>
      <c r="B12" s="94">
        <v>13.061224489795917</v>
      </c>
      <c r="C12" s="95">
        <v>0.4081632653061224</v>
      </c>
      <c r="D12" s="95">
        <v>5.052631578947368</v>
      </c>
      <c r="E12" s="95">
        <v>4.8</v>
      </c>
      <c r="F12" s="95">
        <v>1.6</v>
      </c>
      <c r="G12" s="95">
        <v>0.8421052631578947</v>
      </c>
      <c r="H12" s="95">
        <v>0.8</v>
      </c>
    </row>
    <row r="13">
      <c r="A13" s="92" t="s">
        <v>209</v>
      </c>
      <c r="B13" s="94">
        <v>12.931313131313132</v>
      </c>
      <c r="C13" s="95">
        <v>0.406060606060606</v>
      </c>
      <c r="D13" s="95">
        <v>1.598</v>
      </c>
      <c r="E13" s="95">
        <v>8.8</v>
      </c>
      <c r="F13" s="95">
        <v>0.798</v>
      </c>
      <c r="G13" s="95">
        <v>0.0</v>
      </c>
      <c r="H13" s="95">
        <v>1.6</v>
      </c>
    </row>
    <row r="14">
      <c r="A14" s="92" t="s">
        <v>210</v>
      </c>
      <c r="B14" s="94">
        <v>12.802000000000001</v>
      </c>
      <c r="C14" s="95">
        <v>0.602</v>
      </c>
      <c r="D14" s="95">
        <v>0.0</v>
      </c>
      <c r="E14" s="95">
        <v>9.6</v>
      </c>
      <c r="F14" s="95">
        <v>2.402</v>
      </c>
      <c r="G14" s="95">
        <v>0.8</v>
      </c>
      <c r="H14" s="95">
        <v>0.0</v>
      </c>
    </row>
    <row r="15">
      <c r="A15" s="92" t="s">
        <v>211</v>
      </c>
      <c r="B15" s="94">
        <v>12.8</v>
      </c>
      <c r="C15" s="95">
        <v>0.2</v>
      </c>
      <c r="D15" s="95">
        <v>5.6</v>
      </c>
      <c r="E15" s="95">
        <v>2.4</v>
      </c>
      <c r="F15" s="95">
        <v>3.2</v>
      </c>
      <c r="G15" s="95">
        <v>1.6</v>
      </c>
      <c r="H15" s="95">
        <v>0.0</v>
      </c>
    </row>
    <row r="16">
      <c r="A16" s="92" t="s">
        <v>212</v>
      </c>
      <c r="B16" s="94">
        <v>12.467532467532468</v>
      </c>
      <c r="C16" s="95">
        <v>0.7792207792207793</v>
      </c>
      <c r="D16" s="95">
        <v>1.0666666666666667</v>
      </c>
      <c r="E16" s="95">
        <v>8.0</v>
      </c>
      <c r="F16" s="95">
        <v>0.0</v>
      </c>
      <c r="G16" s="95">
        <v>0.0</v>
      </c>
      <c r="H16" s="95">
        <v>3.2</v>
      </c>
    </row>
    <row r="17">
      <c r="A17" s="92" t="s">
        <v>213</v>
      </c>
      <c r="B17" s="94">
        <v>12.244897959183673</v>
      </c>
      <c r="C17" s="95">
        <v>0.6122448979591836</v>
      </c>
      <c r="D17" s="95">
        <v>2.526315789473684</v>
      </c>
      <c r="E17" s="95">
        <v>4.0</v>
      </c>
      <c r="F17" s="95">
        <v>1.6</v>
      </c>
      <c r="G17" s="95">
        <v>-0.8</v>
      </c>
      <c r="H17" s="95">
        <v>5.052631578947368</v>
      </c>
    </row>
    <row r="18">
      <c r="A18" s="92" t="s">
        <v>215</v>
      </c>
      <c r="B18" s="94">
        <v>12.244897959183673</v>
      </c>
      <c r="C18" s="95">
        <v>0.0</v>
      </c>
      <c r="D18" s="95">
        <v>0.0</v>
      </c>
      <c r="E18" s="95">
        <v>0.0</v>
      </c>
      <c r="F18" s="95">
        <v>3.2</v>
      </c>
      <c r="G18" s="95">
        <v>8.380952380952381</v>
      </c>
      <c r="H18" s="95">
        <v>0.0</v>
      </c>
    </row>
    <row r="19">
      <c r="A19" s="92" t="s">
        <v>216</v>
      </c>
      <c r="B19" s="94">
        <v>12.203389830508474</v>
      </c>
      <c r="C19" s="95">
        <v>0.3389830508474576</v>
      </c>
      <c r="D19" s="95">
        <v>5.333333333333333</v>
      </c>
      <c r="E19" s="95">
        <v>2.6666666666666665</v>
      </c>
      <c r="F19" s="95">
        <v>4.363636363636363</v>
      </c>
      <c r="G19" s="95">
        <v>0.0</v>
      </c>
      <c r="H19" s="95">
        <v>0.0</v>
      </c>
    </row>
    <row r="20">
      <c r="A20" s="92" t="s">
        <v>217</v>
      </c>
      <c r="B20" s="94">
        <v>12.121212121212121</v>
      </c>
      <c r="C20" s="95">
        <v>1.2121212121212122</v>
      </c>
      <c r="D20" s="95">
        <v>0.0</v>
      </c>
      <c r="E20" s="95">
        <v>4.8</v>
      </c>
      <c r="F20" s="95">
        <v>4.0</v>
      </c>
      <c r="G20" s="95">
        <v>-0.8</v>
      </c>
      <c r="H20" s="95">
        <v>4.2105263157894735</v>
      </c>
    </row>
    <row r="21">
      <c r="A21" s="92" t="s">
        <v>218</v>
      </c>
      <c r="B21" s="94">
        <v>12.121212121212121</v>
      </c>
      <c r="C21" s="95">
        <v>1.0101010101010102</v>
      </c>
      <c r="D21" s="95">
        <v>0.0</v>
      </c>
      <c r="E21" s="95">
        <v>8.571428571428571</v>
      </c>
      <c r="F21" s="95">
        <v>2.1052631578947367</v>
      </c>
      <c r="G21" s="95">
        <v>1.0526315789473684</v>
      </c>
      <c r="H21" s="95">
        <v>3.1578947368421053</v>
      </c>
    </row>
    <row r="22">
      <c r="A22" s="92" t="s">
        <v>219</v>
      </c>
      <c r="B22" s="94">
        <v>11.625641025641027</v>
      </c>
      <c r="C22" s="95">
        <v>1.0256410256410258</v>
      </c>
      <c r="D22" s="95">
        <v>5.563478260869565</v>
      </c>
      <c r="E22" s="95">
        <v>0.6666666666666666</v>
      </c>
      <c r="F22" s="95">
        <v>2.0016666666666665</v>
      </c>
      <c r="G22" s="95">
        <v>1.3316666666666668</v>
      </c>
      <c r="H22" s="95">
        <v>2.18</v>
      </c>
    </row>
    <row r="23">
      <c r="A23" s="92" t="s">
        <v>220</v>
      </c>
      <c r="B23" s="94">
        <v>11.428571428571427</v>
      </c>
      <c r="C23" s="95">
        <v>0.0</v>
      </c>
      <c r="D23" s="95">
        <v>7.2</v>
      </c>
      <c r="E23" s="95">
        <v>0.0</v>
      </c>
      <c r="F23" s="95">
        <v>0.0</v>
      </c>
      <c r="G23" s="95">
        <v>0.0</v>
      </c>
      <c r="H23" s="95">
        <v>4.705882352941177</v>
      </c>
    </row>
    <row r="24">
      <c r="A24" s="92" t="s">
        <v>221</v>
      </c>
      <c r="B24" s="94">
        <v>11.313131313131313</v>
      </c>
      <c r="C24" s="95">
        <v>0.604040404040404</v>
      </c>
      <c r="D24" s="95">
        <v>5.6</v>
      </c>
      <c r="E24" s="95">
        <v>2.2857142857142856</v>
      </c>
      <c r="F24" s="95">
        <v>0.0</v>
      </c>
      <c r="G24" s="95">
        <v>0.0</v>
      </c>
      <c r="H24" s="95">
        <v>3.3684210526315788</v>
      </c>
    </row>
    <row r="25">
      <c r="A25" s="92" t="s">
        <v>222</v>
      </c>
      <c r="B25" s="94">
        <v>11.272995780590715</v>
      </c>
      <c r="C25" s="95">
        <v>1.459915611814346</v>
      </c>
      <c r="D25" s="95">
        <v>1.00125</v>
      </c>
      <c r="E25" s="95">
        <v>0.0</v>
      </c>
      <c r="F25" s="95">
        <v>2.0</v>
      </c>
      <c r="G25" s="95">
        <v>3.50125</v>
      </c>
      <c r="H25" s="95">
        <v>4.8</v>
      </c>
    </row>
    <row r="26">
      <c r="A26" s="92" t="s">
        <v>223</v>
      </c>
      <c r="B26" s="94">
        <v>11.0</v>
      </c>
      <c r="C26" s="95">
        <v>0.0</v>
      </c>
      <c r="D26" s="95">
        <v>0.0</v>
      </c>
      <c r="E26" s="95">
        <v>1.0</v>
      </c>
      <c r="F26" s="95">
        <v>0.0</v>
      </c>
      <c r="G26" s="95">
        <v>0.0</v>
      </c>
      <c r="H26" s="95">
        <v>10.0</v>
      </c>
    </row>
    <row r="27">
      <c r="A27" s="92" t="s">
        <v>224</v>
      </c>
      <c r="B27" s="94">
        <v>10.612244897959183</v>
      </c>
      <c r="C27" s="95">
        <v>0.2040816326530612</v>
      </c>
      <c r="D27" s="95">
        <v>1.6842105263157894</v>
      </c>
      <c r="E27" s="95">
        <v>4.8</v>
      </c>
      <c r="F27" s="95">
        <v>0.8</v>
      </c>
      <c r="G27" s="95">
        <v>0.0</v>
      </c>
      <c r="H27" s="95">
        <v>3.2</v>
      </c>
    </row>
    <row r="28">
      <c r="A28" s="92" t="s">
        <v>225</v>
      </c>
      <c r="B28" s="94">
        <v>10.612244897959183</v>
      </c>
      <c r="C28" s="95">
        <v>0.2040816326530612</v>
      </c>
      <c r="D28" s="95">
        <v>0.8</v>
      </c>
      <c r="E28" s="95">
        <v>8.8</v>
      </c>
      <c r="F28" s="95">
        <v>0.0</v>
      </c>
      <c r="G28" s="95">
        <v>0.0</v>
      </c>
      <c r="H28" s="95">
        <v>0.9411764705882353</v>
      </c>
    </row>
    <row r="29">
      <c r="A29" s="92" t="s">
        <v>226</v>
      </c>
      <c r="B29" s="94">
        <v>10.505050505050505</v>
      </c>
      <c r="C29" s="95">
        <v>0.0</v>
      </c>
      <c r="D29" s="95">
        <v>2.4</v>
      </c>
      <c r="E29" s="95">
        <v>0.0</v>
      </c>
      <c r="F29" s="95">
        <v>0.0</v>
      </c>
      <c r="G29" s="95">
        <v>0.0</v>
      </c>
      <c r="H29" s="95">
        <v>8.421052631578947</v>
      </c>
    </row>
    <row r="30">
      <c r="A30" s="92" t="s">
        <v>227</v>
      </c>
      <c r="B30" s="94">
        <v>10.505050505050505</v>
      </c>
      <c r="C30" s="95">
        <v>0.6060606060606061</v>
      </c>
      <c r="D30" s="95">
        <v>0.8</v>
      </c>
      <c r="E30" s="95">
        <v>6.095238095238095</v>
      </c>
      <c r="F30" s="95">
        <v>0.8421052631578947</v>
      </c>
      <c r="G30" s="95">
        <v>1.6</v>
      </c>
      <c r="H30" s="95">
        <v>0.8421052631578947</v>
      </c>
    </row>
    <row r="31">
      <c r="A31" s="92" t="s">
        <v>228</v>
      </c>
      <c r="B31" s="94">
        <v>10.4</v>
      </c>
      <c r="C31" s="95">
        <v>0.4</v>
      </c>
      <c r="D31" s="95">
        <v>2.0</v>
      </c>
      <c r="E31" s="95">
        <v>5.0</v>
      </c>
      <c r="F31" s="95">
        <v>1.0</v>
      </c>
      <c r="G31" s="95">
        <v>4.0</v>
      </c>
      <c r="H31" s="95">
        <v>1.0</v>
      </c>
    </row>
    <row r="32">
      <c r="A32" s="92" t="s">
        <v>229</v>
      </c>
      <c r="B32" s="94">
        <v>10.38961038961039</v>
      </c>
      <c r="C32" s="95">
        <v>0.0</v>
      </c>
      <c r="D32" s="95">
        <v>0.0</v>
      </c>
      <c r="E32" s="95">
        <v>3.0</v>
      </c>
      <c r="F32" s="95">
        <v>1.0</v>
      </c>
      <c r="G32" s="95">
        <v>0.0</v>
      </c>
      <c r="H32" s="95">
        <v>6.857142857142857</v>
      </c>
    </row>
    <row r="33">
      <c r="A33" s="92" t="s">
        <v>230</v>
      </c>
      <c r="B33" s="94">
        <v>10.256410256410257</v>
      </c>
      <c r="C33" s="95">
        <v>0.0</v>
      </c>
      <c r="D33" s="95">
        <v>0.0</v>
      </c>
      <c r="E33" s="95">
        <v>2.0025</v>
      </c>
      <c r="F33" s="95">
        <v>4.266666666666667</v>
      </c>
      <c r="G33" s="95">
        <v>2.0025</v>
      </c>
      <c r="H33" s="95">
        <v>0.9975</v>
      </c>
    </row>
    <row r="34">
      <c r="A34" s="92" t="s">
        <v>232</v>
      </c>
      <c r="B34" s="94">
        <v>10.0</v>
      </c>
      <c r="C34" s="95">
        <v>0.4166666666666667</v>
      </c>
      <c r="D34" s="95">
        <v>0.0</v>
      </c>
      <c r="E34" s="95">
        <v>0.8888888888888888</v>
      </c>
      <c r="F34" s="95">
        <v>0.0</v>
      </c>
      <c r="G34" s="95">
        <v>3.3684210526315788</v>
      </c>
      <c r="H34" s="95">
        <v>6.222222222222222</v>
      </c>
    </row>
    <row r="35">
      <c r="A35" s="92" t="s">
        <v>233</v>
      </c>
      <c r="B35" s="94">
        <v>10.0</v>
      </c>
      <c r="C35" s="95">
        <v>0.0</v>
      </c>
      <c r="D35" s="95">
        <v>2.0</v>
      </c>
      <c r="E35" s="95">
        <v>0.0</v>
      </c>
      <c r="F35" s="95">
        <v>3.0</v>
      </c>
      <c r="G35" s="95">
        <v>5.0</v>
      </c>
      <c r="H35" s="95">
        <v>0.0</v>
      </c>
    </row>
    <row r="36">
      <c r="A36" s="92" t="s">
        <v>234</v>
      </c>
      <c r="B36" s="94">
        <v>9.696969696969697</v>
      </c>
      <c r="C36" s="95">
        <v>0.0</v>
      </c>
      <c r="D36" s="95">
        <v>0.0</v>
      </c>
      <c r="E36" s="95">
        <v>0.8</v>
      </c>
      <c r="F36" s="95">
        <v>0.8</v>
      </c>
      <c r="G36" s="95">
        <v>8.0</v>
      </c>
      <c r="H36" s="95">
        <v>0.0</v>
      </c>
    </row>
    <row r="37">
      <c r="A37" s="92" t="s">
        <v>235</v>
      </c>
      <c r="B37" s="94">
        <v>9.361702127659575</v>
      </c>
      <c r="C37" s="95">
        <v>0.0</v>
      </c>
      <c r="D37" s="95">
        <v>1.6842105263157894</v>
      </c>
      <c r="E37" s="95">
        <v>0.8888888888888888</v>
      </c>
      <c r="F37" s="95">
        <v>0.8421052631578947</v>
      </c>
      <c r="G37" s="95">
        <v>3.3684210526315788</v>
      </c>
      <c r="H37" s="95">
        <v>2.526315789473684</v>
      </c>
    </row>
    <row r="38">
      <c r="A38" s="92" t="s">
        <v>236</v>
      </c>
      <c r="B38" s="94">
        <v>9.35064935064935</v>
      </c>
      <c r="C38" s="95">
        <v>0.0</v>
      </c>
      <c r="D38" s="95">
        <v>0.0</v>
      </c>
      <c r="E38" s="95">
        <v>0.0</v>
      </c>
      <c r="F38" s="95">
        <v>4.266666666666667</v>
      </c>
      <c r="G38" s="95">
        <v>4.266666666666667</v>
      </c>
      <c r="H38" s="95">
        <v>1.0666666666666667</v>
      </c>
    </row>
    <row r="39">
      <c r="A39" s="92" t="s">
        <v>237</v>
      </c>
      <c r="B39" s="94">
        <v>9.331666666666667</v>
      </c>
      <c r="C39" s="95">
        <v>0.0</v>
      </c>
      <c r="D39" s="95">
        <v>0.665</v>
      </c>
      <c r="E39" s="95">
        <v>8.001666666666667</v>
      </c>
      <c r="F39" s="95">
        <v>0.665</v>
      </c>
      <c r="G39" s="95">
        <v>0.0</v>
      </c>
      <c r="H39" s="95">
        <v>0.0</v>
      </c>
    </row>
    <row r="40">
      <c r="A40" s="92" t="s">
        <v>238</v>
      </c>
      <c r="B40" s="94">
        <v>9.142857142857142</v>
      </c>
      <c r="C40" s="95">
        <v>0.0</v>
      </c>
      <c r="D40" s="95">
        <v>2.2857142857142856</v>
      </c>
      <c r="E40" s="95">
        <v>4.571428571428571</v>
      </c>
      <c r="F40" s="95">
        <v>0.0</v>
      </c>
      <c r="G40" s="95">
        <v>2.2857142857142856</v>
      </c>
      <c r="H40" s="95">
        <v>0.0</v>
      </c>
    </row>
    <row r="41">
      <c r="A41" s="92" t="s">
        <v>239</v>
      </c>
      <c r="B41" s="94">
        <v>8.979591836734693</v>
      </c>
      <c r="C41" s="95">
        <v>0.4081632653061224</v>
      </c>
      <c r="D41" s="95">
        <v>0.8</v>
      </c>
      <c r="E41" s="95">
        <v>6.4</v>
      </c>
      <c r="F41" s="95">
        <v>0.0</v>
      </c>
      <c r="G41" s="95">
        <v>0.0</v>
      </c>
      <c r="H41" s="95">
        <v>1.6842105263157894</v>
      </c>
    </row>
    <row r="42">
      <c r="A42" s="92" t="s">
        <v>240</v>
      </c>
      <c r="B42" s="94">
        <v>8.88888888888889</v>
      </c>
      <c r="C42" s="95">
        <v>0.20202020202020202</v>
      </c>
      <c r="D42" s="95">
        <v>0.8</v>
      </c>
      <c r="E42" s="95">
        <v>0.0</v>
      </c>
      <c r="F42" s="95">
        <v>0.8</v>
      </c>
      <c r="G42" s="95">
        <v>0.0</v>
      </c>
      <c r="H42" s="95">
        <v>7.578947368421052</v>
      </c>
    </row>
    <row r="43">
      <c r="A43" s="92" t="s">
        <v>242</v>
      </c>
      <c r="B43" s="94">
        <v>8.88888888888889</v>
      </c>
      <c r="C43" s="95">
        <v>1.0101010101010102</v>
      </c>
      <c r="D43" s="95">
        <v>1.6</v>
      </c>
      <c r="E43" s="95">
        <v>1.6842105263157894</v>
      </c>
      <c r="F43" s="95">
        <v>1.6</v>
      </c>
      <c r="G43" s="95">
        <v>0.0</v>
      </c>
      <c r="H43" s="95">
        <v>4.0</v>
      </c>
    </row>
    <row r="44">
      <c r="A44" s="92" t="s">
        <v>243</v>
      </c>
      <c r="B44" s="94">
        <v>8.88888888888889</v>
      </c>
      <c r="C44" s="95">
        <v>0.40404040404040403</v>
      </c>
      <c r="D44" s="95">
        <v>7.619047619047619</v>
      </c>
      <c r="E44" s="95">
        <v>0.0</v>
      </c>
      <c r="F44" s="95">
        <v>0.0</v>
      </c>
      <c r="G44" s="95">
        <v>0.0</v>
      </c>
      <c r="H44" s="95">
        <v>0.8421052631578947</v>
      </c>
    </row>
    <row r="45">
      <c r="A45" s="92" t="s">
        <v>244</v>
      </c>
      <c r="B45" s="94">
        <v>8.88888888888889</v>
      </c>
      <c r="C45" s="95">
        <v>0.608080808080808</v>
      </c>
      <c r="D45" s="95">
        <v>0.0</v>
      </c>
      <c r="E45" s="95">
        <v>6.4</v>
      </c>
      <c r="F45" s="95">
        <v>1.6</v>
      </c>
      <c r="G45" s="95">
        <v>0.7619047619047619</v>
      </c>
      <c r="H45" s="95">
        <v>0.0</v>
      </c>
    </row>
    <row r="46">
      <c r="A46" s="92" t="s">
        <v>245</v>
      </c>
      <c r="B46" s="94">
        <v>8.8</v>
      </c>
      <c r="C46" s="95">
        <v>0.8</v>
      </c>
      <c r="D46" s="95">
        <v>6.398</v>
      </c>
      <c r="E46" s="95">
        <v>0.798</v>
      </c>
      <c r="F46" s="95">
        <v>0.8</v>
      </c>
      <c r="G46" s="95">
        <v>0.0</v>
      </c>
      <c r="H46" s="95">
        <v>0.798</v>
      </c>
    </row>
    <row r="47">
      <c r="A47" s="92" t="s">
        <v>246</v>
      </c>
      <c r="B47" s="94">
        <v>8.421052631578947</v>
      </c>
      <c r="C47" s="95">
        <v>0.0</v>
      </c>
      <c r="D47" s="95">
        <v>4.0</v>
      </c>
      <c r="E47" s="95">
        <v>0.0</v>
      </c>
      <c r="F47" s="95">
        <v>0.0</v>
      </c>
      <c r="G47" s="95">
        <v>0.0</v>
      </c>
      <c r="H47" s="95">
        <v>4.0</v>
      </c>
    </row>
    <row r="48">
      <c r="A48" s="92" t="s">
        <v>247</v>
      </c>
      <c r="B48" s="94">
        <v>8.421052631578947</v>
      </c>
      <c r="C48" s="95">
        <v>0.0</v>
      </c>
      <c r="D48" s="95">
        <v>0.0</v>
      </c>
      <c r="E48" s="95">
        <v>8.0</v>
      </c>
      <c r="F48" s="95">
        <v>0.0</v>
      </c>
      <c r="G48" s="95">
        <v>0.0</v>
      </c>
      <c r="H48" s="95">
        <v>0.0</v>
      </c>
    </row>
    <row r="49">
      <c r="A49" s="92" t="s">
        <v>248</v>
      </c>
      <c r="B49" s="94">
        <v>8.333333333333334</v>
      </c>
      <c r="C49" s="95">
        <v>2.0833333333333335</v>
      </c>
      <c r="D49" s="95">
        <v>0.0</v>
      </c>
      <c r="E49" s="95">
        <v>2.6666666666666665</v>
      </c>
      <c r="F49" s="95">
        <v>3.8095238095238093</v>
      </c>
      <c r="G49" s="95">
        <v>-1.6842105263157894</v>
      </c>
      <c r="H49" s="95">
        <v>3.5555555555555554</v>
      </c>
    </row>
    <row r="50">
      <c r="A50" s="92" t="s">
        <v>250</v>
      </c>
      <c r="B50" s="94">
        <v>8.311688311688311</v>
      </c>
      <c r="C50" s="95">
        <v>0.0</v>
      </c>
      <c r="D50" s="95">
        <v>0.0</v>
      </c>
      <c r="E50" s="95">
        <v>1.0</v>
      </c>
      <c r="F50" s="95">
        <v>7.0</v>
      </c>
      <c r="G50" s="95">
        <v>0.0</v>
      </c>
      <c r="H50" s="95">
        <v>0.0</v>
      </c>
    </row>
    <row r="51">
      <c r="A51" s="92" t="s">
        <v>251</v>
      </c>
      <c r="B51" s="94">
        <v>8.147219710669077</v>
      </c>
      <c r="C51" s="95">
        <v>0.01582278481012658</v>
      </c>
      <c r="D51" s="95">
        <v>3.532970657814408</v>
      </c>
      <c r="E51" s="95">
        <v>1.4523809523809523</v>
      </c>
      <c r="F51" s="95">
        <v>0.8214285714285714</v>
      </c>
      <c r="G51" s="95">
        <v>0.5805133928571429</v>
      </c>
      <c r="H51" s="95">
        <v>1.7666666666666666</v>
      </c>
    </row>
    <row r="52">
      <c r="A52" s="92" t="s">
        <v>253</v>
      </c>
      <c r="B52" s="94">
        <v>8.080808080808081</v>
      </c>
      <c r="C52" s="95">
        <v>0.40404040404040403</v>
      </c>
      <c r="D52" s="95">
        <v>6.4</v>
      </c>
      <c r="E52" s="95">
        <v>-0.7619047619047619</v>
      </c>
      <c r="F52" s="95">
        <v>0.0</v>
      </c>
      <c r="G52" s="95">
        <v>0.0</v>
      </c>
      <c r="H52" s="95">
        <v>2.526315789473684</v>
      </c>
    </row>
    <row r="53">
      <c r="A53" s="92" t="s">
        <v>254</v>
      </c>
      <c r="B53" s="94">
        <v>8.080808080808081</v>
      </c>
      <c r="C53" s="95">
        <v>0.40404040404040403</v>
      </c>
      <c r="D53" s="95">
        <v>5.6</v>
      </c>
      <c r="E53" s="95">
        <v>2.526315789473684</v>
      </c>
      <c r="F53" s="95">
        <v>0.0</v>
      </c>
      <c r="G53" s="95">
        <v>0.0</v>
      </c>
      <c r="H53" s="95">
        <v>0.0</v>
      </c>
    </row>
    <row r="54">
      <c r="A54" s="92" t="s">
        <v>255</v>
      </c>
      <c r="B54" s="94">
        <v>8.08</v>
      </c>
      <c r="C54" s="95">
        <v>0.0</v>
      </c>
      <c r="D54" s="95">
        <v>0.8</v>
      </c>
      <c r="E54" s="95">
        <v>0.0</v>
      </c>
      <c r="F54" s="95">
        <v>0.0</v>
      </c>
      <c r="G54" s="95">
        <v>0.0</v>
      </c>
      <c r="H54" s="95">
        <v>8.0</v>
      </c>
    </row>
    <row r="55">
      <c r="A55" s="92" t="s">
        <v>257</v>
      </c>
      <c r="B55" s="94">
        <v>8.078787878787878</v>
      </c>
      <c r="C55" s="95">
        <v>0.0</v>
      </c>
      <c r="D55" s="95">
        <v>0.0</v>
      </c>
      <c r="E55" s="95">
        <v>2.283809523809524</v>
      </c>
      <c r="F55" s="95">
        <v>0.8400000000000001</v>
      </c>
      <c r="G55" s="95">
        <v>4.8020000000000005</v>
      </c>
      <c r="H55" s="95">
        <v>0.0</v>
      </c>
    </row>
    <row r="56">
      <c r="A56" s="92" t="s">
        <v>258</v>
      </c>
      <c r="B56" s="94">
        <v>8.0</v>
      </c>
      <c r="C56" s="95">
        <v>0.0</v>
      </c>
      <c r="D56" s="95">
        <v>0.0</v>
      </c>
      <c r="E56" s="95">
        <v>0.0</v>
      </c>
      <c r="F56" s="95">
        <v>0.8</v>
      </c>
      <c r="G56" s="95">
        <v>0.8421052631578947</v>
      </c>
      <c r="H56" s="95">
        <v>6.4</v>
      </c>
    </row>
    <row r="57">
      <c r="A57" s="92" t="s">
        <v>260</v>
      </c>
      <c r="B57" s="94">
        <v>8.0</v>
      </c>
      <c r="C57" s="95">
        <v>0.0</v>
      </c>
      <c r="D57" s="95">
        <v>0.0</v>
      </c>
      <c r="E57" s="95">
        <v>0.0</v>
      </c>
      <c r="F57" s="95">
        <v>4.0</v>
      </c>
      <c r="G57" s="95">
        <v>0.0</v>
      </c>
      <c r="H57" s="95">
        <v>4.0</v>
      </c>
    </row>
    <row r="58">
      <c r="A58" s="92" t="s">
        <v>261</v>
      </c>
      <c r="B58" s="94">
        <v>8.0</v>
      </c>
      <c r="C58" s="95">
        <v>0.4</v>
      </c>
      <c r="D58" s="95">
        <v>0.8</v>
      </c>
      <c r="E58" s="95">
        <v>4.0</v>
      </c>
      <c r="F58" s="95">
        <v>0.8</v>
      </c>
      <c r="G58" s="95">
        <v>0.0</v>
      </c>
      <c r="H58" s="95">
        <v>2.4</v>
      </c>
    </row>
    <row r="59">
      <c r="A59" s="92" t="s">
        <v>262</v>
      </c>
      <c r="B59" s="94">
        <v>8.0</v>
      </c>
      <c r="C59" s="95">
        <v>0.3333333333333333</v>
      </c>
      <c r="D59" s="95">
        <v>0.0</v>
      </c>
      <c r="E59" s="95">
        <v>1.3333333333333333</v>
      </c>
      <c r="F59" s="95">
        <v>1.3333333333333333</v>
      </c>
      <c r="G59" s="95">
        <v>5.333333333333333</v>
      </c>
      <c r="H59" s="95">
        <v>0.0</v>
      </c>
    </row>
    <row r="60">
      <c r="A60" s="92" t="s">
        <v>264</v>
      </c>
      <c r="B60" s="94">
        <v>8.0</v>
      </c>
      <c r="C60" s="95">
        <v>0.5</v>
      </c>
      <c r="D60" s="95">
        <v>10.0</v>
      </c>
      <c r="E60" s="95">
        <v>0.0</v>
      </c>
      <c r="F60" s="95">
        <v>0.0</v>
      </c>
      <c r="G60" s="95">
        <v>0.0</v>
      </c>
      <c r="H60" s="95">
        <v>0.0</v>
      </c>
    </row>
    <row r="61">
      <c r="A61" s="92" t="s">
        <v>265</v>
      </c>
      <c r="B61" s="94">
        <v>7.57027027027027</v>
      </c>
      <c r="C61" s="95">
        <v>0.5378378378378378</v>
      </c>
      <c r="D61" s="95">
        <v>2.0025</v>
      </c>
      <c r="E61" s="95">
        <v>3.2</v>
      </c>
      <c r="F61" s="95">
        <v>1.0025</v>
      </c>
      <c r="G61" s="95">
        <v>1.2276923076923079</v>
      </c>
      <c r="H61" s="95">
        <v>0.0</v>
      </c>
    </row>
    <row r="62">
      <c r="A62" s="92" t="s">
        <v>266</v>
      </c>
      <c r="B62" s="94">
        <v>7.422680412371134</v>
      </c>
      <c r="C62" s="95">
        <v>0.6185567010309279</v>
      </c>
      <c r="D62" s="95">
        <v>3.3684210526315788</v>
      </c>
      <c r="E62" s="95">
        <v>0.8</v>
      </c>
      <c r="F62" s="95">
        <v>3.2</v>
      </c>
      <c r="G62" s="95">
        <v>0.8</v>
      </c>
      <c r="H62" s="95">
        <v>-0.8888888888888888</v>
      </c>
    </row>
    <row r="63">
      <c r="A63" s="92" t="s">
        <v>267</v>
      </c>
      <c r="B63" s="94">
        <v>7.2727272727272725</v>
      </c>
      <c r="C63" s="95">
        <v>0.0</v>
      </c>
      <c r="D63" s="95">
        <v>0.0</v>
      </c>
      <c r="E63" s="95">
        <v>0.7619047619047619</v>
      </c>
      <c r="F63" s="95">
        <v>5.054736842105264</v>
      </c>
      <c r="G63" s="95">
        <v>0.798</v>
      </c>
      <c r="H63" s="95">
        <v>0.8421052631578947</v>
      </c>
    </row>
    <row r="64">
      <c r="A64" s="92" t="s">
        <v>268</v>
      </c>
      <c r="B64" s="94">
        <v>7.2727272727272725</v>
      </c>
      <c r="C64" s="95">
        <v>0.0</v>
      </c>
      <c r="D64" s="95">
        <v>0.0</v>
      </c>
      <c r="E64" s="95">
        <v>7.2</v>
      </c>
      <c r="F64" s="95">
        <v>0.0</v>
      </c>
      <c r="G64" s="95">
        <v>0.0</v>
      </c>
      <c r="H64" s="95">
        <v>0.0</v>
      </c>
    </row>
    <row r="65">
      <c r="A65" s="92" t="s">
        <v>269</v>
      </c>
      <c r="B65" s="94">
        <v>7.2</v>
      </c>
      <c r="C65" s="95">
        <v>0.0</v>
      </c>
      <c r="D65" s="95">
        <v>3.9979999999999998</v>
      </c>
      <c r="E65" s="95">
        <v>0.8</v>
      </c>
      <c r="F65" s="95">
        <v>0.0</v>
      </c>
      <c r="G65" s="95">
        <v>0.0</v>
      </c>
      <c r="H65" s="95">
        <v>2.402</v>
      </c>
    </row>
    <row r="66">
      <c r="A66" s="92" t="s">
        <v>270</v>
      </c>
      <c r="B66" s="94">
        <v>7.17948717948718</v>
      </c>
      <c r="C66" s="95">
        <v>0.0</v>
      </c>
      <c r="D66" s="95">
        <v>0.0</v>
      </c>
      <c r="E66" s="95">
        <v>0.0</v>
      </c>
      <c r="F66" s="95">
        <v>0.0</v>
      </c>
      <c r="G66" s="95">
        <v>7.466666666666667</v>
      </c>
      <c r="H66" s="95">
        <v>0.0</v>
      </c>
    </row>
    <row r="67">
      <c r="A67" s="92" t="s">
        <v>271</v>
      </c>
      <c r="B67" s="94">
        <v>7.0886075949367084</v>
      </c>
      <c r="C67" s="95">
        <v>0.5063291139240506</v>
      </c>
      <c r="D67" s="95">
        <v>2.0</v>
      </c>
      <c r="E67" s="95">
        <v>2.0</v>
      </c>
      <c r="F67" s="95">
        <v>2.0</v>
      </c>
      <c r="G67" s="95">
        <v>0.0</v>
      </c>
      <c r="H67" s="95">
        <v>1.0666666666666667</v>
      </c>
    </row>
    <row r="68">
      <c r="A68" s="92" t="s">
        <v>272</v>
      </c>
      <c r="B68" s="94">
        <v>7.017543859649122</v>
      </c>
      <c r="C68" s="95">
        <v>0.0</v>
      </c>
      <c r="D68" s="95">
        <v>7.2727272727272725</v>
      </c>
      <c r="E68" s="95">
        <v>0.0</v>
      </c>
      <c r="F68" s="95">
        <v>0.0</v>
      </c>
      <c r="G68" s="95">
        <v>0.0</v>
      </c>
      <c r="H68" s="95">
        <v>0.0</v>
      </c>
    </row>
    <row r="69">
      <c r="A69" s="92" t="s">
        <v>273</v>
      </c>
      <c r="B69" s="94">
        <v>7.0</v>
      </c>
      <c r="C69" s="95">
        <v>0.0</v>
      </c>
      <c r="D69" s="95">
        <v>4.9975</v>
      </c>
      <c r="E69" s="95">
        <v>0.0</v>
      </c>
      <c r="F69" s="95">
        <v>0.0</v>
      </c>
      <c r="G69" s="95">
        <v>0.0</v>
      </c>
      <c r="H69" s="95">
        <v>2.0025</v>
      </c>
    </row>
    <row r="70">
      <c r="A70" s="92" t="s">
        <v>274</v>
      </c>
      <c r="B70" s="94">
        <v>6.8965517241379315</v>
      </c>
      <c r="C70" s="95">
        <v>0.6896551724137931</v>
      </c>
      <c r="D70" s="95">
        <v>0.0</v>
      </c>
      <c r="E70" s="95">
        <v>8.0</v>
      </c>
      <c r="F70" s="95">
        <v>-1.4545454545454546</v>
      </c>
      <c r="G70" s="95">
        <v>0.0</v>
      </c>
      <c r="H70" s="95">
        <v>0.0</v>
      </c>
    </row>
    <row r="71">
      <c r="A71" s="92" t="s">
        <v>275</v>
      </c>
      <c r="B71" s="94">
        <v>6.666666666666667</v>
      </c>
      <c r="C71" s="95">
        <v>0.0</v>
      </c>
      <c r="D71" s="95">
        <v>2.6666666666666665</v>
      </c>
      <c r="E71" s="95">
        <v>1.3333333333333333</v>
      </c>
      <c r="F71" s="95">
        <v>2.6666666666666665</v>
      </c>
      <c r="G71" s="95">
        <v>0.0</v>
      </c>
      <c r="H71" s="95">
        <v>0.0</v>
      </c>
    </row>
    <row r="72">
      <c r="A72" s="92" t="s">
        <v>276</v>
      </c>
      <c r="B72" s="94">
        <v>6.5979381443298974</v>
      </c>
      <c r="C72" s="95">
        <v>0.2061855670103093</v>
      </c>
      <c r="D72" s="95">
        <v>0.0</v>
      </c>
      <c r="E72" s="95">
        <v>0.8</v>
      </c>
      <c r="F72" s="95">
        <v>0.8</v>
      </c>
      <c r="G72" s="95">
        <v>0.0</v>
      </c>
      <c r="H72" s="95">
        <v>5.333333333333333</v>
      </c>
    </row>
    <row r="73">
      <c r="A73" s="92" t="s">
        <v>277</v>
      </c>
      <c r="B73" s="94">
        <v>6.4646464646464645</v>
      </c>
      <c r="C73" s="95">
        <v>0.0</v>
      </c>
      <c r="D73" s="95">
        <v>0.0</v>
      </c>
      <c r="E73" s="95">
        <v>2.4</v>
      </c>
      <c r="F73" s="95">
        <v>0.8</v>
      </c>
      <c r="G73" s="95">
        <v>0.7619047619047619</v>
      </c>
      <c r="H73" s="95">
        <v>2.526315789473684</v>
      </c>
    </row>
    <row r="74">
      <c r="A74" s="92" t="s">
        <v>279</v>
      </c>
      <c r="B74" s="94">
        <v>6.4646464646464645</v>
      </c>
      <c r="C74" s="95">
        <v>0.0</v>
      </c>
      <c r="D74" s="95">
        <v>0.0</v>
      </c>
      <c r="E74" s="95">
        <v>0.0</v>
      </c>
      <c r="F74" s="95">
        <v>3.3684210526315788</v>
      </c>
      <c r="G74" s="95">
        <v>2.4</v>
      </c>
      <c r="H74" s="95">
        <v>0.8421052631578947</v>
      </c>
    </row>
    <row r="75">
      <c r="A75" s="92" t="s">
        <v>280</v>
      </c>
      <c r="B75" s="94">
        <v>6.153846153846154</v>
      </c>
      <c r="C75" s="95">
        <v>0.0</v>
      </c>
      <c r="D75" s="95">
        <v>0.0</v>
      </c>
      <c r="E75" s="95">
        <v>0.0</v>
      </c>
      <c r="F75" s="95">
        <v>0.0</v>
      </c>
      <c r="G75" s="95">
        <v>6.0</v>
      </c>
      <c r="H75" s="95">
        <v>0.0</v>
      </c>
    </row>
    <row r="76">
      <c r="A76" s="92" t="s">
        <v>281</v>
      </c>
      <c r="B76" s="94">
        <v>6.0</v>
      </c>
      <c r="C76" s="95">
        <v>0.0</v>
      </c>
      <c r="D76" s="95">
        <v>0.0</v>
      </c>
      <c r="E76" s="95">
        <v>1.0</v>
      </c>
      <c r="F76" s="95">
        <v>1.0</v>
      </c>
      <c r="G76" s="95">
        <v>2.0</v>
      </c>
      <c r="H76" s="95">
        <v>2.0</v>
      </c>
    </row>
    <row r="77">
      <c r="A77" s="92" t="s">
        <v>282</v>
      </c>
      <c r="B77" s="94">
        <v>6.0</v>
      </c>
      <c r="C77" s="95">
        <v>0.0</v>
      </c>
      <c r="D77" s="95">
        <v>0.0</v>
      </c>
      <c r="E77" s="95">
        <v>4.0</v>
      </c>
      <c r="F77" s="95">
        <v>0.0</v>
      </c>
      <c r="G77" s="95">
        <v>0.0</v>
      </c>
      <c r="H77" s="95">
        <v>2.0</v>
      </c>
    </row>
    <row r="78">
      <c r="A78" s="92" t="s">
        <v>284</v>
      </c>
      <c r="B78" s="94">
        <v>6.0</v>
      </c>
      <c r="C78" s="95">
        <v>0.0</v>
      </c>
      <c r="D78" s="95">
        <v>0.0</v>
      </c>
      <c r="E78" s="95">
        <v>2.0</v>
      </c>
      <c r="F78" s="95">
        <v>0.0</v>
      </c>
      <c r="G78" s="95">
        <v>4.0</v>
      </c>
      <c r="H78" s="95">
        <v>0.0</v>
      </c>
    </row>
    <row r="79">
      <c r="A79" s="92" t="s">
        <v>285</v>
      </c>
      <c r="B79" s="94">
        <v>5.959574468085107</v>
      </c>
      <c r="C79" s="95">
        <v>1.274468085106383</v>
      </c>
      <c r="D79" s="95">
        <v>0.0</v>
      </c>
      <c r="E79" s="95">
        <v>1.6842105263157894</v>
      </c>
      <c r="F79" s="95">
        <v>0.0</v>
      </c>
      <c r="G79" s="95">
        <v>0.0</v>
      </c>
      <c r="H79" s="95">
        <v>4.212631578947369</v>
      </c>
    </row>
    <row r="80">
      <c r="A80" s="92" t="s">
        <v>286</v>
      </c>
      <c r="B80" s="94">
        <v>5.8968421052631586</v>
      </c>
      <c r="C80" s="95">
        <v>0.0</v>
      </c>
      <c r="D80" s="95">
        <v>0.0</v>
      </c>
      <c r="E80" s="95">
        <v>1.6842105263157894</v>
      </c>
      <c r="F80" s="95">
        <v>1.7755555555555556</v>
      </c>
      <c r="G80" s="95">
        <v>0.0</v>
      </c>
      <c r="H80" s="95">
        <v>2.5242105263157897</v>
      </c>
    </row>
    <row r="81">
      <c r="A81" s="92" t="s">
        <v>287</v>
      </c>
      <c r="B81" s="94">
        <v>5.818181818181818</v>
      </c>
      <c r="C81" s="95">
        <v>0.36363636363636365</v>
      </c>
      <c r="D81" s="95">
        <v>0.0</v>
      </c>
      <c r="E81" s="95">
        <v>1.4545454545454546</v>
      </c>
      <c r="F81" s="95">
        <v>1.7777777777777777</v>
      </c>
      <c r="G81" s="95">
        <v>1.6</v>
      </c>
      <c r="H81" s="95">
        <v>1.3333333333333333</v>
      </c>
    </row>
    <row r="82">
      <c r="A82" s="92" t="s">
        <v>288</v>
      </c>
      <c r="B82" s="94">
        <v>5.7142857142857135</v>
      </c>
      <c r="C82" s="95">
        <v>0.6122448979591836</v>
      </c>
      <c r="D82" s="95">
        <v>1.6</v>
      </c>
      <c r="E82" s="95">
        <v>0.0</v>
      </c>
      <c r="F82" s="95">
        <v>-0.8</v>
      </c>
      <c r="G82" s="95">
        <v>0.8421052631578947</v>
      </c>
      <c r="H82" s="95">
        <v>4.2105263157894735</v>
      </c>
    </row>
    <row r="83">
      <c r="A83" s="92" t="s">
        <v>290</v>
      </c>
      <c r="B83" s="94">
        <v>5.7142857142857135</v>
      </c>
      <c r="C83" s="95">
        <v>0.2020408163265306</v>
      </c>
      <c r="D83" s="95">
        <v>3.2020000000000004</v>
      </c>
      <c r="E83" s="95">
        <v>1.6</v>
      </c>
      <c r="F83" s="95">
        <v>0.0</v>
      </c>
      <c r="G83" s="95">
        <v>0.0</v>
      </c>
      <c r="H83" s="95">
        <v>0.8400000000000001</v>
      </c>
    </row>
    <row r="84">
      <c r="A84" s="92" t="s">
        <v>291</v>
      </c>
      <c r="B84" s="94">
        <v>5.711428571428571</v>
      </c>
      <c r="C84" s="95">
        <v>0.28285714285714286</v>
      </c>
      <c r="D84" s="95">
        <v>0.0</v>
      </c>
      <c r="E84" s="95">
        <v>0.0</v>
      </c>
      <c r="F84" s="95">
        <v>4.003333333333333</v>
      </c>
      <c r="G84" s="95">
        <v>1.33</v>
      </c>
      <c r="H84" s="95">
        <v>1.064</v>
      </c>
    </row>
    <row r="85">
      <c r="A85" s="92" t="s">
        <v>292</v>
      </c>
      <c r="B85" s="94">
        <v>5.614035087719298</v>
      </c>
      <c r="C85" s="95">
        <v>0.3508771929824561</v>
      </c>
      <c r="D85" s="95">
        <v>4.0</v>
      </c>
      <c r="E85" s="95">
        <v>1.3333333333333333</v>
      </c>
      <c r="F85" s="95">
        <v>0.0</v>
      </c>
      <c r="G85" s="95">
        <v>0.0</v>
      </c>
      <c r="H85" s="95">
        <v>0.0</v>
      </c>
    </row>
    <row r="86">
      <c r="A86" s="92" t="s">
        <v>293</v>
      </c>
      <c r="B86" s="94">
        <v>5.6</v>
      </c>
      <c r="C86" s="95">
        <v>0.8</v>
      </c>
      <c r="D86" s="95">
        <v>-0.8</v>
      </c>
      <c r="E86" s="95">
        <v>0.8</v>
      </c>
      <c r="F86" s="95">
        <v>2.4</v>
      </c>
      <c r="G86" s="95">
        <v>0.8</v>
      </c>
      <c r="H86" s="95">
        <v>2.4</v>
      </c>
    </row>
    <row r="87">
      <c r="A87" s="92" t="s">
        <v>295</v>
      </c>
      <c r="B87" s="94">
        <v>5.6</v>
      </c>
      <c r="C87" s="95">
        <v>0.2</v>
      </c>
      <c r="D87" s="95">
        <v>3.2</v>
      </c>
      <c r="E87" s="95">
        <v>0.0</v>
      </c>
      <c r="F87" s="95">
        <v>1.6</v>
      </c>
      <c r="G87" s="95">
        <v>0.0</v>
      </c>
      <c r="H87" s="95">
        <v>0.8</v>
      </c>
    </row>
    <row r="88">
      <c r="A88" s="92" t="s">
        <v>296</v>
      </c>
      <c r="B88" s="94">
        <v>5.517241379310345</v>
      </c>
      <c r="C88" s="95">
        <v>0.0</v>
      </c>
      <c r="D88" s="95">
        <v>0.0</v>
      </c>
      <c r="E88" s="95">
        <v>2.6666666666666665</v>
      </c>
      <c r="F88" s="95">
        <v>0.0</v>
      </c>
      <c r="G88" s="95">
        <v>0.0</v>
      </c>
      <c r="H88" s="95">
        <v>2.6666666666666665</v>
      </c>
    </row>
    <row r="89">
      <c r="A89" s="92" t="s">
        <v>298</v>
      </c>
      <c r="B89" s="94">
        <v>5.420338983050847</v>
      </c>
      <c r="C89" s="95">
        <v>0.0</v>
      </c>
      <c r="D89" s="95">
        <v>0.0</v>
      </c>
      <c r="E89" s="95">
        <v>0.0</v>
      </c>
      <c r="F89" s="95">
        <v>0.0</v>
      </c>
      <c r="G89" s="95">
        <v>0.0</v>
      </c>
      <c r="H89" s="95">
        <v>5.8145454545454545</v>
      </c>
    </row>
    <row r="90">
      <c r="A90" s="92" t="s">
        <v>299</v>
      </c>
      <c r="B90" s="94">
        <v>5.333333333333333</v>
      </c>
      <c r="C90" s="95">
        <v>0.0</v>
      </c>
      <c r="D90" s="95">
        <v>0.0</v>
      </c>
      <c r="E90" s="95">
        <v>2.1333333333333333</v>
      </c>
      <c r="F90" s="95">
        <v>0.0</v>
      </c>
      <c r="G90" s="95">
        <v>0.0</v>
      </c>
      <c r="H90" s="95">
        <v>3.0</v>
      </c>
    </row>
    <row r="91">
      <c r="A91" s="92" t="s">
        <v>300</v>
      </c>
      <c r="B91" s="94">
        <v>5.333333333333333</v>
      </c>
      <c r="C91" s="95">
        <v>0.0</v>
      </c>
      <c r="D91" s="95">
        <v>0.0</v>
      </c>
      <c r="E91" s="95">
        <v>4.0</v>
      </c>
      <c r="F91" s="95">
        <v>0.0</v>
      </c>
      <c r="G91" s="95">
        <v>0.0</v>
      </c>
      <c r="H91" s="95">
        <v>1.4545454545454546</v>
      </c>
    </row>
    <row r="92">
      <c r="A92" s="92" t="s">
        <v>302</v>
      </c>
      <c r="B92" s="94">
        <v>5.333333333333333</v>
      </c>
      <c r="C92" s="95">
        <v>0.0</v>
      </c>
      <c r="D92" s="95">
        <v>0.0</v>
      </c>
      <c r="E92" s="95">
        <v>0.0</v>
      </c>
      <c r="F92" s="95">
        <v>5.333333333333333</v>
      </c>
      <c r="G92" s="95">
        <v>0.0</v>
      </c>
      <c r="H92" s="95">
        <v>0.0</v>
      </c>
    </row>
    <row r="93">
      <c r="A93" s="92" t="s">
        <v>303</v>
      </c>
      <c r="B93" s="94">
        <v>5.333333333333333</v>
      </c>
      <c r="C93" s="95">
        <v>0.0</v>
      </c>
      <c r="D93" s="95">
        <v>2.4615384615384617</v>
      </c>
      <c r="E93" s="95">
        <v>2.6666666666666665</v>
      </c>
      <c r="F93" s="95">
        <v>0.0</v>
      </c>
      <c r="G93" s="95">
        <v>0.0</v>
      </c>
      <c r="H93" s="95">
        <v>0.0</v>
      </c>
    </row>
    <row r="94">
      <c r="A94" s="92" t="s">
        <v>304</v>
      </c>
      <c r="B94" s="94">
        <v>5.194805194805195</v>
      </c>
      <c r="C94" s="95">
        <v>0.7792207792207793</v>
      </c>
      <c r="D94" s="95">
        <v>0.0</v>
      </c>
      <c r="E94" s="95">
        <v>4.0</v>
      </c>
      <c r="F94" s="95">
        <v>0.0</v>
      </c>
      <c r="G94" s="95">
        <v>1.0666666666666667</v>
      </c>
      <c r="H94" s="95">
        <v>0.0</v>
      </c>
    </row>
    <row r="95">
      <c r="A95" s="92" t="s">
        <v>305</v>
      </c>
      <c r="B95" s="94">
        <v>5.0</v>
      </c>
      <c r="C95" s="95">
        <v>0.25</v>
      </c>
      <c r="D95" s="95">
        <v>0.0</v>
      </c>
      <c r="E95" s="95">
        <v>0.0</v>
      </c>
      <c r="F95" s="95">
        <v>0.0</v>
      </c>
      <c r="G95" s="95">
        <v>1.0666666666666667</v>
      </c>
      <c r="H95" s="95">
        <v>4.0</v>
      </c>
    </row>
    <row r="96">
      <c r="A96" s="92" t="s">
        <v>306</v>
      </c>
      <c r="B96" s="94">
        <v>5.0</v>
      </c>
      <c r="C96" s="95">
        <v>0.25</v>
      </c>
      <c r="D96" s="95">
        <v>4.0</v>
      </c>
      <c r="E96" s="95">
        <v>0.0</v>
      </c>
      <c r="F96" s="95">
        <v>0.0</v>
      </c>
      <c r="G96" s="95">
        <v>0.0</v>
      </c>
      <c r="H96" s="95">
        <v>1.0</v>
      </c>
    </row>
    <row r="97">
      <c r="A97" s="92" t="s">
        <v>308</v>
      </c>
      <c r="B97" s="94">
        <v>4.848484848484849</v>
      </c>
      <c r="C97" s="95">
        <v>0.40404040404040403</v>
      </c>
      <c r="D97" s="95">
        <v>5.333333333333333</v>
      </c>
      <c r="E97" s="95">
        <v>0.0</v>
      </c>
      <c r="F97" s="95">
        <v>-0.8</v>
      </c>
      <c r="G97" s="95">
        <v>0.0</v>
      </c>
      <c r="H97" s="95">
        <v>0.7619047619047619</v>
      </c>
    </row>
    <row r="98">
      <c r="A98" s="92" t="s">
        <v>309</v>
      </c>
      <c r="B98" s="94">
        <v>4.848484848484849</v>
      </c>
      <c r="C98" s="95">
        <v>0.0</v>
      </c>
      <c r="D98" s="95">
        <v>0.8</v>
      </c>
      <c r="E98" s="95">
        <v>2.4</v>
      </c>
      <c r="F98" s="95">
        <v>0.8</v>
      </c>
      <c r="G98" s="95">
        <v>0.8</v>
      </c>
      <c r="H98" s="95">
        <v>0.0</v>
      </c>
    </row>
    <row r="99">
      <c r="A99" s="92" t="s">
        <v>310</v>
      </c>
      <c r="B99" s="94">
        <v>4.8</v>
      </c>
      <c r="C99" s="95">
        <v>0.0</v>
      </c>
      <c r="D99" s="95">
        <v>0.0</v>
      </c>
      <c r="E99" s="95">
        <v>0.0</v>
      </c>
      <c r="F99" s="95">
        <v>1.6</v>
      </c>
      <c r="G99" s="95">
        <v>3.3684210526315788</v>
      </c>
      <c r="H99" s="95">
        <v>0.0</v>
      </c>
    </row>
    <row r="100">
      <c r="A100" s="92" t="s">
        <v>311</v>
      </c>
      <c r="B100" s="94">
        <v>4.8</v>
      </c>
      <c r="C100" s="95">
        <v>0.4</v>
      </c>
      <c r="D100" s="95">
        <v>0.0</v>
      </c>
      <c r="E100" s="95">
        <v>2.4</v>
      </c>
      <c r="F100" s="95">
        <v>2.4</v>
      </c>
      <c r="G100" s="95">
        <v>0.0</v>
      </c>
      <c r="H100" s="95">
        <v>0.0</v>
      </c>
    </row>
    <row r="101">
      <c r="A101" s="92" t="s">
        <v>312</v>
      </c>
      <c r="B101" s="94">
        <v>4.574285714285715</v>
      </c>
      <c r="C101" s="95">
        <v>0.0</v>
      </c>
      <c r="D101" s="95">
        <v>0.9975</v>
      </c>
      <c r="E101" s="95">
        <v>1.064</v>
      </c>
      <c r="F101" s="95">
        <v>1.3333333333333333</v>
      </c>
      <c r="G101" s="95">
        <v>0.0</v>
      </c>
      <c r="H101" s="95">
        <v>1.0666666666666667</v>
      </c>
    </row>
    <row r="102">
      <c r="A102" s="92" t="s">
        <v>313</v>
      </c>
      <c r="B102" s="94">
        <v>4.324324324324324</v>
      </c>
      <c r="C102" s="95">
        <v>0.5378378378378378</v>
      </c>
      <c r="D102" s="95">
        <v>0.0</v>
      </c>
      <c r="E102" s="95">
        <v>-1.0666666666666667</v>
      </c>
      <c r="F102" s="95">
        <v>0.0</v>
      </c>
      <c r="G102" s="95">
        <v>6.153846153846154</v>
      </c>
      <c r="H102" s="95">
        <v>0.0</v>
      </c>
    </row>
    <row r="103">
      <c r="A103" s="92" t="s">
        <v>314</v>
      </c>
      <c r="B103" s="94">
        <v>4.2105263157894735</v>
      </c>
      <c r="C103" s="95">
        <v>0.0</v>
      </c>
      <c r="D103" s="95">
        <v>2.2857142857142856</v>
      </c>
      <c r="E103" s="95">
        <v>0.0</v>
      </c>
      <c r="F103" s="95">
        <v>0.0</v>
      </c>
      <c r="G103" s="95">
        <v>2.0</v>
      </c>
      <c r="H103" s="95">
        <v>0.0</v>
      </c>
    </row>
    <row r="104">
      <c r="A104" s="92" t="s">
        <v>315</v>
      </c>
      <c r="B104" s="94">
        <v>4.2105263157894735</v>
      </c>
      <c r="C104" s="95">
        <v>0.0</v>
      </c>
      <c r="D104" s="95">
        <v>4.0</v>
      </c>
      <c r="E104" s="95">
        <v>0.0</v>
      </c>
      <c r="F104" s="95">
        <v>0.0</v>
      </c>
      <c r="G104" s="95">
        <v>0.0</v>
      </c>
      <c r="H104" s="95">
        <v>0.0</v>
      </c>
    </row>
    <row r="105">
      <c r="A105" s="92" t="s">
        <v>316</v>
      </c>
      <c r="B105" s="94">
        <v>4.102564102564103</v>
      </c>
      <c r="C105" s="95">
        <v>0.0</v>
      </c>
      <c r="D105" s="95">
        <v>0.0</v>
      </c>
      <c r="E105" s="95">
        <v>0.0</v>
      </c>
      <c r="F105" s="95">
        <v>0.0</v>
      </c>
      <c r="G105" s="95">
        <v>0.0</v>
      </c>
      <c r="H105" s="95">
        <v>4.571428571428571</v>
      </c>
    </row>
    <row r="106">
      <c r="A106" s="92" t="s">
        <v>318</v>
      </c>
      <c r="B106" s="94">
        <v>4.102564102564103</v>
      </c>
      <c r="C106" s="95">
        <v>0.5128205128205129</v>
      </c>
      <c r="D106" s="95">
        <v>1.0666666666666667</v>
      </c>
      <c r="E106" s="95">
        <v>0.0</v>
      </c>
      <c r="F106" s="95">
        <v>1.0</v>
      </c>
      <c r="G106" s="95">
        <v>1.0</v>
      </c>
      <c r="H106" s="95">
        <v>1.0666666666666667</v>
      </c>
    </row>
    <row r="107">
      <c r="A107" s="92" t="s">
        <v>319</v>
      </c>
      <c r="B107" s="94">
        <v>4.083673469387755</v>
      </c>
      <c r="C107" s="95">
        <v>0.0</v>
      </c>
      <c r="D107" s="95">
        <v>0.0</v>
      </c>
      <c r="E107" s="95">
        <v>1.6</v>
      </c>
      <c r="F107" s="95">
        <v>0.0</v>
      </c>
      <c r="G107" s="95">
        <v>0.0</v>
      </c>
      <c r="H107" s="95">
        <v>2.528421052631579</v>
      </c>
    </row>
    <row r="108">
      <c r="A108" s="92" t="s">
        <v>320</v>
      </c>
      <c r="B108" s="94">
        <v>4.081632653061225</v>
      </c>
      <c r="C108" s="95">
        <v>0.2040816326530612</v>
      </c>
      <c r="D108" s="95">
        <v>0.0</v>
      </c>
      <c r="E108" s="95">
        <v>1.6</v>
      </c>
      <c r="F108" s="95">
        <v>1.6</v>
      </c>
      <c r="G108" s="95">
        <v>0.8421052631578947</v>
      </c>
      <c r="H108" s="95">
        <v>0.0</v>
      </c>
    </row>
    <row r="109">
      <c r="A109" s="92" t="s">
        <v>321</v>
      </c>
      <c r="B109" s="94">
        <v>4.081632653061225</v>
      </c>
      <c r="C109" s="95">
        <v>0.6122448979591836</v>
      </c>
      <c r="D109" s="95">
        <v>0.0</v>
      </c>
      <c r="E109" s="95">
        <v>0.0</v>
      </c>
      <c r="F109" s="95">
        <v>2.4</v>
      </c>
      <c r="G109" s="95">
        <v>2.526315789473684</v>
      </c>
      <c r="H109" s="95">
        <v>-0.8421052631578947</v>
      </c>
    </row>
    <row r="110">
      <c r="A110" s="92" t="s">
        <v>322</v>
      </c>
      <c r="B110" s="94">
        <v>4.067796610169491</v>
      </c>
      <c r="C110" s="95">
        <v>0.0</v>
      </c>
      <c r="D110" s="95">
        <v>0.0</v>
      </c>
      <c r="E110" s="95">
        <v>0.0</v>
      </c>
      <c r="F110" s="95">
        <v>0.0</v>
      </c>
      <c r="G110" s="95">
        <v>0.0</v>
      </c>
      <c r="H110" s="95">
        <v>4.0</v>
      </c>
    </row>
    <row r="111">
      <c r="A111" s="92" t="s">
        <v>323</v>
      </c>
      <c r="B111" s="94">
        <v>4.067796610169491</v>
      </c>
      <c r="C111" s="95">
        <v>0.33559322033898303</v>
      </c>
      <c r="D111" s="95">
        <v>0.0</v>
      </c>
      <c r="E111" s="95">
        <v>0.0</v>
      </c>
      <c r="F111" s="95">
        <v>0.0</v>
      </c>
      <c r="G111" s="95">
        <v>4.0</v>
      </c>
      <c r="H111" s="95">
        <v>0.0</v>
      </c>
    </row>
    <row r="112">
      <c r="A112" s="92" t="s">
        <v>324</v>
      </c>
      <c r="B112" s="94">
        <v>4.0506329113924044</v>
      </c>
      <c r="C112" s="95">
        <v>0.0</v>
      </c>
      <c r="D112" s="95">
        <v>0.0</v>
      </c>
      <c r="E112" s="95">
        <v>0.0</v>
      </c>
      <c r="F112" s="95">
        <v>2.0</v>
      </c>
      <c r="G112" s="95">
        <v>2.0</v>
      </c>
      <c r="H112" s="95">
        <v>0.0</v>
      </c>
    </row>
    <row r="113">
      <c r="A113" s="92" t="s">
        <v>325</v>
      </c>
      <c r="B113" s="94">
        <v>4.040404040404041</v>
      </c>
      <c r="C113" s="95">
        <v>0.0</v>
      </c>
      <c r="D113" s="95">
        <v>0.8421052631578947</v>
      </c>
      <c r="E113" s="95">
        <v>0.0</v>
      </c>
      <c r="F113" s="95">
        <v>0.8</v>
      </c>
      <c r="G113" s="95">
        <v>1.5238095238095237</v>
      </c>
      <c r="H113" s="95">
        <v>0.8421052631578947</v>
      </c>
    </row>
    <row r="114">
      <c r="A114" s="92" t="s">
        <v>326</v>
      </c>
      <c r="B114" s="94">
        <v>4.0</v>
      </c>
      <c r="C114" s="95">
        <v>0.0</v>
      </c>
      <c r="D114" s="95">
        <v>0.0</v>
      </c>
      <c r="E114" s="95">
        <v>0.0</v>
      </c>
      <c r="F114" s="95">
        <v>0.0</v>
      </c>
      <c r="G114" s="95">
        <v>0.0</v>
      </c>
      <c r="H114" s="95">
        <v>4.0</v>
      </c>
    </row>
    <row r="115">
      <c r="A115" s="92" t="s">
        <v>327</v>
      </c>
      <c r="B115" s="94">
        <v>4.0</v>
      </c>
      <c r="C115" s="95">
        <v>0.3333333333333333</v>
      </c>
      <c r="D115" s="95">
        <v>0.0</v>
      </c>
      <c r="E115" s="95">
        <v>0.0</v>
      </c>
      <c r="F115" s="95">
        <v>0.0</v>
      </c>
      <c r="G115" s="95">
        <v>0.0</v>
      </c>
      <c r="H115" s="95">
        <v>4.0</v>
      </c>
    </row>
    <row r="116">
      <c r="A116" s="92" t="s">
        <v>329</v>
      </c>
      <c r="B116" s="94">
        <v>4.0</v>
      </c>
      <c r="C116" s="95">
        <v>0.0</v>
      </c>
      <c r="D116" s="95">
        <v>0.0</v>
      </c>
      <c r="E116" s="95">
        <v>0.0</v>
      </c>
      <c r="F116" s="95">
        <v>0.0</v>
      </c>
      <c r="G116" s="95">
        <v>0.0</v>
      </c>
      <c r="H116" s="95">
        <v>4.0</v>
      </c>
    </row>
    <row r="117">
      <c r="A117" s="92" t="s">
        <v>330</v>
      </c>
      <c r="B117" s="94">
        <v>4.0</v>
      </c>
      <c r="C117" s="95">
        <v>0.0</v>
      </c>
      <c r="D117" s="95">
        <v>0.0</v>
      </c>
      <c r="E117" s="95">
        <v>0.0</v>
      </c>
      <c r="F117" s="95">
        <v>0.0</v>
      </c>
      <c r="G117" s="95">
        <v>3.2</v>
      </c>
      <c r="H117" s="95">
        <v>1.0</v>
      </c>
    </row>
    <row r="118">
      <c r="A118" s="92" t="s">
        <v>331</v>
      </c>
      <c r="B118" s="94">
        <v>4.0</v>
      </c>
      <c r="C118" s="95">
        <v>0.25</v>
      </c>
      <c r="D118" s="95">
        <v>1.0</v>
      </c>
      <c r="E118" s="95">
        <v>2.0</v>
      </c>
      <c r="F118" s="95">
        <v>0.0</v>
      </c>
      <c r="G118" s="95">
        <v>0.0</v>
      </c>
      <c r="H118" s="95">
        <v>1.0</v>
      </c>
    </row>
    <row r="119">
      <c r="A119" s="92" t="s">
        <v>332</v>
      </c>
      <c r="B119" s="94">
        <v>4.0</v>
      </c>
      <c r="C119" s="95">
        <v>0.6</v>
      </c>
      <c r="D119" s="95">
        <v>0.8</v>
      </c>
      <c r="E119" s="95">
        <v>3.2</v>
      </c>
      <c r="F119" s="95">
        <v>-0.8</v>
      </c>
      <c r="G119" s="95">
        <v>0.0</v>
      </c>
      <c r="H119" s="95">
        <v>0.8421052631578947</v>
      </c>
    </row>
    <row r="120">
      <c r="A120" s="92" t="s">
        <v>333</v>
      </c>
      <c r="B120" s="94">
        <v>4.0</v>
      </c>
      <c r="C120" s="95">
        <v>0.0</v>
      </c>
      <c r="D120" s="95">
        <v>0.0</v>
      </c>
      <c r="E120" s="95">
        <v>0.0</v>
      </c>
      <c r="F120" s="95">
        <v>0.0</v>
      </c>
      <c r="G120" s="95">
        <v>4.0</v>
      </c>
      <c r="H120" s="95">
        <v>0.0</v>
      </c>
    </row>
    <row r="121">
      <c r="A121" s="92" t="s">
        <v>334</v>
      </c>
      <c r="B121" s="94">
        <v>4.0</v>
      </c>
      <c r="C121" s="95">
        <v>0.0</v>
      </c>
      <c r="D121" s="95">
        <v>0.0</v>
      </c>
      <c r="E121" s="95">
        <v>0.9411764705882353</v>
      </c>
      <c r="F121" s="95">
        <v>0.0</v>
      </c>
      <c r="G121" s="95">
        <v>3.2</v>
      </c>
      <c r="H121" s="95">
        <v>0.0</v>
      </c>
    </row>
    <row r="122">
      <c r="A122" s="92" t="s">
        <v>335</v>
      </c>
      <c r="B122" s="94">
        <v>4.0</v>
      </c>
      <c r="C122" s="95">
        <v>0.0</v>
      </c>
      <c r="D122" s="95">
        <v>0.0</v>
      </c>
      <c r="E122" s="95">
        <v>1.0</v>
      </c>
      <c r="F122" s="95">
        <v>1.0</v>
      </c>
      <c r="G122" s="95">
        <v>2.0</v>
      </c>
      <c r="H122" s="95">
        <v>0.0</v>
      </c>
    </row>
    <row r="123">
      <c r="A123" s="92" t="s">
        <v>336</v>
      </c>
      <c r="B123" s="94">
        <v>4.0</v>
      </c>
      <c r="C123" s="95">
        <v>0.0</v>
      </c>
      <c r="D123" s="95">
        <v>0.0</v>
      </c>
      <c r="E123" s="95">
        <v>0.0</v>
      </c>
      <c r="F123" s="95">
        <v>2.4</v>
      </c>
      <c r="G123" s="95">
        <v>1.6</v>
      </c>
      <c r="H123" s="95">
        <v>0.0</v>
      </c>
    </row>
    <row r="124">
      <c r="A124" s="92" t="s">
        <v>337</v>
      </c>
      <c r="B124" s="94">
        <v>4.0</v>
      </c>
      <c r="C124" s="95">
        <v>0.0</v>
      </c>
      <c r="D124" s="95">
        <v>0.0</v>
      </c>
      <c r="E124" s="95">
        <v>0.0</v>
      </c>
      <c r="F124" s="95">
        <v>4.0</v>
      </c>
      <c r="G124" s="95">
        <v>0.0</v>
      </c>
      <c r="H124" s="95">
        <v>0.0</v>
      </c>
    </row>
    <row r="125">
      <c r="A125" s="92" t="s">
        <v>338</v>
      </c>
      <c r="B125" s="94">
        <v>4.0</v>
      </c>
      <c r="C125" s="95">
        <v>0.0</v>
      </c>
      <c r="D125" s="95">
        <v>0.0</v>
      </c>
      <c r="E125" s="95">
        <v>2.4615384615384617</v>
      </c>
      <c r="F125" s="95">
        <v>1.3333333333333333</v>
      </c>
      <c r="G125" s="95">
        <v>0.0</v>
      </c>
      <c r="H125" s="95">
        <v>0.0</v>
      </c>
    </row>
    <row r="126">
      <c r="A126" s="92" t="s">
        <v>340</v>
      </c>
      <c r="B126" s="94">
        <v>4.0</v>
      </c>
      <c r="C126" s="95">
        <v>0.5</v>
      </c>
      <c r="D126" s="95">
        <v>0.0</v>
      </c>
      <c r="E126" s="95">
        <v>4.0</v>
      </c>
      <c r="F126" s="95">
        <v>2.0</v>
      </c>
      <c r="G126" s="95">
        <v>-2.0</v>
      </c>
      <c r="H126" s="95">
        <v>0.0</v>
      </c>
    </row>
    <row r="127">
      <c r="A127" s="92" t="s">
        <v>342</v>
      </c>
      <c r="B127" s="94">
        <v>3.404255319148936</v>
      </c>
      <c r="C127" s="95">
        <v>0.0</v>
      </c>
      <c r="D127" s="95">
        <v>0.0</v>
      </c>
      <c r="E127" s="95">
        <v>1.7777777777777777</v>
      </c>
      <c r="F127" s="95">
        <v>0.8421052631578947</v>
      </c>
      <c r="G127" s="95">
        <v>0.8421052631578947</v>
      </c>
      <c r="H127" s="95">
        <v>0.0</v>
      </c>
    </row>
    <row r="128">
      <c r="A128" s="92" t="s">
        <v>343</v>
      </c>
      <c r="B128" s="94">
        <v>3.2876712328767126</v>
      </c>
      <c r="C128" s="95">
        <v>0.0</v>
      </c>
      <c r="D128" s="95">
        <v>3.2</v>
      </c>
      <c r="E128" s="95">
        <v>0.0</v>
      </c>
      <c r="F128" s="95">
        <v>0.0</v>
      </c>
      <c r="G128" s="95">
        <v>0.0</v>
      </c>
      <c r="H128" s="95">
        <v>0.0</v>
      </c>
    </row>
    <row r="129">
      <c r="A129" s="92" t="s">
        <v>344</v>
      </c>
      <c r="B129" s="94">
        <v>3.265306122448979</v>
      </c>
      <c r="C129" s="95">
        <v>0.0</v>
      </c>
      <c r="D129" s="95">
        <v>0.8</v>
      </c>
      <c r="E129" s="95">
        <v>0.0</v>
      </c>
      <c r="F129" s="95">
        <v>0.8</v>
      </c>
      <c r="G129" s="95">
        <v>0.7619047619047619</v>
      </c>
      <c r="H129" s="95">
        <v>0.9411764705882353</v>
      </c>
    </row>
    <row r="130">
      <c r="A130" s="92" t="s">
        <v>345</v>
      </c>
      <c r="B130" s="94">
        <v>3.2323232323232323</v>
      </c>
      <c r="C130" s="95">
        <v>0.0</v>
      </c>
      <c r="D130" s="95">
        <v>0.0</v>
      </c>
      <c r="E130" s="95">
        <v>0.8</v>
      </c>
      <c r="F130" s="95">
        <v>0.8</v>
      </c>
      <c r="G130" s="95">
        <v>1.6</v>
      </c>
      <c r="H130" s="95">
        <v>0.0</v>
      </c>
    </row>
    <row r="131">
      <c r="A131" s="92" t="s">
        <v>346</v>
      </c>
      <c r="B131" s="94">
        <v>3.2323232323232323</v>
      </c>
      <c r="C131" s="95">
        <v>0.20202020202020202</v>
      </c>
      <c r="D131" s="95">
        <v>0.8</v>
      </c>
      <c r="E131" s="95">
        <v>2.4</v>
      </c>
      <c r="F131" s="95">
        <v>0.0</v>
      </c>
      <c r="G131" s="95">
        <v>0.8</v>
      </c>
      <c r="H131" s="95">
        <v>-0.8421052631578947</v>
      </c>
    </row>
    <row r="132">
      <c r="A132" s="92" t="s">
        <v>339</v>
      </c>
      <c r="B132" s="94">
        <v>3.2020000000000004</v>
      </c>
      <c r="C132" s="95">
        <v>0.6</v>
      </c>
      <c r="D132" s="95">
        <v>0.0</v>
      </c>
      <c r="E132" s="95">
        <v>0.0</v>
      </c>
      <c r="F132" s="95">
        <v>0.0</v>
      </c>
      <c r="G132" s="95">
        <v>0.0</v>
      </c>
      <c r="H132" s="95">
        <v>3.2020000000000004</v>
      </c>
    </row>
    <row r="133">
      <c r="A133" s="92" t="s">
        <v>348</v>
      </c>
      <c r="B133" s="94">
        <v>3.2</v>
      </c>
      <c r="C133" s="95">
        <v>0.0</v>
      </c>
      <c r="D133" s="95">
        <v>1.6</v>
      </c>
      <c r="E133" s="95">
        <v>0.7619047619047619</v>
      </c>
      <c r="F133" s="95">
        <v>0.0</v>
      </c>
      <c r="G133" s="95">
        <v>0.0</v>
      </c>
      <c r="H133" s="95">
        <v>0.8</v>
      </c>
    </row>
    <row r="134">
      <c r="A134" s="92" t="s">
        <v>349</v>
      </c>
      <c r="B134" s="94">
        <v>2.807017543859649</v>
      </c>
      <c r="C134" s="95">
        <v>0.0</v>
      </c>
      <c r="D134" s="95">
        <v>0.0</v>
      </c>
      <c r="E134" s="95">
        <v>0.0</v>
      </c>
      <c r="F134" s="95">
        <v>0.0</v>
      </c>
      <c r="G134" s="95">
        <v>0.0</v>
      </c>
      <c r="H134" s="95">
        <v>2.909090909090909</v>
      </c>
    </row>
    <row r="135">
      <c r="A135" s="92" t="s">
        <v>351</v>
      </c>
      <c r="B135" s="94">
        <v>2.7586206896551726</v>
      </c>
      <c r="C135" s="95">
        <v>0.0</v>
      </c>
      <c r="D135" s="95">
        <v>0.0</v>
      </c>
      <c r="E135" s="95">
        <v>0.0</v>
      </c>
      <c r="F135" s="95">
        <v>1.3333333333333333</v>
      </c>
      <c r="G135" s="95">
        <v>0.0</v>
      </c>
      <c r="H135" s="95">
        <v>1.4545454545454546</v>
      </c>
    </row>
    <row r="136">
      <c r="A136" s="92" t="s">
        <v>352</v>
      </c>
      <c r="B136" s="94">
        <v>2.7586206896551726</v>
      </c>
      <c r="C136" s="95">
        <v>0.3448275862068966</v>
      </c>
      <c r="D136" s="95">
        <v>1.4545454545454546</v>
      </c>
      <c r="E136" s="95">
        <v>2.6666666666666665</v>
      </c>
      <c r="F136" s="95">
        <v>-1.3333333333333333</v>
      </c>
      <c r="G136" s="95">
        <v>0.0</v>
      </c>
      <c r="H136" s="95">
        <v>0.0</v>
      </c>
    </row>
    <row r="137">
      <c r="A137" s="92" t="s">
        <v>354</v>
      </c>
      <c r="B137" s="94">
        <v>2.7586206896551726</v>
      </c>
      <c r="C137" s="95">
        <v>0.3448275862068966</v>
      </c>
      <c r="D137" s="95">
        <v>0.0</v>
      </c>
      <c r="E137" s="95">
        <v>2.6666666666666665</v>
      </c>
      <c r="F137" s="95">
        <v>0.0</v>
      </c>
      <c r="G137" s="95">
        <v>1.3333333333333333</v>
      </c>
      <c r="H137" s="95">
        <v>-1.3333333333333333</v>
      </c>
    </row>
    <row r="138">
      <c r="A138" s="92" t="s">
        <v>355</v>
      </c>
      <c r="B138" s="94">
        <v>2.711864406779661</v>
      </c>
      <c r="C138" s="95">
        <v>0.3389830508474576</v>
      </c>
      <c r="D138" s="95">
        <v>0.0</v>
      </c>
      <c r="E138" s="95">
        <v>0.0</v>
      </c>
      <c r="F138" s="95">
        <v>0.0</v>
      </c>
      <c r="G138" s="95">
        <v>0.0</v>
      </c>
      <c r="H138" s="95">
        <v>3.2</v>
      </c>
    </row>
    <row r="139">
      <c r="A139" s="92" t="s">
        <v>356</v>
      </c>
      <c r="B139" s="94">
        <v>2.711864406779661</v>
      </c>
      <c r="C139" s="95">
        <v>0.3389830508474576</v>
      </c>
      <c r="D139" s="95">
        <v>4.0</v>
      </c>
      <c r="E139" s="95">
        <v>0.0</v>
      </c>
      <c r="F139" s="95">
        <v>0.0</v>
      </c>
      <c r="G139" s="95">
        <v>0.0</v>
      </c>
      <c r="H139" s="95">
        <v>-1.6</v>
      </c>
    </row>
    <row r="140">
      <c r="A140" s="92" t="s">
        <v>278</v>
      </c>
      <c r="B140" s="94">
        <v>2.67</v>
      </c>
      <c r="C140" s="95">
        <v>3.0</v>
      </c>
      <c r="D140" s="95">
        <v>0.0</v>
      </c>
      <c r="E140" s="95">
        <v>-1.33</v>
      </c>
      <c r="F140" s="95">
        <v>1.33</v>
      </c>
      <c r="G140" s="95">
        <v>2.67</v>
      </c>
      <c r="H140" s="95">
        <v>0.0</v>
      </c>
    </row>
    <row r="141">
      <c r="A141" s="92" t="s">
        <v>357</v>
      </c>
      <c r="B141" s="94">
        <v>2.6666666666666665</v>
      </c>
      <c r="C141" s="95">
        <v>0.0</v>
      </c>
      <c r="D141" s="95">
        <v>0.0</v>
      </c>
      <c r="E141" s="95">
        <v>0.0</v>
      </c>
      <c r="F141" s="95">
        <v>0.0</v>
      </c>
      <c r="G141" s="95">
        <v>0.0</v>
      </c>
      <c r="H141" s="95">
        <v>2.6666666666666665</v>
      </c>
    </row>
    <row r="142">
      <c r="A142" s="92" t="s">
        <v>358</v>
      </c>
      <c r="B142" s="94">
        <v>2.6666666666666665</v>
      </c>
      <c r="C142" s="95">
        <v>0.3333333333333333</v>
      </c>
      <c r="D142" s="95">
        <v>0.0</v>
      </c>
      <c r="E142" s="95">
        <v>0.0</v>
      </c>
      <c r="F142" s="95">
        <v>-1.3333333333333333</v>
      </c>
      <c r="G142" s="95">
        <v>4.0</v>
      </c>
      <c r="H142" s="95">
        <v>0.0</v>
      </c>
    </row>
    <row r="143">
      <c r="A143" s="92" t="s">
        <v>359</v>
      </c>
      <c r="B143" s="94">
        <v>2.6666666666666665</v>
      </c>
      <c r="C143" s="95">
        <v>0.0</v>
      </c>
      <c r="D143" s="95">
        <v>3.3333333333333335</v>
      </c>
      <c r="E143" s="95">
        <v>0.0</v>
      </c>
      <c r="F143" s="95">
        <v>0.0</v>
      </c>
      <c r="G143" s="95">
        <v>0.0</v>
      </c>
      <c r="H143" s="95">
        <v>0.0</v>
      </c>
    </row>
    <row r="144">
      <c r="A144" s="92" t="s">
        <v>361</v>
      </c>
      <c r="B144" s="94">
        <v>2.55531914893617</v>
      </c>
      <c r="C144" s="95">
        <v>0.0</v>
      </c>
      <c r="D144" s="95">
        <v>0.0</v>
      </c>
      <c r="E144" s="95">
        <v>1.6821052631578948</v>
      </c>
      <c r="F144" s="95">
        <v>0.8866666666666667</v>
      </c>
      <c r="G144" s="95">
        <v>0.0</v>
      </c>
      <c r="H144" s="95">
        <v>0.0</v>
      </c>
    </row>
    <row r="145">
      <c r="A145" s="92" t="s">
        <v>362</v>
      </c>
      <c r="B145" s="94">
        <v>2.4489795918367343</v>
      </c>
      <c r="C145" s="95">
        <v>0.0</v>
      </c>
      <c r="D145" s="95">
        <v>2.4</v>
      </c>
      <c r="E145" s="95">
        <v>0.0</v>
      </c>
      <c r="F145" s="95">
        <v>0.0</v>
      </c>
      <c r="G145" s="95">
        <v>0.0</v>
      </c>
      <c r="H145" s="95">
        <v>0.0</v>
      </c>
    </row>
    <row r="146">
      <c r="A146" s="92" t="s">
        <v>328</v>
      </c>
      <c r="B146" s="94">
        <v>2.426262626262626</v>
      </c>
      <c r="C146" s="95">
        <v>0.608080808080808</v>
      </c>
      <c r="D146" s="95">
        <v>0.0</v>
      </c>
      <c r="E146" s="95">
        <v>0.0</v>
      </c>
      <c r="F146" s="95">
        <v>-0.798</v>
      </c>
      <c r="G146" s="95">
        <v>0.0</v>
      </c>
      <c r="H146" s="95">
        <v>3.2</v>
      </c>
    </row>
    <row r="147">
      <c r="A147" s="92" t="s">
        <v>364</v>
      </c>
      <c r="B147" s="94">
        <v>2.4242424242424243</v>
      </c>
      <c r="C147" s="95">
        <v>0.20202020202020202</v>
      </c>
      <c r="D147" s="95">
        <v>0.0</v>
      </c>
      <c r="E147" s="95">
        <v>0.0</v>
      </c>
      <c r="F147" s="95">
        <v>1.6</v>
      </c>
      <c r="G147" s="95">
        <v>0.0</v>
      </c>
      <c r="H147" s="95">
        <v>0.8421052631578947</v>
      </c>
    </row>
    <row r="148">
      <c r="A148" s="92" t="s">
        <v>365</v>
      </c>
      <c r="B148" s="94">
        <v>2.4242424242424243</v>
      </c>
      <c r="C148" s="95">
        <v>0.40404040404040403</v>
      </c>
      <c r="D148" s="95">
        <v>0.0</v>
      </c>
      <c r="E148" s="95">
        <v>1.5238095238095237</v>
      </c>
      <c r="F148" s="95">
        <v>0.0</v>
      </c>
      <c r="G148" s="95">
        <v>0.0</v>
      </c>
      <c r="H148" s="95">
        <v>0.8421052631578947</v>
      </c>
    </row>
    <row r="149">
      <c r="A149" s="92" t="s">
        <v>366</v>
      </c>
      <c r="B149" s="94">
        <v>2.4242424242424243</v>
      </c>
      <c r="C149" s="95">
        <v>0.0</v>
      </c>
      <c r="D149" s="95">
        <v>0.0</v>
      </c>
      <c r="E149" s="95">
        <v>0.0</v>
      </c>
      <c r="F149" s="95">
        <v>0.0</v>
      </c>
      <c r="G149" s="95">
        <v>2.6666666666666665</v>
      </c>
      <c r="H149" s="95">
        <v>0.0</v>
      </c>
    </row>
    <row r="150">
      <c r="A150" s="92" t="s">
        <v>367</v>
      </c>
      <c r="B150" s="94">
        <v>2.4242424242424243</v>
      </c>
      <c r="C150" s="95">
        <v>0.0</v>
      </c>
      <c r="D150" s="95">
        <v>0.0</v>
      </c>
      <c r="E150" s="95">
        <v>0.0</v>
      </c>
      <c r="F150" s="95">
        <v>0.0</v>
      </c>
      <c r="G150" s="95">
        <v>2.4</v>
      </c>
      <c r="H150" s="95">
        <v>0.0</v>
      </c>
    </row>
    <row r="151">
      <c r="A151" s="92" t="s">
        <v>368</v>
      </c>
      <c r="B151" s="94">
        <v>2.402</v>
      </c>
      <c r="C151" s="95">
        <v>0.198</v>
      </c>
      <c r="D151" s="95">
        <v>0.0</v>
      </c>
      <c r="E151" s="95">
        <v>0.0</v>
      </c>
      <c r="F151" s="95">
        <v>0.0</v>
      </c>
      <c r="G151" s="95">
        <v>2.402</v>
      </c>
      <c r="H151" s="95">
        <v>0.0</v>
      </c>
    </row>
    <row r="152">
      <c r="A152" s="92" t="s">
        <v>369</v>
      </c>
      <c r="B152" s="94">
        <v>2.4</v>
      </c>
      <c r="C152" s="95">
        <v>0.2</v>
      </c>
      <c r="D152" s="95">
        <v>0.8</v>
      </c>
      <c r="E152" s="95">
        <v>0.0</v>
      </c>
      <c r="F152" s="95">
        <v>0.0</v>
      </c>
      <c r="G152" s="95">
        <v>1.6</v>
      </c>
      <c r="H152" s="95">
        <v>0.0</v>
      </c>
    </row>
    <row r="153">
      <c r="A153" s="92" t="s">
        <v>370</v>
      </c>
      <c r="B153" s="94">
        <v>2.4</v>
      </c>
      <c r="C153" s="95">
        <v>0.0</v>
      </c>
      <c r="D153" s="95">
        <v>0.0</v>
      </c>
      <c r="E153" s="95">
        <v>0.0</v>
      </c>
      <c r="F153" s="95">
        <v>2.4</v>
      </c>
      <c r="G153" s="95">
        <v>0.0</v>
      </c>
      <c r="H153" s="95">
        <v>0.0</v>
      </c>
    </row>
    <row r="154">
      <c r="A154" s="92" t="s">
        <v>371</v>
      </c>
      <c r="B154" s="94">
        <v>2.282857142857143</v>
      </c>
      <c r="C154" s="95">
        <v>0.0</v>
      </c>
      <c r="D154" s="95">
        <v>1.9975</v>
      </c>
      <c r="E154" s="95">
        <v>0.0</v>
      </c>
      <c r="F154" s="95">
        <v>0.0</v>
      </c>
      <c r="G154" s="95">
        <v>0.0</v>
      </c>
      <c r="H154" s="95">
        <v>0.0</v>
      </c>
    </row>
    <row r="155">
      <c r="A155" s="92" t="s">
        <v>372</v>
      </c>
      <c r="B155" s="94">
        <v>2.191780821917808</v>
      </c>
      <c r="C155" s="95">
        <v>0.273972602739726</v>
      </c>
      <c r="D155" s="95">
        <v>0.0</v>
      </c>
      <c r="E155" s="95">
        <v>0.0</v>
      </c>
      <c r="F155" s="95">
        <v>1.0666666666666667</v>
      </c>
      <c r="G155" s="95">
        <v>0.0</v>
      </c>
      <c r="H155" s="95">
        <v>1.0666666666666667</v>
      </c>
    </row>
    <row r="156">
      <c r="A156" s="92" t="s">
        <v>373</v>
      </c>
      <c r="B156" s="94">
        <v>2.162162162162162</v>
      </c>
      <c r="C156" s="95">
        <v>0.0</v>
      </c>
      <c r="D156" s="95">
        <v>0.0</v>
      </c>
      <c r="E156" s="95">
        <v>0.0</v>
      </c>
      <c r="F156" s="95">
        <v>2.0</v>
      </c>
      <c r="G156" s="95">
        <v>0.0</v>
      </c>
      <c r="H156" s="95">
        <v>0.0</v>
      </c>
    </row>
    <row r="157">
      <c r="A157" s="92" t="s">
        <v>374</v>
      </c>
      <c r="B157" s="94">
        <v>2.1052631578947367</v>
      </c>
      <c r="C157" s="95">
        <v>0.0</v>
      </c>
      <c r="D157" s="95">
        <v>0.0</v>
      </c>
      <c r="E157" s="95">
        <v>0.0</v>
      </c>
      <c r="F157" s="95">
        <v>0.0</v>
      </c>
      <c r="G157" s="95">
        <v>0.0</v>
      </c>
      <c r="H157" s="95">
        <v>2.2857142857142856</v>
      </c>
    </row>
    <row r="158">
      <c r="A158" s="92" t="s">
        <v>375</v>
      </c>
      <c r="B158" s="94">
        <v>2.0512820512820515</v>
      </c>
      <c r="C158" s="95">
        <v>0.0</v>
      </c>
      <c r="D158" s="95">
        <v>0.0</v>
      </c>
      <c r="E158" s="95">
        <v>0.0</v>
      </c>
      <c r="F158" s="95">
        <v>0.0</v>
      </c>
      <c r="G158" s="95">
        <v>0.0</v>
      </c>
      <c r="H158" s="95">
        <v>2.1333333333333333</v>
      </c>
    </row>
    <row r="159">
      <c r="A159" s="92" t="s">
        <v>376</v>
      </c>
      <c r="B159" s="94">
        <v>2.0512820512820515</v>
      </c>
      <c r="C159" s="95">
        <v>0.0</v>
      </c>
      <c r="D159" s="95">
        <v>1.25</v>
      </c>
      <c r="E159" s="95">
        <v>0.0</v>
      </c>
      <c r="F159" s="95">
        <v>0.0</v>
      </c>
      <c r="G159" s="95">
        <v>0.0</v>
      </c>
      <c r="H159" s="95">
        <v>1.3333333333333333</v>
      </c>
    </row>
    <row r="160">
      <c r="A160" s="92" t="s">
        <v>377</v>
      </c>
      <c r="B160" s="94">
        <v>2.0512820512820515</v>
      </c>
      <c r="C160" s="95">
        <v>0.0</v>
      </c>
      <c r="D160" s="95">
        <v>0.0</v>
      </c>
      <c r="E160" s="95">
        <v>0.0</v>
      </c>
      <c r="F160" s="95">
        <v>0.0</v>
      </c>
      <c r="G160" s="95">
        <v>2.0</v>
      </c>
      <c r="H160" s="95">
        <v>0.0</v>
      </c>
    </row>
    <row r="161">
      <c r="A161" s="92" t="s">
        <v>378</v>
      </c>
      <c r="B161" s="94">
        <v>2.0512820512820515</v>
      </c>
      <c r="C161" s="95">
        <v>0.0</v>
      </c>
      <c r="D161" s="95">
        <v>2.0</v>
      </c>
      <c r="E161" s="95">
        <v>0.0</v>
      </c>
      <c r="F161" s="95">
        <v>0.0</v>
      </c>
      <c r="G161" s="95">
        <v>0.0</v>
      </c>
      <c r="H161" s="95">
        <v>0.0</v>
      </c>
    </row>
    <row r="162">
      <c r="A162" s="92" t="s">
        <v>379</v>
      </c>
      <c r="B162" s="94">
        <v>2.0</v>
      </c>
      <c r="C162" s="95">
        <v>0.0</v>
      </c>
      <c r="D162" s="95">
        <v>0.0</v>
      </c>
      <c r="E162" s="95">
        <v>0.0</v>
      </c>
      <c r="F162" s="95">
        <v>0.0</v>
      </c>
      <c r="G162" s="95">
        <v>0.0</v>
      </c>
      <c r="H162" s="95">
        <v>2.0</v>
      </c>
    </row>
    <row r="163">
      <c r="A163" s="92" t="s">
        <v>380</v>
      </c>
      <c r="B163" s="94">
        <v>2.0</v>
      </c>
      <c r="C163" s="95">
        <v>0.0</v>
      </c>
      <c r="D163" s="95">
        <v>0.0</v>
      </c>
      <c r="E163" s="95">
        <v>0.0</v>
      </c>
      <c r="F163" s="95">
        <v>0.0</v>
      </c>
      <c r="G163" s="95">
        <v>0.0</v>
      </c>
      <c r="H163" s="95">
        <v>2.0</v>
      </c>
    </row>
    <row r="164">
      <c r="A164" s="92" t="s">
        <v>381</v>
      </c>
      <c r="B164" s="94">
        <v>2.0</v>
      </c>
      <c r="C164" s="95">
        <v>0.0</v>
      </c>
      <c r="D164" s="95">
        <v>0.0</v>
      </c>
      <c r="E164" s="95">
        <v>0.0</v>
      </c>
      <c r="F164" s="95">
        <v>1.0</v>
      </c>
      <c r="G164" s="95">
        <v>1.0</v>
      </c>
      <c r="H164" s="95">
        <v>0.0</v>
      </c>
    </row>
    <row r="165">
      <c r="A165" s="92" t="s">
        <v>382</v>
      </c>
      <c r="B165" s="94">
        <v>2.0</v>
      </c>
      <c r="C165" s="95">
        <v>0.0</v>
      </c>
      <c r="D165" s="95">
        <v>0.0</v>
      </c>
      <c r="E165" s="95">
        <v>0.0</v>
      </c>
      <c r="F165" s="95">
        <v>2.0</v>
      </c>
      <c r="G165" s="95">
        <v>0.0</v>
      </c>
      <c r="H165" s="95">
        <v>0.0</v>
      </c>
    </row>
    <row r="166">
      <c r="A166" s="92" t="s">
        <v>383</v>
      </c>
      <c r="B166" s="94">
        <v>2.0</v>
      </c>
      <c r="C166" s="95">
        <v>0.0</v>
      </c>
      <c r="D166" s="95">
        <v>0.0</v>
      </c>
      <c r="E166" s="95">
        <v>0.0</v>
      </c>
      <c r="F166" s="95">
        <v>2.0</v>
      </c>
      <c r="G166" s="95">
        <v>0.0</v>
      </c>
      <c r="H166" s="95">
        <v>0.0</v>
      </c>
    </row>
    <row r="167">
      <c r="A167" s="92" t="s">
        <v>384</v>
      </c>
      <c r="B167" s="94">
        <v>1.6306122448979592</v>
      </c>
      <c r="C167" s="95">
        <v>0.0</v>
      </c>
      <c r="D167" s="95">
        <v>0.0</v>
      </c>
      <c r="E167" s="95">
        <v>0.798</v>
      </c>
      <c r="F167" s="95">
        <v>0.8</v>
      </c>
      <c r="G167" s="95">
        <v>0.0</v>
      </c>
      <c r="H167" s="95">
        <v>0.0</v>
      </c>
    </row>
    <row r="168">
      <c r="A168" s="92" t="s">
        <v>307</v>
      </c>
      <c r="B168" s="94">
        <v>1.6161616161616161</v>
      </c>
      <c r="C168" s="95">
        <v>0.8080808080808081</v>
      </c>
      <c r="D168" s="95">
        <v>0.0</v>
      </c>
      <c r="E168" s="95">
        <v>0.8421052631578947</v>
      </c>
      <c r="F168" s="95">
        <v>0.8</v>
      </c>
      <c r="G168" s="95">
        <v>0.0</v>
      </c>
      <c r="H168" s="95">
        <v>0.0</v>
      </c>
    </row>
    <row r="169">
      <c r="A169" s="92" t="s">
        <v>385</v>
      </c>
      <c r="B169" s="94">
        <v>1.6</v>
      </c>
      <c r="C169" s="95">
        <v>0.0</v>
      </c>
      <c r="D169" s="95">
        <v>0.0</v>
      </c>
      <c r="E169" s="95">
        <v>0.0</v>
      </c>
      <c r="F169" s="95">
        <v>0.8</v>
      </c>
      <c r="G169" s="95">
        <v>0.8</v>
      </c>
      <c r="H169" s="95">
        <v>0.0</v>
      </c>
    </row>
    <row r="170">
      <c r="A170" s="92" t="s">
        <v>386</v>
      </c>
      <c r="B170" s="94">
        <v>1.3559322033898304</v>
      </c>
      <c r="C170" s="95">
        <v>0.0</v>
      </c>
      <c r="D170" s="95">
        <v>1.4545454545454546</v>
      </c>
      <c r="E170" s="95">
        <v>0.0</v>
      </c>
      <c r="F170" s="95">
        <v>0.0</v>
      </c>
      <c r="G170" s="95">
        <v>0.0</v>
      </c>
      <c r="H170" s="95">
        <v>0.0</v>
      </c>
    </row>
    <row r="171">
      <c r="A171" s="92" t="s">
        <v>387</v>
      </c>
      <c r="B171" s="94">
        <v>1.3559322033898304</v>
      </c>
      <c r="C171" s="95">
        <v>0.0</v>
      </c>
      <c r="D171" s="95">
        <v>1.3333333333333333</v>
      </c>
      <c r="E171" s="95">
        <v>0.0</v>
      </c>
      <c r="F171" s="95">
        <v>0.0</v>
      </c>
      <c r="G171" s="95">
        <v>0.0</v>
      </c>
      <c r="H171" s="95">
        <v>0.0</v>
      </c>
    </row>
    <row r="172">
      <c r="A172" s="92" t="s">
        <v>317</v>
      </c>
      <c r="B172" s="94">
        <v>1.352542372881356</v>
      </c>
      <c r="C172" s="95">
        <v>0.6813559322033897</v>
      </c>
      <c r="D172" s="95">
        <v>0.0</v>
      </c>
      <c r="E172" s="95">
        <v>0.0</v>
      </c>
      <c r="F172" s="95">
        <v>0.0</v>
      </c>
      <c r="G172" s="95">
        <v>1.33</v>
      </c>
      <c r="H172" s="95">
        <v>0.0</v>
      </c>
    </row>
    <row r="173">
      <c r="A173" s="92" t="s">
        <v>389</v>
      </c>
      <c r="B173" s="94">
        <v>1.352542372881356</v>
      </c>
      <c r="C173" s="95">
        <v>0.33559322033898303</v>
      </c>
      <c r="D173" s="95">
        <v>1.33</v>
      </c>
      <c r="E173" s="95">
        <v>0.0</v>
      </c>
      <c r="F173" s="95">
        <v>0.0</v>
      </c>
      <c r="G173" s="95">
        <v>0.0</v>
      </c>
      <c r="H173" s="95">
        <v>0.0</v>
      </c>
    </row>
    <row r="174">
      <c r="A174" s="92" t="s">
        <v>390</v>
      </c>
      <c r="B174" s="94">
        <v>1.3333333333333333</v>
      </c>
      <c r="C174" s="95">
        <v>0.0</v>
      </c>
      <c r="D174" s="95">
        <v>0.0</v>
      </c>
      <c r="E174" s="95">
        <v>1.3333333333333333</v>
      </c>
      <c r="F174" s="95">
        <v>0.0</v>
      </c>
      <c r="G174" s="95">
        <v>0.0</v>
      </c>
      <c r="H174" s="95">
        <v>0.0</v>
      </c>
    </row>
    <row r="175">
      <c r="A175" s="92" t="s">
        <v>347</v>
      </c>
      <c r="B175" s="94">
        <v>1.0666666666666667</v>
      </c>
      <c r="C175" s="95">
        <v>0.5333333333333333</v>
      </c>
      <c r="D175" s="95">
        <v>0.0</v>
      </c>
      <c r="E175" s="95">
        <v>0.0</v>
      </c>
      <c r="F175" s="95">
        <v>-1.0</v>
      </c>
      <c r="G175" s="95">
        <v>2.2857142857142856</v>
      </c>
      <c r="H175" s="95">
        <v>0.0</v>
      </c>
    </row>
    <row r="176">
      <c r="A176" s="92" t="s">
        <v>353</v>
      </c>
      <c r="B176" s="94">
        <v>1.0256410256410258</v>
      </c>
      <c r="C176" s="95">
        <v>0.5128205128205128</v>
      </c>
      <c r="D176" s="95">
        <v>0.0</v>
      </c>
      <c r="E176" s="95">
        <v>0.0</v>
      </c>
      <c r="F176" s="95">
        <v>1.25</v>
      </c>
      <c r="G176" s="95">
        <v>-1.3333333333333333</v>
      </c>
      <c r="H176" s="95">
        <v>1.3333333333333333</v>
      </c>
    </row>
    <row r="177">
      <c r="A177" s="92" t="s">
        <v>392</v>
      </c>
      <c r="B177" s="94">
        <v>1.0256410256410258</v>
      </c>
      <c r="C177" s="95">
        <v>0.0</v>
      </c>
      <c r="D177" s="95">
        <v>0.0</v>
      </c>
      <c r="E177" s="95">
        <v>1.25</v>
      </c>
      <c r="F177" s="95">
        <v>0.0</v>
      </c>
      <c r="G177" s="95">
        <v>0.0</v>
      </c>
      <c r="H177" s="95">
        <v>0.0</v>
      </c>
    </row>
    <row r="178">
      <c r="A178" s="92" t="s">
        <v>393</v>
      </c>
      <c r="B178" s="94">
        <v>1.010126582278481</v>
      </c>
      <c r="C178" s="95">
        <v>0.0</v>
      </c>
      <c r="D178" s="95">
        <v>0.9975</v>
      </c>
      <c r="E178" s="95">
        <v>0.0</v>
      </c>
      <c r="F178" s="95">
        <v>0.0</v>
      </c>
      <c r="G178" s="95">
        <v>0.0</v>
      </c>
      <c r="H178" s="95">
        <v>0.0</v>
      </c>
    </row>
    <row r="179">
      <c r="A179" s="92" t="s">
        <v>394</v>
      </c>
      <c r="B179" s="94">
        <v>1.0</v>
      </c>
      <c r="C179" s="95">
        <v>0.0</v>
      </c>
      <c r="D179" s="95">
        <v>0.0</v>
      </c>
      <c r="E179" s="95">
        <v>1.0</v>
      </c>
      <c r="F179" s="95">
        <v>0.0</v>
      </c>
      <c r="G179" s="95">
        <v>0.0</v>
      </c>
      <c r="H179" s="95">
        <v>0.0</v>
      </c>
    </row>
    <row r="180">
      <c r="A180" s="92" t="s">
        <v>360</v>
      </c>
      <c r="B180" s="94">
        <v>0.0</v>
      </c>
      <c r="C180" s="95">
        <v>0.5</v>
      </c>
      <c r="D180" s="95">
        <v>-2.0</v>
      </c>
      <c r="E180" s="95">
        <v>0.0</v>
      </c>
      <c r="F180" s="95">
        <v>0.0</v>
      </c>
      <c r="G180" s="95">
        <v>0.0</v>
      </c>
      <c r="H180" s="95">
        <v>2.0</v>
      </c>
    </row>
    <row r="181">
      <c r="A181" s="92" t="s">
        <v>396</v>
      </c>
      <c r="B181" s="94">
        <v>0.0</v>
      </c>
      <c r="C181" s="95">
        <v>0.3333333333333333</v>
      </c>
      <c r="D181" s="95">
        <v>0.0</v>
      </c>
      <c r="E181" s="95">
        <v>0.0</v>
      </c>
      <c r="F181" s="95">
        <v>-1.3333333333333333</v>
      </c>
      <c r="G181" s="95">
        <v>1.3333333333333333</v>
      </c>
      <c r="H181" s="95">
        <v>0.0</v>
      </c>
    </row>
    <row r="182">
      <c r="A182" s="92" t="s">
        <v>397</v>
      </c>
      <c r="B182" s="94">
        <v>0.0</v>
      </c>
      <c r="C182" s="95">
        <v>0.3333333333333333</v>
      </c>
      <c r="D182" s="95">
        <v>0.0</v>
      </c>
      <c r="E182" s="95">
        <v>0.0</v>
      </c>
      <c r="F182" s="95">
        <v>-1.3333333333333333</v>
      </c>
      <c r="G182" s="95">
        <v>1.3333333333333333</v>
      </c>
      <c r="H182" s="95">
        <v>0.0</v>
      </c>
    </row>
    <row r="183">
      <c r="A183" s="92" t="s">
        <v>398</v>
      </c>
      <c r="B183" s="94">
        <v>0.0</v>
      </c>
      <c r="C183" s="95">
        <v>0.0</v>
      </c>
      <c r="D183" s="95">
        <v>0.0</v>
      </c>
      <c r="E183" s="95">
        <v>0.0</v>
      </c>
      <c r="F183" s="95">
        <v>0.0</v>
      </c>
      <c r="G183" s="95">
        <v>0.0</v>
      </c>
      <c r="H183" s="95">
        <v>0.0</v>
      </c>
    </row>
    <row r="184">
      <c r="A184" s="92" t="s">
        <v>399</v>
      </c>
      <c r="B184" s="94">
        <v>0.0</v>
      </c>
      <c r="C184" s="95">
        <v>0.0</v>
      </c>
      <c r="D184" s="95">
        <v>0.0</v>
      </c>
      <c r="E184" s="95">
        <v>0.0</v>
      </c>
      <c r="F184" s="95">
        <v>0.0</v>
      </c>
      <c r="G184" s="95">
        <v>0.0</v>
      </c>
      <c r="H184" s="95">
        <v>0.0</v>
      </c>
    </row>
    <row r="185">
      <c r="A185" s="92" t="s">
        <v>400</v>
      </c>
      <c r="B185" s="94">
        <v>0.0</v>
      </c>
      <c r="C185" s="95">
        <v>0.0</v>
      </c>
      <c r="D185" s="95">
        <v>0.0</v>
      </c>
      <c r="E185" s="95">
        <v>0.0</v>
      </c>
      <c r="F185" s="95">
        <v>0.0</v>
      </c>
      <c r="G185" s="95">
        <v>0.0</v>
      </c>
      <c r="H185" s="95">
        <v>0.0</v>
      </c>
    </row>
    <row r="186">
      <c r="A186" s="92" t="s">
        <v>401</v>
      </c>
      <c r="B186" s="94">
        <v>0.0</v>
      </c>
      <c r="C186" s="95">
        <v>0.0</v>
      </c>
      <c r="D186" s="95">
        <v>0.0</v>
      </c>
      <c r="E186" s="95">
        <v>0.0</v>
      </c>
      <c r="F186" s="95">
        <v>0.0</v>
      </c>
      <c r="G186" s="95">
        <v>0.0</v>
      </c>
      <c r="H186" s="95">
        <v>0.0</v>
      </c>
    </row>
    <row r="187">
      <c r="A187" s="92" t="s">
        <v>402</v>
      </c>
      <c r="B187" s="94">
        <v>0.0</v>
      </c>
      <c r="C187" s="95">
        <v>0.0</v>
      </c>
      <c r="D187" s="95">
        <v>0.0</v>
      </c>
      <c r="E187" s="95">
        <v>0.0</v>
      </c>
      <c r="F187" s="95">
        <v>0.0</v>
      </c>
      <c r="G187" s="95">
        <v>0.0</v>
      </c>
      <c r="H187" s="95">
        <v>0.0</v>
      </c>
    </row>
    <row r="188">
      <c r="A188" s="92" t="s">
        <v>403</v>
      </c>
      <c r="B188" s="94">
        <v>0.0</v>
      </c>
      <c r="C188" s="95">
        <v>0.0</v>
      </c>
      <c r="D188" s="95">
        <v>0.0</v>
      </c>
      <c r="E188" s="95">
        <v>0.0</v>
      </c>
      <c r="F188" s="95">
        <v>0.0</v>
      </c>
      <c r="G188" s="95">
        <v>0.0</v>
      </c>
      <c r="H188" s="95">
        <v>0.0</v>
      </c>
    </row>
    <row r="189">
      <c r="A189" s="92" t="s">
        <v>363</v>
      </c>
      <c r="B189" s="94">
        <v>0.0</v>
      </c>
      <c r="C189" s="95">
        <v>0.5</v>
      </c>
      <c r="D189" s="95">
        <v>0.0</v>
      </c>
      <c r="E189" s="95">
        <v>0.0</v>
      </c>
      <c r="F189" s="95">
        <v>0.0</v>
      </c>
      <c r="G189" s="95">
        <v>0.0</v>
      </c>
      <c r="H189" s="95">
        <v>0.0</v>
      </c>
    </row>
    <row r="190">
      <c r="A190" s="92" t="s">
        <v>405</v>
      </c>
      <c r="B190" s="94">
        <v>0.0</v>
      </c>
      <c r="C190" s="95">
        <v>0.0</v>
      </c>
      <c r="D190" s="95">
        <v>0.0</v>
      </c>
      <c r="E190" s="95">
        <v>0.0</v>
      </c>
      <c r="F190" s="95">
        <v>0.0</v>
      </c>
      <c r="G190" s="95">
        <v>0.0</v>
      </c>
      <c r="H190" s="95">
        <v>0.0</v>
      </c>
    </row>
    <row r="191">
      <c r="A191" s="92" t="s">
        <v>350</v>
      </c>
      <c r="B191" s="94">
        <v>0.0</v>
      </c>
      <c r="C191" s="95">
        <v>0.5128205128205129</v>
      </c>
      <c r="D191" s="95">
        <v>0.0</v>
      </c>
      <c r="E191" s="95">
        <v>0.0</v>
      </c>
      <c r="F191" s="95">
        <v>0.0</v>
      </c>
      <c r="G191" s="95">
        <v>0.0</v>
      </c>
      <c r="H191" s="95">
        <v>0.0</v>
      </c>
    </row>
    <row r="192">
      <c r="A192" s="92" t="s">
        <v>406</v>
      </c>
      <c r="B192" s="94">
        <v>0.0</v>
      </c>
      <c r="C192" s="95">
        <v>0.0</v>
      </c>
      <c r="D192" s="95">
        <v>0.0</v>
      </c>
      <c r="E192" s="95">
        <v>0.0</v>
      </c>
      <c r="F192" s="95">
        <v>0.0</v>
      </c>
      <c r="G192" s="95">
        <v>0.0</v>
      </c>
      <c r="H192" s="95">
        <v>0.0</v>
      </c>
    </row>
    <row r="193">
      <c r="A193" s="92" t="s">
        <v>407</v>
      </c>
      <c r="B193" s="94">
        <v>0.0</v>
      </c>
      <c r="C193" s="95">
        <v>0.0</v>
      </c>
      <c r="D193" s="95">
        <v>0.0</v>
      </c>
      <c r="E193" s="95">
        <v>0.0</v>
      </c>
      <c r="F193" s="95">
        <v>0.0</v>
      </c>
      <c r="G193" s="95">
        <v>0.0</v>
      </c>
      <c r="H193" s="95">
        <v>0.0</v>
      </c>
    </row>
    <row r="194">
      <c r="A194" s="92" t="s">
        <v>395</v>
      </c>
      <c r="B194" s="94">
        <v>0.0</v>
      </c>
      <c r="C194" s="95">
        <v>0.3448275862068966</v>
      </c>
      <c r="D194" s="95">
        <v>0.0</v>
      </c>
      <c r="E194" s="95">
        <v>0.0</v>
      </c>
      <c r="F194" s="95">
        <v>0.0</v>
      </c>
      <c r="G194" s="95">
        <v>0.0</v>
      </c>
      <c r="H194" s="95">
        <v>0.0</v>
      </c>
    </row>
    <row r="195">
      <c r="A195" s="92" t="s">
        <v>408</v>
      </c>
      <c r="B195" s="94">
        <v>0.0</v>
      </c>
      <c r="C195" s="95">
        <v>0.0</v>
      </c>
      <c r="D195" s="95">
        <v>0.0</v>
      </c>
      <c r="E195" s="95">
        <v>0.0</v>
      </c>
      <c r="F195" s="95">
        <v>0.0</v>
      </c>
      <c r="G195" s="95">
        <v>0.0</v>
      </c>
      <c r="H195" s="95">
        <v>0.0</v>
      </c>
    </row>
    <row r="196">
      <c r="A196" s="92" t="s">
        <v>409</v>
      </c>
      <c r="B196" s="94">
        <v>0.0</v>
      </c>
      <c r="C196" s="95">
        <v>0.0</v>
      </c>
      <c r="D196" s="95">
        <v>0.0</v>
      </c>
      <c r="E196" s="95">
        <v>0.0</v>
      </c>
      <c r="F196" s="95">
        <v>0.0</v>
      </c>
      <c r="G196" s="95">
        <v>0.0</v>
      </c>
      <c r="H196" s="95">
        <v>0.0</v>
      </c>
    </row>
    <row r="197">
      <c r="A197" s="92" t="s">
        <v>410</v>
      </c>
      <c r="B197" s="94">
        <v>0.0</v>
      </c>
      <c r="C197" s="95">
        <v>0.0</v>
      </c>
      <c r="D197" s="95">
        <v>0.0</v>
      </c>
      <c r="E197" s="95">
        <v>0.0</v>
      </c>
      <c r="F197" s="95">
        <v>0.0</v>
      </c>
      <c r="G197" s="95">
        <v>0.0</v>
      </c>
      <c r="H197" s="95">
        <v>0.0</v>
      </c>
    </row>
    <row r="198">
      <c r="A198" s="92" t="s">
        <v>411</v>
      </c>
      <c r="B198" s="94">
        <v>0.0</v>
      </c>
      <c r="C198" s="95">
        <v>0.0</v>
      </c>
      <c r="D198" s="95">
        <v>0.0</v>
      </c>
      <c r="E198" s="95">
        <v>0.0</v>
      </c>
      <c r="F198" s="95">
        <v>0.0</v>
      </c>
      <c r="G198" s="95">
        <v>0.0</v>
      </c>
      <c r="H198" s="95">
        <v>0.0</v>
      </c>
    </row>
    <row r="199">
      <c r="A199" s="92" t="s">
        <v>391</v>
      </c>
      <c r="B199" s="94">
        <v>0.0</v>
      </c>
      <c r="C199" s="95">
        <v>0.3508771929824561</v>
      </c>
      <c r="D199" s="95">
        <v>1.3333333333333333</v>
      </c>
      <c r="E199" s="95">
        <v>-1.3333333333333333</v>
      </c>
      <c r="F199" s="95">
        <v>0.0</v>
      </c>
      <c r="G199" s="95">
        <v>0.0</v>
      </c>
      <c r="H199" s="95">
        <v>0.0</v>
      </c>
    </row>
    <row r="200">
      <c r="A200" s="92" t="s">
        <v>388</v>
      </c>
      <c r="B200" s="94">
        <v>0.0</v>
      </c>
      <c r="C200" s="95">
        <v>0.37037037037037035</v>
      </c>
      <c r="D200" s="95">
        <v>1.4545454545454546</v>
      </c>
      <c r="E200" s="95">
        <v>-1.4545454545454546</v>
      </c>
      <c r="F200" s="95">
        <v>0.0</v>
      </c>
      <c r="G200" s="95">
        <v>0.0</v>
      </c>
      <c r="H200" s="95">
        <v>0.0</v>
      </c>
    </row>
    <row r="201">
      <c r="A201" s="92" t="s">
        <v>301</v>
      </c>
      <c r="B201" s="94">
        <v>0.0</v>
      </c>
      <c r="C201" s="95">
        <v>1.0</v>
      </c>
      <c r="D201" s="95">
        <v>0.0</v>
      </c>
      <c r="E201" s="95">
        <v>4.0</v>
      </c>
      <c r="F201" s="95">
        <v>-4.0</v>
      </c>
      <c r="G201" s="95">
        <v>0.0</v>
      </c>
      <c r="H201" s="95">
        <v>0.0</v>
      </c>
    </row>
    <row r="202">
      <c r="A202" s="92" t="s">
        <v>341</v>
      </c>
      <c r="B202" s="94">
        <v>0.0</v>
      </c>
      <c r="C202" s="95">
        <v>0.5714285714285714</v>
      </c>
      <c r="D202" s="95">
        <v>1.7777777777777777</v>
      </c>
      <c r="E202" s="95">
        <v>0.0</v>
      </c>
      <c r="F202" s="95">
        <v>0.0</v>
      </c>
      <c r="G202" s="95">
        <v>0.0</v>
      </c>
      <c r="H202" s="95">
        <v>-2.0</v>
      </c>
    </row>
    <row r="203">
      <c r="A203" s="92" t="s">
        <v>404</v>
      </c>
      <c r="B203" s="94">
        <v>-1.3333333333333333</v>
      </c>
      <c r="C203" s="95">
        <v>0.3333333333333333</v>
      </c>
      <c r="D203" s="95">
        <v>0.0</v>
      </c>
      <c r="E203" s="95">
        <v>0.0</v>
      </c>
      <c r="F203" s="95">
        <v>0.0</v>
      </c>
      <c r="G203" s="95">
        <v>0.0</v>
      </c>
      <c r="H203" s="95">
        <v>-1.3333333333333333</v>
      </c>
    </row>
    <row r="204">
      <c r="B204" s="152"/>
    </row>
    <row r="205">
      <c r="B205" s="152"/>
    </row>
    <row r="206">
      <c r="B206" s="152"/>
    </row>
    <row r="207">
      <c r="B207" s="152"/>
    </row>
    <row r="208">
      <c r="B208" s="152"/>
    </row>
    <row r="209">
      <c r="B209" s="152"/>
    </row>
    <row r="210">
      <c r="B210" s="152"/>
    </row>
    <row r="211">
      <c r="B211" s="152"/>
    </row>
    <row r="212">
      <c r="B212" s="152"/>
    </row>
    <row r="213">
      <c r="B213" s="152"/>
    </row>
    <row r="214">
      <c r="B214" s="152"/>
    </row>
    <row r="215">
      <c r="B215" s="152"/>
    </row>
    <row r="216">
      <c r="B216" s="152"/>
    </row>
    <row r="217">
      <c r="B217" s="152"/>
    </row>
    <row r="218">
      <c r="B218" s="152"/>
    </row>
    <row r="219">
      <c r="B219" s="152"/>
    </row>
    <row r="220">
      <c r="B220" s="152"/>
    </row>
    <row r="221">
      <c r="B221" s="152"/>
    </row>
    <row r="222">
      <c r="B222" s="152"/>
    </row>
    <row r="223">
      <c r="B223" s="152"/>
    </row>
    <row r="224">
      <c r="B224" s="152"/>
    </row>
    <row r="225">
      <c r="B225" s="152"/>
    </row>
    <row r="226">
      <c r="B226" s="152"/>
    </row>
    <row r="227">
      <c r="B227" s="152"/>
    </row>
    <row r="228">
      <c r="B228" s="152"/>
    </row>
    <row r="229">
      <c r="B229" s="152"/>
    </row>
    <row r="230">
      <c r="B230" s="152"/>
    </row>
    <row r="231">
      <c r="B231" s="152"/>
    </row>
    <row r="232">
      <c r="B232" s="152"/>
    </row>
    <row r="233">
      <c r="B233" s="152"/>
    </row>
    <row r="234">
      <c r="B234" s="152"/>
    </row>
    <row r="235">
      <c r="B235" s="152"/>
    </row>
    <row r="236">
      <c r="B236" s="152"/>
    </row>
    <row r="237">
      <c r="B237" s="152"/>
    </row>
    <row r="238">
      <c r="B238" s="152"/>
    </row>
    <row r="239">
      <c r="B239" s="152"/>
    </row>
    <row r="240">
      <c r="B240" s="152"/>
    </row>
    <row r="241">
      <c r="B241" s="152"/>
    </row>
    <row r="242">
      <c r="B242" s="152"/>
    </row>
    <row r="243">
      <c r="B243" s="152"/>
    </row>
    <row r="244">
      <c r="B244" s="152"/>
    </row>
    <row r="245">
      <c r="B245" s="152"/>
    </row>
    <row r="246">
      <c r="B246" s="152"/>
    </row>
    <row r="247">
      <c r="B247" s="152"/>
    </row>
    <row r="248">
      <c r="B248" s="152"/>
    </row>
    <row r="249">
      <c r="B249" s="152"/>
    </row>
    <row r="250">
      <c r="B250" s="152"/>
    </row>
    <row r="251">
      <c r="B251" s="152"/>
    </row>
    <row r="252">
      <c r="B252" s="152"/>
    </row>
    <row r="253">
      <c r="B253" s="152"/>
    </row>
    <row r="254">
      <c r="B254" s="152"/>
    </row>
    <row r="255">
      <c r="B255" s="152"/>
    </row>
    <row r="256">
      <c r="B256" s="152"/>
    </row>
    <row r="257">
      <c r="B257" s="152"/>
    </row>
    <row r="258">
      <c r="B258" s="152"/>
    </row>
    <row r="259">
      <c r="B259" s="152"/>
    </row>
    <row r="260">
      <c r="B260" s="152"/>
    </row>
    <row r="261">
      <c r="B261" s="152"/>
    </row>
    <row r="262">
      <c r="B262" s="152"/>
    </row>
    <row r="263">
      <c r="B263" s="152"/>
    </row>
    <row r="264">
      <c r="B264" s="152"/>
    </row>
    <row r="265">
      <c r="B265" s="152"/>
    </row>
    <row r="266">
      <c r="B266" s="152"/>
    </row>
    <row r="267">
      <c r="B267" s="152"/>
    </row>
    <row r="268">
      <c r="B268" s="152"/>
    </row>
    <row r="269">
      <c r="B269" s="152"/>
    </row>
    <row r="270">
      <c r="B270" s="152"/>
    </row>
    <row r="271">
      <c r="B271" s="152"/>
    </row>
    <row r="272">
      <c r="B272" s="152"/>
    </row>
    <row r="273">
      <c r="B273" s="152"/>
    </row>
    <row r="274">
      <c r="B274" s="152"/>
    </row>
    <row r="275">
      <c r="B275" s="152"/>
    </row>
    <row r="276">
      <c r="B276" s="152"/>
    </row>
    <row r="277">
      <c r="B277" s="152"/>
    </row>
    <row r="278">
      <c r="B278" s="152"/>
    </row>
    <row r="279">
      <c r="B279" s="152"/>
    </row>
    <row r="280">
      <c r="B280" s="152"/>
    </row>
    <row r="281">
      <c r="B281" s="152"/>
    </row>
    <row r="282">
      <c r="B282" s="152"/>
    </row>
    <row r="283">
      <c r="B283" s="152"/>
    </row>
    <row r="284">
      <c r="B284" s="152"/>
    </row>
    <row r="285">
      <c r="B285" s="152"/>
    </row>
    <row r="286">
      <c r="B286" s="152"/>
    </row>
    <row r="287">
      <c r="B287" s="152"/>
    </row>
    <row r="288">
      <c r="B288" s="152"/>
    </row>
    <row r="289">
      <c r="B289" s="152"/>
    </row>
    <row r="290">
      <c r="B290" s="152"/>
    </row>
    <row r="291">
      <c r="B291" s="152"/>
    </row>
    <row r="292">
      <c r="B292" s="152"/>
    </row>
    <row r="293">
      <c r="B293" s="152"/>
    </row>
    <row r="294">
      <c r="B294" s="152"/>
    </row>
    <row r="295">
      <c r="B295" s="152"/>
    </row>
    <row r="296">
      <c r="B296" s="152"/>
    </row>
    <row r="297">
      <c r="B297" s="152"/>
    </row>
    <row r="298">
      <c r="B298" s="152"/>
    </row>
    <row r="299">
      <c r="B299" s="152"/>
    </row>
    <row r="300">
      <c r="B300" s="152"/>
    </row>
    <row r="301">
      <c r="B301" s="152"/>
    </row>
    <row r="302">
      <c r="B302" s="152"/>
    </row>
    <row r="303">
      <c r="B303" s="152"/>
    </row>
    <row r="304">
      <c r="B304" s="152"/>
    </row>
    <row r="305">
      <c r="B305" s="152"/>
    </row>
    <row r="306">
      <c r="B306" s="152"/>
    </row>
    <row r="307">
      <c r="B307" s="152"/>
    </row>
    <row r="308">
      <c r="B308" s="152"/>
    </row>
    <row r="309">
      <c r="B309" s="152"/>
    </row>
    <row r="310">
      <c r="B310" s="152"/>
    </row>
    <row r="311">
      <c r="B311" s="152"/>
    </row>
    <row r="312">
      <c r="B312" s="152"/>
    </row>
    <row r="313">
      <c r="B313" s="152"/>
    </row>
    <row r="314">
      <c r="B314" s="152"/>
    </row>
    <row r="315">
      <c r="B315" s="152"/>
    </row>
    <row r="316">
      <c r="B316" s="152"/>
    </row>
    <row r="317">
      <c r="B317" s="152"/>
    </row>
    <row r="318">
      <c r="B318" s="152"/>
    </row>
    <row r="319">
      <c r="B319" s="152"/>
    </row>
    <row r="320">
      <c r="B320" s="152"/>
    </row>
    <row r="321">
      <c r="B321" s="152"/>
    </row>
    <row r="322">
      <c r="B322" s="152"/>
    </row>
    <row r="323">
      <c r="B323" s="152"/>
    </row>
    <row r="324">
      <c r="B324" s="152"/>
    </row>
    <row r="325">
      <c r="B325" s="152"/>
    </row>
    <row r="326">
      <c r="B326" s="152"/>
    </row>
    <row r="327">
      <c r="B327" s="152"/>
    </row>
    <row r="328">
      <c r="B328" s="152"/>
    </row>
    <row r="329">
      <c r="B329" s="152"/>
    </row>
    <row r="330">
      <c r="B330" s="152"/>
    </row>
    <row r="331">
      <c r="B331" s="152"/>
    </row>
    <row r="332">
      <c r="B332" s="152"/>
    </row>
    <row r="333">
      <c r="B333" s="152"/>
    </row>
    <row r="334">
      <c r="B334" s="152"/>
    </row>
    <row r="335">
      <c r="B335" s="152"/>
    </row>
    <row r="336">
      <c r="B336" s="152"/>
    </row>
    <row r="337">
      <c r="B337" s="152"/>
    </row>
    <row r="338">
      <c r="B338" s="152"/>
    </row>
    <row r="339">
      <c r="B339" s="152"/>
    </row>
    <row r="340">
      <c r="B340" s="152"/>
    </row>
    <row r="341">
      <c r="B341" s="152"/>
    </row>
    <row r="342">
      <c r="B342" s="152"/>
    </row>
    <row r="343">
      <c r="B343" s="152"/>
    </row>
    <row r="344">
      <c r="B344" s="152"/>
    </row>
    <row r="345">
      <c r="B345" s="152"/>
    </row>
    <row r="346">
      <c r="B346" s="152"/>
    </row>
    <row r="347">
      <c r="B347" s="152"/>
    </row>
    <row r="348">
      <c r="B348" s="152"/>
    </row>
    <row r="349">
      <c r="B349" s="152"/>
    </row>
    <row r="350">
      <c r="B350" s="152"/>
    </row>
    <row r="351">
      <c r="B351" s="152"/>
    </row>
    <row r="352">
      <c r="B352" s="152"/>
    </row>
    <row r="353">
      <c r="B353" s="152"/>
    </row>
    <row r="354">
      <c r="B354" s="152"/>
    </row>
    <row r="355">
      <c r="B355" s="152"/>
    </row>
    <row r="356">
      <c r="B356" s="152"/>
    </row>
    <row r="357">
      <c r="B357" s="152"/>
    </row>
    <row r="358">
      <c r="B358" s="152"/>
    </row>
    <row r="359">
      <c r="B359" s="152"/>
    </row>
    <row r="360">
      <c r="B360" s="152"/>
    </row>
    <row r="361">
      <c r="B361" s="152"/>
    </row>
    <row r="362">
      <c r="B362" s="152"/>
    </row>
    <row r="363">
      <c r="B363" s="152"/>
    </row>
    <row r="364">
      <c r="B364" s="152"/>
    </row>
    <row r="365">
      <c r="B365" s="152"/>
    </row>
    <row r="366">
      <c r="B366" s="152"/>
    </row>
    <row r="367">
      <c r="B367" s="152"/>
    </row>
    <row r="368">
      <c r="B368" s="152"/>
    </row>
    <row r="369">
      <c r="B369" s="152"/>
    </row>
    <row r="370">
      <c r="B370" s="152"/>
    </row>
    <row r="371">
      <c r="B371" s="152"/>
    </row>
    <row r="372">
      <c r="B372" s="152"/>
    </row>
    <row r="373">
      <c r="B373" s="152"/>
    </row>
    <row r="374">
      <c r="B374" s="152"/>
    </row>
    <row r="375">
      <c r="B375" s="152"/>
    </row>
    <row r="376">
      <c r="B376" s="152"/>
    </row>
    <row r="377">
      <c r="B377" s="152"/>
    </row>
    <row r="378">
      <c r="B378" s="152"/>
    </row>
    <row r="379">
      <c r="B379" s="152"/>
    </row>
    <row r="380">
      <c r="B380" s="152"/>
    </row>
    <row r="381">
      <c r="B381" s="152"/>
    </row>
    <row r="382">
      <c r="B382" s="152"/>
    </row>
    <row r="383">
      <c r="B383" s="152"/>
    </row>
    <row r="384">
      <c r="B384" s="152"/>
    </row>
    <row r="385">
      <c r="B385" s="152"/>
    </row>
    <row r="386">
      <c r="B386" s="152"/>
    </row>
    <row r="387">
      <c r="B387" s="152"/>
    </row>
    <row r="388">
      <c r="B388" s="152"/>
    </row>
    <row r="389">
      <c r="B389" s="152"/>
    </row>
    <row r="390">
      <c r="B390" s="152"/>
    </row>
    <row r="391">
      <c r="B391" s="152"/>
    </row>
    <row r="392">
      <c r="B392" s="152"/>
    </row>
    <row r="393">
      <c r="B393" s="152"/>
    </row>
    <row r="394">
      <c r="B394" s="152"/>
    </row>
    <row r="395">
      <c r="B395" s="152"/>
    </row>
    <row r="396">
      <c r="B396" s="152"/>
    </row>
    <row r="397">
      <c r="B397" s="152"/>
    </row>
    <row r="398">
      <c r="B398" s="152"/>
    </row>
    <row r="399">
      <c r="B399" s="152"/>
    </row>
    <row r="400">
      <c r="B400" s="152"/>
    </row>
    <row r="401">
      <c r="B401" s="152"/>
    </row>
    <row r="402">
      <c r="B402" s="152"/>
    </row>
    <row r="403">
      <c r="B403" s="152"/>
    </row>
    <row r="404">
      <c r="B404" s="152"/>
    </row>
    <row r="405">
      <c r="B405" s="152"/>
    </row>
    <row r="406">
      <c r="B406" s="152"/>
    </row>
    <row r="407">
      <c r="B407" s="152"/>
    </row>
    <row r="408">
      <c r="B408" s="152"/>
    </row>
    <row r="409">
      <c r="B409" s="152"/>
    </row>
    <row r="410">
      <c r="B410" s="152"/>
    </row>
    <row r="411">
      <c r="B411" s="152"/>
    </row>
    <row r="412">
      <c r="B412" s="152"/>
    </row>
    <row r="413">
      <c r="B413" s="152"/>
    </row>
    <row r="414">
      <c r="B414" s="152"/>
    </row>
    <row r="415">
      <c r="B415" s="152"/>
    </row>
    <row r="416">
      <c r="B416" s="152"/>
    </row>
    <row r="417">
      <c r="B417" s="152"/>
    </row>
    <row r="418">
      <c r="B418" s="152"/>
    </row>
    <row r="419">
      <c r="B419" s="152"/>
    </row>
    <row r="420">
      <c r="B420" s="152"/>
    </row>
    <row r="421">
      <c r="B421" s="152"/>
    </row>
    <row r="422">
      <c r="B422" s="152"/>
    </row>
    <row r="423">
      <c r="B423" s="152"/>
    </row>
    <row r="424">
      <c r="B424" s="152"/>
    </row>
    <row r="425">
      <c r="B425" s="152"/>
    </row>
    <row r="426">
      <c r="B426" s="152"/>
    </row>
    <row r="427">
      <c r="B427" s="152"/>
    </row>
    <row r="428">
      <c r="B428" s="152"/>
    </row>
    <row r="429">
      <c r="B429" s="152"/>
    </row>
    <row r="430">
      <c r="B430" s="152"/>
    </row>
    <row r="431">
      <c r="B431" s="152"/>
    </row>
    <row r="432">
      <c r="B432" s="152"/>
    </row>
    <row r="433">
      <c r="B433" s="152"/>
    </row>
    <row r="434">
      <c r="B434" s="152"/>
    </row>
    <row r="435">
      <c r="B435" s="152"/>
    </row>
    <row r="436">
      <c r="B436" s="152"/>
    </row>
    <row r="437">
      <c r="B437" s="152"/>
    </row>
    <row r="438">
      <c r="B438" s="152"/>
    </row>
    <row r="439">
      <c r="B439" s="152"/>
    </row>
    <row r="440">
      <c r="B440" s="152"/>
    </row>
    <row r="441">
      <c r="B441" s="152"/>
    </row>
    <row r="442">
      <c r="B442" s="152"/>
    </row>
    <row r="443">
      <c r="B443" s="152"/>
    </row>
    <row r="444">
      <c r="B444" s="152"/>
    </row>
    <row r="445">
      <c r="B445" s="152"/>
    </row>
    <row r="446">
      <c r="B446" s="152"/>
    </row>
    <row r="447">
      <c r="B447" s="152"/>
    </row>
    <row r="448">
      <c r="B448" s="152"/>
    </row>
    <row r="449">
      <c r="B449" s="152"/>
    </row>
    <row r="450">
      <c r="B450" s="152"/>
    </row>
    <row r="451">
      <c r="B451" s="152"/>
    </row>
    <row r="452">
      <c r="B452" s="152"/>
    </row>
    <row r="453">
      <c r="B453" s="152"/>
    </row>
    <row r="454">
      <c r="B454" s="152"/>
    </row>
    <row r="455">
      <c r="B455" s="152"/>
    </row>
    <row r="456">
      <c r="B456" s="152"/>
    </row>
    <row r="457">
      <c r="B457" s="152"/>
    </row>
    <row r="458">
      <c r="B458" s="152"/>
    </row>
    <row r="459">
      <c r="B459" s="152"/>
    </row>
    <row r="460">
      <c r="B460" s="152"/>
    </row>
    <row r="461">
      <c r="B461" s="152"/>
    </row>
    <row r="462">
      <c r="B462" s="152"/>
    </row>
    <row r="463">
      <c r="B463" s="152"/>
    </row>
    <row r="464">
      <c r="B464" s="152"/>
    </row>
    <row r="465">
      <c r="B465" s="152"/>
    </row>
    <row r="466">
      <c r="B466" s="152"/>
    </row>
    <row r="467">
      <c r="B467" s="152"/>
    </row>
    <row r="468">
      <c r="B468" s="152"/>
    </row>
    <row r="469">
      <c r="B469" s="152"/>
    </row>
    <row r="470">
      <c r="B470" s="152"/>
    </row>
    <row r="471">
      <c r="B471" s="152"/>
    </row>
    <row r="472">
      <c r="B472" s="152"/>
    </row>
    <row r="473">
      <c r="B473" s="152"/>
    </row>
    <row r="474">
      <c r="B474" s="152"/>
    </row>
    <row r="475">
      <c r="B475" s="152"/>
    </row>
    <row r="476">
      <c r="B476" s="152"/>
    </row>
    <row r="477">
      <c r="B477" s="152"/>
    </row>
    <row r="478">
      <c r="B478" s="152"/>
    </row>
    <row r="479">
      <c r="B479" s="152"/>
    </row>
    <row r="480">
      <c r="B480" s="152"/>
    </row>
    <row r="481">
      <c r="B481" s="152"/>
    </row>
    <row r="482">
      <c r="B482" s="152"/>
    </row>
    <row r="483">
      <c r="B483" s="152"/>
    </row>
    <row r="484">
      <c r="B484" s="152"/>
    </row>
    <row r="485">
      <c r="B485" s="152"/>
    </row>
    <row r="486">
      <c r="B486" s="152"/>
    </row>
    <row r="487">
      <c r="B487" s="152"/>
    </row>
    <row r="488">
      <c r="B488" s="152"/>
    </row>
    <row r="489">
      <c r="B489" s="152"/>
    </row>
    <row r="490">
      <c r="B490" s="152"/>
    </row>
    <row r="491">
      <c r="B491" s="152"/>
    </row>
    <row r="492">
      <c r="B492" s="152"/>
    </row>
    <row r="493">
      <c r="B493" s="152"/>
    </row>
    <row r="494">
      <c r="B494" s="152"/>
    </row>
    <row r="495">
      <c r="B495" s="152"/>
    </row>
    <row r="496">
      <c r="B496" s="152"/>
    </row>
    <row r="497">
      <c r="B497" s="152"/>
    </row>
    <row r="498">
      <c r="B498" s="152"/>
    </row>
    <row r="499">
      <c r="B499" s="152"/>
    </row>
    <row r="500">
      <c r="B500" s="152"/>
    </row>
    <row r="501">
      <c r="B501" s="152"/>
    </row>
    <row r="502">
      <c r="B502" s="152"/>
    </row>
    <row r="503">
      <c r="B503" s="152"/>
    </row>
    <row r="504">
      <c r="B504" s="152"/>
    </row>
    <row r="505">
      <c r="B505" s="152"/>
    </row>
    <row r="506">
      <c r="B506" s="152"/>
    </row>
    <row r="507">
      <c r="B507" s="152"/>
    </row>
    <row r="508">
      <c r="B508" s="152"/>
    </row>
    <row r="509">
      <c r="B509" s="152"/>
    </row>
    <row r="510">
      <c r="B510" s="152"/>
    </row>
    <row r="511">
      <c r="B511" s="152"/>
    </row>
    <row r="512">
      <c r="B512" s="152"/>
    </row>
    <row r="513">
      <c r="B513" s="152"/>
    </row>
    <row r="514">
      <c r="B514" s="152"/>
    </row>
    <row r="515">
      <c r="B515" s="152"/>
    </row>
    <row r="516">
      <c r="B516" s="152"/>
    </row>
    <row r="517">
      <c r="B517" s="152"/>
    </row>
    <row r="518">
      <c r="B518" s="152"/>
    </row>
    <row r="519">
      <c r="B519" s="152"/>
    </row>
    <row r="520">
      <c r="B520" s="152"/>
    </row>
    <row r="521">
      <c r="B521" s="152"/>
    </row>
    <row r="522">
      <c r="B522" s="152"/>
    </row>
    <row r="523">
      <c r="B523" s="152"/>
    </row>
    <row r="524">
      <c r="B524" s="152"/>
    </row>
    <row r="525">
      <c r="B525" s="152"/>
    </row>
    <row r="526">
      <c r="B526" s="152"/>
    </row>
    <row r="527">
      <c r="B527" s="152"/>
    </row>
    <row r="528">
      <c r="B528" s="152"/>
    </row>
    <row r="529">
      <c r="B529" s="152"/>
    </row>
    <row r="530">
      <c r="B530" s="152"/>
    </row>
    <row r="531">
      <c r="B531" s="152"/>
    </row>
    <row r="532">
      <c r="B532" s="152"/>
    </row>
    <row r="533">
      <c r="B533" s="152"/>
    </row>
    <row r="534">
      <c r="B534" s="152"/>
    </row>
    <row r="535">
      <c r="B535" s="152"/>
    </row>
    <row r="536">
      <c r="B536" s="152"/>
    </row>
    <row r="537">
      <c r="B537" s="152"/>
    </row>
    <row r="538">
      <c r="B538" s="152"/>
    </row>
    <row r="539">
      <c r="B539" s="152"/>
    </row>
    <row r="540">
      <c r="B540" s="152"/>
    </row>
    <row r="541">
      <c r="B541" s="152"/>
    </row>
    <row r="542">
      <c r="B542" s="152"/>
    </row>
    <row r="543">
      <c r="B543" s="152"/>
    </row>
    <row r="544">
      <c r="B544" s="152"/>
    </row>
    <row r="545">
      <c r="B545" s="152"/>
    </row>
    <row r="546">
      <c r="B546" s="152"/>
    </row>
    <row r="547">
      <c r="B547" s="152"/>
    </row>
    <row r="548">
      <c r="B548" s="152"/>
    </row>
    <row r="549">
      <c r="B549" s="152"/>
    </row>
    <row r="550">
      <c r="B550" s="152"/>
    </row>
    <row r="551">
      <c r="B551" s="152"/>
    </row>
    <row r="552">
      <c r="B552" s="152"/>
    </row>
    <row r="553">
      <c r="B553" s="152"/>
    </row>
    <row r="554">
      <c r="B554" s="152"/>
    </row>
    <row r="555">
      <c r="B555" s="152"/>
    </row>
    <row r="556">
      <c r="B556" s="152"/>
    </row>
    <row r="557">
      <c r="B557" s="152"/>
    </row>
    <row r="558">
      <c r="B558" s="152"/>
    </row>
    <row r="559">
      <c r="B559" s="152"/>
    </row>
    <row r="560">
      <c r="B560" s="152"/>
    </row>
    <row r="561">
      <c r="B561" s="152"/>
    </row>
    <row r="562">
      <c r="B562" s="152"/>
    </row>
    <row r="563">
      <c r="B563" s="152"/>
    </row>
    <row r="564">
      <c r="B564" s="152"/>
    </row>
    <row r="565">
      <c r="B565" s="152"/>
    </row>
    <row r="566">
      <c r="B566" s="152"/>
    </row>
    <row r="567">
      <c r="B567" s="152"/>
    </row>
    <row r="568">
      <c r="B568" s="152"/>
    </row>
    <row r="569">
      <c r="B569" s="152"/>
    </row>
    <row r="570">
      <c r="B570" s="152"/>
    </row>
    <row r="571">
      <c r="B571" s="152"/>
    </row>
    <row r="572">
      <c r="B572" s="152"/>
    </row>
    <row r="573">
      <c r="B573" s="152"/>
    </row>
    <row r="574">
      <c r="B574" s="152"/>
    </row>
    <row r="575">
      <c r="B575" s="152"/>
    </row>
    <row r="576">
      <c r="B576" s="152"/>
    </row>
    <row r="577">
      <c r="B577" s="152"/>
    </row>
    <row r="578">
      <c r="B578" s="152"/>
    </row>
    <row r="579">
      <c r="B579" s="152"/>
    </row>
    <row r="580">
      <c r="B580" s="152"/>
    </row>
    <row r="581">
      <c r="B581" s="152"/>
    </row>
    <row r="582">
      <c r="B582" s="152"/>
    </row>
    <row r="583">
      <c r="B583" s="152"/>
    </row>
    <row r="584">
      <c r="B584" s="152"/>
    </row>
    <row r="585">
      <c r="B585" s="152"/>
    </row>
    <row r="586">
      <c r="B586" s="152"/>
    </row>
    <row r="587">
      <c r="B587" s="152"/>
    </row>
    <row r="588">
      <c r="B588" s="152"/>
    </row>
    <row r="589">
      <c r="B589" s="152"/>
    </row>
    <row r="590">
      <c r="B590" s="152"/>
    </row>
    <row r="591">
      <c r="B591" s="152"/>
    </row>
    <row r="592">
      <c r="B592" s="152"/>
    </row>
    <row r="593">
      <c r="B593" s="152"/>
    </row>
    <row r="594">
      <c r="B594" s="152"/>
    </row>
    <row r="595">
      <c r="B595" s="152"/>
    </row>
    <row r="596">
      <c r="B596" s="152"/>
    </row>
    <row r="597">
      <c r="B597" s="152"/>
    </row>
    <row r="598">
      <c r="B598" s="152"/>
    </row>
    <row r="599">
      <c r="B599" s="152"/>
    </row>
    <row r="600">
      <c r="B600" s="152"/>
    </row>
    <row r="601">
      <c r="B601" s="152"/>
    </row>
    <row r="602">
      <c r="B602" s="152"/>
    </row>
    <row r="603">
      <c r="B603" s="152"/>
    </row>
    <row r="604">
      <c r="B604" s="152"/>
    </row>
    <row r="605">
      <c r="B605" s="152"/>
    </row>
    <row r="606">
      <c r="B606" s="152"/>
    </row>
    <row r="607">
      <c r="B607" s="152"/>
    </row>
    <row r="608">
      <c r="B608" s="152"/>
    </row>
    <row r="609">
      <c r="B609" s="152"/>
    </row>
    <row r="610">
      <c r="B610" s="152"/>
    </row>
    <row r="611">
      <c r="B611" s="152"/>
    </row>
    <row r="612">
      <c r="B612" s="152"/>
    </row>
    <row r="613">
      <c r="B613" s="152"/>
    </row>
    <row r="614">
      <c r="B614" s="152"/>
    </row>
    <row r="615">
      <c r="B615" s="152"/>
    </row>
    <row r="616">
      <c r="B616" s="152"/>
    </row>
    <row r="617">
      <c r="B617" s="152"/>
    </row>
    <row r="618">
      <c r="B618" s="152"/>
    </row>
    <row r="619">
      <c r="B619" s="152"/>
    </row>
    <row r="620">
      <c r="B620" s="152"/>
    </row>
    <row r="621">
      <c r="B621" s="152"/>
    </row>
    <row r="622">
      <c r="B622" s="152"/>
    </row>
    <row r="623">
      <c r="B623" s="152"/>
    </row>
    <row r="624">
      <c r="B624" s="152"/>
    </row>
    <row r="625">
      <c r="B625" s="152"/>
    </row>
    <row r="626">
      <c r="B626" s="152"/>
    </row>
    <row r="627">
      <c r="B627" s="152"/>
    </row>
    <row r="628">
      <c r="B628" s="152"/>
    </row>
    <row r="629">
      <c r="B629" s="152"/>
    </row>
    <row r="630">
      <c r="B630" s="152"/>
    </row>
    <row r="631">
      <c r="B631" s="152"/>
    </row>
    <row r="632">
      <c r="B632" s="152"/>
    </row>
    <row r="633">
      <c r="B633" s="152"/>
    </row>
    <row r="634">
      <c r="B634" s="152"/>
    </row>
    <row r="635">
      <c r="B635" s="152"/>
    </row>
    <row r="636">
      <c r="B636" s="152"/>
    </row>
    <row r="637">
      <c r="B637" s="152"/>
    </row>
    <row r="638">
      <c r="B638" s="152"/>
    </row>
    <row r="639">
      <c r="B639" s="152"/>
    </row>
    <row r="640">
      <c r="B640" s="152"/>
    </row>
    <row r="641">
      <c r="B641" s="152"/>
    </row>
    <row r="642">
      <c r="B642" s="152"/>
    </row>
    <row r="643">
      <c r="B643" s="152"/>
    </row>
    <row r="644">
      <c r="B644" s="152"/>
    </row>
    <row r="645">
      <c r="B645" s="152"/>
    </row>
    <row r="646">
      <c r="B646" s="152"/>
    </row>
    <row r="647">
      <c r="B647" s="152"/>
    </row>
    <row r="648">
      <c r="B648" s="152"/>
    </row>
    <row r="649">
      <c r="B649" s="152"/>
    </row>
    <row r="650">
      <c r="B650" s="152"/>
    </row>
    <row r="651">
      <c r="B651" s="152"/>
    </row>
    <row r="652">
      <c r="B652" s="152"/>
    </row>
    <row r="653">
      <c r="B653" s="152"/>
    </row>
    <row r="654">
      <c r="B654" s="152"/>
    </row>
    <row r="655">
      <c r="B655" s="152"/>
    </row>
    <row r="656">
      <c r="B656" s="152"/>
    </row>
    <row r="657">
      <c r="B657" s="152"/>
    </row>
    <row r="658">
      <c r="B658" s="152"/>
    </row>
    <row r="659">
      <c r="B659" s="152"/>
    </row>
    <row r="660">
      <c r="B660" s="152"/>
    </row>
    <row r="661">
      <c r="B661" s="152"/>
    </row>
    <row r="662">
      <c r="B662" s="152"/>
    </row>
    <row r="663">
      <c r="B663" s="152"/>
    </row>
    <row r="664">
      <c r="B664" s="152"/>
    </row>
    <row r="665">
      <c r="B665" s="152"/>
    </row>
    <row r="666">
      <c r="B666" s="152"/>
    </row>
    <row r="667">
      <c r="B667" s="152"/>
    </row>
    <row r="668">
      <c r="B668" s="152"/>
    </row>
    <row r="669">
      <c r="B669" s="152"/>
    </row>
    <row r="670">
      <c r="B670" s="152"/>
    </row>
    <row r="671">
      <c r="B671" s="152"/>
    </row>
    <row r="672">
      <c r="B672" s="152"/>
    </row>
    <row r="673">
      <c r="B673" s="152"/>
    </row>
    <row r="674">
      <c r="B674" s="152"/>
    </row>
    <row r="675">
      <c r="B675" s="152"/>
    </row>
    <row r="676">
      <c r="B676" s="152"/>
    </row>
    <row r="677">
      <c r="B677" s="152"/>
    </row>
    <row r="678">
      <c r="B678" s="152"/>
    </row>
    <row r="679">
      <c r="B679" s="152"/>
    </row>
    <row r="680">
      <c r="B680" s="152"/>
    </row>
    <row r="681">
      <c r="B681" s="152"/>
    </row>
    <row r="682">
      <c r="B682" s="152"/>
    </row>
    <row r="683">
      <c r="B683" s="152"/>
    </row>
    <row r="684">
      <c r="B684" s="152"/>
    </row>
    <row r="685">
      <c r="B685" s="152"/>
    </row>
    <row r="686">
      <c r="B686" s="152"/>
    </row>
    <row r="687">
      <c r="B687" s="152"/>
    </row>
    <row r="688">
      <c r="B688" s="152"/>
    </row>
    <row r="689">
      <c r="B689" s="152"/>
    </row>
    <row r="690">
      <c r="B690" s="152"/>
    </row>
    <row r="691">
      <c r="B691" s="152"/>
    </row>
    <row r="692">
      <c r="B692" s="152"/>
    </row>
    <row r="693">
      <c r="B693" s="152"/>
    </row>
    <row r="694">
      <c r="B694" s="152"/>
    </row>
    <row r="695">
      <c r="B695" s="152"/>
    </row>
    <row r="696">
      <c r="B696" s="152"/>
    </row>
    <row r="697">
      <c r="B697" s="152"/>
    </row>
    <row r="698">
      <c r="B698" s="152"/>
    </row>
    <row r="699">
      <c r="B699" s="152"/>
    </row>
    <row r="700">
      <c r="B700" s="152"/>
    </row>
    <row r="701">
      <c r="B701" s="152"/>
    </row>
    <row r="702">
      <c r="B702" s="152"/>
    </row>
    <row r="703">
      <c r="B703" s="152"/>
    </row>
    <row r="704">
      <c r="B704" s="152"/>
    </row>
    <row r="705">
      <c r="B705" s="152"/>
    </row>
    <row r="706">
      <c r="B706" s="152"/>
    </row>
    <row r="707">
      <c r="B707" s="152"/>
    </row>
    <row r="708">
      <c r="B708" s="152"/>
    </row>
    <row r="709">
      <c r="B709" s="152"/>
    </row>
    <row r="710">
      <c r="B710" s="152"/>
    </row>
    <row r="711">
      <c r="B711" s="152"/>
    </row>
    <row r="712">
      <c r="B712" s="152"/>
    </row>
    <row r="713">
      <c r="B713" s="152"/>
    </row>
    <row r="714">
      <c r="B714" s="152"/>
    </row>
    <row r="715">
      <c r="B715" s="152"/>
    </row>
    <row r="716">
      <c r="B716" s="152"/>
    </row>
    <row r="717">
      <c r="B717" s="152"/>
    </row>
    <row r="718">
      <c r="B718" s="152"/>
    </row>
    <row r="719">
      <c r="B719" s="152"/>
    </row>
    <row r="720">
      <c r="B720" s="152"/>
    </row>
    <row r="721">
      <c r="B721" s="152"/>
    </row>
    <row r="722">
      <c r="B722" s="152"/>
    </row>
    <row r="723">
      <c r="B723" s="152"/>
    </row>
    <row r="724">
      <c r="B724" s="152"/>
    </row>
    <row r="725">
      <c r="B725" s="152"/>
    </row>
    <row r="726">
      <c r="B726" s="152"/>
    </row>
    <row r="727">
      <c r="B727" s="152"/>
    </row>
    <row r="728">
      <c r="B728" s="152"/>
    </row>
    <row r="729">
      <c r="B729" s="152"/>
    </row>
    <row r="730">
      <c r="B730" s="152"/>
    </row>
    <row r="731">
      <c r="B731" s="152"/>
    </row>
    <row r="732">
      <c r="B732" s="152"/>
    </row>
    <row r="733">
      <c r="B733" s="152"/>
    </row>
    <row r="734">
      <c r="B734" s="152"/>
    </row>
    <row r="735">
      <c r="B735" s="152"/>
    </row>
    <row r="736">
      <c r="B736" s="152"/>
    </row>
    <row r="737">
      <c r="B737" s="152"/>
    </row>
    <row r="738">
      <c r="B738" s="152"/>
    </row>
    <row r="739">
      <c r="B739" s="152"/>
    </row>
    <row r="740">
      <c r="B740" s="152"/>
    </row>
    <row r="741">
      <c r="B741" s="152"/>
    </row>
    <row r="742">
      <c r="B742" s="152"/>
    </row>
    <row r="743">
      <c r="B743" s="152"/>
    </row>
    <row r="744">
      <c r="B744" s="152"/>
    </row>
    <row r="745">
      <c r="B745" s="152"/>
    </row>
    <row r="746">
      <c r="B746" s="152"/>
    </row>
    <row r="747">
      <c r="B747" s="152"/>
    </row>
    <row r="748">
      <c r="B748" s="152"/>
    </row>
    <row r="749">
      <c r="B749" s="152"/>
    </row>
    <row r="750">
      <c r="B750" s="152"/>
    </row>
    <row r="751">
      <c r="B751" s="152"/>
    </row>
    <row r="752">
      <c r="B752" s="152"/>
    </row>
    <row r="753">
      <c r="B753" s="152"/>
    </row>
    <row r="754">
      <c r="B754" s="152"/>
    </row>
    <row r="755">
      <c r="B755" s="152"/>
    </row>
    <row r="756">
      <c r="B756" s="152"/>
    </row>
    <row r="757">
      <c r="B757" s="152"/>
    </row>
    <row r="758">
      <c r="B758" s="152"/>
    </row>
    <row r="759">
      <c r="B759" s="152"/>
    </row>
    <row r="760">
      <c r="B760" s="152"/>
    </row>
    <row r="761">
      <c r="B761" s="152"/>
    </row>
    <row r="762">
      <c r="B762" s="152"/>
    </row>
    <row r="763">
      <c r="B763" s="152"/>
    </row>
    <row r="764">
      <c r="B764" s="152"/>
    </row>
    <row r="765">
      <c r="B765" s="152"/>
    </row>
    <row r="766">
      <c r="B766" s="152"/>
    </row>
    <row r="767">
      <c r="B767" s="152"/>
    </row>
    <row r="768">
      <c r="B768" s="152"/>
    </row>
    <row r="769">
      <c r="B769" s="152"/>
    </row>
    <row r="770">
      <c r="B770" s="152"/>
    </row>
    <row r="771">
      <c r="B771" s="152"/>
    </row>
    <row r="772">
      <c r="B772" s="152"/>
    </row>
    <row r="773">
      <c r="B773" s="152"/>
    </row>
    <row r="774">
      <c r="B774" s="152"/>
    </row>
    <row r="775">
      <c r="B775" s="152"/>
    </row>
    <row r="776">
      <c r="B776" s="152"/>
    </row>
    <row r="777">
      <c r="B777" s="152"/>
    </row>
    <row r="778">
      <c r="B778" s="152"/>
    </row>
    <row r="779">
      <c r="B779" s="152"/>
    </row>
    <row r="780">
      <c r="B780" s="152"/>
    </row>
    <row r="781">
      <c r="B781" s="152"/>
    </row>
    <row r="782">
      <c r="B782" s="152"/>
    </row>
    <row r="783">
      <c r="B783" s="152"/>
    </row>
    <row r="784">
      <c r="B784" s="152"/>
    </row>
    <row r="785">
      <c r="B785" s="152"/>
    </row>
    <row r="786">
      <c r="B786" s="152"/>
    </row>
    <row r="787">
      <c r="B787" s="152"/>
    </row>
    <row r="788">
      <c r="B788" s="152"/>
    </row>
    <row r="789">
      <c r="B789" s="152"/>
    </row>
    <row r="790">
      <c r="B790" s="152"/>
    </row>
    <row r="791">
      <c r="B791" s="152"/>
    </row>
    <row r="792">
      <c r="B792" s="152"/>
    </row>
    <row r="793">
      <c r="B793" s="152"/>
    </row>
    <row r="794">
      <c r="B794" s="152"/>
    </row>
    <row r="795">
      <c r="B795" s="152"/>
    </row>
    <row r="796">
      <c r="B796" s="152"/>
    </row>
    <row r="797">
      <c r="B797" s="152"/>
    </row>
    <row r="798">
      <c r="B798" s="152"/>
    </row>
    <row r="799">
      <c r="B799" s="152"/>
    </row>
    <row r="800">
      <c r="B800" s="152"/>
    </row>
    <row r="801">
      <c r="B801" s="152"/>
    </row>
    <row r="802">
      <c r="B802" s="152"/>
    </row>
    <row r="803">
      <c r="B803" s="152"/>
    </row>
    <row r="804">
      <c r="B804" s="152"/>
    </row>
    <row r="805">
      <c r="B805" s="152"/>
    </row>
    <row r="806">
      <c r="B806" s="152"/>
    </row>
    <row r="807">
      <c r="B807" s="152"/>
    </row>
    <row r="808">
      <c r="B808" s="152"/>
    </row>
    <row r="809">
      <c r="B809" s="152"/>
    </row>
    <row r="810">
      <c r="B810" s="152"/>
    </row>
    <row r="811">
      <c r="B811" s="152"/>
    </row>
    <row r="812">
      <c r="B812" s="152"/>
    </row>
    <row r="813">
      <c r="B813" s="152"/>
    </row>
    <row r="814">
      <c r="B814" s="152"/>
    </row>
    <row r="815">
      <c r="B815" s="152"/>
    </row>
    <row r="816">
      <c r="B816" s="152"/>
    </row>
    <row r="817">
      <c r="B817" s="152"/>
    </row>
    <row r="818">
      <c r="B818" s="152"/>
    </row>
    <row r="819">
      <c r="B819" s="152"/>
    </row>
    <row r="820">
      <c r="B820" s="152"/>
    </row>
    <row r="821">
      <c r="B821" s="152"/>
    </row>
    <row r="822">
      <c r="B822" s="152"/>
    </row>
    <row r="823">
      <c r="B823" s="152"/>
    </row>
    <row r="824">
      <c r="B824" s="152"/>
    </row>
    <row r="825">
      <c r="B825" s="152"/>
    </row>
    <row r="826">
      <c r="B826" s="152"/>
    </row>
    <row r="827">
      <c r="B827" s="152"/>
    </row>
    <row r="828">
      <c r="B828" s="152"/>
    </row>
    <row r="829">
      <c r="B829" s="152"/>
    </row>
    <row r="830">
      <c r="B830" s="152"/>
    </row>
    <row r="831">
      <c r="B831" s="152"/>
    </row>
    <row r="832">
      <c r="B832" s="152"/>
    </row>
    <row r="833">
      <c r="B833" s="152"/>
    </row>
    <row r="834">
      <c r="B834" s="152"/>
    </row>
    <row r="835">
      <c r="B835" s="152"/>
    </row>
    <row r="836">
      <c r="B836" s="152"/>
    </row>
    <row r="837">
      <c r="B837" s="152"/>
    </row>
    <row r="838">
      <c r="B838" s="152"/>
    </row>
    <row r="839">
      <c r="B839" s="152"/>
    </row>
    <row r="840">
      <c r="B840" s="152"/>
    </row>
    <row r="841">
      <c r="B841" s="152"/>
    </row>
    <row r="842">
      <c r="B842" s="152"/>
    </row>
    <row r="843">
      <c r="B843" s="152"/>
    </row>
    <row r="844">
      <c r="B844" s="152"/>
    </row>
    <row r="845">
      <c r="B845" s="152"/>
    </row>
    <row r="846">
      <c r="B846" s="152"/>
    </row>
    <row r="847">
      <c r="B847" s="152"/>
    </row>
    <row r="848">
      <c r="B848" s="152"/>
    </row>
    <row r="849">
      <c r="B849" s="152"/>
    </row>
    <row r="850">
      <c r="B850" s="152"/>
    </row>
    <row r="851">
      <c r="B851" s="152"/>
    </row>
    <row r="852">
      <c r="B852" s="152"/>
    </row>
    <row r="853">
      <c r="B853" s="152"/>
    </row>
    <row r="854">
      <c r="B854" s="152"/>
    </row>
    <row r="855">
      <c r="B855" s="152"/>
    </row>
    <row r="856">
      <c r="B856" s="152"/>
    </row>
    <row r="857">
      <c r="B857" s="152"/>
    </row>
    <row r="858">
      <c r="B858" s="152"/>
    </row>
    <row r="859">
      <c r="B859" s="152"/>
    </row>
    <row r="860">
      <c r="B860" s="152"/>
    </row>
    <row r="861">
      <c r="B861" s="152"/>
    </row>
    <row r="862">
      <c r="B862" s="152"/>
    </row>
    <row r="863">
      <c r="B863" s="152"/>
    </row>
    <row r="864">
      <c r="B864" s="152"/>
    </row>
    <row r="865">
      <c r="B865" s="152"/>
    </row>
    <row r="866">
      <c r="B866" s="152"/>
    </row>
    <row r="867">
      <c r="B867" s="152"/>
    </row>
    <row r="868">
      <c r="B868" s="152"/>
    </row>
    <row r="869">
      <c r="B869" s="152"/>
    </row>
    <row r="870">
      <c r="B870" s="152"/>
    </row>
    <row r="871">
      <c r="B871" s="152"/>
    </row>
    <row r="872">
      <c r="B872" s="152"/>
    </row>
    <row r="873">
      <c r="B873" s="152"/>
    </row>
    <row r="874">
      <c r="B874" s="152"/>
    </row>
    <row r="875">
      <c r="B875" s="152"/>
    </row>
    <row r="876">
      <c r="B876" s="152"/>
    </row>
    <row r="877">
      <c r="B877" s="152"/>
    </row>
    <row r="878">
      <c r="B878" s="152"/>
    </row>
    <row r="879">
      <c r="B879" s="152"/>
    </row>
    <row r="880">
      <c r="B880" s="152"/>
    </row>
    <row r="881">
      <c r="B881" s="152"/>
    </row>
    <row r="882">
      <c r="B882" s="152"/>
    </row>
    <row r="883">
      <c r="B883" s="152"/>
    </row>
    <row r="884">
      <c r="B884" s="152"/>
    </row>
    <row r="885">
      <c r="B885" s="152"/>
    </row>
    <row r="886">
      <c r="B886" s="152"/>
    </row>
    <row r="887">
      <c r="B887" s="152"/>
    </row>
    <row r="888">
      <c r="B888" s="152"/>
    </row>
    <row r="889">
      <c r="B889" s="152"/>
    </row>
    <row r="890">
      <c r="B890" s="152"/>
    </row>
    <row r="891">
      <c r="B891" s="152"/>
    </row>
    <row r="892">
      <c r="B892" s="152"/>
    </row>
    <row r="893">
      <c r="B893" s="152"/>
    </row>
    <row r="894">
      <c r="B894" s="152"/>
    </row>
    <row r="895">
      <c r="B895" s="152"/>
    </row>
    <row r="896">
      <c r="B896" s="152"/>
    </row>
    <row r="897">
      <c r="B897" s="152"/>
    </row>
    <row r="898">
      <c r="B898" s="152"/>
    </row>
    <row r="899">
      <c r="B899" s="152"/>
    </row>
    <row r="900">
      <c r="B900" s="152"/>
    </row>
    <row r="901">
      <c r="B901" s="152"/>
    </row>
    <row r="902">
      <c r="B902" s="152"/>
    </row>
    <row r="903">
      <c r="B903" s="152"/>
    </row>
    <row r="904">
      <c r="B904" s="152"/>
    </row>
    <row r="905">
      <c r="B905" s="152"/>
    </row>
    <row r="906">
      <c r="B906" s="152"/>
    </row>
    <row r="907">
      <c r="B907" s="152"/>
    </row>
    <row r="908">
      <c r="B908" s="152"/>
    </row>
    <row r="909">
      <c r="B909" s="152"/>
    </row>
    <row r="910">
      <c r="B910" s="152"/>
    </row>
    <row r="911">
      <c r="B911" s="152"/>
    </row>
    <row r="912">
      <c r="B912" s="152"/>
    </row>
    <row r="913">
      <c r="B913" s="152"/>
    </row>
    <row r="914">
      <c r="B914" s="152"/>
    </row>
    <row r="915">
      <c r="B915" s="152"/>
    </row>
    <row r="916">
      <c r="B916" s="152"/>
    </row>
    <row r="917">
      <c r="B917" s="152"/>
    </row>
    <row r="918">
      <c r="B918" s="152"/>
    </row>
    <row r="919">
      <c r="B919" s="152"/>
    </row>
    <row r="920">
      <c r="B920" s="152"/>
    </row>
    <row r="921">
      <c r="B921" s="152"/>
    </row>
    <row r="922">
      <c r="B922" s="152"/>
    </row>
    <row r="923">
      <c r="B923" s="152"/>
    </row>
    <row r="924">
      <c r="B924" s="152"/>
    </row>
    <row r="925">
      <c r="B925" s="152"/>
    </row>
    <row r="926">
      <c r="B926" s="152"/>
    </row>
    <row r="927">
      <c r="B927" s="152"/>
    </row>
    <row r="928">
      <c r="B928" s="152"/>
    </row>
    <row r="929">
      <c r="B929" s="152"/>
    </row>
    <row r="930">
      <c r="B930" s="152"/>
    </row>
    <row r="931">
      <c r="B931" s="152"/>
    </row>
    <row r="932">
      <c r="B932" s="152"/>
    </row>
    <row r="933">
      <c r="B933" s="152"/>
    </row>
    <row r="934">
      <c r="B934" s="152"/>
    </row>
    <row r="935">
      <c r="B935" s="152"/>
    </row>
    <row r="936">
      <c r="B936" s="152"/>
    </row>
    <row r="937">
      <c r="B937" s="152"/>
    </row>
    <row r="938">
      <c r="B938" s="152"/>
    </row>
    <row r="939">
      <c r="B939" s="152"/>
    </row>
    <row r="940">
      <c r="B940" s="152"/>
    </row>
    <row r="941">
      <c r="B941" s="152"/>
    </row>
    <row r="942">
      <c r="B942" s="152"/>
    </row>
    <row r="943">
      <c r="B943" s="152"/>
    </row>
    <row r="944">
      <c r="B944" s="152"/>
    </row>
    <row r="945">
      <c r="B945" s="152"/>
    </row>
    <row r="946">
      <c r="B946" s="152"/>
    </row>
    <row r="947">
      <c r="B947" s="152"/>
    </row>
    <row r="948">
      <c r="B948" s="152"/>
    </row>
    <row r="949">
      <c r="B949" s="152"/>
    </row>
    <row r="950">
      <c r="B950" s="152"/>
    </row>
    <row r="951">
      <c r="B951" s="152"/>
    </row>
    <row r="952">
      <c r="B952" s="152"/>
    </row>
    <row r="953">
      <c r="B953" s="152"/>
    </row>
    <row r="954">
      <c r="B954" s="152"/>
    </row>
    <row r="955">
      <c r="B955" s="152"/>
    </row>
    <row r="956">
      <c r="B956" s="152"/>
    </row>
    <row r="957">
      <c r="B957" s="152"/>
    </row>
    <row r="958">
      <c r="B958" s="152"/>
    </row>
    <row r="959">
      <c r="B959" s="152"/>
    </row>
    <row r="960">
      <c r="B960" s="152"/>
    </row>
    <row r="961">
      <c r="B961" s="152"/>
    </row>
    <row r="962">
      <c r="B962" s="152"/>
    </row>
    <row r="963">
      <c r="B963" s="152"/>
    </row>
    <row r="964">
      <c r="B964" s="152"/>
    </row>
    <row r="965">
      <c r="B965" s="152"/>
    </row>
    <row r="966">
      <c r="B966" s="152"/>
    </row>
    <row r="967">
      <c r="B967" s="152"/>
    </row>
    <row r="968">
      <c r="B968" s="152"/>
    </row>
    <row r="969">
      <c r="B969" s="152"/>
    </row>
    <row r="970">
      <c r="B970" s="152"/>
    </row>
    <row r="971">
      <c r="B971" s="152"/>
    </row>
    <row r="972">
      <c r="B972" s="152"/>
    </row>
    <row r="973">
      <c r="B973" s="152"/>
    </row>
    <row r="974">
      <c r="B974" s="152"/>
    </row>
    <row r="975">
      <c r="B975" s="152"/>
    </row>
    <row r="976">
      <c r="B976" s="152"/>
    </row>
    <row r="977">
      <c r="B977" s="152"/>
    </row>
    <row r="978">
      <c r="B978" s="152"/>
    </row>
    <row r="979">
      <c r="B979" s="152"/>
    </row>
    <row r="980">
      <c r="B980" s="152"/>
    </row>
    <row r="981">
      <c r="B981" s="152"/>
    </row>
    <row r="982">
      <c r="B982" s="152"/>
    </row>
    <row r="983">
      <c r="B983" s="152"/>
    </row>
    <row r="984">
      <c r="B984" s="152"/>
    </row>
    <row r="985">
      <c r="B985" s="152"/>
    </row>
    <row r="986">
      <c r="B986" s="152"/>
    </row>
    <row r="987">
      <c r="B987" s="152"/>
    </row>
    <row r="988">
      <c r="B988" s="152"/>
    </row>
    <row r="989">
      <c r="B989" s="152"/>
    </row>
    <row r="990">
      <c r="B990" s="152"/>
    </row>
    <row r="991">
      <c r="B991" s="152"/>
    </row>
    <row r="992">
      <c r="B992" s="152"/>
    </row>
    <row r="993">
      <c r="B993" s="152"/>
    </row>
    <row r="994">
      <c r="B994" s="152"/>
    </row>
    <row r="995">
      <c r="B995" s="152"/>
    </row>
    <row r="996">
      <c r="B996" s="152"/>
    </row>
    <row r="997">
      <c r="B997" s="152"/>
    </row>
    <row r="998">
      <c r="B998" s="152"/>
    </row>
    <row r="999">
      <c r="B999" s="152"/>
    </row>
    <row r="1000">
      <c r="B1000" s="15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9" t="s">
        <v>190</v>
      </c>
      <c r="C1" s="88" t="s">
        <v>191</v>
      </c>
      <c r="D1" s="89" t="s">
        <v>192</v>
      </c>
      <c r="E1" s="89" t="s">
        <v>194</v>
      </c>
      <c r="F1" s="89" t="s">
        <v>195</v>
      </c>
      <c r="G1" s="89" t="s">
        <v>196</v>
      </c>
      <c r="H1" s="89" t="s">
        <v>197</v>
      </c>
    </row>
    <row r="2">
      <c r="A2" s="92" t="s">
        <v>278</v>
      </c>
      <c r="B2" s="95">
        <v>2.67</v>
      </c>
      <c r="C2" s="94">
        <v>3.0</v>
      </c>
      <c r="D2" s="95">
        <v>0.0</v>
      </c>
      <c r="E2" s="95">
        <v>-1.33</v>
      </c>
      <c r="F2" s="95">
        <v>1.33</v>
      </c>
      <c r="G2" s="95">
        <v>2.67</v>
      </c>
      <c r="H2" s="95">
        <v>0.0</v>
      </c>
    </row>
    <row r="3">
      <c r="A3" s="92" t="s">
        <v>201</v>
      </c>
      <c r="B3" s="95">
        <v>22.4</v>
      </c>
      <c r="C3" s="94">
        <v>2.2</v>
      </c>
      <c r="D3" s="95">
        <v>4.8</v>
      </c>
      <c r="E3" s="95">
        <v>5.6</v>
      </c>
      <c r="F3" s="95">
        <v>0.0</v>
      </c>
      <c r="G3" s="95">
        <v>3.2</v>
      </c>
      <c r="H3" s="95">
        <v>8.421052631578947</v>
      </c>
    </row>
    <row r="4">
      <c r="A4" s="92" t="s">
        <v>248</v>
      </c>
      <c r="B4" s="95">
        <v>8.333333333333334</v>
      </c>
      <c r="C4" s="94">
        <v>2.0833333333333335</v>
      </c>
      <c r="D4" s="95">
        <v>0.0</v>
      </c>
      <c r="E4" s="95">
        <v>2.6666666666666665</v>
      </c>
      <c r="F4" s="95">
        <v>3.8095238095238093</v>
      </c>
      <c r="G4" s="95">
        <v>-1.6842105263157894</v>
      </c>
      <c r="H4" s="95">
        <v>3.5555555555555554</v>
      </c>
    </row>
    <row r="5">
      <c r="A5" s="92" t="s">
        <v>222</v>
      </c>
      <c r="B5" s="95">
        <v>11.272995780590715</v>
      </c>
      <c r="C5" s="94">
        <v>1.459915611814346</v>
      </c>
      <c r="D5" s="95">
        <v>1.00125</v>
      </c>
      <c r="E5" s="95">
        <v>0.0</v>
      </c>
      <c r="F5" s="95">
        <v>2.0</v>
      </c>
      <c r="G5" s="95">
        <v>3.50125</v>
      </c>
      <c r="H5" s="95">
        <v>4.8</v>
      </c>
    </row>
    <row r="6">
      <c r="A6" s="92" t="s">
        <v>285</v>
      </c>
      <c r="B6" s="95">
        <v>5.959574468085107</v>
      </c>
      <c r="C6" s="94">
        <v>1.274468085106383</v>
      </c>
      <c r="D6" s="95">
        <v>0.0</v>
      </c>
      <c r="E6" s="95">
        <v>1.6842105263157894</v>
      </c>
      <c r="F6" s="95">
        <v>0.0</v>
      </c>
      <c r="G6" s="95">
        <v>0.0</v>
      </c>
      <c r="H6" s="95">
        <v>4.212631578947369</v>
      </c>
    </row>
    <row r="7">
      <c r="A7" s="92" t="s">
        <v>217</v>
      </c>
      <c r="B7" s="95">
        <v>12.121212121212121</v>
      </c>
      <c r="C7" s="94">
        <v>1.2121212121212122</v>
      </c>
      <c r="D7" s="95">
        <v>0.0</v>
      </c>
      <c r="E7" s="95">
        <v>4.8</v>
      </c>
      <c r="F7" s="95">
        <v>4.0</v>
      </c>
      <c r="G7" s="95">
        <v>-0.8</v>
      </c>
      <c r="H7" s="95">
        <v>4.2105263157894735</v>
      </c>
    </row>
    <row r="8">
      <c r="A8" s="92" t="s">
        <v>199</v>
      </c>
      <c r="B8" s="95">
        <v>30.76923076923077</v>
      </c>
      <c r="C8" s="94">
        <v>1.0256410256410258</v>
      </c>
      <c r="D8" s="95">
        <v>12.0</v>
      </c>
      <c r="E8" s="95">
        <v>4.0</v>
      </c>
      <c r="F8" s="95">
        <v>7.466666666666667</v>
      </c>
      <c r="G8" s="95">
        <v>-1.0666666666666667</v>
      </c>
      <c r="H8" s="95">
        <v>8.0</v>
      </c>
    </row>
    <row r="9">
      <c r="A9" s="92" t="s">
        <v>219</v>
      </c>
      <c r="B9" s="95">
        <v>11.625641025641027</v>
      </c>
      <c r="C9" s="94">
        <v>1.0256410256410258</v>
      </c>
      <c r="D9" s="95">
        <v>5.563478260869565</v>
      </c>
      <c r="E9" s="95">
        <v>0.6666666666666666</v>
      </c>
      <c r="F9" s="95">
        <v>2.0016666666666665</v>
      </c>
      <c r="G9" s="95">
        <v>1.3316666666666668</v>
      </c>
      <c r="H9" s="95">
        <v>2.18</v>
      </c>
    </row>
    <row r="10">
      <c r="A10" s="92" t="s">
        <v>218</v>
      </c>
      <c r="B10" s="95">
        <v>12.121212121212121</v>
      </c>
      <c r="C10" s="94">
        <v>1.0101010101010102</v>
      </c>
      <c r="D10" s="95">
        <v>0.0</v>
      </c>
      <c r="E10" s="95">
        <v>8.571428571428571</v>
      </c>
      <c r="F10" s="95">
        <v>2.1052631578947367</v>
      </c>
      <c r="G10" s="95">
        <v>1.0526315789473684</v>
      </c>
      <c r="H10" s="95">
        <v>3.1578947368421053</v>
      </c>
    </row>
    <row r="11">
      <c r="A11" s="92" t="s">
        <v>242</v>
      </c>
      <c r="B11" s="95">
        <v>8.88888888888889</v>
      </c>
      <c r="C11" s="94">
        <v>1.0101010101010102</v>
      </c>
      <c r="D11" s="95">
        <v>1.6</v>
      </c>
      <c r="E11" s="95">
        <v>1.6842105263157894</v>
      </c>
      <c r="F11" s="95">
        <v>1.6</v>
      </c>
      <c r="G11" s="95">
        <v>0.0</v>
      </c>
      <c r="H11" s="95">
        <v>4.0</v>
      </c>
    </row>
    <row r="12">
      <c r="A12" s="92" t="s">
        <v>301</v>
      </c>
      <c r="B12" s="95">
        <v>0.0</v>
      </c>
      <c r="C12" s="94">
        <v>1.0</v>
      </c>
      <c r="D12" s="95">
        <v>0.0</v>
      </c>
      <c r="E12" s="95">
        <v>4.0</v>
      </c>
      <c r="F12" s="95">
        <v>-4.0</v>
      </c>
      <c r="G12" s="95">
        <v>0.0</v>
      </c>
      <c r="H12" s="95">
        <v>0.0</v>
      </c>
    </row>
    <row r="13">
      <c r="A13" s="92" t="s">
        <v>198</v>
      </c>
      <c r="B13" s="95">
        <v>31.189830508474575</v>
      </c>
      <c r="C13" s="94">
        <v>0.8440677966101695</v>
      </c>
      <c r="D13" s="95">
        <v>12.521739130434783</v>
      </c>
      <c r="E13" s="95">
        <v>8.67</v>
      </c>
      <c r="F13" s="95">
        <v>4.0</v>
      </c>
      <c r="G13" s="95">
        <v>1.3878260869565218</v>
      </c>
      <c r="H13" s="95">
        <v>4.67</v>
      </c>
    </row>
    <row r="14">
      <c r="A14" s="92" t="s">
        <v>204</v>
      </c>
      <c r="B14" s="95">
        <v>16.842105263157894</v>
      </c>
      <c r="C14" s="94">
        <v>0.8421052631578947</v>
      </c>
      <c r="D14" s="95">
        <v>0.0</v>
      </c>
      <c r="E14" s="95">
        <v>5.052631578947368</v>
      </c>
      <c r="F14" s="95">
        <v>6.4</v>
      </c>
      <c r="G14" s="95">
        <v>6.222222222222222</v>
      </c>
      <c r="H14" s="95">
        <v>-0.8888888888888888</v>
      </c>
    </row>
    <row r="15">
      <c r="A15" s="92" t="s">
        <v>307</v>
      </c>
      <c r="B15" s="95">
        <v>1.6161616161616161</v>
      </c>
      <c r="C15" s="94">
        <v>0.8080808080808081</v>
      </c>
      <c r="D15" s="95">
        <v>0.0</v>
      </c>
      <c r="E15" s="95">
        <v>0.8421052631578947</v>
      </c>
      <c r="F15" s="95">
        <v>0.8</v>
      </c>
      <c r="G15" s="95">
        <v>0.0</v>
      </c>
      <c r="H15" s="95">
        <v>0.0</v>
      </c>
    </row>
    <row r="16">
      <c r="A16" s="92" t="s">
        <v>245</v>
      </c>
      <c r="B16" s="95">
        <v>8.8</v>
      </c>
      <c r="C16" s="94">
        <v>0.8</v>
      </c>
      <c r="D16" s="95">
        <v>6.398</v>
      </c>
      <c r="E16" s="95">
        <v>0.798</v>
      </c>
      <c r="F16" s="95">
        <v>0.8</v>
      </c>
      <c r="G16" s="95">
        <v>0.0</v>
      </c>
      <c r="H16" s="95">
        <v>0.798</v>
      </c>
    </row>
    <row r="17">
      <c r="A17" s="92" t="s">
        <v>293</v>
      </c>
      <c r="B17" s="95">
        <v>5.6</v>
      </c>
      <c r="C17" s="94">
        <v>0.8</v>
      </c>
      <c r="D17" s="95">
        <v>-0.8</v>
      </c>
      <c r="E17" s="95">
        <v>0.8</v>
      </c>
      <c r="F17" s="95">
        <v>2.4</v>
      </c>
      <c r="G17" s="95">
        <v>0.8</v>
      </c>
      <c r="H17" s="95">
        <v>2.4</v>
      </c>
    </row>
    <row r="18">
      <c r="A18" s="92" t="s">
        <v>212</v>
      </c>
      <c r="B18" s="95">
        <v>12.467532467532468</v>
      </c>
      <c r="C18" s="94">
        <v>0.7792207792207793</v>
      </c>
      <c r="D18" s="95">
        <v>1.0666666666666667</v>
      </c>
      <c r="E18" s="95">
        <v>8.0</v>
      </c>
      <c r="F18" s="95">
        <v>0.0</v>
      </c>
      <c r="G18" s="95">
        <v>0.0</v>
      </c>
      <c r="H18" s="95">
        <v>3.2</v>
      </c>
    </row>
    <row r="19">
      <c r="A19" s="92" t="s">
        <v>304</v>
      </c>
      <c r="B19" s="95">
        <v>5.194805194805195</v>
      </c>
      <c r="C19" s="94">
        <v>0.7792207792207793</v>
      </c>
      <c r="D19" s="95">
        <v>0.0</v>
      </c>
      <c r="E19" s="95">
        <v>4.0</v>
      </c>
      <c r="F19" s="95">
        <v>0.0</v>
      </c>
      <c r="G19" s="95">
        <v>1.0666666666666667</v>
      </c>
      <c r="H19" s="95">
        <v>0.0</v>
      </c>
    </row>
    <row r="20">
      <c r="A20" s="92" t="s">
        <v>274</v>
      </c>
      <c r="B20" s="95">
        <v>6.8965517241379315</v>
      </c>
      <c r="C20" s="94">
        <v>0.6896551724137931</v>
      </c>
      <c r="D20" s="95">
        <v>0.0</v>
      </c>
      <c r="E20" s="95">
        <v>8.0</v>
      </c>
      <c r="F20" s="95">
        <v>-1.4545454545454546</v>
      </c>
      <c r="G20" s="95">
        <v>0.0</v>
      </c>
      <c r="H20" s="95">
        <v>0.0</v>
      </c>
    </row>
    <row r="21">
      <c r="A21" s="92" t="s">
        <v>317</v>
      </c>
      <c r="B21" s="95">
        <v>1.352542372881356</v>
      </c>
      <c r="C21" s="94">
        <v>0.6813559322033897</v>
      </c>
      <c r="D21" s="95">
        <v>0.0</v>
      </c>
      <c r="E21" s="95">
        <v>0.0</v>
      </c>
      <c r="F21" s="95">
        <v>0.0</v>
      </c>
      <c r="G21" s="95">
        <v>1.33</v>
      </c>
      <c r="H21" s="95">
        <v>0.0</v>
      </c>
    </row>
    <row r="22">
      <c r="A22" s="92" t="s">
        <v>266</v>
      </c>
      <c r="B22" s="95">
        <v>7.422680412371134</v>
      </c>
      <c r="C22" s="94">
        <v>0.6185567010309279</v>
      </c>
      <c r="D22" s="95">
        <v>3.3684210526315788</v>
      </c>
      <c r="E22" s="95">
        <v>0.8</v>
      </c>
      <c r="F22" s="95">
        <v>3.2</v>
      </c>
      <c r="G22" s="95">
        <v>0.8</v>
      </c>
      <c r="H22" s="95">
        <v>-0.8888888888888888</v>
      </c>
    </row>
    <row r="23">
      <c r="A23" s="92" t="s">
        <v>213</v>
      </c>
      <c r="B23" s="95">
        <v>12.244897959183673</v>
      </c>
      <c r="C23" s="94">
        <v>0.6122448979591836</v>
      </c>
      <c r="D23" s="95">
        <v>2.526315789473684</v>
      </c>
      <c r="E23" s="95">
        <v>4.0</v>
      </c>
      <c r="F23" s="95">
        <v>1.6</v>
      </c>
      <c r="G23" s="95">
        <v>-0.8</v>
      </c>
      <c r="H23" s="95">
        <v>5.052631578947368</v>
      </c>
    </row>
    <row r="24">
      <c r="A24" s="92" t="s">
        <v>288</v>
      </c>
      <c r="B24" s="95">
        <v>5.7142857142857135</v>
      </c>
      <c r="C24" s="94">
        <v>0.6122448979591836</v>
      </c>
      <c r="D24" s="95">
        <v>1.6</v>
      </c>
      <c r="E24" s="95">
        <v>0.0</v>
      </c>
      <c r="F24" s="95">
        <v>-0.8</v>
      </c>
      <c r="G24" s="95">
        <v>0.8421052631578947</v>
      </c>
      <c r="H24" s="95">
        <v>4.2105263157894735</v>
      </c>
    </row>
    <row r="25">
      <c r="A25" s="92" t="s">
        <v>321</v>
      </c>
      <c r="B25" s="95">
        <v>4.081632653061225</v>
      </c>
      <c r="C25" s="94">
        <v>0.6122448979591836</v>
      </c>
      <c r="D25" s="95">
        <v>0.0</v>
      </c>
      <c r="E25" s="95">
        <v>0.0</v>
      </c>
      <c r="F25" s="95">
        <v>2.4</v>
      </c>
      <c r="G25" s="95">
        <v>2.526315789473684</v>
      </c>
      <c r="H25" s="95">
        <v>-0.8421052631578947</v>
      </c>
    </row>
    <row r="26">
      <c r="A26" s="92" t="s">
        <v>244</v>
      </c>
      <c r="B26" s="95">
        <v>8.88888888888889</v>
      </c>
      <c r="C26" s="94">
        <v>0.608080808080808</v>
      </c>
      <c r="D26" s="95">
        <v>0.0</v>
      </c>
      <c r="E26" s="95">
        <v>6.4</v>
      </c>
      <c r="F26" s="95">
        <v>1.6</v>
      </c>
      <c r="G26" s="95">
        <v>0.7619047619047619</v>
      </c>
      <c r="H26" s="95">
        <v>0.0</v>
      </c>
    </row>
    <row r="27">
      <c r="A27" s="92" t="s">
        <v>328</v>
      </c>
      <c r="B27" s="95">
        <v>2.426262626262626</v>
      </c>
      <c r="C27" s="94">
        <v>0.608080808080808</v>
      </c>
      <c r="D27" s="95">
        <v>0.0</v>
      </c>
      <c r="E27" s="95">
        <v>0.0</v>
      </c>
      <c r="F27" s="95">
        <v>-0.798</v>
      </c>
      <c r="G27" s="95">
        <v>0.0</v>
      </c>
      <c r="H27" s="95">
        <v>3.2</v>
      </c>
    </row>
    <row r="28">
      <c r="A28" s="92" t="s">
        <v>207</v>
      </c>
      <c r="B28" s="95">
        <v>14.545454545454545</v>
      </c>
      <c r="C28" s="94">
        <v>0.6060606060606061</v>
      </c>
      <c r="D28" s="95">
        <v>3.5555555555555554</v>
      </c>
      <c r="E28" s="95">
        <v>6.4</v>
      </c>
      <c r="F28" s="95">
        <v>1.6</v>
      </c>
      <c r="G28" s="95">
        <v>0.0</v>
      </c>
      <c r="H28" s="95">
        <v>3.0476190476190474</v>
      </c>
    </row>
    <row r="29">
      <c r="A29" s="92" t="s">
        <v>227</v>
      </c>
      <c r="B29" s="95">
        <v>10.505050505050505</v>
      </c>
      <c r="C29" s="94">
        <v>0.6060606060606061</v>
      </c>
      <c r="D29" s="95">
        <v>0.8</v>
      </c>
      <c r="E29" s="95">
        <v>6.095238095238095</v>
      </c>
      <c r="F29" s="95">
        <v>0.8421052631578947</v>
      </c>
      <c r="G29" s="95">
        <v>1.6</v>
      </c>
      <c r="H29" s="95">
        <v>0.8421052631578947</v>
      </c>
    </row>
    <row r="30">
      <c r="A30" s="92" t="s">
        <v>221</v>
      </c>
      <c r="B30" s="95">
        <v>11.313131313131313</v>
      </c>
      <c r="C30" s="94">
        <v>0.604040404040404</v>
      </c>
      <c r="D30" s="95">
        <v>5.6</v>
      </c>
      <c r="E30" s="95">
        <v>2.2857142857142856</v>
      </c>
      <c r="F30" s="95">
        <v>0.0</v>
      </c>
      <c r="G30" s="95">
        <v>0.0</v>
      </c>
      <c r="H30" s="95">
        <v>3.3684210526315788</v>
      </c>
    </row>
    <row r="31">
      <c r="A31" s="92" t="s">
        <v>210</v>
      </c>
      <c r="B31" s="95">
        <v>12.802000000000001</v>
      </c>
      <c r="C31" s="94">
        <v>0.602</v>
      </c>
      <c r="D31" s="95">
        <v>0.0</v>
      </c>
      <c r="E31" s="95">
        <v>9.6</v>
      </c>
      <c r="F31" s="95">
        <v>2.402</v>
      </c>
      <c r="G31" s="95">
        <v>0.8</v>
      </c>
      <c r="H31" s="95">
        <v>0.0</v>
      </c>
    </row>
    <row r="32">
      <c r="A32" s="92" t="s">
        <v>332</v>
      </c>
      <c r="B32" s="95">
        <v>4.0</v>
      </c>
      <c r="C32" s="94">
        <v>0.6</v>
      </c>
      <c r="D32" s="95">
        <v>0.8</v>
      </c>
      <c r="E32" s="95">
        <v>3.2</v>
      </c>
      <c r="F32" s="95">
        <v>-0.8</v>
      </c>
      <c r="G32" s="95">
        <v>0.0</v>
      </c>
      <c r="H32" s="95">
        <v>0.8421052631578947</v>
      </c>
    </row>
    <row r="33">
      <c r="A33" s="92" t="s">
        <v>339</v>
      </c>
      <c r="B33" s="95">
        <v>3.2020000000000004</v>
      </c>
      <c r="C33" s="94">
        <v>0.6</v>
      </c>
      <c r="D33" s="95">
        <v>0.0</v>
      </c>
      <c r="E33" s="95">
        <v>0.0</v>
      </c>
      <c r="F33" s="95">
        <v>0.0</v>
      </c>
      <c r="G33" s="95">
        <v>0.0</v>
      </c>
      <c r="H33" s="95">
        <v>3.2020000000000004</v>
      </c>
    </row>
    <row r="34">
      <c r="A34" s="92" t="s">
        <v>341</v>
      </c>
      <c r="B34" s="95">
        <v>0.0</v>
      </c>
      <c r="C34" s="94">
        <v>0.5714285714285714</v>
      </c>
      <c r="D34" s="95">
        <v>1.7777777777777777</v>
      </c>
      <c r="E34" s="95">
        <v>0.0</v>
      </c>
      <c r="F34" s="95">
        <v>0.0</v>
      </c>
      <c r="G34" s="95">
        <v>0.0</v>
      </c>
      <c r="H34" s="95">
        <v>-2.0</v>
      </c>
    </row>
    <row r="35">
      <c r="A35" s="92" t="s">
        <v>265</v>
      </c>
      <c r="B35" s="95">
        <v>7.57027027027027</v>
      </c>
      <c r="C35" s="94">
        <v>0.5378378378378378</v>
      </c>
      <c r="D35" s="95">
        <v>2.0025</v>
      </c>
      <c r="E35" s="95">
        <v>3.2</v>
      </c>
      <c r="F35" s="95">
        <v>1.0025</v>
      </c>
      <c r="G35" s="95">
        <v>1.2276923076923079</v>
      </c>
      <c r="H35" s="95">
        <v>0.0</v>
      </c>
    </row>
    <row r="36">
      <c r="A36" s="92" t="s">
        <v>313</v>
      </c>
      <c r="B36" s="95">
        <v>4.324324324324324</v>
      </c>
      <c r="C36" s="94">
        <v>0.5378378378378378</v>
      </c>
      <c r="D36" s="95">
        <v>0.0</v>
      </c>
      <c r="E36" s="95">
        <v>-1.0666666666666667</v>
      </c>
      <c r="F36" s="95">
        <v>0.0</v>
      </c>
      <c r="G36" s="95">
        <v>6.153846153846154</v>
      </c>
      <c r="H36" s="95">
        <v>0.0</v>
      </c>
    </row>
    <row r="37">
      <c r="A37" s="92" t="s">
        <v>347</v>
      </c>
      <c r="B37" s="95">
        <v>1.0666666666666667</v>
      </c>
      <c r="C37" s="94">
        <v>0.5333333333333333</v>
      </c>
      <c r="D37" s="95">
        <v>0.0</v>
      </c>
      <c r="E37" s="95">
        <v>0.0</v>
      </c>
      <c r="F37" s="95">
        <v>-1.0</v>
      </c>
      <c r="G37" s="95">
        <v>2.2857142857142856</v>
      </c>
      <c r="H37" s="95">
        <v>0.0</v>
      </c>
    </row>
    <row r="38">
      <c r="A38" s="92" t="s">
        <v>318</v>
      </c>
      <c r="B38" s="95">
        <v>4.102564102564103</v>
      </c>
      <c r="C38" s="94">
        <v>0.5128205128205129</v>
      </c>
      <c r="D38" s="95">
        <v>1.0666666666666667</v>
      </c>
      <c r="E38" s="95">
        <v>0.0</v>
      </c>
      <c r="F38" s="95">
        <v>1.0</v>
      </c>
      <c r="G38" s="95">
        <v>1.0</v>
      </c>
      <c r="H38" s="95">
        <v>1.0666666666666667</v>
      </c>
    </row>
    <row r="39">
      <c r="A39" s="92" t="s">
        <v>350</v>
      </c>
      <c r="B39" s="95">
        <v>0.0</v>
      </c>
      <c r="C39" s="94">
        <v>0.5128205128205129</v>
      </c>
      <c r="D39" s="95">
        <v>0.0</v>
      </c>
      <c r="E39" s="95">
        <v>0.0</v>
      </c>
      <c r="F39" s="95">
        <v>0.0</v>
      </c>
      <c r="G39" s="95">
        <v>0.0</v>
      </c>
      <c r="H39" s="95">
        <v>0.0</v>
      </c>
    </row>
    <row r="40">
      <c r="A40" s="92" t="s">
        <v>353</v>
      </c>
      <c r="B40" s="95">
        <v>1.0256410256410258</v>
      </c>
      <c r="C40" s="94">
        <v>0.5128205128205128</v>
      </c>
      <c r="D40" s="95">
        <v>0.0</v>
      </c>
      <c r="E40" s="95">
        <v>0.0</v>
      </c>
      <c r="F40" s="95">
        <v>1.25</v>
      </c>
      <c r="G40" s="95">
        <v>-1.3333333333333333</v>
      </c>
      <c r="H40" s="95">
        <v>1.3333333333333333</v>
      </c>
    </row>
    <row r="41">
      <c r="A41" s="92" t="s">
        <v>271</v>
      </c>
      <c r="B41" s="95">
        <v>7.0886075949367084</v>
      </c>
      <c r="C41" s="94">
        <v>0.5063291139240506</v>
      </c>
      <c r="D41" s="95">
        <v>2.0</v>
      </c>
      <c r="E41" s="95">
        <v>2.0</v>
      </c>
      <c r="F41" s="95">
        <v>2.0</v>
      </c>
      <c r="G41" s="95">
        <v>0.0</v>
      </c>
      <c r="H41" s="95">
        <v>1.0666666666666667</v>
      </c>
    </row>
    <row r="42">
      <c r="A42" s="92" t="s">
        <v>205</v>
      </c>
      <c r="B42" s="95">
        <v>16.0</v>
      </c>
      <c r="C42" s="94">
        <v>0.5</v>
      </c>
      <c r="D42" s="95">
        <v>0.0</v>
      </c>
      <c r="E42" s="95">
        <v>4.0</v>
      </c>
      <c r="F42" s="95">
        <v>6.0</v>
      </c>
      <c r="G42" s="95">
        <v>6.0</v>
      </c>
      <c r="H42" s="95">
        <v>0.0</v>
      </c>
    </row>
    <row r="43">
      <c r="A43" s="92" t="s">
        <v>264</v>
      </c>
      <c r="B43" s="95">
        <v>8.0</v>
      </c>
      <c r="C43" s="94">
        <v>0.5</v>
      </c>
      <c r="D43" s="95">
        <v>10.0</v>
      </c>
      <c r="E43" s="95">
        <v>0.0</v>
      </c>
      <c r="F43" s="95">
        <v>0.0</v>
      </c>
      <c r="G43" s="95">
        <v>0.0</v>
      </c>
      <c r="H43" s="95">
        <v>0.0</v>
      </c>
    </row>
    <row r="44">
      <c r="A44" s="92" t="s">
        <v>340</v>
      </c>
      <c r="B44" s="95">
        <v>4.0</v>
      </c>
      <c r="C44" s="94">
        <v>0.5</v>
      </c>
      <c r="D44" s="95">
        <v>0.0</v>
      </c>
      <c r="E44" s="95">
        <v>4.0</v>
      </c>
      <c r="F44" s="95">
        <v>2.0</v>
      </c>
      <c r="G44" s="95">
        <v>-2.0</v>
      </c>
      <c r="H44" s="95">
        <v>0.0</v>
      </c>
    </row>
    <row r="45">
      <c r="A45" s="92" t="s">
        <v>360</v>
      </c>
      <c r="B45" s="95">
        <v>0.0</v>
      </c>
      <c r="C45" s="94">
        <v>0.5</v>
      </c>
      <c r="D45" s="95">
        <v>-2.0</v>
      </c>
      <c r="E45" s="95">
        <v>0.0</v>
      </c>
      <c r="F45" s="95">
        <v>0.0</v>
      </c>
      <c r="G45" s="95">
        <v>0.0</v>
      </c>
      <c r="H45" s="95">
        <v>2.0</v>
      </c>
    </row>
    <row r="46">
      <c r="A46" s="92" t="s">
        <v>363</v>
      </c>
      <c r="B46" s="95">
        <v>0.0</v>
      </c>
      <c r="C46" s="94">
        <v>0.5</v>
      </c>
      <c r="D46" s="95">
        <v>0.0</v>
      </c>
      <c r="E46" s="95">
        <v>0.0</v>
      </c>
      <c r="F46" s="95">
        <v>0.0</v>
      </c>
      <c r="G46" s="95">
        <v>0.0</v>
      </c>
      <c r="H46" s="95">
        <v>0.0</v>
      </c>
    </row>
    <row r="47">
      <c r="A47" s="92" t="s">
        <v>232</v>
      </c>
      <c r="B47" s="95">
        <v>10.0</v>
      </c>
      <c r="C47" s="94">
        <v>0.4166666666666667</v>
      </c>
      <c r="D47" s="95">
        <v>0.0</v>
      </c>
      <c r="E47" s="95">
        <v>0.8888888888888888</v>
      </c>
      <c r="F47" s="95">
        <v>0.0</v>
      </c>
      <c r="G47" s="95">
        <v>3.3684210526315788</v>
      </c>
      <c r="H47" s="95">
        <v>6.222222222222222</v>
      </c>
    </row>
    <row r="48">
      <c r="A48" s="92" t="s">
        <v>208</v>
      </c>
      <c r="B48" s="95">
        <v>13.061224489795917</v>
      </c>
      <c r="C48" s="94">
        <v>0.4081632653061224</v>
      </c>
      <c r="D48" s="95">
        <v>5.052631578947368</v>
      </c>
      <c r="E48" s="95">
        <v>4.8</v>
      </c>
      <c r="F48" s="95">
        <v>1.6</v>
      </c>
      <c r="G48" s="95">
        <v>0.8421052631578947</v>
      </c>
      <c r="H48" s="95">
        <v>0.8</v>
      </c>
    </row>
    <row r="49">
      <c r="A49" s="92" t="s">
        <v>239</v>
      </c>
      <c r="B49" s="95">
        <v>8.979591836734693</v>
      </c>
      <c r="C49" s="94">
        <v>0.4081632653061224</v>
      </c>
      <c r="D49" s="95">
        <v>0.8</v>
      </c>
      <c r="E49" s="95">
        <v>6.4</v>
      </c>
      <c r="F49" s="95">
        <v>0.0</v>
      </c>
      <c r="G49" s="95">
        <v>0.0</v>
      </c>
      <c r="H49" s="95">
        <v>1.6842105263157894</v>
      </c>
    </row>
    <row r="50">
      <c r="A50" s="92" t="s">
        <v>209</v>
      </c>
      <c r="B50" s="95">
        <v>12.931313131313132</v>
      </c>
      <c r="C50" s="94">
        <v>0.406060606060606</v>
      </c>
      <c r="D50" s="95">
        <v>1.598</v>
      </c>
      <c r="E50" s="95">
        <v>8.8</v>
      </c>
      <c r="F50" s="95">
        <v>0.798</v>
      </c>
      <c r="G50" s="95">
        <v>0.0</v>
      </c>
      <c r="H50" s="95">
        <v>1.6</v>
      </c>
    </row>
    <row r="51">
      <c r="A51" s="92" t="s">
        <v>203</v>
      </c>
      <c r="B51" s="95">
        <v>19.393939393939394</v>
      </c>
      <c r="C51" s="94">
        <v>0.40404040404040403</v>
      </c>
      <c r="D51" s="95">
        <v>0.8</v>
      </c>
      <c r="E51" s="95">
        <v>3.0476190476190474</v>
      </c>
      <c r="F51" s="95">
        <v>8.0</v>
      </c>
      <c r="G51" s="95">
        <v>5.894736842105263</v>
      </c>
      <c r="H51" s="95">
        <v>1.6842105263157894</v>
      </c>
    </row>
    <row r="52">
      <c r="A52" s="92" t="s">
        <v>243</v>
      </c>
      <c r="B52" s="95">
        <v>8.88888888888889</v>
      </c>
      <c r="C52" s="94">
        <v>0.40404040404040403</v>
      </c>
      <c r="D52" s="95">
        <v>7.619047619047619</v>
      </c>
      <c r="E52" s="95">
        <v>0.0</v>
      </c>
      <c r="F52" s="95">
        <v>0.0</v>
      </c>
      <c r="G52" s="95">
        <v>0.0</v>
      </c>
      <c r="H52" s="95">
        <v>0.8421052631578947</v>
      </c>
    </row>
    <row r="53">
      <c r="A53" s="92" t="s">
        <v>253</v>
      </c>
      <c r="B53" s="95">
        <v>8.080808080808081</v>
      </c>
      <c r="C53" s="94">
        <v>0.40404040404040403</v>
      </c>
      <c r="D53" s="95">
        <v>6.4</v>
      </c>
      <c r="E53" s="95">
        <v>-0.7619047619047619</v>
      </c>
      <c r="F53" s="95">
        <v>0.0</v>
      </c>
      <c r="G53" s="95">
        <v>0.0</v>
      </c>
      <c r="H53" s="95">
        <v>2.526315789473684</v>
      </c>
    </row>
    <row r="54">
      <c r="A54" s="92" t="s">
        <v>254</v>
      </c>
      <c r="B54" s="95">
        <v>8.080808080808081</v>
      </c>
      <c r="C54" s="94">
        <v>0.40404040404040403</v>
      </c>
      <c r="D54" s="95">
        <v>5.6</v>
      </c>
      <c r="E54" s="95">
        <v>2.526315789473684</v>
      </c>
      <c r="F54" s="95">
        <v>0.0</v>
      </c>
      <c r="G54" s="95">
        <v>0.0</v>
      </c>
      <c r="H54" s="95">
        <v>0.0</v>
      </c>
    </row>
    <row r="55">
      <c r="A55" s="92" t="s">
        <v>308</v>
      </c>
      <c r="B55" s="95">
        <v>4.848484848484849</v>
      </c>
      <c r="C55" s="94">
        <v>0.40404040404040403</v>
      </c>
      <c r="D55" s="95">
        <v>5.333333333333333</v>
      </c>
      <c r="E55" s="95">
        <v>0.0</v>
      </c>
      <c r="F55" s="95">
        <v>-0.8</v>
      </c>
      <c r="G55" s="95">
        <v>0.0</v>
      </c>
      <c r="H55" s="95">
        <v>0.7619047619047619</v>
      </c>
    </row>
    <row r="56">
      <c r="A56" s="92" t="s">
        <v>365</v>
      </c>
      <c r="B56" s="95">
        <v>2.4242424242424243</v>
      </c>
      <c r="C56" s="94">
        <v>0.40404040404040403</v>
      </c>
      <c r="D56" s="95">
        <v>0.0</v>
      </c>
      <c r="E56" s="95">
        <v>1.5238095238095237</v>
      </c>
      <c r="F56" s="95">
        <v>0.0</v>
      </c>
      <c r="G56" s="95">
        <v>0.0</v>
      </c>
      <c r="H56" s="95">
        <v>0.8421052631578947</v>
      </c>
    </row>
    <row r="57">
      <c r="A57" s="92" t="s">
        <v>228</v>
      </c>
      <c r="B57" s="95">
        <v>10.4</v>
      </c>
      <c r="C57" s="94">
        <v>0.4</v>
      </c>
      <c r="D57" s="95">
        <v>2.0</v>
      </c>
      <c r="E57" s="95">
        <v>5.0</v>
      </c>
      <c r="F57" s="95">
        <v>1.0</v>
      </c>
      <c r="G57" s="95">
        <v>4.0</v>
      </c>
      <c r="H57" s="95">
        <v>1.0</v>
      </c>
    </row>
    <row r="58">
      <c r="A58" s="92" t="s">
        <v>261</v>
      </c>
      <c r="B58" s="95">
        <v>8.0</v>
      </c>
      <c r="C58" s="94">
        <v>0.4</v>
      </c>
      <c r="D58" s="95">
        <v>0.8</v>
      </c>
      <c r="E58" s="95">
        <v>4.0</v>
      </c>
      <c r="F58" s="95">
        <v>0.8</v>
      </c>
      <c r="G58" s="95">
        <v>0.0</v>
      </c>
      <c r="H58" s="95">
        <v>2.4</v>
      </c>
    </row>
    <row r="59">
      <c r="A59" s="92" t="s">
        <v>311</v>
      </c>
      <c r="B59" s="95">
        <v>4.8</v>
      </c>
      <c r="C59" s="94">
        <v>0.4</v>
      </c>
      <c r="D59" s="95">
        <v>0.0</v>
      </c>
      <c r="E59" s="95">
        <v>2.4</v>
      </c>
      <c r="F59" s="95">
        <v>2.4</v>
      </c>
      <c r="G59" s="95">
        <v>0.0</v>
      </c>
      <c r="H59" s="95">
        <v>0.0</v>
      </c>
    </row>
    <row r="60">
      <c r="A60" s="92" t="s">
        <v>388</v>
      </c>
      <c r="B60" s="95">
        <v>0.0</v>
      </c>
      <c r="C60" s="94">
        <v>0.37037037037037035</v>
      </c>
      <c r="D60" s="95">
        <v>1.4545454545454546</v>
      </c>
      <c r="E60" s="95">
        <v>-1.4545454545454546</v>
      </c>
      <c r="F60" s="95">
        <v>0.0</v>
      </c>
      <c r="G60" s="95">
        <v>0.0</v>
      </c>
      <c r="H60" s="95">
        <v>0.0</v>
      </c>
    </row>
    <row r="61">
      <c r="A61" s="92" t="s">
        <v>287</v>
      </c>
      <c r="B61" s="95">
        <v>5.818181818181818</v>
      </c>
      <c r="C61" s="94">
        <v>0.36363636363636365</v>
      </c>
      <c r="D61" s="95">
        <v>0.0</v>
      </c>
      <c r="E61" s="95">
        <v>1.4545454545454546</v>
      </c>
      <c r="F61" s="95">
        <v>1.7777777777777777</v>
      </c>
      <c r="G61" s="95">
        <v>1.6</v>
      </c>
      <c r="H61" s="95">
        <v>1.3333333333333333</v>
      </c>
    </row>
    <row r="62">
      <c r="A62" s="92" t="s">
        <v>292</v>
      </c>
      <c r="B62" s="95">
        <v>5.614035087719298</v>
      </c>
      <c r="C62" s="94">
        <v>0.3508771929824561</v>
      </c>
      <c r="D62" s="95">
        <v>4.0</v>
      </c>
      <c r="E62" s="95">
        <v>1.3333333333333333</v>
      </c>
      <c r="F62" s="95">
        <v>0.0</v>
      </c>
      <c r="G62" s="95">
        <v>0.0</v>
      </c>
      <c r="H62" s="95">
        <v>0.0</v>
      </c>
    </row>
    <row r="63">
      <c r="A63" s="92" t="s">
        <v>391</v>
      </c>
      <c r="B63" s="95">
        <v>0.0</v>
      </c>
      <c r="C63" s="94">
        <v>0.3508771929824561</v>
      </c>
      <c r="D63" s="95">
        <v>1.3333333333333333</v>
      </c>
      <c r="E63" s="95">
        <v>-1.3333333333333333</v>
      </c>
      <c r="F63" s="95">
        <v>0.0</v>
      </c>
      <c r="G63" s="95">
        <v>0.0</v>
      </c>
      <c r="H63" s="95">
        <v>0.0</v>
      </c>
    </row>
    <row r="64">
      <c r="A64" s="92" t="s">
        <v>352</v>
      </c>
      <c r="B64" s="95">
        <v>2.7586206896551726</v>
      </c>
      <c r="C64" s="94">
        <v>0.3448275862068966</v>
      </c>
      <c r="D64" s="95">
        <v>1.4545454545454546</v>
      </c>
      <c r="E64" s="95">
        <v>2.6666666666666665</v>
      </c>
      <c r="F64" s="95">
        <v>-1.3333333333333333</v>
      </c>
      <c r="G64" s="95">
        <v>0.0</v>
      </c>
      <c r="H64" s="95">
        <v>0.0</v>
      </c>
    </row>
    <row r="65">
      <c r="A65" s="92" t="s">
        <v>354</v>
      </c>
      <c r="B65" s="95">
        <v>2.7586206896551726</v>
      </c>
      <c r="C65" s="94">
        <v>0.3448275862068966</v>
      </c>
      <c r="D65" s="95">
        <v>0.0</v>
      </c>
      <c r="E65" s="95">
        <v>2.6666666666666665</v>
      </c>
      <c r="F65" s="95">
        <v>0.0</v>
      </c>
      <c r="G65" s="95">
        <v>1.3333333333333333</v>
      </c>
      <c r="H65" s="95">
        <v>-1.3333333333333333</v>
      </c>
    </row>
    <row r="66">
      <c r="A66" s="92" t="s">
        <v>395</v>
      </c>
      <c r="B66" s="95">
        <v>0.0</v>
      </c>
      <c r="C66" s="94">
        <v>0.3448275862068966</v>
      </c>
      <c r="D66" s="95">
        <v>0.0</v>
      </c>
      <c r="E66" s="95">
        <v>0.0</v>
      </c>
      <c r="F66" s="95">
        <v>0.0</v>
      </c>
      <c r="G66" s="95">
        <v>0.0</v>
      </c>
      <c r="H66" s="95">
        <v>0.0</v>
      </c>
    </row>
    <row r="67">
      <c r="A67" s="92" t="s">
        <v>216</v>
      </c>
      <c r="B67" s="95">
        <v>12.203389830508474</v>
      </c>
      <c r="C67" s="94">
        <v>0.3389830508474576</v>
      </c>
      <c r="D67" s="95">
        <v>5.333333333333333</v>
      </c>
      <c r="E67" s="95">
        <v>2.6666666666666665</v>
      </c>
      <c r="F67" s="95">
        <v>4.363636363636363</v>
      </c>
      <c r="G67" s="95">
        <v>0.0</v>
      </c>
      <c r="H67" s="95">
        <v>0.0</v>
      </c>
    </row>
    <row r="68">
      <c r="A68" s="92" t="s">
        <v>355</v>
      </c>
      <c r="B68" s="95">
        <v>2.711864406779661</v>
      </c>
      <c r="C68" s="94">
        <v>0.3389830508474576</v>
      </c>
      <c r="D68" s="95">
        <v>0.0</v>
      </c>
      <c r="E68" s="95">
        <v>0.0</v>
      </c>
      <c r="F68" s="95">
        <v>0.0</v>
      </c>
      <c r="G68" s="95">
        <v>0.0</v>
      </c>
      <c r="H68" s="95">
        <v>3.2</v>
      </c>
    </row>
    <row r="69">
      <c r="A69" s="92" t="s">
        <v>356</v>
      </c>
      <c r="B69" s="95">
        <v>2.711864406779661</v>
      </c>
      <c r="C69" s="94">
        <v>0.3389830508474576</v>
      </c>
      <c r="D69" s="95">
        <v>4.0</v>
      </c>
      <c r="E69" s="95">
        <v>0.0</v>
      </c>
      <c r="F69" s="95">
        <v>0.0</v>
      </c>
      <c r="G69" s="95">
        <v>0.0</v>
      </c>
      <c r="H69" s="95">
        <v>-1.6</v>
      </c>
    </row>
    <row r="70">
      <c r="A70" s="92" t="s">
        <v>323</v>
      </c>
      <c r="B70" s="95">
        <v>4.067796610169491</v>
      </c>
      <c r="C70" s="94">
        <v>0.33559322033898303</v>
      </c>
      <c r="D70" s="95">
        <v>0.0</v>
      </c>
      <c r="E70" s="95">
        <v>0.0</v>
      </c>
      <c r="F70" s="95">
        <v>0.0</v>
      </c>
      <c r="G70" s="95">
        <v>4.0</v>
      </c>
      <c r="H70" s="95">
        <v>0.0</v>
      </c>
    </row>
    <row r="71">
      <c r="A71" s="92" t="s">
        <v>389</v>
      </c>
      <c r="B71" s="95">
        <v>1.352542372881356</v>
      </c>
      <c r="C71" s="94">
        <v>0.33559322033898303</v>
      </c>
      <c r="D71" s="95">
        <v>1.33</v>
      </c>
      <c r="E71" s="95">
        <v>0.0</v>
      </c>
      <c r="F71" s="95">
        <v>0.0</v>
      </c>
      <c r="G71" s="95">
        <v>0.0</v>
      </c>
      <c r="H71" s="95">
        <v>0.0</v>
      </c>
    </row>
    <row r="72">
      <c r="A72" s="92" t="s">
        <v>262</v>
      </c>
      <c r="B72" s="95">
        <v>8.0</v>
      </c>
      <c r="C72" s="94">
        <v>0.3333333333333333</v>
      </c>
      <c r="D72" s="95">
        <v>0.0</v>
      </c>
      <c r="E72" s="95">
        <v>1.3333333333333333</v>
      </c>
      <c r="F72" s="95">
        <v>1.3333333333333333</v>
      </c>
      <c r="G72" s="95">
        <v>5.333333333333333</v>
      </c>
      <c r="H72" s="95">
        <v>0.0</v>
      </c>
    </row>
    <row r="73">
      <c r="A73" s="92" t="s">
        <v>327</v>
      </c>
      <c r="B73" s="95">
        <v>4.0</v>
      </c>
      <c r="C73" s="94">
        <v>0.3333333333333333</v>
      </c>
      <c r="D73" s="95">
        <v>0.0</v>
      </c>
      <c r="E73" s="95">
        <v>0.0</v>
      </c>
      <c r="F73" s="95">
        <v>0.0</v>
      </c>
      <c r="G73" s="95">
        <v>0.0</v>
      </c>
      <c r="H73" s="95">
        <v>4.0</v>
      </c>
    </row>
    <row r="74">
      <c r="A74" s="92" t="s">
        <v>358</v>
      </c>
      <c r="B74" s="95">
        <v>2.6666666666666665</v>
      </c>
      <c r="C74" s="94">
        <v>0.3333333333333333</v>
      </c>
      <c r="D74" s="95">
        <v>0.0</v>
      </c>
      <c r="E74" s="95">
        <v>0.0</v>
      </c>
      <c r="F74" s="95">
        <v>-1.3333333333333333</v>
      </c>
      <c r="G74" s="95">
        <v>4.0</v>
      </c>
      <c r="H74" s="95">
        <v>0.0</v>
      </c>
    </row>
    <row r="75">
      <c r="A75" s="92" t="s">
        <v>396</v>
      </c>
      <c r="B75" s="95">
        <v>0.0</v>
      </c>
      <c r="C75" s="94">
        <v>0.3333333333333333</v>
      </c>
      <c r="D75" s="95">
        <v>0.0</v>
      </c>
      <c r="E75" s="95">
        <v>0.0</v>
      </c>
      <c r="F75" s="95">
        <v>-1.3333333333333333</v>
      </c>
      <c r="G75" s="95">
        <v>1.3333333333333333</v>
      </c>
      <c r="H75" s="95">
        <v>0.0</v>
      </c>
    </row>
    <row r="76">
      <c r="A76" s="92" t="s">
        <v>397</v>
      </c>
      <c r="B76" s="95">
        <v>0.0</v>
      </c>
      <c r="C76" s="94">
        <v>0.3333333333333333</v>
      </c>
      <c r="D76" s="95">
        <v>0.0</v>
      </c>
      <c r="E76" s="95">
        <v>0.0</v>
      </c>
      <c r="F76" s="95">
        <v>-1.3333333333333333</v>
      </c>
      <c r="G76" s="95">
        <v>1.3333333333333333</v>
      </c>
      <c r="H76" s="95">
        <v>0.0</v>
      </c>
    </row>
    <row r="77">
      <c r="A77" s="92" t="s">
        <v>404</v>
      </c>
      <c r="B77" s="95">
        <v>-1.3333333333333333</v>
      </c>
      <c r="C77" s="94">
        <v>0.3333333333333333</v>
      </c>
      <c r="D77" s="95">
        <v>0.0</v>
      </c>
      <c r="E77" s="95">
        <v>0.0</v>
      </c>
      <c r="F77" s="95">
        <v>0.0</v>
      </c>
      <c r="G77" s="95">
        <v>0.0</v>
      </c>
      <c r="H77" s="95">
        <v>-1.3333333333333333</v>
      </c>
    </row>
    <row r="78">
      <c r="A78" s="92" t="s">
        <v>291</v>
      </c>
      <c r="B78" s="95">
        <v>5.711428571428571</v>
      </c>
      <c r="C78" s="94">
        <v>0.28285714285714286</v>
      </c>
      <c r="D78" s="95">
        <v>0.0</v>
      </c>
      <c r="E78" s="95">
        <v>0.0</v>
      </c>
      <c r="F78" s="95">
        <v>4.003333333333333</v>
      </c>
      <c r="G78" s="95">
        <v>1.33</v>
      </c>
      <c r="H78" s="95">
        <v>1.064</v>
      </c>
    </row>
    <row r="79">
      <c r="A79" s="92" t="s">
        <v>372</v>
      </c>
      <c r="B79" s="95">
        <v>2.191780821917808</v>
      </c>
      <c r="C79" s="94">
        <v>0.273972602739726</v>
      </c>
      <c r="D79" s="95">
        <v>0.0</v>
      </c>
      <c r="E79" s="95">
        <v>0.0</v>
      </c>
      <c r="F79" s="95">
        <v>1.0666666666666667</v>
      </c>
      <c r="G79" s="95">
        <v>0.0</v>
      </c>
      <c r="H79" s="95">
        <v>1.0666666666666667</v>
      </c>
    </row>
    <row r="80">
      <c r="A80" s="92" t="s">
        <v>305</v>
      </c>
      <c r="B80" s="95">
        <v>5.0</v>
      </c>
      <c r="C80" s="94">
        <v>0.25</v>
      </c>
      <c r="D80" s="95">
        <v>0.0</v>
      </c>
      <c r="E80" s="95">
        <v>0.0</v>
      </c>
      <c r="F80" s="95">
        <v>0.0</v>
      </c>
      <c r="G80" s="95">
        <v>1.0666666666666667</v>
      </c>
      <c r="H80" s="95">
        <v>4.0</v>
      </c>
    </row>
    <row r="81">
      <c r="A81" s="92" t="s">
        <v>306</v>
      </c>
      <c r="B81" s="95">
        <v>5.0</v>
      </c>
      <c r="C81" s="94">
        <v>0.25</v>
      </c>
      <c r="D81" s="95">
        <v>4.0</v>
      </c>
      <c r="E81" s="95">
        <v>0.0</v>
      </c>
      <c r="F81" s="95">
        <v>0.0</v>
      </c>
      <c r="G81" s="95">
        <v>0.0</v>
      </c>
      <c r="H81" s="95">
        <v>1.0</v>
      </c>
    </row>
    <row r="82">
      <c r="A82" s="92" t="s">
        <v>331</v>
      </c>
      <c r="B82" s="95">
        <v>4.0</v>
      </c>
      <c r="C82" s="94">
        <v>0.25</v>
      </c>
      <c r="D82" s="95">
        <v>1.0</v>
      </c>
      <c r="E82" s="95">
        <v>2.0</v>
      </c>
      <c r="F82" s="95">
        <v>0.0</v>
      </c>
      <c r="G82" s="95">
        <v>0.0</v>
      </c>
      <c r="H82" s="95">
        <v>1.0</v>
      </c>
    </row>
    <row r="83">
      <c r="A83" s="92" t="s">
        <v>276</v>
      </c>
      <c r="B83" s="95">
        <v>6.5979381443298974</v>
      </c>
      <c r="C83" s="94">
        <v>0.2061855670103093</v>
      </c>
      <c r="D83" s="95">
        <v>0.0</v>
      </c>
      <c r="E83" s="95">
        <v>0.8</v>
      </c>
      <c r="F83" s="95">
        <v>0.8</v>
      </c>
      <c r="G83" s="95">
        <v>0.0</v>
      </c>
      <c r="H83" s="95">
        <v>5.333333333333333</v>
      </c>
    </row>
    <row r="84">
      <c r="A84" s="92" t="s">
        <v>224</v>
      </c>
      <c r="B84" s="95">
        <v>10.612244897959183</v>
      </c>
      <c r="C84" s="94">
        <v>0.2040816326530612</v>
      </c>
      <c r="D84" s="95">
        <v>1.6842105263157894</v>
      </c>
      <c r="E84" s="95">
        <v>4.8</v>
      </c>
      <c r="F84" s="95">
        <v>0.8</v>
      </c>
      <c r="G84" s="95">
        <v>0.0</v>
      </c>
      <c r="H84" s="95">
        <v>3.2</v>
      </c>
    </row>
    <row r="85">
      <c r="A85" s="92" t="s">
        <v>225</v>
      </c>
      <c r="B85" s="95">
        <v>10.612244897959183</v>
      </c>
      <c r="C85" s="94">
        <v>0.2040816326530612</v>
      </c>
      <c r="D85" s="95">
        <v>0.8</v>
      </c>
      <c r="E85" s="95">
        <v>8.8</v>
      </c>
      <c r="F85" s="95">
        <v>0.0</v>
      </c>
      <c r="G85" s="95">
        <v>0.0</v>
      </c>
      <c r="H85" s="95">
        <v>0.9411764705882353</v>
      </c>
    </row>
    <row r="86">
      <c r="A86" s="92" t="s">
        <v>320</v>
      </c>
      <c r="B86" s="95">
        <v>4.081632653061225</v>
      </c>
      <c r="C86" s="94">
        <v>0.2040816326530612</v>
      </c>
      <c r="D86" s="95">
        <v>0.0</v>
      </c>
      <c r="E86" s="95">
        <v>1.6</v>
      </c>
      <c r="F86" s="95">
        <v>1.6</v>
      </c>
      <c r="G86" s="95">
        <v>0.8421052631578947</v>
      </c>
      <c r="H86" s="95">
        <v>0.0</v>
      </c>
    </row>
    <row r="87">
      <c r="A87" s="92" t="s">
        <v>290</v>
      </c>
      <c r="B87" s="95">
        <v>5.7142857142857135</v>
      </c>
      <c r="C87" s="94">
        <v>0.2020408163265306</v>
      </c>
      <c r="D87" s="95">
        <v>3.2020000000000004</v>
      </c>
      <c r="E87" s="95">
        <v>1.6</v>
      </c>
      <c r="F87" s="95">
        <v>0.0</v>
      </c>
      <c r="G87" s="95">
        <v>0.0</v>
      </c>
      <c r="H87" s="95">
        <v>0.8400000000000001</v>
      </c>
    </row>
    <row r="88">
      <c r="A88" s="92" t="s">
        <v>240</v>
      </c>
      <c r="B88" s="95">
        <v>8.88888888888889</v>
      </c>
      <c r="C88" s="94">
        <v>0.20202020202020202</v>
      </c>
      <c r="D88" s="95">
        <v>0.8</v>
      </c>
      <c r="E88" s="95">
        <v>0.0</v>
      </c>
      <c r="F88" s="95">
        <v>0.8</v>
      </c>
      <c r="G88" s="95">
        <v>0.0</v>
      </c>
      <c r="H88" s="95">
        <v>7.578947368421052</v>
      </c>
    </row>
    <row r="89">
      <c r="A89" s="92" t="s">
        <v>346</v>
      </c>
      <c r="B89" s="95">
        <v>3.2323232323232323</v>
      </c>
      <c r="C89" s="94">
        <v>0.20202020202020202</v>
      </c>
      <c r="D89" s="95">
        <v>0.8</v>
      </c>
      <c r="E89" s="95">
        <v>2.4</v>
      </c>
      <c r="F89" s="95">
        <v>0.0</v>
      </c>
      <c r="G89" s="95">
        <v>0.8</v>
      </c>
      <c r="H89" s="95">
        <v>-0.8421052631578947</v>
      </c>
    </row>
    <row r="90">
      <c r="A90" s="92" t="s">
        <v>364</v>
      </c>
      <c r="B90" s="95">
        <v>2.4242424242424243</v>
      </c>
      <c r="C90" s="94">
        <v>0.20202020202020202</v>
      </c>
      <c r="D90" s="95">
        <v>0.0</v>
      </c>
      <c r="E90" s="95">
        <v>0.0</v>
      </c>
      <c r="F90" s="95">
        <v>1.6</v>
      </c>
      <c r="G90" s="95">
        <v>0.0</v>
      </c>
      <c r="H90" s="95">
        <v>0.8421052631578947</v>
      </c>
    </row>
    <row r="91">
      <c r="A91" s="92" t="s">
        <v>211</v>
      </c>
      <c r="B91" s="95">
        <v>12.8</v>
      </c>
      <c r="C91" s="94">
        <v>0.2</v>
      </c>
      <c r="D91" s="95">
        <v>5.6</v>
      </c>
      <c r="E91" s="95">
        <v>2.4</v>
      </c>
      <c r="F91" s="95">
        <v>3.2</v>
      </c>
      <c r="G91" s="95">
        <v>1.6</v>
      </c>
      <c r="H91" s="95">
        <v>0.0</v>
      </c>
    </row>
    <row r="92">
      <c r="A92" s="92" t="s">
        <v>295</v>
      </c>
      <c r="B92" s="95">
        <v>5.6</v>
      </c>
      <c r="C92" s="94">
        <v>0.2</v>
      </c>
      <c r="D92" s="95">
        <v>3.2</v>
      </c>
      <c r="E92" s="95">
        <v>0.0</v>
      </c>
      <c r="F92" s="95">
        <v>1.6</v>
      </c>
      <c r="G92" s="95">
        <v>0.0</v>
      </c>
      <c r="H92" s="95">
        <v>0.8</v>
      </c>
    </row>
    <row r="93">
      <c r="A93" s="92" t="s">
        <v>369</v>
      </c>
      <c r="B93" s="95">
        <v>2.4</v>
      </c>
      <c r="C93" s="94">
        <v>0.2</v>
      </c>
      <c r="D93" s="95">
        <v>0.8</v>
      </c>
      <c r="E93" s="95">
        <v>0.0</v>
      </c>
      <c r="F93" s="95">
        <v>0.0</v>
      </c>
      <c r="G93" s="95">
        <v>1.6</v>
      </c>
      <c r="H93" s="95">
        <v>0.0</v>
      </c>
    </row>
    <row r="94">
      <c r="A94" s="92" t="s">
        <v>368</v>
      </c>
      <c r="B94" s="95">
        <v>2.402</v>
      </c>
      <c r="C94" s="94">
        <v>0.198</v>
      </c>
      <c r="D94" s="95">
        <v>0.0</v>
      </c>
      <c r="E94" s="95">
        <v>0.0</v>
      </c>
      <c r="F94" s="95">
        <v>0.0</v>
      </c>
      <c r="G94" s="95">
        <v>2.402</v>
      </c>
      <c r="H94" s="95">
        <v>0.0</v>
      </c>
    </row>
    <row r="95">
      <c r="A95" s="92" t="s">
        <v>200</v>
      </c>
      <c r="B95" s="95">
        <v>23.43232323232323</v>
      </c>
      <c r="C95" s="156">
        <v>0.2</v>
      </c>
      <c r="D95" s="95">
        <v>3.0025</v>
      </c>
      <c r="E95" s="95">
        <v>5.9975000000000005</v>
      </c>
      <c r="F95" s="95">
        <v>8.0</v>
      </c>
      <c r="G95" s="95">
        <v>11.9975</v>
      </c>
      <c r="H95" s="95">
        <v>0.0</v>
      </c>
    </row>
    <row r="96">
      <c r="A96" s="92" t="s">
        <v>251</v>
      </c>
      <c r="B96" s="95">
        <v>8.147219710669077</v>
      </c>
      <c r="C96" s="156">
        <v>0.2</v>
      </c>
      <c r="D96" s="95">
        <v>3.532970657814408</v>
      </c>
      <c r="E96" s="95">
        <v>1.4523809523809523</v>
      </c>
      <c r="F96" s="95">
        <v>0.8214285714285714</v>
      </c>
      <c r="G96" s="95">
        <v>0.5805133928571429</v>
      </c>
      <c r="H96" s="95">
        <v>1.7666666666666666</v>
      </c>
    </row>
    <row r="97">
      <c r="A97" s="92" t="s">
        <v>202</v>
      </c>
      <c r="B97" s="95">
        <v>20.0</v>
      </c>
      <c r="C97" s="94">
        <v>0.0</v>
      </c>
      <c r="D97" s="95">
        <v>12.0</v>
      </c>
      <c r="E97" s="95">
        <v>6.4</v>
      </c>
      <c r="F97" s="95">
        <v>0.0</v>
      </c>
      <c r="G97" s="95">
        <v>0.0</v>
      </c>
      <c r="H97" s="95">
        <v>1.6</v>
      </c>
    </row>
    <row r="98">
      <c r="A98" s="92" t="s">
        <v>206</v>
      </c>
      <c r="B98" s="95">
        <v>15.0</v>
      </c>
      <c r="C98" s="94">
        <v>0.0</v>
      </c>
      <c r="D98" s="95">
        <v>14.4</v>
      </c>
      <c r="E98" s="95">
        <v>0.0</v>
      </c>
      <c r="F98" s="95">
        <v>0.0</v>
      </c>
      <c r="G98" s="95">
        <v>0.0</v>
      </c>
      <c r="H98" s="95">
        <v>0.0</v>
      </c>
    </row>
    <row r="99">
      <c r="A99" s="92" t="s">
        <v>215</v>
      </c>
      <c r="B99" s="95">
        <v>12.244897959183673</v>
      </c>
      <c r="C99" s="94">
        <v>0.0</v>
      </c>
      <c r="D99" s="95">
        <v>0.0</v>
      </c>
      <c r="E99" s="95">
        <v>0.0</v>
      </c>
      <c r="F99" s="95">
        <v>3.2</v>
      </c>
      <c r="G99" s="95">
        <v>8.380952380952381</v>
      </c>
      <c r="H99" s="95">
        <v>0.0</v>
      </c>
    </row>
    <row r="100">
      <c r="A100" s="92" t="s">
        <v>220</v>
      </c>
      <c r="B100" s="95">
        <v>11.428571428571427</v>
      </c>
      <c r="C100" s="94">
        <v>0.0</v>
      </c>
      <c r="D100" s="95">
        <v>7.2</v>
      </c>
      <c r="E100" s="95">
        <v>0.0</v>
      </c>
      <c r="F100" s="95">
        <v>0.0</v>
      </c>
      <c r="G100" s="95">
        <v>0.0</v>
      </c>
      <c r="H100" s="95">
        <v>4.705882352941177</v>
      </c>
    </row>
    <row r="101">
      <c r="A101" s="92" t="s">
        <v>223</v>
      </c>
      <c r="B101" s="95">
        <v>11.0</v>
      </c>
      <c r="C101" s="94">
        <v>0.0</v>
      </c>
      <c r="D101" s="95">
        <v>0.0</v>
      </c>
      <c r="E101" s="95">
        <v>1.0</v>
      </c>
      <c r="F101" s="95">
        <v>0.0</v>
      </c>
      <c r="G101" s="95">
        <v>0.0</v>
      </c>
      <c r="H101" s="95">
        <v>10.0</v>
      </c>
    </row>
    <row r="102">
      <c r="A102" s="92" t="s">
        <v>226</v>
      </c>
      <c r="B102" s="95">
        <v>10.505050505050505</v>
      </c>
      <c r="C102" s="94">
        <v>0.0</v>
      </c>
      <c r="D102" s="95">
        <v>2.4</v>
      </c>
      <c r="E102" s="95">
        <v>0.0</v>
      </c>
      <c r="F102" s="95">
        <v>0.0</v>
      </c>
      <c r="G102" s="95">
        <v>0.0</v>
      </c>
      <c r="H102" s="95">
        <v>8.421052631578947</v>
      </c>
    </row>
    <row r="103">
      <c r="A103" s="92" t="s">
        <v>229</v>
      </c>
      <c r="B103" s="95">
        <v>10.38961038961039</v>
      </c>
      <c r="C103" s="94">
        <v>0.0</v>
      </c>
      <c r="D103" s="95">
        <v>0.0</v>
      </c>
      <c r="E103" s="95">
        <v>3.0</v>
      </c>
      <c r="F103" s="95">
        <v>1.0</v>
      </c>
      <c r="G103" s="95">
        <v>0.0</v>
      </c>
      <c r="H103" s="95">
        <v>6.857142857142857</v>
      </c>
    </row>
    <row r="104">
      <c r="A104" s="92" t="s">
        <v>230</v>
      </c>
      <c r="B104" s="95">
        <v>10.256410256410257</v>
      </c>
      <c r="C104" s="94">
        <v>0.0</v>
      </c>
      <c r="D104" s="95">
        <v>0.0</v>
      </c>
      <c r="E104" s="95">
        <v>2.0025</v>
      </c>
      <c r="F104" s="95">
        <v>4.266666666666667</v>
      </c>
      <c r="G104" s="95">
        <v>2.0025</v>
      </c>
      <c r="H104" s="95">
        <v>0.9975</v>
      </c>
    </row>
    <row r="105">
      <c r="A105" s="92" t="s">
        <v>233</v>
      </c>
      <c r="B105" s="95">
        <v>10.0</v>
      </c>
      <c r="C105" s="94">
        <v>0.0</v>
      </c>
      <c r="D105" s="95">
        <v>2.0</v>
      </c>
      <c r="E105" s="95">
        <v>0.0</v>
      </c>
      <c r="F105" s="95">
        <v>3.0</v>
      </c>
      <c r="G105" s="95">
        <v>5.0</v>
      </c>
      <c r="H105" s="95">
        <v>0.0</v>
      </c>
    </row>
    <row r="106">
      <c r="A106" s="92" t="s">
        <v>234</v>
      </c>
      <c r="B106" s="95">
        <v>9.696969696969697</v>
      </c>
      <c r="C106" s="94">
        <v>0.0</v>
      </c>
      <c r="D106" s="95">
        <v>0.0</v>
      </c>
      <c r="E106" s="95">
        <v>0.8</v>
      </c>
      <c r="F106" s="95">
        <v>0.8</v>
      </c>
      <c r="G106" s="95">
        <v>8.0</v>
      </c>
      <c r="H106" s="95">
        <v>0.0</v>
      </c>
    </row>
    <row r="107">
      <c r="A107" s="92" t="s">
        <v>235</v>
      </c>
      <c r="B107" s="95">
        <v>9.361702127659575</v>
      </c>
      <c r="C107" s="94">
        <v>0.0</v>
      </c>
      <c r="D107" s="95">
        <v>1.6842105263157894</v>
      </c>
      <c r="E107" s="95">
        <v>0.8888888888888888</v>
      </c>
      <c r="F107" s="95">
        <v>0.8421052631578947</v>
      </c>
      <c r="G107" s="95">
        <v>3.3684210526315788</v>
      </c>
      <c r="H107" s="95">
        <v>2.526315789473684</v>
      </c>
    </row>
    <row r="108">
      <c r="A108" s="92" t="s">
        <v>236</v>
      </c>
      <c r="B108" s="95">
        <v>9.35064935064935</v>
      </c>
      <c r="C108" s="94">
        <v>0.0</v>
      </c>
      <c r="D108" s="95">
        <v>0.0</v>
      </c>
      <c r="E108" s="95">
        <v>0.0</v>
      </c>
      <c r="F108" s="95">
        <v>4.266666666666667</v>
      </c>
      <c r="G108" s="95">
        <v>4.266666666666667</v>
      </c>
      <c r="H108" s="95">
        <v>1.0666666666666667</v>
      </c>
    </row>
    <row r="109">
      <c r="A109" s="92" t="s">
        <v>237</v>
      </c>
      <c r="B109" s="95">
        <v>9.331666666666667</v>
      </c>
      <c r="C109" s="94">
        <v>0.0</v>
      </c>
      <c r="D109" s="95">
        <v>0.665</v>
      </c>
      <c r="E109" s="95">
        <v>8.001666666666667</v>
      </c>
      <c r="F109" s="95">
        <v>0.665</v>
      </c>
      <c r="G109" s="95">
        <v>0.0</v>
      </c>
      <c r="H109" s="95">
        <v>0.0</v>
      </c>
    </row>
    <row r="110">
      <c r="A110" s="92" t="s">
        <v>238</v>
      </c>
      <c r="B110" s="95">
        <v>9.142857142857142</v>
      </c>
      <c r="C110" s="94">
        <v>0.0</v>
      </c>
      <c r="D110" s="95">
        <v>2.2857142857142856</v>
      </c>
      <c r="E110" s="95">
        <v>4.571428571428571</v>
      </c>
      <c r="F110" s="95">
        <v>0.0</v>
      </c>
      <c r="G110" s="95">
        <v>2.2857142857142856</v>
      </c>
      <c r="H110" s="95">
        <v>0.0</v>
      </c>
    </row>
    <row r="111">
      <c r="A111" s="92" t="s">
        <v>246</v>
      </c>
      <c r="B111" s="95">
        <v>8.421052631578947</v>
      </c>
      <c r="C111" s="94">
        <v>0.0</v>
      </c>
      <c r="D111" s="95">
        <v>4.0</v>
      </c>
      <c r="E111" s="95">
        <v>0.0</v>
      </c>
      <c r="F111" s="95">
        <v>0.0</v>
      </c>
      <c r="G111" s="95">
        <v>0.0</v>
      </c>
      <c r="H111" s="95">
        <v>4.0</v>
      </c>
    </row>
    <row r="112">
      <c r="A112" s="92" t="s">
        <v>247</v>
      </c>
      <c r="B112" s="95">
        <v>8.421052631578947</v>
      </c>
      <c r="C112" s="94">
        <v>0.0</v>
      </c>
      <c r="D112" s="95">
        <v>0.0</v>
      </c>
      <c r="E112" s="95">
        <v>8.0</v>
      </c>
      <c r="F112" s="95">
        <v>0.0</v>
      </c>
      <c r="G112" s="95">
        <v>0.0</v>
      </c>
      <c r="H112" s="95">
        <v>0.0</v>
      </c>
    </row>
    <row r="113">
      <c r="A113" s="92" t="s">
        <v>250</v>
      </c>
      <c r="B113" s="95">
        <v>8.311688311688311</v>
      </c>
      <c r="C113" s="94">
        <v>0.0</v>
      </c>
      <c r="D113" s="95">
        <v>0.0</v>
      </c>
      <c r="E113" s="95">
        <v>1.0</v>
      </c>
      <c r="F113" s="95">
        <v>7.0</v>
      </c>
      <c r="G113" s="95">
        <v>0.0</v>
      </c>
      <c r="H113" s="95">
        <v>0.0</v>
      </c>
    </row>
    <row r="114">
      <c r="A114" s="92" t="s">
        <v>255</v>
      </c>
      <c r="B114" s="95">
        <v>8.08</v>
      </c>
      <c r="C114" s="94">
        <v>0.0</v>
      </c>
      <c r="D114" s="95">
        <v>0.8</v>
      </c>
      <c r="E114" s="95">
        <v>0.0</v>
      </c>
      <c r="F114" s="95">
        <v>0.0</v>
      </c>
      <c r="G114" s="95">
        <v>0.0</v>
      </c>
      <c r="H114" s="95">
        <v>8.0</v>
      </c>
    </row>
    <row r="115">
      <c r="A115" s="92" t="s">
        <v>257</v>
      </c>
      <c r="B115" s="95">
        <v>8.078787878787878</v>
      </c>
      <c r="C115" s="94">
        <v>0.0</v>
      </c>
      <c r="D115" s="95">
        <v>0.0</v>
      </c>
      <c r="E115" s="95">
        <v>2.283809523809524</v>
      </c>
      <c r="F115" s="95">
        <v>0.8400000000000001</v>
      </c>
      <c r="G115" s="95">
        <v>4.8020000000000005</v>
      </c>
      <c r="H115" s="95">
        <v>0.0</v>
      </c>
    </row>
    <row r="116">
      <c r="A116" s="92" t="s">
        <v>258</v>
      </c>
      <c r="B116" s="95">
        <v>8.0</v>
      </c>
      <c r="C116" s="94">
        <v>0.0</v>
      </c>
      <c r="D116" s="95">
        <v>0.0</v>
      </c>
      <c r="E116" s="95">
        <v>0.0</v>
      </c>
      <c r="F116" s="95">
        <v>0.8</v>
      </c>
      <c r="G116" s="95">
        <v>0.8421052631578947</v>
      </c>
      <c r="H116" s="95">
        <v>6.4</v>
      </c>
    </row>
    <row r="117">
      <c r="A117" s="92" t="s">
        <v>260</v>
      </c>
      <c r="B117" s="95">
        <v>8.0</v>
      </c>
      <c r="C117" s="94">
        <v>0.0</v>
      </c>
      <c r="D117" s="95">
        <v>0.0</v>
      </c>
      <c r="E117" s="95">
        <v>0.0</v>
      </c>
      <c r="F117" s="95">
        <v>4.0</v>
      </c>
      <c r="G117" s="95">
        <v>0.0</v>
      </c>
      <c r="H117" s="95">
        <v>4.0</v>
      </c>
    </row>
    <row r="118">
      <c r="A118" s="92" t="s">
        <v>267</v>
      </c>
      <c r="B118" s="95">
        <v>7.2727272727272725</v>
      </c>
      <c r="C118" s="94">
        <v>0.0</v>
      </c>
      <c r="D118" s="95">
        <v>0.0</v>
      </c>
      <c r="E118" s="95">
        <v>0.7619047619047619</v>
      </c>
      <c r="F118" s="95">
        <v>5.054736842105264</v>
      </c>
      <c r="G118" s="95">
        <v>0.798</v>
      </c>
      <c r="H118" s="95">
        <v>0.8421052631578947</v>
      </c>
    </row>
    <row r="119">
      <c r="A119" s="92" t="s">
        <v>268</v>
      </c>
      <c r="B119" s="95">
        <v>7.2727272727272725</v>
      </c>
      <c r="C119" s="94">
        <v>0.0</v>
      </c>
      <c r="D119" s="95">
        <v>0.0</v>
      </c>
      <c r="E119" s="95">
        <v>7.2</v>
      </c>
      <c r="F119" s="95">
        <v>0.0</v>
      </c>
      <c r="G119" s="95">
        <v>0.0</v>
      </c>
      <c r="H119" s="95">
        <v>0.0</v>
      </c>
    </row>
    <row r="120">
      <c r="A120" s="92" t="s">
        <v>269</v>
      </c>
      <c r="B120" s="95">
        <v>7.2</v>
      </c>
      <c r="C120" s="94">
        <v>0.0</v>
      </c>
      <c r="D120" s="95">
        <v>3.9979999999999998</v>
      </c>
      <c r="E120" s="95">
        <v>0.8</v>
      </c>
      <c r="F120" s="95">
        <v>0.0</v>
      </c>
      <c r="G120" s="95">
        <v>0.0</v>
      </c>
      <c r="H120" s="95">
        <v>2.402</v>
      </c>
    </row>
    <row r="121">
      <c r="A121" s="92" t="s">
        <v>270</v>
      </c>
      <c r="B121" s="95">
        <v>7.17948717948718</v>
      </c>
      <c r="C121" s="94">
        <v>0.0</v>
      </c>
      <c r="D121" s="95">
        <v>0.0</v>
      </c>
      <c r="E121" s="95">
        <v>0.0</v>
      </c>
      <c r="F121" s="95">
        <v>0.0</v>
      </c>
      <c r="G121" s="95">
        <v>7.466666666666667</v>
      </c>
      <c r="H121" s="95">
        <v>0.0</v>
      </c>
    </row>
    <row r="122">
      <c r="A122" s="92" t="s">
        <v>272</v>
      </c>
      <c r="B122" s="95">
        <v>7.017543859649122</v>
      </c>
      <c r="C122" s="94">
        <v>0.0</v>
      </c>
      <c r="D122" s="95">
        <v>7.2727272727272725</v>
      </c>
      <c r="E122" s="95">
        <v>0.0</v>
      </c>
      <c r="F122" s="95">
        <v>0.0</v>
      </c>
      <c r="G122" s="95">
        <v>0.0</v>
      </c>
      <c r="H122" s="95">
        <v>0.0</v>
      </c>
    </row>
    <row r="123">
      <c r="A123" s="92" t="s">
        <v>273</v>
      </c>
      <c r="B123" s="95">
        <v>7.0</v>
      </c>
      <c r="C123" s="94">
        <v>0.0</v>
      </c>
      <c r="D123" s="95">
        <v>4.9975</v>
      </c>
      <c r="E123" s="95">
        <v>0.0</v>
      </c>
      <c r="F123" s="95">
        <v>0.0</v>
      </c>
      <c r="G123" s="95">
        <v>0.0</v>
      </c>
      <c r="H123" s="95">
        <v>2.0025</v>
      </c>
    </row>
    <row r="124">
      <c r="A124" s="92" t="s">
        <v>275</v>
      </c>
      <c r="B124" s="95">
        <v>6.666666666666667</v>
      </c>
      <c r="C124" s="94">
        <v>0.0</v>
      </c>
      <c r="D124" s="95">
        <v>2.6666666666666665</v>
      </c>
      <c r="E124" s="95">
        <v>1.3333333333333333</v>
      </c>
      <c r="F124" s="95">
        <v>2.6666666666666665</v>
      </c>
      <c r="G124" s="95">
        <v>0.0</v>
      </c>
      <c r="H124" s="95">
        <v>0.0</v>
      </c>
    </row>
    <row r="125">
      <c r="A125" s="92" t="s">
        <v>277</v>
      </c>
      <c r="B125" s="95">
        <v>6.4646464646464645</v>
      </c>
      <c r="C125" s="94">
        <v>0.0</v>
      </c>
      <c r="D125" s="95">
        <v>0.0</v>
      </c>
      <c r="E125" s="95">
        <v>2.4</v>
      </c>
      <c r="F125" s="95">
        <v>0.8</v>
      </c>
      <c r="G125" s="95">
        <v>0.7619047619047619</v>
      </c>
      <c r="H125" s="95">
        <v>2.526315789473684</v>
      </c>
    </row>
    <row r="126">
      <c r="A126" s="92" t="s">
        <v>279</v>
      </c>
      <c r="B126" s="95">
        <v>6.4646464646464645</v>
      </c>
      <c r="C126" s="94">
        <v>0.0</v>
      </c>
      <c r="D126" s="95">
        <v>0.0</v>
      </c>
      <c r="E126" s="95">
        <v>0.0</v>
      </c>
      <c r="F126" s="95">
        <v>3.3684210526315788</v>
      </c>
      <c r="G126" s="95">
        <v>2.4</v>
      </c>
      <c r="H126" s="95">
        <v>0.8421052631578947</v>
      </c>
    </row>
    <row r="127">
      <c r="A127" s="92" t="s">
        <v>280</v>
      </c>
      <c r="B127" s="95">
        <v>6.153846153846154</v>
      </c>
      <c r="C127" s="94">
        <v>0.0</v>
      </c>
      <c r="D127" s="95">
        <v>0.0</v>
      </c>
      <c r="E127" s="95">
        <v>0.0</v>
      </c>
      <c r="F127" s="95">
        <v>0.0</v>
      </c>
      <c r="G127" s="95">
        <v>6.0</v>
      </c>
      <c r="H127" s="95">
        <v>0.0</v>
      </c>
    </row>
    <row r="128">
      <c r="A128" s="92" t="s">
        <v>281</v>
      </c>
      <c r="B128" s="95">
        <v>6.0</v>
      </c>
      <c r="C128" s="94">
        <v>0.0</v>
      </c>
      <c r="D128" s="95">
        <v>0.0</v>
      </c>
      <c r="E128" s="95">
        <v>1.0</v>
      </c>
      <c r="F128" s="95">
        <v>1.0</v>
      </c>
      <c r="G128" s="95">
        <v>2.0</v>
      </c>
      <c r="H128" s="95">
        <v>2.0</v>
      </c>
    </row>
    <row r="129">
      <c r="A129" s="92" t="s">
        <v>282</v>
      </c>
      <c r="B129" s="95">
        <v>6.0</v>
      </c>
      <c r="C129" s="94">
        <v>0.0</v>
      </c>
      <c r="D129" s="95">
        <v>0.0</v>
      </c>
      <c r="E129" s="95">
        <v>4.0</v>
      </c>
      <c r="F129" s="95">
        <v>0.0</v>
      </c>
      <c r="G129" s="95">
        <v>0.0</v>
      </c>
      <c r="H129" s="95">
        <v>2.0</v>
      </c>
    </row>
    <row r="130">
      <c r="A130" s="92" t="s">
        <v>284</v>
      </c>
      <c r="B130" s="95">
        <v>6.0</v>
      </c>
      <c r="C130" s="94">
        <v>0.0</v>
      </c>
      <c r="D130" s="95">
        <v>0.0</v>
      </c>
      <c r="E130" s="95">
        <v>2.0</v>
      </c>
      <c r="F130" s="95">
        <v>0.0</v>
      </c>
      <c r="G130" s="95">
        <v>4.0</v>
      </c>
      <c r="H130" s="95">
        <v>0.0</v>
      </c>
    </row>
    <row r="131">
      <c r="A131" s="92" t="s">
        <v>286</v>
      </c>
      <c r="B131" s="95">
        <v>5.8968421052631586</v>
      </c>
      <c r="C131" s="94">
        <v>0.0</v>
      </c>
      <c r="D131" s="95">
        <v>0.0</v>
      </c>
      <c r="E131" s="95">
        <v>1.6842105263157894</v>
      </c>
      <c r="F131" s="95">
        <v>1.7755555555555556</v>
      </c>
      <c r="G131" s="95">
        <v>0.0</v>
      </c>
      <c r="H131" s="95">
        <v>2.5242105263157897</v>
      </c>
    </row>
    <row r="132">
      <c r="A132" s="92" t="s">
        <v>296</v>
      </c>
      <c r="B132" s="95">
        <v>5.517241379310345</v>
      </c>
      <c r="C132" s="94">
        <v>0.0</v>
      </c>
      <c r="D132" s="95">
        <v>0.0</v>
      </c>
      <c r="E132" s="95">
        <v>2.6666666666666665</v>
      </c>
      <c r="F132" s="95">
        <v>0.0</v>
      </c>
      <c r="G132" s="95">
        <v>0.0</v>
      </c>
      <c r="H132" s="95">
        <v>2.6666666666666665</v>
      </c>
    </row>
    <row r="133">
      <c r="A133" s="92" t="s">
        <v>298</v>
      </c>
      <c r="B133" s="95">
        <v>5.420338983050847</v>
      </c>
      <c r="C133" s="94">
        <v>0.0</v>
      </c>
      <c r="D133" s="95">
        <v>0.0</v>
      </c>
      <c r="E133" s="95">
        <v>0.0</v>
      </c>
      <c r="F133" s="95">
        <v>0.0</v>
      </c>
      <c r="G133" s="95">
        <v>0.0</v>
      </c>
      <c r="H133" s="95">
        <v>5.8145454545454545</v>
      </c>
    </row>
    <row r="134">
      <c r="A134" s="92" t="s">
        <v>299</v>
      </c>
      <c r="B134" s="95">
        <v>5.333333333333333</v>
      </c>
      <c r="C134" s="94">
        <v>0.0</v>
      </c>
      <c r="D134" s="95">
        <v>0.0</v>
      </c>
      <c r="E134" s="95">
        <v>2.1333333333333333</v>
      </c>
      <c r="F134" s="95">
        <v>0.0</v>
      </c>
      <c r="G134" s="95">
        <v>0.0</v>
      </c>
      <c r="H134" s="95">
        <v>3.0</v>
      </c>
    </row>
    <row r="135">
      <c r="A135" s="92" t="s">
        <v>300</v>
      </c>
      <c r="B135" s="95">
        <v>5.333333333333333</v>
      </c>
      <c r="C135" s="94">
        <v>0.0</v>
      </c>
      <c r="D135" s="95">
        <v>0.0</v>
      </c>
      <c r="E135" s="95">
        <v>4.0</v>
      </c>
      <c r="F135" s="95">
        <v>0.0</v>
      </c>
      <c r="G135" s="95">
        <v>0.0</v>
      </c>
      <c r="H135" s="95">
        <v>1.4545454545454546</v>
      </c>
    </row>
    <row r="136">
      <c r="A136" s="92" t="s">
        <v>302</v>
      </c>
      <c r="B136" s="95">
        <v>5.333333333333333</v>
      </c>
      <c r="C136" s="94">
        <v>0.0</v>
      </c>
      <c r="D136" s="95">
        <v>0.0</v>
      </c>
      <c r="E136" s="95">
        <v>0.0</v>
      </c>
      <c r="F136" s="95">
        <v>5.333333333333333</v>
      </c>
      <c r="G136" s="95">
        <v>0.0</v>
      </c>
      <c r="H136" s="95">
        <v>0.0</v>
      </c>
    </row>
    <row r="137">
      <c r="A137" s="92" t="s">
        <v>303</v>
      </c>
      <c r="B137" s="95">
        <v>5.333333333333333</v>
      </c>
      <c r="C137" s="94">
        <v>0.0</v>
      </c>
      <c r="D137" s="95">
        <v>2.4615384615384617</v>
      </c>
      <c r="E137" s="95">
        <v>2.6666666666666665</v>
      </c>
      <c r="F137" s="95">
        <v>0.0</v>
      </c>
      <c r="G137" s="95">
        <v>0.0</v>
      </c>
      <c r="H137" s="95">
        <v>0.0</v>
      </c>
    </row>
    <row r="138">
      <c r="A138" s="92" t="s">
        <v>309</v>
      </c>
      <c r="B138" s="95">
        <v>4.848484848484849</v>
      </c>
      <c r="C138" s="94">
        <v>0.0</v>
      </c>
      <c r="D138" s="95">
        <v>0.8</v>
      </c>
      <c r="E138" s="95">
        <v>2.4</v>
      </c>
      <c r="F138" s="95">
        <v>0.8</v>
      </c>
      <c r="G138" s="95">
        <v>0.8</v>
      </c>
      <c r="H138" s="95">
        <v>0.0</v>
      </c>
    </row>
    <row r="139">
      <c r="A139" s="92" t="s">
        <v>310</v>
      </c>
      <c r="B139" s="95">
        <v>4.8</v>
      </c>
      <c r="C139" s="94">
        <v>0.0</v>
      </c>
      <c r="D139" s="95">
        <v>0.0</v>
      </c>
      <c r="E139" s="95">
        <v>0.0</v>
      </c>
      <c r="F139" s="95">
        <v>1.6</v>
      </c>
      <c r="G139" s="95">
        <v>3.3684210526315788</v>
      </c>
      <c r="H139" s="95">
        <v>0.0</v>
      </c>
    </row>
    <row r="140">
      <c r="A140" s="92" t="s">
        <v>312</v>
      </c>
      <c r="B140" s="95">
        <v>4.574285714285715</v>
      </c>
      <c r="C140" s="94">
        <v>0.0</v>
      </c>
      <c r="D140" s="95">
        <v>0.9975</v>
      </c>
      <c r="E140" s="95">
        <v>1.064</v>
      </c>
      <c r="F140" s="95">
        <v>1.3333333333333333</v>
      </c>
      <c r="G140" s="95">
        <v>0.0</v>
      </c>
      <c r="H140" s="95">
        <v>1.0666666666666667</v>
      </c>
    </row>
    <row r="141">
      <c r="A141" s="92" t="s">
        <v>314</v>
      </c>
      <c r="B141" s="95">
        <v>4.2105263157894735</v>
      </c>
      <c r="C141" s="94">
        <v>0.0</v>
      </c>
      <c r="D141" s="95">
        <v>2.2857142857142856</v>
      </c>
      <c r="E141" s="95">
        <v>0.0</v>
      </c>
      <c r="F141" s="95">
        <v>0.0</v>
      </c>
      <c r="G141" s="95">
        <v>2.0</v>
      </c>
      <c r="H141" s="95">
        <v>0.0</v>
      </c>
    </row>
    <row r="142">
      <c r="A142" s="92" t="s">
        <v>315</v>
      </c>
      <c r="B142" s="95">
        <v>4.2105263157894735</v>
      </c>
      <c r="C142" s="94">
        <v>0.0</v>
      </c>
      <c r="D142" s="95">
        <v>4.0</v>
      </c>
      <c r="E142" s="95">
        <v>0.0</v>
      </c>
      <c r="F142" s="95">
        <v>0.0</v>
      </c>
      <c r="G142" s="95">
        <v>0.0</v>
      </c>
      <c r="H142" s="95">
        <v>0.0</v>
      </c>
    </row>
    <row r="143">
      <c r="A143" s="92" t="s">
        <v>316</v>
      </c>
      <c r="B143" s="95">
        <v>4.102564102564103</v>
      </c>
      <c r="C143" s="94">
        <v>0.0</v>
      </c>
      <c r="D143" s="95">
        <v>0.0</v>
      </c>
      <c r="E143" s="95">
        <v>0.0</v>
      </c>
      <c r="F143" s="95">
        <v>0.0</v>
      </c>
      <c r="G143" s="95">
        <v>0.0</v>
      </c>
      <c r="H143" s="95">
        <v>4.571428571428571</v>
      </c>
    </row>
    <row r="144">
      <c r="A144" s="92" t="s">
        <v>319</v>
      </c>
      <c r="B144" s="95">
        <v>4.083673469387755</v>
      </c>
      <c r="C144" s="94">
        <v>0.0</v>
      </c>
      <c r="D144" s="95">
        <v>0.0</v>
      </c>
      <c r="E144" s="95">
        <v>1.6</v>
      </c>
      <c r="F144" s="95">
        <v>0.0</v>
      </c>
      <c r="G144" s="95">
        <v>0.0</v>
      </c>
      <c r="H144" s="95">
        <v>2.528421052631579</v>
      </c>
    </row>
    <row r="145">
      <c r="A145" s="92" t="s">
        <v>322</v>
      </c>
      <c r="B145" s="95">
        <v>4.067796610169491</v>
      </c>
      <c r="C145" s="94">
        <v>0.0</v>
      </c>
      <c r="D145" s="95">
        <v>0.0</v>
      </c>
      <c r="E145" s="95">
        <v>0.0</v>
      </c>
      <c r="F145" s="95">
        <v>0.0</v>
      </c>
      <c r="G145" s="95">
        <v>0.0</v>
      </c>
      <c r="H145" s="95">
        <v>4.0</v>
      </c>
    </row>
    <row r="146">
      <c r="A146" s="92" t="s">
        <v>324</v>
      </c>
      <c r="B146" s="95">
        <v>4.0506329113924044</v>
      </c>
      <c r="C146" s="94">
        <v>0.0</v>
      </c>
      <c r="D146" s="95">
        <v>0.0</v>
      </c>
      <c r="E146" s="95">
        <v>0.0</v>
      </c>
      <c r="F146" s="95">
        <v>2.0</v>
      </c>
      <c r="G146" s="95">
        <v>2.0</v>
      </c>
      <c r="H146" s="95">
        <v>0.0</v>
      </c>
    </row>
    <row r="147">
      <c r="A147" s="92" t="s">
        <v>325</v>
      </c>
      <c r="B147" s="95">
        <v>4.040404040404041</v>
      </c>
      <c r="C147" s="94">
        <v>0.0</v>
      </c>
      <c r="D147" s="95">
        <v>0.8421052631578947</v>
      </c>
      <c r="E147" s="95">
        <v>0.0</v>
      </c>
      <c r="F147" s="95">
        <v>0.8</v>
      </c>
      <c r="G147" s="95">
        <v>1.5238095238095237</v>
      </c>
      <c r="H147" s="95">
        <v>0.8421052631578947</v>
      </c>
    </row>
    <row r="148">
      <c r="A148" s="92" t="s">
        <v>326</v>
      </c>
      <c r="B148" s="95">
        <v>4.0</v>
      </c>
      <c r="C148" s="94">
        <v>0.0</v>
      </c>
      <c r="D148" s="95">
        <v>0.0</v>
      </c>
      <c r="E148" s="95">
        <v>0.0</v>
      </c>
      <c r="F148" s="95">
        <v>0.0</v>
      </c>
      <c r="G148" s="95">
        <v>0.0</v>
      </c>
      <c r="H148" s="95">
        <v>4.0</v>
      </c>
    </row>
    <row r="149">
      <c r="A149" s="92" t="s">
        <v>329</v>
      </c>
      <c r="B149" s="95">
        <v>4.0</v>
      </c>
      <c r="C149" s="94">
        <v>0.0</v>
      </c>
      <c r="D149" s="95">
        <v>0.0</v>
      </c>
      <c r="E149" s="95">
        <v>0.0</v>
      </c>
      <c r="F149" s="95">
        <v>0.0</v>
      </c>
      <c r="G149" s="95">
        <v>0.0</v>
      </c>
      <c r="H149" s="95">
        <v>4.0</v>
      </c>
    </row>
    <row r="150">
      <c r="A150" s="92" t="s">
        <v>330</v>
      </c>
      <c r="B150" s="95">
        <v>4.0</v>
      </c>
      <c r="C150" s="94">
        <v>0.0</v>
      </c>
      <c r="D150" s="95">
        <v>0.0</v>
      </c>
      <c r="E150" s="95">
        <v>0.0</v>
      </c>
      <c r="F150" s="95">
        <v>0.0</v>
      </c>
      <c r="G150" s="95">
        <v>3.2</v>
      </c>
      <c r="H150" s="95">
        <v>1.0</v>
      </c>
    </row>
    <row r="151">
      <c r="A151" s="92" t="s">
        <v>333</v>
      </c>
      <c r="B151" s="95">
        <v>4.0</v>
      </c>
      <c r="C151" s="94">
        <v>0.0</v>
      </c>
      <c r="D151" s="95">
        <v>0.0</v>
      </c>
      <c r="E151" s="95">
        <v>0.0</v>
      </c>
      <c r="F151" s="95">
        <v>0.0</v>
      </c>
      <c r="G151" s="95">
        <v>4.0</v>
      </c>
      <c r="H151" s="95">
        <v>0.0</v>
      </c>
    </row>
    <row r="152">
      <c r="A152" s="92" t="s">
        <v>334</v>
      </c>
      <c r="B152" s="95">
        <v>4.0</v>
      </c>
      <c r="C152" s="94">
        <v>0.0</v>
      </c>
      <c r="D152" s="95">
        <v>0.0</v>
      </c>
      <c r="E152" s="95">
        <v>0.9411764705882353</v>
      </c>
      <c r="F152" s="95">
        <v>0.0</v>
      </c>
      <c r="G152" s="95">
        <v>3.2</v>
      </c>
      <c r="H152" s="95">
        <v>0.0</v>
      </c>
    </row>
    <row r="153">
      <c r="A153" s="92" t="s">
        <v>335</v>
      </c>
      <c r="B153" s="95">
        <v>4.0</v>
      </c>
      <c r="C153" s="94">
        <v>0.0</v>
      </c>
      <c r="D153" s="95">
        <v>0.0</v>
      </c>
      <c r="E153" s="95">
        <v>1.0</v>
      </c>
      <c r="F153" s="95">
        <v>1.0</v>
      </c>
      <c r="G153" s="95">
        <v>2.0</v>
      </c>
      <c r="H153" s="95">
        <v>0.0</v>
      </c>
    </row>
    <row r="154">
      <c r="A154" s="92" t="s">
        <v>336</v>
      </c>
      <c r="B154" s="95">
        <v>4.0</v>
      </c>
      <c r="C154" s="94">
        <v>0.0</v>
      </c>
      <c r="D154" s="95">
        <v>0.0</v>
      </c>
      <c r="E154" s="95">
        <v>0.0</v>
      </c>
      <c r="F154" s="95">
        <v>2.4</v>
      </c>
      <c r="G154" s="95">
        <v>1.6</v>
      </c>
      <c r="H154" s="95">
        <v>0.0</v>
      </c>
    </row>
    <row r="155">
      <c r="A155" s="92" t="s">
        <v>337</v>
      </c>
      <c r="B155" s="95">
        <v>4.0</v>
      </c>
      <c r="C155" s="94">
        <v>0.0</v>
      </c>
      <c r="D155" s="95">
        <v>0.0</v>
      </c>
      <c r="E155" s="95">
        <v>0.0</v>
      </c>
      <c r="F155" s="95">
        <v>4.0</v>
      </c>
      <c r="G155" s="95">
        <v>0.0</v>
      </c>
      <c r="H155" s="95">
        <v>0.0</v>
      </c>
    </row>
    <row r="156">
      <c r="A156" s="92" t="s">
        <v>338</v>
      </c>
      <c r="B156" s="95">
        <v>4.0</v>
      </c>
      <c r="C156" s="94">
        <v>0.0</v>
      </c>
      <c r="D156" s="95">
        <v>0.0</v>
      </c>
      <c r="E156" s="95">
        <v>2.4615384615384617</v>
      </c>
      <c r="F156" s="95">
        <v>1.3333333333333333</v>
      </c>
      <c r="G156" s="95">
        <v>0.0</v>
      </c>
      <c r="H156" s="95">
        <v>0.0</v>
      </c>
    </row>
    <row r="157">
      <c r="A157" s="92" t="s">
        <v>342</v>
      </c>
      <c r="B157" s="95">
        <v>3.404255319148936</v>
      </c>
      <c r="C157" s="94">
        <v>0.0</v>
      </c>
      <c r="D157" s="95">
        <v>0.0</v>
      </c>
      <c r="E157" s="95">
        <v>1.7777777777777777</v>
      </c>
      <c r="F157" s="95">
        <v>0.8421052631578947</v>
      </c>
      <c r="G157" s="95">
        <v>0.8421052631578947</v>
      </c>
      <c r="H157" s="95">
        <v>0.0</v>
      </c>
    </row>
    <row r="158">
      <c r="A158" s="92" t="s">
        <v>343</v>
      </c>
      <c r="B158" s="95">
        <v>3.2876712328767126</v>
      </c>
      <c r="C158" s="94">
        <v>0.0</v>
      </c>
      <c r="D158" s="95">
        <v>3.2</v>
      </c>
      <c r="E158" s="95">
        <v>0.0</v>
      </c>
      <c r="F158" s="95">
        <v>0.0</v>
      </c>
      <c r="G158" s="95">
        <v>0.0</v>
      </c>
      <c r="H158" s="95">
        <v>0.0</v>
      </c>
    </row>
    <row r="159">
      <c r="A159" s="92" t="s">
        <v>344</v>
      </c>
      <c r="B159" s="95">
        <v>3.265306122448979</v>
      </c>
      <c r="C159" s="94">
        <v>0.0</v>
      </c>
      <c r="D159" s="95">
        <v>0.8</v>
      </c>
      <c r="E159" s="95">
        <v>0.0</v>
      </c>
      <c r="F159" s="95">
        <v>0.8</v>
      </c>
      <c r="G159" s="95">
        <v>0.7619047619047619</v>
      </c>
      <c r="H159" s="95">
        <v>0.9411764705882353</v>
      </c>
    </row>
    <row r="160">
      <c r="A160" s="92" t="s">
        <v>345</v>
      </c>
      <c r="B160" s="95">
        <v>3.2323232323232323</v>
      </c>
      <c r="C160" s="94">
        <v>0.0</v>
      </c>
      <c r="D160" s="95">
        <v>0.0</v>
      </c>
      <c r="E160" s="95">
        <v>0.8</v>
      </c>
      <c r="F160" s="95">
        <v>0.8</v>
      </c>
      <c r="G160" s="95">
        <v>1.6</v>
      </c>
      <c r="H160" s="95">
        <v>0.0</v>
      </c>
    </row>
    <row r="161">
      <c r="A161" s="92" t="s">
        <v>348</v>
      </c>
      <c r="B161" s="95">
        <v>3.2</v>
      </c>
      <c r="C161" s="94">
        <v>0.0</v>
      </c>
      <c r="D161" s="95">
        <v>1.6</v>
      </c>
      <c r="E161" s="95">
        <v>0.7619047619047619</v>
      </c>
      <c r="F161" s="95">
        <v>0.0</v>
      </c>
      <c r="G161" s="95">
        <v>0.0</v>
      </c>
      <c r="H161" s="95">
        <v>0.8</v>
      </c>
    </row>
    <row r="162">
      <c r="A162" s="92" t="s">
        <v>349</v>
      </c>
      <c r="B162" s="95">
        <v>2.807017543859649</v>
      </c>
      <c r="C162" s="94">
        <v>0.0</v>
      </c>
      <c r="D162" s="95">
        <v>0.0</v>
      </c>
      <c r="E162" s="95">
        <v>0.0</v>
      </c>
      <c r="F162" s="95">
        <v>0.0</v>
      </c>
      <c r="G162" s="95">
        <v>0.0</v>
      </c>
      <c r="H162" s="95">
        <v>2.909090909090909</v>
      </c>
    </row>
    <row r="163">
      <c r="A163" s="92" t="s">
        <v>351</v>
      </c>
      <c r="B163" s="95">
        <v>2.7586206896551726</v>
      </c>
      <c r="C163" s="94">
        <v>0.0</v>
      </c>
      <c r="D163" s="95">
        <v>0.0</v>
      </c>
      <c r="E163" s="95">
        <v>0.0</v>
      </c>
      <c r="F163" s="95">
        <v>1.3333333333333333</v>
      </c>
      <c r="G163" s="95">
        <v>0.0</v>
      </c>
      <c r="H163" s="95">
        <v>1.4545454545454546</v>
      </c>
    </row>
    <row r="164">
      <c r="A164" s="92" t="s">
        <v>357</v>
      </c>
      <c r="B164" s="95">
        <v>2.6666666666666665</v>
      </c>
      <c r="C164" s="94">
        <v>0.0</v>
      </c>
      <c r="D164" s="95">
        <v>0.0</v>
      </c>
      <c r="E164" s="95">
        <v>0.0</v>
      </c>
      <c r="F164" s="95">
        <v>0.0</v>
      </c>
      <c r="G164" s="95">
        <v>0.0</v>
      </c>
      <c r="H164" s="95">
        <v>2.6666666666666665</v>
      </c>
    </row>
    <row r="165">
      <c r="A165" s="92" t="s">
        <v>359</v>
      </c>
      <c r="B165" s="95">
        <v>2.6666666666666665</v>
      </c>
      <c r="C165" s="94">
        <v>0.0</v>
      </c>
      <c r="D165" s="95">
        <v>3.3333333333333335</v>
      </c>
      <c r="E165" s="95">
        <v>0.0</v>
      </c>
      <c r="F165" s="95">
        <v>0.0</v>
      </c>
      <c r="G165" s="95">
        <v>0.0</v>
      </c>
      <c r="H165" s="95">
        <v>0.0</v>
      </c>
    </row>
    <row r="166">
      <c r="A166" s="92" t="s">
        <v>361</v>
      </c>
      <c r="B166" s="95">
        <v>2.55531914893617</v>
      </c>
      <c r="C166" s="94">
        <v>0.0</v>
      </c>
      <c r="D166" s="95">
        <v>0.0</v>
      </c>
      <c r="E166" s="95">
        <v>1.6821052631578948</v>
      </c>
      <c r="F166" s="95">
        <v>0.8866666666666667</v>
      </c>
      <c r="G166" s="95">
        <v>0.0</v>
      </c>
      <c r="H166" s="95">
        <v>0.0</v>
      </c>
    </row>
    <row r="167">
      <c r="A167" s="92" t="s">
        <v>362</v>
      </c>
      <c r="B167" s="95">
        <v>2.4489795918367343</v>
      </c>
      <c r="C167" s="94">
        <v>0.0</v>
      </c>
      <c r="D167" s="95">
        <v>2.4</v>
      </c>
      <c r="E167" s="95">
        <v>0.0</v>
      </c>
      <c r="F167" s="95">
        <v>0.0</v>
      </c>
      <c r="G167" s="95">
        <v>0.0</v>
      </c>
      <c r="H167" s="95">
        <v>0.0</v>
      </c>
    </row>
    <row r="168">
      <c r="A168" s="92" t="s">
        <v>366</v>
      </c>
      <c r="B168" s="95">
        <v>2.4242424242424243</v>
      </c>
      <c r="C168" s="94">
        <v>0.0</v>
      </c>
      <c r="D168" s="95">
        <v>0.0</v>
      </c>
      <c r="E168" s="95">
        <v>0.0</v>
      </c>
      <c r="F168" s="95">
        <v>0.0</v>
      </c>
      <c r="G168" s="95">
        <v>2.6666666666666665</v>
      </c>
      <c r="H168" s="95">
        <v>0.0</v>
      </c>
    </row>
    <row r="169">
      <c r="A169" s="92" t="s">
        <v>367</v>
      </c>
      <c r="B169" s="95">
        <v>2.4242424242424243</v>
      </c>
      <c r="C169" s="94">
        <v>0.0</v>
      </c>
      <c r="D169" s="95">
        <v>0.0</v>
      </c>
      <c r="E169" s="95">
        <v>0.0</v>
      </c>
      <c r="F169" s="95">
        <v>0.0</v>
      </c>
      <c r="G169" s="95">
        <v>2.4</v>
      </c>
      <c r="H169" s="95">
        <v>0.0</v>
      </c>
    </row>
    <row r="170">
      <c r="A170" s="92" t="s">
        <v>370</v>
      </c>
      <c r="B170" s="95">
        <v>2.4</v>
      </c>
      <c r="C170" s="94">
        <v>0.0</v>
      </c>
      <c r="D170" s="95">
        <v>0.0</v>
      </c>
      <c r="E170" s="95">
        <v>0.0</v>
      </c>
      <c r="F170" s="95">
        <v>2.4</v>
      </c>
      <c r="G170" s="95">
        <v>0.0</v>
      </c>
      <c r="H170" s="95">
        <v>0.0</v>
      </c>
    </row>
    <row r="171">
      <c r="A171" s="92" t="s">
        <v>371</v>
      </c>
      <c r="B171" s="95">
        <v>2.282857142857143</v>
      </c>
      <c r="C171" s="94">
        <v>0.0</v>
      </c>
      <c r="D171" s="95">
        <v>1.9975</v>
      </c>
      <c r="E171" s="95">
        <v>0.0</v>
      </c>
      <c r="F171" s="95">
        <v>0.0</v>
      </c>
      <c r="G171" s="95">
        <v>0.0</v>
      </c>
      <c r="H171" s="95">
        <v>0.0</v>
      </c>
    </row>
    <row r="172">
      <c r="A172" s="92" t="s">
        <v>373</v>
      </c>
      <c r="B172" s="95">
        <v>2.162162162162162</v>
      </c>
      <c r="C172" s="94">
        <v>0.0</v>
      </c>
      <c r="D172" s="95">
        <v>0.0</v>
      </c>
      <c r="E172" s="95">
        <v>0.0</v>
      </c>
      <c r="F172" s="95">
        <v>2.0</v>
      </c>
      <c r="G172" s="95">
        <v>0.0</v>
      </c>
      <c r="H172" s="95">
        <v>0.0</v>
      </c>
    </row>
    <row r="173">
      <c r="A173" s="92" t="s">
        <v>374</v>
      </c>
      <c r="B173" s="95">
        <v>2.1052631578947367</v>
      </c>
      <c r="C173" s="94">
        <v>0.0</v>
      </c>
      <c r="D173" s="95">
        <v>0.0</v>
      </c>
      <c r="E173" s="95">
        <v>0.0</v>
      </c>
      <c r="F173" s="95">
        <v>0.0</v>
      </c>
      <c r="G173" s="95">
        <v>0.0</v>
      </c>
      <c r="H173" s="95">
        <v>2.2857142857142856</v>
      </c>
    </row>
    <row r="174">
      <c r="A174" s="92" t="s">
        <v>375</v>
      </c>
      <c r="B174" s="95">
        <v>2.0512820512820515</v>
      </c>
      <c r="C174" s="94">
        <v>0.0</v>
      </c>
      <c r="D174" s="95">
        <v>0.0</v>
      </c>
      <c r="E174" s="95">
        <v>0.0</v>
      </c>
      <c r="F174" s="95">
        <v>0.0</v>
      </c>
      <c r="G174" s="95">
        <v>0.0</v>
      </c>
      <c r="H174" s="95">
        <v>2.1333333333333333</v>
      </c>
    </row>
    <row r="175">
      <c r="A175" s="92" t="s">
        <v>376</v>
      </c>
      <c r="B175" s="95">
        <v>2.0512820512820515</v>
      </c>
      <c r="C175" s="94">
        <v>0.0</v>
      </c>
      <c r="D175" s="95">
        <v>1.25</v>
      </c>
      <c r="E175" s="95">
        <v>0.0</v>
      </c>
      <c r="F175" s="95">
        <v>0.0</v>
      </c>
      <c r="G175" s="95">
        <v>0.0</v>
      </c>
      <c r="H175" s="95">
        <v>1.3333333333333333</v>
      </c>
    </row>
    <row r="176">
      <c r="A176" s="92" t="s">
        <v>377</v>
      </c>
      <c r="B176" s="95">
        <v>2.0512820512820515</v>
      </c>
      <c r="C176" s="94">
        <v>0.0</v>
      </c>
      <c r="D176" s="95">
        <v>0.0</v>
      </c>
      <c r="E176" s="95">
        <v>0.0</v>
      </c>
      <c r="F176" s="95">
        <v>0.0</v>
      </c>
      <c r="G176" s="95">
        <v>2.0</v>
      </c>
      <c r="H176" s="95">
        <v>0.0</v>
      </c>
    </row>
    <row r="177">
      <c r="A177" s="92" t="s">
        <v>378</v>
      </c>
      <c r="B177" s="95">
        <v>2.0512820512820515</v>
      </c>
      <c r="C177" s="94">
        <v>0.0</v>
      </c>
      <c r="D177" s="95">
        <v>2.0</v>
      </c>
      <c r="E177" s="95">
        <v>0.0</v>
      </c>
      <c r="F177" s="95">
        <v>0.0</v>
      </c>
      <c r="G177" s="95">
        <v>0.0</v>
      </c>
      <c r="H177" s="95">
        <v>0.0</v>
      </c>
    </row>
    <row r="178">
      <c r="A178" s="92" t="s">
        <v>379</v>
      </c>
      <c r="B178" s="95">
        <v>2.0</v>
      </c>
      <c r="C178" s="94">
        <v>0.0</v>
      </c>
      <c r="D178" s="95">
        <v>0.0</v>
      </c>
      <c r="E178" s="95">
        <v>0.0</v>
      </c>
      <c r="F178" s="95">
        <v>0.0</v>
      </c>
      <c r="G178" s="95">
        <v>0.0</v>
      </c>
      <c r="H178" s="95">
        <v>2.0</v>
      </c>
    </row>
    <row r="179">
      <c r="A179" s="92" t="s">
        <v>380</v>
      </c>
      <c r="B179" s="95">
        <v>2.0</v>
      </c>
      <c r="C179" s="94">
        <v>0.0</v>
      </c>
      <c r="D179" s="95">
        <v>0.0</v>
      </c>
      <c r="E179" s="95">
        <v>0.0</v>
      </c>
      <c r="F179" s="95">
        <v>0.0</v>
      </c>
      <c r="G179" s="95">
        <v>0.0</v>
      </c>
      <c r="H179" s="95">
        <v>2.0</v>
      </c>
    </row>
    <row r="180">
      <c r="A180" s="92" t="s">
        <v>381</v>
      </c>
      <c r="B180" s="95">
        <v>2.0</v>
      </c>
      <c r="C180" s="94">
        <v>0.0</v>
      </c>
      <c r="D180" s="95">
        <v>0.0</v>
      </c>
      <c r="E180" s="95">
        <v>0.0</v>
      </c>
      <c r="F180" s="95">
        <v>1.0</v>
      </c>
      <c r="G180" s="95">
        <v>1.0</v>
      </c>
      <c r="H180" s="95">
        <v>0.0</v>
      </c>
    </row>
    <row r="181">
      <c r="A181" s="92" t="s">
        <v>382</v>
      </c>
      <c r="B181" s="95">
        <v>2.0</v>
      </c>
      <c r="C181" s="94">
        <v>0.0</v>
      </c>
      <c r="D181" s="95">
        <v>0.0</v>
      </c>
      <c r="E181" s="95">
        <v>0.0</v>
      </c>
      <c r="F181" s="95">
        <v>2.0</v>
      </c>
      <c r="G181" s="95">
        <v>0.0</v>
      </c>
      <c r="H181" s="95">
        <v>0.0</v>
      </c>
    </row>
    <row r="182">
      <c r="A182" s="92" t="s">
        <v>383</v>
      </c>
      <c r="B182" s="95">
        <v>2.0</v>
      </c>
      <c r="C182" s="94">
        <v>0.0</v>
      </c>
      <c r="D182" s="95">
        <v>0.0</v>
      </c>
      <c r="E182" s="95">
        <v>0.0</v>
      </c>
      <c r="F182" s="95">
        <v>2.0</v>
      </c>
      <c r="G182" s="95">
        <v>0.0</v>
      </c>
      <c r="H182" s="95">
        <v>0.0</v>
      </c>
    </row>
    <row r="183">
      <c r="A183" s="92" t="s">
        <v>384</v>
      </c>
      <c r="B183" s="95">
        <v>1.6306122448979592</v>
      </c>
      <c r="C183" s="94">
        <v>0.0</v>
      </c>
      <c r="D183" s="95">
        <v>0.0</v>
      </c>
      <c r="E183" s="95">
        <v>0.798</v>
      </c>
      <c r="F183" s="95">
        <v>0.8</v>
      </c>
      <c r="G183" s="95">
        <v>0.0</v>
      </c>
      <c r="H183" s="95">
        <v>0.0</v>
      </c>
    </row>
    <row r="184">
      <c r="A184" s="92" t="s">
        <v>385</v>
      </c>
      <c r="B184" s="95">
        <v>1.6</v>
      </c>
      <c r="C184" s="94">
        <v>0.0</v>
      </c>
      <c r="D184" s="95">
        <v>0.0</v>
      </c>
      <c r="E184" s="95">
        <v>0.0</v>
      </c>
      <c r="F184" s="95">
        <v>0.8</v>
      </c>
      <c r="G184" s="95">
        <v>0.8</v>
      </c>
      <c r="H184" s="95">
        <v>0.0</v>
      </c>
    </row>
    <row r="185">
      <c r="A185" s="92" t="s">
        <v>386</v>
      </c>
      <c r="B185" s="95">
        <v>1.3559322033898304</v>
      </c>
      <c r="C185" s="94">
        <v>0.0</v>
      </c>
      <c r="D185" s="95">
        <v>1.4545454545454546</v>
      </c>
      <c r="E185" s="95">
        <v>0.0</v>
      </c>
      <c r="F185" s="95">
        <v>0.0</v>
      </c>
      <c r="G185" s="95">
        <v>0.0</v>
      </c>
      <c r="H185" s="95">
        <v>0.0</v>
      </c>
    </row>
    <row r="186">
      <c r="A186" s="92" t="s">
        <v>387</v>
      </c>
      <c r="B186" s="95">
        <v>1.3559322033898304</v>
      </c>
      <c r="C186" s="94">
        <v>0.0</v>
      </c>
      <c r="D186" s="95">
        <v>1.3333333333333333</v>
      </c>
      <c r="E186" s="95">
        <v>0.0</v>
      </c>
      <c r="F186" s="95">
        <v>0.0</v>
      </c>
      <c r="G186" s="95">
        <v>0.0</v>
      </c>
      <c r="H186" s="95">
        <v>0.0</v>
      </c>
    </row>
    <row r="187">
      <c r="A187" s="92" t="s">
        <v>390</v>
      </c>
      <c r="B187" s="95">
        <v>1.3333333333333333</v>
      </c>
      <c r="C187" s="94">
        <v>0.0</v>
      </c>
      <c r="D187" s="95">
        <v>0.0</v>
      </c>
      <c r="E187" s="95">
        <v>1.3333333333333333</v>
      </c>
      <c r="F187" s="95">
        <v>0.0</v>
      </c>
      <c r="G187" s="95">
        <v>0.0</v>
      </c>
      <c r="H187" s="95">
        <v>0.0</v>
      </c>
    </row>
    <row r="188">
      <c r="A188" s="92" t="s">
        <v>392</v>
      </c>
      <c r="B188" s="95">
        <v>1.0256410256410258</v>
      </c>
      <c r="C188" s="94">
        <v>0.0</v>
      </c>
      <c r="D188" s="95">
        <v>0.0</v>
      </c>
      <c r="E188" s="95">
        <v>1.25</v>
      </c>
      <c r="F188" s="95">
        <v>0.0</v>
      </c>
      <c r="G188" s="95">
        <v>0.0</v>
      </c>
      <c r="H188" s="95">
        <v>0.0</v>
      </c>
    </row>
    <row r="189">
      <c r="A189" s="92" t="s">
        <v>393</v>
      </c>
      <c r="B189" s="95">
        <v>1.010126582278481</v>
      </c>
      <c r="C189" s="94">
        <v>0.0</v>
      </c>
      <c r="D189" s="95">
        <v>0.9975</v>
      </c>
      <c r="E189" s="95">
        <v>0.0</v>
      </c>
      <c r="F189" s="95">
        <v>0.0</v>
      </c>
      <c r="G189" s="95">
        <v>0.0</v>
      </c>
      <c r="H189" s="95">
        <v>0.0</v>
      </c>
    </row>
    <row r="190">
      <c r="A190" s="92" t="s">
        <v>394</v>
      </c>
      <c r="B190" s="95">
        <v>1.0</v>
      </c>
      <c r="C190" s="94">
        <v>0.0</v>
      </c>
      <c r="D190" s="95">
        <v>0.0</v>
      </c>
      <c r="E190" s="95">
        <v>1.0</v>
      </c>
      <c r="F190" s="95">
        <v>0.0</v>
      </c>
      <c r="G190" s="95">
        <v>0.0</v>
      </c>
      <c r="H190" s="95">
        <v>0.0</v>
      </c>
    </row>
    <row r="191">
      <c r="A191" s="92" t="s">
        <v>398</v>
      </c>
      <c r="B191" s="95">
        <v>0.0</v>
      </c>
      <c r="C191" s="94">
        <v>0.0</v>
      </c>
      <c r="D191" s="95">
        <v>0.0</v>
      </c>
      <c r="E191" s="95">
        <v>0.0</v>
      </c>
      <c r="F191" s="95">
        <v>0.0</v>
      </c>
      <c r="G191" s="95">
        <v>0.0</v>
      </c>
      <c r="H191" s="95">
        <v>0.0</v>
      </c>
    </row>
    <row r="192">
      <c r="A192" s="92" t="s">
        <v>399</v>
      </c>
      <c r="B192" s="95">
        <v>0.0</v>
      </c>
      <c r="C192" s="94">
        <v>0.0</v>
      </c>
      <c r="D192" s="95">
        <v>0.0</v>
      </c>
      <c r="E192" s="95">
        <v>0.0</v>
      </c>
      <c r="F192" s="95">
        <v>0.0</v>
      </c>
      <c r="G192" s="95">
        <v>0.0</v>
      </c>
      <c r="H192" s="95">
        <v>0.0</v>
      </c>
    </row>
    <row r="193">
      <c r="A193" s="92" t="s">
        <v>400</v>
      </c>
      <c r="B193" s="95">
        <v>0.0</v>
      </c>
      <c r="C193" s="94">
        <v>0.0</v>
      </c>
      <c r="D193" s="95">
        <v>0.0</v>
      </c>
      <c r="E193" s="95">
        <v>0.0</v>
      </c>
      <c r="F193" s="95">
        <v>0.0</v>
      </c>
      <c r="G193" s="95">
        <v>0.0</v>
      </c>
      <c r="H193" s="95">
        <v>0.0</v>
      </c>
    </row>
    <row r="194">
      <c r="A194" s="92" t="s">
        <v>401</v>
      </c>
      <c r="B194" s="95">
        <v>0.0</v>
      </c>
      <c r="C194" s="94">
        <v>0.0</v>
      </c>
      <c r="D194" s="95">
        <v>0.0</v>
      </c>
      <c r="E194" s="95">
        <v>0.0</v>
      </c>
      <c r="F194" s="95">
        <v>0.0</v>
      </c>
      <c r="G194" s="95">
        <v>0.0</v>
      </c>
      <c r="H194" s="95">
        <v>0.0</v>
      </c>
    </row>
    <row r="195">
      <c r="A195" s="92" t="s">
        <v>402</v>
      </c>
      <c r="B195" s="95">
        <v>0.0</v>
      </c>
      <c r="C195" s="94">
        <v>0.0</v>
      </c>
      <c r="D195" s="95">
        <v>0.0</v>
      </c>
      <c r="E195" s="95">
        <v>0.0</v>
      </c>
      <c r="F195" s="95">
        <v>0.0</v>
      </c>
      <c r="G195" s="95">
        <v>0.0</v>
      </c>
      <c r="H195" s="95">
        <v>0.0</v>
      </c>
    </row>
    <row r="196">
      <c r="A196" s="92" t="s">
        <v>403</v>
      </c>
      <c r="B196" s="95">
        <v>0.0</v>
      </c>
      <c r="C196" s="94">
        <v>0.0</v>
      </c>
      <c r="D196" s="95">
        <v>0.0</v>
      </c>
      <c r="E196" s="95">
        <v>0.0</v>
      </c>
      <c r="F196" s="95">
        <v>0.0</v>
      </c>
      <c r="G196" s="95">
        <v>0.0</v>
      </c>
      <c r="H196" s="95">
        <v>0.0</v>
      </c>
    </row>
    <row r="197">
      <c r="A197" s="92" t="s">
        <v>405</v>
      </c>
      <c r="B197" s="95">
        <v>0.0</v>
      </c>
      <c r="C197" s="94">
        <v>0.0</v>
      </c>
      <c r="D197" s="95">
        <v>0.0</v>
      </c>
      <c r="E197" s="95">
        <v>0.0</v>
      </c>
      <c r="F197" s="95">
        <v>0.0</v>
      </c>
      <c r="G197" s="95">
        <v>0.0</v>
      </c>
      <c r="H197" s="95">
        <v>0.0</v>
      </c>
    </row>
    <row r="198">
      <c r="A198" s="92" t="s">
        <v>406</v>
      </c>
      <c r="B198" s="95">
        <v>0.0</v>
      </c>
      <c r="C198" s="94">
        <v>0.0</v>
      </c>
      <c r="D198" s="95">
        <v>0.0</v>
      </c>
      <c r="E198" s="95">
        <v>0.0</v>
      </c>
      <c r="F198" s="95">
        <v>0.0</v>
      </c>
      <c r="G198" s="95">
        <v>0.0</v>
      </c>
      <c r="H198" s="95">
        <v>0.0</v>
      </c>
    </row>
    <row r="199">
      <c r="A199" s="92" t="s">
        <v>407</v>
      </c>
      <c r="B199" s="95">
        <v>0.0</v>
      </c>
      <c r="C199" s="94">
        <v>0.0</v>
      </c>
      <c r="D199" s="95">
        <v>0.0</v>
      </c>
      <c r="E199" s="95">
        <v>0.0</v>
      </c>
      <c r="F199" s="95">
        <v>0.0</v>
      </c>
      <c r="G199" s="95">
        <v>0.0</v>
      </c>
      <c r="H199" s="95">
        <v>0.0</v>
      </c>
    </row>
    <row r="200">
      <c r="A200" s="92" t="s">
        <v>408</v>
      </c>
      <c r="B200" s="95">
        <v>0.0</v>
      </c>
      <c r="C200" s="94">
        <v>0.0</v>
      </c>
      <c r="D200" s="95">
        <v>0.0</v>
      </c>
      <c r="E200" s="95">
        <v>0.0</v>
      </c>
      <c r="F200" s="95">
        <v>0.0</v>
      </c>
      <c r="G200" s="95">
        <v>0.0</v>
      </c>
      <c r="H200" s="95">
        <v>0.0</v>
      </c>
    </row>
    <row r="201">
      <c r="A201" s="92" t="s">
        <v>409</v>
      </c>
      <c r="B201" s="95">
        <v>0.0</v>
      </c>
      <c r="C201" s="94">
        <v>0.0</v>
      </c>
      <c r="D201" s="95">
        <v>0.0</v>
      </c>
      <c r="E201" s="95">
        <v>0.0</v>
      </c>
      <c r="F201" s="95">
        <v>0.0</v>
      </c>
      <c r="G201" s="95">
        <v>0.0</v>
      </c>
      <c r="H201" s="95">
        <v>0.0</v>
      </c>
    </row>
    <row r="202">
      <c r="A202" s="92" t="s">
        <v>410</v>
      </c>
      <c r="B202" s="95">
        <v>0.0</v>
      </c>
      <c r="C202" s="94">
        <v>0.0</v>
      </c>
      <c r="D202" s="95">
        <v>0.0</v>
      </c>
      <c r="E202" s="95">
        <v>0.0</v>
      </c>
      <c r="F202" s="95">
        <v>0.0</v>
      </c>
      <c r="G202" s="95">
        <v>0.0</v>
      </c>
      <c r="H202" s="95">
        <v>0.0</v>
      </c>
    </row>
    <row r="203">
      <c r="A203" s="92" t="s">
        <v>411</v>
      </c>
      <c r="B203" s="95">
        <v>0.0</v>
      </c>
      <c r="C203" s="94">
        <v>0.0</v>
      </c>
      <c r="D203" s="95">
        <v>0.0</v>
      </c>
      <c r="E203" s="95">
        <v>0.0</v>
      </c>
      <c r="F203" s="95">
        <v>0.0</v>
      </c>
      <c r="G203" s="95">
        <v>0.0</v>
      </c>
      <c r="H203" s="95">
        <v>0.0</v>
      </c>
    </row>
    <row r="204">
      <c r="C204" s="152"/>
    </row>
    <row r="205">
      <c r="C205" s="152"/>
    </row>
    <row r="206">
      <c r="C206" s="152"/>
    </row>
    <row r="207">
      <c r="C207" s="152"/>
    </row>
    <row r="208">
      <c r="C208" s="152"/>
    </row>
    <row r="209">
      <c r="C209" s="152"/>
    </row>
    <row r="210">
      <c r="C210" s="152"/>
    </row>
    <row r="211">
      <c r="C211" s="152"/>
    </row>
    <row r="212">
      <c r="C212" s="152"/>
    </row>
    <row r="213">
      <c r="C213" s="152"/>
    </row>
    <row r="214">
      <c r="C214" s="152"/>
    </row>
    <row r="215">
      <c r="C215" s="152"/>
    </row>
    <row r="216">
      <c r="C216" s="152"/>
    </row>
    <row r="217">
      <c r="C217" s="152"/>
    </row>
    <row r="218">
      <c r="C218" s="152"/>
    </row>
    <row r="219">
      <c r="C219" s="152"/>
    </row>
    <row r="220">
      <c r="C220" s="152"/>
    </row>
    <row r="221">
      <c r="C221" s="152"/>
    </row>
    <row r="222">
      <c r="C222" s="152"/>
    </row>
    <row r="223">
      <c r="C223" s="152"/>
    </row>
    <row r="224">
      <c r="C224" s="152"/>
    </row>
    <row r="225">
      <c r="C225" s="152"/>
    </row>
    <row r="226">
      <c r="C226" s="152"/>
    </row>
    <row r="227">
      <c r="C227" s="152"/>
    </row>
    <row r="228">
      <c r="C228" s="152"/>
    </row>
    <row r="229">
      <c r="C229" s="152"/>
    </row>
    <row r="230">
      <c r="C230" s="152"/>
    </row>
    <row r="231">
      <c r="C231" s="152"/>
    </row>
    <row r="232">
      <c r="C232" s="152"/>
    </row>
    <row r="233">
      <c r="C233" s="152"/>
    </row>
    <row r="234">
      <c r="C234" s="152"/>
    </row>
    <row r="235">
      <c r="C235" s="152"/>
    </row>
    <row r="236">
      <c r="C236" s="152"/>
    </row>
    <row r="237">
      <c r="C237" s="152"/>
    </row>
    <row r="238">
      <c r="C238" s="152"/>
    </row>
    <row r="239">
      <c r="C239" s="152"/>
    </row>
    <row r="240">
      <c r="C240" s="152"/>
    </row>
    <row r="241">
      <c r="C241" s="152"/>
    </row>
    <row r="242">
      <c r="C242" s="152"/>
    </row>
    <row r="243">
      <c r="C243" s="152"/>
    </row>
    <row r="244">
      <c r="C244" s="152"/>
    </row>
    <row r="245">
      <c r="C245" s="152"/>
    </row>
    <row r="246">
      <c r="C246" s="152"/>
    </row>
    <row r="247">
      <c r="C247" s="152"/>
    </row>
    <row r="248">
      <c r="C248" s="152"/>
    </row>
    <row r="249">
      <c r="C249" s="152"/>
    </row>
    <row r="250">
      <c r="C250" s="152"/>
    </row>
    <row r="251">
      <c r="C251" s="152"/>
    </row>
    <row r="252">
      <c r="C252" s="152"/>
    </row>
    <row r="253">
      <c r="C253" s="152"/>
    </row>
    <row r="254">
      <c r="C254" s="152"/>
    </row>
    <row r="255">
      <c r="C255" s="152"/>
    </row>
    <row r="256">
      <c r="C256" s="152"/>
    </row>
    <row r="257">
      <c r="C257" s="152"/>
    </row>
    <row r="258">
      <c r="C258" s="152"/>
    </row>
    <row r="259">
      <c r="C259" s="152"/>
    </row>
    <row r="260">
      <c r="C260" s="152"/>
    </row>
    <row r="261">
      <c r="C261" s="152"/>
    </row>
    <row r="262">
      <c r="C262" s="152"/>
    </row>
    <row r="263">
      <c r="C263" s="152"/>
    </row>
    <row r="264">
      <c r="C264" s="152"/>
    </row>
    <row r="265">
      <c r="C265" s="152"/>
    </row>
    <row r="266">
      <c r="C266" s="152"/>
    </row>
    <row r="267">
      <c r="C267" s="152"/>
    </row>
    <row r="268">
      <c r="C268" s="152"/>
    </row>
    <row r="269">
      <c r="C269" s="152"/>
    </row>
    <row r="270">
      <c r="C270" s="152"/>
    </row>
    <row r="271">
      <c r="C271" s="152"/>
    </row>
    <row r="272">
      <c r="C272" s="152"/>
    </row>
    <row r="273">
      <c r="C273" s="152"/>
    </row>
    <row r="274">
      <c r="C274" s="152"/>
    </row>
    <row r="275">
      <c r="C275" s="152"/>
    </row>
    <row r="276">
      <c r="C276" s="152"/>
    </row>
    <row r="277">
      <c r="C277" s="152"/>
    </row>
    <row r="278">
      <c r="C278" s="152"/>
    </row>
    <row r="279">
      <c r="C279" s="152"/>
    </row>
    <row r="280">
      <c r="C280" s="152"/>
    </row>
    <row r="281">
      <c r="C281" s="152"/>
    </row>
    <row r="282">
      <c r="C282" s="152"/>
    </row>
    <row r="283">
      <c r="C283" s="152"/>
    </row>
    <row r="284">
      <c r="C284" s="152"/>
    </row>
    <row r="285">
      <c r="C285" s="152"/>
    </row>
    <row r="286">
      <c r="C286" s="152"/>
    </row>
    <row r="287">
      <c r="C287" s="152"/>
    </row>
    <row r="288">
      <c r="C288" s="152"/>
    </row>
    <row r="289">
      <c r="C289" s="152"/>
    </row>
    <row r="290">
      <c r="C290" s="152"/>
    </row>
    <row r="291">
      <c r="C291" s="152"/>
    </row>
    <row r="292">
      <c r="C292" s="152"/>
    </row>
    <row r="293">
      <c r="C293" s="152"/>
    </row>
    <row r="294">
      <c r="C294" s="152"/>
    </row>
    <row r="295">
      <c r="C295" s="152"/>
    </row>
    <row r="296">
      <c r="C296" s="152"/>
    </row>
    <row r="297">
      <c r="C297" s="152"/>
    </row>
    <row r="298">
      <c r="C298" s="152"/>
    </row>
    <row r="299">
      <c r="C299" s="152"/>
    </row>
    <row r="300">
      <c r="C300" s="152"/>
    </row>
    <row r="301">
      <c r="C301" s="152"/>
    </row>
    <row r="302">
      <c r="C302" s="152"/>
    </row>
    <row r="303">
      <c r="C303" s="152"/>
    </row>
    <row r="304">
      <c r="C304" s="152"/>
    </row>
    <row r="305">
      <c r="C305" s="152"/>
    </row>
    <row r="306">
      <c r="C306" s="152"/>
    </row>
    <row r="307">
      <c r="C307" s="152"/>
    </row>
    <row r="308">
      <c r="C308" s="152"/>
    </row>
    <row r="309">
      <c r="C309" s="152"/>
    </row>
    <row r="310">
      <c r="C310" s="152"/>
    </row>
    <row r="311">
      <c r="C311" s="152"/>
    </row>
    <row r="312">
      <c r="C312" s="152"/>
    </row>
    <row r="313">
      <c r="C313" s="152"/>
    </row>
    <row r="314">
      <c r="C314" s="152"/>
    </row>
    <row r="315">
      <c r="C315" s="152"/>
    </row>
    <row r="316">
      <c r="C316" s="152"/>
    </row>
    <row r="317">
      <c r="C317" s="152"/>
    </row>
    <row r="318">
      <c r="C318" s="152"/>
    </row>
    <row r="319">
      <c r="C319" s="152"/>
    </row>
    <row r="320">
      <c r="C320" s="152"/>
    </row>
    <row r="321">
      <c r="C321" s="152"/>
    </row>
    <row r="322">
      <c r="C322" s="152"/>
    </row>
    <row r="323">
      <c r="C323" s="152"/>
    </row>
    <row r="324">
      <c r="C324" s="152"/>
    </row>
    <row r="325">
      <c r="C325" s="152"/>
    </row>
    <row r="326">
      <c r="C326" s="152"/>
    </row>
    <row r="327">
      <c r="C327" s="152"/>
    </row>
    <row r="328">
      <c r="C328" s="152"/>
    </row>
    <row r="329">
      <c r="C329" s="152"/>
    </row>
    <row r="330">
      <c r="C330" s="152"/>
    </row>
    <row r="331">
      <c r="C331" s="152"/>
    </row>
    <row r="332">
      <c r="C332" s="152"/>
    </row>
    <row r="333">
      <c r="C333" s="152"/>
    </row>
    <row r="334">
      <c r="C334" s="152"/>
    </row>
    <row r="335">
      <c r="C335" s="152"/>
    </row>
    <row r="336">
      <c r="C336" s="152"/>
    </row>
    <row r="337">
      <c r="C337" s="152"/>
    </row>
    <row r="338">
      <c r="C338" s="152"/>
    </row>
    <row r="339">
      <c r="C339" s="152"/>
    </row>
    <row r="340">
      <c r="C340" s="152"/>
    </row>
    <row r="341">
      <c r="C341" s="152"/>
    </row>
    <row r="342">
      <c r="C342" s="152"/>
    </row>
    <row r="343">
      <c r="C343" s="152"/>
    </row>
    <row r="344">
      <c r="C344" s="152"/>
    </row>
    <row r="345">
      <c r="C345" s="152"/>
    </row>
    <row r="346">
      <c r="C346" s="152"/>
    </row>
    <row r="347">
      <c r="C347" s="152"/>
    </row>
    <row r="348">
      <c r="C348" s="152"/>
    </row>
    <row r="349">
      <c r="C349" s="152"/>
    </row>
    <row r="350">
      <c r="C350" s="152"/>
    </row>
    <row r="351">
      <c r="C351" s="152"/>
    </row>
    <row r="352">
      <c r="C352" s="152"/>
    </row>
    <row r="353">
      <c r="C353" s="152"/>
    </row>
    <row r="354">
      <c r="C354" s="152"/>
    </row>
    <row r="355">
      <c r="C355" s="152"/>
    </row>
    <row r="356">
      <c r="C356" s="152"/>
    </row>
    <row r="357">
      <c r="C357" s="152"/>
    </row>
    <row r="358">
      <c r="C358" s="152"/>
    </row>
    <row r="359">
      <c r="C359" s="152"/>
    </row>
    <row r="360">
      <c r="C360" s="152"/>
    </row>
    <row r="361">
      <c r="C361" s="152"/>
    </row>
    <row r="362">
      <c r="C362" s="152"/>
    </row>
    <row r="363">
      <c r="C363" s="152"/>
    </row>
    <row r="364">
      <c r="C364" s="152"/>
    </row>
    <row r="365">
      <c r="C365" s="152"/>
    </row>
    <row r="366">
      <c r="C366" s="152"/>
    </row>
    <row r="367">
      <c r="C367" s="152"/>
    </row>
    <row r="368">
      <c r="C368" s="152"/>
    </row>
    <row r="369">
      <c r="C369" s="152"/>
    </row>
    <row r="370">
      <c r="C370" s="152"/>
    </row>
    <row r="371">
      <c r="C371" s="152"/>
    </row>
    <row r="372">
      <c r="C372" s="152"/>
    </row>
    <row r="373">
      <c r="C373" s="152"/>
    </row>
    <row r="374">
      <c r="C374" s="152"/>
    </row>
    <row r="375">
      <c r="C375" s="152"/>
    </row>
    <row r="376">
      <c r="C376" s="152"/>
    </row>
    <row r="377">
      <c r="C377" s="152"/>
    </row>
    <row r="378">
      <c r="C378" s="152"/>
    </row>
    <row r="379">
      <c r="C379" s="152"/>
    </row>
    <row r="380">
      <c r="C380" s="152"/>
    </row>
    <row r="381">
      <c r="C381" s="152"/>
    </row>
    <row r="382">
      <c r="C382" s="152"/>
    </row>
    <row r="383">
      <c r="C383" s="152"/>
    </row>
    <row r="384">
      <c r="C384" s="152"/>
    </row>
    <row r="385">
      <c r="C385" s="152"/>
    </row>
    <row r="386">
      <c r="C386" s="152"/>
    </row>
    <row r="387">
      <c r="C387" s="152"/>
    </row>
    <row r="388">
      <c r="C388" s="152"/>
    </row>
    <row r="389">
      <c r="C389" s="152"/>
    </row>
    <row r="390">
      <c r="C390" s="152"/>
    </row>
    <row r="391">
      <c r="C391" s="152"/>
    </row>
    <row r="392">
      <c r="C392" s="152"/>
    </row>
    <row r="393">
      <c r="C393" s="152"/>
    </row>
    <row r="394">
      <c r="C394" s="152"/>
    </row>
    <row r="395">
      <c r="C395" s="152"/>
    </row>
    <row r="396">
      <c r="C396" s="152"/>
    </row>
    <row r="397">
      <c r="C397" s="152"/>
    </row>
    <row r="398">
      <c r="C398" s="152"/>
    </row>
    <row r="399">
      <c r="C399" s="152"/>
    </row>
    <row r="400">
      <c r="C400" s="152"/>
    </row>
    <row r="401">
      <c r="C401" s="152"/>
    </row>
    <row r="402">
      <c r="C402" s="152"/>
    </row>
    <row r="403">
      <c r="C403" s="152"/>
    </row>
    <row r="404">
      <c r="C404" s="152"/>
    </row>
    <row r="405">
      <c r="C405" s="152"/>
    </row>
    <row r="406">
      <c r="C406" s="152"/>
    </row>
    <row r="407">
      <c r="C407" s="152"/>
    </row>
    <row r="408">
      <c r="C408" s="152"/>
    </row>
    <row r="409">
      <c r="C409" s="152"/>
    </row>
    <row r="410">
      <c r="C410" s="152"/>
    </row>
    <row r="411">
      <c r="C411" s="152"/>
    </row>
    <row r="412">
      <c r="C412" s="152"/>
    </row>
    <row r="413">
      <c r="C413" s="152"/>
    </row>
    <row r="414">
      <c r="C414" s="152"/>
    </row>
    <row r="415">
      <c r="C415" s="152"/>
    </row>
    <row r="416">
      <c r="C416" s="152"/>
    </row>
    <row r="417">
      <c r="C417" s="152"/>
    </row>
    <row r="418">
      <c r="C418" s="152"/>
    </row>
    <row r="419">
      <c r="C419" s="152"/>
    </row>
    <row r="420">
      <c r="C420" s="152"/>
    </row>
    <row r="421">
      <c r="C421" s="152"/>
    </row>
    <row r="422">
      <c r="C422" s="152"/>
    </row>
    <row r="423">
      <c r="C423" s="152"/>
    </row>
    <row r="424">
      <c r="C424" s="152"/>
    </row>
    <row r="425">
      <c r="C425" s="152"/>
    </row>
    <row r="426">
      <c r="C426" s="152"/>
    </row>
    <row r="427">
      <c r="C427" s="152"/>
    </row>
    <row r="428">
      <c r="C428" s="152"/>
    </row>
    <row r="429">
      <c r="C429" s="152"/>
    </row>
    <row r="430">
      <c r="C430" s="152"/>
    </row>
    <row r="431">
      <c r="C431" s="152"/>
    </row>
    <row r="432">
      <c r="C432" s="152"/>
    </row>
    <row r="433">
      <c r="C433" s="152"/>
    </row>
    <row r="434">
      <c r="C434" s="152"/>
    </row>
    <row r="435">
      <c r="C435" s="152"/>
    </row>
    <row r="436">
      <c r="C436" s="152"/>
    </row>
    <row r="437">
      <c r="C437" s="152"/>
    </row>
    <row r="438">
      <c r="C438" s="152"/>
    </row>
    <row r="439">
      <c r="C439" s="152"/>
    </row>
    <row r="440">
      <c r="C440" s="152"/>
    </row>
    <row r="441">
      <c r="C441" s="152"/>
    </row>
    <row r="442">
      <c r="C442" s="152"/>
    </row>
    <row r="443">
      <c r="C443" s="152"/>
    </row>
    <row r="444">
      <c r="C444" s="152"/>
    </row>
    <row r="445">
      <c r="C445" s="152"/>
    </row>
    <row r="446">
      <c r="C446" s="152"/>
    </row>
    <row r="447">
      <c r="C447" s="152"/>
    </row>
    <row r="448">
      <c r="C448" s="152"/>
    </row>
    <row r="449">
      <c r="C449" s="152"/>
    </row>
    <row r="450">
      <c r="C450" s="152"/>
    </row>
    <row r="451">
      <c r="C451" s="152"/>
    </row>
    <row r="452">
      <c r="C452" s="152"/>
    </row>
    <row r="453">
      <c r="C453" s="152"/>
    </row>
    <row r="454">
      <c r="C454" s="152"/>
    </row>
    <row r="455">
      <c r="C455" s="152"/>
    </row>
    <row r="456">
      <c r="C456" s="152"/>
    </row>
    <row r="457">
      <c r="C457" s="152"/>
    </row>
    <row r="458">
      <c r="C458" s="152"/>
    </row>
    <row r="459">
      <c r="C459" s="152"/>
    </row>
    <row r="460">
      <c r="C460" s="152"/>
    </row>
    <row r="461">
      <c r="C461" s="152"/>
    </row>
    <row r="462">
      <c r="C462" s="152"/>
    </row>
    <row r="463">
      <c r="C463" s="152"/>
    </row>
    <row r="464">
      <c r="C464" s="152"/>
    </row>
    <row r="465">
      <c r="C465" s="152"/>
    </row>
    <row r="466">
      <c r="C466" s="152"/>
    </row>
    <row r="467">
      <c r="C467" s="152"/>
    </row>
    <row r="468">
      <c r="C468" s="152"/>
    </row>
    <row r="469">
      <c r="C469" s="152"/>
    </row>
    <row r="470">
      <c r="C470" s="152"/>
    </row>
    <row r="471">
      <c r="C471" s="152"/>
    </row>
    <row r="472">
      <c r="C472" s="152"/>
    </row>
    <row r="473">
      <c r="C473" s="152"/>
    </row>
    <row r="474">
      <c r="C474" s="152"/>
    </row>
    <row r="475">
      <c r="C475" s="152"/>
    </row>
    <row r="476">
      <c r="C476" s="152"/>
    </row>
    <row r="477">
      <c r="C477" s="152"/>
    </row>
    <row r="478">
      <c r="C478" s="152"/>
    </row>
    <row r="479">
      <c r="C479" s="152"/>
    </row>
    <row r="480">
      <c r="C480" s="152"/>
    </row>
    <row r="481">
      <c r="C481" s="152"/>
    </row>
    <row r="482">
      <c r="C482" s="152"/>
    </row>
    <row r="483">
      <c r="C483" s="152"/>
    </row>
    <row r="484">
      <c r="C484" s="152"/>
    </row>
    <row r="485">
      <c r="C485" s="152"/>
    </row>
    <row r="486">
      <c r="C486" s="152"/>
    </row>
    <row r="487">
      <c r="C487" s="152"/>
    </row>
    <row r="488">
      <c r="C488" s="152"/>
    </row>
    <row r="489">
      <c r="C489" s="152"/>
    </row>
    <row r="490">
      <c r="C490" s="152"/>
    </row>
    <row r="491">
      <c r="C491" s="152"/>
    </row>
    <row r="492">
      <c r="C492" s="152"/>
    </row>
    <row r="493">
      <c r="C493" s="152"/>
    </row>
    <row r="494">
      <c r="C494" s="152"/>
    </row>
    <row r="495">
      <c r="C495" s="152"/>
    </row>
    <row r="496">
      <c r="C496" s="152"/>
    </row>
    <row r="497">
      <c r="C497" s="152"/>
    </row>
    <row r="498">
      <c r="C498" s="152"/>
    </row>
    <row r="499">
      <c r="C499" s="152"/>
    </row>
    <row r="500">
      <c r="C500" s="152"/>
    </row>
    <row r="501">
      <c r="C501" s="152"/>
    </row>
    <row r="502">
      <c r="C502" s="152"/>
    </row>
    <row r="503">
      <c r="C503" s="152"/>
    </row>
    <row r="504">
      <c r="C504" s="152"/>
    </row>
    <row r="505">
      <c r="C505" s="152"/>
    </row>
    <row r="506">
      <c r="C506" s="152"/>
    </row>
    <row r="507">
      <c r="C507" s="152"/>
    </row>
    <row r="508">
      <c r="C508" s="152"/>
    </row>
    <row r="509">
      <c r="C509" s="152"/>
    </row>
    <row r="510">
      <c r="C510" s="152"/>
    </row>
    <row r="511">
      <c r="C511" s="152"/>
    </row>
    <row r="512">
      <c r="C512" s="152"/>
    </row>
    <row r="513">
      <c r="C513" s="152"/>
    </row>
    <row r="514">
      <c r="C514" s="152"/>
    </row>
    <row r="515">
      <c r="C515" s="152"/>
    </row>
    <row r="516">
      <c r="C516" s="152"/>
    </row>
    <row r="517">
      <c r="C517" s="152"/>
    </row>
    <row r="518">
      <c r="C518" s="152"/>
    </row>
    <row r="519">
      <c r="C519" s="152"/>
    </row>
    <row r="520">
      <c r="C520" s="152"/>
    </row>
    <row r="521">
      <c r="C521" s="152"/>
    </row>
    <row r="522">
      <c r="C522" s="152"/>
    </row>
    <row r="523">
      <c r="C523" s="152"/>
    </row>
    <row r="524">
      <c r="C524" s="152"/>
    </row>
    <row r="525">
      <c r="C525" s="152"/>
    </row>
    <row r="526">
      <c r="C526" s="152"/>
    </row>
    <row r="527">
      <c r="C527" s="152"/>
    </row>
    <row r="528">
      <c r="C528" s="152"/>
    </row>
    <row r="529">
      <c r="C529" s="152"/>
    </row>
    <row r="530">
      <c r="C530" s="152"/>
    </row>
    <row r="531">
      <c r="C531" s="152"/>
    </row>
    <row r="532">
      <c r="C532" s="152"/>
    </row>
    <row r="533">
      <c r="C533" s="152"/>
    </row>
    <row r="534">
      <c r="C534" s="152"/>
    </row>
    <row r="535">
      <c r="C535" s="152"/>
    </row>
    <row r="536">
      <c r="C536" s="152"/>
    </row>
    <row r="537">
      <c r="C537" s="152"/>
    </row>
    <row r="538">
      <c r="C538" s="152"/>
    </row>
    <row r="539">
      <c r="C539" s="152"/>
    </row>
    <row r="540">
      <c r="C540" s="152"/>
    </row>
    <row r="541">
      <c r="C541" s="152"/>
    </row>
    <row r="542">
      <c r="C542" s="152"/>
    </row>
    <row r="543">
      <c r="C543" s="152"/>
    </row>
    <row r="544">
      <c r="C544" s="152"/>
    </row>
    <row r="545">
      <c r="C545" s="152"/>
    </row>
    <row r="546">
      <c r="C546" s="152"/>
    </row>
    <row r="547">
      <c r="C547" s="152"/>
    </row>
    <row r="548">
      <c r="C548" s="152"/>
    </row>
    <row r="549">
      <c r="C549" s="152"/>
    </row>
    <row r="550">
      <c r="C550" s="152"/>
    </row>
    <row r="551">
      <c r="C551" s="152"/>
    </row>
    <row r="552">
      <c r="C552" s="152"/>
    </row>
    <row r="553">
      <c r="C553" s="152"/>
    </row>
    <row r="554">
      <c r="C554" s="152"/>
    </row>
    <row r="555">
      <c r="C555" s="152"/>
    </row>
    <row r="556">
      <c r="C556" s="152"/>
    </row>
    <row r="557">
      <c r="C557" s="152"/>
    </row>
    <row r="558">
      <c r="C558" s="152"/>
    </row>
    <row r="559">
      <c r="C559" s="152"/>
    </row>
    <row r="560">
      <c r="C560" s="152"/>
    </row>
    <row r="561">
      <c r="C561" s="152"/>
    </row>
    <row r="562">
      <c r="C562" s="152"/>
    </row>
    <row r="563">
      <c r="C563" s="152"/>
    </row>
    <row r="564">
      <c r="C564" s="152"/>
    </row>
    <row r="565">
      <c r="C565" s="152"/>
    </row>
    <row r="566">
      <c r="C566" s="152"/>
    </row>
    <row r="567">
      <c r="C567" s="152"/>
    </row>
    <row r="568">
      <c r="C568" s="152"/>
    </row>
    <row r="569">
      <c r="C569" s="152"/>
    </row>
    <row r="570">
      <c r="C570" s="152"/>
    </row>
    <row r="571">
      <c r="C571" s="152"/>
    </row>
    <row r="572">
      <c r="C572" s="152"/>
    </row>
    <row r="573">
      <c r="C573" s="152"/>
    </row>
    <row r="574">
      <c r="C574" s="152"/>
    </row>
    <row r="575">
      <c r="C575" s="152"/>
    </row>
    <row r="576">
      <c r="C576" s="152"/>
    </row>
    <row r="577">
      <c r="C577" s="152"/>
    </row>
    <row r="578">
      <c r="C578" s="152"/>
    </row>
    <row r="579">
      <c r="C579" s="152"/>
    </row>
    <row r="580">
      <c r="C580" s="152"/>
    </row>
    <row r="581">
      <c r="C581" s="152"/>
    </row>
    <row r="582">
      <c r="C582" s="152"/>
    </row>
    <row r="583">
      <c r="C583" s="152"/>
    </row>
    <row r="584">
      <c r="C584" s="152"/>
    </row>
    <row r="585">
      <c r="C585" s="152"/>
    </row>
    <row r="586">
      <c r="C586" s="152"/>
    </row>
    <row r="587">
      <c r="C587" s="152"/>
    </row>
    <row r="588">
      <c r="C588" s="152"/>
    </row>
    <row r="589">
      <c r="C589" s="152"/>
    </row>
    <row r="590">
      <c r="C590" s="152"/>
    </row>
    <row r="591">
      <c r="C591" s="152"/>
    </row>
    <row r="592">
      <c r="C592" s="152"/>
    </row>
    <row r="593">
      <c r="C593" s="152"/>
    </row>
    <row r="594">
      <c r="C594" s="152"/>
    </row>
    <row r="595">
      <c r="C595" s="152"/>
    </row>
    <row r="596">
      <c r="C596" s="152"/>
    </row>
    <row r="597">
      <c r="C597" s="152"/>
    </row>
    <row r="598">
      <c r="C598" s="152"/>
    </row>
    <row r="599">
      <c r="C599" s="152"/>
    </row>
    <row r="600">
      <c r="C600" s="152"/>
    </row>
    <row r="601">
      <c r="C601" s="152"/>
    </row>
    <row r="602">
      <c r="C602" s="152"/>
    </row>
    <row r="603">
      <c r="C603" s="152"/>
    </row>
    <row r="604">
      <c r="C604" s="152"/>
    </row>
    <row r="605">
      <c r="C605" s="152"/>
    </row>
    <row r="606">
      <c r="C606" s="152"/>
    </row>
    <row r="607">
      <c r="C607" s="152"/>
    </row>
    <row r="608">
      <c r="C608" s="152"/>
    </row>
    <row r="609">
      <c r="C609" s="152"/>
    </row>
    <row r="610">
      <c r="C610" s="152"/>
    </row>
    <row r="611">
      <c r="C611" s="152"/>
    </row>
    <row r="612">
      <c r="C612" s="152"/>
    </row>
    <row r="613">
      <c r="C613" s="152"/>
    </row>
    <row r="614">
      <c r="C614" s="152"/>
    </row>
    <row r="615">
      <c r="C615" s="152"/>
    </row>
    <row r="616">
      <c r="C616" s="152"/>
    </row>
    <row r="617">
      <c r="C617" s="152"/>
    </row>
    <row r="618">
      <c r="C618" s="152"/>
    </row>
    <row r="619">
      <c r="C619" s="152"/>
    </row>
    <row r="620">
      <c r="C620" s="152"/>
    </row>
    <row r="621">
      <c r="C621" s="152"/>
    </row>
    <row r="622">
      <c r="C622" s="152"/>
    </row>
    <row r="623">
      <c r="C623" s="152"/>
    </row>
    <row r="624">
      <c r="C624" s="152"/>
    </row>
    <row r="625">
      <c r="C625" s="152"/>
    </row>
    <row r="626">
      <c r="C626" s="152"/>
    </row>
    <row r="627">
      <c r="C627" s="152"/>
    </row>
    <row r="628">
      <c r="C628" s="152"/>
    </row>
    <row r="629">
      <c r="C629" s="152"/>
    </row>
    <row r="630">
      <c r="C630" s="152"/>
    </row>
    <row r="631">
      <c r="C631" s="152"/>
    </row>
    <row r="632">
      <c r="C632" s="152"/>
    </row>
    <row r="633">
      <c r="C633" s="152"/>
    </row>
    <row r="634">
      <c r="C634" s="152"/>
    </row>
    <row r="635">
      <c r="C635" s="152"/>
    </row>
    <row r="636">
      <c r="C636" s="152"/>
    </row>
    <row r="637">
      <c r="C637" s="152"/>
    </row>
    <row r="638">
      <c r="C638" s="152"/>
    </row>
    <row r="639">
      <c r="C639" s="152"/>
    </row>
    <row r="640">
      <c r="C640" s="152"/>
    </row>
    <row r="641">
      <c r="C641" s="152"/>
    </row>
    <row r="642">
      <c r="C642" s="152"/>
    </row>
    <row r="643">
      <c r="C643" s="152"/>
    </row>
    <row r="644">
      <c r="C644" s="152"/>
    </row>
    <row r="645">
      <c r="C645" s="152"/>
    </row>
    <row r="646">
      <c r="C646" s="152"/>
    </row>
    <row r="647">
      <c r="C647" s="152"/>
    </row>
    <row r="648">
      <c r="C648" s="152"/>
    </row>
    <row r="649">
      <c r="C649" s="152"/>
    </row>
    <row r="650">
      <c r="C650" s="152"/>
    </row>
    <row r="651">
      <c r="C651" s="152"/>
    </row>
    <row r="652">
      <c r="C652" s="152"/>
    </row>
    <row r="653">
      <c r="C653" s="152"/>
    </row>
    <row r="654">
      <c r="C654" s="152"/>
    </row>
    <row r="655">
      <c r="C655" s="152"/>
    </row>
    <row r="656">
      <c r="C656" s="152"/>
    </row>
    <row r="657">
      <c r="C657" s="152"/>
    </row>
    <row r="658">
      <c r="C658" s="152"/>
    </row>
    <row r="659">
      <c r="C659" s="152"/>
    </row>
    <row r="660">
      <c r="C660" s="152"/>
    </row>
    <row r="661">
      <c r="C661" s="152"/>
    </row>
    <row r="662">
      <c r="C662" s="152"/>
    </row>
    <row r="663">
      <c r="C663" s="152"/>
    </row>
    <row r="664">
      <c r="C664" s="152"/>
    </row>
    <row r="665">
      <c r="C665" s="152"/>
    </row>
    <row r="666">
      <c r="C666" s="152"/>
    </row>
    <row r="667">
      <c r="C667" s="152"/>
    </row>
    <row r="668">
      <c r="C668" s="152"/>
    </row>
    <row r="669">
      <c r="C669" s="152"/>
    </row>
    <row r="670">
      <c r="C670" s="152"/>
    </row>
    <row r="671">
      <c r="C671" s="152"/>
    </row>
    <row r="672">
      <c r="C672" s="152"/>
    </row>
    <row r="673">
      <c r="C673" s="152"/>
    </row>
    <row r="674">
      <c r="C674" s="152"/>
    </row>
    <row r="675">
      <c r="C675" s="152"/>
    </row>
    <row r="676">
      <c r="C676" s="152"/>
    </row>
    <row r="677">
      <c r="C677" s="152"/>
    </row>
    <row r="678">
      <c r="C678" s="152"/>
    </row>
    <row r="679">
      <c r="C679" s="152"/>
    </row>
    <row r="680">
      <c r="C680" s="152"/>
    </row>
    <row r="681">
      <c r="C681" s="152"/>
    </row>
    <row r="682">
      <c r="C682" s="152"/>
    </row>
    <row r="683">
      <c r="C683" s="152"/>
    </row>
    <row r="684">
      <c r="C684" s="152"/>
    </row>
    <row r="685">
      <c r="C685" s="152"/>
    </row>
    <row r="686">
      <c r="C686" s="152"/>
    </row>
    <row r="687">
      <c r="C687" s="152"/>
    </row>
    <row r="688">
      <c r="C688" s="152"/>
    </row>
    <row r="689">
      <c r="C689" s="152"/>
    </row>
    <row r="690">
      <c r="C690" s="152"/>
    </row>
    <row r="691">
      <c r="C691" s="152"/>
    </row>
    <row r="692">
      <c r="C692" s="152"/>
    </row>
    <row r="693">
      <c r="C693" s="152"/>
    </row>
    <row r="694">
      <c r="C694" s="152"/>
    </row>
    <row r="695">
      <c r="C695" s="152"/>
    </row>
    <row r="696">
      <c r="C696" s="152"/>
    </row>
    <row r="697">
      <c r="C697" s="152"/>
    </row>
    <row r="698">
      <c r="C698" s="152"/>
    </row>
    <row r="699">
      <c r="C699" s="152"/>
    </row>
    <row r="700">
      <c r="C700" s="152"/>
    </row>
    <row r="701">
      <c r="C701" s="152"/>
    </row>
    <row r="702">
      <c r="C702" s="152"/>
    </row>
    <row r="703">
      <c r="C703" s="152"/>
    </row>
    <row r="704">
      <c r="C704" s="152"/>
    </row>
    <row r="705">
      <c r="C705" s="152"/>
    </row>
    <row r="706">
      <c r="C706" s="152"/>
    </row>
    <row r="707">
      <c r="C707" s="152"/>
    </row>
    <row r="708">
      <c r="C708" s="152"/>
    </row>
    <row r="709">
      <c r="C709" s="152"/>
    </row>
    <row r="710">
      <c r="C710" s="152"/>
    </row>
    <row r="711">
      <c r="C711" s="152"/>
    </row>
    <row r="712">
      <c r="C712" s="152"/>
    </row>
    <row r="713">
      <c r="C713" s="152"/>
    </row>
    <row r="714">
      <c r="C714" s="152"/>
    </row>
    <row r="715">
      <c r="C715" s="152"/>
    </row>
    <row r="716">
      <c r="C716" s="152"/>
    </row>
    <row r="717">
      <c r="C717" s="152"/>
    </row>
    <row r="718">
      <c r="C718" s="152"/>
    </row>
    <row r="719">
      <c r="C719" s="152"/>
    </row>
    <row r="720">
      <c r="C720" s="152"/>
    </row>
    <row r="721">
      <c r="C721" s="152"/>
    </row>
    <row r="722">
      <c r="C722" s="152"/>
    </row>
    <row r="723">
      <c r="C723" s="152"/>
    </row>
    <row r="724">
      <c r="C724" s="152"/>
    </row>
    <row r="725">
      <c r="C725" s="152"/>
    </row>
    <row r="726">
      <c r="C726" s="152"/>
    </row>
    <row r="727">
      <c r="C727" s="152"/>
    </row>
    <row r="728">
      <c r="C728" s="152"/>
    </row>
    <row r="729">
      <c r="C729" s="152"/>
    </row>
    <row r="730">
      <c r="C730" s="152"/>
    </row>
    <row r="731">
      <c r="C731" s="152"/>
    </row>
    <row r="732">
      <c r="C732" s="152"/>
    </row>
    <row r="733">
      <c r="C733" s="152"/>
    </row>
    <row r="734">
      <c r="C734" s="152"/>
    </row>
    <row r="735">
      <c r="C735" s="152"/>
    </row>
    <row r="736">
      <c r="C736" s="152"/>
    </row>
    <row r="737">
      <c r="C737" s="152"/>
    </row>
    <row r="738">
      <c r="C738" s="152"/>
    </row>
    <row r="739">
      <c r="C739" s="152"/>
    </row>
    <row r="740">
      <c r="C740" s="152"/>
    </row>
    <row r="741">
      <c r="C741" s="152"/>
    </row>
    <row r="742">
      <c r="C742" s="152"/>
    </row>
    <row r="743">
      <c r="C743" s="152"/>
    </row>
    <row r="744">
      <c r="C744" s="152"/>
    </row>
    <row r="745">
      <c r="C745" s="152"/>
    </row>
    <row r="746">
      <c r="C746" s="152"/>
    </row>
    <row r="747">
      <c r="C747" s="152"/>
    </row>
    <row r="748">
      <c r="C748" s="152"/>
    </row>
    <row r="749">
      <c r="C749" s="152"/>
    </row>
    <row r="750">
      <c r="C750" s="152"/>
    </row>
    <row r="751">
      <c r="C751" s="152"/>
    </row>
    <row r="752">
      <c r="C752" s="152"/>
    </row>
    <row r="753">
      <c r="C753" s="152"/>
    </row>
    <row r="754">
      <c r="C754" s="152"/>
    </row>
    <row r="755">
      <c r="C755" s="152"/>
    </row>
    <row r="756">
      <c r="C756" s="152"/>
    </row>
    <row r="757">
      <c r="C757" s="152"/>
    </row>
    <row r="758">
      <c r="C758" s="152"/>
    </row>
    <row r="759">
      <c r="C759" s="152"/>
    </row>
    <row r="760">
      <c r="C760" s="152"/>
    </row>
    <row r="761">
      <c r="C761" s="152"/>
    </row>
    <row r="762">
      <c r="C762" s="152"/>
    </row>
    <row r="763">
      <c r="C763" s="152"/>
    </row>
    <row r="764">
      <c r="C764" s="152"/>
    </row>
    <row r="765">
      <c r="C765" s="152"/>
    </row>
    <row r="766">
      <c r="C766" s="152"/>
    </row>
    <row r="767">
      <c r="C767" s="152"/>
    </row>
    <row r="768">
      <c r="C768" s="152"/>
    </row>
    <row r="769">
      <c r="C769" s="152"/>
    </row>
    <row r="770">
      <c r="C770" s="152"/>
    </row>
    <row r="771">
      <c r="C771" s="152"/>
    </row>
    <row r="772">
      <c r="C772" s="152"/>
    </row>
    <row r="773">
      <c r="C773" s="152"/>
    </row>
    <row r="774">
      <c r="C774" s="152"/>
    </row>
    <row r="775">
      <c r="C775" s="152"/>
    </row>
    <row r="776">
      <c r="C776" s="152"/>
    </row>
    <row r="777">
      <c r="C777" s="152"/>
    </row>
    <row r="778">
      <c r="C778" s="152"/>
    </row>
    <row r="779">
      <c r="C779" s="152"/>
    </row>
    <row r="780">
      <c r="C780" s="152"/>
    </row>
    <row r="781">
      <c r="C781" s="152"/>
    </row>
    <row r="782">
      <c r="C782" s="152"/>
    </row>
    <row r="783">
      <c r="C783" s="152"/>
    </row>
    <row r="784">
      <c r="C784" s="152"/>
    </row>
    <row r="785">
      <c r="C785" s="152"/>
    </row>
    <row r="786">
      <c r="C786" s="152"/>
    </row>
    <row r="787">
      <c r="C787" s="152"/>
    </row>
    <row r="788">
      <c r="C788" s="152"/>
    </row>
    <row r="789">
      <c r="C789" s="152"/>
    </row>
    <row r="790">
      <c r="C790" s="152"/>
    </row>
    <row r="791">
      <c r="C791" s="152"/>
    </row>
    <row r="792">
      <c r="C792" s="152"/>
    </row>
    <row r="793">
      <c r="C793" s="152"/>
    </row>
    <row r="794">
      <c r="C794" s="152"/>
    </row>
    <row r="795">
      <c r="C795" s="152"/>
    </row>
    <row r="796">
      <c r="C796" s="152"/>
    </row>
    <row r="797">
      <c r="C797" s="152"/>
    </row>
    <row r="798">
      <c r="C798" s="152"/>
    </row>
    <row r="799">
      <c r="C799" s="152"/>
    </row>
    <row r="800">
      <c r="C800" s="152"/>
    </row>
    <row r="801">
      <c r="C801" s="152"/>
    </row>
    <row r="802">
      <c r="C802" s="152"/>
    </row>
    <row r="803">
      <c r="C803" s="152"/>
    </row>
    <row r="804">
      <c r="C804" s="152"/>
    </row>
    <row r="805">
      <c r="C805" s="152"/>
    </row>
    <row r="806">
      <c r="C806" s="152"/>
    </row>
    <row r="807">
      <c r="C807" s="152"/>
    </row>
    <row r="808">
      <c r="C808" s="152"/>
    </row>
    <row r="809">
      <c r="C809" s="152"/>
    </row>
    <row r="810">
      <c r="C810" s="152"/>
    </row>
    <row r="811">
      <c r="C811" s="152"/>
    </row>
    <row r="812">
      <c r="C812" s="152"/>
    </row>
    <row r="813">
      <c r="C813" s="152"/>
    </row>
    <row r="814">
      <c r="C814" s="152"/>
    </row>
    <row r="815">
      <c r="C815" s="152"/>
    </row>
    <row r="816">
      <c r="C816" s="152"/>
    </row>
    <row r="817">
      <c r="C817" s="152"/>
    </row>
    <row r="818">
      <c r="C818" s="152"/>
    </row>
    <row r="819">
      <c r="C819" s="152"/>
    </row>
    <row r="820">
      <c r="C820" s="152"/>
    </row>
    <row r="821">
      <c r="C821" s="152"/>
    </row>
    <row r="822">
      <c r="C822" s="152"/>
    </row>
    <row r="823">
      <c r="C823" s="152"/>
    </row>
    <row r="824">
      <c r="C824" s="152"/>
    </row>
    <row r="825">
      <c r="C825" s="152"/>
    </row>
    <row r="826">
      <c r="C826" s="152"/>
    </row>
    <row r="827">
      <c r="C827" s="152"/>
    </row>
    <row r="828">
      <c r="C828" s="152"/>
    </row>
    <row r="829">
      <c r="C829" s="152"/>
    </row>
    <row r="830">
      <c r="C830" s="152"/>
    </row>
    <row r="831">
      <c r="C831" s="152"/>
    </row>
    <row r="832">
      <c r="C832" s="152"/>
    </row>
    <row r="833">
      <c r="C833" s="152"/>
    </row>
    <row r="834">
      <c r="C834" s="152"/>
    </row>
    <row r="835">
      <c r="C835" s="152"/>
    </row>
    <row r="836">
      <c r="C836" s="152"/>
    </row>
    <row r="837">
      <c r="C837" s="152"/>
    </row>
    <row r="838">
      <c r="C838" s="152"/>
    </row>
    <row r="839">
      <c r="C839" s="152"/>
    </row>
    <row r="840">
      <c r="C840" s="152"/>
    </row>
    <row r="841">
      <c r="C841" s="152"/>
    </row>
    <row r="842">
      <c r="C842" s="152"/>
    </row>
    <row r="843">
      <c r="C843" s="152"/>
    </row>
    <row r="844">
      <c r="C844" s="152"/>
    </row>
    <row r="845">
      <c r="C845" s="152"/>
    </row>
    <row r="846">
      <c r="C846" s="152"/>
    </row>
    <row r="847">
      <c r="C847" s="152"/>
    </row>
    <row r="848">
      <c r="C848" s="152"/>
    </row>
    <row r="849">
      <c r="C849" s="152"/>
    </row>
    <row r="850">
      <c r="C850" s="152"/>
    </row>
    <row r="851">
      <c r="C851" s="152"/>
    </row>
    <row r="852">
      <c r="C852" s="152"/>
    </row>
    <row r="853">
      <c r="C853" s="152"/>
    </row>
    <row r="854">
      <c r="C854" s="152"/>
    </row>
    <row r="855">
      <c r="C855" s="152"/>
    </row>
    <row r="856">
      <c r="C856" s="152"/>
    </row>
    <row r="857">
      <c r="C857" s="152"/>
    </row>
    <row r="858">
      <c r="C858" s="152"/>
    </row>
    <row r="859">
      <c r="C859" s="152"/>
    </row>
    <row r="860">
      <c r="C860" s="152"/>
    </row>
    <row r="861">
      <c r="C861" s="152"/>
    </row>
    <row r="862">
      <c r="C862" s="152"/>
    </row>
    <row r="863">
      <c r="C863" s="152"/>
    </row>
    <row r="864">
      <c r="C864" s="152"/>
    </row>
    <row r="865">
      <c r="C865" s="152"/>
    </row>
    <row r="866">
      <c r="C866" s="152"/>
    </row>
    <row r="867">
      <c r="C867" s="152"/>
    </row>
    <row r="868">
      <c r="C868" s="152"/>
    </row>
    <row r="869">
      <c r="C869" s="152"/>
    </row>
    <row r="870">
      <c r="C870" s="152"/>
    </row>
    <row r="871">
      <c r="C871" s="152"/>
    </row>
    <row r="872">
      <c r="C872" s="152"/>
    </row>
    <row r="873">
      <c r="C873" s="152"/>
    </row>
    <row r="874">
      <c r="C874" s="152"/>
    </row>
    <row r="875">
      <c r="C875" s="152"/>
    </row>
    <row r="876">
      <c r="C876" s="152"/>
    </row>
    <row r="877">
      <c r="C877" s="152"/>
    </row>
    <row r="878">
      <c r="C878" s="152"/>
    </row>
    <row r="879">
      <c r="C879" s="152"/>
    </row>
    <row r="880">
      <c r="C880" s="152"/>
    </row>
    <row r="881">
      <c r="C881" s="152"/>
    </row>
    <row r="882">
      <c r="C882" s="152"/>
    </row>
    <row r="883">
      <c r="C883" s="152"/>
    </row>
    <row r="884">
      <c r="C884" s="152"/>
    </row>
    <row r="885">
      <c r="C885" s="152"/>
    </row>
    <row r="886">
      <c r="C886" s="152"/>
    </row>
    <row r="887">
      <c r="C887" s="152"/>
    </row>
    <row r="888">
      <c r="C888" s="152"/>
    </row>
    <row r="889">
      <c r="C889" s="152"/>
    </row>
    <row r="890">
      <c r="C890" s="152"/>
    </row>
    <row r="891">
      <c r="C891" s="152"/>
    </row>
    <row r="892">
      <c r="C892" s="152"/>
    </row>
    <row r="893">
      <c r="C893" s="152"/>
    </row>
    <row r="894">
      <c r="C894" s="152"/>
    </row>
    <row r="895">
      <c r="C895" s="152"/>
    </row>
    <row r="896">
      <c r="C896" s="152"/>
    </row>
    <row r="897">
      <c r="C897" s="152"/>
    </row>
    <row r="898">
      <c r="C898" s="152"/>
    </row>
    <row r="899">
      <c r="C899" s="152"/>
    </row>
    <row r="900">
      <c r="C900" s="152"/>
    </row>
    <row r="901">
      <c r="C901" s="152"/>
    </row>
    <row r="902">
      <c r="C902" s="152"/>
    </row>
    <row r="903">
      <c r="C903" s="152"/>
    </row>
    <row r="904">
      <c r="C904" s="152"/>
    </row>
    <row r="905">
      <c r="C905" s="152"/>
    </row>
    <row r="906">
      <c r="C906" s="152"/>
    </row>
    <row r="907">
      <c r="C907" s="152"/>
    </row>
    <row r="908">
      <c r="C908" s="152"/>
    </row>
    <row r="909">
      <c r="C909" s="152"/>
    </row>
    <row r="910">
      <c r="C910" s="152"/>
    </row>
    <row r="911">
      <c r="C911" s="152"/>
    </row>
    <row r="912">
      <c r="C912" s="152"/>
    </row>
    <row r="913">
      <c r="C913" s="152"/>
    </row>
    <row r="914">
      <c r="C914" s="152"/>
    </row>
    <row r="915">
      <c r="C915" s="152"/>
    </row>
    <row r="916">
      <c r="C916" s="152"/>
    </row>
    <row r="917">
      <c r="C917" s="152"/>
    </row>
    <row r="918">
      <c r="C918" s="152"/>
    </row>
    <row r="919">
      <c r="C919" s="152"/>
    </row>
    <row r="920">
      <c r="C920" s="152"/>
    </row>
    <row r="921">
      <c r="C921" s="152"/>
    </row>
    <row r="922">
      <c r="C922" s="152"/>
    </row>
    <row r="923">
      <c r="C923" s="152"/>
    </row>
    <row r="924">
      <c r="C924" s="152"/>
    </row>
    <row r="925">
      <c r="C925" s="152"/>
    </row>
    <row r="926">
      <c r="C926" s="152"/>
    </row>
    <row r="927">
      <c r="C927" s="152"/>
    </row>
    <row r="928">
      <c r="C928" s="152"/>
    </row>
    <row r="929">
      <c r="C929" s="152"/>
    </row>
    <row r="930">
      <c r="C930" s="152"/>
    </row>
    <row r="931">
      <c r="C931" s="152"/>
    </row>
    <row r="932">
      <c r="C932" s="152"/>
    </row>
    <row r="933">
      <c r="C933" s="152"/>
    </row>
    <row r="934">
      <c r="C934" s="152"/>
    </row>
    <row r="935">
      <c r="C935" s="152"/>
    </row>
    <row r="936">
      <c r="C936" s="152"/>
    </row>
    <row r="937">
      <c r="C937" s="152"/>
    </row>
    <row r="938">
      <c r="C938" s="152"/>
    </row>
    <row r="939">
      <c r="C939" s="152"/>
    </row>
    <row r="940">
      <c r="C940" s="152"/>
    </row>
    <row r="941">
      <c r="C941" s="152"/>
    </row>
    <row r="942">
      <c r="C942" s="152"/>
    </row>
    <row r="943">
      <c r="C943" s="152"/>
    </row>
    <row r="944">
      <c r="C944" s="152"/>
    </row>
    <row r="945">
      <c r="C945" s="152"/>
    </row>
    <row r="946">
      <c r="C946" s="152"/>
    </row>
    <row r="947">
      <c r="C947" s="152"/>
    </row>
    <row r="948">
      <c r="C948" s="152"/>
    </row>
    <row r="949">
      <c r="C949" s="152"/>
    </row>
    <row r="950">
      <c r="C950" s="152"/>
    </row>
    <row r="951">
      <c r="C951" s="152"/>
    </row>
    <row r="952">
      <c r="C952" s="152"/>
    </row>
    <row r="953">
      <c r="C953" s="152"/>
    </row>
    <row r="954">
      <c r="C954" s="152"/>
    </row>
    <row r="955">
      <c r="C955" s="152"/>
    </row>
    <row r="956">
      <c r="C956" s="152"/>
    </row>
    <row r="957">
      <c r="C957" s="152"/>
    </row>
    <row r="958">
      <c r="C958" s="152"/>
    </row>
    <row r="959">
      <c r="C959" s="152"/>
    </row>
    <row r="960">
      <c r="C960" s="152"/>
    </row>
    <row r="961">
      <c r="C961" s="152"/>
    </row>
    <row r="962">
      <c r="C962" s="152"/>
    </row>
    <row r="963">
      <c r="C963" s="152"/>
    </row>
    <row r="964">
      <c r="C964" s="152"/>
    </row>
    <row r="965">
      <c r="C965" s="152"/>
    </row>
    <row r="966">
      <c r="C966" s="152"/>
    </row>
    <row r="967">
      <c r="C967" s="152"/>
    </row>
    <row r="968">
      <c r="C968" s="152"/>
    </row>
    <row r="969">
      <c r="C969" s="152"/>
    </row>
    <row r="970">
      <c r="C970" s="152"/>
    </row>
    <row r="971">
      <c r="C971" s="152"/>
    </row>
    <row r="972">
      <c r="C972" s="152"/>
    </row>
    <row r="973">
      <c r="C973" s="152"/>
    </row>
    <row r="974">
      <c r="C974" s="152"/>
    </row>
    <row r="975">
      <c r="C975" s="152"/>
    </row>
    <row r="976">
      <c r="C976" s="152"/>
    </row>
    <row r="977">
      <c r="C977" s="152"/>
    </row>
    <row r="978">
      <c r="C978" s="152"/>
    </row>
    <row r="979">
      <c r="C979" s="152"/>
    </row>
    <row r="980">
      <c r="C980" s="152"/>
    </row>
    <row r="981">
      <c r="C981" s="152"/>
    </row>
    <row r="982">
      <c r="C982" s="152"/>
    </row>
    <row r="983">
      <c r="C983" s="152"/>
    </row>
    <row r="984">
      <c r="C984" s="152"/>
    </row>
    <row r="985">
      <c r="C985" s="152"/>
    </row>
    <row r="986">
      <c r="C986" s="152"/>
    </row>
    <row r="987">
      <c r="C987" s="152"/>
    </row>
    <row r="988">
      <c r="C988" s="152"/>
    </row>
    <row r="989">
      <c r="C989" s="152"/>
    </row>
    <row r="990">
      <c r="C990" s="152"/>
    </row>
    <row r="991">
      <c r="C991" s="152"/>
    </row>
    <row r="992">
      <c r="C992" s="152"/>
    </row>
    <row r="993">
      <c r="C993" s="152"/>
    </row>
    <row r="994">
      <c r="C994" s="152"/>
    </row>
    <row r="995">
      <c r="C995" s="152"/>
    </row>
    <row r="996">
      <c r="C996" s="152"/>
    </row>
    <row r="997">
      <c r="C997" s="152"/>
    </row>
    <row r="998">
      <c r="C998" s="152"/>
    </row>
    <row r="999">
      <c r="C999" s="152"/>
    </row>
    <row r="1000">
      <c r="C1000" s="15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9" t="s">
        <v>190</v>
      </c>
      <c r="C1" s="89" t="s">
        <v>191</v>
      </c>
      <c r="D1" s="88" t="s">
        <v>192</v>
      </c>
      <c r="E1" s="89" t="s">
        <v>194</v>
      </c>
      <c r="F1" s="89" t="s">
        <v>195</v>
      </c>
      <c r="G1" s="89" t="s">
        <v>196</v>
      </c>
      <c r="H1" s="89" t="s">
        <v>197</v>
      </c>
    </row>
    <row r="2">
      <c r="A2" s="92" t="s">
        <v>206</v>
      </c>
      <c r="B2" s="95">
        <v>15.0</v>
      </c>
      <c r="C2" s="95">
        <v>0.0</v>
      </c>
      <c r="D2" s="94">
        <v>14.4</v>
      </c>
      <c r="E2" s="95">
        <v>0.0</v>
      </c>
      <c r="F2" s="95">
        <v>0.0</v>
      </c>
      <c r="G2" s="95">
        <v>0.0</v>
      </c>
      <c r="H2" s="95">
        <v>0.0</v>
      </c>
    </row>
    <row r="3">
      <c r="A3" s="92" t="s">
        <v>198</v>
      </c>
      <c r="B3" s="95">
        <v>31.189830508474575</v>
      </c>
      <c r="C3" s="95">
        <v>0.8440677966101695</v>
      </c>
      <c r="D3" s="94">
        <v>12.521739130434783</v>
      </c>
      <c r="E3" s="95">
        <v>8.67</v>
      </c>
      <c r="F3" s="95">
        <v>4.0</v>
      </c>
      <c r="G3" s="95">
        <v>1.3878260869565218</v>
      </c>
      <c r="H3" s="95">
        <v>4.67</v>
      </c>
    </row>
    <row r="4">
      <c r="A4" s="92" t="s">
        <v>199</v>
      </c>
      <c r="B4" s="95">
        <v>30.76923076923077</v>
      </c>
      <c r="C4" s="95">
        <v>1.0256410256410258</v>
      </c>
      <c r="D4" s="94">
        <v>12.0</v>
      </c>
      <c r="E4" s="95">
        <v>4.0</v>
      </c>
      <c r="F4" s="95">
        <v>7.466666666666667</v>
      </c>
      <c r="G4" s="95">
        <v>-1.0666666666666667</v>
      </c>
      <c r="H4" s="95">
        <v>8.0</v>
      </c>
    </row>
    <row r="5">
      <c r="A5" s="92" t="s">
        <v>202</v>
      </c>
      <c r="B5" s="95">
        <v>20.0</v>
      </c>
      <c r="C5" s="95">
        <v>0.0</v>
      </c>
      <c r="D5" s="94">
        <v>12.0</v>
      </c>
      <c r="E5" s="95">
        <v>6.4</v>
      </c>
      <c r="F5" s="95">
        <v>0.0</v>
      </c>
      <c r="G5" s="95">
        <v>0.0</v>
      </c>
      <c r="H5" s="95">
        <v>1.6</v>
      </c>
    </row>
    <row r="6">
      <c r="A6" s="92" t="s">
        <v>264</v>
      </c>
      <c r="B6" s="95">
        <v>8.0</v>
      </c>
      <c r="C6" s="95">
        <v>0.5</v>
      </c>
      <c r="D6" s="94">
        <v>10.0</v>
      </c>
      <c r="E6" s="95">
        <v>0.0</v>
      </c>
      <c r="F6" s="95">
        <v>0.0</v>
      </c>
      <c r="G6" s="95">
        <v>0.0</v>
      </c>
      <c r="H6" s="95">
        <v>0.0</v>
      </c>
    </row>
    <row r="7">
      <c r="A7" s="92" t="s">
        <v>243</v>
      </c>
      <c r="B7" s="95">
        <v>8.88888888888889</v>
      </c>
      <c r="C7" s="95">
        <v>0.40404040404040403</v>
      </c>
      <c r="D7" s="94">
        <v>7.619047619047619</v>
      </c>
      <c r="E7" s="95">
        <v>0.0</v>
      </c>
      <c r="F7" s="95">
        <v>0.0</v>
      </c>
      <c r="G7" s="95">
        <v>0.0</v>
      </c>
      <c r="H7" s="95">
        <v>0.8421052631578947</v>
      </c>
    </row>
    <row r="8">
      <c r="A8" s="92" t="s">
        <v>272</v>
      </c>
      <c r="B8" s="95">
        <v>7.017543859649122</v>
      </c>
      <c r="C8" s="95">
        <v>0.0</v>
      </c>
      <c r="D8" s="94">
        <v>7.2727272727272725</v>
      </c>
      <c r="E8" s="95">
        <v>0.0</v>
      </c>
      <c r="F8" s="95">
        <v>0.0</v>
      </c>
      <c r="G8" s="95">
        <v>0.0</v>
      </c>
      <c r="H8" s="95">
        <v>0.0</v>
      </c>
    </row>
    <row r="9">
      <c r="A9" s="92" t="s">
        <v>220</v>
      </c>
      <c r="B9" s="95">
        <v>11.428571428571427</v>
      </c>
      <c r="C9" s="95">
        <v>0.0</v>
      </c>
      <c r="D9" s="94">
        <v>7.2</v>
      </c>
      <c r="E9" s="95">
        <v>0.0</v>
      </c>
      <c r="F9" s="95">
        <v>0.0</v>
      </c>
      <c r="G9" s="95">
        <v>0.0</v>
      </c>
      <c r="H9" s="95">
        <v>4.705882352941177</v>
      </c>
    </row>
    <row r="10">
      <c r="A10" s="92" t="s">
        <v>253</v>
      </c>
      <c r="B10" s="95">
        <v>8.080808080808081</v>
      </c>
      <c r="C10" s="95">
        <v>0.40404040404040403</v>
      </c>
      <c r="D10" s="94">
        <v>6.4</v>
      </c>
      <c r="E10" s="95">
        <v>-0.7619047619047619</v>
      </c>
      <c r="F10" s="95">
        <v>0.0</v>
      </c>
      <c r="G10" s="95">
        <v>0.0</v>
      </c>
      <c r="H10" s="95">
        <v>2.526315789473684</v>
      </c>
    </row>
    <row r="11">
      <c r="A11" s="92" t="s">
        <v>245</v>
      </c>
      <c r="B11" s="95">
        <v>8.8</v>
      </c>
      <c r="C11" s="95">
        <v>0.8</v>
      </c>
      <c r="D11" s="94">
        <v>6.398</v>
      </c>
      <c r="E11" s="95">
        <v>0.798</v>
      </c>
      <c r="F11" s="95">
        <v>0.8</v>
      </c>
      <c r="G11" s="95">
        <v>0.0</v>
      </c>
      <c r="H11" s="95">
        <v>0.798</v>
      </c>
    </row>
    <row r="12">
      <c r="A12" s="92" t="s">
        <v>221</v>
      </c>
      <c r="B12" s="95">
        <v>11.313131313131313</v>
      </c>
      <c r="C12" s="95">
        <v>0.604040404040404</v>
      </c>
      <c r="D12" s="94">
        <v>5.6</v>
      </c>
      <c r="E12" s="95">
        <v>2.2857142857142856</v>
      </c>
      <c r="F12" s="95">
        <v>0.0</v>
      </c>
      <c r="G12" s="95">
        <v>0.0</v>
      </c>
      <c r="H12" s="95">
        <v>3.3684210526315788</v>
      </c>
    </row>
    <row r="13">
      <c r="A13" s="92" t="s">
        <v>254</v>
      </c>
      <c r="B13" s="95">
        <v>8.080808080808081</v>
      </c>
      <c r="C13" s="95">
        <v>0.40404040404040403</v>
      </c>
      <c r="D13" s="94">
        <v>5.6</v>
      </c>
      <c r="E13" s="95">
        <v>2.526315789473684</v>
      </c>
      <c r="F13" s="95">
        <v>0.0</v>
      </c>
      <c r="G13" s="95">
        <v>0.0</v>
      </c>
      <c r="H13" s="95">
        <v>0.0</v>
      </c>
    </row>
    <row r="14">
      <c r="A14" s="92" t="s">
        <v>211</v>
      </c>
      <c r="B14" s="95">
        <v>12.8</v>
      </c>
      <c r="C14" s="95">
        <v>0.2</v>
      </c>
      <c r="D14" s="94">
        <v>5.6</v>
      </c>
      <c r="E14" s="95">
        <v>2.4</v>
      </c>
      <c r="F14" s="95">
        <v>3.2</v>
      </c>
      <c r="G14" s="95">
        <v>1.6</v>
      </c>
      <c r="H14" s="95">
        <v>0.0</v>
      </c>
    </row>
    <row r="15">
      <c r="A15" s="92" t="s">
        <v>219</v>
      </c>
      <c r="B15" s="95">
        <v>11.625641025641027</v>
      </c>
      <c r="C15" s="95">
        <v>1.0256410256410258</v>
      </c>
      <c r="D15" s="94">
        <v>5.563478260869565</v>
      </c>
      <c r="E15" s="95">
        <v>0.6666666666666666</v>
      </c>
      <c r="F15" s="95">
        <v>2.0016666666666665</v>
      </c>
      <c r="G15" s="95">
        <v>1.3316666666666668</v>
      </c>
      <c r="H15" s="95">
        <v>2.18</v>
      </c>
    </row>
    <row r="16">
      <c r="A16" s="92" t="s">
        <v>308</v>
      </c>
      <c r="B16" s="95">
        <v>4.848484848484849</v>
      </c>
      <c r="C16" s="95">
        <v>0.40404040404040403</v>
      </c>
      <c r="D16" s="94">
        <v>5.333333333333333</v>
      </c>
      <c r="E16" s="95">
        <v>0.0</v>
      </c>
      <c r="F16" s="95">
        <v>-0.8</v>
      </c>
      <c r="G16" s="95">
        <v>0.0</v>
      </c>
      <c r="H16" s="95">
        <v>0.7619047619047619</v>
      </c>
    </row>
    <row r="17">
      <c r="A17" s="92" t="s">
        <v>216</v>
      </c>
      <c r="B17" s="95">
        <v>12.203389830508474</v>
      </c>
      <c r="C17" s="95">
        <v>0.3389830508474576</v>
      </c>
      <c r="D17" s="94">
        <v>5.333333333333333</v>
      </c>
      <c r="E17" s="95">
        <v>2.6666666666666665</v>
      </c>
      <c r="F17" s="95">
        <v>4.363636363636363</v>
      </c>
      <c r="G17" s="95">
        <v>0.0</v>
      </c>
      <c r="H17" s="95">
        <v>0.0</v>
      </c>
    </row>
    <row r="18">
      <c r="A18" s="92" t="s">
        <v>208</v>
      </c>
      <c r="B18" s="95">
        <v>13.061224489795917</v>
      </c>
      <c r="C18" s="95">
        <v>0.4081632653061224</v>
      </c>
      <c r="D18" s="94">
        <v>5.052631578947368</v>
      </c>
      <c r="E18" s="95">
        <v>4.8</v>
      </c>
      <c r="F18" s="95">
        <v>1.6</v>
      </c>
      <c r="G18" s="95">
        <v>0.8421052631578947</v>
      </c>
      <c r="H18" s="95">
        <v>0.8</v>
      </c>
    </row>
    <row r="19">
      <c r="A19" s="92" t="s">
        <v>273</v>
      </c>
      <c r="B19" s="95">
        <v>7.0</v>
      </c>
      <c r="C19" s="95">
        <v>0.0</v>
      </c>
      <c r="D19" s="94">
        <v>4.9975</v>
      </c>
      <c r="E19" s="95">
        <v>0.0</v>
      </c>
      <c r="F19" s="95">
        <v>0.0</v>
      </c>
      <c r="G19" s="95">
        <v>0.0</v>
      </c>
      <c r="H19" s="95">
        <v>2.0025</v>
      </c>
    </row>
    <row r="20">
      <c r="A20" s="92" t="s">
        <v>201</v>
      </c>
      <c r="B20" s="95">
        <v>22.4</v>
      </c>
      <c r="C20" s="95">
        <v>2.2</v>
      </c>
      <c r="D20" s="94">
        <v>4.8</v>
      </c>
      <c r="E20" s="95">
        <v>5.6</v>
      </c>
      <c r="F20" s="95">
        <v>0.0</v>
      </c>
      <c r="G20" s="95">
        <v>3.2</v>
      </c>
      <c r="H20" s="95">
        <v>8.421052631578947</v>
      </c>
    </row>
    <row r="21">
      <c r="A21" s="92" t="s">
        <v>292</v>
      </c>
      <c r="B21" s="95">
        <v>5.614035087719298</v>
      </c>
      <c r="C21" s="95">
        <v>0.3508771929824561</v>
      </c>
      <c r="D21" s="94">
        <v>4.0</v>
      </c>
      <c r="E21" s="95">
        <v>1.3333333333333333</v>
      </c>
      <c r="F21" s="95">
        <v>0.0</v>
      </c>
      <c r="G21" s="95">
        <v>0.0</v>
      </c>
      <c r="H21" s="95">
        <v>0.0</v>
      </c>
    </row>
    <row r="22">
      <c r="A22" s="92" t="s">
        <v>356</v>
      </c>
      <c r="B22" s="95">
        <v>2.711864406779661</v>
      </c>
      <c r="C22" s="95">
        <v>0.3389830508474576</v>
      </c>
      <c r="D22" s="94">
        <v>4.0</v>
      </c>
      <c r="E22" s="95">
        <v>0.0</v>
      </c>
      <c r="F22" s="95">
        <v>0.0</v>
      </c>
      <c r="G22" s="95">
        <v>0.0</v>
      </c>
      <c r="H22" s="95">
        <v>-1.6</v>
      </c>
    </row>
    <row r="23">
      <c r="A23" s="92" t="s">
        <v>306</v>
      </c>
      <c r="B23" s="95">
        <v>5.0</v>
      </c>
      <c r="C23" s="95">
        <v>0.25</v>
      </c>
      <c r="D23" s="94">
        <v>4.0</v>
      </c>
      <c r="E23" s="95">
        <v>0.0</v>
      </c>
      <c r="F23" s="95">
        <v>0.0</v>
      </c>
      <c r="G23" s="95">
        <v>0.0</v>
      </c>
      <c r="H23" s="95">
        <v>1.0</v>
      </c>
    </row>
    <row r="24">
      <c r="A24" s="92" t="s">
        <v>246</v>
      </c>
      <c r="B24" s="95">
        <v>8.421052631578947</v>
      </c>
      <c r="C24" s="95">
        <v>0.0</v>
      </c>
      <c r="D24" s="94">
        <v>4.0</v>
      </c>
      <c r="E24" s="95">
        <v>0.0</v>
      </c>
      <c r="F24" s="95">
        <v>0.0</v>
      </c>
      <c r="G24" s="95">
        <v>0.0</v>
      </c>
      <c r="H24" s="95">
        <v>4.0</v>
      </c>
    </row>
    <row r="25">
      <c r="A25" s="92" t="s">
        <v>315</v>
      </c>
      <c r="B25" s="95">
        <v>4.2105263157894735</v>
      </c>
      <c r="C25" s="95">
        <v>0.0</v>
      </c>
      <c r="D25" s="94">
        <v>4.0</v>
      </c>
      <c r="E25" s="95">
        <v>0.0</v>
      </c>
      <c r="F25" s="95">
        <v>0.0</v>
      </c>
      <c r="G25" s="95">
        <v>0.0</v>
      </c>
      <c r="H25" s="95">
        <v>0.0</v>
      </c>
    </row>
    <row r="26">
      <c r="A26" s="92" t="s">
        <v>269</v>
      </c>
      <c r="B26" s="95">
        <v>7.2</v>
      </c>
      <c r="C26" s="95">
        <v>0.0</v>
      </c>
      <c r="D26" s="94">
        <v>3.9979999999999998</v>
      </c>
      <c r="E26" s="95">
        <v>0.8</v>
      </c>
      <c r="F26" s="95">
        <v>0.0</v>
      </c>
      <c r="G26" s="95">
        <v>0.0</v>
      </c>
      <c r="H26" s="95">
        <v>2.402</v>
      </c>
    </row>
    <row r="27">
      <c r="A27" s="92" t="s">
        <v>207</v>
      </c>
      <c r="B27" s="95">
        <v>14.545454545454545</v>
      </c>
      <c r="C27" s="95">
        <v>0.6060606060606061</v>
      </c>
      <c r="D27" s="94">
        <v>3.5555555555555554</v>
      </c>
      <c r="E27" s="95">
        <v>6.4</v>
      </c>
      <c r="F27" s="95">
        <v>1.6</v>
      </c>
      <c r="G27" s="95">
        <v>0.0</v>
      </c>
      <c r="H27" s="95">
        <v>3.0476190476190474</v>
      </c>
    </row>
    <row r="28">
      <c r="A28" s="92" t="s">
        <v>251</v>
      </c>
      <c r="B28" s="95">
        <v>8.147219710669077</v>
      </c>
      <c r="C28" s="95">
        <v>0.01582278481012658</v>
      </c>
      <c r="D28" s="94">
        <v>3.532970657814408</v>
      </c>
      <c r="E28" s="95">
        <v>1.4523809523809523</v>
      </c>
      <c r="F28" s="95">
        <v>0.8214285714285714</v>
      </c>
      <c r="G28" s="95">
        <v>0.5805133928571429</v>
      </c>
      <c r="H28" s="95">
        <v>1.7666666666666666</v>
      </c>
    </row>
    <row r="29">
      <c r="A29" s="92" t="s">
        <v>266</v>
      </c>
      <c r="B29" s="95">
        <v>7.422680412371134</v>
      </c>
      <c r="C29" s="95">
        <v>0.6185567010309279</v>
      </c>
      <c r="D29" s="94">
        <v>3.3684210526315788</v>
      </c>
      <c r="E29" s="95">
        <v>0.8</v>
      </c>
      <c r="F29" s="95">
        <v>3.2</v>
      </c>
      <c r="G29" s="95">
        <v>0.8</v>
      </c>
      <c r="H29" s="95">
        <v>-0.8888888888888888</v>
      </c>
    </row>
    <row r="30">
      <c r="A30" s="92" t="s">
        <v>359</v>
      </c>
      <c r="B30" s="95">
        <v>2.6666666666666665</v>
      </c>
      <c r="C30" s="95">
        <v>0.0</v>
      </c>
      <c r="D30" s="94">
        <v>3.3333333333333335</v>
      </c>
      <c r="E30" s="95">
        <v>0.0</v>
      </c>
      <c r="F30" s="95">
        <v>0.0</v>
      </c>
      <c r="G30" s="95">
        <v>0.0</v>
      </c>
      <c r="H30" s="95">
        <v>0.0</v>
      </c>
    </row>
    <row r="31">
      <c r="A31" s="92" t="s">
        <v>290</v>
      </c>
      <c r="B31" s="95">
        <v>5.7142857142857135</v>
      </c>
      <c r="C31" s="95">
        <v>0.2020408163265306</v>
      </c>
      <c r="D31" s="94">
        <v>3.2020000000000004</v>
      </c>
      <c r="E31" s="95">
        <v>1.6</v>
      </c>
      <c r="F31" s="95">
        <v>0.0</v>
      </c>
      <c r="G31" s="95">
        <v>0.0</v>
      </c>
      <c r="H31" s="95">
        <v>0.8400000000000001</v>
      </c>
    </row>
    <row r="32">
      <c r="A32" s="92" t="s">
        <v>295</v>
      </c>
      <c r="B32" s="95">
        <v>5.6</v>
      </c>
      <c r="C32" s="95">
        <v>0.2</v>
      </c>
      <c r="D32" s="94">
        <v>3.2</v>
      </c>
      <c r="E32" s="95">
        <v>0.0</v>
      </c>
      <c r="F32" s="95">
        <v>1.6</v>
      </c>
      <c r="G32" s="95">
        <v>0.0</v>
      </c>
      <c r="H32" s="95">
        <v>0.8</v>
      </c>
    </row>
    <row r="33">
      <c r="A33" s="92" t="s">
        <v>343</v>
      </c>
      <c r="B33" s="95">
        <v>3.2876712328767126</v>
      </c>
      <c r="C33" s="95">
        <v>0.0</v>
      </c>
      <c r="D33" s="94">
        <v>3.2</v>
      </c>
      <c r="E33" s="95">
        <v>0.0</v>
      </c>
      <c r="F33" s="95">
        <v>0.0</v>
      </c>
      <c r="G33" s="95">
        <v>0.0</v>
      </c>
      <c r="H33" s="95">
        <v>0.0</v>
      </c>
    </row>
    <row r="34">
      <c r="A34" s="92" t="s">
        <v>200</v>
      </c>
      <c r="B34" s="95">
        <v>23.43232323232323</v>
      </c>
      <c r="C34" s="95">
        <v>0.05</v>
      </c>
      <c r="D34" s="94">
        <v>3.0025</v>
      </c>
      <c r="E34" s="95">
        <v>5.9975000000000005</v>
      </c>
      <c r="F34" s="95">
        <v>8.0</v>
      </c>
      <c r="G34" s="95">
        <v>11.9975</v>
      </c>
      <c r="H34" s="95">
        <v>0.0</v>
      </c>
    </row>
    <row r="35">
      <c r="A35" s="92" t="s">
        <v>275</v>
      </c>
      <c r="B35" s="95">
        <v>6.666666666666667</v>
      </c>
      <c r="C35" s="95">
        <v>0.0</v>
      </c>
      <c r="D35" s="94">
        <v>2.6666666666666665</v>
      </c>
      <c r="E35" s="95">
        <v>1.3333333333333333</v>
      </c>
      <c r="F35" s="95">
        <v>2.6666666666666665</v>
      </c>
      <c r="G35" s="95">
        <v>0.0</v>
      </c>
      <c r="H35" s="95">
        <v>0.0</v>
      </c>
    </row>
    <row r="36">
      <c r="A36" s="92" t="s">
        <v>213</v>
      </c>
      <c r="B36" s="95">
        <v>12.244897959183673</v>
      </c>
      <c r="C36" s="95">
        <v>0.6122448979591836</v>
      </c>
      <c r="D36" s="94">
        <v>2.526315789473684</v>
      </c>
      <c r="E36" s="95">
        <v>4.0</v>
      </c>
      <c r="F36" s="95">
        <v>1.6</v>
      </c>
      <c r="G36" s="95">
        <v>-0.8</v>
      </c>
      <c r="H36" s="95">
        <v>5.052631578947368</v>
      </c>
    </row>
    <row r="37">
      <c r="A37" s="92" t="s">
        <v>303</v>
      </c>
      <c r="B37" s="95">
        <v>5.333333333333333</v>
      </c>
      <c r="C37" s="95">
        <v>0.0</v>
      </c>
      <c r="D37" s="94">
        <v>2.4615384615384617</v>
      </c>
      <c r="E37" s="95">
        <v>2.6666666666666665</v>
      </c>
      <c r="F37" s="95">
        <v>0.0</v>
      </c>
      <c r="G37" s="95">
        <v>0.0</v>
      </c>
      <c r="H37" s="95">
        <v>0.0</v>
      </c>
    </row>
    <row r="38">
      <c r="A38" s="92" t="s">
        <v>226</v>
      </c>
      <c r="B38" s="95">
        <v>10.505050505050505</v>
      </c>
      <c r="C38" s="95">
        <v>0.0</v>
      </c>
      <c r="D38" s="94">
        <v>2.4</v>
      </c>
      <c r="E38" s="95">
        <v>0.0</v>
      </c>
      <c r="F38" s="95">
        <v>0.0</v>
      </c>
      <c r="G38" s="95">
        <v>0.0</v>
      </c>
      <c r="H38" s="95">
        <v>8.421052631578947</v>
      </c>
    </row>
    <row r="39">
      <c r="A39" s="92" t="s">
        <v>362</v>
      </c>
      <c r="B39" s="95">
        <v>2.4489795918367343</v>
      </c>
      <c r="C39" s="95">
        <v>0.0</v>
      </c>
      <c r="D39" s="94">
        <v>2.4</v>
      </c>
      <c r="E39" s="95">
        <v>0.0</v>
      </c>
      <c r="F39" s="95">
        <v>0.0</v>
      </c>
      <c r="G39" s="95">
        <v>0.0</v>
      </c>
      <c r="H39" s="95">
        <v>0.0</v>
      </c>
    </row>
    <row r="40">
      <c r="A40" s="92" t="s">
        <v>238</v>
      </c>
      <c r="B40" s="95">
        <v>9.142857142857142</v>
      </c>
      <c r="C40" s="95">
        <v>0.0</v>
      </c>
      <c r="D40" s="94">
        <v>2.2857142857142856</v>
      </c>
      <c r="E40" s="95">
        <v>4.571428571428571</v>
      </c>
      <c r="F40" s="95">
        <v>0.0</v>
      </c>
      <c r="G40" s="95">
        <v>2.2857142857142856</v>
      </c>
      <c r="H40" s="95">
        <v>0.0</v>
      </c>
    </row>
    <row r="41">
      <c r="A41" s="92" t="s">
        <v>314</v>
      </c>
      <c r="B41" s="95">
        <v>4.2105263157894735</v>
      </c>
      <c r="C41" s="95">
        <v>0.0</v>
      </c>
      <c r="D41" s="94">
        <v>2.2857142857142856</v>
      </c>
      <c r="E41" s="95">
        <v>0.0</v>
      </c>
      <c r="F41" s="95">
        <v>0.0</v>
      </c>
      <c r="G41" s="95">
        <v>2.0</v>
      </c>
      <c r="H41" s="95">
        <v>0.0</v>
      </c>
    </row>
    <row r="42">
      <c r="A42" s="92" t="s">
        <v>265</v>
      </c>
      <c r="B42" s="95">
        <v>7.57027027027027</v>
      </c>
      <c r="C42" s="95">
        <v>0.5378378378378378</v>
      </c>
      <c r="D42" s="94">
        <v>2.0025</v>
      </c>
      <c r="E42" s="95">
        <v>3.2</v>
      </c>
      <c r="F42" s="95">
        <v>1.0025</v>
      </c>
      <c r="G42" s="95">
        <v>1.2276923076923079</v>
      </c>
      <c r="H42" s="95">
        <v>0.0</v>
      </c>
    </row>
    <row r="43">
      <c r="A43" s="92" t="s">
        <v>271</v>
      </c>
      <c r="B43" s="95">
        <v>7.0886075949367084</v>
      </c>
      <c r="C43" s="95">
        <v>0.5063291139240506</v>
      </c>
      <c r="D43" s="94">
        <v>2.0</v>
      </c>
      <c r="E43" s="95">
        <v>2.0</v>
      </c>
      <c r="F43" s="95">
        <v>2.0</v>
      </c>
      <c r="G43" s="95">
        <v>0.0</v>
      </c>
      <c r="H43" s="95">
        <v>1.0666666666666667</v>
      </c>
    </row>
    <row r="44">
      <c r="A44" s="92" t="s">
        <v>228</v>
      </c>
      <c r="B44" s="95">
        <v>10.4</v>
      </c>
      <c r="C44" s="95">
        <v>0.4</v>
      </c>
      <c r="D44" s="94">
        <v>2.0</v>
      </c>
      <c r="E44" s="95">
        <v>5.0</v>
      </c>
      <c r="F44" s="95">
        <v>1.0</v>
      </c>
      <c r="G44" s="95">
        <v>4.0</v>
      </c>
      <c r="H44" s="95">
        <v>1.0</v>
      </c>
    </row>
    <row r="45">
      <c r="A45" s="92" t="s">
        <v>233</v>
      </c>
      <c r="B45" s="95">
        <v>10.0</v>
      </c>
      <c r="C45" s="95">
        <v>0.0</v>
      </c>
      <c r="D45" s="94">
        <v>2.0</v>
      </c>
      <c r="E45" s="95">
        <v>0.0</v>
      </c>
      <c r="F45" s="95">
        <v>3.0</v>
      </c>
      <c r="G45" s="95">
        <v>5.0</v>
      </c>
      <c r="H45" s="95">
        <v>0.0</v>
      </c>
    </row>
    <row r="46">
      <c r="A46" s="92" t="s">
        <v>378</v>
      </c>
      <c r="B46" s="95">
        <v>2.0512820512820515</v>
      </c>
      <c r="C46" s="95">
        <v>0.0</v>
      </c>
      <c r="D46" s="94">
        <v>2.0</v>
      </c>
      <c r="E46" s="95">
        <v>0.0</v>
      </c>
      <c r="F46" s="95">
        <v>0.0</v>
      </c>
      <c r="G46" s="95">
        <v>0.0</v>
      </c>
      <c r="H46" s="95">
        <v>0.0</v>
      </c>
    </row>
    <row r="47">
      <c r="A47" s="92" t="s">
        <v>371</v>
      </c>
      <c r="B47" s="95">
        <v>2.282857142857143</v>
      </c>
      <c r="C47" s="95">
        <v>0.0</v>
      </c>
      <c r="D47" s="94">
        <v>1.9975</v>
      </c>
      <c r="E47" s="95">
        <v>0.0</v>
      </c>
      <c r="F47" s="95">
        <v>0.0</v>
      </c>
      <c r="G47" s="95">
        <v>0.0</v>
      </c>
      <c r="H47" s="95">
        <v>0.0</v>
      </c>
    </row>
    <row r="48">
      <c r="A48" s="92" t="s">
        <v>341</v>
      </c>
      <c r="B48" s="95">
        <v>0.0</v>
      </c>
      <c r="C48" s="95">
        <v>0.5714285714285714</v>
      </c>
      <c r="D48" s="94">
        <v>1.7777777777777777</v>
      </c>
      <c r="E48" s="95">
        <v>0.0</v>
      </c>
      <c r="F48" s="95">
        <v>0.0</v>
      </c>
      <c r="G48" s="95">
        <v>0.0</v>
      </c>
      <c r="H48" s="95">
        <v>-2.0</v>
      </c>
    </row>
    <row r="49">
      <c r="A49" s="92" t="s">
        <v>224</v>
      </c>
      <c r="B49" s="95">
        <v>10.612244897959183</v>
      </c>
      <c r="C49" s="95">
        <v>0.2040816326530612</v>
      </c>
      <c r="D49" s="94">
        <v>1.6842105263157894</v>
      </c>
      <c r="E49" s="95">
        <v>4.8</v>
      </c>
      <c r="F49" s="95">
        <v>0.8</v>
      </c>
      <c r="G49" s="95">
        <v>0.0</v>
      </c>
      <c r="H49" s="95">
        <v>3.2</v>
      </c>
    </row>
    <row r="50">
      <c r="A50" s="92" t="s">
        <v>235</v>
      </c>
      <c r="B50" s="95">
        <v>9.361702127659575</v>
      </c>
      <c r="C50" s="95">
        <v>0.0</v>
      </c>
      <c r="D50" s="94">
        <v>1.6842105263157894</v>
      </c>
      <c r="E50" s="95">
        <v>0.8888888888888888</v>
      </c>
      <c r="F50" s="95">
        <v>0.8421052631578947</v>
      </c>
      <c r="G50" s="95">
        <v>3.3684210526315788</v>
      </c>
      <c r="H50" s="95">
        <v>2.526315789473684</v>
      </c>
    </row>
    <row r="51">
      <c r="A51" s="92" t="s">
        <v>242</v>
      </c>
      <c r="B51" s="95">
        <v>8.88888888888889</v>
      </c>
      <c r="C51" s="95">
        <v>1.0101010101010102</v>
      </c>
      <c r="D51" s="94">
        <v>1.6</v>
      </c>
      <c r="E51" s="95">
        <v>1.6842105263157894</v>
      </c>
      <c r="F51" s="95">
        <v>1.6</v>
      </c>
      <c r="G51" s="95">
        <v>0.0</v>
      </c>
      <c r="H51" s="95">
        <v>4.0</v>
      </c>
    </row>
    <row r="52">
      <c r="A52" s="92" t="s">
        <v>288</v>
      </c>
      <c r="B52" s="95">
        <v>5.7142857142857135</v>
      </c>
      <c r="C52" s="95">
        <v>0.6122448979591836</v>
      </c>
      <c r="D52" s="94">
        <v>1.6</v>
      </c>
      <c r="E52" s="95">
        <v>0.0</v>
      </c>
      <c r="F52" s="95">
        <v>-0.8</v>
      </c>
      <c r="G52" s="95">
        <v>0.8421052631578947</v>
      </c>
      <c r="H52" s="95">
        <v>4.2105263157894735</v>
      </c>
    </row>
    <row r="53">
      <c r="A53" s="92" t="s">
        <v>348</v>
      </c>
      <c r="B53" s="95">
        <v>3.2</v>
      </c>
      <c r="C53" s="95">
        <v>0.0</v>
      </c>
      <c r="D53" s="94">
        <v>1.6</v>
      </c>
      <c r="E53" s="95">
        <v>0.7619047619047619</v>
      </c>
      <c r="F53" s="95">
        <v>0.0</v>
      </c>
      <c r="G53" s="95">
        <v>0.0</v>
      </c>
      <c r="H53" s="95">
        <v>0.8</v>
      </c>
    </row>
    <row r="54">
      <c r="A54" s="92" t="s">
        <v>209</v>
      </c>
      <c r="B54" s="95">
        <v>12.931313131313132</v>
      </c>
      <c r="C54" s="95">
        <v>0.406060606060606</v>
      </c>
      <c r="D54" s="94">
        <v>1.598</v>
      </c>
      <c r="E54" s="95">
        <v>8.8</v>
      </c>
      <c r="F54" s="95">
        <v>0.798</v>
      </c>
      <c r="G54" s="95">
        <v>0.0</v>
      </c>
      <c r="H54" s="95">
        <v>1.6</v>
      </c>
    </row>
    <row r="55">
      <c r="A55" s="92" t="s">
        <v>388</v>
      </c>
      <c r="B55" s="95">
        <v>0.0</v>
      </c>
      <c r="C55" s="95">
        <v>0.37037037037037035</v>
      </c>
      <c r="D55" s="94">
        <v>1.4545454545454546</v>
      </c>
      <c r="E55" s="95">
        <v>-1.4545454545454546</v>
      </c>
      <c r="F55" s="95">
        <v>0.0</v>
      </c>
      <c r="G55" s="95">
        <v>0.0</v>
      </c>
      <c r="H55" s="95">
        <v>0.0</v>
      </c>
    </row>
    <row r="56">
      <c r="A56" s="92" t="s">
        <v>352</v>
      </c>
      <c r="B56" s="95">
        <v>2.7586206896551726</v>
      </c>
      <c r="C56" s="95">
        <v>0.3448275862068966</v>
      </c>
      <c r="D56" s="94">
        <v>1.4545454545454546</v>
      </c>
      <c r="E56" s="95">
        <v>2.6666666666666665</v>
      </c>
      <c r="F56" s="95">
        <v>-1.3333333333333333</v>
      </c>
      <c r="G56" s="95">
        <v>0.0</v>
      </c>
      <c r="H56" s="95">
        <v>0.0</v>
      </c>
    </row>
    <row r="57">
      <c r="A57" s="92" t="s">
        <v>386</v>
      </c>
      <c r="B57" s="95">
        <v>1.3559322033898304</v>
      </c>
      <c r="C57" s="95">
        <v>0.0</v>
      </c>
      <c r="D57" s="94">
        <v>1.4545454545454546</v>
      </c>
      <c r="E57" s="95">
        <v>0.0</v>
      </c>
      <c r="F57" s="95">
        <v>0.0</v>
      </c>
      <c r="G57" s="95">
        <v>0.0</v>
      </c>
      <c r="H57" s="95">
        <v>0.0</v>
      </c>
    </row>
    <row r="58">
      <c r="A58" s="92" t="s">
        <v>391</v>
      </c>
      <c r="B58" s="95">
        <v>0.0</v>
      </c>
      <c r="C58" s="95">
        <v>0.3508771929824561</v>
      </c>
      <c r="D58" s="94">
        <v>1.3333333333333333</v>
      </c>
      <c r="E58" s="95">
        <v>-1.3333333333333333</v>
      </c>
      <c r="F58" s="95">
        <v>0.0</v>
      </c>
      <c r="G58" s="95">
        <v>0.0</v>
      </c>
      <c r="H58" s="95">
        <v>0.0</v>
      </c>
    </row>
    <row r="59">
      <c r="A59" s="92" t="s">
        <v>387</v>
      </c>
      <c r="B59" s="95">
        <v>1.3559322033898304</v>
      </c>
      <c r="C59" s="95">
        <v>0.0</v>
      </c>
      <c r="D59" s="94">
        <v>1.3333333333333333</v>
      </c>
      <c r="E59" s="95">
        <v>0.0</v>
      </c>
      <c r="F59" s="95">
        <v>0.0</v>
      </c>
      <c r="G59" s="95">
        <v>0.0</v>
      </c>
      <c r="H59" s="95">
        <v>0.0</v>
      </c>
    </row>
    <row r="60">
      <c r="A60" s="92" t="s">
        <v>389</v>
      </c>
      <c r="B60" s="95">
        <v>1.352542372881356</v>
      </c>
      <c r="C60" s="95">
        <v>0.33559322033898303</v>
      </c>
      <c r="D60" s="94">
        <v>1.33</v>
      </c>
      <c r="E60" s="95">
        <v>0.0</v>
      </c>
      <c r="F60" s="95">
        <v>0.0</v>
      </c>
      <c r="G60" s="95">
        <v>0.0</v>
      </c>
      <c r="H60" s="95">
        <v>0.0</v>
      </c>
    </row>
    <row r="61">
      <c r="A61" s="92" t="s">
        <v>376</v>
      </c>
      <c r="B61" s="95">
        <v>2.0512820512820515</v>
      </c>
      <c r="C61" s="95">
        <v>0.0</v>
      </c>
      <c r="D61" s="94">
        <v>1.25</v>
      </c>
      <c r="E61" s="95">
        <v>0.0</v>
      </c>
      <c r="F61" s="95">
        <v>0.0</v>
      </c>
      <c r="G61" s="95">
        <v>0.0</v>
      </c>
      <c r="H61" s="95">
        <v>1.3333333333333333</v>
      </c>
    </row>
    <row r="62">
      <c r="A62" s="92" t="s">
        <v>212</v>
      </c>
      <c r="B62" s="95">
        <v>12.467532467532468</v>
      </c>
      <c r="C62" s="95">
        <v>0.7792207792207793</v>
      </c>
      <c r="D62" s="94">
        <v>1.0666666666666667</v>
      </c>
      <c r="E62" s="95">
        <v>8.0</v>
      </c>
      <c r="F62" s="95">
        <v>0.0</v>
      </c>
      <c r="G62" s="95">
        <v>0.0</v>
      </c>
      <c r="H62" s="95">
        <v>3.2</v>
      </c>
    </row>
    <row r="63">
      <c r="A63" s="92" t="s">
        <v>318</v>
      </c>
      <c r="B63" s="95">
        <v>4.102564102564103</v>
      </c>
      <c r="C63" s="95">
        <v>0.5128205128205129</v>
      </c>
      <c r="D63" s="94">
        <v>1.0666666666666667</v>
      </c>
      <c r="E63" s="95">
        <v>0.0</v>
      </c>
      <c r="F63" s="95">
        <v>1.0</v>
      </c>
      <c r="G63" s="95">
        <v>1.0</v>
      </c>
      <c r="H63" s="95">
        <v>1.0666666666666667</v>
      </c>
    </row>
    <row r="64">
      <c r="A64" s="92" t="s">
        <v>222</v>
      </c>
      <c r="B64" s="95">
        <v>11.272995780590715</v>
      </c>
      <c r="C64" s="95">
        <v>1.459915611814346</v>
      </c>
      <c r="D64" s="94">
        <v>1.00125</v>
      </c>
      <c r="E64" s="95">
        <v>0.0</v>
      </c>
      <c r="F64" s="95">
        <v>2.0</v>
      </c>
      <c r="G64" s="95">
        <v>3.50125</v>
      </c>
      <c r="H64" s="95">
        <v>4.8</v>
      </c>
    </row>
    <row r="65">
      <c r="A65" s="92" t="s">
        <v>331</v>
      </c>
      <c r="B65" s="95">
        <v>4.0</v>
      </c>
      <c r="C65" s="95">
        <v>0.25</v>
      </c>
      <c r="D65" s="94">
        <v>1.0</v>
      </c>
      <c r="E65" s="95">
        <v>2.0</v>
      </c>
      <c r="F65" s="95">
        <v>0.0</v>
      </c>
      <c r="G65" s="95">
        <v>0.0</v>
      </c>
      <c r="H65" s="95">
        <v>1.0</v>
      </c>
    </row>
    <row r="66">
      <c r="A66" s="92" t="s">
        <v>312</v>
      </c>
      <c r="B66" s="95">
        <v>4.574285714285715</v>
      </c>
      <c r="C66" s="95">
        <v>0.0</v>
      </c>
      <c r="D66" s="94">
        <v>0.9975</v>
      </c>
      <c r="E66" s="95">
        <v>1.064</v>
      </c>
      <c r="F66" s="95">
        <v>1.3333333333333333</v>
      </c>
      <c r="G66" s="95">
        <v>0.0</v>
      </c>
      <c r="H66" s="95">
        <v>1.0666666666666667</v>
      </c>
    </row>
    <row r="67">
      <c r="A67" s="92" t="s">
        <v>393</v>
      </c>
      <c r="B67" s="95">
        <v>1.010126582278481</v>
      </c>
      <c r="C67" s="95">
        <v>0.0</v>
      </c>
      <c r="D67" s="94">
        <v>0.9975</v>
      </c>
      <c r="E67" s="95">
        <v>0.0</v>
      </c>
      <c r="F67" s="95">
        <v>0.0</v>
      </c>
      <c r="G67" s="95">
        <v>0.0</v>
      </c>
      <c r="H67" s="95">
        <v>0.0</v>
      </c>
    </row>
    <row r="68">
      <c r="A68" s="92" t="s">
        <v>325</v>
      </c>
      <c r="B68" s="95">
        <v>4.040404040404041</v>
      </c>
      <c r="C68" s="95">
        <v>0.0</v>
      </c>
      <c r="D68" s="94">
        <v>0.8421052631578947</v>
      </c>
      <c r="E68" s="95">
        <v>0.0</v>
      </c>
      <c r="F68" s="95">
        <v>0.8</v>
      </c>
      <c r="G68" s="95">
        <v>1.5238095238095237</v>
      </c>
      <c r="H68" s="95">
        <v>0.8421052631578947</v>
      </c>
    </row>
    <row r="69">
      <c r="A69" s="92" t="s">
        <v>227</v>
      </c>
      <c r="B69" s="95">
        <v>10.505050505050505</v>
      </c>
      <c r="C69" s="95">
        <v>0.6060606060606061</v>
      </c>
      <c r="D69" s="94">
        <v>0.8</v>
      </c>
      <c r="E69" s="95">
        <v>6.095238095238095</v>
      </c>
      <c r="F69" s="95">
        <v>0.8421052631578947</v>
      </c>
      <c r="G69" s="95">
        <v>1.6</v>
      </c>
      <c r="H69" s="95">
        <v>0.8421052631578947</v>
      </c>
    </row>
    <row r="70">
      <c r="A70" s="92" t="s">
        <v>332</v>
      </c>
      <c r="B70" s="95">
        <v>4.0</v>
      </c>
      <c r="C70" s="95">
        <v>0.6</v>
      </c>
      <c r="D70" s="94">
        <v>0.8</v>
      </c>
      <c r="E70" s="95">
        <v>3.2</v>
      </c>
      <c r="F70" s="95">
        <v>-0.8</v>
      </c>
      <c r="G70" s="95">
        <v>0.0</v>
      </c>
      <c r="H70" s="95">
        <v>0.8421052631578947</v>
      </c>
    </row>
    <row r="71">
      <c r="A71" s="92" t="s">
        <v>239</v>
      </c>
      <c r="B71" s="95">
        <v>8.979591836734693</v>
      </c>
      <c r="C71" s="95">
        <v>0.4081632653061224</v>
      </c>
      <c r="D71" s="94">
        <v>0.8</v>
      </c>
      <c r="E71" s="95">
        <v>6.4</v>
      </c>
      <c r="F71" s="95">
        <v>0.0</v>
      </c>
      <c r="G71" s="95">
        <v>0.0</v>
      </c>
      <c r="H71" s="95">
        <v>1.6842105263157894</v>
      </c>
    </row>
    <row r="72">
      <c r="A72" s="92" t="s">
        <v>203</v>
      </c>
      <c r="B72" s="95">
        <v>19.393939393939394</v>
      </c>
      <c r="C72" s="95">
        <v>0.40404040404040403</v>
      </c>
      <c r="D72" s="94">
        <v>0.8</v>
      </c>
      <c r="E72" s="95">
        <v>3.0476190476190474</v>
      </c>
      <c r="F72" s="95">
        <v>8.0</v>
      </c>
      <c r="G72" s="95">
        <v>5.894736842105263</v>
      </c>
      <c r="H72" s="95">
        <v>1.6842105263157894</v>
      </c>
    </row>
    <row r="73">
      <c r="A73" s="92" t="s">
        <v>261</v>
      </c>
      <c r="B73" s="95">
        <v>8.0</v>
      </c>
      <c r="C73" s="95">
        <v>0.4</v>
      </c>
      <c r="D73" s="94">
        <v>0.8</v>
      </c>
      <c r="E73" s="95">
        <v>4.0</v>
      </c>
      <c r="F73" s="95">
        <v>0.8</v>
      </c>
      <c r="G73" s="95">
        <v>0.0</v>
      </c>
      <c r="H73" s="95">
        <v>2.4</v>
      </c>
    </row>
    <row r="74">
      <c r="A74" s="92" t="s">
        <v>225</v>
      </c>
      <c r="B74" s="95">
        <v>10.612244897959183</v>
      </c>
      <c r="C74" s="95">
        <v>0.2040816326530612</v>
      </c>
      <c r="D74" s="94">
        <v>0.8</v>
      </c>
      <c r="E74" s="95">
        <v>8.8</v>
      </c>
      <c r="F74" s="95">
        <v>0.0</v>
      </c>
      <c r="G74" s="95">
        <v>0.0</v>
      </c>
      <c r="H74" s="95">
        <v>0.9411764705882353</v>
      </c>
    </row>
    <row r="75">
      <c r="A75" s="92" t="s">
        <v>240</v>
      </c>
      <c r="B75" s="95">
        <v>8.88888888888889</v>
      </c>
      <c r="C75" s="95">
        <v>0.20202020202020202</v>
      </c>
      <c r="D75" s="94">
        <v>0.8</v>
      </c>
      <c r="E75" s="95">
        <v>0.0</v>
      </c>
      <c r="F75" s="95">
        <v>0.8</v>
      </c>
      <c r="G75" s="95">
        <v>0.0</v>
      </c>
      <c r="H75" s="95">
        <v>7.578947368421052</v>
      </c>
    </row>
    <row r="76">
      <c r="A76" s="92" t="s">
        <v>346</v>
      </c>
      <c r="B76" s="95">
        <v>3.2323232323232323</v>
      </c>
      <c r="C76" s="95">
        <v>0.20202020202020202</v>
      </c>
      <c r="D76" s="94">
        <v>0.8</v>
      </c>
      <c r="E76" s="95">
        <v>2.4</v>
      </c>
      <c r="F76" s="95">
        <v>0.0</v>
      </c>
      <c r="G76" s="95">
        <v>0.8</v>
      </c>
      <c r="H76" s="95">
        <v>-0.8421052631578947</v>
      </c>
    </row>
    <row r="77">
      <c r="A77" s="92" t="s">
        <v>369</v>
      </c>
      <c r="B77" s="95">
        <v>2.4</v>
      </c>
      <c r="C77" s="95">
        <v>0.2</v>
      </c>
      <c r="D77" s="94">
        <v>0.8</v>
      </c>
      <c r="E77" s="95">
        <v>0.0</v>
      </c>
      <c r="F77" s="95">
        <v>0.0</v>
      </c>
      <c r="G77" s="95">
        <v>1.6</v>
      </c>
      <c r="H77" s="95">
        <v>0.0</v>
      </c>
    </row>
    <row r="78">
      <c r="A78" s="92" t="s">
        <v>255</v>
      </c>
      <c r="B78" s="95">
        <v>8.08</v>
      </c>
      <c r="C78" s="95">
        <v>0.0</v>
      </c>
      <c r="D78" s="94">
        <v>0.8</v>
      </c>
      <c r="E78" s="95">
        <v>0.0</v>
      </c>
      <c r="F78" s="95">
        <v>0.0</v>
      </c>
      <c r="G78" s="95">
        <v>0.0</v>
      </c>
      <c r="H78" s="95">
        <v>8.0</v>
      </c>
    </row>
    <row r="79">
      <c r="A79" s="92" t="s">
        <v>309</v>
      </c>
      <c r="B79" s="95">
        <v>4.848484848484849</v>
      </c>
      <c r="C79" s="95">
        <v>0.0</v>
      </c>
      <c r="D79" s="94">
        <v>0.8</v>
      </c>
      <c r="E79" s="95">
        <v>2.4</v>
      </c>
      <c r="F79" s="95">
        <v>0.8</v>
      </c>
      <c r="G79" s="95">
        <v>0.8</v>
      </c>
      <c r="H79" s="95">
        <v>0.0</v>
      </c>
    </row>
    <row r="80">
      <c r="A80" s="92" t="s">
        <v>344</v>
      </c>
      <c r="B80" s="95">
        <v>3.265306122448979</v>
      </c>
      <c r="C80" s="95">
        <v>0.0</v>
      </c>
      <c r="D80" s="94">
        <v>0.8</v>
      </c>
      <c r="E80" s="95">
        <v>0.0</v>
      </c>
      <c r="F80" s="95">
        <v>0.8</v>
      </c>
      <c r="G80" s="95">
        <v>0.7619047619047619</v>
      </c>
      <c r="H80" s="95">
        <v>0.9411764705882353</v>
      </c>
    </row>
    <row r="81">
      <c r="A81" s="92" t="s">
        <v>237</v>
      </c>
      <c r="B81" s="95">
        <v>9.331666666666667</v>
      </c>
      <c r="C81" s="95">
        <v>0.0</v>
      </c>
      <c r="D81" s="94">
        <v>0.665</v>
      </c>
      <c r="E81" s="95">
        <v>8.001666666666667</v>
      </c>
      <c r="F81" s="95">
        <v>0.665</v>
      </c>
      <c r="G81" s="95">
        <v>0.0</v>
      </c>
      <c r="H81" s="95">
        <v>0.0</v>
      </c>
    </row>
    <row r="82">
      <c r="A82" s="92" t="s">
        <v>278</v>
      </c>
      <c r="B82" s="95">
        <v>2.67</v>
      </c>
      <c r="C82" s="95">
        <v>3.0</v>
      </c>
      <c r="D82" s="94">
        <v>0.0</v>
      </c>
      <c r="E82" s="95">
        <v>-1.33</v>
      </c>
      <c r="F82" s="95">
        <v>1.33</v>
      </c>
      <c r="G82" s="95">
        <v>2.67</v>
      </c>
      <c r="H82" s="95">
        <v>0.0</v>
      </c>
    </row>
    <row r="83">
      <c r="A83" s="92" t="s">
        <v>248</v>
      </c>
      <c r="B83" s="95">
        <v>8.333333333333334</v>
      </c>
      <c r="C83" s="95">
        <v>2.0833333333333335</v>
      </c>
      <c r="D83" s="94">
        <v>0.0</v>
      </c>
      <c r="E83" s="95">
        <v>2.6666666666666665</v>
      </c>
      <c r="F83" s="95">
        <v>3.8095238095238093</v>
      </c>
      <c r="G83" s="95">
        <v>-1.6842105263157894</v>
      </c>
      <c r="H83" s="95">
        <v>3.5555555555555554</v>
      </c>
    </row>
    <row r="84">
      <c r="A84" s="92" t="s">
        <v>285</v>
      </c>
      <c r="B84" s="95">
        <v>5.959574468085107</v>
      </c>
      <c r="C84" s="95">
        <v>1.274468085106383</v>
      </c>
      <c r="D84" s="94">
        <v>0.0</v>
      </c>
      <c r="E84" s="95">
        <v>1.6842105263157894</v>
      </c>
      <c r="F84" s="95">
        <v>0.0</v>
      </c>
      <c r="G84" s="95">
        <v>0.0</v>
      </c>
      <c r="H84" s="95">
        <v>4.212631578947369</v>
      </c>
    </row>
    <row r="85">
      <c r="A85" s="92" t="s">
        <v>217</v>
      </c>
      <c r="B85" s="95">
        <v>12.121212121212121</v>
      </c>
      <c r="C85" s="95">
        <v>1.2121212121212122</v>
      </c>
      <c r="D85" s="94">
        <v>0.0</v>
      </c>
      <c r="E85" s="95">
        <v>4.8</v>
      </c>
      <c r="F85" s="95">
        <v>4.0</v>
      </c>
      <c r="G85" s="95">
        <v>-0.8</v>
      </c>
      <c r="H85" s="95">
        <v>4.2105263157894735</v>
      </c>
    </row>
    <row r="86">
      <c r="A86" s="92" t="s">
        <v>218</v>
      </c>
      <c r="B86" s="95">
        <v>12.121212121212121</v>
      </c>
      <c r="C86" s="95">
        <v>1.0101010101010102</v>
      </c>
      <c r="D86" s="94">
        <v>0.0</v>
      </c>
      <c r="E86" s="95">
        <v>8.571428571428571</v>
      </c>
      <c r="F86" s="95">
        <v>2.1052631578947367</v>
      </c>
      <c r="G86" s="95">
        <v>1.0526315789473684</v>
      </c>
      <c r="H86" s="95">
        <v>3.1578947368421053</v>
      </c>
    </row>
    <row r="87">
      <c r="A87" s="92" t="s">
        <v>301</v>
      </c>
      <c r="B87" s="95">
        <v>0.0</v>
      </c>
      <c r="C87" s="95">
        <v>1.0</v>
      </c>
      <c r="D87" s="94">
        <v>0.0</v>
      </c>
      <c r="E87" s="95">
        <v>4.0</v>
      </c>
      <c r="F87" s="95">
        <v>-4.0</v>
      </c>
      <c r="G87" s="95">
        <v>0.0</v>
      </c>
      <c r="H87" s="95">
        <v>0.0</v>
      </c>
    </row>
    <row r="88">
      <c r="A88" s="92" t="s">
        <v>204</v>
      </c>
      <c r="B88" s="95">
        <v>16.842105263157894</v>
      </c>
      <c r="C88" s="95">
        <v>0.8421052631578947</v>
      </c>
      <c r="D88" s="94">
        <v>0.0</v>
      </c>
      <c r="E88" s="95">
        <v>5.052631578947368</v>
      </c>
      <c r="F88" s="95">
        <v>6.4</v>
      </c>
      <c r="G88" s="95">
        <v>6.222222222222222</v>
      </c>
      <c r="H88" s="95">
        <v>-0.8888888888888888</v>
      </c>
    </row>
    <row r="89">
      <c r="A89" s="92" t="s">
        <v>307</v>
      </c>
      <c r="B89" s="95">
        <v>1.6161616161616161</v>
      </c>
      <c r="C89" s="95">
        <v>0.8080808080808081</v>
      </c>
      <c r="D89" s="94">
        <v>0.0</v>
      </c>
      <c r="E89" s="95">
        <v>0.8421052631578947</v>
      </c>
      <c r="F89" s="95">
        <v>0.8</v>
      </c>
      <c r="G89" s="95">
        <v>0.0</v>
      </c>
      <c r="H89" s="95">
        <v>0.0</v>
      </c>
    </row>
    <row r="90">
      <c r="A90" s="92" t="s">
        <v>304</v>
      </c>
      <c r="B90" s="95">
        <v>5.194805194805195</v>
      </c>
      <c r="C90" s="95">
        <v>0.7792207792207793</v>
      </c>
      <c r="D90" s="94">
        <v>0.0</v>
      </c>
      <c r="E90" s="95">
        <v>4.0</v>
      </c>
      <c r="F90" s="95">
        <v>0.0</v>
      </c>
      <c r="G90" s="95">
        <v>1.0666666666666667</v>
      </c>
      <c r="H90" s="95">
        <v>0.0</v>
      </c>
    </row>
    <row r="91">
      <c r="A91" s="92" t="s">
        <v>274</v>
      </c>
      <c r="B91" s="95">
        <v>6.8965517241379315</v>
      </c>
      <c r="C91" s="95">
        <v>0.6896551724137931</v>
      </c>
      <c r="D91" s="94">
        <v>0.0</v>
      </c>
      <c r="E91" s="95">
        <v>8.0</v>
      </c>
      <c r="F91" s="95">
        <v>-1.4545454545454546</v>
      </c>
      <c r="G91" s="95">
        <v>0.0</v>
      </c>
      <c r="H91" s="95">
        <v>0.0</v>
      </c>
    </row>
    <row r="92">
      <c r="A92" s="92" t="s">
        <v>317</v>
      </c>
      <c r="B92" s="95">
        <v>1.352542372881356</v>
      </c>
      <c r="C92" s="95">
        <v>0.6813559322033897</v>
      </c>
      <c r="D92" s="94">
        <v>0.0</v>
      </c>
      <c r="E92" s="95">
        <v>0.0</v>
      </c>
      <c r="F92" s="95">
        <v>0.0</v>
      </c>
      <c r="G92" s="95">
        <v>1.33</v>
      </c>
      <c r="H92" s="95">
        <v>0.0</v>
      </c>
    </row>
    <row r="93">
      <c r="A93" s="92" t="s">
        <v>321</v>
      </c>
      <c r="B93" s="95">
        <v>4.081632653061225</v>
      </c>
      <c r="C93" s="95">
        <v>0.6122448979591836</v>
      </c>
      <c r="D93" s="94">
        <v>0.0</v>
      </c>
      <c r="E93" s="95">
        <v>0.0</v>
      </c>
      <c r="F93" s="95">
        <v>2.4</v>
      </c>
      <c r="G93" s="95">
        <v>2.526315789473684</v>
      </c>
      <c r="H93" s="95">
        <v>-0.8421052631578947</v>
      </c>
    </row>
    <row r="94">
      <c r="A94" s="92" t="s">
        <v>244</v>
      </c>
      <c r="B94" s="95">
        <v>8.88888888888889</v>
      </c>
      <c r="C94" s="95">
        <v>0.608080808080808</v>
      </c>
      <c r="D94" s="94">
        <v>0.0</v>
      </c>
      <c r="E94" s="95">
        <v>6.4</v>
      </c>
      <c r="F94" s="95">
        <v>1.6</v>
      </c>
      <c r="G94" s="95">
        <v>0.7619047619047619</v>
      </c>
      <c r="H94" s="95">
        <v>0.0</v>
      </c>
    </row>
    <row r="95">
      <c r="A95" s="92" t="s">
        <v>328</v>
      </c>
      <c r="B95" s="95">
        <v>2.426262626262626</v>
      </c>
      <c r="C95" s="95">
        <v>0.608080808080808</v>
      </c>
      <c r="D95" s="94">
        <v>0.0</v>
      </c>
      <c r="E95" s="95">
        <v>0.0</v>
      </c>
      <c r="F95" s="95">
        <v>-0.798</v>
      </c>
      <c r="G95" s="95">
        <v>0.0</v>
      </c>
      <c r="H95" s="95">
        <v>3.2</v>
      </c>
    </row>
    <row r="96">
      <c r="A96" s="92" t="s">
        <v>210</v>
      </c>
      <c r="B96" s="95">
        <v>12.802000000000001</v>
      </c>
      <c r="C96" s="95">
        <v>0.602</v>
      </c>
      <c r="D96" s="94">
        <v>0.0</v>
      </c>
      <c r="E96" s="95">
        <v>9.6</v>
      </c>
      <c r="F96" s="95">
        <v>2.402</v>
      </c>
      <c r="G96" s="95">
        <v>0.8</v>
      </c>
      <c r="H96" s="95">
        <v>0.0</v>
      </c>
    </row>
    <row r="97">
      <c r="A97" s="92" t="s">
        <v>339</v>
      </c>
      <c r="B97" s="95">
        <v>3.2020000000000004</v>
      </c>
      <c r="C97" s="95">
        <v>0.6</v>
      </c>
      <c r="D97" s="94">
        <v>0.0</v>
      </c>
      <c r="E97" s="95">
        <v>0.0</v>
      </c>
      <c r="F97" s="95">
        <v>0.0</v>
      </c>
      <c r="G97" s="95">
        <v>0.0</v>
      </c>
      <c r="H97" s="95">
        <v>3.2020000000000004</v>
      </c>
    </row>
    <row r="98">
      <c r="A98" s="92" t="s">
        <v>313</v>
      </c>
      <c r="B98" s="95">
        <v>4.324324324324324</v>
      </c>
      <c r="C98" s="95">
        <v>0.5378378378378378</v>
      </c>
      <c r="D98" s="94">
        <v>0.0</v>
      </c>
      <c r="E98" s="95">
        <v>-1.0666666666666667</v>
      </c>
      <c r="F98" s="95">
        <v>0.0</v>
      </c>
      <c r="G98" s="95">
        <v>6.153846153846154</v>
      </c>
      <c r="H98" s="95">
        <v>0.0</v>
      </c>
    </row>
    <row r="99">
      <c r="A99" s="92" t="s">
        <v>347</v>
      </c>
      <c r="B99" s="95">
        <v>1.0666666666666667</v>
      </c>
      <c r="C99" s="95">
        <v>0.5333333333333333</v>
      </c>
      <c r="D99" s="94">
        <v>0.0</v>
      </c>
      <c r="E99" s="95">
        <v>0.0</v>
      </c>
      <c r="F99" s="95">
        <v>-1.0</v>
      </c>
      <c r="G99" s="95">
        <v>2.2857142857142856</v>
      </c>
      <c r="H99" s="95">
        <v>0.0</v>
      </c>
    </row>
    <row r="100">
      <c r="A100" s="92" t="s">
        <v>350</v>
      </c>
      <c r="B100" s="95">
        <v>0.0</v>
      </c>
      <c r="C100" s="95">
        <v>0.5128205128205129</v>
      </c>
      <c r="D100" s="94">
        <v>0.0</v>
      </c>
      <c r="E100" s="95">
        <v>0.0</v>
      </c>
      <c r="F100" s="95">
        <v>0.0</v>
      </c>
      <c r="G100" s="95">
        <v>0.0</v>
      </c>
      <c r="H100" s="95">
        <v>0.0</v>
      </c>
    </row>
    <row r="101">
      <c r="A101" s="92" t="s">
        <v>353</v>
      </c>
      <c r="B101" s="95">
        <v>1.0256410256410258</v>
      </c>
      <c r="C101" s="95">
        <v>0.5128205128205128</v>
      </c>
      <c r="D101" s="94">
        <v>0.0</v>
      </c>
      <c r="E101" s="95">
        <v>0.0</v>
      </c>
      <c r="F101" s="95">
        <v>1.25</v>
      </c>
      <c r="G101" s="95">
        <v>-1.3333333333333333</v>
      </c>
      <c r="H101" s="95">
        <v>1.3333333333333333</v>
      </c>
    </row>
    <row r="102">
      <c r="A102" s="92" t="s">
        <v>205</v>
      </c>
      <c r="B102" s="95">
        <v>16.0</v>
      </c>
      <c r="C102" s="95">
        <v>0.5</v>
      </c>
      <c r="D102" s="94">
        <v>0.0</v>
      </c>
      <c r="E102" s="95">
        <v>4.0</v>
      </c>
      <c r="F102" s="95">
        <v>6.0</v>
      </c>
      <c r="G102" s="95">
        <v>6.0</v>
      </c>
      <c r="H102" s="95">
        <v>0.0</v>
      </c>
    </row>
    <row r="103">
      <c r="A103" s="92" t="s">
        <v>340</v>
      </c>
      <c r="B103" s="95">
        <v>4.0</v>
      </c>
      <c r="C103" s="95">
        <v>0.5</v>
      </c>
      <c r="D103" s="94">
        <v>0.0</v>
      </c>
      <c r="E103" s="95">
        <v>4.0</v>
      </c>
      <c r="F103" s="95">
        <v>2.0</v>
      </c>
      <c r="G103" s="95">
        <v>-2.0</v>
      </c>
      <c r="H103" s="95">
        <v>0.0</v>
      </c>
    </row>
    <row r="104">
      <c r="A104" s="92" t="s">
        <v>363</v>
      </c>
      <c r="B104" s="95">
        <v>0.0</v>
      </c>
      <c r="C104" s="95">
        <v>0.5</v>
      </c>
      <c r="D104" s="94">
        <v>0.0</v>
      </c>
      <c r="E104" s="95">
        <v>0.0</v>
      </c>
      <c r="F104" s="95">
        <v>0.0</v>
      </c>
      <c r="G104" s="95">
        <v>0.0</v>
      </c>
      <c r="H104" s="95">
        <v>0.0</v>
      </c>
    </row>
    <row r="105">
      <c r="A105" s="92" t="s">
        <v>232</v>
      </c>
      <c r="B105" s="95">
        <v>10.0</v>
      </c>
      <c r="C105" s="95">
        <v>0.4166666666666667</v>
      </c>
      <c r="D105" s="94">
        <v>0.0</v>
      </c>
      <c r="E105" s="95">
        <v>0.8888888888888888</v>
      </c>
      <c r="F105" s="95">
        <v>0.0</v>
      </c>
      <c r="G105" s="95">
        <v>3.3684210526315788</v>
      </c>
      <c r="H105" s="95">
        <v>6.222222222222222</v>
      </c>
    </row>
    <row r="106">
      <c r="A106" s="92" t="s">
        <v>365</v>
      </c>
      <c r="B106" s="95">
        <v>2.4242424242424243</v>
      </c>
      <c r="C106" s="95">
        <v>0.40404040404040403</v>
      </c>
      <c r="D106" s="94">
        <v>0.0</v>
      </c>
      <c r="E106" s="95">
        <v>1.5238095238095237</v>
      </c>
      <c r="F106" s="95">
        <v>0.0</v>
      </c>
      <c r="G106" s="95">
        <v>0.0</v>
      </c>
      <c r="H106" s="95">
        <v>0.8421052631578947</v>
      </c>
    </row>
    <row r="107">
      <c r="A107" s="92" t="s">
        <v>311</v>
      </c>
      <c r="B107" s="95">
        <v>4.8</v>
      </c>
      <c r="C107" s="95">
        <v>0.4</v>
      </c>
      <c r="D107" s="94">
        <v>0.0</v>
      </c>
      <c r="E107" s="95">
        <v>2.4</v>
      </c>
      <c r="F107" s="95">
        <v>2.4</v>
      </c>
      <c r="G107" s="95">
        <v>0.0</v>
      </c>
      <c r="H107" s="95">
        <v>0.0</v>
      </c>
    </row>
    <row r="108">
      <c r="A108" s="92" t="s">
        <v>287</v>
      </c>
      <c r="B108" s="95">
        <v>5.818181818181818</v>
      </c>
      <c r="C108" s="95">
        <v>0.36363636363636365</v>
      </c>
      <c r="D108" s="94">
        <v>0.0</v>
      </c>
      <c r="E108" s="95">
        <v>1.4545454545454546</v>
      </c>
      <c r="F108" s="95">
        <v>1.7777777777777777</v>
      </c>
      <c r="G108" s="95">
        <v>1.6</v>
      </c>
      <c r="H108" s="95">
        <v>1.3333333333333333</v>
      </c>
    </row>
    <row r="109">
      <c r="A109" s="92" t="s">
        <v>354</v>
      </c>
      <c r="B109" s="95">
        <v>2.7586206896551726</v>
      </c>
      <c r="C109" s="95">
        <v>0.3448275862068966</v>
      </c>
      <c r="D109" s="94">
        <v>0.0</v>
      </c>
      <c r="E109" s="95">
        <v>2.6666666666666665</v>
      </c>
      <c r="F109" s="95">
        <v>0.0</v>
      </c>
      <c r="G109" s="95">
        <v>1.3333333333333333</v>
      </c>
      <c r="H109" s="95">
        <v>-1.3333333333333333</v>
      </c>
    </row>
    <row r="110">
      <c r="A110" s="92" t="s">
        <v>395</v>
      </c>
      <c r="B110" s="95">
        <v>0.0</v>
      </c>
      <c r="C110" s="95">
        <v>0.3448275862068966</v>
      </c>
      <c r="D110" s="94">
        <v>0.0</v>
      </c>
      <c r="E110" s="95">
        <v>0.0</v>
      </c>
      <c r="F110" s="95">
        <v>0.0</v>
      </c>
      <c r="G110" s="95">
        <v>0.0</v>
      </c>
      <c r="H110" s="95">
        <v>0.0</v>
      </c>
    </row>
    <row r="111">
      <c r="A111" s="92" t="s">
        <v>355</v>
      </c>
      <c r="B111" s="95">
        <v>2.711864406779661</v>
      </c>
      <c r="C111" s="95">
        <v>0.3389830508474576</v>
      </c>
      <c r="D111" s="94">
        <v>0.0</v>
      </c>
      <c r="E111" s="95">
        <v>0.0</v>
      </c>
      <c r="F111" s="95">
        <v>0.0</v>
      </c>
      <c r="G111" s="95">
        <v>0.0</v>
      </c>
      <c r="H111" s="95">
        <v>3.2</v>
      </c>
    </row>
    <row r="112">
      <c r="A112" s="92" t="s">
        <v>323</v>
      </c>
      <c r="B112" s="95">
        <v>4.067796610169491</v>
      </c>
      <c r="C112" s="95">
        <v>0.33559322033898303</v>
      </c>
      <c r="D112" s="94">
        <v>0.0</v>
      </c>
      <c r="E112" s="95">
        <v>0.0</v>
      </c>
      <c r="F112" s="95">
        <v>0.0</v>
      </c>
      <c r="G112" s="95">
        <v>4.0</v>
      </c>
      <c r="H112" s="95">
        <v>0.0</v>
      </c>
    </row>
    <row r="113">
      <c r="A113" s="92" t="s">
        <v>262</v>
      </c>
      <c r="B113" s="95">
        <v>8.0</v>
      </c>
      <c r="C113" s="95">
        <v>0.3333333333333333</v>
      </c>
      <c r="D113" s="94">
        <v>0.0</v>
      </c>
      <c r="E113" s="95">
        <v>1.3333333333333333</v>
      </c>
      <c r="F113" s="95">
        <v>1.3333333333333333</v>
      </c>
      <c r="G113" s="95">
        <v>5.333333333333333</v>
      </c>
      <c r="H113" s="95">
        <v>0.0</v>
      </c>
    </row>
    <row r="114">
      <c r="A114" s="92" t="s">
        <v>327</v>
      </c>
      <c r="B114" s="95">
        <v>4.0</v>
      </c>
      <c r="C114" s="95">
        <v>0.3333333333333333</v>
      </c>
      <c r="D114" s="94">
        <v>0.0</v>
      </c>
      <c r="E114" s="95">
        <v>0.0</v>
      </c>
      <c r="F114" s="95">
        <v>0.0</v>
      </c>
      <c r="G114" s="95">
        <v>0.0</v>
      </c>
      <c r="H114" s="95">
        <v>4.0</v>
      </c>
    </row>
    <row r="115">
      <c r="A115" s="92" t="s">
        <v>358</v>
      </c>
      <c r="B115" s="95">
        <v>2.6666666666666665</v>
      </c>
      <c r="C115" s="95">
        <v>0.3333333333333333</v>
      </c>
      <c r="D115" s="94">
        <v>0.0</v>
      </c>
      <c r="E115" s="95">
        <v>0.0</v>
      </c>
      <c r="F115" s="95">
        <v>-1.3333333333333333</v>
      </c>
      <c r="G115" s="95">
        <v>4.0</v>
      </c>
      <c r="H115" s="95">
        <v>0.0</v>
      </c>
    </row>
    <row r="116">
      <c r="A116" s="92" t="s">
        <v>396</v>
      </c>
      <c r="B116" s="95">
        <v>0.0</v>
      </c>
      <c r="C116" s="95">
        <v>0.3333333333333333</v>
      </c>
      <c r="D116" s="94">
        <v>0.0</v>
      </c>
      <c r="E116" s="95">
        <v>0.0</v>
      </c>
      <c r="F116" s="95">
        <v>-1.3333333333333333</v>
      </c>
      <c r="G116" s="95">
        <v>1.3333333333333333</v>
      </c>
      <c r="H116" s="95">
        <v>0.0</v>
      </c>
    </row>
    <row r="117">
      <c r="A117" s="92" t="s">
        <v>397</v>
      </c>
      <c r="B117" s="95">
        <v>0.0</v>
      </c>
      <c r="C117" s="95">
        <v>0.3333333333333333</v>
      </c>
      <c r="D117" s="94">
        <v>0.0</v>
      </c>
      <c r="E117" s="95">
        <v>0.0</v>
      </c>
      <c r="F117" s="95">
        <v>-1.3333333333333333</v>
      </c>
      <c r="G117" s="95">
        <v>1.3333333333333333</v>
      </c>
      <c r="H117" s="95">
        <v>0.0</v>
      </c>
    </row>
    <row r="118">
      <c r="A118" s="92" t="s">
        <v>404</v>
      </c>
      <c r="B118" s="95">
        <v>-1.3333333333333333</v>
      </c>
      <c r="C118" s="95">
        <v>0.3333333333333333</v>
      </c>
      <c r="D118" s="94">
        <v>0.0</v>
      </c>
      <c r="E118" s="95">
        <v>0.0</v>
      </c>
      <c r="F118" s="95">
        <v>0.0</v>
      </c>
      <c r="G118" s="95">
        <v>0.0</v>
      </c>
      <c r="H118" s="95">
        <v>-1.3333333333333333</v>
      </c>
    </row>
    <row r="119">
      <c r="A119" s="92" t="s">
        <v>291</v>
      </c>
      <c r="B119" s="95">
        <v>5.711428571428571</v>
      </c>
      <c r="C119" s="95">
        <v>0.28285714285714286</v>
      </c>
      <c r="D119" s="94">
        <v>0.0</v>
      </c>
      <c r="E119" s="95">
        <v>0.0</v>
      </c>
      <c r="F119" s="95">
        <v>4.003333333333333</v>
      </c>
      <c r="G119" s="95">
        <v>1.33</v>
      </c>
      <c r="H119" s="95">
        <v>1.064</v>
      </c>
    </row>
    <row r="120">
      <c r="A120" s="92" t="s">
        <v>372</v>
      </c>
      <c r="B120" s="95">
        <v>2.191780821917808</v>
      </c>
      <c r="C120" s="95">
        <v>0.273972602739726</v>
      </c>
      <c r="D120" s="94">
        <v>0.0</v>
      </c>
      <c r="E120" s="95">
        <v>0.0</v>
      </c>
      <c r="F120" s="95">
        <v>1.0666666666666667</v>
      </c>
      <c r="G120" s="95">
        <v>0.0</v>
      </c>
      <c r="H120" s="95">
        <v>1.0666666666666667</v>
      </c>
    </row>
    <row r="121">
      <c r="A121" s="92" t="s">
        <v>305</v>
      </c>
      <c r="B121" s="95">
        <v>5.0</v>
      </c>
      <c r="C121" s="95">
        <v>0.25</v>
      </c>
      <c r="D121" s="94">
        <v>0.0</v>
      </c>
      <c r="E121" s="95">
        <v>0.0</v>
      </c>
      <c r="F121" s="95">
        <v>0.0</v>
      </c>
      <c r="G121" s="95">
        <v>1.0666666666666667</v>
      </c>
      <c r="H121" s="95">
        <v>4.0</v>
      </c>
    </row>
    <row r="122">
      <c r="A122" s="92" t="s">
        <v>276</v>
      </c>
      <c r="B122" s="95">
        <v>6.5979381443298974</v>
      </c>
      <c r="C122" s="95">
        <v>0.2061855670103093</v>
      </c>
      <c r="D122" s="94">
        <v>0.0</v>
      </c>
      <c r="E122" s="95">
        <v>0.8</v>
      </c>
      <c r="F122" s="95">
        <v>0.8</v>
      </c>
      <c r="G122" s="95">
        <v>0.0</v>
      </c>
      <c r="H122" s="95">
        <v>5.333333333333333</v>
      </c>
    </row>
    <row r="123">
      <c r="A123" s="92" t="s">
        <v>320</v>
      </c>
      <c r="B123" s="95">
        <v>4.081632653061225</v>
      </c>
      <c r="C123" s="95">
        <v>0.2040816326530612</v>
      </c>
      <c r="D123" s="94">
        <v>0.0</v>
      </c>
      <c r="E123" s="95">
        <v>1.6</v>
      </c>
      <c r="F123" s="95">
        <v>1.6</v>
      </c>
      <c r="G123" s="95">
        <v>0.8421052631578947</v>
      </c>
      <c r="H123" s="95">
        <v>0.0</v>
      </c>
    </row>
    <row r="124">
      <c r="A124" s="92" t="s">
        <v>364</v>
      </c>
      <c r="B124" s="95">
        <v>2.4242424242424243</v>
      </c>
      <c r="C124" s="95">
        <v>0.20202020202020202</v>
      </c>
      <c r="D124" s="94">
        <v>0.0</v>
      </c>
      <c r="E124" s="95">
        <v>0.0</v>
      </c>
      <c r="F124" s="95">
        <v>1.6</v>
      </c>
      <c r="G124" s="95">
        <v>0.0</v>
      </c>
      <c r="H124" s="95">
        <v>0.8421052631578947</v>
      </c>
    </row>
    <row r="125">
      <c r="A125" s="92" t="s">
        <v>368</v>
      </c>
      <c r="B125" s="95">
        <v>2.402</v>
      </c>
      <c r="C125" s="95">
        <v>0.198</v>
      </c>
      <c r="D125" s="94">
        <v>0.0</v>
      </c>
      <c r="E125" s="95">
        <v>0.0</v>
      </c>
      <c r="F125" s="95">
        <v>0.0</v>
      </c>
      <c r="G125" s="95">
        <v>2.402</v>
      </c>
      <c r="H125" s="95">
        <v>0.0</v>
      </c>
    </row>
    <row r="126">
      <c r="A126" s="92" t="s">
        <v>215</v>
      </c>
      <c r="B126" s="95">
        <v>12.244897959183673</v>
      </c>
      <c r="C126" s="95">
        <v>0.0</v>
      </c>
      <c r="D126" s="94">
        <v>0.0</v>
      </c>
      <c r="E126" s="95">
        <v>0.0</v>
      </c>
      <c r="F126" s="95">
        <v>3.2</v>
      </c>
      <c r="G126" s="95">
        <v>8.380952380952381</v>
      </c>
      <c r="H126" s="95">
        <v>0.0</v>
      </c>
    </row>
    <row r="127">
      <c r="A127" s="92" t="s">
        <v>223</v>
      </c>
      <c r="B127" s="95">
        <v>11.0</v>
      </c>
      <c r="C127" s="95">
        <v>0.0</v>
      </c>
      <c r="D127" s="94">
        <v>0.0</v>
      </c>
      <c r="E127" s="95">
        <v>1.0</v>
      </c>
      <c r="F127" s="95">
        <v>0.0</v>
      </c>
      <c r="G127" s="95">
        <v>0.0</v>
      </c>
      <c r="H127" s="95">
        <v>10.0</v>
      </c>
    </row>
    <row r="128">
      <c r="A128" s="92" t="s">
        <v>229</v>
      </c>
      <c r="B128" s="95">
        <v>10.38961038961039</v>
      </c>
      <c r="C128" s="95">
        <v>0.0</v>
      </c>
      <c r="D128" s="94">
        <v>0.0</v>
      </c>
      <c r="E128" s="95">
        <v>3.0</v>
      </c>
      <c r="F128" s="95">
        <v>1.0</v>
      </c>
      <c r="G128" s="95">
        <v>0.0</v>
      </c>
      <c r="H128" s="95">
        <v>6.857142857142857</v>
      </c>
    </row>
    <row r="129">
      <c r="A129" s="92" t="s">
        <v>230</v>
      </c>
      <c r="B129" s="95">
        <v>10.256410256410257</v>
      </c>
      <c r="C129" s="95">
        <v>0.0</v>
      </c>
      <c r="D129" s="94">
        <v>0.0</v>
      </c>
      <c r="E129" s="95">
        <v>2.0025</v>
      </c>
      <c r="F129" s="95">
        <v>4.266666666666667</v>
      </c>
      <c r="G129" s="95">
        <v>2.0025</v>
      </c>
      <c r="H129" s="95">
        <v>0.9975</v>
      </c>
    </row>
    <row r="130">
      <c r="A130" s="92" t="s">
        <v>234</v>
      </c>
      <c r="B130" s="95">
        <v>9.696969696969697</v>
      </c>
      <c r="C130" s="95">
        <v>0.0</v>
      </c>
      <c r="D130" s="94">
        <v>0.0</v>
      </c>
      <c r="E130" s="95">
        <v>0.8</v>
      </c>
      <c r="F130" s="95">
        <v>0.8</v>
      </c>
      <c r="G130" s="95">
        <v>8.0</v>
      </c>
      <c r="H130" s="95">
        <v>0.0</v>
      </c>
    </row>
    <row r="131">
      <c r="A131" s="92" t="s">
        <v>236</v>
      </c>
      <c r="B131" s="95">
        <v>9.35064935064935</v>
      </c>
      <c r="C131" s="95">
        <v>0.0</v>
      </c>
      <c r="D131" s="94">
        <v>0.0</v>
      </c>
      <c r="E131" s="95">
        <v>0.0</v>
      </c>
      <c r="F131" s="95">
        <v>4.266666666666667</v>
      </c>
      <c r="G131" s="95">
        <v>4.266666666666667</v>
      </c>
      <c r="H131" s="95">
        <v>1.0666666666666667</v>
      </c>
    </row>
    <row r="132">
      <c r="A132" s="92" t="s">
        <v>247</v>
      </c>
      <c r="B132" s="95">
        <v>8.421052631578947</v>
      </c>
      <c r="C132" s="95">
        <v>0.0</v>
      </c>
      <c r="D132" s="94">
        <v>0.0</v>
      </c>
      <c r="E132" s="95">
        <v>8.0</v>
      </c>
      <c r="F132" s="95">
        <v>0.0</v>
      </c>
      <c r="G132" s="95">
        <v>0.0</v>
      </c>
      <c r="H132" s="95">
        <v>0.0</v>
      </c>
    </row>
    <row r="133">
      <c r="A133" s="92" t="s">
        <v>250</v>
      </c>
      <c r="B133" s="95">
        <v>8.311688311688311</v>
      </c>
      <c r="C133" s="95">
        <v>0.0</v>
      </c>
      <c r="D133" s="94">
        <v>0.0</v>
      </c>
      <c r="E133" s="95">
        <v>1.0</v>
      </c>
      <c r="F133" s="95">
        <v>7.0</v>
      </c>
      <c r="G133" s="95">
        <v>0.0</v>
      </c>
      <c r="H133" s="95">
        <v>0.0</v>
      </c>
    </row>
    <row r="134">
      <c r="A134" s="92" t="s">
        <v>257</v>
      </c>
      <c r="B134" s="95">
        <v>8.078787878787878</v>
      </c>
      <c r="C134" s="95">
        <v>0.0</v>
      </c>
      <c r="D134" s="94">
        <v>0.0</v>
      </c>
      <c r="E134" s="95">
        <v>2.283809523809524</v>
      </c>
      <c r="F134" s="95">
        <v>0.8400000000000001</v>
      </c>
      <c r="G134" s="95">
        <v>4.8020000000000005</v>
      </c>
      <c r="H134" s="95">
        <v>0.0</v>
      </c>
    </row>
    <row r="135">
      <c r="A135" s="92" t="s">
        <v>258</v>
      </c>
      <c r="B135" s="95">
        <v>8.0</v>
      </c>
      <c r="C135" s="95">
        <v>0.0</v>
      </c>
      <c r="D135" s="94">
        <v>0.0</v>
      </c>
      <c r="E135" s="95">
        <v>0.0</v>
      </c>
      <c r="F135" s="95">
        <v>0.8</v>
      </c>
      <c r="G135" s="95">
        <v>0.8421052631578947</v>
      </c>
      <c r="H135" s="95">
        <v>6.4</v>
      </c>
    </row>
    <row r="136">
      <c r="A136" s="92" t="s">
        <v>260</v>
      </c>
      <c r="B136" s="95">
        <v>8.0</v>
      </c>
      <c r="C136" s="95">
        <v>0.0</v>
      </c>
      <c r="D136" s="94">
        <v>0.0</v>
      </c>
      <c r="E136" s="95">
        <v>0.0</v>
      </c>
      <c r="F136" s="95">
        <v>4.0</v>
      </c>
      <c r="G136" s="95">
        <v>0.0</v>
      </c>
      <c r="H136" s="95">
        <v>4.0</v>
      </c>
    </row>
    <row r="137">
      <c r="A137" s="92" t="s">
        <v>267</v>
      </c>
      <c r="B137" s="95">
        <v>7.2727272727272725</v>
      </c>
      <c r="C137" s="95">
        <v>0.0</v>
      </c>
      <c r="D137" s="94">
        <v>0.0</v>
      </c>
      <c r="E137" s="95">
        <v>0.7619047619047619</v>
      </c>
      <c r="F137" s="95">
        <v>5.054736842105264</v>
      </c>
      <c r="G137" s="95">
        <v>0.798</v>
      </c>
      <c r="H137" s="95">
        <v>0.8421052631578947</v>
      </c>
    </row>
    <row r="138">
      <c r="A138" s="92" t="s">
        <v>268</v>
      </c>
      <c r="B138" s="95">
        <v>7.2727272727272725</v>
      </c>
      <c r="C138" s="95">
        <v>0.0</v>
      </c>
      <c r="D138" s="94">
        <v>0.0</v>
      </c>
      <c r="E138" s="95">
        <v>7.2</v>
      </c>
      <c r="F138" s="95">
        <v>0.0</v>
      </c>
      <c r="G138" s="95">
        <v>0.0</v>
      </c>
      <c r="H138" s="95">
        <v>0.0</v>
      </c>
    </row>
    <row r="139">
      <c r="A139" s="92" t="s">
        <v>270</v>
      </c>
      <c r="B139" s="95">
        <v>7.17948717948718</v>
      </c>
      <c r="C139" s="95">
        <v>0.0</v>
      </c>
      <c r="D139" s="94">
        <v>0.0</v>
      </c>
      <c r="E139" s="95">
        <v>0.0</v>
      </c>
      <c r="F139" s="95">
        <v>0.0</v>
      </c>
      <c r="G139" s="95">
        <v>7.466666666666667</v>
      </c>
      <c r="H139" s="95">
        <v>0.0</v>
      </c>
    </row>
    <row r="140">
      <c r="A140" s="92" t="s">
        <v>277</v>
      </c>
      <c r="B140" s="95">
        <v>6.4646464646464645</v>
      </c>
      <c r="C140" s="95">
        <v>0.0</v>
      </c>
      <c r="D140" s="94">
        <v>0.0</v>
      </c>
      <c r="E140" s="95">
        <v>2.4</v>
      </c>
      <c r="F140" s="95">
        <v>0.8</v>
      </c>
      <c r="G140" s="95">
        <v>0.7619047619047619</v>
      </c>
      <c r="H140" s="95">
        <v>2.526315789473684</v>
      </c>
    </row>
    <row r="141">
      <c r="A141" s="92" t="s">
        <v>279</v>
      </c>
      <c r="B141" s="95">
        <v>6.4646464646464645</v>
      </c>
      <c r="C141" s="95">
        <v>0.0</v>
      </c>
      <c r="D141" s="94">
        <v>0.0</v>
      </c>
      <c r="E141" s="95">
        <v>0.0</v>
      </c>
      <c r="F141" s="95">
        <v>3.3684210526315788</v>
      </c>
      <c r="G141" s="95">
        <v>2.4</v>
      </c>
      <c r="H141" s="95">
        <v>0.8421052631578947</v>
      </c>
    </row>
    <row r="142">
      <c r="A142" s="92" t="s">
        <v>280</v>
      </c>
      <c r="B142" s="95">
        <v>6.153846153846154</v>
      </c>
      <c r="C142" s="95">
        <v>0.0</v>
      </c>
      <c r="D142" s="94">
        <v>0.0</v>
      </c>
      <c r="E142" s="95">
        <v>0.0</v>
      </c>
      <c r="F142" s="95">
        <v>0.0</v>
      </c>
      <c r="G142" s="95">
        <v>6.0</v>
      </c>
      <c r="H142" s="95">
        <v>0.0</v>
      </c>
    </row>
    <row r="143">
      <c r="A143" s="92" t="s">
        <v>281</v>
      </c>
      <c r="B143" s="95">
        <v>6.0</v>
      </c>
      <c r="C143" s="95">
        <v>0.0</v>
      </c>
      <c r="D143" s="94">
        <v>0.0</v>
      </c>
      <c r="E143" s="95">
        <v>1.0</v>
      </c>
      <c r="F143" s="95">
        <v>1.0</v>
      </c>
      <c r="G143" s="95">
        <v>2.0</v>
      </c>
      <c r="H143" s="95">
        <v>2.0</v>
      </c>
    </row>
    <row r="144">
      <c r="A144" s="92" t="s">
        <v>282</v>
      </c>
      <c r="B144" s="95">
        <v>6.0</v>
      </c>
      <c r="C144" s="95">
        <v>0.0</v>
      </c>
      <c r="D144" s="94">
        <v>0.0</v>
      </c>
      <c r="E144" s="95">
        <v>4.0</v>
      </c>
      <c r="F144" s="95">
        <v>0.0</v>
      </c>
      <c r="G144" s="95">
        <v>0.0</v>
      </c>
      <c r="H144" s="95">
        <v>2.0</v>
      </c>
    </row>
    <row r="145">
      <c r="A145" s="92" t="s">
        <v>284</v>
      </c>
      <c r="B145" s="95">
        <v>6.0</v>
      </c>
      <c r="C145" s="95">
        <v>0.0</v>
      </c>
      <c r="D145" s="94">
        <v>0.0</v>
      </c>
      <c r="E145" s="95">
        <v>2.0</v>
      </c>
      <c r="F145" s="95">
        <v>0.0</v>
      </c>
      <c r="G145" s="95">
        <v>4.0</v>
      </c>
      <c r="H145" s="95">
        <v>0.0</v>
      </c>
    </row>
    <row r="146">
      <c r="A146" s="92" t="s">
        <v>286</v>
      </c>
      <c r="B146" s="95">
        <v>5.8968421052631586</v>
      </c>
      <c r="C146" s="95">
        <v>0.0</v>
      </c>
      <c r="D146" s="94">
        <v>0.0</v>
      </c>
      <c r="E146" s="95">
        <v>1.6842105263157894</v>
      </c>
      <c r="F146" s="95">
        <v>1.7755555555555556</v>
      </c>
      <c r="G146" s="95">
        <v>0.0</v>
      </c>
      <c r="H146" s="95">
        <v>2.5242105263157897</v>
      </c>
    </row>
    <row r="147">
      <c r="A147" s="92" t="s">
        <v>296</v>
      </c>
      <c r="B147" s="95">
        <v>5.517241379310345</v>
      </c>
      <c r="C147" s="95">
        <v>0.0</v>
      </c>
      <c r="D147" s="94">
        <v>0.0</v>
      </c>
      <c r="E147" s="95">
        <v>2.6666666666666665</v>
      </c>
      <c r="F147" s="95">
        <v>0.0</v>
      </c>
      <c r="G147" s="95">
        <v>0.0</v>
      </c>
      <c r="H147" s="95">
        <v>2.6666666666666665</v>
      </c>
    </row>
    <row r="148">
      <c r="A148" s="92" t="s">
        <v>298</v>
      </c>
      <c r="B148" s="95">
        <v>5.420338983050847</v>
      </c>
      <c r="C148" s="95">
        <v>0.0</v>
      </c>
      <c r="D148" s="94">
        <v>0.0</v>
      </c>
      <c r="E148" s="95">
        <v>0.0</v>
      </c>
      <c r="F148" s="95">
        <v>0.0</v>
      </c>
      <c r="G148" s="95">
        <v>0.0</v>
      </c>
      <c r="H148" s="95">
        <v>5.8145454545454545</v>
      </c>
    </row>
    <row r="149">
      <c r="A149" s="92" t="s">
        <v>299</v>
      </c>
      <c r="B149" s="95">
        <v>5.333333333333333</v>
      </c>
      <c r="C149" s="95">
        <v>0.0</v>
      </c>
      <c r="D149" s="94">
        <v>0.0</v>
      </c>
      <c r="E149" s="95">
        <v>2.1333333333333333</v>
      </c>
      <c r="F149" s="95">
        <v>0.0</v>
      </c>
      <c r="G149" s="95">
        <v>0.0</v>
      </c>
      <c r="H149" s="95">
        <v>3.0</v>
      </c>
    </row>
    <row r="150">
      <c r="A150" s="92" t="s">
        <v>300</v>
      </c>
      <c r="B150" s="95">
        <v>5.333333333333333</v>
      </c>
      <c r="C150" s="95">
        <v>0.0</v>
      </c>
      <c r="D150" s="94">
        <v>0.0</v>
      </c>
      <c r="E150" s="95">
        <v>4.0</v>
      </c>
      <c r="F150" s="95">
        <v>0.0</v>
      </c>
      <c r="G150" s="95">
        <v>0.0</v>
      </c>
      <c r="H150" s="95">
        <v>1.4545454545454546</v>
      </c>
    </row>
    <row r="151">
      <c r="A151" s="92" t="s">
        <v>302</v>
      </c>
      <c r="B151" s="95">
        <v>5.333333333333333</v>
      </c>
      <c r="C151" s="95">
        <v>0.0</v>
      </c>
      <c r="D151" s="94">
        <v>0.0</v>
      </c>
      <c r="E151" s="95">
        <v>0.0</v>
      </c>
      <c r="F151" s="95">
        <v>5.333333333333333</v>
      </c>
      <c r="G151" s="95">
        <v>0.0</v>
      </c>
      <c r="H151" s="95">
        <v>0.0</v>
      </c>
    </row>
    <row r="152">
      <c r="A152" s="92" t="s">
        <v>310</v>
      </c>
      <c r="B152" s="95">
        <v>4.8</v>
      </c>
      <c r="C152" s="95">
        <v>0.0</v>
      </c>
      <c r="D152" s="94">
        <v>0.0</v>
      </c>
      <c r="E152" s="95">
        <v>0.0</v>
      </c>
      <c r="F152" s="95">
        <v>1.6</v>
      </c>
      <c r="G152" s="95">
        <v>3.3684210526315788</v>
      </c>
      <c r="H152" s="95">
        <v>0.0</v>
      </c>
    </row>
    <row r="153">
      <c r="A153" s="92" t="s">
        <v>316</v>
      </c>
      <c r="B153" s="95">
        <v>4.102564102564103</v>
      </c>
      <c r="C153" s="95">
        <v>0.0</v>
      </c>
      <c r="D153" s="94">
        <v>0.0</v>
      </c>
      <c r="E153" s="95">
        <v>0.0</v>
      </c>
      <c r="F153" s="95">
        <v>0.0</v>
      </c>
      <c r="G153" s="95">
        <v>0.0</v>
      </c>
      <c r="H153" s="95">
        <v>4.571428571428571</v>
      </c>
    </row>
    <row r="154">
      <c r="A154" s="92" t="s">
        <v>319</v>
      </c>
      <c r="B154" s="95">
        <v>4.083673469387755</v>
      </c>
      <c r="C154" s="95">
        <v>0.0</v>
      </c>
      <c r="D154" s="94">
        <v>0.0</v>
      </c>
      <c r="E154" s="95">
        <v>1.6</v>
      </c>
      <c r="F154" s="95">
        <v>0.0</v>
      </c>
      <c r="G154" s="95">
        <v>0.0</v>
      </c>
      <c r="H154" s="95">
        <v>2.528421052631579</v>
      </c>
    </row>
    <row r="155">
      <c r="A155" s="92" t="s">
        <v>322</v>
      </c>
      <c r="B155" s="95">
        <v>4.067796610169491</v>
      </c>
      <c r="C155" s="95">
        <v>0.0</v>
      </c>
      <c r="D155" s="94">
        <v>0.0</v>
      </c>
      <c r="E155" s="95">
        <v>0.0</v>
      </c>
      <c r="F155" s="95">
        <v>0.0</v>
      </c>
      <c r="G155" s="95">
        <v>0.0</v>
      </c>
      <c r="H155" s="95">
        <v>4.0</v>
      </c>
    </row>
    <row r="156">
      <c r="A156" s="92" t="s">
        <v>324</v>
      </c>
      <c r="B156" s="95">
        <v>4.0506329113924044</v>
      </c>
      <c r="C156" s="95">
        <v>0.0</v>
      </c>
      <c r="D156" s="94">
        <v>0.0</v>
      </c>
      <c r="E156" s="95">
        <v>0.0</v>
      </c>
      <c r="F156" s="95">
        <v>2.0</v>
      </c>
      <c r="G156" s="95">
        <v>2.0</v>
      </c>
      <c r="H156" s="95">
        <v>0.0</v>
      </c>
    </row>
    <row r="157">
      <c r="A157" s="92" t="s">
        <v>326</v>
      </c>
      <c r="B157" s="95">
        <v>4.0</v>
      </c>
      <c r="C157" s="95">
        <v>0.0</v>
      </c>
      <c r="D157" s="94">
        <v>0.0</v>
      </c>
      <c r="E157" s="95">
        <v>0.0</v>
      </c>
      <c r="F157" s="95">
        <v>0.0</v>
      </c>
      <c r="G157" s="95">
        <v>0.0</v>
      </c>
      <c r="H157" s="95">
        <v>4.0</v>
      </c>
    </row>
    <row r="158">
      <c r="A158" s="92" t="s">
        <v>329</v>
      </c>
      <c r="B158" s="95">
        <v>4.0</v>
      </c>
      <c r="C158" s="95">
        <v>0.0</v>
      </c>
      <c r="D158" s="94">
        <v>0.0</v>
      </c>
      <c r="E158" s="95">
        <v>0.0</v>
      </c>
      <c r="F158" s="95">
        <v>0.0</v>
      </c>
      <c r="G158" s="95">
        <v>0.0</v>
      </c>
      <c r="H158" s="95">
        <v>4.0</v>
      </c>
    </row>
    <row r="159">
      <c r="A159" s="92" t="s">
        <v>330</v>
      </c>
      <c r="B159" s="95">
        <v>4.0</v>
      </c>
      <c r="C159" s="95">
        <v>0.0</v>
      </c>
      <c r="D159" s="94">
        <v>0.0</v>
      </c>
      <c r="E159" s="95">
        <v>0.0</v>
      </c>
      <c r="F159" s="95">
        <v>0.0</v>
      </c>
      <c r="G159" s="95">
        <v>3.2</v>
      </c>
      <c r="H159" s="95">
        <v>1.0</v>
      </c>
    </row>
    <row r="160">
      <c r="A160" s="92" t="s">
        <v>333</v>
      </c>
      <c r="B160" s="95">
        <v>4.0</v>
      </c>
      <c r="C160" s="95">
        <v>0.0</v>
      </c>
      <c r="D160" s="94">
        <v>0.0</v>
      </c>
      <c r="E160" s="95">
        <v>0.0</v>
      </c>
      <c r="F160" s="95">
        <v>0.0</v>
      </c>
      <c r="G160" s="95">
        <v>4.0</v>
      </c>
      <c r="H160" s="95">
        <v>0.0</v>
      </c>
    </row>
    <row r="161">
      <c r="A161" s="92" t="s">
        <v>334</v>
      </c>
      <c r="B161" s="95">
        <v>4.0</v>
      </c>
      <c r="C161" s="95">
        <v>0.0</v>
      </c>
      <c r="D161" s="94">
        <v>0.0</v>
      </c>
      <c r="E161" s="95">
        <v>0.9411764705882353</v>
      </c>
      <c r="F161" s="95">
        <v>0.0</v>
      </c>
      <c r="G161" s="95">
        <v>3.2</v>
      </c>
      <c r="H161" s="95">
        <v>0.0</v>
      </c>
    </row>
    <row r="162">
      <c r="A162" s="92" t="s">
        <v>335</v>
      </c>
      <c r="B162" s="95">
        <v>4.0</v>
      </c>
      <c r="C162" s="95">
        <v>0.0</v>
      </c>
      <c r="D162" s="94">
        <v>0.0</v>
      </c>
      <c r="E162" s="95">
        <v>1.0</v>
      </c>
      <c r="F162" s="95">
        <v>1.0</v>
      </c>
      <c r="G162" s="95">
        <v>2.0</v>
      </c>
      <c r="H162" s="95">
        <v>0.0</v>
      </c>
    </row>
    <row r="163">
      <c r="A163" s="92" t="s">
        <v>336</v>
      </c>
      <c r="B163" s="95">
        <v>4.0</v>
      </c>
      <c r="C163" s="95">
        <v>0.0</v>
      </c>
      <c r="D163" s="94">
        <v>0.0</v>
      </c>
      <c r="E163" s="95">
        <v>0.0</v>
      </c>
      <c r="F163" s="95">
        <v>2.4</v>
      </c>
      <c r="G163" s="95">
        <v>1.6</v>
      </c>
      <c r="H163" s="95">
        <v>0.0</v>
      </c>
    </row>
    <row r="164">
      <c r="A164" s="92" t="s">
        <v>337</v>
      </c>
      <c r="B164" s="95">
        <v>4.0</v>
      </c>
      <c r="C164" s="95">
        <v>0.0</v>
      </c>
      <c r="D164" s="94">
        <v>0.0</v>
      </c>
      <c r="E164" s="95">
        <v>0.0</v>
      </c>
      <c r="F164" s="95">
        <v>4.0</v>
      </c>
      <c r="G164" s="95">
        <v>0.0</v>
      </c>
      <c r="H164" s="95">
        <v>0.0</v>
      </c>
    </row>
    <row r="165">
      <c r="A165" s="92" t="s">
        <v>338</v>
      </c>
      <c r="B165" s="95">
        <v>4.0</v>
      </c>
      <c r="C165" s="95">
        <v>0.0</v>
      </c>
      <c r="D165" s="94">
        <v>0.0</v>
      </c>
      <c r="E165" s="95">
        <v>2.4615384615384617</v>
      </c>
      <c r="F165" s="95">
        <v>1.3333333333333333</v>
      </c>
      <c r="G165" s="95">
        <v>0.0</v>
      </c>
      <c r="H165" s="95">
        <v>0.0</v>
      </c>
    </row>
    <row r="166">
      <c r="A166" s="92" t="s">
        <v>342</v>
      </c>
      <c r="B166" s="95">
        <v>3.404255319148936</v>
      </c>
      <c r="C166" s="95">
        <v>0.0</v>
      </c>
      <c r="D166" s="94">
        <v>0.0</v>
      </c>
      <c r="E166" s="95">
        <v>1.7777777777777777</v>
      </c>
      <c r="F166" s="95">
        <v>0.8421052631578947</v>
      </c>
      <c r="G166" s="95">
        <v>0.8421052631578947</v>
      </c>
      <c r="H166" s="95">
        <v>0.0</v>
      </c>
    </row>
    <row r="167">
      <c r="A167" s="92" t="s">
        <v>345</v>
      </c>
      <c r="B167" s="95">
        <v>3.2323232323232323</v>
      </c>
      <c r="C167" s="95">
        <v>0.0</v>
      </c>
      <c r="D167" s="94">
        <v>0.0</v>
      </c>
      <c r="E167" s="95">
        <v>0.8</v>
      </c>
      <c r="F167" s="95">
        <v>0.8</v>
      </c>
      <c r="G167" s="95">
        <v>1.6</v>
      </c>
      <c r="H167" s="95">
        <v>0.0</v>
      </c>
    </row>
    <row r="168">
      <c r="A168" s="92" t="s">
        <v>349</v>
      </c>
      <c r="B168" s="95">
        <v>2.807017543859649</v>
      </c>
      <c r="C168" s="95">
        <v>0.0</v>
      </c>
      <c r="D168" s="94">
        <v>0.0</v>
      </c>
      <c r="E168" s="95">
        <v>0.0</v>
      </c>
      <c r="F168" s="95">
        <v>0.0</v>
      </c>
      <c r="G168" s="95">
        <v>0.0</v>
      </c>
      <c r="H168" s="95">
        <v>2.909090909090909</v>
      </c>
    </row>
    <row r="169">
      <c r="A169" s="92" t="s">
        <v>351</v>
      </c>
      <c r="B169" s="95">
        <v>2.7586206896551726</v>
      </c>
      <c r="C169" s="95">
        <v>0.0</v>
      </c>
      <c r="D169" s="94">
        <v>0.0</v>
      </c>
      <c r="E169" s="95">
        <v>0.0</v>
      </c>
      <c r="F169" s="95">
        <v>1.3333333333333333</v>
      </c>
      <c r="G169" s="95">
        <v>0.0</v>
      </c>
      <c r="H169" s="95">
        <v>1.4545454545454546</v>
      </c>
    </row>
    <row r="170">
      <c r="A170" s="92" t="s">
        <v>357</v>
      </c>
      <c r="B170" s="95">
        <v>2.6666666666666665</v>
      </c>
      <c r="C170" s="95">
        <v>0.0</v>
      </c>
      <c r="D170" s="94">
        <v>0.0</v>
      </c>
      <c r="E170" s="95">
        <v>0.0</v>
      </c>
      <c r="F170" s="95">
        <v>0.0</v>
      </c>
      <c r="G170" s="95">
        <v>0.0</v>
      </c>
      <c r="H170" s="95">
        <v>2.6666666666666665</v>
      </c>
    </row>
    <row r="171">
      <c r="A171" s="92" t="s">
        <v>361</v>
      </c>
      <c r="B171" s="95">
        <v>2.55531914893617</v>
      </c>
      <c r="C171" s="95">
        <v>0.0</v>
      </c>
      <c r="D171" s="94">
        <v>0.0</v>
      </c>
      <c r="E171" s="95">
        <v>1.6821052631578948</v>
      </c>
      <c r="F171" s="95">
        <v>0.8866666666666667</v>
      </c>
      <c r="G171" s="95">
        <v>0.0</v>
      </c>
      <c r="H171" s="95">
        <v>0.0</v>
      </c>
    </row>
    <row r="172">
      <c r="A172" s="92" t="s">
        <v>366</v>
      </c>
      <c r="B172" s="95">
        <v>2.4242424242424243</v>
      </c>
      <c r="C172" s="95">
        <v>0.0</v>
      </c>
      <c r="D172" s="94">
        <v>0.0</v>
      </c>
      <c r="E172" s="95">
        <v>0.0</v>
      </c>
      <c r="F172" s="95">
        <v>0.0</v>
      </c>
      <c r="G172" s="95">
        <v>2.6666666666666665</v>
      </c>
      <c r="H172" s="95">
        <v>0.0</v>
      </c>
    </row>
    <row r="173">
      <c r="A173" s="92" t="s">
        <v>367</v>
      </c>
      <c r="B173" s="95">
        <v>2.4242424242424243</v>
      </c>
      <c r="C173" s="95">
        <v>0.0</v>
      </c>
      <c r="D173" s="94">
        <v>0.0</v>
      </c>
      <c r="E173" s="95">
        <v>0.0</v>
      </c>
      <c r="F173" s="95">
        <v>0.0</v>
      </c>
      <c r="G173" s="95">
        <v>2.4</v>
      </c>
      <c r="H173" s="95">
        <v>0.0</v>
      </c>
    </row>
    <row r="174">
      <c r="A174" s="92" t="s">
        <v>370</v>
      </c>
      <c r="B174" s="95">
        <v>2.4</v>
      </c>
      <c r="C174" s="95">
        <v>0.0</v>
      </c>
      <c r="D174" s="94">
        <v>0.0</v>
      </c>
      <c r="E174" s="95">
        <v>0.0</v>
      </c>
      <c r="F174" s="95">
        <v>2.4</v>
      </c>
      <c r="G174" s="95">
        <v>0.0</v>
      </c>
      <c r="H174" s="95">
        <v>0.0</v>
      </c>
    </row>
    <row r="175">
      <c r="A175" s="92" t="s">
        <v>373</v>
      </c>
      <c r="B175" s="95">
        <v>2.162162162162162</v>
      </c>
      <c r="C175" s="95">
        <v>0.0</v>
      </c>
      <c r="D175" s="94">
        <v>0.0</v>
      </c>
      <c r="E175" s="95">
        <v>0.0</v>
      </c>
      <c r="F175" s="95">
        <v>2.0</v>
      </c>
      <c r="G175" s="95">
        <v>0.0</v>
      </c>
      <c r="H175" s="95">
        <v>0.0</v>
      </c>
    </row>
    <row r="176">
      <c r="A176" s="92" t="s">
        <v>374</v>
      </c>
      <c r="B176" s="95">
        <v>2.1052631578947367</v>
      </c>
      <c r="C176" s="95">
        <v>0.0</v>
      </c>
      <c r="D176" s="94">
        <v>0.0</v>
      </c>
      <c r="E176" s="95">
        <v>0.0</v>
      </c>
      <c r="F176" s="95">
        <v>0.0</v>
      </c>
      <c r="G176" s="95">
        <v>0.0</v>
      </c>
      <c r="H176" s="95">
        <v>2.2857142857142856</v>
      </c>
    </row>
    <row r="177">
      <c r="A177" s="92" t="s">
        <v>375</v>
      </c>
      <c r="B177" s="95">
        <v>2.0512820512820515</v>
      </c>
      <c r="C177" s="95">
        <v>0.0</v>
      </c>
      <c r="D177" s="94">
        <v>0.0</v>
      </c>
      <c r="E177" s="95">
        <v>0.0</v>
      </c>
      <c r="F177" s="95">
        <v>0.0</v>
      </c>
      <c r="G177" s="95">
        <v>0.0</v>
      </c>
      <c r="H177" s="95">
        <v>2.1333333333333333</v>
      </c>
    </row>
    <row r="178">
      <c r="A178" s="92" t="s">
        <v>377</v>
      </c>
      <c r="B178" s="95">
        <v>2.0512820512820515</v>
      </c>
      <c r="C178" s="95">
        <v>0.0</v>
      </c>
      <c r="D178" s="94">
        <v>0.0</v>
      </c>
      <c r="E178" s="95">
        <v>0.0</v>
      </c>
      <c r="F178" s="95">
        <v>0.0</v>
      </c>
      <c r="G178" s="95">
        <v>2.0</v>
      </c>
      <c r="H178" s="95">
        <v>0.0</v>
      </c>
    </row>
    <row r="179">
      <c r="A179" s="92" t="s">
        <v>379</v>
      </c>
      <c r="B179" s="95">
        <v>2.0</v>
      </c>
      <c r="C179" s="95">
        <v>0.0</v>
      </c>
      <c r="D179" s="94">
        <v>0.0</v>
      </c>
      <c r="E179" s="95">
        <v>0.0</v>
      </c>
      <c r="F179" s="95">
        <v>0.0</v>
      </c>
      <c r="G179" s="95">
        <v>0.0</v>
      </c>
      <c r="H179" s="95">
        <v>2.0</v>
      </c>
    </row>
    <row r="180">
      <c r="A180" s="92" t="s">
        <v>380</v>
      </c>
      <c r="B180" s="95">
        <v>2.0</v>
      </c>
      <c r="C180" s="95">
        <v>0.0</v>
      </c>
      <c r="D180" s="94">
        <v>0.0</v>
      </c>
      <c r="E180" s="95">
        <v>0.0</v>
      </c>
      <c r="F180" s="95">
        <v>0.0</v>
      </c>
      <c r="G180" s="95">
        <v>0.0</v>
      </c>
      <c r="H180" s="95">
        <v>2.0</v>
      </c>
    </row>
    <row r="181">
      <c r="A181" s="92" t="s">
        <v>381</v>
      </c>
      <c r="B181" s="95">
        <v>2.0</v>
      </c>
      <c r="C181" s="95">
        <v>0.0</v>
      </c>
      <c r="D181" s="94">
        <v>0.0</v>
      </c>
      <c r="E181" s="95">
        <v>0.0</v>
      </c>
      <c r="F181" s="95">
        <v>1.0</v>
      </c>
      <c r="G181" s="95">
        <v>1.0</v>
      </c>
      <c r="H181" s="95">
        <v>0.0</v>
      </c>
    </row>
    <row r="182">
      <c r="A182" s="92" t="s">
        <v>382</v>
      </c>
      <c r="B182" s="95">
        <v>2.0</v>
      </c>
      <c r="C182" s="95">
        <v>0.0</v>
      </c>
      <c r="D182" s="94">
        <v>0.0</v>
      </c>
      <c r="E182" s="95">
        <v>0.0</v>
      </c>
      <c r="F182" s="95">
        <v>2.0</v>
      </c>
      <c r="G182" s="95">
        <v>0.0</v>
      </c>
      <c r="H182" s="95">
        <v>0.0</v>
      </c>
    </row>
    <row r="183">
      <c r="A183" s="92" t="s">
        <v>383</v>
      </c>
      <c r="B183" s="95">
        <v>2.0</v>
      </c>
      <c r="C183" s="95">
        <v>0.0</v>
      </c>
      <c r="D183" s="94">
        <v>0.0</v>
      </c>
      <c r="E183" s="95">
        <v>0.0</v>
      </c>
      <c r="F183" s="95">
        <v>2.0</v>
      </c>
      <c r="G183" s="95">
        <v>0.0</v>
      </c>
      <c r="H183" s="95">
        <v>0.0</v>
      </c>
    </row>
    <row r="184">
      <c r="A184" s="92" t="s">
        <v>384</v>
      </c>
      <c r="B184" s="95">
        <v>1.6306122448979592</v>
      </c>
      <c r="C184" s="95">
        <v>0.0</v>
      </c>
      <c r="D184" s="94">
        <v>0.0</v>
      </c>
      <c r="E184" s="95">
        <v>0.798</v>
      </c>
      <c r="F184" s="95">
        <v>0.8</v>
      </c>
      <c r="G184" s="95">
        <v>0.0</v>
      </c>
      <c r="H184" s="95">
        <v>0.0</v>
      </c>
    </row>
    <row r="185">
      <c r="A185" s="92" t="s">
        <v>385</v>
      </c>
      <c r="B185" s="95">
        <v>1.6</v>
      </c>
      <c r="C185" s="95">
        <v>0.0</v>
      </c>
      <c r="D185" s="94">
        <v>0.0</v>
      </c>
      <c r="E185" s="95">
        <v>0.0</v>
      </c>
      <c r="F185" s="95">
        <v>0.8</v>
      </c>
      <c r="G185" s="95">
        <v>0.8</v>
      </c>
      <c r="H185" s="95">
        <v>0.0</v>
      </c>
    </row>
    <row r="186">
      <c r="A186" s="92" t="s">
        <v>390</v>
      </c>
      <c r="B186" s="95">
        <v>1.3333333333333333</v>
      </c>
      <c r="C186" s="95">
        <v>0.0</v>
      </c>
      <c r="D186" s="94">
        <v>0.0</v>
      </c>
      <c r="E186" s="95">
        <v>1.3333333333333333</v>
      </c>
      <c r="F186" s="95">
        <v>0.0</v>
      </c>
      <c r="G186" s="95">
        <v>0.0</v>
      </c>
      <c r="H186" s="95">
        <v>0.0</v>
      </c>
    </row>
    <row r="187">
      <c r="A187" s="92" t="s">
        <v>392</v>
      </c>
      <c r="B187" s="95">
        <v>1.0256410256410258</v>
      </c>
      <c r="C187" s="95">
        <v>0.0</v>
      </c>
      <c r="D187" s="94">
        <v>0.0</v>
      </c>
      <c r="E187" s="95">
        <v>1.25</v>
      </c>
      <c r="F187" s="95">
        <v>0.0</v>
      </c>
      <c r="G187" s="95">
        <v>0.0</v>
      </c>
      <c r="H187" s="95">
        <v>0.0</v>
      </c>
    </row>
    <row r="188">
      <c r="A188" s="92" t="s">
        <v>394</v>
      </c>
      <c r="B188" s="95">
        <v>1.0</v>
      </c>
      <c r="C188" s="95">
        <v>0.0</v>
      </c>
      <c r="D188" s="94">
        <v>0.0</v>
      </c>
      <c r="E188" s="95">
        <v>1.0</v>
      </c>
      <c r="F188" s="95">
        <v>0.0</v>
      </c>
      <c r="G188" s="95">
        <v>0.0</v>
      </c>
      <c r="H188" s="95">
        <v>0.0</v>
      </c>
    </row>
    <row r="189">
      <c r="A189" s="92" t="s">
        <v>398</v>
      </c>
      <c r="B189" s="95">
        <v>0.0</v>
      </c>
      <c r="C189" s="95">
        <v>0.0</v>
      </c>
      <c r="D189" s="94">
        <v>0.0</v>
      </c>
      <c r="E189" s="95">
        <v>0.0</v>
      </c>
      <c r="F189" s="95">
        <v>0.0</v>
      </c>
      <c r="G189" s="95">
        <v>0.0</v>
      </c>
      <c r="H189" s="95">
        <v>0.0</v>
      </c>
    </row>
    <row r="190">
      <c r="A190" s="92" t="s">
        <v>399</v>
      </c>
      <c r="B190" s="95">
        <v>0.0</v>
      </c>
      <c r="C190" s="95">
        <v>0.0</v>
      </c>
      <c r="D190" s="94">
        <v>0.0</v>
      </c>
      <c r="E190" s="95">
        <v>0.0</v>
      </c>
      <c r="F190" s="95">
        <v>0.0</v>
      </c>
      <c r="G190" s="95">
        <v>0.0</v>
      </c>
      <c r="H190" s="95">
        <v>0.0</v>
      </c>
    </row>
    <row r="191">
      <c r="A191" s="92" t="s">
        <v>400</v>
      </c>
      <c r="B191" s="95">
        <v>0.0</v>
      </c>
      <c r="C191" s="95">
        <v>0.0</v>
      </c>
      <c r="D191" s="94">
        <v>0.0</v>
      </c>
      <c r="E191" s="95">
        <v>0.0</v>
      </c>
      <c r="F191" s="95">
        <v>0.0</v>
      </c>
      <c r="G191" s="95">
        <v>0.0</v>
      </c>
      <c r="H191" s="95">
        <v>0.0</v>
      </c>
    </row>
    <row r="192">
      <c r="A192" s="92" t="s">
        <v>401</v>
      </c>
      <c r="B192" s="95">
        <v>0.0</v>
      </c>
      <c r="C192" s="95">
        <v>0.0</v>
      </c>
      <c r="D192" s="94">
        <v>0.0</v>
      </c>
      <c r="E192" s="95">
        <v>0.0</v>
      </c>
      <c r="F192" s="95">
        <v>0.0</v>
      </c>
      <c r="G192" s="95">
        <v>0.0</v>
      </c>
      <c r="H192" s="95">
        <v>0.0</v>
      </c>
    </row>
    <row r="193">
      <c r="A193" s="92" t="s">
        <v>402</v>
      </c>
      <c r="B193" s="95">
        <v>0.0</v>
      </c>
      <c r="C193" s="95">
        <v>0.0</v>
      </c>
      <c r="D193" s="94">
        <v>0.0</v>
      </c>
      <c r="E193" s="95">
        <v>0.0</v>
      </c>
      <c r="F193" s="95">
        <v>0.0</v>
      </c>
      <c r="G193" s="95">
        <v>0.0</v>
      </c>
      <c r="H193" s="95">
        <v>0.0</v>
      </c>
    </row>
    <row r="194">
      <c r="A194" s="92" t="s">
        <v>403</v>
      </c>
      <c r="B194" s="95">
        <v>0.0</v>
      </c>
      <c r="C194" s="95">
        <v>0.0</v>
      </c>
      <c r="D194" s="94">
        <v>0.0</v>
      </c>
      <c r="E194" s="95">
        <v>0.0</v>
      </c>
      <c r="F194" s="95">
        <v>0.0</v>
      </c>
      <c r="G194" s="95">
        <v>0.0</v>
      </c>
      <c r="H194" s="95">
        <v>0.0</v>
      </c>
    </row>
    <row r="195">
      <c r="A195" s="92" t="s">
        <v>405</v>
      </c>
      <c r="B195" s="95">
        <v>0.0</v>
      </c>
      <c r="C195" s="95">
        <v>0.0</v>
      </c>
      <c r="D195" s="94">
        <v>0.0</v>
      </c>
      <c r="E195" s="95">
        <v>0.0</v>
      </c>
      <c r="F195" s="95">
        <v>0.0</v>
      </c>
      <c r="G195" s="95">
        <v>0.0</v>
      </c>
      <c r="H195" s="95">
        <v>0.0</v>
      </c>
    </row>
    <row r="196">
      <c r="A196" s="92" t="s">
        <v>406</v>
      </c>
      <c r="B196" s="95">
        <v>0.0</v>
      </c>
      <c r="C196" s="95">
        <v>0.0</v>
      </c>
      <c r="D196" s="94">
        <v>0.0</v>
      </c>
      <c r="E196" s="95">
        <v>0.0</v>
      </c>
      <c r="F196" s="95">
        <v>0.0</v>
      </c>
      <c r="G196" s="95">
        <v>0.0</v>
      </c>
      <c r="H196" s="95">
        <v>0.0</v>
      </c>
    </row>
    <row r="197">
      <c r="A197" s="92" t="s">
        <v>407</v>
      </c>
      <c r="B197" s="95">
        <v>0.0</v>
      </c>
      <c r="C197" s="95">
        <v>0.0</v>
      </c>
      <c r="D197" s="94">
        <v>0.0</v>
      </c>
      <c r="E197" s="95">
        <v>0.0</v>
      </c>
      <c r="F197" s="95">
        <v>0.0</v>
      </c>
      <c r="G197" s="95">
        <v>0.0</v>
      </c>
      <c r="H197" s="95">
        <v>0.0</v>
      </c>
    </row>
    <row r="198">
      <c r="A198" s="92" t="s">
        <v>408</v>
      </c>
      <c r="B198" s="95">
        <v>0.0</v>
      </c>
      <c r="C198" s="95">
        <v>0.0</v>
      </c>
      <c r="D198" s="94">
        <v>0.0</v>
      </c>
      <c r="E198" s="95">
        <v>0.0</v>
      </c>
      <c r="F198" s="95">
        <v>0.0</v>
      </c>
      <c r="G198" s="95">
        <v>0.0</v>
      </c>
      <c r="H198" s="95">
        <v>0.0</v>
      </c>
    </row>
    <row r="199">
      <c r="A199" s="92" t="s">
        <v>409</v>
      </c>
      <c r="B199" s="95">
        <v>0.0</v>
      </c>
      <c r="C199" s="95">
        <v>0.0</v>
      </c>
      <c r="D199" s="94">
        <v>0.0</v>
      </c>
      <c r="E199" s="95">
        <v>0.0</v>
      </c>
      <c r="F199" s="95">
        <v>0.0</v>
      </c>
      <c r="G199" s="95">
        <v>0.0</v>
      </c>
      <c r="H199" s="95">
        <v>0.0</v>
      </c>
    </row>
    <row r="200">
      <c r="A200" s="92" t="s">
        <v>410</v>
      </c>
      <c r="B200" s="95">
        <v>0.0</v>
      </c>
      <c r="C200" s="95">
        <v>0.0</v>
      </c>
      <c r="D200" s="94">
        <v>0.0</v>
      </c>
      <c r="E200" s="95">
        <v>0.0</v>
      </c>
      <c r="F200" s="95">
        <v>0.0</v>
      </c>
      <c r="G200" s="95">
        <v>0.0</v>
      </c>
      <c r="H200" s="95">
        <v>0.0</v>
      </c>
    </row>
    <row r="201">
      <c r="A201" s="92" t="s">
        <v>411</v>
      </c>
      <c r="B201" s="95">
        <v>0.0</v>
      </c>
      <c r="C201" s="95">
        <v>0.0</v>
      </c>
      <c r="D201" s="94">
        <v>0.0</v>
      </c>
      <c r="E201" s="95">
        <v>0.0</v>
      </c>
      <c r="F201" s="95">
        <v>0.0</v>
      </c>
      <c r="G201" s="95">
        <v>0.0</v>
      </c>
      <c r="H201" s="95">
        <v>0.0</v>
      </c>
    </row>
    <row r="202">
      <c r="A202" s="92" t="s">
        <v>293</v>
      </c>
      <c r="B202" s="95">
        <v>5.6</v>
      </c>
      <c r="C202" s="95">
        <v>0.8</v>
      </c>
      <c r="D202" s="94">
        <v>-0.8</v>
      </c>
      <c r="E202" s="95">
        <v>0.8</v>
      </c>
      <c r="F202" s="95">
        <v>2.4</v>
      </c>
      <c r="G202" s="95">
        <v>0.8</v>
      </c>
      <c r="H202" s="95">
        <v>2.4</v>
      </c>
    </row>
    <row r="203">
      <c r="A203" s="92" t="s">
        <v>360</v>
      </c>
      <c r="B203" s="95">
        <v>0.0</v>
      </c>
      <c r="C203" s="95">
        <v>0.5</v>
      </c>
      <c r="D203" s="94">
        <v>-2.0</v>
      </c>
      <c r="E203" s="95">
        <v>0.0</v>
      </c>
      <c r="F203" s="95">
        <v>0.0</v>
      </c>
      <c r="G203" s="95">
        <v>0.0</v>
      </c>
      <c r="H203" s="95">
        <v>2.0</v>
      </c>
    </row>
    <row r="204">
      <c r="D204" s="152"/>
    </row>
    <row r="205">
      <c r="D205" s="152"/>
    </row>
    <row r="206">
      <c r="D206" s="152"/>
    </row>
    <row r="207">
      <c r="D207" s="152"/>
    </row>
    <row r="208">
      <c r="D208" s="152"/>
    </row>
    <row r="209">
      <c r="D209" s="152"/>
    </row>
    <row r="210">
      <c r="D210" s="152"/>
    </row>
    <row r="211">
      <c r="D211" s="152"/>
    </row>
    <row r="212">
      <c r="D212" s="152"/>
    </row>
    <row r="213">
      <c r="D213" s="152"/>
    </row>
    <row r="214">
      <c r="D214" s="152"/>
    </row>
    <row r="215">
      <c r="D215" s="152"/>
    </row>
    <row r="216">
      <c r="D216" s="152"/>
    </row>
    <row r="217">
      <c r="D217" s="152"/>
    </row>
    <row r="218">
      <c r="D218" s="152"/>
    </row>
    <row r="219">
      <c r="D219" s="152"/>
    </row>
    <row r="220">
      <c r="D220" s="152"/>
    </row>
    <row r="221">
      <c r="D221" s="152"/>
    </row>
    <row r="222">
      <c r="D222" s="152"/>
    </row>
    <row r="223">
      <c r="D223" s="152"/>
    </row>
    <row r="224">
      <c r="D224" s="152"/>
    </row>
    <row r="225">
      <c r="D225" s="152"/>
    </row>
    <row r="226">
      <c r="D226" s="152"/>
    </row>
    <row r="227">
      <c r="D227" s="152"/>
    </row>
    <row r="228">
      <c r="D228" s="152"/>
    </row>
    <row r="229">
      <c r="D229" s="152"/>
    </row>
    <row r="230">
      <c r="D230" s="152"/>
    </row>
    <row r="231">
      <c r="D231" s="152"/>
    </row>
    <row r="232">
      <c r="D232" s="152"/>
    </row>
    <row r="233">
      <c r="D233" s="152"/>
    </row>
    <row r="234">
      <c r="D234" s="152"/>
    </row>
    <row r="235">
      <c r="D235" s="152"/>
    </row>
    <row r="236">
      <c r="D236" s="152"/>
    </row>
    <row r="237">
      <c r="D237" s="152"/>
    </row>
    <row r="238">
      <c r="D238" s="152"/>
    </row>
    <row r="239">
      <c r="D239" s="152"/>
    </row>
    <row r="240">
      <c r="D240" s="152"/>
    </row>
    <row r="241">
      <c r="D241" s="152"/>
    </row>
    <row r="242">
      <c r="D242" s="152"/>
    </row>
    <row r="243">
      <c r="D243" s="152"/>
    </row>
    <row r="244">
      <c r="D244" s="152"/>
    </row>
    <row r="245">
      <c r="D245" s="152"/>
    </row>
    <row r="246">
      <c r="D246" s="152"/>
    </row>
    <row r="247">
      <c r="D247" s="152"/>
    </row>
    <row r="248">
      <c r="D248" s="152"/>
    </row>
    <row r="249">
      <c r="D249" s="152"/>
    </row>
    <row r="250">
      <c r="D250" s="152"/>
    </row>
    <row r="251">
      <c r="D251" s="152"/>
    </row>
    <row r="252">
      <c r="D252" s="152"/>
    </row>
    <row r="253">
      <c r="D253" s="152"/>
    </row>
    <row r="254">
      <c r="D254" s="152"/>
    </row>
    <row r="255">
      <c r="D255" s="152"/>
    </row>
    <row r="256">
      <c r="D256" s="152"/>
    </row>
    <row r="257">
      <c r="D257" s="152"/>
    </row>
    <row r="258">
      <c r="D258" s="152"/>
    </row>
    <row r="259">
      <c r="D259" s="152"/>
    </row>
    <row r="260">
      <c r="D260" s="152"/>
    </row>
    <row r="261">
      <c r="D261" s="152"/>
    </row>
    <row r="262">
      <c r="D262" s="152"/>
    </row>
    <row r="263">
      <c r="D263" s="152"/>
    </row>
    <row r="264">
      <c r="D264" s="152"/>
    </row>
    <row r="265">
      <c r="D265" s="152"/>
    </row>
    <row r="266">
      <c r="D266" s="152"/>
    </row>
    <row r="267">
      <c r="D267" s="152"/>
    </row>
    <row r="268">
      <c r="D268" s="152"/>
    </row>
    <row r="269">
      <c r="D269" s="152"/>
    </row>
    <row r="270">
      <c r="D270" s="152"/>
    </row>
    <row r="271">
      <c r="D271" s="152"/>
    </row>
    <row r="272">
      <c r="D272" s="152"/>
    </row>
    <row r="273">
      <c r="D273" s="152"/>
    </row>
    <row r="274">
      <c r="D274" s="152"/>
    </row>
    <row r="275">
      <c r="D275" s="152"/>
    </row>
    <row r="276">
      <c r="D276" s="152"/>
    </row>
    <row r="277">
      <c r="D277" s="152"/>
    </row>
    <row r="278">
      <c r="D278" s="152"/>
    </row>
    <row r="279">
      <c r="D279" s="152"/>
    </row>
    <row r="280">
      <c r="D280" s="152"/>
    </row>
    <row r="281">
      <c r="D281" s="152"/>
    </row>
    <row r="282">
      <c r="D282" s="152"/>
    </row>
    <row r="283">
      <c r="D283" s="152"/>
    </row>
    <row r="284">
      <c r="D284" s="152"/>
    </row>
    <row r="285">
      <c r="D285" s="152"/>
    </row>
    <row r="286">
      <c r="D286" s="152"/>
    </row>
    <row r="287">
      <c r="D287" s="152"/>
    </row>
    <row r="288">
      <c r="D288" s="152"/>
    </row>
    <row r="289">
      <c r="D289" s="152"/>
    </row>
    <row r="290">
      <c r="D290" s="152"/>
    </row>
    <row r="291">
      <c r="D291" s="152"/>
    </row>
    <row r="292">
      <c r="D292" s="152"/>
    </row>
    <row r="293">
      <c r="D293" s="152"/>
    </row>
    <row r="294">
      <c r="D294" s="152"/>
    </row>
    <row r="295">
      <c r="D295" s="152"/>
    </row>
    <row r="296">
      <c r="D296" s="152"/>
    </row>
    <row r="297">
      <c r="D297" s="152"/>
    </row>
    <row r="298">
      <c r="D298" s="152"/>
    </row>
    <row r="299">
      <c r="D299" s="152"/>
    </row>
    <row r="300">
      <c r="D300" s="152"/>
    </row>
    <row r="301">
      <c r="D301" s="152"/>
    </row>
    <row r="302">
      <c r="D302" s="152"/>
    </row>
    <row r="303">
      <c r="D303" s="152"/>
    </row>
    <row r="304">
      <c r="D304" s="152"/>
    </row>
    <row r="305">
      <c r="D305" s="152"/>
    </row>
    <row r="306">
      <c r="D306" s="152"/>
    </row>
    <row r="307">
      <c r="D307" s="152"/>
    </row>
    <row r="308">
      <c r="D308" s="152"/>
    </row>
    <row r="309">
      <c r="D309" s="152"/>
    </row>
    <row r="310">
      <c r="D310" s="152"/>
    </row>
    <row r="311">
      <c r="D311" s="152"/>
    </row>
    <row r="312">
      <c r="D312" s="152"/>
    </row>
    <row r="313">
      <c r="D313" s="152"/>
    </row>
    <row r="314">
      <c r="D314" s="152"/>
    </row>
    <row r="315">
      <c r="D315" s="152"/>
    </row>
    <row r="316">
      <c r="D316" s="152"/>
    </row>
    <row r="317">
      <c r="D317" s="152"/>
    </row>
    <row r="318">
      <c r="D318" s="152"/>
    </row>
    <row r="319">
      <c r="D319" s="152"/>
    </row>
    <row r="320">
      <c r="D320" s="152"/>
    </row>
    <row r="321">
      <c r="D321" s="152"/>
    </row>
    <row r="322">
      <c r="D322" s="152"/>
    </row>
    <row r="323">
      <c r="D323" s="152"/>
    </row>
    <row r="324">
      <c r="D324" s="152"/>
    </row>
    <row r="325">
      <c r="D325" s="152"/>
    </row>
    <row r="326">
      <c r="D326" s="152"/>
    </row>
    <row r="327">
      <c r="D327" s="152"/>
    </row>
    <row r="328">
      <c r="D328" s="152"/>
    </row>
    <row r="329">
      <c r="D329" s="152"/>
    </row>
    <row r="330">
      <c r="D330" s="152"/>
    </row>
    <row r="331">
      <c r="D331" s="152"/>
    </row>
    <row r="332">
      <c r="D332" s="152"/>
    </row>
    <row r="333">
      <c r="D333" s="152"/>
    </row>
    <row r="334">
      <c r="D334" s="152"/>
    </row>
    <row r="335">
      <c r="D335" s="152"/>
    </row>
    <row r="336">
      <c r="D336" s="152"/>
    </row>
    <row r="337">
      <c r="D337" s="152"/>
    </row>
    <row r="338">
      <c r="D338" s="152"/>
    </row>
    <row r="339">
      <c r="D339" s="152"/>
    </row>
    <row r="340">
      <c r="D340" s="152"/>
    </row>
    <row r="341">
      <c r="D341" s="152"/>
    </row>
    <row r="342">
      <c r="D342" s="152"/>
    </row>
    <row r="343">
      <c r="D343" s="152"/>
    </row>
    <row r="344">
      <c r="D344" s="152"/>
    </row>
    <row r="345">
      <c r="D345" s="152"/>
    </row>
    <row r="346">
      <c r="D346" s="152"/>
    </row>
    <row r="347">
      <c r="D347" s="152"/>
    </row>
    <row r="348">
      <c r="D348" s="152"/>
    </row>
    <row r="349">
      <c r="D349" s="152"/>
    </row>
    <row r="350">
      <c r="D350" s="152"/>
    </row>
    <row r="351">
      <c r="D351" s="152"/>
    </row>
    <row r="352">
      <c r="D352" s="152"/>
    </row>
    <row r="353">
      <c r="D353" s="152"/>
    </row>
    <row r="354">
      <c r="D354" s="152"/>
    </row>
    <row r="355">
      <c r="D355" s="152"/>
    </row>
    <row r="356">
      <c r="D356" s="152"/>
    </row>
    <row r="357">
      <c r="D357" s="152"/>
    </row>
    <row r="358">
      <c r="D358" s="152"/>
    </row>
    <row r="359">
      <c r="D359" s="152"/>
    </row>
    <row r="360">
      <c r="D360" s="152"/>
    </row>
    <row r="361">
      <c r="D361" s="152"/>
    </row>
    <row r="362">
      <c r="D362" s="152"/>
    </row>
    <row r="363">
      <c r="D363" s="152"/>
    </row>
    <row r="364">
      <c r="D364" s="152"/>
    </row>
    <row r="365">
      <c r="D365" s="152"/>
    </row>
    <row r="366">
      <c r="D366" s="152"/>
    </row>
    <row r="367">
      <c r="D367" s="152"/>
    </row>
    <row r="368">
      <c r="D368" s="152"/>
    </row>
    <row r="369">
      <c r="D369" s="152"/>
    </row>
    <row r="370">
      <c r="D370" s="152"/>
    </row>
    <row r="371">
      <c r="D371" s="152"/>
    </row>
    <row r="372">
      <c r="D372" s="152"/>
    </row>
    <row r="373">
      <c r="D373" s="152"/>
    </row>
    <row r="374">
      <c r="D374" s="152"/>
    </row>
    <row r="375">
      <c r="D375" s="152"/>
    </row>
    <row r="376">
      <c r="D376" s="152"/>
    </row>
    <row r="377">
      <c r="D377" s="152"/>
    </row>
    <row r="378">
      <c r="D378" s="152"/>
    </row>
    <row r="379">
      <c r="D379" s="152"/>
    </row>
    <row r="380">
      <c r="D380" s="152"/>
    </row>
    <row r="381">
      <c r="D381" s="152"/>
    </row>
    <row r="382">
      <c r="D382" s="152"/>
    </row>
    <row r="383">
      <c r="D383" s="152"/>
    </row>
    <row r="384">
      <c r="D384" s="152"/>
    </row>
    <row r="385">
      <c r="D385" s="152"/>
    </row>
    <row r="386">
      <c r="D386" s="152"/>
    </row>
    <row r="387">
      <c r="D387" s="152"/>
    </row>
    <row r="388">
      <c r="D388" s="152"/>
    </row>
    <row r="389">
      <c r="D389" s="152"/>
    </row>
    <row r="390">
      <c r="D390" s="152"/>
    </row>
    <row r="391">
      <c r="D391" s="152"/>
    </row>
    <row r="392">
      <c r="D392" s="152"/>
    </row>
    <row r="393">
      <c r="D393" s="152"/>
    </row>
    <row r="394">
      <c r="D394" s="152"/>
    </row>
    <row r="395">
      <c r="D395" s="152"/>
    </row>
    <row r="396">
      <c r="D396" s="152"/>
    </row>
    <row r="397">
      <c r="D397" s="152"/>
    </row>
    <row r="398">
      <c r="D398" s="152"/>
    </row>
    <row r="399">
      <c r="D399" s="152"/>
    </row>
    <row r="400">
      <c r="D400" s="152"/>
    </row>
    <row r="401">
      <c r="D401" s="152"/>
    </row>
    <row r="402">
      <c r="D402" s="152"/>
    </row>
    <row r="403">
      <c r="D403" s="152"/>
    </row>
    <row r="404">
      <c r="D404" s="152"/>
    </row>
    <row r="405">
      <c r="D405" s="152"/>
    </row>
    <row r="406">
      <c r="D406" s="152"/>
    </row>
    <row r="407">
      <c r="D407" s="152"/>
    </row>
    <row r="408">
      <c r="D408" s="152"/>
    </row>
    <row r="409">
      <c r="D409" s="152"/>
    </row>
    <row r="410">
      <c r="D410" s="152"/>
    </row>
    <row r="411">
      <c r="D411" s="152"/>
    </row>
    <row r="412">
      <c r="D412" s="152"/>
    </row>
    <row r="413">
      <c r="D413" s="152"/>
    </row>
    <row r="414">
      <c r="D414" s="152"/>
    </row>
    <row r="415">
      <c r="D415" s="152"/>
    </row>
    <row r="416">
      <c r="D416" s="152"/>
    </row>
    <row r="417">
      <c r="D417" s="152"/>
    </row>
    <row r="418">
      <c r="D418" s="152"/>
    </row>
    <row r="419">
      <c r="D419" s="152"/>
    </row>
    <row r="420">
      <c r="D420" s="152"/>
    </row>
    <row r="421">
      <c r="D421" s="152"/>
    </row>
    <row r="422">
      <c r="D422" s="152"/>
    </row>
    <row r="423">
      <c r="D423" s="152"/>
    </row>
    <row r="424">
      <c r="D424" s="152"/>
    </row>
    <row r="425">
      <c r="D425" s="152"/>
    </row>
    <row r="426">
      <c r="D426" s="152"/>
    </row>
    <row r="427">
      <c r="D427" s="152"/>
    </row>
    <row r="428">
      <c r="D428" s="152"/>
    </row>
    <row r="429">
      <c r="D429" s="152"/>
    </row>
    <row r="430">
      <c r="D430" s="152"/>
    </row>
    <row r="431">
      <c r="D431" s="152"/>
    </row>
    <row r="432">
      <c r="D432" s="152"/>
    </row>
    <row r="433">
      <c r="D433" s="152"/>
    </row>
    <row r="434">
      <c r="D434" s="152"/>
    </row>
    <row r="435">
      <c r="D435" s="152"/>
    </row>
    <row r="436">
      <c r="D436" s="152"/>
    </row>
    <row r="437">
      <c r="D437" s="152"/>
    </row>
    <row r="438">
      <c r="D438" s="152"/>
    </row>
    <row r="439">
      <c r="D439" s="152"/>
    </row>
    <row r="440">
      <c r="D440" s="152"/>
    </row>
    <row r="441">
      <c r="D441" s="152"/>
    </row>
    <row r="442">
      <c r="D442" s="152"/>
    </row>
    <row r="443">
      <c r="D443" s="152"/>
    </row>
    <row r="444">
      <c r="D444" s="152"/>
    </row>
    <row r="445">
      <c r="D445" s="152"/>
    </row>
    <row r="446">
      <c r="D446" s="152"/>
    </row>
    <row r="447">
      <c r="D447" s="152"/>
    </row>
    <row r="448">
      <c r="D448" s="152"/>
    </row>
    <row r="449">
      <c r="D449" s="152"/>
    </row>
    <row r="450">
      <c r="D450" s="152"/>
    </row>
    <row r="451">
      <c r="D451" s="152"/>
    </row>
    <row r="452">
      <c r="D452" s="152"/>
    </row>
    <row r="453">
      <c r="D453" s="152"/>
    </row>
    <row r="454">
      <c r="D454" s="152"/>
    </row>
    <row r="455">
      <c r="D455" s="152"/>
    </row>
    <row r="456">
      <c r="D456" s="152"/>
    </row>
    <row r="457">
      <c r="D457" s="152"/>
    </row>
    <row r="458">
      <c r="D458" s="152"/>
    </row>
    <row r="459">
      <c r="D459" s="152"/>
    </row>
    <row r="460">
      <c r="D460" s="152"/>
    </row>
    <row r="461">
      <c r="D461" s="152"/>
    </row>
    <row r="462">
      <c r="D462" s="152"/>
    </row>
    <row r="463">
      <c r="D463" s="152"/>
    </row>
    <row r="464">
      <c r="D464" s="152"/>
    </row>
    <row r="465">
      <c r="D465" s="152"/>
    </row>
    <row r="466">
      <c r="D466" s="152"/>
    </row>
    <row r="467">
      <c r="D467" s="152"/>
    </row>
    <row r="468">
      <c r="D468" s="152"/>
    </row>
    <row r="469">
      <c r="D469" s="152"/>
    </row>
    <row r="470">
      <c r="D470" s="152"/>
    </row>
    <row r="471">
      <c r="D471" s="152"/>
    </row>
    <row r="472">
      <c r="D472" s="152"/>
    </row>
    <row r="473">
      <c r="D473" s="152"/>
    </row>
    <row r="474">
      <c r="D474" s="152"/>
    </row>
    <row r="475">
      <c r="D475" s="152"/>
    </row>
    <row r="476">
      <c r="D476" s="152"/>
    </row>
    <row r="477">
      <c r="D477" s="152"/>
    </row>
    <row r="478">
      <c r="D478" s="152"/>
    </row>
    <row r="479">
      <c r="D479" s="152"/>
    </row>
    <row r="480">
      <c r="D480" s="152"/>
    </row>
    <row r="481">
      <c r="D481" s="152"/>
    </row>
    <row r="482">
      <c r="D482" s="152"/>
    </row>
    <row r="483">
      <c r="D483" s="152"/>
    </row>
    <row r="484">
      <c r="D484" s="152"/>
    </row>
    <row r="485">
      <c r="D485" s="152"/>
    </row>
    <row r="486">
      <c r="D486" s="152"/>
    </row>
    <row r="487">
      <c r="D487" s="152"/>
    </row>
    <row r="488">
      <c r="D488" s="152"/>
    </row>
    <row r="489">
      <c r="D489" s="152"/>
    </row>
    <row r="490">
      <c r="D490" s="152"/>
    </row>
    <row r="491">
      <c r="D491" s="152"/>
    </row>
    <row r="492">
      <c r="D492" s="152"/>
    </row>
    <row r="493">
      <c r="D493" s="152"/>
    </row>
    <row r="494">
      <c r="D494" s="152"/>
    </row>
    <row r="495">
      <c r="D495" s="152"/>
    </row>
    <row r="496">
      <c r="D496" s="152"/>
    </row>
    <row r="497">
      <c r="D497" s="152"/>
    </row>
    <row r="498">
      <c r="D498" s="152"/>
    </row>
    <row r="499">
      <c r="D499" s="152"/>
    </row>
    <row r="500">
      <c r="D500" s="152"/>
    </row>
    <row r="501">
      <c r="D501" s="152"/>
    </row>
    <row r="502">
      <c r="D502" s="152"/>
    </row>
    <row r="503">
      <c r="D503" s="152"/>
    </row>
    <row r="504">
      <c r="D504" s="152"/>
    </row>
    <row r="505">
      <c r="D505" s="152"/>
    </row>
    <row r="506">
      <c r="D506" s="152"/>
    </row>
    <row r="507">
      <c r="D507" s="152"/>
    </row>
    <row r="508">
      <c r="D508" s="152"/>
    </row>
    <row r="509">
      <c r="D509" s="152"/>
    </row>
    <row r="510">
      <c r="D510" s="152"/>
    </row>
    <row r="511">
      <c r="D511" s="152"/>
    </row>
    <row r="512">
      <c r="D512" s="152"/>
    </row>
    <row r="513">
      <c r="D513" s="152"/>
    </row>
    <row r="514">
      <c r="D514" s="152"/>
    </row>
    <row r="515">
      <c r="D515" s="152"/>
    </row>
    <row r="516">
      <c r="D516" s="152"/>
    </row>
    <row r="517">
      <c r="D517" s="152"/>
    </row>
    <row r="518">
      <c r="D518" s="152"/>
    </row>
    <row r="519">
      <c r="D519" s="152"/>
    </row>
    <row r="520">
      <c r="D520" s="152"/>
    </row>
    <row r="521">
      <c r="D521" s="152"/>
    </row>
    <row r="522">
      <c r="D522" s="152"/>
    </row>
    <row r="523">
      <c r="D523" s="152"/>
    </row>
    <row r="524">
      <c r="D524" s="152"/>
    </row>
    <row r="525">
      <c r="D525" s="152"/>
    </row>
    <row r="526">
      <c r="D526" s="152"/>
    </row>
    <row r="527">
      <c r="D527" s="152"/>
    </row>
    <row r="528">
      <c r="D528" s="152"/>
    </row>
    <row r="529">
      <c r="D529" s="152"/>
    </row>
    <row r="530">
      <c r="D530" s="152"/>
    </row>
    <row r="531">
      <c r="D531" s="152"/>
    </row>
    <row r="532">
      <c r="D532" s="152"/>
    </row>
    <row r="533">
      <c r="D533" s="152"/>
    </row>
    <row r="534">
      <c r="D534" s="152"/>
    </row>
    <row r="535">
      <c r="D535" s="152"/>
    </row>
    <row r="536">
      <c r="D536" s="152"/>
    </row>
    <row r="537">
      <c r="D537" s="152"/>
    </row>
    <row r="538">
      <c r="D538" s="152"/>
    </row>
    <row r="539">
      <c r="D539" s="152"/>
    </row>
    <row r="540">
      <c r="D540" s="152"/>
    </row>
    <row r="541">
      <c r="D541" s="152"/>
    </row>
    <row r="542">
      <c r="D542" s="152"/>
    </row>
    <row r="543">
      <c r="D543" s="152"/>
    </row>
    <row r="544">
      <c r="D544" s="152"/>
    </row>
    <row r="545">
      <c r="D545" s="152"/>
    </row>
    <row r="546">
      <c r="D546" s="152"/>
    </row>
    <row r="547">
      <c r="D547" s="152"/>
    </row>
    <row r="548">
      <c r="D548" s="152"/>
    </row>
    <row r="549">
      <c r="D549" s="152"/>
    </row>
    <row r="550">
      <c r="D550" s="152"/>
    </row>
    <row r="551">
      <c r="D551" s="152"/>
    </row>
    <row r="552">
      <c r="D552" s="152"/>
    </row>
    <row r="553">
      <c r="D553" s="152"/>
    </row>
    <row r="554">
      <c r="D554" s="152"/>
    </row>
    <row r="555">
      <c r="D555" s="152"/>
    </row>
    <row r="556">
      <c r="D556" s="152"/>
    </row>
    <row r="557">
      <c r="D557" s="152"/>
    </row>
    <row r="558">
      <c r="D558" s="152"/>
    </row>
    <row r="559">
      <c r="D559" s="152"/>
    </row>
    <row r="560">
      <c r="D560" s="152"/>
    </row>
    <row r="561">
      <c r="D561" s="152"/>
    </row>
    <row r="562">
      <c r="D562" s="152"/>
    </row>
    <row r="563">
      <c r="D563" s="152"/>
    </row>
    <row r="564">
      <c r="D564" s="152"/>
    </row>
    <row r="565">
      <c r="D565" s="152"/>
    </row>
    <row r="566">
      <c r="D566" s="152"/>
    </row>
    <row r="567">
      <c r="D567" s="152"/>
    </row>
    <row r="568">
      <c r="D568" s="152"/>
    </row>
    <row r="569">
      <c r="D569" s="152"/>
    </row>
    <row r="570">
      <c r="D570" s="152"/>
    </row>
    <row r="571">
      <c r="D571" s="152"/>
    </row>
    <row r="572">
      <c r="D572" s="152"/>
    </row>
    <row r="573">
      <c r="D573" s="152"/>
    </row>
    <row r="574">
      <c r="D574" s="152"/>
    </row>
    <row r="575">
      <c r="D575" s="152"/>
    </row>
    <row r="576">
      <c r="D576" s="152"/>
    </row>
    <row r="577">
      <c r="D577" s="152"/>
    </row>
    <row r="578">
      <c r="D578" s="152"/>
    </row>
    <row r="579">
      <c r="D579" s="152"/>
    </row>
    <row r="580">
      <c r="D580" s="152"/>
    </row>
    <row r="581">
      <c r="D581" s="152"/>
    </row>
    <row r="582">
      <c r="D582" s="152"/>
    </row>
    <row r="583">
      <c r="D583" s="152"/>
    </row>
    <row r="584">
      <c r="D584" s="152"/>
    </row>
    <row r="585">
      <c r="D585" s="152"/>
    </row>
    <row r="586">
      <c r="D586" s="152"/>
    </row>
    <row r="587">
      <c r="D587" s="152"/>
    </row>
    <row r="588">
      <c r="D588" s="152"/>
    </row>
    <row r="589">
      <c r="D589" s="152"/>
    </row>
    <row r="590">
      <c r="D590" s="152"/>
    </row>
    <row r="591">
      <c r="D591" s="152"/>
    </row>
    <row r="592">
      <c r="D592" s="152"/>
    </row>
    <row r="593">
      <c r="D593" s="152"/>
    </row>
    <row r="594">
      <c r="D594" s="152"/>
    </row>
    <row r="595">
      <c r="D595" s="152"/>
    </row>
    <row r="596">
      <c r="D596" s="152"/>
    </row>
    <row r="597">
      <c r="D597" s="152"/>
    </row>
    <row r="598">
      <c r="D598" s="152"/>
    </row>
    <row r="599">
      <c r="D599" s="152"/>
    </row>
    <row r="600">
      <c r="D600" s="152"/>
    </row>
    <row r="601">
      <c r="D601" s="152"/>
    </row>
    <row r="602">
      <c r="D602" s="152"/>
    </row>
    <row r="603">
      <c r="D603" s="152"/>
    </row>
    <row r="604">
      <c r="D604" s="152"/>
    </row>
    <row r="605">
      <c r="D605" s="152"/>
    </row>
    <row r="606">
      <c r="D606" s="152"/>
    </row>
    <row r="607">
      <c r="D607" s="152"/>
    </row>
    <row r="608">
      <c r="D608" s="152"/>
    </row>
    <row r="609">
      <c r="D609" s="152"/>
    </row>
    <row r="610">
      <c r="D610" s="152"/>
    </row>
    <row r="611">
      <c r="D611" s="152"/>
    </row>
    <row r="612">
      <c r="D612" s="152"/>
    </row>
    <row r="613">
      <c r="D613" s="152"/>
    </row>
    <row r="614">
      <c r="D614" s="152"/>
    </row>
    <row r="615">
      <c r="D615" s="152"/>
    </row>
    <row r="616">
      <c r="D616" s="152"/>
    </row>
    <row r="617">
      <c r="D617" s="152"/>
    </row>
    <row r="618">
      <c r="D618" s="152"/>
    </row>
    <row r="619">
      <c r="D619" s="152"/>
    </row>
    <row r="620">
      <c r="D620" s="152"/>
    </row>
    <row r="621">
      <c r="D621" s="152"/>
    </row>
    <row r="622">
      <c r="D622" s="152"/>
    </row>
    <row r="623">
      <c r="D623" s="152"/>
    </row>
    <row r="624">
      <c r="D624" s="152"/>
    </row>
    <row r="625">
      <c r="D625" s="152"/>
    </row>
    <row r="626">
      <c r="D626" s="152"/>
    </row>
    <row r="627">
      <c r="D627" s="152"/>
    </row>
    <row r="628">
      <c r="D628" s="152"/>
    </row>
    <row r="629">
      <c r="D629" s="152"/>
    </row>
    <row r="630">
      <c r="D630" s="152"/>
    </row>
    <row r="631">
      <c r="D631" s="152"/>
    </row>
    <row r="632">
      <c r="D632" s="152"/>
    </row>
    <row r="633">
      <c r="D633" s="152"/>
    </row>
    <row r="634">
      <c r="D634" s="152"/>
    </row>
    <row r="635">
      <c r="D635" s="152"/>
    </row>
    <row r="636">
      <c r="D636" s="152"/>
    </row>
    <row r="637">
      <c r="D637" s="152"/>
    </row>
    <row r="638">
      <c r="D638" s="152"/>
    </row>
    <row r="639">
      <c r="D639" s="152"/>
    </row>
    <row r="640">
      <c r="D640" s="152"/>
    </row>
    <row r="641">
      <c r="D641" s="152"/>
    </row>
    <row r="642">
      <c r="D642" s="152"/>
    </row>
    <row r="643">
      <c r="D643" s="152"/>
    </row>
    <row r="644">
      <c r="D644" s="152"/>
    </row>
    <row r="645">
      <c r="D645" s="152"/>
    </row>
    <row r="646">
      <c r="D646" s="152"/>
    </row>
    <row r="647">
      <c r="D647" s="152"/>
    </row>
    <row r="648">
      <c r="D648" s="152"/>
    </row>
    <row r="649">
      <c r="D649" s="152"/>
    </row>
    <row r="650">
      <c r="D650" s="152"/>
    </row>
    <row r="651">
      <c r="D651" s="152"/>
    </row>
    <row r="652">
      <c r="D652" s="152"/>
    </row>
    <row r="653">
      <c r="D653" s="152"/>
    </row>
    <row r="654">
      <c r="D654" s="152"/>
    </row>
    <row r="655">
      <c r="D655" s="152"/>
    </row>
    <row r="656">
      <c r="D656" s="152"/>
    </row>
    <row r="657">
      <c r="D657" s="152"/>
    </row>
    <row r="658">
      <c r="D658" s="152"/>
    </row>
    <row r="659">
      <c r="D659" s="152"/>
    </row>
    <row r="660">
      <c r="D660" s="152"/>
    </row>
    <row r="661">
      <c r="D661" s="152"/>
    </row>
    <row r="662">
      <c r="D662" s="152"/>
    </row>
    <row r="663">
      <c r="D663" s="152"/>
    </row>
    <row r="664">
      <c r="D664" s="152"/>
    </row>
    <row r="665">
      <c r="D665" s="152"/>
    </row>
    <row r="666">
      <c r="D666" s="152"/>
    </row>
    <row r="667">
      <c r="D667" s="152"/>
    </row>
    <row r="668">
      <c r="D668" s="152"/>
    </row>
    <row r="669">
      <c r="D669" s="152"/>
    </row>
    <row r="670">
      <c r="D670" s="152"/>
    </row>
    <row r="671">
      <c r="D671" s="152"/>
    </row>
    <row r="672">
      <c r="D672" s="152"/>
    </row>
    <row r="673">
      <c r="D673" s="152"/>
    </row>
    <row r="674">
      <c r="D674" s="152"/>
    </row>
    <row r="675">
      <c r="D675" s="152"/>
    </row>
    <row r="676">
      <c r="D676" s="152"/>
    </row>
    <row r="677">
      <c r="D677" s="152"/>
    </row>
    <row r="678">
      <c r="D678" s="152"/>
    </row>
    <row r="679">
      <c r="D679" s="152"/>
    </row>
    <row r="680">
      <c r="D680" s="152"/>
    </row>
    <row r="681">
      <c r="D681" s="152"/>
    </row>
    <row r="682">
      <c r="D682" s="152"/>
    </row>
    <row r="683">
      <c r="D683" s="152"/>
    </row>
    <row r="684">
      <c r="D684" s="152"/>
    </row>
    <row r="685">
      <c r="D685" s="152"/>
    </row>
    <row r="686">
      <c r="D686" s="152"/>
    </row>
    <row r="687">
      <c r="D687" s="152"/>
    </row>
    <row r="688">
      <c r="D688" s="152"/>
    </row>
    <row r="689">
      <c r="D689" s="152"/>
    </row>
    <row r="690">
      <c r="D690" s="152"/>
    </row>
    <row r="691">
      <c r="D691" s="152"/>
    </row>
    <row r="692">
      <c r="D692" s="152"/>
    </row>
    <row r="693">
      <c r="D693" s="152"/>
    </row>
    <row r="694">
      <c r="D694" s="152"/>
    </row>
    <row r="695">
      <c r="D695" s="152"/>
    </row>
    <row r="696">
      <c r="D696" s="152"/>
    </row>
    <row r="697">
      <c r="D697" s="152"/>
    </row>
    <row r="698">
      <c r="D698" s="152"/>
    </row>
    <row r="699">
      <c r="D699" s="152"/>
    </row>
    <row r="700">
      <c r="D700" s="152"/>
    </row>
    <row r="701">
      <c r="D701" s="152"/>
    </row>
    <row r="702">
      <c r="D702" s="152"/>
    </row>
    <row r="703">
      <c r="D703" s="152"/>
    </row>
    <row r="704">
      <c r="D704" s="152"/>
    </row>
    <row r="705">
      <c r="D705" s="152"/>
    </row>
    <row r="706">
      <c r="D706" s="152"/>
    </row>
    <row r="707">
      <c r="D707" s="152"/>
    </row>
    <row r="708">
      <c r="D708" s="152"/>
    </row>
    <row r="709">
      <c r="D709" s="152"/>
    </row>
    <row r="710">
      <c r="D710" s="152"/>
    </row>
    <row r="711">
      <c r="D711" s="152"/>
    </row>
    <row r="712">
      <c r="D712" s="152"/>
    </row>
    <row r="713">
      <c r="D713" s="152"/>
    </row>
    <row r="714">
      <c r="D714" s="152"/>
    </row>
    <row r="715">
      <c r="D715" s="152"/>
    </row>
    <row r="716">
      <c r="D716" s="152"/>
    </row>
    <row r="717">
      <c r="D717" s="152"/>
    </row>
    <row r="718">
      <c r="D718" s="152"/>
    </row>
    <row r="719">
      <c r="D719" s="152"/>
    </row>
    <row r="720">
      <c r="D720" s="152"/>
    </row>
    <row r="721">
      <c r="D721" s="152"/>
    </row>
    <row r="722">
      <c r="D722" s="152"/>
    </row>
    <row r="723">
      <c r="D723" s="152"/>
    </row>
    <row r="724">
      <c r="D724" s="152"/>
    </row>
    <row r="725">
      <c r="D725" s="152"/>
    </row>
    <row r="726">
      <c r="D726" s="152"/>
    </row>
    <row r="727">
      <c r="D727" s="152"/>
    </row>
    <row r="728">
      <c r="D728" s="152"/>
    </row>
    <row r="729">
      <c r="D729" s="152"/>
    </row>
    <row r="730">
      <c r="D730" s="152"/>
    </row>
    <row r="731">
      <c r="D731" s="152"/>
    </row>
    <row r="732">
      <c r="D732" s="152"/>
    </row>
    <row r="733">
      <c r="D733" s="152"/>
    </row>
    <row r="734">
      <c r="D734" s="152"/>
    </row>
    <row r="735">
      <c r="D735" s="152"/>
    </row>
    <row r="736">
      <c r="D736" s="152"/>
    </row>
    <row r="737">
      <c r="D737" s="152"/>
    </row>
    <row r="738">
      <c r="D738" s="152"/>
    </row>
    <row r="739">
      <c r="D739" s="152"/>
    </row>
    <row r="740">
      <c r="D740" s="152"/>
    </row>
    <row r="741">
      <c r="D741" s="152"/>
    </row>
    <row r="742">
      <c r="D742" s="152"/>
    </row>
    <row r="743">
      <c r="D743" s="152"/>
    </row>
    <row r="744">
      <c r="D744" s="152"/>
    </row>
    <row r="745">
      <c r="D745" s="152"/>
    </row>
    <row r="746">
      <c r="D746" s="152"/>
    </row>
    <row r="747">
      <c r="D747" s="152"/>
    </row>
    <row r="748">
      <c r="D748" s="152"/>
    </row>
    <row r="749">
      <c r="D749" s="152"/>
    </row>
    <row r="750">
      <c r="D750" s="152"/>
    </row>
    <row r="751">
      <c r="D751" s="152"/>
    </row>
    <row r="752">
      <c r="D752" s="152"/>
    </row>
    <row r="753">
      <c r="D753" s="152"/>
    </row>
    <row r="754">
      <c r="D754" s="152"/>
    </row>
    <row r="755">
      <c r="D755" s="152"/>
    </row>
    <row r="756">
      <c r="D756" s="152"/>
    </row>
    <row r="757">
      <c r="D757" s="152"/>
    </row>
    <row r="758">
      <c r="D758" s="152"/>
    </row>
    <row r="759">
      <c r="D759" s="152"/>
    </row>
    <row r="760">
      <c r="D760" s="152"/>
    </row>
    <row r="761">
      <c r="D761" s="152"/>
    </row>
    <row r="762">
      <c r="D762" s="152"/>
    </row>
    <row r="763">
      <c r="D763" s="152"/>
    </row>
    <row r="764">
      <c r="D764" s="152"/>
    </row>
    <row r="765">
      <c r="D765" s="152"/>
    </row>
    <row r="766">
      <c r="D766" s="152"/>
    </row>
    <row r="767">
      <c r="D767" s="152"/>
    </row>
    <row r="768">
      <c r="D768" s="152"/>
    </row>
    <row r="769">
      <c r="D769" s="152"/>
    </row>
    <row r="770">
      <c r="D770" s="152"/>
    </row>
    <row r="771">
      <c r="D771" s="152"/>
    </row>
    <row r="772">
      <c r="D772" s="152"/>
    </row>
    <row r="773">
      <c r="D773" s="152"/>
    </row>
    <row r="774">
      <c r="D774" s="152"/>
    </row>
    <row r="775">
      <c r="D775" s="152"/>
    </row>
    <row r="776">
      <c r="D776" s="152"/>
    </row>
    <row r="777">
      <c r="D777" s="152"/>
    </row>
    <row r="778">
      <c r="D778" s="152"/>
    </row>
    <row r="779">
      <c r="D779" s="152"/>
    </row>
    <row r="780">
      <c r="D780" s="152"/>
    </row>
    <row r="781">
      <c r="D781" s="152"/>
    </row>
    <row r="782">
      <c r="D782" s="152"/>
    </row>
    <row r="783">
      <c r="D783" s="152"/>
    </row>
    <row r="784">
      <c r="D784" s="152"/>
    </row>
    <row r="785">
      <c r="D785" s="152"/>
    </row>
    <row r="786">
      <c r="D786" s="152"/>
    </row>
    <row r="787">
      <c r="D787" s="152"/>
    </row>
    <row r="788">
      <c r="D788" s="152"/>
    </row>
    <row r="789">
      <c r="D789" s="152"/>
    </row>
    <row r="790">
      <c r="D790" s="152"/>
    </row>
    <row r="791">
      <c r="D791" s="152"/>
    </row>
    <row r="792">
      <c r="D792" s="152"/>
    </row>
    <row r="793">
      <c r="D793" s="152"/>
    </row>
    <row r="794">
      <c r="D794" s="152"/>
    </row>
    <row r="795">
      <c r="D795" s="152"/>
    </row>
    <row r="796">
      <c r="D796" s="152"/>
    </row>
    <row r="797">
      <c r="D797" s="152"/>
    </row>
    <row r="798">
      <c r="D798" s="152"/>
    </row>
    <row r="799">
      <c r="D799" s="152"/>
    </row>
    <row r="800">
      <c r="D800" s="152"/>
    </row>
    <row r="801">
      <c r="D801" s="152"/>
    </row>
    <row r="802">
      <c r="D802" s="152"/>
    </row>
    <row r="803">
      <c r="D803" s="152"/>
    </row>
    <row r="804">
      <c r="D804" s="152"/>
    </row>
    <row r="805">
      <c r="D805" s="152"/>
    </row>
    <row r="806">
      <c r="D806" s="152"/>
    </row>
    <row r="807">
      <c r="D807" s="152"/>
    </row>
    <row r="808">
      <c r="D808" s="152"/>
    </row>
    <row r="809">
      <c r="D809" s="152"/>
    </row>
    <row r="810">
      <c r="D810" s="152"/>
    </row>
    <row r="811">
      <c r="D811" s="152"/>
    </row>
    <row r="812">
      <c r="D812" s="152"/>
    </row>
    <row r="813">
      <c r="D813" s="152"/>
    </row>
    <row r="814">
      <c r="D814" s="152"/>
    </row>
    <row r="815">
      <c r="D815" s="152"/>
    </row>
    <row r="816">
      <c r="D816" s="152"/>
    </row>
    <row r="817">
      <c r="D817" s="152"/>
    </row>
    <row r="818">
      <c r="D818" s="152"/>
    </row>
    <row r="819">
      <c r="D819" s="152"/>
    </row>
    <row r="820">
      <c r="D820" s="152"/>
    </row>
    <row r="821">
      <c r="D821" s="152"/>
    </row>
    <row r="822">
      <c r="D822" s="152"/>
    </row>
    <row r="823">
      <c r="D823" s="152"/>
    </row>
    <row r="824">
      <c r="D824" s="152"/>
    </row>
    <row r="825">
      <c r="D825" s="152"/>
    </row>
    <row r="826">
      <c r="D826" s="152"/>
    </row>
    <row r="827">
      <c r="D827" s="152"/>
    </row>
    <row r="828">
      <c r="D828" s="152"/>
    </row>
    <row r="829">
      <c r="D829" s="152"/>
    </row>
    <row r="830">
      <c r="D830" s="152"/>
    </row>
    <row r="831">
      <c r="D831" s="152"/>
    </row>
    <row r="832">
      <c r="D832" s="152"/>
    </row>
    <row r="833">
      <c r="D833" s="152"/>
    </row>
    <row r="834">
      <c r="D834" s="152"/>
    </row>
    <row r="835">
      <c r="D835" s="152"/>
    </row>
    <row r="836">
      <c r="D836" s="152"/>
    </row>
    <row r="837">
      <c r="D837" s="152"/>
    </row>
    <row r="838">
      <c r="D838" s="152"/>
    </row>
    <row r="839">
      <c r="D839" s="152"/>
    </row>
    <row r="840">
      <c r="D840" s="152"/>
    </row>
    <row r="841">
      <c r="D841" s="152"/>
    </row>
    <row r="842">
      <c r="D842" s="152"/>
    </row>
    <row r="843">
      <c r="D843" s="152"/>
    </row>
    <row r="844">
      <c r="D844" s="152"/>
    </row>
    <row r="845">
      <c r="D845" s="152"/>
    </row>
    <row r="846">
      <c r="D846" s="152"/>
    </row>
    <row r="847">
      <c r="D847" s="152"/>
    </row>
    <row r="848">
      <c r="D848" s="152"/>
    </row>
    <row r="849">
      <c r="D849" s="152"/>
    </row>
    <row r="850">
      <c r="D850" s="152"/>
    </row>
    <row r="851">
      <c r="D851" s="152"/>
    </row>
    <row r="852">
      <c r="D852" s="152"/>
    </row>
    <row r="853">
      <c r="D853" s="152"/>
    </row>
    <row r="854">
      <c r="D854" s="152"/>
    </row>
    <row r="855">
      <c r="D855" s="152"/>
    </row>
    <row r="856">
      <c r="D856" s="152"/>
    </row>
    <row r="857">
      <c r="D857" s="152"/>
    </row>
    <row r="858">
      <c r="D858" s="152"/>
    </row>
    <row r="859">
      <c r="D859" s="152"/>
    </row>
    <row r="860">
      <c r="D860" s="152"/>
    </row>
    <row r="861">
      <c r="D861" s="152"/>
    </row>
    <row r="862">
      <c r="D862" s="152"/>
    </row>
    <row r="863">
      <c r="D863" s="152"/>
    </row>
    <row r="864">
      <c r="D864" s="152"/>
    </row>
    <row r="865">
      <c r="D865" s="152"/>
    </row>
    <row r="866">
      <c r="D866" s="152"/>
    </row>
    <row r="867">
      <c r="D867" s="152"/>
    </row>
    <row r="868">
      <c r="D868" s="152"/>
    </row>
    <row r="869">
      <c r="D869" s="152"/>
    </row>
    <row r="870">
      <c r="D870" s="152"/>
    </row>
    <row r="871">
      <c r="D871" s="152"/>
    </row>
    <row r="872">
      <c r="D872" s="152"/>
    </row>
    <row r="873">
      <c r="D873" s="152"/>
    </row>
    <row r="874">
      <c r="D874" s="152"/>
    </row>
    <row r="875">
      <c r="D875" s="152"/>
    </row>
    <row r="876">
      <c r="D876" s="152"/>
    </row>
    <row r="877">
      <c r="D877" s="152"/>
    </row>
    <row r="878">
      <c r="D878" s="152"/>
    </row>
    <row r="879">
      <c r="D879" s="152"/>
    </row>
    <row r="880">
      <c r="D880" s="152"/>
    </row>
    <row r="881">
      <c r="D881" s="152"/>
    </row>
    <row r="882">
      <c r="D882" s="152"/>
    </row>
    <row r="883">
      <c r="D883" s="152"/>
    </row>
    <row r="884">
      <c r="D884" s="152"/>
    </row>
    <row r="885">
      <c r="D885" s="152"/>
    </row>
    <row r="886">
      <c r="D886" s="152"/>
    </row>
    <row r="887">
      <c r="D887" s="152"/>
    </row>
    <row r="888">
      <c r="D888" s="152"/>
    </row>
    <row r="889">
      <c r="D889" s="152"/>
    </row>
    <row r="890">
      <c r="D890" s="152"/>
    </row>
    <row r="891">
      <c r="D891" s="152"/>
    </row>
    <row r="892">
      <c r="D892" s="152"/>
    </row>
    <row r="893">
      <c r="D893" s="152"/>
    </row>
    <row r="894">
      <c r="D894" s="152"/>
    </row>
    <row r="895">
      <c r="D895" s="152"/>
    </row>
    <row r="896">
      <c r="D896" s="152"/>
    </row>
    <row r="897">
      <c r="D897" s="152"/>
    </row>
    <row r="898">
      <c r="D898" s="152"/>
    </row>
    <row r="899">
      <c r="D899" s="152"/>
    </row>
    <row r="900">
      <c r="D900" s="152"/>
    </row>
    <row r="901">
      <c r="D901" s="152"/>
    </row>
    <row r="902">
      <c r="D902" s="152"/>
    </row>
    <row r="903">
      <c r="D903" s="152"/>
    </row>
    <row r="904">
      <c r="D904" s="152"/>
    </row>
    <row r="905">
      <c r="D905" s="152"/>
    </row>
    <row r="906">
      <c r="D906" s="152"/>
    </row>
    <row r="907">
      <c r="D907" s="152"/>
    </row>
    <row r="908">
      <c r="D908" s="152"/>
    </row>
    <row r="909">
      <c r="D909" s="152"/>
    </row>
    <row r="910">
      <c r="D910" s="152"/>
    </row>
    <row r="911">
      <c r="D911" s="152"/>
    </row>
    <row r="912">
      <c r="D912" s="152"/>
    </row>
    <row r="913">
      <c r="D913" s="152"/>
    </row>
    <row r="914">
      <c r="D914" s="152"/>
    </row>
    <row r="915">
      <c r="D915" s="152"/>
    </row>
    <row r="916">
      <c r="D916" s="152"/>
    </row>
    <row r="917">
      <c r="D917" s="152"/>
    </row>
    <row r="918">
      <c r="D918" s="152"/>
    </row>
    <row r="919">
      <c r="D919" s="152"/>
    </row>
    <row r="920">
      <c r="D920" s="152"/>
    </row>
    <row r="921">
      <c r="D921" s="152"/>
    </row>
    <row r="922">
      <c r="D922" s="152"/>
    </row>
    <row r="923">
      <c r="D923" s="152"/>
    </row>
    <row r="924">
      <c r="D924" s="152"/>
    </row>
    <row r="925">
      <c r="D925" s="152"/>
    </row>
    <row r="926">
      <c r="D926" s="152"/>
    </row>
    <row r="927">
      <c r="D927" s="152"/>
    </row>
    <row r="928">
      <c r="D928" s="152"/>
    </row>
    <row r="929">
      <c r="D929" s="152"/>
    </row>
    <row r="930">
      <c r="D930" s="152"/>
    </row>
    <row r="931">
      <c r="D931" s="152"/>
    </row>
    <row r="932">
      <c r="D932" s="152"/>
    </row>
    <row r="933">
      <c r="D933" s="152"/>
    </row>
    <row r="934">
      <c r="D934" s="152"/>
    </row>
    <row r="935">
      <c r="D935" s="152"/>
    </row>
    <row r="936">
      <c r="D936" s="152"/>
    </row>
    <row r="937">
      <c r="D937" s="152"/>
    </row>
    <row r="938">
      <c r="D938" s="152"/>
    </row>
    <row r="939">
      <c r="D939" s="152"/>
    </row>
    <row r="940">
      <c r="D940" s="152"/>
    </row>
    <row r="941">
      <c r="D941" s="152"/>
    </row>
    <row r="942">
      <c r="D942" s="152"/>
    </row>
    <row r="943">
      <c r="D943" s="152"/>
    </row>
    <row r="944">
      <c r="D944" s="152"/>
    </row>
    <row r="945">
      <c r="D945" s="152"/>
    </row>
    <row r="946">
      <c r="D946" s="152"/>
    </row>
    <row r="947">
      <c r="D947" s="152"/>
    </row>
    <row r="948">
      <c r="D948" s="152"/>
    </row>
    <row r="949">
      <c r="D949" s="152"/>
    </row>
    <row r="950">
      <c r="D950" s="152"/>
    </row>
    <row r="951">
      <c r="D951" s="152"/>
    </row>
    <row r="952">
      <c r="D952" s="152"/>
    </row>
    <row r="953">
      <c r="D953" s="152"/>
    </row>
    <row r="954">
      <c r="D954" s="152"/>
    </row>
    <row r="955">
      <c r="D955" s="152"/>
    </row>
    <row r="956">
      <c r="D956" s="152"/>
    </row>
    <row r="957">
      <c r="D957" s="152"/>
    </row>
    <row r="958">
      <c r="D958" s="152"/>
    </row>
    <row r="959">
      <c r="D959" s="152"/>
    </row>
    <row r="960">
      <c r="D960" s="152"/>
    </row>
    <row r="961">
      <c r="D961" s="152"/>
    </row>
    <row r="962">
      <c r="D962" s="152"/>
    </row>
    <row r="963">
      <c r="D963" s="152"/>
    </row>
    <row r="964">
      <c r="D964" s="152"/>
    </row>
    <row r="965">
      <c r="D965" s="152"/>
    </row>
    <row r="966">
      <c r="D966" s="152"/>
    </row>
    <row r="967">
      <c r="D967" s="152"/>
    </row>
    <row r="968">
      <c r="D968" s="152"/>
    </row>
    <row r="969">
      <c r="D969" s="152"/>
    </row>
    <row r="970">
      <c r="D970" s="152"/>
    </row>
    <row r="971">
      <c r="D971" s="152"/>
    </row>
    <row r="972">
      <c r="D972" s="152"/>
    </row>
    <row r="973">
      <c r="D973" s="152"/>
    </row>
    <row r="974">
      <c r="D974" s="152"/>
    </row>
    <row r="975">
      <c r="D975" s="152"/>
    </row>
    <row r="976">
      <c r="D976" s="152"/>
    </row>
    <row r="977">
      <c r="D977" s="152"/>
    </row>
    <row r="978">
      <c r="D978" s="152"/>
    </row>
    <row r="979">
      <c r="D979" s="152"/>
    </row>
    <row r="980">
      <c r="D980" s="152"/>
    </row>
    <row r="981">
      <c r="D981" s="152"/>
    </row>
    <row r="982">
      <c r="D982" s="152"/>
    </row>
    <row r="983">
      <c r="D983" s="152"/>
    </row>
    <row r="984">
      <c r="D984" s="152"/>
    </row>
    <row r="985">
      <c r="D985" s="152"/>
    </row>
    <row r="986">
      <c r="D986" s="152"/>
    </row>
    <row r="987">
      <c r="D987" s="152"/>
    </row>
    <row r="988">
      <c r="D988" s="152"/>
    </row>
    <row r="989">
      <c r="D989" s="152"/>
    </row>
    <row r="990">
      <c r="D990" s="152"/>
    </row>
    <row r="991">
      <c r="D991" s="152"/>
    </row>
    <row r="992">
      <c r="D992" s="152"/>
    </row>
    <row r="993">
      <c r="D993" s="152"/>
    </row>
    <row r="994">
      <c r="D994" s="152"/>
    </row>
    <row r="995">
      <c r="D995" s="152"/>
    </row>
    <row r="996">
      <c r="D996" s="152"/>
    </row>
    <row r="997">
      <c r="D997" s="152"/>
    </row>
    <row r="998">
      <c r="D998" s="152"/>
    </row>
    <row r="999">
      <c r="D999" s="152"/>
    </row>
    <row r="1000">
      <c r="D1000" s="15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9" t="s">
        <v>190</v>
      </c>
      <c r="C1" s="89" t="s">
        <v>191</v>
      </c>
      <c r="D1" s="89" t="s">
        <v>192</v>
      </c>
      <c r="E1" s="88" t="s">
        <v>194</v>
      </c>
      <c r="F1" s="89" t="s">
        <v>195</v>
      </c>
      <c r="G1" s="89" t="s">
        <v>196</v>
      </c>
      <c r="H1" s="89" t="s">
        <v>197</v>
      </c>
    </row>
    <row r="2">
      <c r="A2" s="92" t="s">
        <v>210</v>
      </c>
      <c r="B2" s="95">
        <v>12.802000000000001</v>
      </c>
      <c r="C2" s="95">
        <v>0.602</v>
      </c>
      <c r="D2" s="95">
        <v>0.0</v>
      </c>
      <c r="E2" s="94">
        <v>9.6</v>
      </c>
      <c r="F2" s="95">
        <v>2.402</v>
      </c>
      <c r="G2" s="95">
        <v>0.8</v>
      </c>
      <c r="H2" s="95">
        <v>0.0</v>
      </c>
    </row>
    <row r="3">
      <c r="A3" s="92" t="s">
        <v>209</v>
      </c>
      <c r="B3" s="95">
        <v>12.931313131313132</v>
      </c>
      <c r="C3" s="95">
        <v>0.406060606060606</v>
      </c>
      <c r="D3" s="95">
        <v>1.598</v>
      </c>
      <c r="E3" s="94">
        <v>8.8</v>
      </c>
      <c r="F3" s="95">
        <v>0.798</v>
      </c>
      <c r="G3" s="95">
        <v>0.0</v>
      </c>
      <c r="H3" s="95">
        <v>1.6</v>
      </c>
    </row>
    <row r="4">
      <c r="A4" s="92" t="s">
        <v>225</v>
      </c>
      <c r="B4" s="95">
        <v>10.612244897959183</v>
      </c>
      <c r="C4" s="95">
        <v>0.2040816326530612</v>
      </c>
      <c r="D4" s="95">
        <v>0.8</v>
      </c>
      <c r="E4" s="94">
        <v>8.8</v>
      </c>
      <c r="F4" s="95">
        <v>0.0</v>
      </c>
      <c r="G4" s="95">
        <v>0.0</v>
      </c>
      <c r="H4" s="95">
        <v>0.9411764705882353</v>
      </c>
    </row>
    <row r="5">
      <c r="A5" s="92" t="s">
        <v>198</v>
      </c>
      <c r="B5" s="95">
        <v>31.189830508474575</v>
      </c>
      <c r="C5" s="95">
        <v>0.8440677966101695</v>
      </c>
      <c r="D5" s="95">
        <v>12.521739130434783</v>
      </c>
      <c r="E5" s="94">
        <v>8.67</v>
      </c>
      <c r="F5" s="95">
        <v>4.0</v>
      </c>
      <c r="G5" s="95">
        <v>1.3878260869565218</v>
      </c>
      <c r="H5" s="95">
        <v>4.67</v>
      </c>
    </row>
    <row r="6">
      <c r="A6" s="92" t="s">
        <v>218</v>
      </c>
      <c r="B6" s="95">
        <v>12.121212121212121</v>
      </c>
      <c r="C6" s="95">
        <v>1.0101010101010102</v>
      </c>
      <c r="D6" s="95">
        <v>0.0</v>
      </c>
      <c r="E6" s="94">
        <v>8.571428571428571</v>
      </c>
      <c r="F6" s="95">
        <v>2.1052631578947367</v>
      </c>
      <c r="G6" s="95">
        <v>1.0526315789473684</v>
      </c>
      <c r="H6" s="95">
        <v>3.1578947368421053</v>
      </c>
    </row>
    <row r="7">
      <c r="A7" s="92" t="s">
        <v>237</v>
      </c>
      <c r="B7" s="95">
        <v>9.331666666666667</v>
      </c>
      <c r="C7" s="95">
        <v>0.0</v>
      </c>
      <c r="D7" s="95">
        <v>0.665</v>
      </c>
      <c r="E7" s="94">
        <v>8.001666666666667</v>
      </c>
      <c r="F7" s="95">
        <v>0.665</v>
      </c>
      <c r="G7" s="95">
        <v>0.0</v>
      </c>
      <c r="H7" s="95">
        <v>0.0</v>
      </c>
    </row>
    <row r="8">
      <c r="A8" s="92" t="s">
        <v>212</v>
      </c>
      <c r="B8" s="95">
        <v>12.467532467532468</v>
      </c>
      <c r="C8" s="95">
        <v>0.7792207792207793</v>
      </c>
      <c r="D8" s="95">
        <v>1.0666666666666667</v>
      </c>
      <c r="E8" s="94">
        <v>8.0</v>
      </c>
      <c r="F8" s="95">
        <v>0.0</v>
      </c>
      <c r="G8" s="95">
        <v>0.0</v>
      </c>
      <c r="H8" s="95">
        <v>3.2</v>
      </c>
    </row>
    <row r="9">
      <c r="A9" s="92" t="s">
        <v>274</v>
      </c>
      <c r="B9" s="95">
        <v>6.8965517241379315</v>
      </c>
      <c r="C9" s="95">
        <v>0.6896551724137931</v>
      </c>
      <c r="D9" s="95">
        <v>0.0</v>
      </c>
      <c r="E9" s="94">
        <v>8.0</v>
      </c>
      <c r="F9" s="95">
        <v>-1.4545454545454546</v>
      </c>
      <c r="G9" s="95">
        <v>0.0</v>
      </c>
      <c r="H9" s="95">
        <v>0.0</v>
      </c>
    </row>
    <row r="10">
      <c r="A10" s="92" t="s">
        <v>247</v>
      </c>
      <c r="B10" s="95">
        <v>8.421052631578947</v>
      </c>
      <c r="C10" s="95">
        <v>0.0</v>
      </c>
      <c r="D10" s="95">
        <v>0.0</v>
      </c>
      <c r="E10" s="94">
        <v>8.0</v>
      </c>
      <c r="F10" s="95">
        <v>0.0</v>
      </c>
      <c r="G10" s="95">
        <v>0.0</v>
      </c>
      <c r="H10" s="95">
        <v>0.0</v>
      </c>
    </row>
    <row r="11">
      <c r="A11" s="92" t="s">
        <v>268</v>
      </c>
      <c r="B11" s="95">
        <v>7.2727272727272725</v>
      </c>
      <c r="C11" s="95">
        <v>0.0</v>
      </c>
      <c r="D11" s="95">
        <v>0.0</v>
      </c>
      <c r="E11" s="94">
        <v>7.2</v>
      </c>
      <c r="F11" s="95">
        <v>0.0</v>
      </c>
      <c r="G11" s="95">
        <v>0.0</v>
      </c>
      <c r="H11" s="95">
        <v>0.0</v>
      </c>
    </row>
    <row r="12">
      <c r="A12" s="92" t="s">
        <v>202</v>
      </c>
      <c r="B12" s="95">
        <v>20.0</v>
      </c>
      <c r="C12" s="95">
        <v>0.0</v>
      </c>
      <c r="D12" s="95">
        <v>12.0</v>
      </c>
      <c r="E12" s="94">
        <v>6.4</v>
      </c>
      <c r="F12" s="95">
        <v>0.0</v>
      </c>
      <c r="G12" s="95">
        <v>0.0</v>
      </c>
      <c r="H12" s="95">
        <v>1.6</v>
      </c>
    </row>
    <row r="13">
      <c r="A13" s="92" t="s">
        <v>207</v>
      </c>
      <c r="B13" s="95">
        <v>14.545454545454545</v>
      </c>
      <c r="C13" s="95">
        <v>0.6060606060606061</v>
      </c>
      <c r="D13" s="95">
        <v>3.5555555555555554</v>
      </c>
      <c r="E13" s="94">
        <v>6.4</v>
      </c>
      <c r="F13" s="95">
        <v>1.6</v>
      </c>
      <c r="G13" s="95">
        <v>0.0</v>
      </c>
      <c r="H13" s="95">
        <v>3.0476190476190474</v>
      </c>
    </row>
    <row r="14">
      <c r="A14" s="92" t="s">
        <v>239</v>
      </c>
      <c r="B14" s="95">
        <v>8.979591836734693</v>
      </c>
      <c r="C14" s="95">
        <v>0.4081632653061224</v>
      </c>
      <c r="D14" s="95">
        <v>0.8</v>
      </c>
      <c r="E14" s="94">
        <v>6.4</v>
      </c>
      <c r="F14" s="95">
        <v>0.0</v>
      </c>
      <c r="G14" s="95">
        <v>0.0</v>
      </c>
      <c r="H14" s="95">
        <v>1.6842105263157894</v>
      </c>
    </row>
    <row r="15">
      <c r="A15" s="92" t="s">
        <v>244</v>
      </c>
      <c r="B15" s="95">
        <v>8.88888888888889</v>
      </c>
      <c r="C15" s="95">
        <v>0.608080808080808</v>
      </c>
      <c r="D15" s="95">
        <v>0.0</v>
      </c>
      <c r="E15" s="94">
        <v>6.4</v>
      </c>
      <c r="F15" s="95">
        <v>1.6</v>
      </c>
      <c r="G15" s="95">
        <v>0.7619047619047619</v>
      </c>
      <c r="H15" s="95">
        <v>0.0</v>
      </c>
    </row>
    <row r="16">
      <c r="A16" s="92" t="s">
        <v>227</v>
      </c>
      <c r="B16" s="95">
        <v>10.505050505050505</v>
      </c>
      <c r="C16" s="95">
        <v>0.6060606060606061</v>
      </c>
      <c r="D16" s="95">
        <v>0.8</v>
      </c>
      <c r="E16" s="94">
        <v>6.095238095238095</v>
      </c>
      <c r="F16" s="95">
        <v>0.8421052631578947</v>
      </c>
      <c r="G16" s="95">
        <v>1.6</v>
      </c>
      <c r="H16" s="95">
        <v>0.8421052631578947</v>
      </c>
    </row>
    <row r="17">
      <c r="A17" s="92" t="s">
        <v>200</v>
      </c>
      <c r="B17" s="95">
        <v>23.43232323232323</v>
      </c>
      <c r="C17" s="95">
        <v>0.05</v>
      </c>
      <c r="D17" s="95">
        <v>3.0025</v>
      </c>
      <c r="E17" s="94">
        <v>5.9975000000000005</v>
      </c>
      <c r="F17" s="95">
        <v>8.0</v>
      </c>
      <c r="G17" s="95">
        <v>11.9975</v>
      </c>
      <c r="H17" s="95">
        <v>0.0</v>
      </c>
    </row>
    <row r="18">
      <c r="A18" s="92" t="s">
        <v>201</v>
      </c>
      <c r="B18" s="95">
        <v>22.4</v>
      </c>
      <c r="C18" s="95">
        <v>2.2</v>
      </c>
      <c r="D18" s="95">
        <v>4.8</v>
      </c>
      <c r="E18" s="94">
        <v>5.6</v>
      </c>
      <c r="F18" s="95">
        <v>0.0</v>
      </c>
      <c r="G18" s="95">
        <v>3.2</v>
      </c>
      <c r="H18" s="95">
        <v>8.421052631578947</v>
      </c>
    </row>
    <row r="19">
      <c r="A19" s="92" t="s">
        <v>204</v>
      </c>
      <c r="B19" s="95">
        <v>16.842105263157894</v>
      </c>
      <c r="C19" s="95">
        <v>0.8421052631578947</v>
      </c>
      <c r="D19" s="95">
        <v>0.0</v>
      </c>
      <c r="E19" s="94">
        <v>5.052631578947368</v>
      </c>
      <c r="F19" s="95">
        <v>6.4</v>
      </c>
      <c r="G19" s="95">
        <v>6.222222222222222</v>
      </c>
      <c r="H19" s="95">
        <v>-0.8888888888888888</v>
      </c>
    </row>
    <row r="20">
      <c r="A20" s="92" t="s">
        <v>228</v>
      </c>
      <c r="B20" s="95">
        <v>10.4</v>
      </c>
      <c r="C20" s="95">
        <v>0.4</v>
      </c>
      <c r="D20" s="95">
        <v>2.0</v>
      </c>
      <c r="E20" s="94">
        <v>5.0</v>
      </c>
      <c r="F20" s="95">
        <v>1.0</v>
      </c>
      <c r="G20" s="95">
        <v>4.0</v>
      </c>
      <c r="H20" s="95">
        <v>1.0</v>
      </c>
    </row>
    <row r="21">
      <c r="A21" s="92" t="s">
        <v>208</v>
      </c>
      <c r="B21" s="95">
        <v>13.061224489795917</v>
      </c>
      <c r="C21" s="95">
        <v>0.4081632653061224</v>
      </c>
      <c r="D21" s="95">
        <v>5.052631578947368</v>
      </c>
      <c r="E21" s="94">
        <v>4.8</v>
      </c>
      <c r="F21" s="95">
        <v>1.6</v>
      </c>
      <c r="G21" s="95">
        <v>0.8421052631578947</v>
      </c>
      <c r="H21" s="95">
        <v>0.8</v>
      </c>
    </row>
    <row r="22">
      <c r="A22" s="92" t="s">
        <v>224</v>
      </c>
      <c r="B22" s="95">
        <v>10.612244897959183</v>
      </c>
      <c r="C22" s="95">
        <v>0.2040816326530612</v>
      </c>
      <c r="D22" s="95">
        <v>1.6842105263157894</v>
      </c>
      <c r="E22" s="94">
        <v>4.8</v>
      </c>
      <c r="F22" s="95">
        <v>0.8</v>
      </c>
      <c r="G22" s="95">
        <v>0.0</v>
      </c>
      <c r="H22" s="95">
        <v>3.2</v>
      </c>
    </row>
    <row r="23">
      <c r="A23" s="92" t="s">
        <v>217</v>
      </c>
      <c r="B23" s="95">
        <v>12.121212121212121</v>
      </c>
      <c r="C23" s="95">
        <v>1.2121212121212122</v>
      </c>
      <c r="D23" s="95">
        <v>0.0</v>
      </c>
      <c r="E23" s="94">
        <v>4.8</v>
      </c>
      <c r="F23" s="95">
        <v>4.0</v>
      </c>
      <c r="G23" s="95">
        <v>-0.8</v>
      </c>
      <c r="H23" s="95">
        <v>4.2105263157894735</v>
      </c>
    </row>
    <row r="24">
      <c r="A24" s="92" t="s">
        <v>238</v>
      </c>
      <c r="B24" s="95">
        <v>9.142857142857142</v>
      </c>
      <c r="C24" s="95">
        <v>0.0</v>
      </c>
      <c r="D24" s="95">
        <v>2.2857142857142856</v>
      </c>
      <c r="E24" s="94">
        <v>4.571428571428571</v>
      </c>
      <c r="F24" s="95">
        <v>0.0</v>
      </c>
      <c r="G24" s="95">
        <v>2.2857142857142856</v>
      </c>
      <c r="H24" s="95">
        <v>0.0</v>
      </c>
    </row>
    <row r="25">
      <c r="A25" s="92" t="s">
        <v>199</v>
      </c>
      <c r="B25" s="95">
        <v>30.76923076923077</v>
      </c>
      <c r="C25" s="95">
        <v>1.0256410256410258</v>
      </c>
      <c r="D25" s="95">
        <v>12.0</v>
      </c>
      <c r="E25" s="94">
        <v>4.0</v>
      </c>
      <c r="F25" s="95">
        <v>7.466666666666667</v>
      </c>
      <c r="G25" s="95">
        <v>-1.0666666666666667</v>
      </c>
      <c r="H25" s="95">
        <v>8.0</v>
      </c>
    </row>
    <row r="26">
      <c r="A26" s="92" t="s">
        <v>213</v>
      </c>
      <c r="B26" s="95">
        <v>12.244897959183673</v>
      </c>
      <c r="C26" s="95">
        <v>0.6122448979591836</v>
      </c>
      <c r="D26" s="95">
        <v>2.526315789473684</v>
      </c>
      <c r="E26" s="94">
        <v>4.0</v>
      </c>
      <c r="F26" s="95">
        <v>1.6</v>
      </c>
      <c r="G26" s="95">
        <v>-0.8</v>
      </c>
      <c r="H26" s="95">
        <v>5.052631578947368</v>
      </c>
    </row>
    <row r="27">
      <c r="A27" s="92" t="s">
        <v>261</v>
      </c>
      <c r="B27" s="95">
        <v>8.0</v>
      </c>
      <c r="C27" s="95">
        <v>0.4</v>
      </c>
      <c r="D27" s="95">
        <v>0.8</v>
      </c>
      <c r="E27" s="94">
        <v>4.0</v>
      </c>
      <c r="F27" s="95">
        <v>0.8</v>
      </c>
      <c r="G27" s="95">
        <v>0.0</v>
      </c>
      <c r="H27" s="95">
        <v>2.4</v>
      </c>
    </row>
    <row r="28">
      <c r="A28" s="92" t="s">
        <v>301</v>
      </c>
      <c r="B28" s="95">
        <v>0.0</v>
      </c>
      <c r="C28" s="95">
        <v>1.0</v>
      </c>
      <c r="D28" s="95">
        <v>0.0</v>
      </c>
      <c r="E28" s="94">
        <v>4.0</v>
      </c>
      <c r="F28" s="95">
        <v>-4.0</v>
      </c>
      <c r="G28" s="95">
        <v>0.0</v>
      </c>
      <c r="H28" s="95">
        <v>0.0</v>
      </c>
    </row>
    <row r="29">
      <c r="A29" s="92" t="s">
        <v>304</v>
      </c>
      <c r="B29" s="95">
        <v>5.194805194805195</v>
      </c>
      <c r="C29" s="95">
        <v>0.7792207792207793</v>
      </c>
      <c r="D29" s="95">
        <v>0.0</v>
      </c>
      <c r="E29" s="94">
        <v>4.0</v>
      </c>
      <c r="F29" s="95">
        <v>0.0</v>
      </c>
      <c r="G29" s="95">
        <v>1.0666666666666667</v>
      </c>
      <c r="H29" s="95">
        <v>0.0</v>
      </c>
    </row>
    <row r="30">
      <c r="A30" s="92" t="s">
        <v>205</v>
      </c>
      <c r="B30" s="95">
        <v>16.0</v>
      </c>
      <c r="C30" s="95">
        <v>0.5</v>
      </c>
      <c r="D30" s="95">
        <v>0.0</v>
      </c>
      <c r="E30" s="94">
        <v>4.0</v>
      </c>
      <c r="F30" s="95">
        <v>6.0</v>
      </c>
      <c r="G30" s="95">
        <v>6.0</v>
      </c>
      <c r="H30" s="95">
        <v>0.0</v>
      </c>
    </row>
    <row r="31">
      <c r="A31" s="92" t="s">
        <v>340</v>
      </c>
      <c r="B31" s="95">
        <v>4.0</v>
      </c>
      <c r="C31" s="95">
        <v>0.5</v>
      </c>
      <c r="D31" s="95">
        <v>0.0</v>
      </c>
      <c r="E31" s="94">
        <v>4.0</v>
      </c>
      <c r="F31" s="95">
        <v>2.0</v>
      </c>
      <c r="G31" s="95">
        <v>-2.0</v>
      </c>
      <c r="H31" s="95">
        <v>0.0</v>
      </c>
    </row>
    <row r="32">
      <c r="A32" s="92" t="s">
        <v>282</v>
      </c>
      <c r="B32" s="95">
        <v>6.0</v>
      </c>
      <c r="C32" s="95">
        <v>0.0</v>
      </c>
      <c r="D32" s="95">
        <v>0.0</v>
      </c>
      <c r="E32" s="94">
        <v>4.0</v>
      </c>
      <c r="F32" s="95">
        <v>0.0</v>
      </c>
      <c r="G32" s="95">
        <v>0.0</v>
      </c>
      <c r="H32" s="95">
        <v>2.0</v>
      </c>
    </row>
    <row r="33">
      <c r="A33" s="92" t="s">
        <v>300</v>
      </c>
      <c r="B33" s="95">
        <v>5.333333333333333</v>
      </c>
      <c r="C33" s="95">
        <v>0.0</v>
      </c>
      <c r="D33" s="95">
        <v>0.0</v>
      </c>
      <c r="E33" s="94">
        <v>4.0</v>
      </c>
      <c r="F33" s="95">
        <v>0.0</v>
      </c>
      <c r="G33" s="95">
        <v>0.0</v>
      </c>
      <c r="H33" s="95">
        <v>1.4545454545454546</v>
      </c>
    </row>
    <row r="34">
      <c r="A34" s="92" t="s">
        <v>265</v>
      </c>
      <c r="B34" s="95">
        <v>7.57027027027027</v>
      </c>
      <c r="C34" s="95">
        <v>0.5378378378378378</v>
      </c>
      <c r="D34" s="95">
        <v>2.0025</v>
      </c>
      <c r="E34" s="94">
        <v>3.2</v>
      </c>
      <c r="F34" s="95">
        <v>1.0025</v>
      </c>
      <c r="G34" s="95">
        <v>1.2276923076923079</v>
      </c>
      <c r="H34" s="95">
        <v>0.0</v>
      </c>
    </row>
    <row r="35">
      <c r="A35" s="92" t="s">
        <v>332</v>
      </c>
      <c r="B35" s="95">
        <v>4.0</v>
      </c>
      <c r="C35" s="95">
        <v>0.6</v>
      </c>
      <c r="D35" s="95">
        <v>0.8</v>
      </c>
      <c r="E35" s="94">
        <v>3.2</v>
      </c>
      <c r="F35" s="95">
        <v>-0.8</v>
      </c>
      <c r="G35" s="95">
        <v>0.0</v>
      </c>
      <c r="H35" s="95">
        <v>0.8421052631578947</v>
      </c>
    </row>
    <row r="36">
      <c r="A36" s="92" t="s">
        <v>203</v>
      </c>
      <c r="B36" s="95">
        <v>19.393939393939394</v>
      </c>
      <c r="C36" s="95">
        <v>0.40404040404040403</v>
      </c>
      <c r="D36" s="95">
        <v>0.8</v>
      </c>
      <c r="E36" s="94">
        <v>3.0476190476190474</v>
      </c>
      <c r="F36" s="95">
        <v>8.0</v>
      </c>
      <c r="G36" s="95">
        <v>5.894736842105263</v>
      </c>
      <c r="H36" s="95">
        <v>1.6842105263157894</v>
      </c>
    </row>
    <row r="37">
      <c r="A37" s="92" t="s">
        <v>229</v>
      </c>
      <c r="B37" s="95">
        <v>10.38961038961039</v>
      </c>
      <c r="C37" s="95">
        <v>0.0</v>
      </c>
      <c r="D37" s="95">
        <v>0.0</v>
      </c>
      <c r="E37" s="94">
        <v>3.0</v>
      </c>
      <c r="F37" s="95">
        <v>1.0</v>
      </c>
      <c r="G37" s="95">
        <v>0.0</v>
      </c>
      <c r="H37" s="95">
        <v>6.857142857142857</v>
      </c>
    </row>
    <row r="38">
      <c r="A38" s="92" t="s">
        <v>216</v>
      </c>
      <c r="B38" s="95">
        <v>12.203389830508474</v>
      </c>
      <c r="C38" s="95">
        <v>0.3389830508474576</v>
      </c>
      <c r="D38" s="95">
        <v>5.333333333333333</v>
      </c>
      <c r="E38" s="94">
        <v>2.6666666666666665</v>
      </c>
      <c r="F38" s="95">
        <v>4.363636363636363</v>
      </c>
      <c r="G38" s="95">
        <v>0.0</v>
      </c>
      <c r="H38" s="95">
        <v>0.0</v>
      </c>
    </row>
    <row r="39">
      <c r="A39" s="92" t="s">
        <v>303</v>
      </c>
      <c r="B39" s="95">
        <v>5.333333333333333</v>
      </c>
      <c r="C39" s="95">
        <v>0.0</v>
      </c>
      <c r="D39" s="95">
        <v>2.4615384615384617</v>
      </c>
      <c r="E39" s="94">
        <v>2.6666666666666665</v>
      </c>
      <c r="F39" s="95">
        <v>0.0</v>
      </c>
      <c r="G39" s="95">
        <v>0.0</v>
      </c>
      <c r="H39" s="95">
        <v>0.0</v>
      </c>
    </row>
    <row r="40">
      <c r="A40" s="92" t="s">
        <v>352</v>
      </c>
      <c r="B40" s="95">
        <v>2.7586206896551726</v>
      </c>
      <c r="C40" s="95">
        <v>0.3448275862068966</v>
      </c>
      <c r="D40" s="95">
        <v>1.4545454545454546</v>
      </c>
      <c r="E40" s="94">
        <v>2.6666666666666665</v>
      </c>
      <c r="F40" s="95">
        <v>-1.3333333333333333</v>
      </c>
      <c r="G40" s="95">
        <v>0.0</v>
      </c>
      <c r="H40" s="95">
        <v>0.0</v>
      </c>
    </row>
    <row r="41">
      <c r="A41" s="92" t="s">
        <v>248</v>
      </c>
      <c r="B41" s="95">
        <v>8.333333333333334</v>
      </c>
      <c r="C41" s="95">
        <v>2.0833333333333335</v>
      </c>
      <c r="D41" s="95">
        <v>0.0</v>
      </c>
      <c r="E41" s="94">
        <v>2.6666666666666665</v>
      </c>
      <c r="F41" s="95">
        <v>3.8095238095238093</v>
      </c>
      <c r="G41" s="95">
        <v>-1.6842105263157894</v>
      </c>
      <c r="H41" s="95">
        <v>3.5555555555555554</v>
      </c>
    </row>
    <row r="42">
      <c r="A42" s="92" t="s">
        <v>354</v>
      </c>
      <c r="B42" s="95">
        <v>2.7586206896551726</v>
      </c>
      <c r="C42" s="95">
        <v>0.3448275862068966</v>
      </c>
      <c r="D42" s="95">
        <v>0.0</v>
      </c>
      <c r="E42" s="94">
        <v>2.6666666666666665</v>
      </c>
      <c r="F42" s="95">
        <v>0.0</v>
      </c>
      <c r="G42" s="95">
        <v>1.3333333333333333</v>
      </c>
      <c r="H42" s="95">
        <v>-1.3333333333333333</v>
      </c>
    </row>
    <row r="43">
      <c r="A43" s="92" t="s">
        <v>296</v>
      </c>
      <c r="B43" s="95">
        <v>5.517241379310345</v>
      </c>
      <c r="C43" s="95">
        <v>0.0</v>
      </c>
      <c r="D43" s="95">
        <v>0.0</v>
      </c>
      <c r="E43" s="94">
        <v>2.6666666666666665</v>
      </c>
      <c r="F43" s="95">
        <v>0.0</v>
      </c>
      <c r="G43" s="95">
        <v>0.0</v>
      </c>
      <c r="H43" s="95">
        <v>2.6666666666666665</v>
      </c>
    </row>
    <row r="44">
      <c r="A44" s="92" t="s">
        <v>254</v>
      </c>
      <c r="B44" s="95">
        <v>8.080808080808081</v>
      </c>
      <c r="C44" s="95">
        <v>0.40404040404040403</v>
      </c>
      <c r="D44" s="95">
        <v>5.6</v>
      </c>
      <c r="E44" s="94">
        <v>2.526315789473684</v>
      </c>
      <c r="F44" s="95">
        <v>0.0</v>
      </c>
      <c r="G44" s="95">
        <v>0.0</v>
      </c>
      <c r="H44" s="95">
        <v>0.0</v>
      </c>
    </row>
    <row r="45">
      <c r="A45" s="92" t="s">
        <v>338</v>
      </c>
      <c r="B45" s="95">
        <v>4.0</v>
      </c>
      <c r="C45" s="95">
        <v>0.0</v>
      </c>
      <c r="D45" s="95">
        <v>0.0</v>
      </c>
      <c r="E45" s="94">
        <v>2.4615384615384617</v>
      </c>
      <c r="F45" s="95">
        <v>1.3333333333333333</v>
      </c>
      <c r="G45" s="95">
        <v>0.0</v>
      </c>
      <c r="H45" s="95">
        <v>0.0</v>
      </c>
    </row>
    <row r="46">
      <c r="A46" s="92" t="s">
        <v>211</v>
      </c>
      <c r="B46" s="95">
        <v>12.8</v>
      </c>
      <c r="C46" s="95">
        <v>0.2</v>
      </c>
      <c r="D46" s="95">
        <v>5.6</v>
      </c>
      <c r="E46" s="94">
        <v>2.4</v>
      </c>
      <c r="F46" s="95">
        <v>3.2</v>
      </c>
      <c r="G46" s="95">
        <v>1.6</v>
      </c>
      <c r="H46" s="95">
        <v>0.0</v>
      </c>
    </row>
    <row r="47">
      <c r="A47" s="92" t="s">
        <v>346</v>
      </c>
      <c r="B47" s="95">
        <v>3.2323232323232323</v>
      </c>
      <c r="C47" s="95">
        <v>0.20202020202020202</v>
      </c>
      <c r="D47" s="95">
        <v>0.8</v>
      </c>
      <c r="E47" s="94">
        <v>2.4</v>
      </c>
      <c r="F47" s="95">
        <v>0.0</v>
      </c>
      <c r="G47" s="95">
        <v>0.8</v>
      </c>
      <c r="H47" s="95">
        <v>-0.8421052631578947</v>
      </c>
    </row>
    <row r="48">
      <c r="A48" s="92" t="s">
        <v>309</v>
      </c>
      <c r="B48" s="95">
        <v>4.848484848484849</v>
      </c>
      <c r="C48" s="95">
        <v>0.0</v>
      </c>
      <c r="D48" s="95">
        <v>0.8</v>
      </c>
      <c r="E48" s="94">
        <v>2.4</v>
      </c>
      <c r="F48" s="95">
        <v>0.8</v>
      </c>
      <c r="G48" s="95">
        <v>0.8</v>
      </c>
      <c r="H48" s="95">
        <v>0.0</v>
      </c>
    </row>
    <row r="49">
      <c r="A49" s="92" t="s">
        <v>311</v>
      </c>
      <c r="B49" s="95">
        <v>4.8</v>
      </c>
      <c r="C49" s="95">
        <v>0.4</v>
      </c>
      <c r="D49" s="95">
        <v>0.0</v>
      </c>
      <c r="E49" s="94">
        <v>2.4</v>
      </c>
      <c r="F49" s="95">
        <v>2.4</v>
      </c>
      <c r="G49" s="95">
        <v>0.0</v>
      </c>
      <c r="H49" s="95">
        <v>0.0</v>
      </c>
    </row>
    <row r="50">
      <c r="A50" s="92" t="s">
        <v>277</v>
      </c>
      <c r="B50" s="95">
        <v>6.4646464646464645</v>
      </c>
      <c r="C50" s="95">
        <v>0.0</v>
      </c>
      <c r="D50" s="95">
        <v>0.0</v>
      </c>
      <c r="E50" s="94">
        <v>2.4</v>
      </c>
      <c r="F50" s="95">
        <v>0.8</v>
      </c>
      <c r="G50" s="95">
        <v>0.7619047619047619</v>
      </c>
      <c r="H50" s="95">
        <v>2.526315789473684</v>
      </c>
    </row>
    <row r="51">
      <c r="A51" s="92" t="s">
        <v>221</v>
      </c>
      <c r="B51" s="95">
        <v>11.313131313131313</v>
      </c>
      <c r="C51" s="95">
        <v>0.604040404040404</v>
      </c>
      <c r="D51" s="95">
        <v>5.6</v>
      </c>
      <c r="E51" s="94">
        <v>2.2857142857142856</v>
      </c>
      <c r="F51" s="95">
        <v>0.0</v>
      </c>
      <c r="G51" s="95">
        <v>0.0</v>
      </c>
      <c r="H51" s="95">
        <v>3.3684210526315788</v>
      </c>
    </row>
    <row r="52">
      <c r="A52" s="92" t="s">
        <v>257</v>
      </c>
      <c r="B52" s="95">
        <v>8.078787878787878</v>
      </c>
      <c r="C52" s="95">
        <v>0.0</v>
      </c>
      <c r="D52" s="95">
        <v>0.0</v>
      </c>
      <c r="E52" s="94">
        <v>2.283809523809524</v>
      </c>
      <c r="F52" s="95">
        <v>0.8400000000000001</v>
      </c>
      <c r="G52" s="95">
        <v>4.8020000000000005</v>
      </c>
      <c r="H52" s="95">
        <v>0.0</v>
      </c>
    </row>
    <row r="53">
      <c r="A53" s="92" t="s">
        <v>299</v>
      </c>
      <c r="B53" s="95">
        <v>5.333333333333333</v>
      </c>
      <c r="C53" s="95">
        <v>0.0</v>
      </c>
      <c r="D53" s="95">
        <v>0.0</v>
      </c>
      <c r="E53" s="94">
        <v>2.1333333333333333</v>
      </c>
      <c r="F53" s="95">
        <v>0.0</v>
      </c>
      <c r="G53" s="95">
        <v>0.0</v>
      </c>
      <c r="H53" s="95">
        <v>3.0</v>
      </c>
    </row>
    <row r="54">
      <c r="A54" s="92" t="s">
        <v>230</v>
      </c>
      <c r="B54" s="95">
        <v>10.256410256410257</v>
      </c>
      <c r="C54" s="95">
        <v>0.0</v>
      </c>
      <c r="D54" s="95">
        <v>0.0</v>
      </c>
      <c r="E54" s="94">
        <v>2.0025</v>
      </c>
      <c r="F54" s="95">
        <v>4.266666666666667</v>
      </c>
      <c r="G54" s="95">
        <v>2.0025</v>
      </c>
      <c r="H54" s="95">
        <v>0.9975</v>
      </c>
    </row>
    <row r="55">
      <c r="A55" s="92" t="s">
        <v>271</v>
      </c>
      <c r="B55" s="95">
        <v>7.0886075949367084</v>
      </c>
      <c r="C55" s="95">
        <v>0.5063291139240506</v>
      </c>
      <c r="D55" s="95">
        <v>2.0</v>
      </c>
      <c r="E55" s="94">
        <v>2.0</v>
      </c>
      <c r="F55" s="95">
        <v>2.0</v>
      </c>
      <c r="G55" s="95">
        <v>0.0</v>
      </c>
      <c r="H55" s="95">
        <v>1.0666666666666667</v>
      </c>
    </row>
    <row r="56">
      <c r="A56" s="92" t="s">
        <v>331</v>
      </c>
      <c r="B56" s="95">
        <v>4.0</v>
      </c>
      <c r="C56" s="95">
        <v>0.25</v>
      </c>
      <c r="D56" s="95">
        <v>1.0</v>
      </c>
      <c r="E56" s="94">
        <v>2.0</v>
      </c>
      <c r="F56" s="95">
        <v>0.0</v>
      </c>
      <c r="G56" s="95">
        <v>0.0</v>
      </c>
      <c r="H56" s="95">
        <v>1.0</v>
      </c>
    </row>
    <row r="57">
      <c r="A57" s="92" t="s">
        <v>284</v>
      </c>
      <c r="B57" s="95">
        <v>6.0</v>
      </c>
      <c r="C57" s="95">
        <v>0.0</v>
      </c>
      <c r="D57" s="95">
        <v>0.0</v>
      </c>
      <c r="E57" s="94">
        <v>2.0</v>
      </c>
      <c r="F57" s="95">
        <v>0.0</v>
      </c>
      <c r="G57" s="95">
        <v>4.0</v>
      </c>
      <c r="H57" s="95">
        <v>0.0</v>
      </c>
    </row>
    <row r="58">
      <c r="A58" s="92" t="s">
        <v>342</v>
      </c>
      <c r="B58" s="95">
        <v>3.404255319148936</v>
      </c>
      <c r="C58" s="95">
        <v>0.0</v>
      </c>
      <c r="D58" s="95">
        <v>0.0</v>
      </c>
      <c r="E58" s="94">
        <v>1.7777777777777777</v>
      </c>
      <c r="F58" s="95">
        <v>0.8421052631578947</v>
      </c>
      <c r="G58" s="95">
        <v>0.8421052631578947</v>
      </c>
      <c r="H58" s="95">
        <v>0.0</v>
      </c>
    </row>
    <row r="59">
      <c r="A59" s="92" t="s">
        <v>242</v>
      </c>
      <c r="B59" s="95">
        <v>8.88888888888889</v>
      </c>
      <c r="C59" s="95">
        <v>1.0101010101010102</v>
      </c>
      <c r="D59" s="95">
        <v>1.6</v>
      </c>
      <c r="E59" s="94">
        <v>1.6842105263157894</v>
      </c>
      <c r="F59" s="95">
        <v>1.6</v>
      </c>
      <c r="G59" s="95">
        <v>0.0</v>
      </c>
      <c r="H59" s="95">
        <v>4.0</v>
      </c>
    </row>
    <row r="60">
      <c r="A60" s="92" t="s">
        <v>285</v>
      </c>
      <c r="B60" s="95">
        <v>5.959574468085107</v>
      </c>
      <c r="C60" s="95">
        <v>1.274468085106383</v>
      </c>
      <c r="D60" s="95">
        <v>0.0</v>
      </c>
      <c r="E60" s="94">
        <v>1.6842105263157894</v>
      </c>
      <c r="F60" s="95">
        <v>0.0</v>
      </c>
      <c r="G60" s="95">
        <v>0.0</v>
      </c>
      <c r="H60" s="95">
        <v>4.212631578947369</v>
      </c>
    </row>
    <row r="61">
      <c r="A61" s="92" t="s">
        <v>286</v>
      </c>
      <c r="B61" s="95">
        <v>5.8968421052631586</v>
      </c>
      <c r="C61" s="95">
        <v>0.0</v>
      </c>
      <c r="D61" s="95">
        <v>0.0</v>
      </c>
      <c r="E61" s="94">
        <v>1.6842105263157894</v>
      </c>
      <c r="F61" s="95">
        <v>1.7755555555555556</v>
      </c>
      <c r="G61" s="95">
        <v>0.0</v>
      </c>
      <c r="H61" s="95">
        <v>2.5242105263157897</v>
      </c>
    </row>
    <row r="62">
      <c r="A62" s="92" t="s">
        <v>361</v>
      </c>
      <c r="B62" s="95">
        <v>2.55531914893617</v>
      </c>
      <c r="C62" s="95">
        <v>0.0</v>
      </c>
      <c r="D62" s="95">
        <v>0.0</v>
      </c>
      <c r="E62" s="94">
        <v>1.6821052631578948</v>
      </c>
      <c r="F62" s="95">
        <v>0.8866666666666667</v>
      </c>
      <c r="G62" s="95">
        <v>0.0</v>
      </c>
      <c r="H62" s="95">
        <v>0.0</v>
      </c>
    </row>
    <row r="63">
      <c r="A63" s="92" t="s">
        <v>290</v>
      </c>
      <c r="B63" s="95">
        <v>5.7142857142857135</v>
      </c>
      <c r="C63" s="95">
        <v>0.2020408163265306</v>
      </c>
      <c r="D63" s="95">
        <v>3.2020000000000004</v>
      </c>
      <c r="E63" s="94">
        <v>1.6</v>
      </c>
      <c r="F63" s="95">
        <v>0.0</v>
      </c>
      <c r="G63" s="95">
        <v>0.0</v>
      </c>
      <c r="H63" s="95">
        <v>0.8400000000000001</v>
      </c>
    </row>
    <row r="64">
      <c r="A64" s="92" t="s">
        <v>320</v>
      </c>
      <c r="B64" s="95">
        <v>4.081632653061225</v>
      </c>
      <c r="C64" s="95">
        <v>0.2040816326530612</v>
      </c>
      <c r="D64" s="95">
        <v>0.0</v>
      </c>
      <c r="E64" s="94">
        <v>1.6</v>
      </c>
      <c r="F64" s="95">
        <v>1.6</v>
      </c>
      <c r="G64" s="95">
        <v>0.8421052631578947</v>
      </c>
      <c r="H64" s="95">
        <v>0.0</v>
      </c>
    </row>
    <row r="65">
      <c r="A65" s="92" t="s">
        <v>319</v>
      </c>
      <c r="B65" s="95">
        <v>4.083673469387755</v>
      </c>
      <c r="C65" s="95">
        <v>0.0</v>
      </c>
      <c r="D65" s="95">
        <v>0.0</v>
      </c>
      <c r="E65" s="94">
        <v>1.6</v>
      </c>
      <c r="F65" s="95">
        <v>0.0</v>
      </c>
      <c r="G65" s="95">
        <v>0.0</v>
      </c>
      <c r="H65" s="95">
        <v>2.528421052631579</v>
      </c>
    </row>
    <row r="66">
      <c r="A66" s="92" t="s">
        <v>365</v>
      </c>
      <c r="B66" s="95">
        <v>2.4242424242424243</v>
      </c>
      <c r="C66" s="95">
        <v>0.40404040404040403</v>
      </c>
      <c r="D66" s="95">
        <v>0.0</v>
      </c>
      <c r="E66" s="94">
        <v>1.5238095238095237</v>
      </c>
      <c r="F66" s="95">
        <v>0.0</v>
      </c>
      <c r="G66" s="95">
        <v>0.0</v>
      </c>
      <c r="H66" s="95">
        <v>0.8421052631578947</v>
      </c>
    </row>
    <row r="67">
      <c r="A67" s="92" t="s">
        <v>287</v>
      </c>
      <c r="B67" s="95">
        <v>5.818181818181818</v>
      </c>
      <c r="C67" s="95">
        <v>0.36363636363636365</v>
      </c>
      <c r="D67" s="95">
        <v>0.0</v>
      </c>
      <c r="E67" s="94">
        <v>1.4545454545454546</v>
      </c>
      <c r="F67" s="95">
        <v>1.7777777777777777</v>
      </c>
      <c r="G67" s="95">
        <v>1.6</v>
      </c>
      <c r="H67" s="95">
        <v>1.3333333333333333</v>
      </c>
    </row>
    <row r="68">
      <c r="A68" s="92" t="s">
        <v>251</v>
      </c>
      <c r="B68" s="95">
        <v>8.147219710669077</v>
      </c>
      <c r="C68" s="95">
        <v>0.01582278481012658</v>
      </c>
      <c r="D68" s="95">
        <v>3.532970657814408</v>
      </c>
      <c r="E68" s="94">
        <v>1.4523809523809523</v>
      </c>
      <c r="F68" s="95">
        <v>0.8214285714285714</v>
      </c>
      <c r="G68" s="95">
        <v>0.5805133928571429</v>
      </c>
      <c r="H68" s="95">
        <v>1.7666666666666666</v>
      </c>
    </row>
    <row r="69">
      <c r="A69" s="92" t="s">
        <v>292</v>
      </c>
      <c r="B69" s="95">
        <v>5.614035087719298</v>
      </c>
      <c r="C69" s="95">
        <v>0.3508771929824561</v>
      </c>
      <c r="D69" s="95">
        <v>4.0</v>
      </c>
      <c r="E69" s="94">
        <v>1.3333333333333333</v>
      </c>
      <c r="F69" s="95">
        <v>0.0</v>
      </c>
      <c r="G69" s="95">
        <v>0.0</v>
      </c>
      <c r="H69" s="95">
        <v>0.0</v>
      </c>
    </row>
    <row r="70">
      <c r="A70" s="92" t="s">
        <v>275</v>
      </c>
      <c r="B70" s="95">
        <v>6.666666666666667</v>
      </c>
      <c r="C70" s="95">
        <v>0.0</v>
      </c>
      <c r="D70" s="95">
        <v>2.6666666666666665</v>
      </c>
      <c r="E70" s="94">
        <v>1.3333333333333333</v>
      </c>
      <c r="F70" s="95">
        <v>2.6666666666666665</v>
      </c>
      <c r="G70" s="95">
        <v>0.0</v>
      </c>
      <c r="H70" s="95">
        <v>0.0</v>
      </c>
    </row>
    <row r="71">
      <c r="A71" s="92" t="s">
        <v>262</v>
      </c>
      <c r="B71" s="95">
        <v>8.0</v>
      </c>
      <c r="C71" s="95">
        <v>0.3333333333333333</v>
      </c>
      <c r="D71" s="95">
        <v>0.0</v>
      </c>
      <c r="E71" s="94">
        <v>1.3333333333333333</v>
      </c>
      <c r="F71" s="95">
        <v>1.3333333333333333</v>
      </c>
      <c r="G71" s="95">
        <v>5.333333333333333</v>
      </c>
      <c r="H71" s="95">
        <v>0.0</v>
      </c>
    </row>
    <row r="72">
      <c r="A72" s="92" t="s">
        <v>390</v>
      </c>
      <c r="B72" s="95">
        <v>1.3333333333333333</v>
      </c>
      <c r="C72" s="95">
        <v>0.0</v>
      </c>
      <c r="D72" s="95">
        <v>0.0</v>
      </c>
      <c r="E72" s="94">
        <v>1.3333333333333333</v>
      </c>
      <c r="F72" s="95">
        <v>0.0</v>
      </c>
      <c r="G72" s="95">
        <v>0.0</v>
      </c>
      <c r="H72" s="95">
        <v>0.0</v>
      </c>
    </row>
    <row r="73">
      <c r="A73" s="92" t="s">
        <v>392</v>
      </c>
      <c r="B73" s="95">
        <v>1.0256410256410258</v>
      </c>
      <c r="C73" s="95">
        <v>0.0</v>
      </c>
      <c r="D73" s="95">
        <v>0.0</v>
      </c>
      <c r="E73" s="94">
        <v>1.25</v>
      </c>
      <c r="F73" s="95">
        <v>0.0</v>
      </c>
      <c r="G73" s="95">
        <v>0.0</v>
      </c>
      <c r="H73" s="95">
        <v>0.0</v>
      </c>
    </row>
    <row r="74">
      <c r="A74" s="92" t="s">
        <v>312</v>
      </c>
      <c r="B74" s="95">
        <v>4.574285714285715</v>
      </c>
      <c r="C74" s="95">
        <v>0.0</v>
      </c>
      <c r="D74" s="95">
        <v>0.9975</v>
      </c>
      <c r="E74" s="94">
        <v>1.064</v>
      </c>
      <c r="F74" s="95">
        <v>1.3333333333333333</v>
      </c>
      <c r="G74" s="95">
        <v>0.0</v>
      </c>
      <c r="H74" s="95">
        <v>1.0666666666666667</v>
      </c>
    </row>
    <row r="75">
      <c r="A75" s="92" t="s">
        <v>223</v>
      </c>
      <c r="B75" s="95">
        <v>11.0</v>
      </c>
      <c r="C75" s="95">
        <v>0.0</v>
      </c>
      <c r="D75" s="95">
        <v>0.0</v>
      </c>
      <c r="E75" s="94">
        <v>1.0</v>
      </c>
      <c r="F75" s="95">
        <v>0.0</v>
      </c>
      <c r="G75" s="95">
        <v>0.0</v>
      </c>
      <c r="H75" s="95">
        <v>10.0</v>
      </c>
    </row>
    <row r="76">
      <c r="A76" s="92" t="s">
        <v>250</v>
      </c>
      <c r="B76" s="95">
        <v>8.311688311688311</v>
      </c>
      <c r="C76" s="95">
        <v>0.0</v>
      </c>
      <c r="D76" s="95">
        <v>0.0</v>
      </c>
      <c r="E76" s="94">
        <v>1.0</v>
      </c>
      <c r="F76" s="95">
        <v>7.0</v>
      </c>
      <c r="G76" s="95">
        <v>0.0</v>
      </c>
      <c r="H76" s="95">
        <v>0.0</v>
      </c>
    </row>
    <row r="77">
      <c r="A77" s="92" t="s">
        <v>281</v>
      </c>
      <c r="B77" s="95">
        <v>6.0</v>
      </c>
      <c r="C77" s="95">
        <v>0.0</v>
      </c>
      <c r="D77" s="95">
        <v>0.0</v>
      </c>
      <c r="E77" s="94">
        <v>1.0</v>
      </c>
      <c r="F77" s="95">
        <v>1.0</v>
      </c>
      <c r="G77" s="95">
        <v>2.0</v>
      </c>
      <c r="H77" s="95">
        <v>2.0</v>
      </c>
    </row>
    <row r="78">
      <c r="A78" s="92" t="s">
        <v>335</v>
      </c>
      <c r="B78" s="95">
        <v>4.0</v>
      </c>
      <c r="C78" s="95">
        <v>0.0</v>
      </c>
      <c r="D78" s="95">
        <v>0.0</v>
      </c>
      <c r="E78" s="94">
        <v>1.0</v>
      </c>
      <c r="F78" s="95">
        <v>1.0</v>
      </c>
      <c r="G78" s="95">
        <v>2.0</v>
      </c>
      <c r="H78" s="95">
        <v>0.0</v>
      </c>
    </row>
    <row r="79">
      <c r="A79" s="92" t="s">
        <v>394</v>
      </c>
      <c r="B79" s="95">
        <v>1.0</v>
      </c>
      <c r="C79" s="95">
        <v>0.0</v>
      </c>
      <c r="D79" s="95">
        <v>0.0</v>
      </c>
      <c r="E79" s="94">
        <v>1.0</v>
      </c>
      <c r="F79" s="95">
        <v>0.0</v>
      </c>
      <c r="G79" s="95">
        <v>0.0</v>
      </c>
      <c r="H79" s="95">
        <v>0.0</v>
      </c>
    </row>
    <row r="80">
      <c r="A80" s="92" t="s">
        <v>334</v>
      </c>
      <c r="B80" s="95">
        <v>4.0</v>
      </c>
      <c r="C80" s="95">
        <v>0.0</v>
      </c>
      <c r="D80" s="95">
        <v>0.0</v>
      </c>
      <c r="E80" s="94">
        <v>0.9411764705882353</v>
      </c>
      <c r="F80" s="95">
        <v>0.0</v>
      </c>
      <c r="G80" s="95">
        <v>3.2</v>
      </c>
      <c r="H80" s="95">
        <v>0.0</v>
      </c>
    </row>
    <row r="81">
      <c r="A81" s="92" t="s">
        <v>235</v>
      </c>
      <c r="B81" s="95">
        <v>9.361702127659575</v>
      </c>
      <c r="C81" s="95">
        <v>0.0</v>
      </c>
      <c r="D81" s="95">
        <v>1.6842105263157894</v>
      </c>
      <c r="E81" s="94">
        <v>0.8888888888888888</v>
      </c>
      <c r="F81" s="95">
        <v>0.8421052631578947</v>
      </c>
      <c r="G81" s="95">
        <v>3.3684210526315788</v>
      </c>
      <c r="H81" s="95">
        <v>2.526315789473684</v>
      </c>
    </row>
    <row r="82">
      <c r="A82" s="92" t="s">
        <v>232</v>
      </c>
      <c r="B82" s="95">
        <v>10.0</v>
      </c>
      <c r="C82" s="95">
        <v>0.4166666666666667</v>
      </c>
      <c r="D82" s="95">
        <v>0.0</v>
      </c>
      <c r="E82" s="94">
        <v>0.8888888888888888</v>
      </c>
      <c r="F82" s="95">
        <v>0.0</v>
      </c>
      <c r="G82" s="95">
        <v>3.3684210526315788</v>
      </c>
      <c r="H82" s="95">
        <v>6.222222222222222</v>
      </c>
    </row>
    <row r="83">
      <c r="A83" s="92" t="s">
        <v>307</v>
      </c>
      <c r="B83" s="95">
        <v>1.6161616161616161</v>
      </c>
      <c r="C83" s="95">
        <v>0.8080808080808081</v>
      </c>
      <c r="D83" s="95">
        <v>0.0</v>
      </c>
      <c r="E83" s="94">
        <v>0.8421052631578947</v>
      </c>
      <c r="F83" s="95">
        <v>0.8</v>
      </c>
      <c r="G83" s="95">
        <v>0.0</v>
      </c>
      <c r="H83" s="95">
        <v>0.0</v>
      </c>
    </row>
    <row r="84">
      <c r="A84" s="92" t="s">
        <v>269</v>
      </c>
      <c r="B84" s="95">
        <v>7.2</v>
      </c>
      <c r="C84" s="95">
        <v>0.0</v>
      </c>
      <c r="D84" s="95">
        <v>3.9979999999999998</v>
      </c>
      <c r="E84" s="94">
        <v>0.8</v>
      </c>
      <c r="F84" s="95">
        <v>0.0</v>
      </c>
      <c r="G84" s="95">
        <v>0.0</v>
      </c>
      <c r="H84" s="95">
        <v>2.402</v>
      </c>
    </row>
    <row r="85">
      <c r="A85" s="92" t="s">
        <v>266</v>
      </c>
      <c r="B85" s="95">
        <v>7.422680412371134</v>
      </c>
      <c r="C85" s="95">
        <v>0.6185567010309279</v>
      </c>
      <c r="D85" s="95">
        <v>3.3684210526315788</v>
      </c>
      <c r="E85" s="94">
        <v>0.8</v>
      </c>
      <c r="F85" s="95">
        <v>3.2</v>
      </c>
      <c r="G85" s="95">
        <v>0.8</v>
      </c>
      <c r="H85" s="95">
        <v>-0.8888888888888888</v>
      </c>
    </row>
    <row r="86">
      <c r="A86" s="92" t="s">
        <v>276</v>
      </c>
      <c r="B86" s="95">
        <v>6.5979381443298974</v>
      </c>
      <c r="C86" s="95">
        <v>0.2061855670103093</v>
      </c>
      <c r="D86" s="95">
        <v>0.0</v>
      </c>
      <c r="E86" s="94">
        <v>0.8</v>
      </c>
      <c r="F86" s="95">
        <v>0.8</v>
      </c>
      <c r="G86" s="95">
        <v>0.0</v>
      </c>
      <c r="H86" s="95">
        <v>5.333333333333333</v>
      </c>
    </row>
    <row r="87">
      <c r="A87" s="92" t="s">
        <v>234</v>
      </c>
      <c r="B87" s="95">
        <v>9.696969696969697</v>
      </c>
      <c r="C87" s="95">
        <v>0.0</v>
      </c>
      <c r="D87" s="95">
        <v>0.0</v>
      </c>
      <c r="E87" s="94">
        <v>0.8</v>
      </c>
      <c r="F87" s="95">
        <v>0.8</v>
      </c>
      <c r="G87" s="95">
        <v>8.0</v>
      </c>
      <c r="H87" s="95">
        <v>0.0</v>
      </c>
    </row>
    <row r="88">
      <c r="A88" s="92" t="s">
        <v>345</v>
      </c>
      <c r="B88" s="95">
        <v>3.2323232323232323</v>
      </c>
      <c r="C88" s="95">
        <v>0.0</v>
      </c>
      <c r="D88" s="95">
        <v>0.0</v>
      </c>
      <c r="E88" s="94">
        <v>0.8</v>
      </c>
      <c r="F88" s="95">
        <v>0.8</v>
      </c>
      <c r="G88" s="95">
        <v>1.6</v>
      </c>
      <c r="H88" s="95">
        <v>0.0</v>
      </c>
    </row>
    <row r="89">
      <c r="A89" s="92" t="s">
        <v>293</v>
      </c>
      <c r="B89" s="95">
        <v>5.6</v>
      </c>
      <c r="C89" s="95">
        <v>0.8</v>
      </c>
      <c r="D89" s="95">
        <v>-0.8</v>
      </c>
      <c r="E89" s="94">
        <v>0.8</v>
      </c>
      <c r="F89" s="95">
        <v>2.4</v>
      </c>
      <c r="G89" s="95">
        <v>0.8</v>
      </c>
      <c r="H89" s="95">
        <v>2.4</v>
      </c>
    </row>
    <row r="90">
      <c r="A90" s="92" t="s">
        <v>245</v>
      </c>
      <c r="B90" s="95">
        <v>8.8</v>
      </c>
      <c r="C90" s="95">
        <v>0.8</v>
      </c>
      <c r="D90" s="95">
        <v>6.398</v>
      </c>
      <c r="E90" s="94">
        <v>0.798</v>
      </c>
      <c r="F90" s="95">
        <v>0.8</v>
      </c>
      <c r="G90" s="95">
        <v>0.0</v>
      </c>
      <c r="H90" s="95">
        <v>0.798</v>
      </c>
    </row>
    <row r="91">
      <c r="A91" s="92" t="s">
        <v>384</v>
      </c>
      <c r="B91" s="95">
        <v>1.6306122448979592</v>
      </c>
      <c r="C91" s="95">
        <v>0.0</v>
      </c>
      <c r="D91" s="95">
        <v>0.0</v>
      </c>
      <c r="E91" s="94">
        <v>0.798</v>
      </c>
      <c r="F91" s="95">
        <v>0.8</v>
      </c>
      <c r="G91" s="95">
        <v>0.0</v>
      </c>
      <c r="H91" s="95">
        <v>0.0</v>
      </c>
    </row>
    <row r="92">
      <c r="A92" s="92" t="s">
        <v>348</v>
      </c>
      <c r="B92" s="95">
        <v>3.2</v>
      </c>
      <c r="C92" s="95">
        <v>0.0</v>
      </c>
      <c r="D92" s="95">
        <v>1.6</v>
      </c>
      <c r="E92" s="94">
        <v>0.7619047619047619</v>
      </c>
      <c r="F92" s="95">
        <v>0.0</v>
      </c>
      <c r="G92" s="95">
        <v>0.0</v>
      </c>
      <c r="H92" s="95">
        <v>0.8</v>
      </c>
    </row>
    <row r="93">
      <c r="A93" s="92" t="s">
        <v>267</v>
      </c>
      <c r="B93" s="95">
        <v>7.2727272727272725</v>
      </c>
      <c r="C93" s="95">
        <v>0.0</v>
      </c>
      <c r="D93" s="95">
        <v>0.0</v>
      </c>
      <c r="E93" s="94">
        <v>0.7619047619047619</v>
      </c>
      <c r="F93" s="95">
        <v>5.054736842105264</v>
      </c>
      <c r="G93" s="95">
        <v>0.798</v>
      </c>
      <c r="H93" s="95">
        <v>0.8421052631578947</v>
      </c>
    </row>
    <row r="94">
      <c r="A94" s="92" t="s">
        <v>219</v>
      </c>
      <c r="B94" s="95">
        <v>11.625641025641027</v>
      </c>
      <c r="C94" s="95">
        <v>1.0256410256410258</v>
      </c>
      <c r="D94" s="95">
        <v>5.563478260869565</v>
      </c>
      <c r="E94" s="94">
        <v>0.6666666666666666</v>
      </c>
      <c r="F94" s="95">
        <v>2.0016666666666665</v>
      </c>
      <c r="G94" s="95">
        <v>1.3316666666666668</v>
      </c>
      <c r="H94" s="95">
        <v>2.18</v>
      </c>
    </row>
    <row r="95">
      <c r="A95" s="92" t="s">
        <v>206</v>
      </c>
      <c r="B95" s="95">
        <v>15.0</v>
      </c>
      <c r="C95" s="95">
        <v>0.0</v>
      </c>
      <c r="D95" s="95">
        <v>14.4</v>
      </c>
      <c r="E95" s="94">
        <v>0.0</v>
      </c>
      <c r="F95" s="95">
        <v>0.0</v>
      </c>
      <c r="G95" s="95">
        <v>0.0</v>
      </c>
      <c r="H95" s="95">
        <v>0.0</v>
      </c>
    </row>
    <row r="96">
      <c r="A96" s="92" t="s">
        <v>264</v>
      </c>
      <c r="B96" s="95">
        <v>8.0</v>
      </c>
      <c r="C96" s="95">
        <v>0.5</v>
      </c>
      <c r="D96" s="95">
        <v>10.0</v>
      </c>
      <c r="E96" s="94">
        <v>0.0</v>
      </c>
      <c r="F96" s="95">
        <v>0.0</v>
      </c>
      <c r="G96" s="95">
        <v>0.0</v>
      </c>
      <c r="H96" s="95">
        <v>0.0</v>
      </c>
    </row>
    <row r="97">
      <c r="A97" s="92" t="s">
        <v>243</v>
      </c>
      <c r="B97" s="95">
        <v>8.88888888888889</v>
      </c>
      <c r="C97" s="95">
        <v>0.40404040404040403</v>
      </c>
      <c r="D97" s="95">
        <v>7.619047619047619</v>
      </c>
      <c r="E97" s="94">
        <v>0.0</v>
      </c>
      <c r="F97" s="95">
        <v>0.0</v>
      </c>
      <c r="G97" s="95">
        <v>0.0</v>
      </c>
      <c r="H97" s="95">
        <v>0.8421052631578947</v>
      </c>
    </row>
    <row r="98">
      <c r="A98" s="92" t="s">
        <v>272</v>
      </c>
      <c r="B98" s="95">
        <v>7.017543859649122</v>
      </c>
      <c r="C98" s="95">
        <v>0.0</v>
      </c>
      <c r="D98" s="95">
        <v>7.2727272727272725</v>
      </c>
      <c r="E98" s="94">
        <v>0.0</v>
      </c>
      <c r="F98" s="95">
        <v>0.0</v>
      </c>
      <c r="G98" s="95">
        <v>0.0</v>
      </c>
      <c r="H98" s="95">
        <v>0.0</v>
      </c>
    </row>
    <row r="99">
      <c r="A99" s="92" t="s">
        <v>220</v>
      </c>
      <c r="B99" s="95">
        <v>11.428571428571427</v>
      </c>
      <c r="C99" s="95">
        <v>0.0</v>
      </c>
      <c r="D99" s="95">
        <v>7.2</v>
      </c>
      <c r="E99" s="94">
        <v>0.0</v>
      </c>
      <c r="F99" s="95">
        <v>0.0</v>
      </c>
      <c r="G99" s="95">
        <v>0.0</v>
      </c>
      <c r="H99" s="95">
        <v>4.705882352941177</v>
      </c>
    </row>
    <row r="100">
      <c r="A100" s="92" t="s">
        <v>308</v>
      </c>
      <c r="B100" s="95">
        <v>4.848484848484849</v>
      </c>
      <c r="C100" s="95">
        <v>0.40404040404040403</v>
      </c>
      <c r="D100" s="95">
        <v>5.333333333333333</v>
      </c>
      <c r="E100" s="94">
        <v>0.0</v>
      </c>
      <c r="F100" s="95">
        <v>-0.8</v>
      </c>
      <c r="G100" s="95">
        <v>0.0</v>
      </c>
      <c r="H100" s="95">
        <v>0.7619047619047619</v>
      </c>
    </row>
    <row r="101">
      <c r="A101" s="92" t="s">
        <v>273</v>
      </c>
      <c r="B101" s="95">
        <v>7.0</v>
      </c>
      <c r="C101" s="95">
        <v>0.0</v>
      </c>
      <c r="D101" s="95">
        <v>4.9975</v>
      </c>
      <c r="E101" s="94">
        <v>0.0</v>
      </c>
      <c r="F101" s="95">
        <v>0.0</v>
      </c>
      <c r="G101" s="95">
        <v>0.0</v>
      </c>
      <c r="H101" s="95">
        <v>2.0025</v>
      </c>
    </row>
    <row r="102">
      <c r="A102" s="92" t="s">
        <v>356</v>
      </c>
      <c r="B102" s="95">
        <v>2.711864406779661</v>
      </c>
      <c r="C102" s="95">
        <v>0.3389830508474576</v>
      </c>
      <c r="D102" s="95">
        <v>4.0</v>
      </c>
      <c r="E102" s="94">
        <v>0.0</v>
      </c>
      <c r="F102" s="95">
        <v>0.0</v>
      </c>
      <c r="G102" s="95">
        <v>0.0</v>
      </c>
      <c r="H102" s="95">
        <v>-1.6</v>
      </c>
    </row>
    <row r="103">
      <c r="A103" s="92" t="s">
        <v>306</v>
      </c>
      <c r="B103" s="95">
        <v>5.0</v>
      </c>
      <c r="C103" s="95">
        <v>0.25</v>
      </c>
      <c r="D103" s="95">
        <v>4.0</v>
      </c>
      <c r="E103" s="94">
        <v>0.0</v>
      </c>
      <c r="F103" s="95">
        <v>0.0</v>
      </c>
      <c r="G103" s="95">
        <v>0.0</v>
      </c>
      <c r="H103" s="95">
        <v>1.0</v>
      </c>
    </row>
    <row r="104">
      <c r="A104" s="92" t="s">
        <v>246</v>
      </c>
      <c r="B104" s="95">
        <v>8.421052631578947</v>
      </c>
      <c r="C104" s="95">
        <v>0.0</v>
      </c>
      <c r="D104" s="95">
        <v>4.0</v>
      </c>
      <c r="E104" s="94">
        <v>0.0</v>
      </c>
      <c r="F104" s="95">
        <v>0.0</v>
      </c>
      <c r="G104" s="95">
        <v>0.0</v>
      </c>
      <c r="H104" s="95">
        <v>4.0</v>
      </c>
    </row>
    <row r="105">
      <c r="A105" s="92" t="s">
        <v>315</v>
      </c>
      <c r="B105" s="95">
        <v>4.2105263157894735</v>
      </c>
      <c r="C105" s="95">
        <v>0.0</v>
      </c>
      <c r="D105" s="95">
        <v>4.0</v>
      </c>
      <c r="E105" s="94">
        <v>0.0</v>
      </c>
      <c r="F105" s="95">
        <v>0.0</v>
      </c>
      <c r="G105" s="95">
        <v>0.0</v>
      </c>
      <c r="H105" s="95">
        <v>0.0</v>
      </c>
    </row>
    <row r="106">
      <c r="A106" s="92" t="s">
        <v>359</v>
      </c>
      <c r="B106" s="95">
        <v>2.6666666666666665</v>
      </c>
      <c r="C106" s="95">
        <v>0.0</v>
      </c>
      <c r="D106" s="95">
        <v>3.3333333333333335</v>
      </c>
      <c r="E106" s="94">
        <v>0.0</v>
      </c>
      <c r="F106" s="95">
        <v>0.0</v>
      </c>
      <c r="G106" s="95">
        <v>0.0</v>
      </c>
      <c r="H106" s="95">
        <v>0.0</v>
      </c>
    </row>
    <row r="107">
      <c r="A107" s="92" t="s">
        <v>295</v>
      </c>
      <c r="B107" s="95">
        <v>5.6</v>
      </c>
      <c r="C107" s="95">
        <v>0.2</v>
      </c>
      <c r="D107" s="95">
        <v>3.2</v>
      </c>
      <c r="E107" s="94">
        <v>0.0</v>
      </c>
      <c r="F107" s="95">
        <v>1.6</v>
      </c>
      <c r="G107" s="95">
        <v>0.0</v>
      </c>
      <c r="H107" s="95">
        <v>0.8</v>
      </c>
    </row>
    <row r="108">
      <c r="A108" s="92" t="s">
        <v>343</v>
      </c>
      <c r="B108" s="95">
        <v>3.2876712328767126</v>
      </c>
      <c r="C108" s="95">
        <v>0.0</v>
      </c>
      <c r="D108" s="95">
        <v>3.2</v>
      </c>
      <c r="E108" s="94">
        <v>0.0</v>
      </c>
      <c r="F108" s="95">
        <v>0.0</v>
      </c>
      <c r="G108" s="95">
        <v>0.0</v>
      </c>
      <c r="H108" s="95">
        <v>0.0</v>
      </c>
    </row>
    <row r="109">
      <c r="A109" s="92" t="s">
        <v>226</v>
      </c>
      <c r="B109" s="95">
        <v>10.505050505050505</v>
      </c>
      <c r="C109" s="95">
        <v>0.0</v>
      </c>
      <c r="D109" s="95">
        <v>2.4</v>
      </c>
      <c r="E109" s="94">
        <v>0.0</v>
      </c>
      <c r="F109" s="95">
        <v>0.0</v>
      </c>
      <c r="G109" s="95">
        <v>0.0</v>
      </c>
      <c r="H109" s="95">
        <v>8.421052631578947</v>
      </c>
    </row>
    <row r="110">
      <c r="A110" s="92" t="s">
        <v>362</v>
      </c>
      <c r="B110" s="95">
        <v>2.4489795918367343</v>
      </c>
      <c r="C110" s="95">
        <v>0.0</v>
      </c>
      <c r="D110" s="95">
        <v>2.4</v>
      </c>
      <c r="E110" s="94">
        <v>0.0</v>
      </c>
      <c r="F110" s="95">
        <v>0.0</v>
      </c>
      <c r="G110" s="95">
        <v>0.0</v>
      </c>
      <c r="H110" s="95">
        <v>0.0</v>
      </c>
    </row>
    <row r="111">
      <c r="A111" s="92" t="s">
        <v>314</v>
      </c>
      <c r="B111" s="95">
        <v>4.2105263157894735</v>
      </c>
      <c r="C111" s="95">
        <v>0.0</v>
      </c>
      <c r="D111" s="95">
        <v>2.2857142857142856</v>
      </c>
      <c r="E111" s="94">
        <v>0.0</v>
      </c>
      <c r="F111" s="95">
        <v>0.0</v>
      </c>
      <c r="G111" s="95">
        <v>2.0</v>
      </c>
      <c r="H111" s="95">
        <v>0.0</v>
      </c>
    </row>
    <row r="112">
      <c r="A112" s="92" t="s">
        <v>233</v>
      </c>
      <c r="B112" s="95">
        <v>10.0</v>
      </c>
      <c r="C112" s="95">
        <v>0.0</v>
      </c>
      <c r="D112" s="95">
        <v>2.0</v>
      </c>
      <c r="E112" s="94">
        <v>0.0</v>
      </c>
      <c r="F112" s="95">
        <v>3.0</v>
      </c>
      <c r="G112" s="95">
        <v>5.0</v>
      </c>
      <c r="H112" s="95">
        <v>0.0</v>
      </c>
    </row>
    <row r="113">
      <c r="A113" s="92" t="s">
        <v>378</v>
      </c>
      <c r="B113" s="95">
        <v>2.0512820512820515</v>
      </c>
      <c r="C113" s="95">
        <v>0.0</v>
      </c>
      <c r="D113" s="95">
        <v>2.0</v>
      </c>
      <c r="E113" s="94">
        <v>0.0</v>
      </c>
      <c r="F113" s="95">
        <v>0.0</v>
      </c>
      <c r="G113" s="95">
        <v>0.0</v>
      </c>
      <c r="H113" s="95">
        <v>0.0</v>
      </c>
    </row>
    <row r="114">
      <c r="A114" s="92" t="s">
        <v>371</v>
      </c>
      <c r="B114" s="95">
        <v>2.282857142857143</v>
      </c>
      <c r="C114" s="95">
        <v>0.0</v>
      </c>
      <c r="D114" s="95">
        <v>1.9975</v>
      </c>
      <c r="E114" s="94">
        <v>0.0</v>
      </c>
      <c r="F114" s="95">
        <v>0.0</v>
      </c>
      <c r="G114" s="95">
        <v>0.0</v>
      </c>
      <c r="H114" s="95">
        <v>0.0</v>
      </c>
    </row>
    <row r="115">
      <c r="A115" s="92" t="s">
        <v>341</v>
      </c>
      <c r="B115" s="95">
        <v>0.0</v>
      </c>
      <c r="C115" s="95">
        <v>0.5714285714285714</v>
      </c>
      <c r="D115" s="95">
        <v>1.7777777777777777</v>
      </c>
      <c r="E115" s="94">
        <v>0.0</v>
      </c>
      <c r="F115" s="95">
        <v>0.0</v>
      </c>
      <c r="G115" s="95">
        <v>0.0</v>
      </c>
      <c r="H115" s="95">
        <v>-2.0</v>
      </c>
    </row>
    <row r="116">
      <c r="A116" s="92" t="s">
        <v>288</v>
      </c>
      <c r="B116" s="95">
        <v>5.7142857142857135</v>
      </c>
      <c r="C116" s="95">
        <v>0.6122448979591836</v>
      </c>
      <c r="D116" s="95">
        <v>1.6</v>
      </c>
      <c r="E116" s="94">
        <v>0.0</v>
      </c>
      <c r="F116" s="95">
        <v>-0.8</v>
      </c>
      <c r="G116" s="95">
        <v>0.8421052631578947</v>
      </c>
      <c r="H116" s="95">
        <v>4.2105263157894735</v>
      </c>
    </row>
    <row r="117">
      <c r="A117" s="92" t="s">
        <v>386</v>
      </c>
      <c r="B117" s="95">
        <v>1.3559322033898304</v>
      </c>
      <c r="C117" s="95">
        <v>0.0</v>
      </c>
      <c r="D117" s="95">
        <v>1.4545454545454546</v>
      </c>
      <c r="E117" s="94">
        <v>0.0</v>
      </c>
      <c r="F117" s="95">
        <v>0.0</v>
      </c>
      <c r="G117" s="95">
        <v>0.0</v>
      </c>
      <c r="H117" s="95">
        <v>0.0</v>
      </c>
    </row>
    <row r="118">
      <c r="A118" s="92" t="s">
        <v>387</v>
      </c>
      <c r="B118" s="95">
        <v>1.3559322033898304</v>
      </c>
      <c r="C118" s="95">
        <v>0.0</v>
      </c>
      <c r="D118" s="95">
        <v>1.3333333333333333</v>
      </c>
      <c r="E118" s="94">
        <v>0.0</v>
      </c>
      <c r="F118" s="95">
        <v>0.0</v>
      </c>
      <c r="G118" s="95">
        <v>0.0</v>
      </c>
      <c r="H118" s="95">
        <v>0.0</v>
      </c>
    </row>
    <row r="119">
      <c r="A119" s="92" t="s">
        <v>389</v>
      </c>
      <c r="B119" s="95">
        <v>1.352542372881356</v>
      </c>
      <c r="C119" s="95">
        <v>0.33559322033898303</v>
      </c>
      <c r="D119" s="95">
        <v>1.33</v>
      </c>
      <c r="E119" s="94">
        <v>0.0</v>
      </c>
      <c r="F119" s="95">
        <v>0.0</v>
      </c>
      <c r="G119" s="95">
        <v>0.0</v>
      </c>
      <c r="H119" s="95">
        <v>0.0</v>
      </c>
    </row>
    <row r="120">
      <c r="A120" s="92" t="s">
        <v>376</v>
      </c>
      <c r="B120" s="95">
        <v>2.0512820512820515</v>
      </c>
      <c r="C120" s="95">
        <v>0.0</v>
      </c>
      <c r="D120" s="95">
        <v>1.25</v>
      </c>
      <c r="E120" s="94">
        <v>0.0</v>
      </c>
      <c r="F120" s="95">
        <v>0.0</v>
      </c>
      <c r="G120" s="95">
        <v>0.0</v>
      </c>
      <c r="H120" s="95">
        <v>1.3333333333333333</v>
      </c>
    </row>
    <row r="121">
      <c r="A121" s="92" t="s">
        <v>318</v>
      </c>
      <c r="B121" s="95">
        <v>4.102564102564103</v>
      </c>
      <c r="C121" s="95">
        <v>0.5128205128205129</v>
      </c>
      <c r="D121" s="95">
        <v>1.0666666666666667</v>
      </c>
      <c r="E121" s="94">
        <v>0.0</v>
      </c>
      <c r="F121" s="95">
        <v>1.0</v>
      </c>
      <c r="G121" s="95">
        <v>1.0</v>
      </c>
      <c r="H121" s="95">
        <v>1.0666666666666667</v>
      </c>
    </row>
    <row r="122">
      <c r="A122" s="92" t="s">
        <v>222</v>
      </c>
      <c r="B122" s="95">
        <v>11.272995780590715</v>
      </c>
      <c r="C122" s="95">
        <v>1.459915611814346</v>
      </c>
      <c r="D122" s="95">
        <v>1.00125</v>
      </c>
      <c r="E122" s="94">
        <v>0.0</v>
      </c>
      <c r="F122" s="95">
        <v>2.0</v>
      </c>
      <c r="G122" s="95">
        <v>3.50125</v>
      </c>
      <c r="H122" s="95">
        <v>4.8</v>
      </c>
    </row>
    <row r="123">
      <c r="A123" s="92" t="s">
        <v>393</v>
      </c>
      <c r="B123" s="95">
        <v>1.010126582278481</v>
      </c>
      <c r="C123" s="95">
        <v>0.0</v>
      </c>
      <c r="D123" s="95">
        <v>0.9975</v>
      </c>
      <c r="E123" s="94">
        <v>0.0</v>
      </c>
      <c r="F123" s="95">
        <v>0.0</v>
      </c>
      <c r="G123" s="95">
        <v>0.0</v>
      </c>
      <c r="H123" s="95">
        <v>0.0</v>
      </c>
    </row>
    <row r="124">
      <c r="A124" s="92" t="s">
        <v>325</v>
      </c>
      <c r="B124" s="95">
        <v>4.040404040404041</v>
      </c>
      <c r="C124" s="95">
        <v>0.0</v>
      </c>
      <c r="D124" s="95">
        <v>0.8421052631578947</v>
      </c>
      <c r="E124" s="94">
        <v>0.0</v>
      </c>
      <c r="F124" s="95">
        <v>0.8</v>
      </c>
      <c r="G124" s="95">
        <v>1.5238095238095237</v>
      </c>
      <c r="H124" s="95">
        <v>0.8421052631578947</v>
      </c>
    </row>
    <row r="125">
      <c r="A125" s="92" t="s">
        <v>240</v>
      </c>
      <c r="B125" s="95">
        <v>8.88888888888889</v>
      </c>
      <c r="C125" s="95">
        <v>0.20202020202020202</v>
      </c>
      <c r="D125" s="95">
        <v>0.8</v>
      </c>
      <c r="E125" s="94">
        <v>0.0</v>
      </c>
      <c r="F125" s="95">
        <v>0.8</v>
      </c>
      <c r="G125" s="95">
        <v>0.0</v>
      </c>
      <c r="H125" s="95">
        <v>7.578947368421052</v>
      </c>
    </row>
    <row r="126">
      <c r="A126" s="92" t="s">
        <v>369</v>
      </c>
      <c r="B126" s="95">
        <v>2.4</v>
      </c>
      <c r="C126" s="95">
        <v>0.2</v>
      </c>
      <c r="D126" s="95">
        <v>0.8</v>
      </c>
      <c r="E126" s="94">
        <v>0.0</v>
      </c>
      <c r="F126" s="95">
        <v>0.0</v>
      </c>
      <c r="G126" s="95">
        <v>1.6</v>
      </c>
      <c r="H126" s="95">
        <v>0.0</v>
      </c>
    </row>
    <row r="127">
      <c r="A127" s="92" t="s">
        <v>255</v>
      </c>
      <c r="B127" s="95">
        <v>8.08</v>
      </c>
      <c r="C127" s="95">
        <v>0.0</v>
      </c>
      <c r="D127" s="95">
        <v>0.8</v>
      </c>
      <c r="E127" s="94">
        <v>0.0</v>
      </c>
      <c r="F127" s="95">
        <v>0.0</v>
      </c>
      <c r="G127" s="95">
        <v>0.0</v>
      </c>
      <c r="H127" s="95">
        <v>8.0</v>
      </c>
    </row>
    <row r="128">
      <c r="A128" s="92" t="s">
        <v>344</v>
      </c>
      <c r="B128" s="95">
        <v>3.265306122448979</v>
      </c>
      <c r="C128" s="95">
        <v>0.0</v>
      </c>
      <c r="D128" s="95">
        <v>0.8</v>
      </c>
      <c r="E128" s="94">
        <v>0.0</v>
      </c>
      <c r="F128" s="95">
        <v>0.8</v>
      </c>
      <c r="G128" s="95">
        <v>0.7619047619047619</v>
      </c>
      <c r="H128" s="95">
        <v>0.9411764705882353</v>
      </c>
    </row>
    <row r="129">
      <c r="A129" s="92" t="s">
        <v>317</v>
      </c>
      <c r="B129" s="95">
        <v>1.352542372881356</v>
      </c>
      <c r="C129" s="95">
        <v>0.6813559322033897</v>
      </c>
      <c r="D129" s="95">
        <v>0.0</v>
      </c>
      <c r="E129" s="94">
        <v>0.0</v>
      </c>
      <c r="F129" s="95">
        <v>0.0</v>
      </c>
      <c r="G129" s="95">
        <v>1.33</v>
      </c>
      <c r="H129" s="95">
        <v>0.0</v>
      </c>
    </row>
    <row r="130">
      <c r="A130" s="92" t="s">
        <v>321</v>
      </c>
      <c r="B130" s="95">
        <v>4.081632653061225</v>
      </c>
      <c r="C130" s="95">
        <v>0.6122448979591836</v>
      </c>
      <c r="D130" s="95">
        <v>0.0</v>
      </c>
      <c r="E130" s="94">
        <v>0.0</v>
      </c>
      <c r="F130" s="95">
        <v>2.4</v>
      </c>
      <c r="G130" s="95">
        <v>2.526315789473684</v>
      </c>
      <c r="H130" s="95">
        <v>-0.8421052631578947</v>
      </c>
    </row>
    <row r="131">
      <c r="A131" s="92" t="s">
        <v>328</v>
      </c>
      <c r="B131" s="95">
        <v>2.426262626262626</v>
      </c>
      <c r="C131" s="95">
        <v>0.608080808080808</v>
      </c>
      <c r="D131" s="95">
        <v>0.0</v>
      </c>
      <c r="E131" s="94">
        <v>0.0</v>
      </c>
      <c r="F131" s="95">
        <v>-0.798</v>
      </c>
      <c r="G131" s="95">
        <v>0.0</v>
      </c>
      <c r="H131" s="95">
        <v>3.2</v>
      </c>
    </row>
    <row r="132">
      <c r="A132" s="92" t="s">
        <v>339</v>
      </c>
      <c r="B132" s="95">
        <v>3.2020000000000004</v>
      </c>
      <c r="C132" s="95">
        <v>0.6</v>
      </c>
      <c r="D132" s="95">
        <v>0.0</v>
      </c>
      <c r="E132" s="94">
        <v>0.0</v>
      </c>
      <c r="F132" s="95">
        <v>0.0</v>
      </c>
      <c r="G132" s="95">
        <v>0.0</v>
      </c>
      <c r="H132" s="95">
        <v>3.2020000000000004</v>
      </c>
    </row>
    <row r="133">
      <c r="A133" s="92" t="s">
        <v>347</v>
      </c>
      <c r="B133" s="95">
        <v>1.0666666666666667</v>
      </c>
      <c r="C133" s="95">
        <v>0.5333333333333333</v>
      </c>
      <c r="D133" s="95">
        <v>0.0</v>
      </c>
      <c r="E133" s="94">
        <v>0.0</v>
      </c>
      <c r="F133" s="95">
        <v>-1.0</v>
      </c>
      <c r="G133" s="95">
        <v>2.2857142857142856</v>
      </c>
      <c r="H133" s="95">
        <v>0.0</v>
      </c>
    </row>
    <row r="134">
      <c r="A134" s="92" t="s">
        <v>350</v>
      </c>
      <c r="B134" s="95">
        <v>0.0</v>
      </c>
      <c r="C134" s="95">
        <v>0.5128205128205129</v>
      </c>
      <c r="D134" s="95">
        <v>0.0</v>
      </c>
      <c r="E134" s="94">
        <v>0.0</v>
      </c>
      <c r="F134" s="95">
        <v>0.0</v>
      </c>
      <c r="G134" s="95">
        <v>0.0</v>
      </c>
      <c r="H134" s="95">
        <v>0.0</v>
      </c>
    </row>
    <row r="135">
      <c r="A135" s="92" t="s">
        <v>353</v>
      </c>
      <c r="B135" s="95">
        <v>1.0256410256410258</v>
      </c>
      <c r="C135" s="95">
        <v>0.5128205128205128</v>
      </c>
      <c r="D135" s="95">
        <v>0.0</v>
      </c>
      <c r="E135" s="94">
        <v>0.0</v>
      </c>
      <c r="F135" s="95">
        <v>1.25</v>
      </c>
      <c r="G135" s="95">
        <v>-1.3333333333333333</v>
      </c>
      <c r="H135" s="95">
        <v>1.3333333333333333</v>
      </c>
    </row>
    <row r="136">
      <c r="A136" s="92" t="s">
        <v>363</v>
      </c>
      <c r="B136" s="95">
        <v>0.0</v>
      </c>
      <c r="C136" s="95">
        <v>0.5</v>
      </c>
      <c r="D136" s="95">
        <v>0.0</v>
      </c>
      <c r="E136" s="94">
        <v>0.0</v>
      </c>
      <c r="F136" s="95">
        <v>0.0</v>
      </c>
      <c r="G136" s="95">
        <v>0.0</v>
      </c>
      <c r="H136" s="95">
        <v>0.0</v>
      </c>
    </row>
    <row r="137">
      <c r="A137" s="92" t="s">
        <v>395</v>
      </c>
      <c r="B137" s="95">
        <v>0.0</v>
      </c>
      <c r="C137" s="95">
        <v>0.3448275862068966</v>
      </c>
      <c r="D137" s="95">
        <v>0.0</v>
      </c>
      <c r="E137" s="94">
        <v>0.0</v>
      </c>
      <c r="F137" s="95">
        <v>0.0</v>
      </c>
      <c r="G137" s="95">
        <v>0.0</v>
      </c>
      <c r="H137" s="95">
        <v>0.0</v>
      </c>
    </row>
    <row r="138">
      <c r="A138" s="92" t="s">
        <v>355</v>
      </c>
      <c r="B138" s="95">
        <v>2.711864406779661</v>
      </c>
      <c r="C138" s="95">
        <v>0.3389830508474576</v>
      </c>
      <c r="D138" s="95">
        <v>0.0</v>
      </c>
      <c r="E138" s="94">
        <v>0.0</v>
      </c>
      <c r="F138" s="95">
        <v>0.0</v>
      </c>
      <c r="G138" s="95">
        <v>0.0</v>
      </c>
      <c r="H138" s="95">
        <v>3.2</v>
      </c>
    </row>
    <row r="139">
      <c r="A139" s="92" t="s">
        <v>323</v>
      </c>
      <c r="B139" s="95">
        <v>4.067796610169491</v>
      </c>
      <c r="C139" s="95">
        <v>0.33559322033898303</v>
      </c>
      <c r="D139" s="95">
        <v>0.0</v>
      </c>
      <c r="E139" s="94">
        <v>0.0</v>
      </c>
      <c r="F139" s="95">
        <v>0.0</v>
      </c>
      <c r="G139" s="95">
        <v>4.0</v>
      </c>
      <c r="H139" s="95">
        <v>0.0</v>
      </c>
    </row>
    <row r="140">
      <c r="A140" s="92" t="s">
        <v>327</v>
      </c>
      <c r="B140" s="95">
        <v>4.0</v>
      </c>
      <c r="C140" s="95">
        <v>0.3333333333333333</v>
      </c>
      <c r="D140" s="95">
        <v>0.0</v>
      </c>
      <c r="E140" s="94">
        <v>0.0</v>
      </c>
      <c r="F140" s="95">
        <v>0.0</v>
      </c>
      <c r="G140" s="95">
        <v>0.0</v>
      </c>
      <c r="H140" s="95">
        <v>4.0</v>
      </c>
    </row>
    <row r="141">
      <c r="A141" s="92" t="s">
        <v>358</v>
      </c>
      <c r="B141" s="95">
        <v>2.6666666666666665</v>
      </c>
      <c r="C141" s="95">
        <v>0.3333333333333333</v>
      </c>
      <c r="D141" s="95">
        <v>0.0</v>
      </c>
      <c r="E141" s="94">
        <v>0.0</v>
      </c>
      <c r="F141" s="95">
        <v>-1.3333333333333333</v>
      </c>
      <c r="G141" s="95">
        <v>4.0</v>
      </c>
      <c r="H141" s="95">
        <v>0.0</v>
      </c>
    </row>
    <row r="142">
      <c r="A142" s="92" t="s">
        <v>396</v>
      </c>
      <c r="B142" s="95">
        <v>0.0</v>
      </c>
      <c r="C142" s="95">
        <v>0.3333333333333333</v>
      </c>
      <c r="D142" s="95">
        <v>0.0</v>
      </c>
      <c r="E142" s="94">
        <v>0.0</v>
      </c>
      <c r="F142" s="95">
        <v>-1.3333333333333333</v>
      </c>
      <c r="G142" s="95">
        <v>1.3333333333333333</v>
      </c>
      <c r="H142" s="95">
        <v>0.0</v>
      </c>
    </row>
    <row r="143">
      <c r="A143" s="92" t="s">
        <v>397</v>
      </c>
      <c r="B143" s="95">
        <v>0.0</v>
      </c>
      <c r="C143" s="95">
        <v>0.3333333333333333</v>
      </c>
      <c r="D143" s="95">
        <v>0.0</v>
      </c>
      <c r="E143" s="94">
        <v>0.0</v>
      </c>
      <c r="F143" s="95">
        <v>-1.3333333333333333</v>
      </c>
      <c r="G143" s="95">
        <v>1.3333333333333333</v>
      </c>
      <c r="H143" s="95">
        <v>0.0</v>
      </c>
    </row>
    <row r="144">
      <c r="A144" s="92" t="s">
        <v>404</v>
      </c>
      <c r="B144" s="95">
        <v>-1.3333333333333333</v>
      </c>
      <c r="C144" s="95">
        <v>0.3333333333333333</v>
      </c>
      <c r="D144" s="95">
        <v>0.0</v>
      </c>
      <c r="E144" s="94">
        <v>0.0</v>
      </c>
      <c r="F144" s="95">
        <v>0.0</v>
      </c>
      <c r="G144" s="95">
        <v>0.0</v>
      </c>
      <c r="H144" s="95">
        <v>-1.3333333333333333</v>
      </c>
    </row>
    <row r="145">
      <c r="A145" s="92" t="s">
        <v>291</v>
      </c>
      <c r="B145" s="95">
        <v>5.711428571428571</v>
      </c>
      <c r="C145" s="95">
        <v>0.28285714285714286</v>
      </c>
      <c r="D145" s="95">
        <v>0.0</v>
      </c>
      <c r="E145" s="94">
        <v>0.0</v>
      </c>
      <c r="F145" s="95">
        <v>4.003333333333333</v>
      </c>
      <c r="G145" s="95">
        <v>1.33</v>
      </c>
      <c r="H145" s="95">
        <v>1.064</v>
      </c>
    </row>
    <row r="146">
      <c r="A146" s="92" t="s">
        <v>372</v>
      </c>
      <c r="B146" s="95">
        <v>2.191780821917808</v>
      </c>
      <c r="C146" s="95">
        <v>0.273972602739726</v>
      </c>
      <c r="D146" s="95">
        <v>0.0</v>
      </c>
      <c r="E146" s="94">
        <v>0.0</v>
      </c>
      <c r="F146" s="95">
        <v>1.0666666666666667</v>
      </c>
      <c r="G146" s="95">
        <v>0.0</v>
      </c>
      <c r="H146" s="95">
        <v>1.0666666666666667</v>
      </c>
    </row>
    <row r="147">
      <c r="A147" s="92" t="s">
        <v>305</v>
      </c>
      <c r="B147" s="95">
        <v>5.0</v>
      </c>
      <c r="C147" s="95">
        <v>0.25</v>
      </c>
      <c r="D147" s="95">
        <v>0.0</v>
      </c>
      <c r="E147" s="94">
        <v>0.0</v>
      </c>
      <c r="F147" s="95">
        <v>0.0</v>
      </c>
      <c r="G147" s="95">
        <v>1.0666666666666667</v>
      </c>
      <c r="H147" s="95">
        <v>4.0</v>
      </c>
    </row>
    <row r="148">
      <c r="A148" s="92" t="s">
        <v>364</v>
      </c>
      <c r="B148" s="95">
        <v>2.4242424242424243</v>
      </c>
      <c r="C148" s="95">
        <v>0.20202020202020202</v>
      </c>
      <c r="D148" s="95">
        <v>0.0</v>
      </c>
      <c r="E148" s="94">
        <v>0.0</v>
      </c>
      <c r="F148" s="95">
        <v>1.6</v>
      </c>
      <c r="G148" s="95">
        <v>0.0</v>
      </c>
      <c r="H148" s="95">
        <v>0.8421052631578947</v>
      </c>
    </row>
    <row r="149">
      <c r="A149" s="92" t="s">
        <v>368</v>
      </c>
      <c r="B149" s="95">
        <v>2.402</v>
      </c>
      <c r="C149" s="95">
        <v>0.198</v>
      </c>
      <c r="D149" s="95">
        <v>0.0</v>
      </c>
      <c r="E149" s="94">
        <v>0.0</v>
      </c>
      <c r="F149" s="95">
        <v>0.0</v>
      </c>
      <c r="G149" s="95">
        <v>2.402</v>
      </c>
      <c r="H149" s="95">
        <v>0.0</v>
      </c>
    </row>
    <row r="150">
      <c r="A150" s="92" t="s">
        <v>215</v>
      </c>
      <c r="B150" s="95">
        <v>12.244897959183673</v>
      </c>
      <c r="C150" s="95">
        <v>0.0</v>
      </c>
      <c r="D150" s="95">
        <v>0.0</v>
      </c>
      <c r="E150" s="94">
        <v>0.0</v>
      </c>
      <c r="F150" s="95">
        <v>3.2</v>
      </c>
      <c r="G150" s="95">
        <v>8.380952380952381</v>
      </c>
      <c r="H150" s="95">
        <v>0.0</v>
      </c>
    </row>
    <row r="151">
      <c r="A151" s="92" t="s">
        <v>236</v>
      </c>
      <c r="B151" s="95">
        <v>9.35064935064935</v>
      </c>
      <c r="C151" s="95">
        <v>0.0</v>
      </c>
      <c r="D151" s="95">
        <v>0.0</v>
      </c>
      <c r="E151" s="94">
        <v>0.0</v>
      </c>
      <c r="F151" s="95">
        <v>4.266666666666667</v>
      </c>
      <c r="G151" s="95">
        <v>4.266666666666667</v>
      </c>
      <c r="H151" s="95">
        <v>1.0666666666666667</v>
      </c>
    </row>
    <row r="152">
      <c r="A152" s="92" t="s">
        <v>258</v>
      </c>
      <c r="B152" s="95">
        <v>8.0</v>
      </c>
      <c r="C152" s="95">
        <v>0.0</v>
      </c>
      <c r="D152" s="95">
        <v>0.0</v>
      </c>
      <c r="E152" s="94">
        <v>0.0</v>
      </c>
      <c r="F152" s="95">
        <v>0.8</v>
      </c>
      <c r="G152" s="95">
        <v>0.8421052631578947</v>
      </c>
      <c r="H152" s="95">
        <v>6.4</v>
      </c>
    </row>
    <row r="153">
      <c r="A153" s="92" t="s">
        <v>260</v>
      </c>
      <c r="B153" s="95">
        <v>8.0</v>
      </c>
      <c r="C153" s="95">
        <v>0.0</v>
      </c>
      <c r="D153" s="95">
        <v>0.0</v>
      </c>
      <c r="E153" s="94">
        <v>0.0</v>
      </c>
      <c r="F153" s="95">
        <v>4.0</v>
      </c>
      <c r="G153" s="95">
        <v>0.0</v>
      </c>
      <c r="H153" s="95">
        <v>4.0</v>
      </c>
    </row>
    <row r="154">
      <c r="A154" s="92" t="s">
        <v>270</v>
      </c>
      <c r="B154" s="95">
        <v>7.17948717948718</v>
      </c>
      <c r="C154" s="95">
        <v>0.0</v>
      </c>
      <c r="D154" s="95">
        <v>0.0</v>
      </c>
      <c r="E154" s="94">
        <v>0.0</v>
      </c>
      <c r="F154" s="95">
        <v>0.0</v>
      </c>
      <c r="G154" s="95">
        <v>7.466666666666667</v>
      </c>
      <c r="H154" s="95">
        <v>0.0</v>
      </c>
    </row>
    <row r="155">
      <c r="A155" s="92" t="s">
        <v>279</v>
      </c>
      <c r="B155" s="95">
        <v>6.4646464646464645</v>
      </c>
      <c r="C155" s="95">
        <v>0.0</v>
      </c>
      <c r="D155" s="95">
        <v>0.0</v>
      </c>
      <c r="E155" s="94">
        <v>0.0</v>
      </c>
      <c r="F155" s="95">
        <v>3.3684210526315788</v>
      </c>
      <c r="G155" s="95">
        <v>2.4</v>
      </c>
      <c r="H155" s="95">
        <v>0.8421052631578947</v>
      </c>
    </row>
    <row r="156">
      <c r="A156" s="92" t="s">
        <v>280</v>
      </c>
      <c r="B156" s="95">
        <v>6.153846153846154</v>
      </c>
      <c r="C156" s="95">
        <v>0.0</v>
      </c>
      <c r="D156" s="95">
        <v>0.0</v>
      </c>
      <c r="E156" s="94">
        <v>0.0</v>
      </c>
      <c r="F156" s="95">
        <v>0.0</v>
      </c>
      <c r="G156" s="95">
        <v>6.0</v>
      </c>
      <c r="H156" s="95">
        <v>0.0</v>
      </c>
    </row>
    <row r="157">
      <c r="A157" s="92" t="s">
        <v>298</v>
      </c>
      <c r="B157" s="95">
        <v>5.420338983050847</v>
      </c>
      <c r="C157" s="95">
        <v>0.0</v>
      </c>
      <c r="D157" s="95">
        <v>0.0</v>
      </c>
      <c r="E157" s="94">
        <v>0.0</v>
      </c>
      <c r="F157" s="95">
        <v>0.0</v>
      </c>
      <c r="G157" s="95">
        <v>0.0</v>
      </c>
      <c r="H157" s="95">
        <v>5.8145454545454545</v>
      </c>
    </row>
    <row r="158">
      <c r="A158" s="92" t="s">
        <v>302</v>
      </c>
      <c r="B158" s="95">
        <v>5.333333333333333</v>
      </c>
      <c r="C158" s="95">
        <v>0.0</v>
      </c>
      <c r="D158" s="95">
        <v>0.0</v>
      </c>
      <c r="E158" s="94">
        <v>0.0</v>
      </c>
      <c r="F158" s="95">
        <v>5.333333333333333</v>
      </c>
      <c r="G158" s="95">
        <v>0.0</v>
      </c>
      <c r="H158" s="95">
        <v>0.0</v>
      </c>
    </row>
    <row r="159">
      <c r="A159" s="92" t="s">
        <v>310</v>
      </c>
      <c r="B159" s="95">
        <v>4.8</v>
      </c>
      <c r="C159" s="95">
        <v>0.0</v>
      </c>
      <c r="D159" s="95">
        <v>0.0</v>
      </c>
      <c r="E159" s="94">
        <v>0.0</v>
      </c>
      <c r="F159" s="95">
        <v>1.6</v>
      </c>
      <c r="G159" s="95">
        <v>3.3684210526315788</v>
      </c>
      <c r="H159" s="95">
        <v>0.0</v>
      </c>
    </row>
    <row r="160">
      <c r="A160" s="92" t="s">
        <v>316</v>
      </c>
      <c r="B160" s="95">
        <v>4.102564102564103</v>
      </c>
      <c r="C160" s="95">
        <v>0.0</v>
      </c>
      <c r="D160" s="95">
        <v>0.0</v>
      </c>
      <c r="E160" s="94">
        <v>0.0</v>
      </c>
      <c r="F160" s="95">
        <v>0.0</v>
      </c>
      <c r="G160" s="95">
        <v>0.0</v>
      </c>
      <c r="H160" s="95">
        <v>4.571428571428571</v>
      </c>
    </row>
    <row r="161">
      <c r="A161" s="92" t="s">
        <v>322</v>
      </c>
      <c r="B161" s="95">
        <v>4.067796610169491</v>
      </c>
      <c r="C161" s="95">
        <v>0.0</v>
      </c>
      <c r="D161" s="95">
        <v>0.0</v>
      </c>
      <c r="E161" s="94">
        <v>0.0</v>
      </c>
      <c r="F161" s="95">
        <v>0.0</v>
      </c>
      <c r="G161" s="95">
        <v>0.0</v>
      </c>
      <c r="H161" s="95">
        <v>4.0</v>
      </c>
    </row>
    <row r="162">
      <c r="A162" s="92" t="s">
        <v>324</v>
      </c>
      <c r="B162" s="95">
        <v>4.0506329113924044</v>
      </c>
      <c r="C162" s="95">
        <v>0.0</v>
      </c>
      <c r="D162" s="95">
        <v>0.0</v>
      </c>
      <c r="E162" s="94">
        <v>0.0</v>
      </c>
      <c r="F162" s="95">
        <v>2.0</v>
      </c>
      <c r="G162" s="95">
        <v>2.0</v>
      </c>
      <c r="H162" s="95">
        <v>0.0</v>
      </c>
    </row>
    <row r="163">
      <c r="A163" s="92" t="s">
        <v>326</v>
      </c>
      <c r="B163" s="95">
        <v>4.0</v>
      </c>
      <c r="C163" s="95">
        <v>0.0</v>
      </c>
      <c r="D163" s="95">
        <v>0.0</v>
      </c>
      <c r="E163" s="94">
        <v>0.0</v>
      </c>
      <c r="F163" s="95">
        <v>0.0</v>
      </c>
      <c r="G163" s="95">
        <v>0.0</v>
      </c>
      <c r="H163" s="95">
        <v>4.0</v>
      </c>
    </row>
    <row r="164">
      <c r="A164" s="92" t="s">
        <v>329</v>
      </c>
      <c r="B164" s="95">
        <v>4.0</v>
      </c>
      <c r="C164" s="95">
        <v>0.0</v>
      </c>
      <c r="D164" s="95">
        <v>0.0</v>
      </c>
      <c r="E164" s="94">
        <v>0.0</v>
      </c>
      <c r="F164" s="95">
        <v>0.0</v>
      </c>
      <c r="G164" s="95">
        <v>0.0</v>
      </c>
      <c r="H164" s="95">
        <v>4.0</v>
      </c>
    </row>
    <row r="165">
      <c r="A165" s="92" t="s">
        <v>330</v>
      </c>
      <c r="B165" s="95">
        <v>4.0</v>
      </c>
      <c r="C165" s="95">
        <v>0.0</v>
      </c>
      <c r="D165" s="95">
        <v>0.0</v>
      </c>
      <c r="E165" s="94">
        <v>0.0</v>
      </c>
      <c r="F165" s="95">
        <v>0.0</v>
      </c>
      <c r="G165" s="95">
        <v>3.2</v>
      </c>
      <c r="H165" s="95">
        <v>1.0</v>
      </c>
    </row>
    <row r="166">
      <c r="A166" s="92" t="s">
        <v>333</v>
      </c>
      <c r="B166" s="95">
        <v>4.0</v>
      </c>
      <c r="C166" s="95">
        <v>0.0</v>
      </c>
      <c r="D166" s="95">
        <v>0.0</v>
      </c>
      <c r="E166" s="94">
        <v>0.0</v>
      </c>
      <c r="F166" s="95">
        <v>0.0</v>
      </c>
      <c r="G166" s="95">
        <v>4.0</v>
      </c>
      <c r="H166" s="95">
        <v>0.0</v>
      </c>
    </row>
    <row r="167">
      <c r="A167" s="92" t="s">
        <v>336</v>
      </c>
      <c r="B167" s="95">
        <v>4.0</v>
      </c>
      <c r="C167" s="95">
        <v>0.0</v>
      </c>
      <c r="D167" s="95">
        <v>0.0</v>
      </c>
      <c r="E167" s="94">
        <v>0.0</v>
      </c>
      <c r="F167" s="95">
        <v>2.4</v>
      </c>
      <c r="G167" s="95">
        <v>1.6</v>
      </c>
      <c r="H167" s="95">
        <v>0.0</v>
      </c>
    </row>
    <row r="168">
      <c r="A168" s="92" t="s">
        <v>337</v>
      </c>
      <c r="B168" s="95">
        <v>4.0</v>
      </c>
      <c r="C168" s="95">
        <v>0.0</v>
      </c>
      <c r="D168" s="95">
        <v>0.0</v>
      </c>
      <c r="E168" s="94">
        <v>0.0</v>
      </c>
      <c r="F168" s="95">
        <v>4.0</v>
      </c>
      <c r="G168" s="95">
        <v>0.0</v>
      </c>
      <c r="H168" s="95">
        <v>0.0</v>
      </c>
    </row>
    <row r="169">
      <c r="A169" s="92" t="s">
        <v>349</v>
      </c>
      <c r="B169" s="95">
        <v>2.807017543859649</v>
      </c>
      <c r="C169" s="95">
        <v>0.0</v>
      </c>
      <c r="D169" s="95">
        <v>0.0</v>
      </c>
      <c r="E169" s="94">
        <v>0.0</v>
      </c>
      <c r="F169" s="95">
        <v>0.0</v>
      </c>
      <c r="G169" s="95">
        <v>0.0</v>
      </c>
      <c r="H169" s="95">
        <v>2.909090909090909</v>
      </c>
    </row>
    <row r="170">
      <c r="A170" s="92" t="s">
        <v>351</v>
      </c>
      <c r="B170" s="95">
        <v>2.7586206896551726</v>
      </c>
      <c r="C170" s="95">
        <v>0.0</v>
      </c>
      <c r="D170" s="95">
        <v>0.0</v>
      </c>
      <c r="E170" s="94">
        <v>0.0</v>
      </c>
      <c r="F170" s="95">
        <v>1.3333333333333333</v>
      </c>
      <c r="G170" s="95">
        <v>0.0</v>
      </c>
      <c r="H170" s="95">
        <v>1.4545454545454546</v>
      </c>
    </row>
    <row r="171">
      <c r="A171" s="92" t="s">
        <v>357</v>
      </c>
      <c r="B171" s="95">
        <v>2.6666666666666665</v>
      </c>
      <c r="C171" s="95">
        <v>0.0</v>
      </c>
      <c r="D171" s="95">
        <v>0.0</v>
      </c>
      <c r="E171" s="94">
        <v>0.0</v>
      </c>
      <c r="F171" s="95">
        <v>0.0</v>
      </c>
      <c r="G171" s="95">
        <v>0.0</v>
      </c>
      <c r="H171" s="95">
        <v>2.6666666666666665</v>
      </c>
    </row>
    <row r="172">
      <c r="A172" s="92" t="s">
        <v>366</v>
      </c>
      <c r="B172" s="95">
        <v>2.4242424242424243</v>
      </c>
      <c r="C172" s="95">
        <v>0.0</v>
      </c>
      <c r="D172" s="95">
        <v>0.0</v>
      </c>
      <c r="E172" s="94">
        <v>0.0</v>
      </c>
      <c r="F172" s="95">
        <v>0.0</v>
      </c>
      <c r="G172" s="95">
        <v>2.6666666666666665</v>
      </c>
      <c r="H172" s="95">
        <v>0.0</v>
      </c>
    </row>
    <row r="173">
      <c r="A173" s="92" t="s">
        <v>367</v>
      </c>
      <c r="B173" s="95">
        <v>2.4242424242424243</v>
      </c>
      <c r="C173" s="95">
        <v>0.0</v>
      </c>
      <c r="D173" s="95">
        <v>0.0</v>
      </c>
      <c r="E173" s="94">
        <v>0.0</v>
      </c>
      <c r="F173" s="95">
        <v>0.0</v>
      </c>
      <c r="G173" s="95">
        <v>2.4</v>
      </c>
      <c r="H173" s="95">
        <v>0.0</v>
      </c>
    </row>
    <row r="174">
      <c r="A174" s="92" t="s">
        <v>370</v>
      </c>
      <c r="B174" s="95">
        <v>2.4</v>
      </c>
      <c r="C174" s="95">
        <v>0.0</v>
      </c>
      <c r="D174" s="95">
        <v>0.0</v>
      </c>
      <c r="E174" s="94">
        <v>0.0</v>
      </c>
      <c r="F174" s="95">
        <v>2.4</v>
      </c>
      <c r="G174" s="95">
        <v>0.0</v>
      </c>
      <c r="H174" s="95">
        <v>0.0</v>
      </c>
    </row>
    <row r="175">
      <c r="A175" s="92" t="s">
        <v>373</v>
      </c>
      <c r="B175" s="95">
        <v>2.162162162162162</v>
      </c>
      <c r="C175" s="95">
        <v>0.0</v>
      </c>
      <c r="D175" s="95">
        <v>0.0</v>
      </c>
      <c r="E175" s="94">
        <v>0.0</v>
      </c>
      <c r="F175" s="95">
        <v>2.0</v>
      </c>
      <c r="G175" s="95">
        <v>0.0</v>
      </c>
      <c r="H175" s="95">
        <v>0.0</v>
      </c>
    </row>
    <row r="176">
      <c r="A176" s="92" t="s">
        <v>374</v>
      </c>
      <c r="B176" s="95">
        <v>2.1052631578947367</v>
      </c>
      <c r="C176" s="95">
        <v>0.0</v>
      </c>
      <c r="D176" s="95">
        <v>0.0</v>
      </c>
      <c r="E176" s="94">
        <v>0.0</v>
      </c>
      <c r="F176" s="95">
        <v>0.0</v>
      </c>
      <c r="G176" s="95">
        <v>0.0</v>
      </c>
      <c r="H176" s="95">
        <v>2.2857142857142856</v>
      </c>
    </row>
    <row r="177">
      <c r="A177" s="92" t="s">
        <v>375</v>
      </c>
      <c r="B177" s="95">
        <v>2.0512820512820515</v>
      </c>
      <c r="C177" s="95">
        <v>0.0</v>
      </c>
      <c r="D177" s="95">
        <v>0.0</v>
      </c>
      <c r="E177" s="94">
        <v>0.0</v>
      </c>
      <c r="F177" s="95">
        <v>0.0</v>
      </c>
      <c r="G177" s="95">
        <v>0.0</v>
      </c>
      <c r="H177" s="95">
        <v>2.1333333333333333</v>
      </c>
    </row>
    <row r="178">
      <c r="A178" s="92" t="s">
        <v>377</v>
      </c>
      <c r="B178" s="95">
        <v>2.0512820512820515</v>
      </c>
      <c r="C178" s="95">
        <v>0.0</v>
      </c>
      <c r="D178" s="95">
        <v>0.0</v>
      </c>
      <c r="E178" s="94">
        <v>0.0</v>
      </c>
      <c r="F178" s="95">
        <v>0.0</v>
      </c>
      <c r="G178" s="95">
        <v>2.0</v>
      </c>
      <c r="H178" s="95">
        <v>0.0</v>
      </c>
    </row>
    <row r="179">
      <c r="A179" s="92" t="s">
        <v>379</v>
      </c>
      <c r="B179" s="95">
        <v>2.0</v>
      </c>
      <c r="C179" s="95">
        <v>0.0</v>
      </c>
      <c r="D179" s="95">
        <v>0.0</v>
      </c>
      <c r="E179" s="94">
        <v>0.0</v>
      </c>
      <c r="F179" s="95">
        <v>0.0</v>
      </c>
      <c r="G179" s="95">
        <v>0.0</v>
      </c>
      <c r="H179" s="95">
        <v>2.0</v>
      </c>
    </row>
    <row r="180">
      <c r="A180" s="92" t="s">
        <v>380</v>
      </c>
      <c r="B180" s="95">
        <v>2.0</v>
      </c>
      <c r="C180" s="95">
        <v>0.0</v>
      </c>
      <c r="D180" s="95">
        <v>0.0</v>
      </c>
      <c r="E180" s="94">
        <v>0.0</v>
      </c>
      <c r="F180" s="95">
        <v>0.0</v>
      </c>
      <c r="G180" s="95">
        <v>0.0</v>
      </c>
      <c r="H180" s="95">
        <v>2.0</v>
      </c>
    </row>
    <row r="181">
      <c r="A181" s="92" t="s">
        <v>381</v>
      </c>
      <c r="B181" s="95">
        <v>2.0</v>
      </c>
      <c r="C181" s="95">
        <v>0.0</v>
      </c>
      <c r="D181" s="95">
        <v>0.0</v>
      </c>
      <c r="E181" s="94">
        <v>0.0</v>
      </c>
      <c r="F181" s="95">
        <v>1.0</v>
      </c>
      <c r="G181" s="95">
        <v>1.0</v>
      </c>
      <c r="H181" s="95">
        <v>0.0</v>
      </c>
    </row>
    <row r="182">
      <c r="A182" s="92" t="s">
        <v>382</v>
      </c>
      <c r="B182" s="95">
        <v>2.0</v>
      </c>
      <c r="C182" s="95">
        <v>0.0</v>
      </c>
      <c r="D182" s="95">
        <v>0.0</v>
      </c>
      <c r="E182" s="94">
        <v>0.0</v>
      </c>
      <c r="F182" s="95">
        <v>2.0</v>
      </c>
      <c r="G182" s="95">
        <v>0.0</v>
      </c>
      <c r="H182" s="95">
        <v>0.0</v>
      </c>
    </row>
    <row r="183">
      <c r="A183" s="92" t="s">
        <v>383</v>
      </c>
      <c r="B183" s="95">
        <v>2.0</v>
      </c>
      <c r="C183" s="95">
        <v>0.0</v>
      </c>
      <c r="D183" s="95">
        <v>0.0</v>
      </c>
      <c r="E183" s="94">
        <v>0.0</v>
      </c>
      <c r="F183" s="95">
        <v>2.0</v>
      </c>
      <c r="G183" s="95">
        <v>0.0</v>
      </c>
      <c r="H183" s="95">
        <v>0.0</v>
      </c>
    </row>
    <row r="184">
      <c r="A184" s="92" t="s">
        <v>385</v>
      </c>
      <c r="B184" s="95">
        <v>1.6</v>
      </c>
      <c r="C184" s="95">
        <v>0.0</v>
      </c>
      <c r="D184" s="95">
        <v>0.0</v>
      </c>
      <c r="E184" s="94">
        <v>0.0</v>
      </c>
      <c r="F184" s="95">
        <v>0.8</v>
      </c>
      <c r="G184" s="95">
        <v>0.8</v>
      </c>
      <c r="H184" s="95">
        <v>0.0</v>
      </c>
    </row>
    <row r="185">
      <c r="A185" s="92" t="s">
        <v>398</v>
      </c>
      <c r="B185" s="95">
        <v>0.0</v>
      </c>
      <c r="C185" s="95">
        <v>0.0</v>
      </c>
      <c r="D185" s="95">
        <v>0.0</v>
      </c>
      <c r="E185" s="94">
        <v>0.0</v>
      </c>
      <c r="F185" s="95">
        <v>0.0</v>
      </c>
      <c r="G185" s="95">
        <v>0.0</v>
      </c>
      <c r="H185" s="95">
        <v>0.0</v>
      </c>
    </row>
    <row r="186">
      <c r="A186" s="92" t="s">
        <v>399</v>
      </c>
      <c r="B186" s="95">
        <v>0.0</v>
      </c>
      <c r="C186" s="95">
        <v>0.0</v>
      </c>
      <c r="D186" s="95">
        <v>0.0</v>
      </c>
      <c r="E186" s="94">
        <v>0.0</v>
      </c>
      <c r="F186" s="95">
        <v>0.0</v>
      </c>
      <c r="G186" s="95">
        <v>0.0</v>
      </c>
      <c r="H186" s="95">
        <v>0.0</v>
      </c>
    </row>
    <row r="187">
      <c r="A187" s="92" t="s">
        <v>400</v>
      </c>
      <c r="B187" s="95">
        <v>0.0</v>
      </c>
      <c r="C187" s="95">
        <v>0.0</v>
      </c>
      <c r="D187" s="95">
        <v>0.0</v>
      </c>
      <c r="E187" s="94">
        <v>0.0</v>
      </c>
      <c r="F187" s="95">
        <v>0.0</v>
      </c>
      <c r="G187" s="95">
        <v>0.0</v>
      </c>
      <c r="H187" s="95">
        <v>0.0</v>
      </c>
    </row>
    <row r="188">
      <c r="A188" s="92" t="s">
        <v>401</v>
      </c>
      <c r="B188" s="95">
        <v>0.0</v>
      </c>
      <c r="C188" s="95">
        <v>0.0</v>
      </c>
      <c r="D188" s="95">
        <v>0.0</v>
      </c>
      <c r="E188" s="94">
        <v>0.0</v>
      </c>
      <c r="F188" s="95">
        <v>0.0</v>
      </c>
      <c r="G188" s="95">
        <v>0.0</v>
      </c>
      <c r="H188" s="95">
        <v>0.0</v>
      </c>
    </row>
    <row r="189">
      <c r="A189" s="92" t="s">
        <v>402</v>
      </c>
      <c r="B189" s="95">
        <v>0.0</v>
      </c>
      <c r="C189" s="95">
        <v>0.0</v>
      </c>
      <c r="D189" s="95">
        <v>0.0</v>
      </c>
      <c r="E189" s="94">
        <v>0.0</v>
      </c>
      <c r="F189" s="95">
        <v>0.0</v>
      </c>
      <c r="G189" s="95">
        <v>0.0</v>
      </c>
      <c r="H189" s="95">
        <v>0.0</v>
      </c>
    </row>
    <row r="190">
      <c r="A190" s="92" t="s">
        <v>403</v>
      </c>
      <c r="B190" s="95">
        <v>0.0</v>
      </c>
      <c r="C190" s="95">
        <v>0.0</v>
      </c>
      <c r="D190" s="95">
        <v>0.0</v>
      </c>
      <c r="E190" s="94">
        <v>0.0</v>
      </c>
      <c r="F190" s="95">
        <v>0.0</v>
      </c>
      <c r="G190" s="95">
        <v>0.0</v>
      </c>
      <c r="H190" s="95">
        <v>0.0</v>
      </c>
    </row>
    <row r="191">
      <c r="A191" s="92" t="s">
        <v>405</v>
      </c>
      <c r="B191" s="95">
        <v>0.0</v>
      </c>
      <c r="C191" s="95">
        <v>0.0</v>
      </c>
      <c r="D191" s="95">
        <v>0.0</v>
      </c>
      <c r="E191" s="94">
        <v>0.0</v>
      </c>
      <c r="F191" s="95">
        <v>0.0</v>
      </c>
      <c r="G191" s="95">
        <v>0.0</v>
      </c>
      <c r="H191" s="95">
        <v>0.0</v>
      </c>
    </row>
    <row r="192">
      <c r="A192" s="92" t="s">
        <v>406</v>
      </c>
      <c r="B192" s="95">
        <v>0.0</v>
      </c>
      <c r="C192" s="95">
        <v>0.0</v>
      </c>
      <c r="D192" s="95">
        <v>0.0</v>
      </c>
      <c r="E192" s="94">
        <v>0.0</v>
      </c>
      <c r="F192" s="95">
        <v>0.0</v>
      </c>
      <c r="G192" s="95">
        <v>0.0</v>
      </c>
      <c r="H192" s="95">
        <v>0.0</v>
      </c>
    </row>
    <row r="193">
      <c r="A193" s="92" t="s">
        <v>407</v>
      </c>
      <c r="B193" s="95">
        <v>0.0</v>
      </c>
      <c r="C193" s="95">
        <v>0.0</v>
      </c>
      <c r="D193" s="95">
        <v>0.0</v>
      </c>
      <c r="E193" s="94">
        <v>0.0</v>
      </c>
      <c r="F193" s="95">
        <v>0.0</v>
      </c>
      <c r="G193" s="95">
        <v>0.0</v>
      </c>
      <c r="H193" s="95">
        <v>0.0</v>
      </c>
    </row>
    <row r="194">
      <c r="A194" s="92" t="s">
        <v>408</v>
      </c>
      <c r="B194" s="95">
        <v>0.0</v>
      </c>
      <c r="C194" s="95">
        <v>0.0</v>
      </c>
      <c r="D194" s="95">
        <v>0.0</v>
      </c>
      <c r="E194" s="94">
        <v>0.0</v>
      </c>
      <c r="F194" s="95">
        <v>0.0</v>
      </c>
      <c r="G194" s="95">
        <v>0.0</v>
      </c>
      <c r="H194" s="95">
        <v>0.0</v>
      </c>
    </row>
    <row r="195">
      <c r="A195" s="92" t="s">
        <v>409</v>
      </c>
      <c r="B195" s="95">
        <v>0.0</v>
      </c>
      <c r="C195" s="95">
        <v>0.0</v>
      </c>
      <c r="D195" s="95">
        <v>0.0</v>
      </c>
      <c r="E195" s="94">
        <v>0.0</v>
      </c>
      <c r="F195" s="95">
        <v>0.0</v>
      </c>
      <c r="G195" s="95">
        <v>0.0</v>
      </c>
      <c r="H195" s="95">
        <v>0.0</v>
      </c>
    </row>
    <row r="196">
      <c r="A196" s="92" t="s">
        <v>410</v>
      </c>
      <c r="B196" s="95">
        <v>0.0</v>
      </c>
      <c r="C196" s="95">
        <v>0.0</v>
      </c>
      <c r="D196" s="95">
        <v>0.0</v>
      </c>
      <c r="E196" s="94">
        <v>0.0</v>
      </c>
      <c r="F196" s="95">
        <v>0.0</v>
      </c>
      <c r="G196" s="95">
        <v>0.0</v>
      </c>
      <c r="H196" s="95">
        <v>0.0</v>
      </c>
    </row>
    <row r="197">
      <c r="A197" s="92" t="s">
        <v>411</v>
      </c>
      <c r="B197" s="95">
        <v>0.0</v>
      </c>
      <c r="C197" s="95">
        <v>0.0</v>
      </c>
      <c r="D197" s="95">
        <v>0.0</v>
      </c>
      <c r="E197" s="94">
        <v>0.0</v>
      </c>
      <c r="F197" s="95">
        <v>0.0</v>
      </c>
      <c r="G197" s="95">
        <v>0.0</v>
      </c>
      <c r="H197" s="95">
        <v>0.0</v>
      </c>
    </row>
    <row r="198">
      <c r="A198" s="92" t="s">
        <v>360</v>
      </c>
      <c r="B198" s="95">
        <v>0.0</v>
      </c>
      <c r="C198" s="95">
        <v>0.5</v>
      </c>
      <c r="D198" s="95">
        <v>-2.0</v>
      </c>
      <c r="E198" s="94">
        <v>0.0</v>
      </c>
      <c r="F198" s="95">
        <v>0.0</v>
      </c>
      <c r="G198" s="95">
        <v>0.0</v>
      </c>
      <c r="H198" s="95">
        <v>2.0</v>
      </c>
    </row>
    <row r="199">
      <c r="A199" s="92" t="s">
        <v>253</v>
      </c>
      <c r="B199" s="95">
        <v>8.080808080808081</v>
      </c>
      <c r="C199" s="95">
        <v>0.40404040404040403</v>
      </c>
      <c r="D199" s="95">
        <v>6.4</v>
      </c>
      <c r="E199" s="94">
        <v>-0.7619047619047619</v>
      </c>
      <c r="F199" s="95">
        <v>0.0</v>
      </c>
      <c r="G199" s="95">
        <v>0.0</v>
      </c>
      <c r="H199" s="95">
        <v>2.526315789473684</v>
      </c>
    </row>
    <row r="200">
      <c r="A200" s="92" t="s">
        <v>313</v>
      </c>
      <c r="B200" s="95">
        <v>4.324324324324324</v>
      </c>
      <c r="C200" s="95">
        <v>0.5378378378378378</v>
      </c>
      <c r="D200" s="95">
        <v>0.0</v>
      </c>
      <c r="E200" s="94">
        <v>-1.0666666666666667</v>
      </c>
      <c r="F200" s="95">
        <v>0.0</v>
      </c>
      <c r="G200" s="95">
        <v>6.153846153846154</v>
      </c>
      <c r="H200" s="95">
        <v>0.0</v>
      </c>
    </row>
    <row r="201">
      <c r="A201" s="92" t="s">
        <v>278</v>
      </c>
      <c r="B201" s="95">
        <v>2.67</v>
      </c>
      <c r="C201" s="95">
        <v>3.0</v>
      </c>
      <c r="D201" s="95">
        <v>0.0</v>
      </c>
      <c r="E201" s="94">
        <v>-1.33</v>
      </c>
      <c r="F201" s="95">
        <v>1.33</v>
      </c>
      <c r="G201" s="95">
        <v>2.67</v>
      </c>
      <c r="H201" s="95">
        <v>0.0</v>
      </c>
    </row>
    <row r="202">
      <c r="A202" s="92" t="s">
        <v>391</v>
      </c>
      <c r="B202" s="95">
        <v>0.0</v>
      </c>
      <c r="C202" s="95">
        <v>0.3508771929824561</v>
      </c>
      <c r="D202" s="95">
        <v>1.3333333333333333</v>
      </c>
      <c r="E202" s="94">
        <v>-1.3333333333333333</v>
      </c>
      <c r="F202" s="95">
        <v>0.0</v>
      </c>
      <c r="G202" s="95">
        <v>0.0</v>
      </c>
      <c r="H202" s="95">
        <v>0.0</v>
      </c>
    </row>
    <row r="203">
      <c r="A203" s="92" t="s">
        <v>388</v>
      </c>
      <c r="B203" s="95">
        <v>0.0</v>
      </c>
      <c r="C203" s="95">
        <v>0.37037037037037035</v>
      </c>
      <c r="D203" s="95">
        <v>1.4545454545454546</v>
      </c>
      <c r="E203" s="94">
        <v>-1.4545454545454546</v>
      </c>
      <c r="F203" s="95">
        <v>0.0</v>
      </c>
      <c r="G203" s="95">
        <v>0.0</v>
      </c>
      <c r="H203" s="95">
        <v>0.0</v>
      </c>
    </row>
    <row r="204">
      <c r="E204" s="152"/>
    </row>
    <row r="205">
      <c r="E205" s="152"/>
    </row>
    <row r="206">
      <c r="E206" s="152"/>
    </row>
    <row r="207">
      <c r="E207" s="152"/>
    </row>
    <row r="208">
      <c r="E208" s="152"/>
    </row>
    <row r="209">
      <c r="E209" s="152"/>
    </row>
    <row r="210">
      <c r="E210" s="152"/>
    </row>
    <row r="211">
      <c r="E211" s="152"/>
    </row>
    <row r="212">
      <c r="E212" s="152"/>
    </row>
    <row r="213">
      <c r="E213" s="152"/>
    </row>
    <row r="214">
      <c r="E214" s="152"/>
    </row>
    <row r="215">
      <c r="E215" s="152"/>
    </row>
    <row r="216">
      <c r="E216" s="152"/>
    </row>
    <row r="217">
      <c r="E217" s="152"/>
    </row>
    <row r="218">
      <c r="E218" s="152"/>
    </row>
    <row r="219">
      <c r="E219" s="152"/>
    </row>
    <row r="220">
      <c r="E220" s="152"/>
    </row>
    <row r="221">
      <c r="E221" s="152"/>
    </row>
    <row r="222">
      <c r="E222" s="152"/>
    </row>
    <row r="223">
      <c r="E223" s="152"/>
    </row>
    <row r="224">
      <c r="E224" s="152"/>
    </row>
    <row r="225">
      <c r="E225" s="152"/>
    </row>
    <row r="226">
      <c r="E226" s="152"/>
    </row>
    <row r="227">
      <c r="E227" s="152"/>
    </row>
    <row r="228">
      <c r="E228" s="152"/>
    </row>
    <row r="229">
      <c r="E229" s="152"/>
    </row>
    <row r="230">
      <c r="E230" s="152"/>
    </row>
    <row r="231">
      <c r="E231" s="152"/>
    </row>
    <row r="232">
      <c r="E232" s="152"/>
    </row>
    <row r="233">
      <c r="E233" s="152"/>
    </row>
    <row r="234">
      <c r="E234" s="152"/>
    </row>
    <row r="235">
      <c r="E235" s="152"/>
    </row>
    <row r="236">
      <c r="E236" s="152"/>
    </row>
    <row r="237">
      <c r="E237" s="152"/>
    </row>
    <row r="238">
      <c r="E238" s="152"/>
    </row>
    <row r="239">
      <c r="E239" s="152"/>
    </row>
    <row r="240">
      <c r="E240" s="152"/>
    </row>
    <row r="241">
      <c r="E241" s="152"/>
    </row>
    <row r="242">
      <c r="E242" s="152"/>
    </row>
    <row r="243">
      <c r="E243" s="152"/>
    </row>
    <row r="244">
      <c r="E244" s="152"/>
    </row>
    <row r="245">
      <c r="E245" s="152"/>
    </row>
    <row r="246">
      <c r="E246" s="152"/>
    </row>
    <row r="247">
      <c r="E247" s="152"/>
    </row>
    <row r="248">
      <c r="E248" s="152"/>
    </row>
    <row r="249">
      <c r="E249" s="152"/>
    </row>
    <row r="250">
      <c r="E250" s="152"/>
    </row>
    <row r="251">
      <c r="E251" s="152"/>
    </row>
    <row r="252">
      <c r="E252" s="152"/>
    </row>
    <row r="253">
      <c r="E253" s="152"/>
    </row>
    <row r="254">
      <c r="E254" s="152"/>
    </row>
    <row r="255">
      <c r="E255" s="152"/>
    </row>
    <row r="256">
      <c r="E256" s="152"/>
    </row>
    <row r="257">
      <c r="E257" s="152"/>
    </row>
    <row r="258">
      <c r="E258" s="152"/>
    </row>
    <row r="259">
      <c r="E259" s="152"/>
    </row>
    <row r="260">
      <c r="E260" s="152"/>
    </row>
    <row r="261">
      <c r="E261" s="152"/>
    </row>
    <row r="262">
      <c r="E262" s="152"/>
    </row>
    <row r="263">
      <c r="E263" s="152"/>
    </row>
    <row r="264">
      <c r="E264" s="152"/>
    </row>
    <row r="265">
      <c r="E265" s="152"/>
    </row>
    <row r="266">
      <c r="E266" s="152"/>
    </row>
    <row r="267">
      <c r="E267" s="152"/>
    </row>
    <row r="268">
      <c r="E268" s="152"/>
    </row>
    <row r="269">
      <c r="E269" s="152"/>
    </row>
    <row r="270">
      <c r="E270" s="152"/>
    </row>
    <row r="271">
      <c r="E271" s="152"/>
    </row>
    <row r="272">
      <c r="E272" s="152"/>
    </row>
    <row r="273">
      <c r="E273" s="152"/>
    </row>
    <row r="274">
      <c r="E274" s="152"/>
    </row>
    <row r="275">
      <c r="E275" s="152"/>
    </row>
    <row r="276">
      <c r="E276" s="152"/>
    </row>
    <row r="277">
      <c r="E277" s="152"/>
    </row>
    <row r="278">
      <c r="E278" s="152"/>
    </row>
    <row r="279">
      <c r="E279" s="152"/>
    </row>
    <row r="280">
      <c r="E280" s="152"/>
    </row>
    <row r="281">
      <c r="E281" s="152"/>
    </row>
    <row r="282">
      <c r="E282" s="152"/>
    </row>
    <row r="283">
      <c r="E283" s="152"/>
    </row>
    <row r="284">
      <c r="E284" s="152"/>
    </row>
    <row r="285">
      <c r="E285" s="152"/>
    </row>
    <row r="286">
      <c r="E286" s="152"/>
    </row>
    <row r="287">
      <c r="E287" s="152"/>
    </row>
    <row r="288">
      <c r="E288" s="152"/>
    </row>
    <row r="289">
      <c r="E289" s="152"/>
    </row>
    <row r="290">
      <c r="E290" s="152"/>
    </row>
    <row r="291">
      <c r="E291" s="152"/>
    </row>
    <row r="292">
      <c r="E292" s="152"/>
    </row>
    <row r="293">
      <c r="E293" s="152"/>
    </row>
    <row r="294">
      <c r="E294" s="152"/>
    </row>
    <row r="295">
      <c r="E295" s="152"/>
    </row>
    <row r="296">
      <c r="E296" s="152"/>
    </row>
    <row r="297">
      <c r="E297" s="152"/>
    </row>
    <row r="298">
      <c r="E298" s="152"/>
    </row>
    <row r="299">
      <c r="E299" s="152"/>
    </row>
    <row r="300">
      <c r="E300" s="152"/>
    </row>
    <row r="301">
      <c r="E301" s="152"/>
    </row>
    <row r="302">
      <c r="E302" s="152"/>
    </row>
    <row r="303">
      <c r="E303" s="152"/>
    </row>
    <row r="304">
      <c r="E304" s="152"/>
    </row>
    <row r="305">
      <c r="E305" s="152"/>
    </row>
    <row r="306">
      <c r="E306" s="152"/>
    </row>
    <row r="307">
      <c r="E307" s="152"/>
    </row>
    <row r="308">
      <c r="E308" s="152"/>
    </row>
    <row r="309">
      <c r="E309" s="152"/>
    </row>
    <row r="310">
      <c r="E310" s="152"/>
    </row>
    <row r="311">
      <c r="E311" s="152"/>
    </row>
    <row r="312">
      <c r="E312" s="152"/>
    </row>
    <row r="313">
      <c r="E313" s="152"/>
    </row>
    <row r="314">
      <c r="E314" s="152"/>
    </row>
    <row r="315">
      <c r="E315" s="152"/>
    </row>
    <row r="316">
      <c r="E316" s="152"/>
    </row>
    <row r="317">
      <c r="E317" s="152"/>
    </row>
    <row r="318">
      <c r="E318" s="152"/>
    </row>
    <row r="319">
      <c r="E319" s="152"/>
    </row>
    <row r="320">
      <c r="E320" s="152"/>
    </row>
    <row r="321">
      <c r="E321" s="152"/>
    </row>
    <row r="322">
      <c r="E322" s="152"/>
    </row>
    <row r="323">
      <c r="E323" s="152"/>
    </row>
    <row r="324">
      <c r="E324" s="152"/>
    </row>
    <row r="325">
      <c r="E325" s="152"/>
    </row>
    <row r="326">
      <c r="E326" s="152"/>
    </row>
    <row r="327">
      <c r="E327" s="152"/>
    </row>
    <row r="328">
      <c r="E328" s="152"/>
    </row>
    <row r="329">
      <c r="E329" s="152"/>
    </row>
    <row r="330">
      <c r="E330" s="152"/>
    </row>
    <row r="331">
      <c r="E331" s="152"/>
    </row>
    <row r="332">
      <c r="E332" s="152"/>
    </row>
    <row r="333">
      <c r="E333" s="152"/>
    </row>
    <row r="334">
      <c r="E334" s="152"/>
    </row>
    <row r="335">
      <c r="E335" s="152"/>
    </row>
    <row r="336">
      <c r="E336" s="152"/>
    </row>
    <row r="337">
      <c r="E337" s="152"/>
    </row>
    <row r="338">
      <c r="E338" s="152"/>
    </row>
    <row r="339">
      <c r="E339" s="152"/>
    </row>
    <row r="340">
      <c r="E340" s="152"/>
    </row>
    <row r="341">
      <c r="E341" s="152"/>
    </row>
    <row r="342">
      <c r="E342" s="152"/>
    </row>
    <row r="343">
      <c r="E343" s="152"/>
    </row>
    <row r="344">
      <c r="E344" s="152"/>
    </row>
    <row r="345">
      <c r="E345" s="152"/>
    </row>
    <row r="346">
      <c r="E346" s="152"/>
    </row>
    <row r="347">
      <c r="E347" s="152"/>
    </row>
    <row r="348">
      <c r="E348" s="152"/>
    </row>
    <row r="349">
      <c r="E349" s="152"/>
    </row>
    <row r="350">
      <c r="E350" s="152"/>
    </row>
    <row r="351">
      <c r="E351" s="152"/>
    </row>
    <row r="352">
      <c r="E352" s="152"/>
    </row>
    <row r="353">
      <c r="E353" s="152"/>
    </row>
    <row r="354">
      <c r="E354" s="152"/>
    </row>
    <row r="355">
      <c r="E355" s="152"/>
    </row>
    <row r="356">
      <c r="E356" s="152"/>
    </row>
    <row r="357">
      <c r="E357" s="152"/>
    </row>
    <row r="358">
      <c r="E358" s="152"/>
    </row>
    <row r="359">
      <c r="E359" s="152"/>
    </row>
    <row r="360">
      <c r="E360" s="152"/>
    </row>
    <row r="361">
      <c r="E361" s="152"/>
    </row>
    <row r="362">
      <c r="E362" s="152"/>
    </row>
    <row r="363">
      <c r="E363" s="152"/>
    </row>
    <row r="364">
      <c r="E364" s="152"/>
    </row>
    <row r="365">
      <c r="E365" s="152"/>
    </row>
    <row r="366">
      <c r="E366" s="152"/>
    </row>
    <row r="367">
      <c r="E367" s="152"/>
    </row>
    <row r="368">
      <c r="E368" s="152"/>
    </row>
    <row r="369">
      <c r="E369" s="152"/>
    </row>
    <row r="370">
      <c r="E370" s="152"/>
    </row>
    <row r="371">
      <c r="E371" s="152"/>
    </row>
    <row r="372">
      <c r="E372" s="152"/>
    </row>
    <row r="373">
      <c r="E373" s="152"/>
    </row>
    <row r="374">
      <c r="E374" s="152"/>
    </row>
    <row r="375">
      <c r="E375" s="152"/>
    </row>
    <row r="376">
      <c r="E376" s="152"/>
    </row>
    <row r="377">
      <c r="E377" s="152"/>
    </row>
    <row r="378">
      <c r="E378" s="152"/>
    </row>
    <row r="379">
      <c r="E379" s="152"/>
    </row>
    <row r="380">
      <c r="E380" s="152"/>
    </row>
    <row r="381">
      <c r="E381" s="152"/>
    </row>
    <row r="382">
      <c r="E382" s="152"/>
    </row>
    <row r="383">
      <c r="E383" s="152"/>
    </row>
    <row r="384">
      <c r="E384" s="152"/>
    </row>
    <row r="385">
      <c r="E385" s="152"/>
    </row>
    <row r="386">
      <c r="E386" s="152"/>
    </row>
    <row r="387">
      <c r="E387" s="152"/>
    </row>
    <row r="388">
      <c r="E388" s="152"/>
    </row>
    <row r="389">
      <c r="E389" s="152"/>
    </row>
    <row r="390">
      <c r="E390" s="152"/>
    </row>
    <row r="391">
      <c r="E391" s="152"/>
    </row>
    <row r="392">
      <c r="E392" s="152"/>
    </row>
    <row r="393">
      <c r="E393" s="152"/>
    </row>
    <row r="394">
      <c r="E394" s="152"/>
    </row>
    <row r="395">
      <c r="E395" s="152"/>
    </row>
    <row r="396">
      <c r="E396" s="152"/>
    </row>
    <row r="397">
      <c r="E397" s="152"/>
    </row>
    <row r="398">
      <c r="E398" s="152"/>
    </row>
    <row r="399">
      <c r="E399" s="152"/>
    </row>
    <row r="400">
      <c r="E400" s="152"/>
    </row>
    <row r="401">
      <c r="E401" s="152"/>
    </row>
    <row r="402">
      <c r="E402" s="152"/>
    </row>
    <row r="403">
      <c r="E403" s="152"/>
    </row>
    <row r="404">
      <c r="E404" s="152"/>
    </row>
    <row r="405">
      <c r="E405" s="152"/>
    </row>
    <row r="406">
      <c r="E406" s="152"/>
    </row>
    <row r="407">
      <c r="E407" s="152"/>
    </row>
    <row r="408">
      <c r="E408" s="152"/>
    </row>
    <row r="409">
      <c r="E409" s="152"/>
    </row>
    <row r="410">
      <c r="E410" s="152"/>
    </row>
    <row r="411">
      <c r="E411" s="152"/>
    </row>
    <row r="412">
      <c r="E412" s="152"/>
    </row>
    <row r="413">
      <c r="E413" s="152"/>
    </row>
    <row r="414">
      <c r="E414" s="152"/>
    </row>
    <row r="415">
      <c r="E415" s="152"/>
    </row>
    <row r="416">
      <c r="E416" s="152"/>
    </row>
    <row r="417">
      <c r="E417" s="152"/>
    </row>
    <row r="418">
      <c r="E418" s="152"/>
    </row>
    <row r="419">
      <c r="E419" s="152"/>
    </row>
    <row r="420">
      <c r="E420" s="152"/>
    </row>
    <row r="421">
      <c r="E421" s="152"/>
    </row>
    <row r="422">
      <c r="E422" s="152"/>
    </row>
    <row r="423">
      <c r="E423" s="152"/>
    </row>
    <row r="424">
      <c r="E424" s="152"/>
    </row>
    <row r="425">
      <c r="E425" s="152"/>
    </row>
    <row r="426">
      <c r="E426" s="152"/>
    </row>
    <row r="427">
      <c r="E427" s="152"/>
    </row>
    <row r="428">
      <c r="E428" s="152"/>
    </row>
    <row r="429">
      <c r="E429" s="152"/>
    </row>
    <row r="430">
      <c r="E430" s="152"/>
    </row>
    <row r="431">
      <c r="E431" s="152"/>
    </row>
    <row r="432">
      <c r="E432" s="152"/>
    </row>
    <row r="433">
      <c r="E433" s="152"/>
    </row>
    <row r="434">
      <c r="E434" s="152"/>
    </row>
    <row r="435">
      <c r="E435" s="152"/>
    </row>
    <row r="436">
      <c r="E436" s="152"/>
    </row>
    <row r="437">
      <c r="E437" s="152"/>
    </row>
    <row r="438">
      <c r="E438" s="152"/>
    </row>
    <row r="439">
      <c r="E439" s="152"/>
    </row>
    <row r="440">
      <c r="E440" s="152"/>
    </row>
    <row r="441">
      <c r="E441" s="152"/>
    </row>
    <row r="442">
      <c r="E442" s="152"/>
    </row>
    <row r="443">
      <c r="E443" s="152"/>
    </row>
    <row r="444">
      <c r="E444" s="152"/>
    </row>
    <row r="445">
      <c r="E445" s="152"/>
    </row>
    <row r="446">
      <c r="E446" s="152"/>
    </row>
    <row r="447">
      <c r="E447" s="152"/>
    </row>
    <row r="448">
      <c r="E448" s="152"/>
    </row>
    <row r="449">
      <c r="E449" s="152"/>
    </row>
    <row r="450">
      <c r="E450" s="152"/>
    </row>
    <row r="451">
      <c r="E451" s="152"/>
    </row>
    <row r="452">
      <c r="E452" s="152"/>
    </row>
    <row r="453">
      <c r="E453" s="152"/>
    </row>
    <row r="454">
      <c r="E454" s="152"/>
    </row>
    <row r="455">
      <c r="E455" s="152"/>
    </row>
    <row r="456">
      <c r="E456" s="152"/>
    </row>
    <row r="457">
      <c r="E457" s="152"/>
    </row>
    <row r="458">
      <c r="E458" s="152"/>
    </row>
    <row r="459">
      <c r="E459" s="152"/>
    </row>
    <row r="460">
      <c r="E460" s="152"/>
    </row>
    <row r="461">
      <c r="E461" s="152"/>
    </row>
    <row r="462">
      <c r="E462" s="152"/>
    </row>
    <row r="463">
      <c r="E463" s="152"/>
    </row>
    <row r="464">
      <c r="E464" s="152"/>
    </row>
    <row r="465">
      <c r="E465" s="152"/>
    </row>
    <row r="466">
      <c r="E466" s="152"/>
    </row>
    <row r="467">
      <c r="E467" s="152"/>
    </row>
    <row r="468">
      <c r="E468" s="152"/>
    </row>
    <row r="469">
      <c r="E469" s="152"/>
    </row>
    <row r="470">
      <c r="E470" s="152"/>
    </row>
    <row r="471">
      <c r="E471" s="152"/>
    </row>
    <row r="472">
      <c r="E472" s="152"/>
    </row>
    <row r="473">
      <c r="E473" s="152"/>
    </row>
    <row r="474">
      <c r="E474" s="152"/>
    </row>
    <row r="475">
      <c r="E475" s="152"/>
    </row>
    <row r="476">
      <c r="E476" s="152"/>
    </row>
    <row r="477">
      <c r="E477" s="152"/>
    </row>
    <row r="478">
      <c r="E478" s="152"/>
    </row>
    <row r="479">
      <c r="E479" s="152"/>
    </row>
    <row r="480">
      <c r="E480" s="152"/>
    </row>
    <row r="481">
      <c r="E481" s="152"/>
    </row>
    <row r="482">
      <c r="E482" s="152"/>
    </row>
    <row r="483">
      <c r="E483" s="152"/>
    </row>
    <row r="484">
      <c r="E484" s="152"/>
    </row>
    <row r="485">
      <c r="E485" s="152"/>
    </row>
    <row r="486">
      <c r="E486" s="152"/>
    </row>
    <row r="487">
      <c r="E487" s="152"/>
    </row>
    <row r="488">
      <c r="E488" s="152"/>
    </row>
    <row r="489">
      <c r="E489" s="152"/>
    </row>
    <row r="490">
      <c r="E490" s="152"/>
    </row>
    <row r="491">
      <c r="E491" s="152"/>
    </row>
    <row r="492">
      <c r="E492" s="152"/>
    </row>
    <row r="493">
      <c r="E493" s="152"/>
    </row>
    <row r="494">
      <c r="E494" s="152"/>
    </row>
    <row r="495">
      <c r="E495" s="152"/>
    </row>
    <row r="496">
      <c r="E496" s="152"/>
    </row>
    <row r="497">
      <c r="E497" s="152"/>
    </row>
    <row r="498">
      <c r="E498" s="152"/>
    </row>
    <row r="499">
      <c r="E499" s="152"/>
    </row>
    <row r="500">
      <c r="E500" s="152"/>
    </row>
    <row r="501">
      <c r="E501" s="152"/>
    </row>
    <row r="502">
      <c r="E502" s="152"/>
    </row>
    <row r="503">
      <c r="E503" s="152"/>
    </row>
    <row r="504">
      <c r="E504" s="152"/>
    </row>
    <row r="505">
      <c r="E505" s="152"/>
    </row>
    <row r="506">
      <c r="E506" s="152"/>
    </row>
    <row r="507">
      <c r="E507" s="152"/>
    </row>
    <row r="508">
      <c r="E508" s="152"/>
    </row>
    <row r="509">
      <c r="E509" s="152"/>
    </row>
    <row r="510">
      <c r="E510" s="152"/>
    </row>
    <row r="511">
      <c r="E511" s="152"/>
    </row>
    <row r="512">
      <c r="E512" s="152"/>
    </row>
    <row r="513">
      <c r="E513" s="152"/>
    </row>
    <row r="514">
      <c r="E514" s="152"/>
    </row>
    <row r="515">
      <c r="E515" s="152"/>
    </row>
    <row r="516">
      <c r="E516" s="152"/>
    </row>
    <row r="517">
      <c r="E517" s="152"/>
    </row>
    <row r="518">
      <c r="E518" s="152"/>
    </row>
    <row r="519">
      <c r="E519" s="152"/>
    </row>
    <row r="520">
      <c r="E520" s="152"/>
    </row>
    <row r="521">
      <c r="E521" s="152"/>
    </row>
    <row r="522">
      <c r="E522" s="152"/>
    </row>
    <row r="523">
      <c r="E523" s="152"/>
    </row>
    <row r="524">
      <c r="E524" s="152"/>
    </row>
    <row r="525">
      <c r="E525" s="152"/>
    </row>
    <row r="526">
      <c r="E526" s="152"/>
    </row>
    <row r="527">
      <c r="E527" s="152"/>
    </row>
    <row r="528">
      <c r="E528" s="152"/>
    </row>
    <row r="529">
      <c r="E529" s="152"/>
    </row>
    <row r="530">
      <c r="E530" s="152"/>
    </row>
    <row r="531">
      <c r="E531" s="152"/>
    </row>
    <row r="532">
      <c r="E532" s="152"/>
    </row>
    <row r="533">
      <c r="E533" s="152"/>
    </row>
    <row r="534">
      <c r="E534" s="152"/>
    </row>
    <row r="535">
      <c r="E535" s="152"/>
    </row>
    <row r="536">
      <c r="E536" s="152"/>
    </row>
    <row r="537">
      <c r="E537" s="152"/>
    </row>
    <row r="538">
      <c r="E538" s="152"/>
    </row>
    <row r="539">
      <c r="E539" s="152"/>
    </row>
    <row r="540">
      <c r="E540" s="152"/>
    </row>
    <row r="541">
      <c r="E541" s="152"/>
    </row>
    <row r="542">
      <c r="E542" s="152"/>
    </row>
    <row r="543">
      <c r="E543" s="152"/>
    </row>
    <row r="544">
      <c r="E544" s="152"/>
    </row>
    <row r="545">
      <c r="E545" s="152"/>
    </row>
    <row r="546">
      <c r="E546" s="152"/>
    </row>
    <row r="547">
      <c r="E547" s="152"/>
    </row>
    <row r="548">
      <c r="E548" s="152"/>
    </row>
    <row r="549">
      <c r="E549" s="152"/>
    </row>
    <row r="550">
      <c r="E550" s="152"/>
    </row>
    <row r="551">
      <c r="E551" s="152"/>
    </row>
    <row r="552">
      <c r="E552" s="152"/>
    </row>
    <row r="553">
      <c r="E553" s="152"/>
    </row>
    <row r="554">
      <c r="E554" s="152"/>
    </row>
    <row r="555">
      <c r="E555" s="152"/>
    </row>
    <row r="556">
      <c r="E556" s="152"/>
    </row>
    <row r="557">
      <c r="E557" s="152"/>
    </row>
    <row r="558">
      <c r="E558" s="152"/>
    </row>
    <row r="559">
      <c r="E559" s="152"/>
    </row>
    <row r="560">
      <c r="E560" s="152"/>
    </row>
    <row r="561">
      <c r="E561" s="152"/>
    </row>
    <row r="562">
      <c r="E562" s="152"/>
    </row>
    <row r="563">
      <c r="E563" s="152"/>
    </row>
    <row r="564">
      <c r="E564" s="152"/>
    </row>
    <row r="565">
      <c r="E565" s="152"/>
    </row>
    <row r="566">
      <c r="E566" s="152"/>
    </row>
    <row r="567">
      <c r="E567" s="152"/>
    </row>
    <row r="568">
      <c r="E568" s="152"/>
    </row>
    <row r="569">
      <c r="E569" s="152"/>
    </row>
    <row r="570">
      <c r="E570" s="152"/>
    </row>
    <row r="571">
      <c r="E571" s="152"/>
    </row>
    <row r="572">
      <c r="E572" s="152"/>
    </row>
    <row r="573">
      <c r="E573" s="152"/>
    </row>
    <row r="574">
      <c r="E574" s="152"/>
    </row>
    <row r="575">
      <c r="E575" s="152"/>
    </row>
    <row r="576">
      <c r="E576" s="152"/>
    </row>
    <row r="577">
      <c r="E577" s="152"/>
    </row>
    <row r="578">
      <c r="E578" s="152"/>
    </row>
    <row r="579">
      <c r="E579" s="152"/>
    </row>
    <row r="580">
      <c r="E580" s="152"/>
    </row>
    <row r="581">
      <c r="E581" s="152"/>
    </row>
    <row r="582">
      <c r="E582" s="152"/>
    </row>
    <row r="583">
      <c r="E583" s="152"/>
    </row>
    <row r="584">
      <c r="E584" s="152"/>
    </row>
    <row r="585">
      <c r="E585" s="152"/>
    </row>
    <row r="586">
      <c r="E586" s="152"/>
    </row>
    <row r="587">
      <c r="E587" s="152"/>
    </row>
    <row r="588">
      <c r="E588" s="152"/>
    </row>
    <row r="589">
      <c r="E589" s="152"/>
    </row>
    <row r="590">
      <c r="E590" s="152"/>
    </row>
    <row r="591">
      <c r="E591" s="152"/>
    </row>
    <row r="592">
      <c r="E592" s="152"/>
    </row>
    <row r="593">
      <c r="E593" s="152"/>
    </row>
    <row r="594">
      <c r="E594" s="152"/>
    </row>
    <row r="595">
      <c r="E595" s="152"/>
    </row>
    <row r="596">
      <c r="E596" s="152"/>
    </row>
    <row r="597">
      <c r="E597" s="152"/>
    </row>
    <row r="598">
      <c r="E598" s="152"/>
    </row>
    <row r="599">
      <c r="E599" s="152"/>
    </row>
    <row r="600">
      <c r="E600" s="152"/>
    </row>
    <row r="601">
      <c r="E601" s="152"/>
    </row>
    <row r="602">
      <c r="E602" s="152"/>
    </row>
    <row r="603">
      <c r="E603" s="152"/>
    </row>
    <row r="604">
      <c r="E604" s="152"/>
    </row>
    <row r="605">
      <c r="E605" s="152"/>
    </row>
    <row r="606">
      <c r="E606" s="152"/>
    </row>
    <row r="607">
      <c r="E607" s="152"/>
    </row>
    <row r="608">
      <c r="E608" s="152"/>
    </row>
    <row r="609">
      <c r="E609" s="152"/>
    </row>
    <row r="610">
      <c r="E610" s="152"/>
    </row>
    <row r="611">
      <c r="E611" s="152"/>
    </row>
    <row r="612">
      <c r="E612" s="152"/>
    </row>
    <row r="613">
      <c r="E613" s="152"/>
    </row>
    <row r="614">
      <c r="E614" s="152"/>
    </row>
    <row r="615">
      <c r="E615" s="152"/>
    </row>
    <row r="616">
      <c r="E616" s="152"/>
    </row>
    <row r="617">
      <c r="E617" s="152"/>
    </row>
    <row r="618">
      <c r="E618" s="152"/>
    </row>
    <row r="619">
      <c r="E619" s="152"/>
    </row>
    <row r="620">
      <c r="E620" s="152"/>
    </row>
    <row r="621">
      <c r="E621" s="152"/>
    </row>
    <row r="622">
      <c r="E622" s="152"/>
    </row>
    <row r="623">
      <c r="E623" s="152"/>
    </row>
    <row r="624">
      <c r="E624" s="152"/>
    </row>
    <row r="625">
      <c r="E625" s="152"/>
    </row>
    <row r="626">
      <c r="E626" s="152"/>
    </row>
    <row r="627">
      <c r="E627" s="152"/>
    </row>
    <row r="628">
      <c r="E628" s="152"/>
    </row>
    <row r="629">
      <c r="E629" s="152"/>
    </row>
    <row r="630">
      <c r="E630" s="152"/>
    </row>
    <row r="631">
      <c r="E631" s="152"/>
    </row>
    <row r="632">
      <c r="E632" s="152"/>
    </row>
    <row r="633">
      <c r="E633" s="152"/>
    </row>
    <row r="634">
      <c r="E634" s="152"/>
    </row>
    <row r="635">
      <c r="E635" s="152"/>
    </row>
    <row r="636">
      <c r="E636" s="152"/>
    </row>
    <row r="637">
      <c r="E637" s="152"/>
    </row>
    <row r="638">
      <c r="E638" s="152"/>
    </row>
    <row r="639">
      <c r="E639" s="152"/>
    </row>
    <row r="640">
      <c r="E640" s="152"/>
    </row>
    <row r="641">
      <c r="E641" s="152"/>
    </row>
    <row r="642">
      <c r="E642" s="152"/>
    </row>
    <row r="643">
      <c r="E643" s="152"/>
    </row>
    <row r="644">
      <c r="E644" s="152"/>
    </row>
    <row r="645">
      <c r="E645" s="152"/>
    </row>
    <row r="646">
      <c r="E646" s="152"/>
    </row>
    <row r="647">
      <c r="E647" s="152"/>
    </row>
    <row r="648">
      <c r="E648" s="152"/>
    </row>
    <row r="649">
      <c r="E649" s="152"/>
    </row>
    <row r="650">
      <c r="E650" s="152"/>
    </row>
    <row r="651">
      <c r="E651" s="152"/>
    </row>
    <row r="652">
      <c r="E652" s="152"/>
    </row>
    <row r="653">
      <c r="E653" s="152"/>
    </row>
    <row r="654">
      <c r="E654" s="152"/>
    </row>
    <row r="655">
      <c r="E655" s="152"/>
    </row>
    <row r="656">
      <c r="E656" s="152"/>
    </row>
    <row r="657">
      <c r="E657" s="152"/>
    </row>
    <row r="658">
      <c r="E658" s="152"/>
    </row>
    <row r="659">
      <c r="E659" s="152"/>
    </row>
    <row r="660">
      <c r="E660" s="152"/>
    </row>
    <row r="661">
      <c r="E661" s="152"/>
    </row>
    <row r="662">
      <c r="E662" s="152"/>
    </row>
    <row r="663">
      <c r="E663" s="152"/>
    </row>
    <row r="664">
      <c r="E664" s="152"/>
    </row>
    <row r="665">
      <c r="E665" s="152"/>
    </row>
    <row r="666">
      <c r="E666" s="152"/>
    </row>
    <row r="667">
      <c r="E667" s="152"/>
    </row>
    <row r="668">
      <c r="E668" s="152"/>
    </row>
    <row r="669">
      <c r="E669" s="152"/>
    </row>
    <row r="670">
      <c r="E670" s="152"/>
    </row>
    <row r="671">
      <c r="E671" s="152"/>
    </row>
    <row r="672">
      <c r="E672" s="152"/>
    </row>
    <row r="673">
      <c r="E673" s="152"/>
    </row>
    <row r="674">
      <c r="E674" s="152"/>
    </row>
    <row r="675">
      <c r="E675" s="152"/>
    </row>
    <row r="676">
      <c r="E676" s="152"/>
    </row>
    <row r="677">
      <c r="E677" s="152"/>
    </row>
    <row r="678">
      <c r="E678" s="152"/>
    </row>
    <row r="679">
      <c r="E679" s="152"/>
    </row>
    <row r="680">
      <c r="E680" s="152"/>
    </row>
    <row r="681">
      <c r="E681" s="152"/>
    </row>
    <row r="682">
      <c r="E682" s="152"/>
    </row>
    <row r="683">
      <c r="E683" s="152"/>
    </row>
    <row r="684">
      <c r="E684" s="152"/>
    </row>
    <row r="685">
      <c r="E685" s="152"/>
    </row>
    <row r="686">
      <c r="E686" s="152"/>
    </row>
    <row r="687">
      <c r="E687" s="152"/>
    </row>
    <row r="688">
      <c r="E688" s="152"/>
    </row>
    <row r="689">
      <c r="E689" s="152"/>
    </row>
    <row r="690">
      <c r="E690" s="152"/>
    </row>
    <row r="691">
      <c r="E691" s="152"/>
    </row>
    <row r="692">
      <c r="E692" s="152"/>
    </row>
    <row r="693">
      <c r="E693" s="152"/>
    </row>
    <row r="694">
      <c r="E694" s="152"/>
    </row>
    <row r="695">
      <c r="E695" s="152"/>
    </row>
    <row r="696">
      <c r="E696" s="152"/>
    </row>
    <row r="697">
      <c r="E697" s="152"/>
    </row>
    <row r="698">
      <c r="E698" s="152"/>
    </row>
    <row r="699">
      <c r="E699" s="152"/>
    </row>
    <row r="700">
      <c r="E700" s="152"/>
    </row>
    <row r="701">
      <c r="E701" s="152"/>
    </row>
    <row r="702">
      <c r="E702" s="152"/>
    </row>
    <row r="703">
      <c r="E703" s="152"/>
    </row>
    <row r="704">
      <c r="E704" s="152"/>
    </row>
    <row r="705">
      <c r="E705" s="152"/>
    </row>
    <row r="706">
      <c r="E706" s="152"/>
    </row>
    <row r="707">
      <c r="E707" s="152"/>
    </row>
    <row r="708">
      <c r="E708" s="152"/>
    </row>
    <row r="709">
      <c r="E709" s="152"/>
    </row>
    <row r="710">
      <c r="E710" s="152"/>
    </row>
    <row r="711">
      <c r="E711" s="152"/>
    </row>
    <row r="712">
      <c r="E712" s="152"/>
    </row>
    <row r="713">
      <c r="E713" s="152"/>
    </row>
    <row r="714">
      <c r="E714" s="152"/>
    </row>
    <row r="715">
      <c r="E715" s="152"/>
    </row>
    <row r="716">
      <c r="E716" s="152"/>
    </row>
    <row r="717">
      <c r="E717" s="152"/>
    </row>
    <row r="718">
      <c r="E718" s="152"/>
    </row>
    <row r="719">
      <c r="E719" s="152"/>
    </row>
    <row r="720">
      <c r="E720" s="152"/>
    </row>
    <row r="721">
      <c r="E721" s="152"/>
    </row>
    <row r="722">
      <c r="E722" s="152"/>
    </row>
    <row r="723">
      <c r="E723" s="152"/>
    </row>
    <row r="724">
      <c r="E724" s="152"/>
    </row>
    <row r="725">
      <c r="E725" s="152"/>
    </row>
    <row r="726">
      <c r="E726" s="152"/>
    </row>
    <row r="727">
      <c r="E727" s="152"/>
    </row>
    <row r="728">
      <c r="E728" s="152"/>
    </row>
    <row r="729">
      <c r="E729" s="152"/>
    </row>
    <row r="730">
      <c r="E730" s="152"/>
    </row>
    <row r="731">
      <c r="E731" s="152"/>
    </row>
    <row r="732">
      <c r="E732" s="152"/>
    </row>
    <row r="733">
      <c r="E733" s="152"/>
    </row>
    <row r="734">
      <c r="E734" s="152"/>
    </row>
    <row r="735">
      <c r="E735" s="152"/>
    </row>
    <row r="736">
      <c r="E736" s="152"/>
    </row>
    <row r="737">
      <c r="E737" s="152"/>
    </row>
    <row r="738">
      <c r="E738" s="152"/>
    </row>
    <row r="739">
      <c r="E739" s="152"/>
    </row>
    <row r="740">
      <c r="E740" s="152"/>
    </row>
    <row r="741">
      <c r="E741" s="152"/>
    </row>
    <row r="742">
      <c r="E742" s="152"/>
    </row>
    <row r="743">
      <c r="E743" s="152"/>
    </row>
    <row r="744">
      <c r="E744" s="152"/>
    </row>
    <row r="745">
      <c r="E745" s="152"/>
    </row>
    <row r="746">
      <c r="E746" s="152"/>
    </row>
    <row r="747">
      <c r="E747" s="152"/>
    </row>
    <row r="748">
      <c r="E748" s="152"/>
    </row>
    <row r="749">
      <c r="E749" s="152"/>
    </row>
    <row r="750">
      <c r="E750" s="152"/>
    </row>
    <row r="751">
      <c r="E751" s="152"/>
    </row>
    <row r="752">
      <c r="E752" s="152"/>
    </row>
    <row r="753">
      <c r="E753" s="152"/>
    </row>
    <row r="754">
      <c r="E754" s="152"/>
    </row>
    <row r="755">
      <c r="E755" s="152"/>
    </row>
    <row r="756">
      <c r="E756" s="152"/>
    </row>
    <row r="757">
      <c r="E757" s="152"/>
    </row>
    <row r="758">
      <c r="E758" s="152"/>
    </row>
    <row r="759">
      <c r="E759" s="152"/>
    </row>
    <row r="760">
      <c r="E760" s="152"/>
    </row>
    <row r="761">
      <c r="E761" s="152"/>
    </row>
    <row r="762">
      <c r="E762" s="152"/>
    </row>
    <row r="763">
      <c r="E763" s="152"/>
    </row>
    <row r="764">
      <c r="E764" s="152"/>
    </row>
    <row r="765">
      <c r="E765" s="152"/>
    </row>
    <row r="766">
      <c r="E766" s="152"/>
    </row>
    <row r="767">
      <c r="E767" s="152"/>
    </row>
    <row r="768">
      <c r="E768" s="152"/>
    </row>
    <row r="769">
      <c r="E769" s="152"/>
    </row>
    <row r="770">
      <c r="E770" s="152"/>
    </row>
    <row r="771">
      <c r="E771" s="152"/>
    </row>
    <row r="772">
      <c r="E772" s="152"/>
    </row>
    <row r="773">
      <c r="E773" s="152"/>
    </row>
    <row r="774">
      <c r="E774" s="152"/>
    </row>
    <row r="775">
      <c r="E775" s="152"/>
    </row>
    <row r="776">
      <c r="E776" s="152"/>
    </row>
    <row r="777">
      <c r="E777" s="152"/>
    </row>
    <row r="778">
      <c r="E778" s="152"/>
    </row>
    <row r="779">
      <c r="E779" s="152"/>
    </row>
    <row r="780">
      <c r="E780" s="152"/>
    </row>
    <row r="781">
      <c r="E781" s="152"/>
    </row>
    <row r="782">
      <c r="E782" s="152"/>
    </row>
    <row r="783">
      <c r="E783" s="152"/>
    </row>
    <row r="784">
      <c r="E784" s="152"/>
    </row>
    <row r="785">
      <c r="E785" s="152"/>
    </row>
    <row r="786">
      <c r="E786" s="152"/>
    </row>
    <row r="787">
      <c r="E787" s="152"/>
    </row>
    <row r="788">
      <c r="E788" s="152"/>
    </row>
    <row r="789">
      <c r="E789" s="152"/>
    </row>
    <row r="790">
      <c r="E790" s="152"/>
    </row>
    <row r="791">
      <c r="E791" s="152"/>
    </row>
    <row r="792">
      <c r="E792" s="152"/>
    </row>
    <row r="793">
      <c r="E793" s="152"/>
    </row>
    <row r="794">
      <c r="E794" s="152"/>
    </row>
    <row r="795">
      <c r="E795" s="152"/>
    </row>
    <row r="796">
      <c r="E796" s="152"/>
    </row>
    <row r="797">
      <c r="E797" s="152"/>
    </row>
    <row r="798">
      <c r="E798" s="152"/>
    </row>
    <row r="799">
      <c r="E799" s="152"/>
    </row>
    <row r="800">
      <c r="E800" s="152"/>
    </row>
    <row r="801">
      <c r="E801" s="152"/>
    </row>
    <row r="802">
      <c r="E802" s="152"/>
    </row>
    <row r="803">
      <c r="E803" s="152"/>
    </row>
    <row r="804">
      <c r="E804" s="152"/>
    </row>
    <row r="805">
      <c r="E805" s="152"/>
    </row>
    <row r="806">
      <c r="E806" s="152"/>
    </row>
    <row r="807">
      <c r="E807" s="152"/>
    </row>
    <row r="808">
      <c r="E808" s="152"/>
    </row>
    <row r="809">
      <c r="E809" s="152"/>
    </row>
    <row r="810">
      <c r="E810" s="152"/>
    </row>
    <row r="811">
      <c r="E811" s="152"/>
    </row>
    <row r="812">
      <c r="E812" s="152"/>
    </row>
    <row r="813">
      <c r="E813" s="152"/>
    </row>
    <row r="814">
      <c r="E814" s="152"/>
    </row>
    <row r="815">
      <c r="E815" s="152"/>
    </row>
    <row r="816">
      <c r="E816" s="152"/>
    </row>
    <row r="817">
      <c r="E817" s="152"/>
    </row>
    <row r="818">
      <c r="E818" s="152"/>
    </row>
    <row r="819">
      <c r="E819" s="152"/>
    </row>
    <row r="820">
      <c r="E820" s="152"/>
    </row>
    <row r="821">
      <c r="E821" s="152"/>
    </row>
    <row r="822">
      <c r="E822" s="152"/>
    </row>
    <row r="823">
      <c r="E823" s="152"/>
    </row>
    <row r="824">
      <c r="E824" s="152"/>
    </row>
    <row r="825">
      <c r="E825" s="152"/>
    </row>
    <row r="826">
      <c r="E826" s="152"/>
    </row>
    <row r="827">
      <c r="E827" s="152"/>
    </row>
    <row r="828">
      <c r="E828" s="152"/>
    </row>
    <row r="829">
      <c r="E829" s="152"/>
    </row>
    <row r="830">
      <c r="E830" s="152"/>
    </row>
    <row r="831">
      <c r="E831" s="152"/>
    </row>
    <row r="832">
      <c r="E832" s="152"/>
    </row>
    <row r="833">
      <c r="E833" s="152"/>
    </row>
    <row r="834">
      <c r="E834" s="152"/>
    </row>
    <row r="835">
      <c r="E835" s="152"/>
    </row>
    <row r="836">
      <c r="E836" s="152"/>
    </row>
    <row r="837">
      <c r="E837" s="152"/>
    </row>
    <row r="838">
      <c r="E838" s="152"/>
    </row>
    <row r="839">
      <c r="E839" s="152"/>
    </row>
    <row r="840">
      <c r="E840" s="152"/>
    </row>
    <row r="841">
      <c r="E841" s="152"/>
    </row>
    <row r="842">
      <c r="E842" s="152"/>
    </row>
    <row r="843">
      <c r="E843" s="152"/>
    </row>
    <row r="844">
      <c r="E844" s="152"/>
    </row>
    <row r="845">
      <c r="E845" s="152"/>
    </row>
    <row r="846">
      <c r="E846" s="152"/>
    </row>
    <row r="847">
      <c r="E847" s="152"/>
    </row>
    <row r="848">
      <c r="E848" s="152"/>
    </row>
    <row r="849">
      <c r="E849" s="152"/>
    </row>
    <row r="850">
      <c r="E850" s="152"/>
    </row>
    <row r="851">
      <c r="E851" s="152"/>
    </row>
    <row r="852">
      <c r="E852" s="152"/>
    </row>
    <row r="853">
      <c r="E853" s="152"/>
    </row>
    <row r="854">
      <c r="E854" s="152"/>
    </row>
    <row r="855">
      <c r="E855" s="152"/>
    </row>
    <row r="856">
      <c r="E856" s="152"/>
    </row>
    <row r="857">
      <c r="E857" s="152"/>
    </row>
    <row r="858">
      <c r="E858" s="152"/>
    </row>
    <row r="859">
      <c r="E859" s="152"/>
    </row>
    <row r="860">
      <c r="E860" s="152"/>
    </row>
    <row r="861">
      <c r="E861" s="152"/>
    </row>
    <row r="862">
      <c r="E862" s="152"/>
    </row>
    <row r="863">
      <c r="E863" s="152"/>
    </row>
    <row r="864">
      <c r="E864" s="152"/>
    </row>
    <row r="865">
      <c r="E865" s="152"/>
    </row>
    <row r="866">
      <c r="E866" s="152"/>
    </row>
    <row r="867">
      <c r="E867" s="152"/>
    </row>
    <row r="868">
      <c r="E868" s="152"/>
    </row>
    <row r="869">
      <c r="E869" s="152"/>
    </row>
    <row r="870">
      <c r="E870" s="152"/>
    </row>
    <row r="871">
      <c r="E871" s="152"/>
    </row>
    <row r="872">
      <c r="E872" s="152"/>
    </row>
    <row r="873">
      <c r="E873" s="152"/>
    </row>
    <row r="874">
      <c r="E874" s="152"/>
    </row>
    <row r="875">
      <c r="E875" s="152"/>
    </row>
    <row r="876">
      <c r="E876" s="152"/>
    </row>
    <row r="877">
      <c r="E877" s="152"/>
    </row>
    <row r="878">
      <c r="E878" s="152"/>
    </row>
    <row r="879">
      <c r="E879" s="152"/>
    </row>
    <row r="880">
      <c r="E880" s="152"/>
    </row>
    <row r="881">
      <c r="E881" s="152"/>
    </row>
    <row r="882">
      <c r="E882" s="152"/>
    </row>
    <row r="883">
      <c r="E883" s="152"/>
    </row>
    <row r="884">
      <c r="E884" s="152"/>
    </row>
    <row r="885">
      <c r="E885" s="152"/>
    </row>
    <row r="886">
      <c r="E886" s="152"/>
    </row>
    <row r="887">
      <c r="E887" s="152"/>
    </row>
    <row r="888">
      <c r="E888" s="152"/>
    </row>
    <row r="889">
      <c r="E889" s="152"/>
    </row>
    <row r="890">
      <c r="E890" s="152"/>
    </row>
    <row r="891">
      <c r="E891" s="152"/>
    </row>
    <row r="892">
      <c r="E892" s="152"/>
    </row>
    <row r="893">
      <c r="E893" s="152"/>
    </row>
    <row r="894">
      <c r="E894" s="152"/>
    </row>
    <row r="895">
      <c r="E895" s="152"/>
    </row>
    <row r="896">
      <c r="E896" s="152"/>
    </row>
    <row r="897">
      <c r="E897" s="152"/>
    </row>
    <row r="898">
      <c r="E898" s="152"/>
    </row>
    <row r="899">
      <c r="E899" s="152"/>
    </row>
    <row r="900">
      <c r="E900" s="152"/>
    </row>
    <row r="901">
      <c r="E901" s="152"/>
    </row>
    <row r="902">
      <c r="E902" s="152"/>
    </row>
    <row r="903">
      <c r="E903" s="152"/>
    </row>
    <row r="904">
      <c r="E904" s="152"/>
    </row>
    <row r="905">
      <c r="E905" s="152"/>
    </row>
    <row r="906">
      <c r="E906" s="152"/>
    </row>
    <row r="907">
      <c r="E907" s="152"/>
    </row>
    <row r="908">
      <c r="E908" s="152"/>
    </row>
    <row r="909">
      <c r="E909" s="152"/>
    </row>
    <row r="910">
      <c r="E910" s="152"/>
    </row>
    <row r="911">
      <c r="E911" s="152"/>
    </row>
    <row r="912">
      <c r="E912" s="152"/>
    </row>
    <row r="913">
      <c r="E913" s="152"/>
    </row>
    <row r="914">
      <c r="E914" s="152"/>
    </row>
    <row r="915">
      <c r="E915" s="152"/>
    </row>
    <row r="916">
      <c r="E916" s="152"/>
    </row>
    <row r="917">
      <c r="E917" s="152"/>
    </row>
    <row r="918">
      <c r="E918" s="152"/>
    </row>
    <row r="919">
      <c r="E919" s="152"/>
    </row>
    <row r="920">
      <c r="E920" s="152"/>
    </row>
    <row r="921">
      <c r="E921" s="152"/>
    </row>
    <row r="922">
      <c r="E922" s="152"/>
    </row>
    <row r="923">
      <c r="E923" s="152"/>
    </row>
    <row r="924">
      <c r="E924" s="152"/>
    </row>
    <row r="925">
      <c r="E925" s="152"/>
    </row>
    <row r="926">
      <c r="E926" s="152"/>
    </row>
    <row r="927">
      <c r="E927" s="152"/>
    </row>
    <row r="928">
      <c r="E928" s="152"/>
    </row>
    <row r="929">
      <c r="E929" s="152"/>
    </row>
    <row r="930">
      <c r="E930" s="152"/>
    </row>
    <row r="931">
      <c r="E931" s="152"/>
    </row>
    <row r="932">
      <c r="E932" s="152"/>
    </row>
    <row r="933">
      <c r="E933" s="152"/>
    </row>
    <row r="934">
      <c r="E934" s="152"/>
    </row>
    <row r="935">
      <c r="E935" s="152"/>
    </row>
    <row r="936">
      <c r="E936" s="152"/>
    </row>
    <row r="937">
      <c r="E937" s="152"/>
    </row>
    <row r="938">
      <c r="E938" s="152"/>
    </row>
    <row r="939">
      <c r="E939" s="152"/>
    </row>
    <row r="940">
      <c r="E940" s="152"/>
    </row>
    <row r="941">
      <c r="E941" s="152"/>
    </row>
    <row r="942">
      <c r="E942" s="152"/>
    </row>
    <row r="943">
      <c r="E943" s="152"/>
    </row>
    <row r="944">
      <c r="E944" s="152"/>
    </row>
    <row r="945">
      <c r="E945" s="152"/>
    </row>
    <row r="946">
      <c r="E946" s="152"/>
    </row>
    <row r="947">
      <c r="E947" s="152"/>
    </row>
    <row r="948">
      <c r="E948" s="152"/>
    </row>
    <row r="949">
      <c r="E949" s="152"/>
    </row>
    <row r="950">
      <c r="E950" s="152"/>
    </row>
    <row r="951">
      <c r="E951" s="152"/>
    </row>
    <row r="952">
      <c r="E952" s="152"/>
    </row>
    <row r="953">
      <c r="E953" s="152"/>
    </row>
    <row r="954">
      <c r="E954" s="152"/>
    </row>
    <row r="955">
      <c r="E955" s="152"/>
    </row>
    <row r="956">
      <c r="E956" s="152"/>
    </row>
    <row r="957">
      <c r="E957" s="152"/>
    </row>
    <row r="958">
      <c r="E958" s="152"/>
    </row>
    <row r="959">
      <c r="E959" s="152"/>
    </row>
    <row r="960">
      <c r="E960" s="152"/>
    </row>
    <row r="961">
      <c r="E961" s="152"/>
    </row>
    <row r="962">
      <c r="E962" s="152"/>
    </row>
    <row r="963">
      <c r="E963" s="152"/>
    </row>
    <row r="964">
      <c r="E964" s="152"/>
    </row>
    <row r="965">
      <c r="E965" s="152"/>
    </row>
    <row r="966">
      <c r="E966" s="152"/>
    </row>
    <row r="967">
      <c r="E967" s="152"/>
    </row>
    <row r="968">
      <c r="E968" s="152"/>
    </row>
    <row r="969">
      <c r="E969" s="152"/>
    </row>
    <row r="970">
      <c r="E970" s="152"/>
    </row>
    <row r="971">
      <c r="E971" s="152"/>
    </row>
    <row r="972">
      <c r="E972" s="152"/>
    </row>
    <row r="973">
      <c r="E973" s="152"/>
    </row>
    <row r="974">
      <c r="E974" s="152"/>
    </row>
    <row r="975">
      <c r="E975" s="152"/>
    </row>
    <row r="976">
      <c r="E976" s="152"/>
    </row>
    <row r="977">
      <c r="E977" s="152"/>
    </row>
    <row r="978">
      <c r="E978" s="152"/>
    </row>
    <row r="979">
      <c r="E979" s="152"/>
    </row>
    <row r="980">
      <c r="E980" s="152"/>
    </row>
    <row r="981">
      <c r="E981" s="152"/>
    </row>
    <row r="982">
      <c r="E982" s="152"/>
    </row>
    <row r="983">
      <c r="E983" s="152"/>
    </row>
    <row r="984">
      <c r="E984" s="152"/>
    </row>
    <row r="985">
      <c r="E985" s="152"/>
    </row>
    <row r="986">
      <c r="E986" s="152"/>
    </row>
    <row r="987">
      <c r="E987" s="152"/>
    </row>
    <row r="988">
      <c r="E988" s="152"/>
    </row>
    <row r="989">
      <c r="E989" s="152"/>
    </row>
    <row r="990">
      <c r="E990" s="152"/>
    </row>
    <row r="991">
      <c r="E991" s="152"/>
    </row>
    <row r="992">
      <c r="E992" s="152"/>
    </row>
    <row r="993">
      <c r="E993" s="152"/>
    </row>
    <row r="994">
      <c r="E994" s="152"/>
    </row>
    <row r="995">
      <c r="E995" s="152"/>
    </row>
    <row r="996">
      <c r="E996" s="152"/>
    </row>
    <row r="997">
      <c r="E997" s="152"/>
    </row>
    <row r="998">
      <c r="E998" s="152"/>
    </row>
    <row r="999">
      <c r="E999" s="152"/>
    </row>
    <row r="1000">
      <c r="E1000" s="15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9" t="s">
        <v>190</v>
      </c>
      <c r="C1" s="89" t="s">
        <v>191</v>
      </c>
      <c r="D1" s="89" t="s">
        <v>192</v>
      </c>
      <c r="E1" s="89" t="s">
        <v>194</v>
      </c>
      <c r="F1" s="88" t="s">
        <v>195</v>
      </c>
      <c r="G1" s="89" t="s">
        <v>196</v>
      </c>
      <c r="H1" s="89" t="s">
        <v>197</v>
      </c>
    </row>
    <row r="2">
      <c r="A2" s="92" t="s">
        <v>200</v>
      </c>
      <c r="B2" s="95">
        <v>23.43232323232323</v>
      </c>
      <c r="C2" s="95">
        <v>0.05</v>
      </c>
      <c r="D2" s="95">
        <v>3.0025</v>
      </c>
      <c r="E2" s="95">
        <v>5.9975000000000005</v>
      </c>
      <c r="F2" s="94">
        <v>8.0</v>
      </c>
      <c r="G2" s="95">
        <v>11.9975</v>
      </c>
      <c r="H2" s="95">
        <v>0.0</v>
      </c>
    </row>
    <row r="3">
      <c r="A3" s="92" t="s">
        <v>203</v>
      </c>
      <c r="B3" s="95">
        <v>19.393939393939394</v>
      </c>
      <c r="C3" s="95">
        <v>0.40404040404040403</v>
      </c>
      <c r="D3" s="95">
        <v>0.8</v>
      </c>
      <c r="E3" s="95">
        <v>3.0476190476190474</v>
      </c>
      <c r="F3" s="94">
        <v>8.0</v>
      </c>
      <c r="G3" s="95">
        <v>5.894736842105263</v>
      </c>
      <c r="H3" s="95">
        <v>1.6842105263157894</v>
      </c>
    </row>
    <row r="4">
      <c r="A4" s="92" t="s">
        <v>199</v>
      </c>
      <c r="B4" s="95">
        <v>30.76923076923077</v>
      </c>
      <c r="C4" s="95">
        <v>1.0256410256410258</v>
      </c>
      <c r="D4" s="95">
        <v>12.0</v>
      </c>
      <c r="E4" s="95">
        <v>4.0</v>
      </c>
      <c r="F4" s="94">
        <v>7.466666666666667</v>
      </c>
      <c r="G4" s="95">
        <v>-1.0666666666666667</v>
      </c>
      <c r="H4" s="95">
        <v>8.0</v>
      </c>
    </row>
    <row r="5">
      <c r="A5" s="92" t="s">
        <v>250</v>
      </c>
      <c r="B5" s="95">
        <v>8.311688311688311</v>
      </c>
      <c r="C5" s="95">
        <v>0.0</v>
      </c>
      <c r="D5" s="95">
        <v>0.0</v>
      </c>
      <c r="E5" s="95">
        <v>1.0</v>
      </c>
      <c r="F5" s="94">
        <v>7.0</v>
      </c>
      <c r="G5" s="95">
        <v>0.0</v>
      </c>
      <c r="H5" s="95">
        <v>0.0</v>
      </c>
    </row>
    <row r="6">
      <c r="A6" s="92" t="s">
        <v>204</v>
      </c>
      <c r="B6" s="95">
        <v>16.842105263157894</v>
      </c>
      <c r="C6" s="95">
        <v>0.8421052631578947</v>
      </c>
      <c r="D6" s="95">
        <v>0.0</v>
      </c>
      <c r="E6" s="95">
        <v>5.052631578947368</v>
      </c>
      <c r="F6" s="94">
        <v>6.4</v>
      </c>
      <c r="G6" s="95">
        <v>6.222222222222222</v>
      </c>
      <c r="H6" s="95">
        <v>-0.8888888888888888</v>
      </c>
    </row>
    <row r="7">
      <c r="A7" s="92" t="s">
        <v>205</v>
      </c>
      <c r="B7" s="95">
        <v>16.0</v>
      </c>
      <c r="C7" s="95">
        <v>0.5</v>
      </c>
      <c r="D7" s="95">
        <v>0.0</v>
      </c>
      <c r="E7" s="95">
        <v>4.0</v>
      </c>
      <c r="F7" s="94">
        <v>6.0</v>
      </c>
      <c r="G7" s="95">
        <v>6.0</v>
      </c>
      <c r="H7" s="95">
        <v>0.0</v>
      </c>
    </row>
    <row r="8">
      <c r="A8" s="92" t="s">
        <v>302</v>
      </c>
      <c r="B8" s="95">
        <v>5.333333333333333</v>
      </c>
      <c r="C8" s="95">
        <v>0.0</v>
      </c>
      <c r="D8" s="95">
        <v>0.0</v>
      </c>
      <c r="E8" s="95">
        <v>0.0</v>
      </c>
      <c r="F8" s="94">
        <v>5.333333333333333</v>
      </c>
      <c r="G8" s="95">
        <v>0.0</v>
      </c>
      <c r="H8" s="95">
        <v>0.0</v>
      </c>
    </row>
    <row r="9">
      <c r="A9" s="92" t="s">
        <v>267</v>
      </c>
      <c r="B9" s="95">
        <v>7.2727272727272725</v>
      </c>
      <c r="C9" s="95">
        <v>0.0</v>
      </c>
      <c r="D9" s="95">
        <v>0.0</v>
      </c>
      <c r="E9" s="95">
        <v>0.7619047619047619</v>
      </c>
      <c r="F9" s="94">
        <v>5.054736842105264</v>
      </c>
      <c r="G9" s="95">
        <v>0.798</v>
      </c>
      <c r="H9" s="95">
        <v>0.8421052631578947</v>
      </c>
    </row>
    <row r="10">
      <c r="A10" s="92" t="s">
        <v>216</v>
      </c>
      <c r="B10" s="95">
        <v>12.203389830508474</v>
      </c>
      <c r="C10" s="95">
        <v>0.3389830508474576</v>
      </c>
      <c r="D10" s="95">
        <v>5.333333333333333</v>
      </c>
      <c r="E10" s="95">
        <v>2.6666666666666665</v>
      </c>
      <c r="F10" s="94">
        <v>4.363636363636363</v>
      </c>
      <c r="G10" s="95">
        <v>0.0</v>
      </c>
      <c r="H10" s="95">
        <v>0.0</v>
      </c>
    </row>
    <row r="11">
      <c r="A11" s="92" t="s">
        <v>230</v>
      </c>
      <c r="B11" s="95">
        <v>10.256410256410257</v>
      </c>
      <c r="C11" s="95">
        <v>0.0</v>
      </c>
      <c r="D11" s="95">
        <v>0.0</v>
      </c>
      <c r="E11" s="95">
        <v>2.0025</v>
      </c>
      <c r="F11" s="94">
        <v>4.266666666666667</v>
      </c>
      <c r="G11" s="95">
        <v>2.0025</v>
      </c>
      <c r="H11" s="95">
        <v>0.9975</v>
      </c>
    </row>
    <row r="12">
      <c r="A12" s="92" t="s">
        <v>236</v>
      </c>
      <c r="B12" s="95">
        <v>9.35064935064935</v>
      </c>
      <c r="C12" s="95">
        <v>0.0</v>
      </c>
      <c r="D12" s="95">
        <v>0.0</v>
      </c>
      <c r="E12" s="95">
        <v>0.0</v>
      </c>
      <c r="F12" s="94">
        <v>4.266666666666667</v>
      </c>
      <c r="G12" s="95">
        <v>4.266666666666667</v>
      </c>
      <c r="H12" s="95">
        <v>1.0666666666666667</v>
      </c>
    </row>
    <row r="13">
      <c r="A13" s="92" t="s">
        <v>291</v>
      </c>
      <c r="B13" s="95">
        <v>5.711428571428571</v>
      </c>
      <c r="C13" s="95">
        <v>0.28285714285714286</v>
      </c>
      <c r="D13" s="95">
        <v>0.0</v>
      </c>
      <c r="E13" s="95">
        <v>0.0</v>
      </c>
      <c r="F13" s="94">
        <v>4.003333333333333</v>
      </c>
      <c r="G13" s="95">
        <v>1.33</v>
      </c>
      <c r="H13" s="95">
        <v>1.064</v>
      </c>
    </row>
    <row r="14">
      <c r="A14" s="92" t="s">
        <v>198</v>
      </c>
      <c r="B14" s="95">
        <v>31.189830508474575</v>
      </c>
      <c r="C14" s="95">
        <v>0.8440677966101695</v>
      </c>
      <c r="D14" s="95">
        <v>12.521739130434783</v>
      </c>
      <c r="E14" s="95">
        <v>8.67</v>
      </c>
      <c r="F14" s="94">
        <v>4.0</v>
      </c>
      <c r="G14" s="95">
        <v>1.3878260869565218</v>
      </c>
      <c r="H14" s="95">
        <v>4.67</v>
      </c>
    </row>
    <row r="15">
      <c r="A15" s="92" t="s">
        <v>217</v>
      </c>
      <c r="B15" s="95">
        <v>12.121212121212121</v>
      </c>
      <c r="C15" s="95">
        <v>1.2121212121212122</v>
      </c>
      <c r="D15" s="95">
        <v>0.0</v>
      </c>
      <c r="E15" s="95">
        <v>4.8</v>
      </c>
      <c r="F15" s="94">
        <v>4.0</v>
      </c>
      <c r="G15" s="95">
        <v>-0.8</v>
      </c>
      <c r="H15" s="95">
        <v>4.2105263157894735</v>
      </c>
    </row>
    <row r="16">
      <c r="A16" s="92" t="s">
        <v>260</v>
      </c>
      <c r="B16" s="95">
        <v>8.0</v>
      </c>
      <c r="C16" s="95">
        <v>0.0</v>
      </c>
      <c r="D16" s="95">
        <v>0.0</v>
      </c>
      <c r="E16" s="95">
        <v>0.0</v>
      </c>
      <c r="F16" s="94">
        <v>4.0</v>
      </c>
      <c r="G16" s="95">
        <v>0.0</v>
      </c>
      <c r="H16" s="95">
        <v>4.0</v>
      </c>
    </row>
    <row r="17">
      <c r="A17" s="92" t="s">
        <v>337</v>
      </c>
      <c r="B17" s="95">
        <v>4.0</v>
      </c>
      <c r="C17" s="95">
        <v>0.0</v>
      </c>
      <c r="D17" s="95">
        <v>0.0</v>
      </c>
      <c r="E17" s="95">
        <v>0.0</v>
      </c>
      <c r="F17" s="94">
        <v>4.0</v>
      </c>
      <c r="G17" s="95">
        <v>0.0</v>
      </c>
      <c r="H17" s="95">
        <v>0.0</v>
      </c>
    </row>
    <row r="18">
      <c r="A18" s="92" t="s">
        <v>248</v>
      </c>
      <c r="B18" s="95">
        <v>8.333333333333334</v>
      </c>
      <c r="C18" s="95">
        <v>2.0833333333333335</v>
      </c>
      <c r="D18" s="95">
        <v>0.0</v>
      </c>
      <c r="E18" s="95">
        <v>2.6666666666666665</v>
      </c>
      <c r="F18" s="94">
        <v>3.8095238095238093</v>
      </c>
      <c r="G18" s="95">
        <v>-1.6842105263157894</v>
      </c>
      <c r="H18" s="95">
        <v>3.5555555555555554</v>
      </c>
    </row>
    <row r="19">
      <c r="A19" s="92" t="s">
        <v>279</v>
      </c>
      <c r="B19" s="95">
        <v>6.4646464646464645</v>
      </c>
      <c r="C19" s="95">
        <v>0.0</v>
      </c>
      <c r="D19" s="95">
        <v>0.0</v>
      </c>
      <c r="E19" s="95">
        <v>0.0</v>
      </c>
      <c r="F19" s="94">
        <v>3.3684210526315788</v>
      </c>
      <c r="G19" s="95">
        <v>2.4</v>
      </c>
      <c r="H19" s="95">
        <v>0.8421052631578947</v>
      </c>
    </row>
    <row r="20">
      <c r="A20" s="92" t="s">
        <v>211</v>
      </c>
      <c r="B20" s="95">
        <v>12.8</v>
      </c>
      <c r="C20" s="95">
        <v>0.2</v>
      </c>
      <c r="D20" s="95">
        <v>5.6</v>
      </c>
      <c r="E20" s="95">
        <v>2.4</v>
      </c>
      <c r="F20" s="94">
        <v>3.2</v>
      </c>
      <c r="G20" s="95">
        <v>1.6</v>
      </c>
      <c r="H20" s="95">
        <v>0.0</v>
      </c>
    </row>
    <row r="21">
      <c r="A21" s="92" t="s">
        <v>266</v>
      </c>
      <c r="B21" s="95">
        <v>7.422680412371134</v>
      </c>
      <c r="C21" s="95">
        <v>0.6185567010309279</v>
      </c>
      <c r="D21" s="95">
        <v>3.3684210526315788</v>
      </c>
      <c r="E21" s="95">
        <v>0.8</v>
      </c>
      <c r="F21" s="94">
        <v>3.2</v>
      </c>
      <c r="G21" s="95">
        <v>0.8</v>
      </c>
      <c r="H21" s="95">
        <v>-0.8888888888888888</v>
      </c>
    </row>
    <row r="22">
      <c r="A22" s="92" t="s">
        <v>215</v>
      </c>
      <c r="B22" s="95">
        <v>12.244897959183673</v>
      </c>
      <c r="C22" s="95">
        <v>0.0</v>
      </c>
      <c r="D22" s="95">
        <v>0.0</v>
      </c>
      <c r="E22" s="95">
        <v>0.0</v>
      </c>
      <c r="F22" s="94">
        <v>3.2</v>
      </c>
      <c r="G22" s="95">
        <v>8.380952380952381</v>
      </c>
      <c r="H22" s="95">
        <v>0.0</v>
      </c>
    </row>
    <row r="23">
      <c r="A23" s="92" t="s">
        <v>233</v>
      </c>
      <c r="B23" s="95">
        <v>10.0</v>
      </c>
      <c r="C23" s="95">
        <v>0.0</v>
      </c>
      <c r="D23" s="95">
        <v>2.0</v>
      </c>
      <c r="E23" s="95">
        <v>0.0</v>
      </c>
      <c r="F23" s="94">
        <v>3.0</v>
      </c>
      <c r="G23" s="95">
        <v>5.0</v>
      </c>
      <c r="H23" s="95">
        <v>0.0</v>
      </c>
    </row>
    <row r="24">
      <c r="A24" s="92" t="s">
        <v>275</v>
      </c>
      <c r="B24" s="95">
        <v>6.666666666666667</v>
      </c>
      <c r="C24" s="95">
        <v>0.0</v>
      </c>
      <c r="D24" s="95">
        <v>2.6666666666666665</v>
      </c>
      <c r="E24" s="95">
        <v>1.3333333333333333</v>
      </c>
      <c r="F24" s="94">
        <v>2.6666666666666665</v>
      </c>
      <c r="G24" s="95">
        <v>0.0</v>
      </c>
      <c r="H24" s="95">
        <v>0.0</v>
      </c>
    </row>
    <row r="25">
      <c r="A25" s="92" t="s">
        <v>210</v>
      </c>
      <c r="B25" s="95">
        <v>12.802000000000001</v>
      </c>
      <c r="C25" s="95">
        <v>0.602</v>
      </c>
      <c r="D25" s="95">
        <v>0.0</v>
      </c>
      <c r="E25" s="95">
        <v>9.6</v>
      </c>
      <c r="F25" s="94">
        <v>2.402</v>
      </c>
      <c r="G25" s="95">
        <v>0.8</v>
      </c>
      <c r="H25" s="95">
        <v>0.0</v>
      </c>
    </row>
    <row r="26">
      <c r="A26" s="92" t="s">
        <v>311</v>
      </c>
      <c r="B26" s="95">
        <v>4.8</v>
      </c>
      <c r="C26" s="95">
        <v>0.4</v>
      </c>
      <c r="D26" s="95">
        <v>0.0</v>
      </c>
      <c r="E26" s="95">
        <v>2.4</v>
      </c>
      <c r="F26" s="94">
        <v>2.4</v>
      </c>
      <c r="G26" s="95">
        <v>0.0</v>
      </c>
      <c r="H26" s="95">
        <v>0.0</v>
      </c>
    </row>
    <row r="27">
      <c r="A27" s="92" t="s">
        <v>293</v>
      </c>
      <c r="B27" s="95">
        <v>5.6</v>
      </c>
      <c r="C27" s="95">
        <v>0.8</v>
      </c>
      <c r="D27" s="95">
        <v>-0.8</v>
      </c>
      <c r="E27" s="95">
        <v>0.8</v>
      </c>
      <c r="F27" s="94">
        <v>2.4</v>
      </c>
      <c r="G27" s="95">
        <v>0.8</v>
      </c>
      <c r="H27" s="95">
        <v>2.4</v>
      </c>
    </row>
    <row r="28">
      <c r="A28" s="92" t="s">
        <v>321</v>
      </c>
      <c r="B28" s="95">
        <v>4.081632653061225</v>
      </c>
      <c r="C28" s="95">
        <v>0.6122448979591836</v>
      </c>
      <c r="D28" s="95">
        <v>0.0</v>
      </c>
      <c r="E28" s="95">
        <v>0.0</v>
      </c>
      <c r="F28" s="94">
        <v>2.4</v>
      </c>
      <c r="G28" s="95">
        <v>2.526315789473684</v>
      </c>
      <c r="H28" s="95">
        <v>-0.8421052631578947</v>
      </c>
    </row>
    <row r="29">
      <c r="A29" s="92" t="s">
        <v>336</v>
      </c>
      <c r="B29" s="95">
        <v>4.0</v>
      </c>
      <c r="C29" s="95">
        <v>0.0</v>
      </c>
      <c r="D29" s="95">
        <v>0.0</v>
      </c>
      <c r="E29" s="95">
        <v>0.0</v>
      </c>
      <c r="F29" s="94">
        <v>2.4</v>
      </c>
      <c r="G29" s="95">
        <v>1.6</v>
      </c>
      <c r="H29" s="95">
        <v>0.0</v>
      </c>
    </row>
    <row r="30">
      <c r="A30" s="92" t="s">
        <v>370</v>
      </c>
      <c r="B30" s="95">
        <v>2.4</v>
      </c>
      <c r="C30" s="95">
        <v>0.0</v>
      </c>
      <c r="D30" s="95">
        <v>0.0</v>
      </c>
      <c r="E30" s="95">
        <v>0.0</v>
      </c>
      <c r="F30" s="94">
        <v>2.4</v>
      </c>
      <c r="G30" s="95">
        <v>0.0</v>
      </c>
      <c r="H30" s="95">
        <v>0.0</v>
      </c>
    </row>
    <row r="31">
      <c r="A31" s="92" t="s">
        <v>218</v>
      </c>
      <c r="B31" s="95">
        <v>12.121212121212121</v>
      </c>
      <c r="C31" s="95">
        <v>1.0101010101010102</v>
      </c>
      <c r="D31" s="95">
        <v>0.0</v>
      </c>
      <c r="E31" s="95">
        <v>8.571428571428571</v>
      </c>
      <c r="F31" s="94">
        <v>2.1052631578947367</v>
      </c>
      <c r="G31" s="95">
        <v>1.0526315789473684</v>
      </c>
      <c r="H31" s="95">
        <v>3.1578947368421053</v>
      </c>
    </row>
    <row r="32">
      <c r="A32" s="92" t="s">
        <v>219</v>
      </c>
      <c r="B32" s="95">
        <v>11.625641025641027</v>
      </c>
      <c r="C32" s="95">
        <v>1.0256410256410258</v>
      </c>
      <c r="D32" s="95">
        <v>5.563478260869565</v>
      </c>
      <c r="E32" s="95">
        <v>0.6666666666666666</v>
      </c>
      <c r="F32" s="94">
        <v>2.0016666666666665</v>
      </c>
      <c r="G32" s="95">
        <v>1.3316666666666668</v>
      </c>
      <c r="H32" s="95">
        <v>2.18</v>
      </c>
    </row>
    <row r="33">
      <c r="A33" s="92" t="s">
        <v>340</v>
      </c>
      <c r="B33" s="95">
        <v>4.0</v>
      </c>
      <c r="C33" s="95">
        <v>0.5</v>
      </c>
      <c r="D33" s="95">
        <v>0.0</v>
      </c>
      <c r="E33" s="95">
        <v>4.0</v>
      </c>
      <c r="F33" s="94">
        <v>2.0</v>
      </c>
      <c r="G33" s="95">
        <v>-2.0</v>
      </c>
      <c r="H33" s="95">
        <v>0.0</v>
      </c>
    </row>
    <row r="34">
      <c r="A34" s="92" t="s">
        <v>271</v>
      </c>
      <c r="B34" s="95">
        <v>7.0886075949367084</v>
      </c>
      <c r="C34" s="95">
        <v>0.5063291139240506</v>
      </c>
      <c r="D34" s="95">
        <v>2.0</v>
      </c>
      <c r="E34" s="95">
        <v>2.0</v>
      </c>
      <c r="F34" s="94">
        <v>2.0</v>
      </c>
      <c r="G34" s="95">
        <v>0.0</v>
      </c>
      <c r="H34" s="95">
        <v>1.0666666666666667</v>
      </c>
    </row>
    <row r="35">
      <c r="A35" s="92" t="s">
        <v>222</v>
      </c>
      <c r="B35" s="95">
        <v>11.272995780590715</v>
      </c>
      <c r="C35" s="95">
        <v>1.459915611814346</v>
      </c>
      <c r="D35" s="95">
        <v>1.00125</v>
      </c>
      <c r="E35" s="95">
        <v>0.0</v>
      </c>
      <c r="F35" s="94">
        <v>2.0</v>
      </c>
      <c r="G35" s="95">
        <v>3.50125</v>
      </c>
      <c r="H35" s="95">
        <v>4.8</v>
      </c>
    </row>
    <row r="36">
      <c r="A36" s="92" t="s">
        <v>324</v>
      </c>
      <c r="B36" s="95">
        <v>4.0506329113924044</v>
      </c>
      <c r="C36" s="95">
        <v>0.0</v>
      </c>
      <c r="D36" s="95">
        <v>0.0</v>
      </c>
      <c r="E36" s="95">
        <v>0.0</v>
      </c>
      <c r="F36" s="94">
        <v>2.0</v>
      </c>
      <c r="G36" s="95">
        <v>2.0</v>
      </c>
      <c r="H36" s="95">
        <v>0.0</v>
      </c>
    </row>
    <row r="37">
      <c r="A37" s="92" t="s">
        <v>373</v>
      </c>
      <c r="B37" s="95">
        <v>2.162162162162162</v>
      </c>
      <c r="C37" s="95">
        <v>0.0</v>
      </c>
      <c r="D37" s="95">
        <v>0.0</v>
      </c>
      <c r="E37" s="95">
        <v>0.0</v>
      </c>
      <c r="F37" s="94">
        <v>2.0</v>
      </c>
      <c r="G37" s="95">
        <v>0.0</v>
      </c>
      <c r="H37" s="95">
        <v>0.0</v>
      </c>
    </row>
    <row r="38">
      <c r="A38" s="92" t="s">
        <v>382</v>
      </c>
      <c r="B38" s="95">
        <v>2.0</v>
      </c>
      <c r="C38" s="95">
        <v>0.0</v>
      </c>
      <c r="D38" s="95">
        <v>0.0</v>
      </c>
      <c r="E38" s="95">
        <v>0.0</v>
      </c>
      <c r="F38" s="94">
        <v>2.0</v>
      </c>
      <c r="G38" s="95">
        <v>0.0</v>
      </c>
      <c r="H38" s="95">
        <v>0.0</v>
      </c>
    </row>
    <row r="39">
      <c r="A39" s="92" t="s">
        <v>383</v>
      </c>
      <c r="B39" s="95">
        <v>2.0</v>
      </c>
      <c r="C39" s="95">
        <v>0.0</v>
      </c>
      <c r="D39" s="95">
        <v>0.0</v>
      </c>
      <c r="E39" s="95">
        <v>0.0</v>
      </c>
      <c r="F39" s="94">
        <v>2.0</v>
      </c>
      <c r="G39" s="95">
        <v>0.0</v>
      </c>
      <c r="H39" s="95">
        <v>0.0</v>
      </c>
    </row>
    <row r="40">
      <c r="A40" s="92" t="s">
        <v>287</v>
      </c>
      <c r="B40" s="95">
        <v>5.818181818181818</v>
      </c>
      <c r="C40" s="95">
        <v>0.36363636363636365</v>
      </c>
      <c r="D40" s="95">
        <v>0.0</v>
      </c>
      <c r="E40" s="95">
        <v>1.4545454545454546</v>
      </c>
      <c r="F40" s="94">
        <v>1.7777777777777777</v>
      </c>
      <c r="G40" s="95">
        <v>1.6</v>
      </c>
      <c r="H40" s="95">
        <v>1.3333333333333333</v>
      </c>
    </row>
    <row r="41">
      <c r="A41" s="92" t="s">
        <v>286</v>
      </c>
      <c r="B41" s="95">
        <v>5.8968421052631586</v>
      </c>
      <c r="C41" s="95">
        <v>0.0</v>
      </c>
      <c r="D41" s="95">
        <v>0.0</v>
      </c>
      <c r="E41" s="95">
        <v>1.6842105263157894</v>
      </c>
      <c r="F41" s="94">
        <v>1.7755555555555556</v>
      </c>
      <c r="G41" s="95">
        <v>0.0</v>
      </c>
      <c r="H41" s="95">
        <v>2.5242105263157897</v>
      </c>
    </row>
    <row r="42">
      <c r="A42" s="92" t="s">
        <v>207</v>
      </c>
      <c r="B42" s="95">
        <v>14.545454545454545</v>
      </c>
      <c r="C42" s="95">
        <v>0.6060606060606061</v>
      </c>
      <c r="D42" s="95">
        <v>3.5555555555555554</v>
      </c>
      <c r="E42" s="95">
        <v>6.4</v>
      </c>
      <c r="F42" s="94">
        <v>1.6</v>
      </c>
      <c r="G42" s="95">
        <v>0.0</v>
      </c>
      <c r="H42" s="95">
        <v>3.0476190476190474</v>
      </c>
    </row>
    <row r="43">
      <c r="A43" s="92" t="s">
        <v>244</v>
      </c>
      <c r="B43" s="95">
        <v>8.88888888888889</v>
      </c>
      <c r="C43" s="95">
        <v>0.608080808080808</v>
      </c>
      <c r="D43" s="95">
        <v>0.0</v>
      </c>
      <c r="E43" s="95">
        <v>6.4</v>
      </c>
      <c r="F43" s="94">
        <v>1.6</v>
      </c>
      <c r="G43" s="95">
        <v>0.7619047619047619</v>
      </c>
      <c r="H43" s="95">
        <v>0.0</v>
      </c>
    </row>
    <row r="44">
      <c r="A44" s="92" t="s">
        <v>208</v>
      </c>
      <c r="B44" s="95">
        <v>13.061224489795917</v>
      </c>
      <c r="C44" s="95">
        <v>0.4081632653061224</v>
      </c>
      <c r="D44" s="95">
        <v>5.052631578947368</v>
      </c>
      <c r="E44" s="95">
        <v>4.8</v>
      </c>
      <c r="F44" s="94">
        <v>1.6</v>
      </c>
      <c r="G44" s="95">
        <v>0.8421052631578947</v>
      </c>
      <c r="H44" s="95">
        <v>0.8</v>
      </c>
    </row>
    <row r="45">
      <c r="A45" s="92" t="s">
        <v>213</v>
      </c>
      <c r="B45" s="95">
        <v>12.244897959183673</v>
      </c>
      <c r="C45" s="95">
        <v>0.6122448979591836</v>
      </c>
      <c r="D45" s="95">
        <v>2.526315789473684</v>
      </c>
      <c r="E45" s="95">
        <v>4.0</v>
      </c>
      <c r="F45" s="94">
        <v>1.6</v>
      </c>
      <c r="G45" s="95">
        <v>-0.8</v>
      </c>
      <c r="H45" s="95">
        <v>5.052631578947368</v>
      </c>
    </row>
    <row r="46">
      <c r="A46" s="92" t="s">
        <v>242</v>
      </c>
      <c r="B46" s="95">
        <v>8.88888888888889</v>
      </c>
      <c r="C46" s="95">
        <v>1.0101010101010102</v>
      </c>
      <c r="D46" s="95">
        <v>1.6</v>
      </c>
      <c r="E46" s="95">
        <v>1.6842105263157894</v>
      </c>
      <c r="F46" s="94">
        <v>1.6</v>
      </c>
      <c r="G46" s="95">
        <v>0.0</v>
      </c>
      <c r="H46" s="95">
        <v>4.0</v>
      </c>
    </row>
    <row r="47">
      <c r="A47" s="92" t="s">
        <v>320</v>
      </c>
      <c r="B47" s="95">
        <v>4.081632653061225</v>
      </c>
      <c r="C47" s="95">
        <v>0.2040816326530612</v>
      </c>
      <c r="D47" s="95">
        <v>0.0</v>
      </c>
      <c r="E47" s="95">
        <v>1.6</v>
      </c>
      <c r="F47" s="94">
        <v>1.6</v>
      </c>
      <c r="G47" s="95">
        <v>0.8421052631578947</v>
      </c>
      <c r="H47" s="95">
        <v>0.0</v>
      </c>
    </row>
    <row r="48">
      <c r="A48" s="92" t="s">
        <v>295</v>
      </c>
      <c r="B48" s="95">
        <v>5.6</v>
      </c>
      <c r="C48" s="95">
        <v>0.2</v>
      </c>
      <c r="D48" s="95">
        <v>3.2</v>
      </c>
      <c r="E48" s="95">
        <v>0.0</v>
      </c>
      <c r="F48" s="94">
        <v>1.6</v>
      </c>
      <c r="G48" s="95">
        <v>0.0</v>
      </c>
      <c r="H48" s="95">
        <v>0.8</v>
      </c>
    </row>
    <row r="49">
      <c r="A49" s="92" t="s">
        <v>364</v>
      </c>
      <c r="B49" s="95">
        <v>2.4242424242424243</v>
      </c>
      <c r="C49" s="95">
        <v>0.20202020202020202</v>
      </c>
      <c r="D49" s="95">
        <v>0.0</v>
      </c>
      <c r="E49" s="95">
        <v>0.0</v>
      </c>
      <c r="F49" s="94">
        <v>1.6</v>
      </c>
      <c r="G49" s="95">
        <v>0.0</v>
      </c>
      <c r="H49" s="95">
        <v>0.8421052631578947</v>
      </c>
    </row>
    <row r="50">
      <c r="A50" s="92" t="s">
        <v>310</v>
      </c>
      <c r="B50" s="95">
        <v>4.8</v>
      </c>
      <c r="C50" s="95">
        <v>0.0</v>
      </c>
      <c r="D50" s="95">
        <v>0.0</v>
      </c>
      <c r="E50" s="95">
        <v>0.0</v>
      </c>
      <c r="F50" s="94">
        <v>1.6</v>
      </c>
      <c r="G50" s="95">
        <v>3.3684210526315788</v>
      </c>
      <c r="H50" s="95">
        <v>0.0</v>
      </c>
    </row>
    <row r="51">
      <c r="A51" s="92" t="s">
        <v>338</v>
      </c>
      <c r="B51" s="95">
        <v>4.0</v>
      </c>
      <c r="C51" s="95">
        <v>0.0</v>
      </c>
      <c r="D51" s="95">
        <v>0.0</v>
      </c>
      <c r="E51" s="95">
        <v>2.4615384615384617</v>
      </c>
      <c r="F51" s="94">
        <v>1.3333333333333333</v>
      </c>
      <c r="G51" s="95">
        <v>0.0</v>
      </c>
      <c r="H51" s="95">
        <v>0.0</v>
      </c>
    </row>
    <row r="52">
      <c r="A52" s="92" t="s">
        <v>262</v>
      </c>
      <c r="B52" s="95">
        <v>8.0</v>
      </c>
      <c r="C52" s="95">
        <v>0.3333333333333333</v>
      </c>
      <c r="D52" s="95">
        <v>0.0</v>
      </c>
      <c r="E52" s="95">
        <v>1.3333333333333333</v>
      </c>
      <c r="F52" s="94">
        <v>1.3333333333333333</v>
      </c>
      <c r="G52" s="95">
        <v>5.333333333333333</v>
      </c>
      <c r="H52" s="95">
        <v>0.0</v>
      </c>
    </row>
    <row r="53">
      <c r="A53" s="92" t="s">
        <v>312</v>
      </c>
      <c r="B53" s="95">
        <v>4.574285714285715</v>
      </c>
      <c r="C53" s="95">
        <v>0.0</v>
      </c>
      <c r="D53" s="95">
        <v>0.9975</v>
      </c>
      <c r="E53" s="95">
        <v>1.064</v>
      </c>
      <c r="F53" s="94">
        <v>1.3333333333333333</v>
      </c>
      <c r="G53" s="95">
        <v>0.0</v>
      </c>
      <c r="H53" s="95">
        <v>1.0666666666666667</v>
      </c>
    </row>
    <row r="54">
      <c r="A54" s="92" t="s">
        <v>351</v>
      </c>
      <c r="B54" s="95">
        <v>2.7586206896551726</v>
      </c>
      <c r="C54" s="95">
        <v>0.0</v>
      </c>
      <c r="D54" s="95">
        <v>0.0</v>
      </c>
      <c r="E54" s="95">
        <v>0.0</v>
      </c>
      <c r="F54" s="94">
        <v>1.3333333333333333</v>
      </c>
      <c r="G54" s="95">
        <v>0.0</v>
      </c>
      <c r="H54" s="95">
        <v>1.4545454545454546</v>
      </c>
    </row>
    <row r="55">
      <c r="A55" s="92" t="s">
        <v>278</v>
      </c>
      <c r="B55" s="95">
        <v>2.67</v>
      </c>
      <c r="C55" s="95">
        <v>3.0</v>
      </c>
      <c r="D55" s="95">
        <v>0.0</v>
      </c>
      <c r="E55" s="95">
        <v>-1.33</v>
      </c>
      <c r="F55" s="94">
        <v>1.33</v>
      </c>
      <c r="G55" s="95">
        <v>2.67</v>
      </c>
      <c r="H55" s="95">
        <v>0.0</v>
      </c>
    </row>
    <row r="56">
      <c r="A56" s="92" t="s">
        <v>353</v>
      </c>
      <c r="B56" s="95">
        <v>1.0256410256410258</v>
      </c>
      <c r="C56" s="95">
        <v>0.5128205128205128</v>
      </c>
      <c r="D56" s="95">
        <v>0.0</v>
      </c>
      <c r="E56" s="95">
        <v>0.0</v>
      </c>
      <c r="F56" s="94">
        <v>1.25</v>
      </c>
      <c r="G56" s="95">
        <v>-1.3333333333333333</v>
      </c>
      <c r="H56" s="95">
        <v>1.3333333333333333</v>
      </c>
    </row>
    <row r="57">
      <c r="A57" s="92" t="s">
        <v>372</v>
      </c>
      <c r="B57" s="95">
        <v>2.191780821917808</v>
      </c>
      <c r="C57" s="95">
        <v>0.273972602739726</v>
      </c>
      <c r="D57" s="95">
        <v>0.0</v>
      </c>
      <c r="E57" s="95">
        <v>0.0</v>
      </c>
      <c r="F57" s="94">
        <v>1.0666666666666667</v>
      </c>
      <c r="G57" s="95">
        <v>0.0</v>
      </c>
      <c r="H57" s="95">
        <v>1.0666666666666667</v>
      </c>
    </row>
    <row r="58">
      <c r="A58" s="92" t="s">
        <v>265</v>
      </c>
      <c r="B58" s="95">
        <v>7.57027027027027</v>
      </c>
      <c r="C58" s="95">
        <v>0.5378378378378378</v>
      </c>
      <c r="D58" s="95">
        <v>2.0025</v>
      </c>
      <c r="E58" s="95">
        <v>3.2</v>
      </c>
      <c r="F58" s="94">
        <v>1.0025</v>
      </c>
      <c r="G58" s="95">
        <v>1.2276923076923079</v>
      </c>
      <c r="H58" s="95">
        <v>0.0</v>
      </c>
    </row>
    <row r="59">
      <c r="A59" s="92" t="s">
        <v>228</v>
      </c>
      <c r="B59" s="95">
        <v>10.4</v>
      </c>
      <c r="C59" s="95">
        <v>0.4</v>
      </c>
      <c r="D59" s="95">
        <v>2.0</v>
      </c>
      <c r="E59" s="95">
        <v>5.0</v>
      </c>
      <c r="F59" s="94">
        <v>1.0</v>
      </c>
      <c r="G59" s="95">
        <v>4.0</v>
      </c>
      <c r="H59" s="95">
        <v>1.0</v>
      </c>
    </row>
    <row r="60">
      <c r="A60" s="92" t="s">
        <v>229</v>
      </c>
      <c r="B60" s="95">
        <v>10.38961038961039</v>
      </c>
      <c r="C60" s="95">
        <v>0.0</v>
      </c>
      <c r="D60" s="95">
        <v>0.0</v>
      </c>
      <c r="E60" s="95">
        <v>3.0</v>
      </c>
      <c r="F60" s="94">
        <v>1.0</v>
      </c>
      <c r="G60" s="95">
        <v>0.0</v>
      </c>
      <c r="H60" s="95">
        <v>6.857142857142857</v>
      </c>
    </row>
    <row r="61">
      <c r="A61" s="92" t="s">
        <v>281</v>
      </c>
      <c r="B61" s="95">
        <v>6.0</v>
      </c>
      <c r="C61" s="95">
        <v>0.0</v>
      </c>
      <c r="D61" s="95">
        <v>0.0</v>
      </c>
      <c r="E61" s="95">
        <v>1.0</v>
      </c>
      <c r="F61" s="94">
        <v>1.0</v>
      </c>
      <c r="G61" s="95">
        <v>2.0</v>
      </c>
      <c r="H61" s="95">
        <v>2.0</v>
      </c>
    </row>
    <row r="62">
      <c r="A62" s="92" t="s">
        <v>335</v>
      </c>
      <c r="B62" s="95">
        <v>4.0</v>
      </c>
      <c r="C62" s="95">
        <v>0.0</v>
      </c>
      <c r="D62" s="95">
        <v>0.0</v>
      </c>
      <c r="E62" s="95">
        <v>1.0</v>
      </c>
      <c r="F62" s="94">
        <v>1.0</v>
      </c>
      <c r="G62" s="95">
        <v>2.0</v>
      </c>
      <c r="H62" s="95">
        <v>0.0</v>
      </c>
    </row>
    <row r="63">
      <c r="A63" s="92" t="s">
        <v>318</v>
      </c>
      <c r="B63" s="95">
        <v>4.102564102564103</v>
      </c>
      <c r="C63" s="95">
        <v>0.5128205128205129</v>
      </c>
      <c r="D63" s="95">
        <v>1.0666666666666667</v>
      </c>
      <c r="E63" s="95">
        <v>0.0</v>
      </c>
      <c r="F63" s="94">
        <v>1.0</v>
      </c>
      <c r="G63" s="95">
        <v>1.0</v>
      </c>
      <c r="H63" s="95">
        <v>1.0666666666666667</v>
      </c>
    </row>
    <row r="64">
      <c r="A64" s="92" t="s">
        <v>381</v>
      </c>
      <c r="B64" s="95">
        <v>2.0</v>
      </c>
      <c r="C64" s="95">
        <v>0.0</v>
      </c>
      <c r="D64" s="95">
        <v>0.0</v>
      </c>
      <c r="E64" s="95">
        <v>0.0</v>
      </c>
      <c r="F64" s="94">
        <v>1.0</v>
      </c>
      <c r="G64" s="95">
        <v>1.0</v>
      </c>
      <c r="H64" s="95">
        <v>0.0</v>
      </c>
    </row>
    <row r="65">
      <c r="A65" s="92" t="s">
        <v>361</v>
      </c>
      <c r="B65" s="95">
        <v>2.55531914893617</v>
      </c>
      <c r="C65" s="95">
        <v>0.0</v>
      </c>
      <c r="D65" s="95">
        <v>0.0</v>
      </c>
      <c r="E65" s="95">
        <v>1.6821052631578948</v>
      </c>
      <c r="F65" s="94">
        <v>0.8866666666666667</v>
      </c>
      <c r="G65" s="95">
        <v>0.0</v>
      </c>
      <c r="H65" s="95">
        <v>0.0</v>
      </c>
    </row>
    <row r="66">
      <c r="A66" s="92" t="s">
        <v>227</v>
      </c>
      <c r="B66" s="95">
        <v>10.505050505050505</v>
      </c>
      <c r="C66" s="95">
        <v>0.6060606060606061</v>
      </c>
      <c r="D66" s="95">
        <v>0.8</v>
      </c>
      <c r="E66" s="95">
        <v>6.095238095238095</v>
      </c>
      <c r="F66" s="94">
        <v>0.8421052631578947</v>
      </c>
      <c r="G66" s="95">
        <v>1.6</v>
      </c>
      <c r="H66" s="95">
        <v>0.8421052631578947</v>
      </c>
    </row>
    <row r="67">
      <c r="A67" s="92" t="s">
        <v>342</v>
      </c>
      <c r="B67" s="95">
        <v>3.404255319148936</v>
      </c>
      <c r="C67" s="95">
        <v>0.0</v>
      </c>
      <c r="D67" s="95">
        <v>0.0</v>
      </c>
      <c r="E67" s="95">
        <v>1.7777777777777777</v>
      </c>
      <c r="F67" s="94">
        <v>0.8421052631578947</v>
      </c>
      <c r="G67" s="95">
        <v>0.8421052631578947</v>
      </c>
      <c r="H67" s="95">
        <v>0.0</v>
      </c>
    </row>
    <row r="68">
      <c r="A68" s="92" t="s">
        <v>235</v>
      </c>
      <c r="B68" s="95">
        <v>9.361702127659575</v>
      </c>
      <c r="C68" s="95">
        <v>0.0</v>
      </c>
      <c r="D68" s="95">
        <v>1.6842105263157894</v>
      </c>
      <c r="E68" s="95">
        <v>0.8888888888888888</v>
      </c>
      <c r="F68" s="94">
        <v>0.8421052631578947</v>
      </c>
      <c r="G68" s="95">
        <v>3.3684210526315788</v>
      </c>
      <c r="H68" s="95">
        <v>2.526315789473684</v>
      </c>
    </row>
    <row r="69">
      <c r="A69" s="92" t="s">
        <v>257</v>
      </c>
      <c r="B69" s="95">
        <v>8.078787878787878</v>
      </c>
      <c r="C69" s="95">
        <v>0.0</v>
      </c>
      <c r="D69" s="95">
        <v>0.0</v>
      </c>
      <c r="E69" s="95">
        <v>2.283809523809524</v>
      </c>
      <c r="F69" s="94">
        <v>0.8400000000000001</v>
      </c>
      <c r="G69" s="95">
        <v>4.8020000000000005</v>
      </c>
      <c r="H69" s="95">
        <v>0.0</v>
      </c>
    </row>
    <row r="70">
      <c r="A70" s="92" t="s">
        <v>251</v>
      </c>
      <c r="B70" s="95">
        <v>8.147219710669077</v>
      </c>
      <c r="C70" s="95">
        <v>0.01582278481012658</v>
      </c>
      <c r="D70" s="95">
        <v>3.532970657814408</v>
      </c>
      <c r="E70" s="95">
        <v>1.4523809523809523</v>
      </c>
      <c r="F70" s="94">
        <v>0.8214285714285714</v>
      </c>
      <c r="G70" s="95">
        <v>0.5805133928571429</v>
      </c>
      <c r="H70" s="95">
        <v>1.7666666666666666</v>
      </c>
    </row>
    <row r="71">
      <c r="A71" s="92" t="s">
        <v>224</v>
      </c>
      <c r="B71" s="95">
        <v>10.612244897959183</v>
      </c>
      <c r="C71" s="95">
        <v>0.2040816326530612</v>
      </c>
      <c r="D71" s="95">
        <v>1.6842105263157894</v>
      </c>
      <c r="E71" s="95">
        <v>4.8</v>
      </c>
      <c r="F71" s="94">
        <v>0.8</v>
      </c>
      <c r="G71" s="95">
        <v>0.0</v>
      </c>
      <c r="H71" s="95">
        <v>3.2</v>
      </c>
    </row>
    <row r="72">
      <c r="A72" s="92" t="s">
        <v>261</v>
      </c>
      <c r="B72" s="95">
        <v>8.0</v>
      </c>
      <c r="C72" s="95">
        <v>0.4</v>
      </c>
      <c r="D72" s="95">
        <v>0.8</v>
      </c>
      <c r="E72" s="95">
        <v>4.0</v>
      </c>
      <c r="F72" s="94">
        <v>0.8</v>
      </c>
      <c r="G72" s="95">
        <v>0.0</v>
      </c>
      <c r="H72" s="95">
        <v>2.4</v>
      </c>
    </row>
    <row r="73">
      <c r="A73" s="92" t="s">
        <v>309</v>
      </c>
      <c r="B73" s="95">
        <v>4.848484848484849</v>
      </c>
      <c r="C73" s="95">
        <v>0.0</v>
      </c>
      <c r="D73" s="95">
        <v>0.8</v>
      </c>
      <c r="E73" s="95">
        <v>2.4</v>
      </c>
      <c r="F73" s="94">
        <v>0.8</v>
      </c>
      <c r="G73" s="95">
        <v>0.8</v>
      </c>
      <c r="H73" s="95">
        <v>0.0</v>
      </c>
    </row>
    <row r="74">
      <c r="A74" s="92" t="s">
        <v>277</v>
      </c>
      <c r="B74" s="95">
        <v>6.4646464646464645</v>
      </c>
      <c r="C74" s="95">
        <v>0.0</v>
      </c>
      <c r="D74" s="95">
        <v>0.0</v>
      </c>
      <c r="E74" s="95">
        <v>2.4</v>
      </c>
      <c r="F74" s="94">
        <v>0.8</v>
      </c>
      <c r="G74" s="95">
        <v>0.7619047619047619</v>
      </c>
      <c r="H74" s="95">
        <v>2.526315789473684</v>
      </c>
    </row>
    <row r="75">
      <c r="A75" s="92" t="s">
        <v>307</v>
      </c>
      <c r="B75" s="95">
        <v>1.6161616161616161</v>
      </c>
      <c r="C75" s="95">
        <v>0.8080808080808081</v>
      </c>
      <c r="D75" s="95">
        <v>0.0</v>
      </c>
      <c r="E75" s="95">
        <v>0.8421052631578947</v>
      </c>
      <c r="F75" s="94">
        <v>0.8</v>
      </c>
      <c r="G75" s="95">
        <v>0.0</v>
      </c>
      <c r="H75" s="95">
        <v>0.0</v>
      </c>
    </row>
    <row r="76">
      <c r="A76" s="92" t="s">
        <v>276</v>
      </c>
      <c r="B76" s="95">
        <v>6.5979381443298974</v>
      </c>
      <c r="C76" s="95">
        <v>0.2061855670103093</v>
      </c>
      <c r="D76" s="95">
        <v>0.0</v>
      </c>
      <c r="E76" s="95">
        <v>0.8</v>
      </c>
      <c r="F76" s="94">
        <v>0.8</v>
      </c>
      <c r="G76" s="95">
        <v>0.0</v>
      </c>
      <c r="H76" s="95">
        <v>5.333333333333333</v>
      </c>
    </row>
    <row r="77">
      <c r="A77" s="92" t="s">
        <v>234</v>
      </c>
      <c r="B77" s="95">
        <v>9.696969696969697</v>
      </c>
      <c r="C77" s="95">
        <v>0.0</v>
      </c>
      <c r="D77" s="95">
        <v>0.0</v>
      </c>
      <c r="E77" s="95">
        <v>0.8</v>
      </c>
      <c r="F77" s="94">
        <v>0.8</v>
      </c>
      <c r="G77" s="95">
        <v>8.0</v>
      </c>
      <c r="H77" s="95">
        <v>0.0</v>
      </c>
    </row>
    <row r="78">
      <c r="A78" s="92" t="s">
        <v>345</v>
      </c>
      <c r="B78" s="95">
        <v>3.2323232323232323</v>
      </c>
      <c r="C78" s="95">
        <v>0.0</v>
      </c>
      <c r="D78" s="95">
        <v>0.0</v>
      </c>
      <c r="E78" s="95">
        <v>0.8</v>
      </c>
      <c r="F78" s="94">
        <v>0.8</v>
      </c>
      <c r="G78" s="95">
        <v>1.6</v>
      </c>
      <c r="H78" s="95">
        <v>0.0</v>
      </c>
    </row>
    <row r="79">
      <c r="A79" s="92" t="s">
        <v>245</v>
      </c>
      <c r="B79" s="95">
        <v>8.8</v>
      </c>
      <c r="C79" s="95">
        <v>0.8</v>
      </c>
      <c r="D79" s="95">
        <v>6.398</v>
      </c>
      <c r="E79" s="95">
        <v>0.798</v>
      </c>
      <c r="F79" s="94">
        <v>0.8</v>
      </c>
      <c r="G79" s="95">
        <v>0.0</v>
      </c>
      <c r="H79" s="95">
        <v>0.798</v>
      </c>
    </row>
    <row r="80">
      <c r="A80" s="92" t="s">
        <v>384</v>
      </c>
      <c r="B80" s="95">
        <v>1.6306122448979592</v>
      </c>
      <c r="C80" s="95">
        <v>0.0</v>
      </c>
      <c r="D80" s="95">
        <v>0.0</v>
      </c>
      <c r="E80" s="95">
        <v>0.798</v>
      </c>
      <c r="F80" s="94">
        <v>0.8</v>
      </c>
      <c r="G80" s="95">
        <v>0.0</v>
      </c>
      <c r="H80" s="95">
        <v>0.0</v>
      </c>
    </row>
    <row r="81">
      <c r="A81" s="92" t="s">
        <v>325</v>
      </c>
      <c r="B81" s="95">
        <v>4.040404040404041</v>
      </c>
      <c r="C81" s="95">
        <v>0.0</v>
      </c>
      <c r="D81" s="95">
        <v>0.8421052631578947</v>
      </c>
      <c r="E81" s="95">
        <v>0.0</v>
      </c>
      <c r="F81" s="94">
        <v>0.8</v>
      </c>
      <c r="G81" s="95">
        <v>1.5238095238095237</v>
      </c>
      <c r="H81" s="95">
        <v>0.8421052631578947</v>
      </c>
    </row>
    <row r="82">
      <c r="A82" s="92" t="s">
        <v>240</v>
      </c>
      <c r="B82" s="95">
        <v>8.88888888888889</v>
      </c>
      <c r="C82" s="95">
        <v>0.20202020202020202</v>
      </c>
      <c r="D82" s="95">
        <v>0.8</v>
      </c>
      <c r="E82" s="95">
        <v>0.0</v>
      </c>
      <c r="F82" s="94">
        <v>0.8</v>
      </c>
      <c r="G82" s="95">
        <v>0.0</v>
      </c>
      <c r="H82" s="95">
        <v>7.578947368421052</v>
      </c>
    </row>
    <row r="83">
      <c r="A83" s="92" t="s">
        <v>344</v>
      </c>
      <c r="B83" s="95">
        <v>3.265306122448979</v>
      </c>
      <c r="C83" s="95">
        <v>0.0</v>
      </c>
      <c r="D83" s="95">
        <v>0.8</v>
      </c>
      <c r="E83" s="95">
        <v>0.0</v>
      </c>
      <c r="F83" s="94">
        <v>0.8</v>
      </c>
      <c r="G83" s="95">
        <v>0.7619047619047619</v>
      </c>
      <c r="H83" s="95">
        <v>0.9411764705882353</v>
      </c>
    </row>
    <row r="84">
      <c r="A84" s="92" t="s">
        <v>258</v>
      </c>
      <c r="B84" s="95">
        <v>8.0</v>
      </c>
      <c r="C84" s="95">
        <v>0.0</v>
      </c>
      <c r="D84" s="95">
        <v>0.0</v>
      </c>
      <c r="E84" s="95">
        <v>0.0</v>
      </c>
      <c r="F84" s="94">
        <v>0.8</v>
      </c>
      <c r="G84" s="95">
        <v>0.8421052631578947</v>
      </c>
      <c r="H84" s="95">
        <v>6.4</v>
      </c>
    </row>
    <row r="85">
      <c r="A85" s="92" t="s">
        <v>385</v>
      </c>
      <c r="B85" s="95">
        <v>1.6</v>
      </c>
      <c r="C85" s="95">
        <v>0.0</v>
      </c>
      <c r="D85" s="95">
        <v>0.0</v>
      </c>
      <c r="E85" s="95">
        <v>0.0</v>
      </c>
      <c r="F85" s="94">
        <v>0.8</v>
      </c>
      <c r="G85" s="95">
        <v>0.8</v>
      </c>
      <c r="H85" s="95">
        <v>0.0</v>
      </c>
    </row>
    <row r="86">
      <c r="A86" s="92" t="s">
        <v>209</v>
      </c>
      <c r="B86" s="95">
        <v>12.931313131313132</v>
      </c>
      <c r="C86" s="95">
        <v>0.406060606060606</v>
      </c>
      <c r="D86" s="95">
        <v>1.598</v>
      </c>
      <c r="E86" s="95">
        <v>8.8</v>
      </c>
      <c r="F86" s="94">
        <v>0.798</v>
      </c>
      <c r="G86" s="95">
        <v>0.0</v>
      </c>
      <c r="H86" s="95">
        <v>1.6</v>
      </c>
    </row>
    <row r="87">
      <c r="A87" s="92" t="s">
        <v>237</v>
      </c>
      <c r="B87" s="95">
        <v>9.331666666666667</v>
      </c>
      <c r="C87" s="95">
        <v>0.0</v>
      </c>
      <c r="D87" s="95">
        <v>0.665</v>
      </c>
      <c r="E87" s="95">
        <v>8.001666666666667</v>
      </c>
      <c r="F87" s="94">
        <v>0.665</v>
      </c>
      <c r="G87" s="95">
        <v>0.0</v>
      </c>
      <c r="H87" s="95">
        <v>0.0</v>
      </c>
    </row>
    <row r="88">
      <c r="A88" s="92" t="s">
        <v>225</v>
      </c>
      <c r="B88" s="95">
        <v>10.612244897959183</v>
      </c>
      <c r="C88" s="95">
        <v>0.2040816326530612</v>
      </c>
      <c r="D88" s="95">
        <v>0.8</v>
      </c>
      <c r="E88" s="95">
        <v>8.8</v>
      </c>
      <c r="F88" s="94">
        <v>0.0</v>
      </c>
      <c r="G88" s="95">
        <v>0.0</v>
      </c>
      <c r="H88" s="95">
        <v>0.9411764705882353</v>
      </c>
    </row>
    <row r="89">
      <c r="A89" s="92" t="s">
        <v>212</v>
      </c>
      <c r="B89" s="95">
        <v>12.467532467532468</v>
      </c>
      <c r="C89" s="95">
        <v>0.7792207792207793</v>
      </c>
      <c r="D89" s="95">
        <v>1.0666666666666667</v>
      </c>
      <c r="E89" s="95">
        <v>8.0</v>
      </c>
      <c r="F89" s="94">
        <v>0.0</v>
      </c>
      <c r="G89" s="95">
        <v>0.0</v>
      </c>
      <c r="H89" s="95">
        <v>3.2</v>
      </c>
    </row>
    <row r="90">
      <c r="A90" s="92" t="s">
        <v>247</v>
      </c>
      <c r="B90" s="95">
        <v>8.421052631578947</v>
      </c>
      <c r="C90" s="95">
        <v>0.0</v>
      </c>
      <c r="D90" s="95">
        <v>0.0</v>
      </c>
      <c r="E90" s="95">
        <v>8.0</v>
      </c>
      <c r="F90" s="94">
        <v>0.0</v>
      </c>
      <c r="G90" s="95">
        <v>0.0</v>
      </c>
      <c r="H90" s="95">
        <v>0.0</v>
      </c>
    </row>
    <row r="91">
      <c r="A91" s="92" t="s">
        <v>268</v>
      </c>
      <c r="B91" s="95">
        <v>7.2727272727272725</v>
      </c>
      <c r="C91" s="95">
        <v>0.0</v>
      </c>
      <c r="D91" s="95">
        <v>0.0</v>
      </c>
      <c r="E91" s="95">
        <v>7.2</v>
      </c>
      <c r="F91" s="94">
        <v>0.0</v>
      </c>
      <c r="G91" s="95">
        <v>0.0</v>
      </c>
      <c r="H91" s="95">
        <v>0.0</v>
      </c>
    </row>
    <row r="92">
      <c r="A92" s="92" t="s">
        <v>202</v>
      </c>
      <c r="B92" s="95">
        <v>20.0</v>
      </c>
      <c r="C92" s="95">
        <v>0.0</v>
      </c>
      <c r="D92" s="95">
        <v>12.0</v>
      </c>
      <c r="E92" s="95">
        <v>6.4</v>
      </c>
      <c r="F92" s="94">
        <v>0.0</v>
      </c>
      <c r="G92" s="95">
        <v>0.0</v>
      </c>
      <c r="H92" s="95">
        <v>1.6</v>
      </c>
    </row>
    <row r="93">
      <c r="A93" s="92" t="s">
        <v>239</v>
      </c>
      <c r="B93" s="95">
        <v>8.979591836734693</v>
      </c>
      <c r="C93" s="95">
        <v>0.4081632653061224</v>
      </c>
      <c r="D93" s="95">
        <v>0.8</v>
      </c>
      <c r="E93" s="95">
        <v>6.4</v>
      </c>
      <c r="F93" s="94">
        <v>0.0</v>
      </c>
      <c r="G93" s="95">
        <v>0.0</v>
      </c>
      <c r="H93" s="95">
        <v>1.6842105263157894</v>
      </c>
    </row>
    <row r="94">
      <c r="A94" s="92" t="s">
        <v>201</v>
      </c>
      <c r="B94" s="95">
        <v>22.4</v>
      </c>
      <c r="C94" s="95">
        <v>2.2</v>
      </c>
      <c r="D94" s="95">
        <v>4.8</v>
      </c>
      <c r="E94" s="95">
        <v>5.6</v>
      </c>
      <c r="F94" s="94">
        <v>0.0</v>
      </c>
      <c r="G94" s="95">
        <v>3.2</v>
      </c>
      <c r="H94" s="95">
        <v>8.421052631578947</v>
      </c>
    </row>
    <row r="95">
      <c r="A95" s="92" t="s">
        <v>238</v>
      </c>
      <c r="B95" s="95">
        <v>9.142857142857142</v>
      </c>
      <c r="C95" s="95">
        <v>0.0</v>
      </c>
      <c r="D95" s="95">
        <v>2.2857142857142856</v>
      </c>
      <c r="E95" s="95">
        <v>4.571428571428571</v>
      </c>
      <c r="F95" s="94">
        <v>0.0</v>
      </c>
      <c r="G95" s="95">
        <v>2.2857142857142856</v>
      </c>
      <c r="H95" s="95">
        <v>0.0</v>
      </c>
    </row>
    <row r="96">
      <c r="A96" s="92" t="s">
        <v>304</v>
      </c>
      <c r="B96" s="95">
        <v>5.194805194805195</v>
      </c>
      <c r="C96" s="95">
        <v>0.7792207792207793</v>
      </c>
      <c r="D96" s="95">
        <v>0.0</v>
      </c>
      <c r="E96" s="95">
        <v>4.0</v>
      </c>
      <c r="F96" s="94">
        <v>0.0</v>
      </c>
      <c r="G96" s="95">
        <v>1.0666666666666667</v>
      </c>
      <c r="H96" s="95">
        <v>0.0</v>
      </c>
    </row>
    <row r="97">
      <c r="A97" s="92" t="s">
        <v>282</v>
      </c>
      <c r="B97" s="95">
        <v>6.0</v>
      </c>
      <c r="C97" s="95">
        <v>0.0</v>
      </c>
      <c r="D97" s="95">
        <v>0.0</v>
      </c>
      <c r="E97" s="95">
        <v>4.0</v>
      </c>
      <c r="F97" s="94">
        <v>0.0</v>
      </c>
      <c r="G97" s="95">
        <v>0.0</v>
      </c>
      <c r="H97" s="95">
        <v>2.0</v>
      </c>
    </row>
    <row r="98">
      <c r="A98" s="92" t="s">
        <v>300</v>
      </c>
      <c r="B98" s="95">
        <v>5.333333333333333</v>
      </c>
      <c r="C98" s="95">
        <v>0.0</v>
      </c>
      <c r="D98" s="95">
        <v>0.0</v>
      </c>
      <c r="E98" s="95">
        <v>4.0</v>
      </c>
      <c r="F98" s="94">
        <v>0.0</v>
      </c>
      <c r="G98" s="95">
        <v>0.0</v>
      </c>
      <c r="H98" s="95">
        <v>1.4545454545454546</v>
      </c>
    </row>
    <row r="99">
      <c r="A99" s="92" t="s">
        <v>303</v>
      </c>
      <c r="B99" s="95">
        <v>5.333333333333333</v>
      </c>
      <c r="C99" s="95">
        <v>0.0</v>
      </c>
      <c r="D99" s="95">
        <v>2.4615384615384617</v>
      </c>
      <c r="E99" s="95">
        <v>2.6666666666666665</v>
      </c>
      <c r="F99" s="94">
        <v>0.0</v>
      </c>
      <c r="G99" s="95">
        <v>0.0</v>
      </c>
      <c r="H99" s="95">
        <v>0.0</v>
      </c>
    </row>
    <row r="100">
      <c r="A100" s="92" t="s">
        <v>354</v>
      </c>
      <c r="B100" s="95">
        <v>2.7586206896551726</v>
      </c>
      <c r="C100" s="95">
        <v>0.3448275862068966</v>
      </c>
      <c r="D100" s="95">
        <v>0.0</v>
      </c>
      <c r="E100" s="95">
        <v>2.6666666666666665</v>
      </c>
      <c r="F100" s="94">
        <v>0.0</v>
      </c>
      <c r="G100" s="95">
        <v>1.3333333333333333</v>
      </c>
      <c r="H100" s="95">
        <v>-1.3333333333333333</v>
      </c>
    </row>
    <row r="101">
      <c r="A101" s="92" t="s">
        <v>296</v>
      </c>
      <c r="B101" s="95">
        <v>5.517241379310345</v>
      </c>
      <c r="C101" s="95">
        <v>0.0</v>
      </c>
      <c r="D101" s="95">
        <v>0.0</v>
      </c>
      <c r="E101" s="95">
        <v>2.6666666666666665</v>
      </c>
      <c r="F101" s="94">
        <v>0.0</v>
      </c>
      <c r="G101" s="95">
        <v>0.0</v>
      </c>
      <c r="H101" s="95">
        <v>2.6666666666666665</v>
      </c>
    </row>
    <row r="102">
      <c r="A102" s="92" t="s">
        <v>254</v>
      </c>
      <c r="B102" s="95">
        <v>8.080808080808081</v>
      </c>
      <c r="C102" s="95">
        <v>0.40404040404040403</v>
      </c>
      <c r="D102" s="95">
        <v>5.6</v>
      </c>
      <c r="E102" s="95">
        <v>2.526315789473684</v>
      </c>
      <c r="F102" s="94">
        <v>0.0</v>
      </c>
      <c r="G102" s="95">
        <v>0.0</v>
      </c>
      <c r="H102" s="95">
        <v>0.0</v>
      </c>
    </row>
    <row r="103">
      <c r="A103" s="92" t="s">
        <v>346</v>
      </c>
      <c r="B103" s="95">
        <v>3.2323232323232323</v>
      </c>
      <c r="C103" s="95">
        <v>0.20202020202020202</v>
      </c>
      <c r="D103" s="95">
        <v>0.8</v>
      </c>
      <c r="E103" s="95">
        <v>2.4</v>
      </c>
      <c r="F103" s="94">
        <v>0.0</v>
      </c>
      <c r="G103" s="95">
        <v>0.8</v>
      </c>
      <c r="H103" s="95">
        <v>-0.8421052631578947</v>
      </c>
    </row>
    <row r="104">
      <c r="A104" s="92" t="s">
        <v>221</v>
      </c>
      <c r="B104" s="95">
        <v>11.313131313131313</v>
      </c>
      <c r="C104" s="95">
        <v>0.604040404040404</v>
      </c>
      <c r="D104" s="95">
        <v>5.6</v>
      </c>
      <c r="E104" s="95">
        <v>2.2857142857142856</v>
      </c>
      <c r="F104" s="94">
        <v>0.0</v>
      </c>
      <c r="G104" s="95">
        <v>0.0</v>
      </c>
      <c r="H104" s="95">
        <v>3.3684210526315788</v>
      </c>
    </row>
    <row r="105">
      <c r="A105" s="92" t="s">
        <v>299</v>
      </c>
      <c r="B105" s="95">
        <v>5.333333333333333</v>
      </c>
      <c r="C105" s="95">
        <v>0.0</v>
      </c>
      <c r="D105" s="95">
        <v>0.0</v>
      </c>
      <c r="E105" s="95">
        <v>2.1333333333333333</v>
      </c>
      <c r="F105" s="94">
        <v>0.0</v>
      </c>
      <c r="G105" s="95">
        <v>0.0</v>
      </c>
      <c r="H105" s="95">
        <v>3.0</v>
      </c>
    </row>
    <row r="106">
      <c r="A106" s="92" t="s">
        <v>331</v>
      </c>
      <c r="B106" s="95">
        <v>4.0</v>
      </c>
      <c r="C106" s="95">
        <v>0.25</v>
      </c>
      <c r="D106" s="95">
        <v>1.0</v>
      </c>
      <c r="E106" s="95">
        <v>2.0</v>
      </c>
      <c r="F106" s="94">
        <v>0.0</v>
      </c>
      <c r="G106" s="95">
        <v>0.0</v>
      </c>
      <c r="H106" s="95">
        <v>1.0</v>
      </c>
    </row>
    <row r="107">
      <c r="A107" s="92" t="s">
        <v>284</v>
      </c>
      <c r="B107" s="95">
        <v>6.0</v>
      </c>
      <c r="C107" s="95">
        <v>0.0</v>
      </c>
      <c r="D107" s="95">
        <v>0.0</v>
      </c>
      <c r="E107" s="95">
        <v>2.0</v>
      </c>
      <c r="F107" s="94">
        <v>0.0</v>
      </c>
      <c r="G107" s="95">
        <v>4.0</v>
      </c>
      <c r="H107" s="95">
        <v>0.0</v>
      </c>
    </row>
    <row r="108">
      <c r="A108" s="92" t="s">
        <v>285</v>
      </c>
      <c r="B108" s="95">
        <v>5.959574468085107</v>
      </c>
      <c r="C108" s="95">
        <v>1.274468085106383</v>
      </c>
      <c r="D108" s="95">
        <v>0.0</v>
      </c>
      <c r="E108" s="95">
        <v>1.6842105263157894</v>
      </c>
      <c r="F108" s="94">
        <v>0.0</v>
      </c>
      <c r="G108" s="95">
        <v>0.0</v>
      </c>
      <c r="H108" s="95">
        <v>4.212631578947369</v>
      </c>
    </row>
    <row r="109">
      <c r="A109" s="92" t="s">
        <v>290</v>
      </c>
      <c r="B109" s="95">
        <v>5.7142857142857135</v>
      </c>
      <c r="C109" s="95">
        <v>0.2020408163265306</v>
      </c>
      <c r="D109" s="95">
        <v>3.2020000000000004</v>
      </c>
      <c r="E109" s="95">
        <v>1.6</v>
      </c>
      <c r="F109" s="94">
        <v>0.0</v>
      </c>
      <c r="G109" s="95">
        <v>0.0</v>
      </c>
      <c r="H109" s="95">
        <v>0.8400000000000001</v>
      </c>
    </row>
    <row r="110">
      <c r="A110" s="92" t="s">
        <v>319</v>
      </c>
      <c r="B110" s="95">
        <v>4.083673469387755</v>
      </c>
      <c r="C110" s="95">
        <v>0.0</v>
      </c>
      <c r="D110" s="95">
        <v>0.0</v>
      </c>
      <c r="E110" s="95">
        <v>1.6</v>
      </c>
      <c r="F110" s="94">
        <v>0.0</v>
      </c>
      <c r="G110" s="95">
        <v>0.0</v>
      </c>
      <c r="H110" s="95">
        <v>2.528421052631579</v>
      </c>
    </row>
    <row r="111">
      <c r="A111" s="92" t="s">
        <v>365</v>
      </c>
      <c r="B111" s="95">
        <v>2.4242424242424243</v>
      </c>
      <c r="C111" s="95">
        <v>0.40404040404040403</v>
      </c>
      <c r="D111" s="95">
        <v>0.0</v>
      </c>
      <c r="E111" s="95">
        <v>1.5238095238095237</v>
      </c>
      <c r="F111" s="94">
        <v>0.0</v>
      </c>
      <c r="G111" s="95">
        <v>0.0</v>
      </c>
      <c r="H111" s="95">
        <v>0.8421052631578947</v>
      </c>
    </row>
    <row r="112">
      <c r="A112" s="92" t="s">
        <v>292</v>
      </c>
      <c r="B112" s="95">
        <v>5.614035087719298</v>
      </c>
      <c r="C112" s="95">
        <v>0.3508771929824561</v>
      </c>
      <c r="D112" s="95">
        <v>4.0</v>
      </c>
      <c r="E112" s="95">
        <v>1.3333333333333333</v>
      </c>
      <c r="F112" s="94">
        <v>0.0</v>
      </c>
      <c r="G112" s="95">
        <v>0.0</v>
      </c>
      <c r="H112" s="95">
        <v>0.0</v>
      </c>
    </row>
    <row r="113">
      <c r="A113" s="92" t="s">
        <v>390</v>
      </c>
      <c r="B113" s="95">
        <v>1.3333333333333333</v>
      </c>
      <c r="C113" s="95">
        <v>0.0</v>
      </c>
      <c r="D113" s="95">
        <v>0.0</v>
      </c>
      <c r="E113" s="95">
        <v>1.3333333333333333</v>
      </c>
      <c r="F113" s="94">
        <v>0.0</v>
      </c>
      <c r="G113" s="95">
        <v>0.0</v>
      </c>
      <c r="H113" s="95">
        <v>0.0</v>
      </c>
    </row>
    <row r="114">
      <c r="A114" s="92" t="s">
        <v>392</v>
      </c>
      <c r="B114" s="95">
        <v>1.0256410256410258</v>
      </c>
      <c r="C114" s="95">
        <v>0.0</v>
      </c>
      <c r="D114" s="95">
        <v>0.0</v>
      </c>
      <c r="E114" s="95">
        <v>1.25</v>
      </c>
      <c r="F114" s="94">
        <v>0.0</v>
      </c>
      <c r="G114" s="95">
        <v>0.0</v>
      </c>
      <c r="H114" s="95">
        <v>0.0</v>
      </c>
    </row>
    <row r="115">
      <c r="A115" s="92" t="s">
        <v>223</v>
      </c>
      <c r="B115" s="95">
        <v>11.0</v>
      </c>
      <c r="C115" s="95">
        <v>0.0</v>
      </c>
      <c r="D115" s="95">
        <v>0.0</v>
      </c>
      <c r="E115" s="95">
        <v>1.0</v>
      </c>
      <c r="F115" s="94">
        <v>0.0</v>
      </c>
      <c r="G115" s="95">
        <v>0.0</v>
      </c>
      <c r="H115" s="95">
        <v>10.0</v>
      </c>
    </row>
    <row r="116">
      <c r="A116" s="92" t="s">
        <v>394</v>
      </c>
      <c r="B116" s="95">
        <v>1.0</v>
      </c>
      <c r="C116" s="95">
        <v>0.0</v>
      </c>
      <c r="D116" s="95">
        <v>0.0</v>
      </c>
      <c r="E116" s="95">
        <v>1.0</v>
      </c>
      <c r="F116" s="94">
        <v>0.0</v>
      </c>
      <c r="G116" s="95">
        <v>0.0</v>
      </c>
      <c r="H116" s="95">
        <v>0.0</v>
      </c>
    </row>
    <row r="117">
      <c r="A117" s="92" t="s">
        <v>334</v>
      </c>
      <c r="B117" s="95">
        <v>4.0</v>
      </c>
      <c r="C117" s="95">
        <v>0.0</v>
      </c>
      <c r="D117" s="95">
        <v>0.0</v>
      </c>
      <c r="E117" s="95">
        <v>0.9411764705882353</v>
      </c>
      <c r="F117" s="94">
        <v>0.0</v>
      </c>
      <c r="G117" s="95">
        <v>3.2</v>
      </c>
      <c r="H117" s="95">
        <v>0.0</v>
      </c>
    </row>
    <row r="118">
      <c r="A118" s="92" t="s">
        <v>232</v>
      </c>
      <c r="B118" s="95">
        <v>10.0</v>
      </c>
      <c r="C118" s="95">
        <v>0.4166666666666667</v>
      </c>
      <c r="D118" s="95">
        <v>0.0</v>
      </c>
      <c r="E118" s="95">
        <v>0.8888888888888888</v>
      </c>
      <c r="F118" s="94">
        <v>0.0</v>
      </c>
      <c r="G118" s="95">
        <v>3.3684210526315788</v>
      </c>
      <c r="H118" s="95">
        <v>6.222222222222222</v>
      </c>
    </row>
    <row r="119">
      <c r="A119" s="92" t="s">
        <v>269</v>
      </c>
      <c r="B119" s="95">
        <v>7.2</v>
      </c>
      <c r="C119" s="95">
        <v>0.0</v>
      </c>
      <c r="D119" s="95">
        <v>3.9979999999999998</v>
      </c>
      <c r="E119" s="95">
        <v>0.8</v>
      </c>
      <c r="F119" s="94">
        <v>0.0</v>
      </c>
      <c r="G119" s="95">
        <v>0.0</v>
      </c>
      <c r="H119" s="95">
        <v>2.402</v>
      </c>
    </row>
    <row r="120">
      <c r="A120" s="92" t="s">
        <v>348</v>
      </c>
      <c r="B120" s="95">
        <v>3.2</v>
      </c>
      <c r="C120" s="95">
        <v>0.0</v>
      </c>
      <c r="D120" s="95">
        <v>1.6</v>
      </c>
      <c r="E120" s="95">
        <v>0.7619047619047619</v>
      </c>
      <c r="F120" s="94">
        <v>0.0</v>
      </c>
      <c r="G120" s="95">
        <v>0.0</v>
      </c>
      <c r="H120" s="95">
        <v>0.8</v>
      </c>
    </row>
    <row r="121">
      <c r="A121" s="92" t="s">
        <v>206</v>
      </c>
      <c r="B121" s="95">
        <v>15.0</v>
      </c>
      <c r="C121" s="95">
        <v>0.0</v>
      </c>
      <c r="D121" s="95">
        <v>14.4</v>
      </c>
      <c r="E121" s="95">
        <v>0.0</v>
      </c>
      <c r="F121" s="94">
        <v>0.0</v>
      </c>
      <c r="G121" s="95">
        <v>0.0</v>
      </c>
      <c r="H121" s="95">
        <v>0.0</v>
      </c>
    </row>
    <row r="122">
      <c r="A122" s="92" t="s">
        <v>264</v>
      </c>
      <c r="B122" s="95">
        <v>8.0</v>
      </c>
      <c r="C122" s="95">
        <v>0.5</v>
      </c>
      <c r="D122" s="95">
        <v>10.0</v>
      </c>
      <c r="E122" s="95">
        <v>0.0</v>
      </c>
      <c r="F122" s="94">
        <v>0.0</v>
      </c>
      <c r="G122" s="95">
        <v>0.0</v>
      </c>
      <c r="H122" s="95">
        <v>0.0</v>
      </c>
    </row>
    <row r="123">
      <c r="A123" s="92" t="s">
        <v>243</v>
      </c>
      <c r="B123" s="95">
        <v>8.88888888888889</v>
      </c>
      <c r="C123" s="95">
        <v>0.40404040404040403</v>
      </c>
      <c r="D123" s="95">
        <v>7.619047619047619</v>
      </c>
      <c r="E123" s="95">
        <v>0.0</v>
      </c>
      <c r="F123" s="94">
        <v>0.0</v>
      </c>
      <c r="G123" s="95">
        <v>0.0</v>
      </c>
      <c r="H123" s="95">
        <v>0.8421052631578947</v>
      </c>
    </row>
    <row r="124">
      <c r="A124" s="92" t="s">
        <v>272</v>
      </c>
      <c r="B124" s="95">
        <v>7.017543859649122</v>
      </c>
      <c r="C124" s="95">
        <v>0.0</v>
      </c>
      <c r="D124" s="95">
        <v>7.2727272727272725</v>
      </c>
      <c r="E124" s="95">
        <v>0.0</v>
      </c>
      <c r="F124" s="94">
        <v>0.0</v>
      </c>
      <c r="G124" s="95">
        <v>0.0</v>
      </c>
      <c r="H124" s="95">
        <v>0.0</v>
      </c>
    </row>
    <row r="125">
      <c r="A125" s="92" t="s">
        <v>220</v>
      </c>
      <c r="B125" s="95">
        <v>11.428571428571427</v>
      </c>
      <c r="C125" s="95">
        <v>0.0</v>
      </c>
      <c r="D125" s="95">
        <v>7.2</v>
      </c>
      <c r="E125" s="95">
        <v>0.0</v>
      </c>
      <c r="F125" s="94">
        <v>0.0</v>
      </c>
      <c r="G125" s="95">
        <v>0.0</v>
      </c>
      <c r="H125" s="95">
        <v>4.705882352941177</v>
      </c>
    </row>
    <row r="126">
      <c r="A126" s="92" t="s">
        <v>273</v>
      </c>
      <c r="B126" s="95">
        <v>7.0</v>
      </c>
      <c r="C126" s="95">
        <v>0.0</v>
      </c>
      <c r="D126" s="95">
        <v>4.9975</v>
      </c>
      <c r="E126" s="95">
        <v>0.0</v>
      </c>
      <c r="F126" s="94">
        <v>0.0</v>
      </c>
      <c r="G126" s="95">
        <v>0.0</v>
      </c>
      <c r="H126" s="95">
        <v>2.0025</v>
      </c>
    </row>
    <row r="127">
      <c r="A127" s="92" t="s">
        <v>356</v>
      </c>
      <c r="B127" s="95">
        <v>2.711864406779661</v>
      </c>
      <c r="C127" s="95">
        <v>0.3389830508474576</v>
      </c>
      <c r="D127" s="95">
        <v>4.0</v>
      </c>
      <c r="E127" s="95">
        <v>0.0</v>
      </c>
      <c r="F127" s="94">
        <v>0.0</v>
      </c>
      <c r="G127" s="95">
        <v>0.0</v>
      </c>
      <c r="H127" s="95">
        <v>-1.6</v>
      </c>
    </row>
    <row r="128">
      <c r="A128" s="92" t="s">
        <v>306</v>
      </c>
      <c r="B128" s="95">
        <v>5.0</v>
      </c>
      <c r="C128" s="95">
        <v>0.25</v>
      </c>
      <c r="D128" s="95">
        <v>4.0</v>
      </c>
      <c r="E128" s="95">
        <v>0.0</v>
      </c>
      <c r="F128" s="94">
        <v>0.0</v>
      </c>
      <c r="G128" s="95">
        <v>0.0</v>
      </c>
      <c r="H128" s="95">
        <v>1.0</v>
      </c>
    </row>
    <row r="129">
      <c r="A129" s="92" t="s">
        <v>246</v>
      </c>
      <c r="B129" s="95">
        <v>8.421052631578947</v>
      </c>
      <c r="C129" s="95">
        <v>0.0</v>
      </c>
      <c r="D129" s="95">
        <v>4.0</v>
      </c>
      <c r="E129" s="95">
        <v>0.0</v>
      </c>
      <c r="F129" s="94">
        <v>0.0</v>
      </c>
      <c r="G129" s="95">
        <v>0.0</v>
      </c>
      <c r="H129" s="95">
        <v>4.0</v>
      </c>
    </row>
    <row r="130">
      <c r="A130" s="92" t="s">
        <v>315</v>
      </c>
      <c r="B130" s="95">
        <v>4.2105263157894735</v>
      </c>
      <c r="C130" s="95">
        <v>0.0</v>
      </c>
      <c r="D130" s="95">
        <v>4.0</v>
      </c>
      <c r="E130" s="95">
        <v>0.0</v>
      </c>
      <c r="F130" s="94">
        <v>0.0</v>
      </c>
      <c r="G130" s="95">
        <v>0.0</v>
      </c>
      <c r="H130" s="95">
        <v>0.0</v>
      </c>
    </row>
    <row r="131">
      <c r="A131" s="92" t="s">
        <v>359</v>
      </c>
      <c r="B131" s="95">
        <v>2.6666666666666665</v>
      </c>
      <c r="C131" s="95">
        <v>0.0</v>
      </c>
      <c r="D131" s="95">
        <v>3.3333333333333335</v>
      </c>
      <c r="E131" s="95">
        <v>0.0</v>
      </c>
      <c r="F131" s="94">
        <v>0.0</v>
      </c>
      <c r="G131" s="95">
        <v>0.0</v>
      </c>
      <c r="H131" s="95">
        <v>0.0</v>
      </c>
    </row>
    <row r="132">
      <c r="A132" s="92" t="s">
        <v>343</v>
      </c>
      <c r="B132" s="95">
        <v>3.2876712328767126</v>
      </c>
      <c r="C132" s="95">
        <v>0.0</v>
      </c>
      <c r="D132" s="95">
        <v>3.2</v>
      </c>
      <c r="E132" s="95">
        <v>0.0</v>
      </c>
      <c r="F132" s="94">
        <v>0.0</v>
      </c>
      <c r="G132" s="95">
        <v>0.0</v>
      </c>
      <c r="H132" s="95">
        <v>0.0</v>
      </c>
    </row>
    <row r="133">
      <c r="A133" s="92" t="s">
        <v>226</v>
      </c>
      <c r="B133" s="95">
        <v>10.505050505050505</v>
      </c>
      <c r="C133" s="95">
        <v>0.0</v>
      </c>
      <c r="D133" s="95">
        <v>2.4</v>
      </c>
      <c r="E133" s="95">
        <v>0.0</v>
      </c>
      <c r="F133" s="94">
        <v>0.0</v>
      </c>
      <c r="G133" s="95">
        <v>0.0</v>
      </c>
      <c r="H133" s="95">
        <v>8.421052631578947</v>
      </c>
    </row>
    <row r="134">
      <c r="A134" s="92" t="s">
        <v>362</v>
      </c>
      <c r="B134" s="95">
        <v>2.4489795918367343</v>
      </c>
      <c r="C134" s="95">
        <v>0.0</v>
      </c>
      <c r="D134" s="95">
        <v>2.4</v>
      </c>
      <c r="E134" s="95">
        <v>0.0</v>
      </c>
      <c r="F134" s="94">
        <v>0.0</v>
      </c>
      <c r="G134" s="95">
        <v>0.0</v>
      </c>
      <c r="H134" s="95">
        <v>0.0</v>
      </c>
    </row>
    <row r="135">
      <c r="A135" s="92" t="s">
        <v>314</v>
      </c>
      <c r="B135" s="95">
        <v>4.2105263157894735</v>
      </c>
      <c r="C135" s="95">
        <v>0.0</v>
      </c>
      <c r="D135" s="95">
        <v>2.2857142857142856</v>
      </c>
      <c r="E135" s="95">
        <v>0.0</v>
      </c>
      <c r="F135" s="94">
        <v>0.0</v>
      </c>
      <c r="G135" s="95">
        <v>2.0</v>
      </c>
      <c r="H135" s="95">
        <v>0.0</v>
      </c>
    </row>
    <row r="136">
      <c r="A136" s="92" t="s">
        <v>378</v>
      </c>
      <c r="B136" s="95">
        <v>2.0512820512820515</v>
      </c>
      <c r="C136" s="95">
        <v>0.0</v>
      </c>
      <c r="D136" s="95">
        <v>2.0</v>
      </c>
      <c r="E136" s="95">
        <v>0.0</v>
      </c>
      <c r="F136" s="94">
        <v>0.0</v>
      </c>
      <c r="G136" s="95">
        <v>0.0</v>
      </c>
      <c r="H136" s="95">
        <v>0.0</v>
      </c>
    </row>
    <row r="137">
      <c r="A137" s="92" t="s">
        <v>371</v>
      </c>
      <c r="B137" s="95">
        <v>2.282857142857143</v>
      </c>
      <c r="C137" s="95">
        <v>0.0</v>
      </c>
      <c r="D137" s="95">
        <v>1.9975</v>
      </c>
      <c r="E137" s="95">
        <v>0.0</v>
      </c>
      <c r="F137" s="94">
        <v>0.0</v>
      </c>
      <c r="G137" s="95">
        <v>0.0</v>
      </c>
      <c r="H137" s="95">
        <v>0.0</v>
      </c>
    </row>
    <row r="138">
      <c r="A138" s="92" t="s">
        <v>341</v>
      </c>
      <c r="B138" s="95">
        <v>0.0</v>
      </c>
      <c r="C138" s="95">
        <v>0.5714285714285714</v>
      </c>
      <c r="D138" s="95">
        <v>1.7777777777777777</v>
      </c>
      <c r="E138" s="95">
        <v>0.0</v>
      </c>
      <c r="F138" s="94">
        <v>0.0</v>
      </c>
      <c r="G138" s="95">
        <v>0.0</v>
      </c>
      <c r="H138" s="95">
        <v>-2.0</v>
      </c>
    </row>
    <row r="139">
      <c r="A139" s="92" t="s">
        <v>386</v>
      </c>
      <c r="B139" s="95">
        <v>1.3559322033898304</v>
      </c>
      <c r="C139" s="95">
        <v>0.0</v>
      </c>
      <c r="D139" s="95">
        <v>1.4545454545454546</v>
      </c>
      <c r="E139" s="95">
        <v>0.0</v>
      </c>
      <c r="F139" s="94">
        <v>0.0</v>
      </c>
      <c r="G139" s="95">
        <v>0.0</v>
      </c>
      <c r="H139" s="95">
        <v>0.0</v>
      </c>
    </row>
    <row r="140">
      <c r="A140" s="92" t="s">
        <v>387</v>
      </c>
      <c r="B140" s="95">
        <v>1.3559322033898304</v>
      </c>
      <c r="C140" s="95">
        <v>0.0</v>
      </c>
      <c r="D140" s="95">
        <v>1.3333333333333333</v>
      </c>
      <c r="E140" s="95">
        <v>0.0</v>
      </c>
      <c r="F140" s="94">
        <v>0.0</v>
      </c>
      <c r="G140" s="95">
        <v>0.0</v>
      </c>
      <c r="H140" s="95">
        <v>0.0</v>
      </c>
    </row>
    <row r="141">
      <c r="A141" s="92" t="s">
        <v>389</v>
      </c>
      <c r="B141" s="95">
        <v>1.352542372881356</v>
      </c>
      <c r="C141" s="95">
        <v>0.33559322033898303</v>
      </c>
      <c r="D141" s="95">
        <v>1.33</v>
      </c>
      <c r="E141" s="95">
        <v>0.0</v>
      </c>
      <c r="F141" s="94">
        <v>0.0</v>
      </c>
      <c r="G141" s="95">
        <v>0.0</v>
      </c>
      <c r="H141" s="95">
        <v>0.0</v>
      </c>
    </row>
    <row r="142">
      <c r="A142" s="92" t="s">
        <v>376</v>
      </c>
      <c r="B142" s="95">
        <v>2.0512820512820515</v>
      </c>
      <c r="C142" s="95">
        <v>0.0</v>
      </c>
      <c r="D142" s="95">
        <v>1.25</v>
      </c>
      <c r="E142" s="95">
        <v>0.0</v>
      </c>
      <c r="F142" s="94">
        <v>0.0</v>
      </c>
      <c r="G142" s="95">
        <v>0.0</v>
      </c>
      <c r="H142" s="95">
        <v>1.3333333333333333</v>
      </c>
    </row>
    <row r="143">
      <c r="A143" s="92" t="s">
        <v>393</v>
      </c>
      <c r="B143" s="95">
        <v>1.010126582278481</v>
      </c>
      <c r="C143" s="95">
        <v>0.0</v>
      </c>
      <c r="D143" s="95">
        <v>0.9975</v>
      </c>
      <c r="E143" s="95">
        <v>0.0</v>
      </c>
      <c r="F143" s="94">
        <v>0.0</v>
      </c>
      <c r="G143" s="95">
        <v>0.0</v>
      </c>
      <c r="H143" s="95">
        <v>0.0</v>
      </c>
    </row>
    <row r="144">
      <c r="A144" s="92" t="s">
        <v>369</v>
      </c>
      <c r="B144" s="95">
        <v>2.4</v>
      </c>
      <c r="C144" s="95">
        <v>0.2</v>
      </c>
      <c r="D144" s="95">
        <v>0.8</v>
      </c>
      <c r="E144" s="95">
        <v>0.0</v>
      </c>
      <c r="F144" s="94">
        <v>0.0</v>
      </c>
      <c r="G144" s="95">
        <v>1.6</v>
      </c>
      <c r="H144" s="95">
        <v>0.0</v>
      </c>
    </row>
    <row r="145">
      <c r="A145" s="92" t="s">
        <v>255</v>
      </c>
      <c r="B145" s="95">
        <v>8.08</v>
      </c>
      <c r="C145" s="95">
        <v>0.0</v>
      </c>
      <c r="D145" s="95">
        <v>0.8</v>
      </c>
      <c r="E145" s="95">
        <v>0.0</v>
      </c>
      <c r="F145" s="94">
        <v>0.0</v>
      </c>
      <c r="G145" s="95">
        <v>0.0</v>
      </c>
      <c r="H145" s="95">
        <v>8.0</v>
      </c>
    </row>
    <row r="146">
      <c r="A146" s="92" t="s">
        <v>317</v>
      </c>
      <c r="B146" s="95">
        <v>1.352542372881356</v>
      </c>
      <c r="C146" s="95">
        <v>0.6813559322033897</v>
      </c>
      <c r="D146" s="95">
        <v>0.0</v>
      </c>
      <c r="E146" s="95">
        <v>0.0</v>
      </c>
      <c r="F146" s="94">
        <v>0.0</v>
      </c>
      <c r="G146" s="95">
        <v>1.33</v>
      </c>
      <c r="H146" s="95">
        <v>0.0</v>
      </c>
    </row>
    <row r="147">
      <c r="A147" s="92" t="s">
        <v>339</v>
      </c>
      <c r="B147" s="95">
        <v>3.2020000000000004</v>
      </c>
      <c r="C147" s="95">
        <v>0.6</v>
      </c>
      <c r="D147" s="95">
        <v>0.0</v>
      </c>
      <c r="E147" s="95">
        <v>0.0</v>
      </c>
      <c r="F147" s="94">
        <v>0.0</v>
      </c>
      <c r="G147" s="95">
        <v>0.0</v>
      </c>
      <c r="H147" s="95">
        <v>3.2020000000000004</v>
      </c>
    </row>
    <row r="148">
      <c r="A148" s="92" t="s">
        <v>350</v>
      </c>
      <c r="B148" s="95">
        <v>0.0</v>
      </c>
      <c r="C148" s="95">
        <v>0.5128205128205129</v>
      </c>
      <c r="D148" s="95">
        <v>0.0</v>
      </c>
      <c r="E148" s="95">
        <v>0.0</v>
      </c>
      <c r="F148" s="94">
        <v>0.0</v>
      </c>
      <c r="G148" s="95">
        <v>0.0</v>
      </c>
      <c r="H148" s="95">
        <v>0.0</v>
      </c>
    </row>
    <row r="149">
      <c r="A149" s="92" t="s">
        <v>363</v>
      </c>
      <c r="B149" s="95">
        <v>0.0</v>
      </c>
      <c r="C149" s="95">
        <v>0.5</v>
      </c>
      <c r="D149" s="95">
        <v>0.0</v>
      </c>
      <c r="E149" s="95">
        <v>0.0</v>
      </c>
      <c r="F149" s="94">
        <v>0.0</v>
      </c>
      <c r="G149" s="95">
        <v>0.0</v>
      </c>
      <c r="H149" s="95">
        <v>0.0</v>
      </c>
    </row>
    <row r="150">
      <c r="A150" s="92" t="s">
        <v>395</v>
      </c>
      <c r="B150" s="95">
        <v>0.0</v>
      </c>
      <c r="C150" s="95">
        <v>0.3448275862068966</v>
      </c>
      <c r="D150" s="95">
        <v>0.0</v>
      </c>
      <c r="E150" s="95">
        <v>0.0</v>
      </c>
      <c r="F150" s="94">
        <v>0.0</v>
      </c>
      <c r="G150" s="95">
        <v>0.0</v>
      </c>
      <c r="H150" s="95">
        <v>0.0</v>
      </c>
    </row>
    <row r="151">
      <c r="A151" s="92" t="s">
        <v>355</v>
      </c>
      <c r="B151" s="95">
        <v>2.711864406779661</v>
      </c>
      <c r="C151" s="95">
        <v>0.3389830508474576</v>
      </c>
      <c r="D151" s="95">
        <v>0.0</v>
      </c>
      <c r="E151" s="95">
        <v>0.0</v>
      </c>
      <c r="F151" s="94">
        <v>0.0</v>
      </c>
      <c r="G151" s="95">
        <v>0.0</v>
      </c>
      <c r="H151" s="95">
        <v>3.2</v>
      </c>
    </row>
    <row r="152">
      <c r="A152" s="92" t="s">
        <v>323</v>
      </c>
      <c r="B152" s="95">
        <v>4.067796610169491</v>
      </c>
      <c r="C152" s="95">
        <v>0.33559322033898303</v>
      </c>
      <c r="D152" s="95">
        <v>0.0</v>
      </c>
      <c r="E152" s="95">
        <v>0.0</v>
      </c>
      <c r="F152" s="94">
        <v>0.0</v>
      </c>
      <c r="G152" s="95">
        <v>4.0</v>
      </c>
      <c r="H152" s="95">
        <v>0.0</v>
      </c>
    </row>
    <row r="153">
      <c r="A153" s="92" t="s">
        <v>327</v>
      </c>
      <c r="B153" s="95">
        <v>4.0</v>
      </c>
      <c r="C153" s="95">
        <v>0.3333333333333333</v>
      </c>
      <c r="D153" s="95">
        <v>0.0</v>
      </c>
      <c r="E153" s="95">
        <v>0.0</v>
      </c>
      <c r="F153" s="94">
        <v>0.0</v>
      </c>
      <c r="G153" s="95">
        <v>0.0</v>
      </c>
      <c r="H153" s="95">
        <v>4.0</v>
      </c>
    </row>
    <row r="154">
      <c r="A154" s="92" t="s">
        <v>404</v>
      </c>
      <c r="B154" s="95">
        <v>-1.3333333333333333</v>
      </c>
      <c r="C154" s="95">
        <v>0.3333333333333333</v>
      </c>
      <c r="D154" s="95">
        <v>0.0</v>
      </c>
      <c r="E154" s="95">
        <v>0.0</v>
      </c>
      <c r="F154" s="94">
        <v>0.0</v>
      </c>
      <c r="G154" s="95">
        <v>0.0</v>
      </c>
      <c r="H154" s="95">
        <v>-1.3333333333333333</v>
      </c>
    </row>
    <row r="155">
      <c r="A155" s="92" t="s">
        <v>305</v>
      </c>
      <c r="B155" s="95">
        <v>5.0</v>
      </c>
      <c r="C155" s="95">
        <v>0.25</v>
      </c>
      <c r="D155" s="95">
        <v>0.0</v>
      </c>
      <c r="E155" s="95">
        <v>0.0</v>
      </c>
      <c r="F155" s="94">
        <v>0.0</v>
      </c>
      <c r="G155" s="95">
        <v>1.0666666666666667</v>
      </c>
      <c r="H155" s="95">
        <v>4.0</v>
      </c>
    </row>
    <row r="156">
      <c r="A156" s="92" t="s">
        <v>368</v>
      </c>
      <c r="B156" s="95">
        <v>2.402</v>
      </c>
      <c r="C156" s="95">
        <v>0.198</v>
      </c>
      <c r="D156" s="95">
        <v>0.0</v>
      </c>
      <c r="E156" s="95">
        <v>0.0</v>
      </c>
      <c r="F156" s="94">
        <v>0.0</v>
      </c>
      <c r="G156" s="95">
        <v>2.402</v>
      </c>
      <c r="H156" s="95">
        <v>0.0</v>
      </c>
    </row>
    <row r="157">
      <c r="A157" s="92" t="s">
        <v>270</v>
      </c>
      <c r="B157" s="95">
        <v>7.17948717948718</v>
      </c>
      <c r="C157" s="95">
        <v>0.0</v>
      </c>
      <c r="D157" s="95">
        <v>0.0</v>
      </c>
      <c r="E157" s="95">
        <v>0.0</v>
      </c>
      <c r="F157" s="94">
        <v>0.0</v>
      </c>
      <c r="G157" s="95">
        <v>7.466666666666667</v>
      </c>
      <c r="H157" s="95">
        <v>0.0</v>
      </c>
    </row>
    <row r="158">
      <c r="A158" s="92" t="s">
        <v>280</v>
      </c>
      <c r="B158" s="95">
        <v>6.153846153846154</v>
      </c>
      <c r="C158" s="95">
        <v>0.0</v>
      </c>
      <c r="D158" s="95">
        <v>0.0</v>
      </c>
      <c r="E158" s="95">
        <v>0.0</v>
      </c>
      <c r="F158" s="94">
        <v>0.0</v>
      </c>
      <c r="G158" s="95">
        <v>6.0</v>
      </c>
      <c r="H158" s="95">
        <v>0.0</v>
      </c>
    </row>
    <row r="159">
      <c r="A159" s="92" t="s">
        <v>298</v>
      </c>
      <c r="B159" s="95">
        <v>5.420338983050847</v>
      </c>
      <c r="C159" s="95">
        <v>0.0</v>
      </c>
      <c r="D159" s="95">
        <v>0.0</v>
      </c>
      <c r="E159" s="95">
        <v>0.0</v>
      </c>
      <c r="F159" s="94">
        <v>0.0</v>
      </c>
      <c r="G159" s="95">
        <v>0.0</v>
      </c>
      <c r="H159" s="95">
        <v>5.8145454545454545</v>
      </c>
    </row>
    <row r="160">
      <c r="A160" s="92" t="s">
        <v>316</v>
      </c>
      <c r="B160" s="95">
        <v>4.102564102564103</v>
      </c>
      <c r="C160" s="95">
        <v>0.0</v>
      </c>
      <c r="D160" s="95">
        <v>0.0</v>
      </c>
      <c r="E160" s="95">
        <v>0.0</v>
      </c>
      <c r="F160" s="94">
        <v>0.0</v>
      </c>
      <c r="G160" s="95">
        <v>0.0</v>
      </c>
      <c r="H160" s="95">
        <v>4.571428571428571</v>
      </c>
    </row>
    <row r="161">
      <c r="A161" s="92" t="s">
        <v>322</v>
      </c>
      <c r="B161" s="95">
        <v>4.067796610169491</v>
      </c>
      <c r="C161" s="95">
        <v>0.0</v>
      </c>
      <c r="D161" s="95">
        <v>0.0</v>
      </c>
      <c r="E161" s="95">
        <v>0.0</v>
      </c>
      <c r="F161" s="94">
        <v>0.0</v>
      </c>
      <c r="G161" s="95">
        <v>0.0</v>
      </c>
      <c r="H161" s="95">
        <v>4.0</v>
      </c>
    </row>
    <row r="162">
      <c r="A162" s="92" t="s">
        <v>326</v>
      </c>
      <c r="B162" s="95">
        <v>4.0</v>
      </c>
      <c r="C162" s="95">
        <v>0.0</v>
      </c>
      <c r="D162" s="95">
        <v>0.0</v>
      </c>
      <c r="E162" s="95">
        <v>0.0</v>
      </c>
      <c r="F162" s="94">
        <v>0.0</v>
      </c>
      <c r="G162" s="95">
        <v>0.0</v>
      </c>
      <c r="H162" s="95">
        <v>4.0</v>
      </c>
    </row>
    <row r="163">
      <c r="A163" s="92" t="s">
        <v>329</v>
      </c>
      <c r="B163" s="95">
        <v>4.0</v>
      </c>
      <c r="C163" s="95">
        <v>0.0</v>
      </c>
      <c r="D163" s="95">
        <v>0.0</v>
      </c>
      <c r="E163" s="95">
        <v>0.0</v>
      </c>
      <c r="F163" s="94">
        <v>0.0</v>
      </c>
      <c r="G163" s="95">
        <v>0.0</v>
      </c>
      <c r="H163" s="95">
        <v>4.0</v>
      </c>
    </row>
    <row r="164">
      <c r="A164" s="92" t="s">
        <v>330</v>
      </c>
      <c r="B164" s="95">
        <v>4.0</v>
      </c>
      <c r="C164" s="95">
        <v>0.0</v>
      </c>
      <c r="D164" s="95">
        <v>0.0</v>
      </c>
      <c r="E164" s="95">
        <v>0.0</v>
      </c>
      <c r="F164" s="94">
        <v>0.0</v>
      </c>
      <c r="G164" s="95">
        <v>3.2</v>
      </c>
      <c r="H164" s="95">
        <v>1.0</v>
      </c>
    </row>
    <row r="165">
      <c r="A165" s="92" t="s">
        <v>333</v>
      </c>
      <c r="B165" s="95">
        <v>4.0</v>
      </c>
      <c r="C165" s="95">
        <v>0.0</v>
      </c>
      <c r="D165" s="95">
        <v>0.0</v>
      </c>
      <c r="E165" s="95">
        <v>0.0</v>
      </c>
      <c r="F165" s="94">
        <v>0.0</v>
      </c>
      <c r="G165" s="95">
        <v>4.0</v>
      </c>
      <c r="H165" s="95">
        <v>0.0</v>
      </c>
    </row>
    <row r="166">
      <c r="A166" s="92" t="s">
        <v>349</v>
      </c>
      <c r="B166" s="95">
        <v>2.807017543859649</v>
      </c>
      <c r="C166" s="95">
        <v>0.0</v>
      </c>
      <c r="D166" s="95">
        <v>0.0</v>
      </c>
      <c r="E166" s="95">
        <v>0.0</v>
      </c>
      <c r="F166" s="94">
        <v>0.0</v>
      </c>
      <c r="G166" s="95">
        <v>0.0</v>
      </c>
      <c r="H166" s="95">
        <v>2.909090909090909</v>
      </c>
    </row>
    <row r="167">
      <c r="A167" s="92" t="s">
        <v>357</v>
      </c>
      <c r="B167" s="95">
        <v>2.6666666666666665</v>
      </c>
      <c r="C167" s="95">
        <v>0.0</v>
      </c>
      <c r="D167" s="95">
        <v>0.0</v>
      </c>
      <c r="E167" s="95">
        <v>0.0</v>
      </c>
      <c r="F167" s="94">
        <v>0.0</v>
      </c>
      <c r="G167" s="95">
        <v>0.0</v>
      </c>
      <c r="H167" s="95">
        <v>2.6666666666666665</v>
      </c>
    </row>
    <row r="168">
      <c r="A168" s="92" t="s">
        <v>366</v>
      </c>
      <c r="B168" s="95">
        <v>2.4242424242424243</v>
      </c>
      <c r="C168" s="95">
        <v>0.0</v>
      </c>
      <c r="D168" s="95">
        <v>0.0</v>
      </c>
      <c r="E168" s="95">
        <v>0.0</v>
      </c>
      <c r="F168" s="94">
        <v>0.0</v>
      </c>
      <c r="G168" s="95">
        <v>2.6666666666666665</v>
      </c>
      <c r="H168" s="95">
        <v>0.0</v>
      </c>
    </row>
    <row r="169">
      <c r="A169" s="92" t="s">
        <v>367</v>
      </c>
      <c r="B169" s="95">
        <v>2.4242424242424243</v>
      </c>
      <c r="C169" s="95">
        <v>0.0</v>
      </c>
      <c r="D169" s="95">
        <v>0.0</v>
      </c>
      <c r="E169" s="95">
        <v>0.0</v>
      </c>
      <c r="F169" s="94">
        <v>0.0</v>
      </c>
      <c r="G169" s="95">
        <v>2.4</v>
      </c>
      <c r="H169" s="95">
        <v>0.0</v>
      </c>
    </row>
    <row r="170">
      <c r="A170" s="92" t="s">
        <v>374</v>
      </c>
      <c r="B170" s="95">
        <v>2.1052631578947367</v>
      </c>
      <c r="C170" s="95">
        <v>0.0</v>
      </c>
      <c r="D170" s="95">
        <v>0.0</v>
      </c>
      <c r="E170" s="95">
        <v>0.0</v>
      </c>
      <c r="F170" s="94">
        <v>0.0</v>
      </c>
      <c r="G170" s="95">
        <v>0.0</v>
      </c>
      <c r="H170" s="95">
        <v>2.2857142857142856</v>
      </c>
    </row>
    <row r="171">
      <c r="A171" s="92" t="s">
        <v>375</v>
      </c>
      <c r="B171" s="95">
        <v>2.0512820512820515</v>
      </c>
      <c r="C171" s="95">
        <v>0.0</v>
      </c>
      <c r="D171" s="95">
        <v>0.0</v>
      </c>
      <c r="E171" s="95">
        <v>0.0</v>
      </c>
      <c r="F171" s="94">
        <v>0.0</v>
      </c>
      <c r="G171" s="95">
        <v>0.0</v>
      </c>
      <c r="H171" s="95">
        <v>2.1333333333333333</v>
      </c>
    </row>
    <row r="172">
      <c r="A172" s="92" t="s">
        <v>377</v>
      </c>
      <c r="B172" s="95">
        <v>2.0512820512820515</v>
      </c>
      <c r="C172" s="95">
        <v>0.0</v>
      </c>
      <c r="D172" s="95">
        <v>0.0</v>
      </c>
      <c r="E172" s="95">
        <v>0.0</v>
      </c>
      <c r="F172" s="94">
        <v>0.0</v>
      </c>
      <c r="G172" s="95">
        <v>2.0</v>
      </c>
      <c r="H172" s="95">
        <v>0.0</v>
      </c>
    </row>
    <row r="173">
      <c r="A173" s="92" t="s">
        <v>379</v>
      </c>
      <c r="B173" s="95">
        <v>2.0</v>
      </c>
      <c r="C173" s="95">
        <v>0.0</v>
      </c>
      <c r="D173" s="95">
        <v>0.0</v>
      </c>
      <c r="E173" s="95">
        <v>0.0</v>
      </c>
      <c r="F173" s="94">
        <v>0.0</v>
      </c>
      <c r="G173" s="95">
        <v>0.0</v>
      </c>
      <c r="H173" s="95">
        <v>2.0</v>
      </c>
    </row>
    <row r="174">
      <c r="A174" s="92" t="s">
        <v>380</v>
      </c>
      <c r="B174" s="95">
        <v>2.0</v>
      </c>
      <c r="C174" s="95">
        <v>0.0</v>
      </c>
      <c r="D174" s="95">
        <v>0.0</v>
      </c>
      <c r="E174" s="95">
        <v>0.0</v>
      </c>
      <c r="F174" s="94">
        <v>0.0</v>
      </c>
      <c r="G174" s="95">
        <v>0.0</v>
      </c>
      <c r="H174" s="95">
        <v>2.0</v>
      </c>
    </row>
    <row r="175">
      <c r="A175" s="92" t="s">
        <v>398</v>
      </c>
      <c r="B175" s="95">
        <v>0.0</v>
      </c>
      <c r="C175" s="95">
        <v>0.0</v>
      </c>
      <c r="D175" s="95">
        <v>0.0</v>
      </c>
      <c r="E175" s="95">
        <v>0.0</v>
      </c>
      <c r="F175" s="94">
        <v>0.0</v>
      </c>
      <c r="G175" s="95">
        <v>0.0</v>
      </c>
      <c r="H175" s="95">
        <v>0.0</v>
      </c>
    </row>
    <row r="176">
      <c r="A176" s="92" t="s">
        <v>399</v>
      </c>
      <c r="B176" s="95">
        <v>0.0</v>
      </c>
      <c r="C176" s="95">
        <v>0.0</v>
      </c>
      <c r="D176" s="95">
        <v>0.0</v>
      </c>
      <c r="E176" s="95">
        <v>0.0</v>
      </c>
      <c r="F176" s="94">
        <v>0.0</v>
      </c>
      <c r="G176" s="95">
        <v>0.0</v>
      </c>
      <c r="H176" s="95">
        <v>0.0</v>
      </c>
    </row>
    <row r="177">
      <c r="A177" s="92" t="s">
        <v>400</v>
      </c>
      <c r="B177" s="95">
        <v>0.0</v>
      </c>
      <c r="C177" s="95">
        <v>0.0</v>
      </c>
      <c r="D177" s="95">
        <v>0.0</v>
      </c>
      <c r="E177" s="95">
        <v>0.0</v>
      </c>
      <c r="F177" s="94">
        <v>0.0</v>
      </c>
      <c r="G177" s="95">
        <v>0.0</v>
      </c>
      <c r="H177" s="95">
        <v>0.0</v>
      </c>
    </row>
    <row r="178">
      <c r="A178" s="92" t="s">
        <v>401</v>
      </c>
      <c r="B178" s="95">
        <v>0.0</v>
      </c>
      <c r="C178" s="95">
        <v>0.0</v>
      </c>
      <c r="D178" s="95">
        <v>0.0</v>
      </c>
      <c r="E178" s="95">
        <v>0.0</v>
      </c>
      <c r="F178" s="94">
        <v>0.0</v>
      </c>
      <c r="G178" s="95">
        <v>0.0</v>
      </c>
      <c r="H178" s="95">
        <v>0.0</v>
      </c>
    </row>
    <row r="179">
      <c r="A179" s="92" t="s">
        <v>402</v>
      </c>
      <c r="B179" s="95">
        <v>0.0</v>
      </c>
      <c r="C179" s="95">
        <v>0.0</v>
      </c>
      <c r="D179" s="95">
        <v>0.0</v>
      </c>
      <c r="E179" s="95">
        <v>0.0</v>
      </c>
      <c r="F179" s="94">
        <v>0.0</v>
      </c>
      <c r="G179" s="95">
        <v>0.0</v>
      </c>
      <c r="H179" s="95">
        <v>0.0</v>
      </c>
    </row>
    <row r="180">
      <c r="A180" s="92" t="s">
        <v>403</v>
      </c>
      <c r="B180" s="95">
        <v>0.0</v>
      </c>
      <c r="C180" s="95">
        <v>0.0</v>
      </c>
      <c r="D180" s="95">
        <v>0.0</v>
      </c>
      <c r="E180" s="95">
        <v>0.0</v>
      </c>
      <c r="F180" s="94">
        <v>0.0</v>
      </c>
      <c r="G180" s="95">
        <v>0.0</v>
      </c>
      <c r="H180" s="95">
        <v>0.0</v>
      </c>
    </row>
    <row r="181">
      <c r="A181" s="92" t="s">
        <v>405</v>
      </c>
      <c r="B181" s="95">
        <v>0.0</v>
      </c>
      <c r="C181" s="95">
        <v>0.0</v>
      </c>
      <c r="D181" s="95">
        <v>0.0</v>
      </c>
      <c r="E181" s="95">
        <v>0.0</v>
      </c>
      <c r="F181" s="94">
        <v>0.0</v>
      </c>
      <c r="G181" s="95">
        <v>0.0</v>
      </c>
      <c r="H181" s="95">
        <v>0.0</v>
      </c>
    </row>
    <row r="182">
      <c r="A182" s="92" t="s">
        <v>406</v>
      </c>
      <c r="B182" s="95">
        <v>0.0</v>
      </c>
      <c r="C182" s="95">
        <v>0.0</v>
      </c>
      <c r="D182" s="95">
        <v>0.0</v>
      </c>
      <c r="E182" s="95">
        <v>0.0</v>
      </c>
      <c r="F182" s="94">
        <v>0.0</v>
      </c>
      <c r="G182" s="95">
        <v>0.0</v>
      </c>
      <c r="H182" s="95">
        <v>0.0</v>
      </c>
    </row>
    <row r="183">
      <c r="A183" s="92" t="s">
        <v>407</v>
      </c>
      <c r="B183" s="95">
        <v>0.0</v>
      </c>
      <c r="C183" s="95">
        <v>0.0</v>
      </c>
      <c r="D183" s="95">
        <v>0.0</v>
      </c>
      <c r="E183" s="95">
        <v>0.0</v>
      </c>
      <c r="F183" s="94">
        <v>0.0</v>
      </c>
      <c r="G183" s="95">
        <v>0.0</v>
      </c>
      <c r="H183" s="95">
        <v>0.0</v>
      </c>
    </row>
    <row r="184">
      <c r="A184" s="92" t="s">
        <v>408</v>
      </c>
      <c r="B184" s="95">
        <v>0.0</v>
      </c>
      <c r="C184" s="95">
        <v>0.0</v>
      </c>
      <c r="D184" s="95">
        <v>0.0</v>
      </c>
      <c r="E184" s="95">
        <v>0.0</v>
      </c>
      <c r="F184" s="94">
        <v>0.0</v>
      </c>
      <c r="G184" s="95">
        <v>0.0</v>
      </c>
      <c r="H184" s="95">
        <v>0.0</v>
      </c>
    </row>
    <row r="185">
      <c r="A185" s="92" t="s">
        <v>409</v>
      </c>
      <c r="B185" s="95">
        <v>0.0</v>
      </c>
      <c r="C185" s="95">
        <v>0.0</v>
      </c>
      <c r="D185" s="95">
        <v>0.0</v>
      </c>
      <c r="E185" s="95">
        <v>0.0</v>
      </c>
      <c r="F185" s="94">
        <v>0.0</v>
      </c>
      <c r="G185" s="95">
        <v>0.0</v>
      </c>
      <c r="H185" s="95">
        <v>0.0</v>
      </c>
    </row>
    <row r="186">
      <c r="A186" s="92" t="s">
        <v>410</v>
      </c>
      <c r="B186" s="95">
        <v>0.0</v>
      </c>
      <c r="C186" s="95">
        <v>0.0</v>
      </c>
      <c r="D186" s="95">
        <v>0.0</v>
      </c>
      <c r="E186" s="95">
        <v>0.0</v>
      </c>
      <c r="F186" s="94">
        <v>0.0</v>
      </c>
      <c r="G186" s="95">
        <v>0.0</v>
      </c>
      <c r="H186" s="95">
        <v>0.0</v>
      </c>
    </row>
    <row r="187">
      <c r="A187" s="92" t="s">
        <v>411</v>
      </c>
      <c r="B187" s="95">
        <v>0.0</v>
      </c>
      <c r="C187" s="95">
        <v>0.0</v>
      </c>
      <c r="D187" s="95">
        <v>0.0</v>
      </c>
      <c r="E187" s="95">
        <v>0.0</v>
      </c>
      <c r="F187" s="94">
        <v>0.0</v>
      </c>
      <c r="G187" s="95">
        <v>0.0</v>
      </c>
      <c r="H187" s="95">
        <v>0.0</v>
      </c>
    </row>
    <row r="188">
      <c r="A188" s="92" t="s">
        <v>360</v>
      </c>
      <c r="B188" s="95">
        <v>0.0</v>
      </c>
      <c r="C188" s="95">
        <v>0.5</v>
      </c>
      <c r="D188" s="95">
        <v>-2.0</v>
      </c>
      <c r="E188" s="95">
        <v>0.0</v>
      </c>
      <c r="F188" s="94">
        <v>0.0</v>
      </c>
      <c r="G188" s="95">
        <v>0.0</v>
      </c>
      <c r="H188" s="95">
        <v>2.0</v>
      </c>
    </row>
    <row r="189">
      <c r="A189" s="92" t="s">
        <v>253</v>
      </c>
      <c r="B189" s="95">
        <v>8.080808080808081</v>
      </c>
      <c r="C189" s="95">
        <v>0.40404040404040403</v>
      </c>
      <c r="D189" s="95">
        <v>6.4</v>
      </c>
      <c r="E189" s="95">
        <v>-0.7619047619047619</v>
      </c>
      <c r="F189" s="94">
        <v>0.0</v>
      </c>
      <c r="G189" s="95">
        <v>0.0</v>
      </c>
      <c r="H189" s="95">
        <v>2.526315789473684</v>
      </c>
    </row>
    <row r="190">
      <c r="A190" s="92" t="s">
        <v>313</v>
      </c>
      <c r="B190" s="95">
        <v>4.324324324324324</v>
      </c>
      <c r="C190" s="95">
        <v>0.5378378378378378</v>
      </c>
      <c r="D190" s="95">
        <v>0.0</v>
      </c>
      <c r="E190" s="95">
        <v>-1.0666666666666667</v>
      </c>
      <c r="F190" s="94">
        <v>0.0</v>
      </c>
      <c r="G190" s="95">
        <v>6.153846153846154</v>
      </c>
      <c r="H190" s="95">
        <v>0.0</v>
      </c>
    </row>
    <row r="191">
      <c r="A191" s="92" t="s">
        <v>391</v>
      </c>
      <c r="B191" s="95">
        <v>0.0</v>
      </c>
      <c r="C191" s="95">
        <v>0.3508771929824561</v>
      </c>
      <c r="D191" s="95">
        <v>1.3333333333333333</v>
      </c>
      <c r="E191" s="95">
        <v>-1.3333333333333333</v>
      </c>
      <c r="F191" s="94">
        <v>0.0</v>
      </c>
      <c r="G191" s="95">
        <v>0.0</v>
      </c>
      <c r="H191" s="95">
        <v>0.0</v>
      </c>
    </row>
    <row r="192">
      <c r="A192" s="92" t="s">
        <v>388</v>
      </c>
      <c r="B192" s="95">
        <v>0.0</v>
      </c>
      <c r="C192" s="95">
        <v>0.37037037037037035</v>
      </c>
      <c r="D192" s="95">
        <v>1.4545454545454546</v>
      </c>
      <c r="E192" s="95">
        <v>-1.4545454545454546</v>
      </c>
      <c r="F192" s="94">
        <v>0.0</v>
      </c>
      <c r="G192" s="95">
        <v>0.0</v>
      </c>
      <c r="H192" s="95">
        <v>0.0</v>
      </c>
    </row>
    <row r="193">
      <c r="A193" s="92" t="s">
        <v>328</v>
      </c>
      <c r="B193" s="95">
        <v>2.426262626262626</v>
      </c>
      <c r="C193" s="95">
        <v>0.608080808080808</v>
      </c>
      <c r="D193" s="95">
        <v>0.0</v>
      </c>
      <c r="E193" s="95">
        <v>0.0</v>
      </c>
      <c r="F193" s="94">
        <v>-0.798</v>
      </c>
      <c r="G193" s="95">
        <v>0.0</v>
      </c>
      <c r="H193" s="95">
        <v>3.2</v>
      </c>
    </row>
    <row r="194">
      <c r="A194" s="92" t="s">
        <v>332</v>
      </c>
      <c r="B194" s="95">
        <v>4.0</v>
      </c>
      <c r="C194" s="95">
        <v>0.6</v>
      </c>
      <c r="D194" s="95">
        <v>0.8</v>
      </c>
      <c r="E194" s="95">
        <v>3.2</v>
      </c>
      <c r="F194" s="94">
        <v>-0.8</v>
      </c>
      <c r="G194" s="95">
        <v>0.0</v>
      </c>
      <c r="H194" s="95">
        <v>0.8421052631578947</v>
      </c>
    </row>
    <row r="195">
      <c r="A195" s="92" t="s">
        <v>308</v>
      </c>
      <c r="B195" s="95">
        <v>4.848484848484849</v>
      </c>
      <c r="C195" s="95">
        <v>0.40404040404040403</v>
      </c>
      <c r="D195" s="95">
        <v>5.333333333333333</v>
      </c>
      <c r="E195" s="95">
        <v>0.0</v>
      </c>
      <c r="F195" s="94">
        <v>-0.8</v>
      </c>
      <c r="G195" s="95">
        <v>0.0</v>
      </c>
      <c r="H195" s="95">
        <v>0.7619047619047619</v>
      </c>
    </row>
    <row r="196">
      <c r="A196" s="92" t="s">
        <v>288</v>
      </c>
      <c r="B196" s="95">
        <v>5.7142857142857135</v>
      </c>
      <c r="C196" s="95">
        <v>0.6122448979591836</v>
      </c>
      <c r="D196" s="95">
        <v>1.6</v>
      </c>
      <c r="E196" s="95">
        <v>0.0</v>
      </c>
      <c r="F196" s="94">
        <v>-0.8</v>
      </c>
      <c r="G196" s="95">
        <v>0.8421052631578947</v>
      </c>
      <c r="H196" s="95">
        <v>4.2105263157894735</v>
      </c>
    </row>
    <row r="197">
      <c r="A197" s="92" t="s">
        <v>347</v>
      </c>
      <c r="B197" s="95">
        <v>1.0666666666666667</v>
      </c>
      <c r="C197" s="95">
        <v>0.5333333333333333</v>
      </c>
      <c r="D197" s="95">
        <v>0.0</v>
      </c>
      <c r="E197" s="95">
        <v>0.0</v>
      </c>
      <c r="F197" s="94">
        <v>-1.0</v>
      </c>
      <c r="G197" s="95">
        <v>2.2857142857142856</v>
      </c>
      <c r="H197" s="95">
        <v>0.0</v>
      </c>
    </row>
    <row r="198">
      <c r="A198" s="92" t="s">
        <v>352</v>
      </c>
      <c r="B198" s="95">
        <v>2.7586206896551726</v>
      </c>
      <c r="C198" s="95">
        <v>0.3448275862068966</v>
      </c>
      <c r="D198" s="95">
        <v>1.4545454545454546</v>
      </c>
      <c r="E198" s="95">
        <v>2.6666666666666665</v>
      </c>
      <c r="F198" s="94">
        <v>-1.3333333333333333</v>
      </c>
      <c r="G198" s="95">
        <v>0.0</v>
      </c>
      <c r="H198" s="95">
        <v>0.0</v>
      </c>
    </row>
    <row r="199">
      <c r="A199" s="92" t="s">
        <v>358</v>
      </c>
      <c r="B199" s="95">
        <v>2.6666666666666665</v>
      </c>
      <c r="C199" s="95">
        <v>0.3333333333333333</v>
      </c>
      <c r="D199" s="95">
        <v>0.0</v>
      </c>
      <c r="E199" s="95">
        <v>0.0</v>
      </c>
      <c r="F199" s="94">
        <v>-1.3333333333333333</v>
      </c>
      <c r="G199" s="95">
        <v>4.0</v>
      </c>
      <c r="H199" s="95">
        <v>0.0</v>
      </c>
    </row>
    <row r="200">
      <c r="A200" s="92" t="s">
        <v>396</v>
      </c>
      <c r="B200" s="95">
        <v>0.0</v>
      </c>
      <c r="C200" s="95">
        <v>0.3333333333333333</v>
      </c>
      <c r="D200" s="95">
        <v>0.0</v>
      </c>
      <c r="E200" s="95">
        <v>0.0</v>
      </c>
      <c r="F200" s="94">
        <v>-1.3333333333333333</v>
      </c>
      <c r="G200" s="95">
        <v>1.3333333333333333</v>
      </c>
      <c r="H200" s="95">
        <v>0.0</v>
      </c>
    </row>
    <row r="201">
      <c r="A201" s="92" t="s">
        <v>397</v>
      </c>
      <c r="B201" s="95">
        <v>0.0</v>
      </c>
      <c r="C201" s="95">
        <v>0.3333333333333333</v>
      </c>
      <c r="D201" s="95">
        <v>0.0</v>
      </c>
      <c r="E201" s="95">
        <v>0.0</v>
      </c>
      <c r="F201" s="94">
        <v>-1.3333333333333333</v>
      </c>
      <c r="G201" s="95">
        <v>1.3333333333333333</v>
      </c>
      <c r="H201" s="95">
        <v>0.0</v>
      </c>
    </row>
    <row r="202">
      <c r="A202" s="92" t="s">
        <v>274</v>
      </c>
      <c r="B202" s="95">
        <v>6.8965517241379315</v>
      </c>
      <c r="C202" s="95">
        <v>0.6896551724137931</v>
      </c>
      <c r="D202" s="95">
        <v>0.0</v>
      </c>
      <c r="E202" s="95">
        <v>8.0</v>
      </c>
      <c r="F202" s="94">
        <v>-1.4545454545454546</v>
      </c>
      <c r="G202" s="95">
        <v>0.0</v>
      </c>
      <c r="H202" s="95">
        <v>0.0</v>
      </c>
    </row>
    <row r="203">
      <c r="A203" s="92" t="s">
        <v>301</v>
      </c>
      <c r="B203" s="95">
        <v>0.0</v>
      </c>
      <c r="C203" s="95">
        <v>1.0</v>
      </c>
      <c r="D203" s="95">
        <v>0.0</v>
      </c>
      <c r="E203" s="95">
        <v>4.0</v>
      </c>
      <c r="F203" s="94">
        <v>-4.0</v>
      </c>
      <c r="G203" s="95">
        <v>0.0</v>
      </c>
      <c r="H203" s="95">
        <v>0.0</v>
      </c>
    </row>
    <row r="204">
      <c r="F204" s="152"/>
    </row>
    <row r="205">
      <c r="F205" s="152"/>
    </row>
    <row r="206">
      <c r="F206" s="152"/>
    </row>
    <row r="207">
      <c r="F207" s="152"/>
    </row>
    <row r="208">
      <c r="F208" s="152"/>
    </row>
    <row r="209">
      <c r="F209" s="152"/>
    </row>
    <row r="210">
      <c r="F210" s="152"/>
    </row>
    <row r="211">
      <c r="F211" s="152"/>
    </row>
    <row r="212">
      <c r="F212" s="152"/>
    </row>
    <row r="213">
      <c r="F213" s="152"/>
    </row>
    <row r="214">
      <c r="F214" s="152"/>
    </row>
    <row r="215">
      <c r="F215" s="152"/>
    </row>
    <row r="216">
      <c r="F216" s="152"/>
    </row>
    <row r="217">
      <c r="F217" s="152"/>
    </row>
    <row r="218">
      <c r="F218" s="152"/>
    </row>
    <row r="219">
      <c r="F219" s="152"/>
    </row>
    <row r="220">
      <c r="F220" s="152"/>
    </row>
    <row r="221">
      <c r="F221" s="152"/>
    </row>
    <row r="222">
      <c r="F222" s="152"/>
    </row>
    <row r="223">
      <c r="F223" s="152"/>
    </row>
    <row r="224">
      <c r="F224" s="152"/>
    </row>
    <row r="225">
      <c r="F225" s="152"/>
    </row>
    <row r="226">
      <c r="F226" s="152"/>
    </row>
    <row r="227">
      <c r="F227" s="152"/>
    </row>
    <row r="228">
      <c r="F228" s="152"/>
    </row>
    <row r="229">
      <c r="F229" s="152"/>
    </row>
    <row r="230">
      <c r="F230" s="152"/>
    </row>
    <row r="231">
      <c r="F231" s="152"/>
    </row>
    <row r="232">
      <c r="F232" s="152"/>
    </row>
    <row r="233">
      <c r="F233" s="152"/>
    </row>
    <row r="234">
      <c r="F234" s="152"/>
    </row>
    <row r="235">
      <c r="F235" s="152"/>
    </row>
    <row r="236">
      <c r="F236" s="152"/>
    </row>
    <row r="237">
      <c r="F237" s="152"/>
    </row>
    <row r="238">
      <c r="F238" s="152"/>
    </row>
    <row r="239">
      <c r="F239" s="152"/>
    </row>
    <row r="240">
      <c r="F240" s="152"/>
    </row>
    <row r="241">
      <c r="F241" s="152"/>
    </row>
    <row r="242">
      <c r="F242" s="152"/>
    </row>
    <row r="243">
      <c r="F243" s="152"/>
    </row>
    <row r="244">
      <c r="F244" s="152"/>
    </row>
    <row r="245">
      <c r="F245" s="152"/>
    </row>
    <row r="246">
      <c r="F246" s="152"/>
    </row>
    <row r="247">
      <c r="F247" s="152"/>
    </row>
    <row r="248">
      <c r="F248" s="152"/>
    </row>
    <row r="249">
      <c r="F249" s="152"/>
    </row>
    <row r="250">
      <c r="F250" s="152"/>
    </row>
    <row r="251">
      <c r="F251" s="152"/>
    </row>
    <row r="252">
      <c r="F252" s="152"/>
    </row>
    <row r="253">
      <c r="F253" s="152"/>
    </row>
    <row r="254">
      <c r="F254" s="152"/>
    </row>
    <row r="255">
      <c r="F255" s="152"/>
    </row>
    <row r="256">
      <c r="F256" s="152"/>
    </row>
    <row r="257">
      <c r="F257" s="152"/>
    </row>
    <row r="258">
      <c r="F258" s="152"/>
    </row>
    <row r="259">
      <c r="F259" s="152"/>
    </row>
    <row r="260">
      <c r="F260" s="152"/>
    </row>
    <row r="261">
      <c r="F261" s="152"/>
    </row>
    <row r="262">
      <c r="F262" s="152"/>
    </row>
    <row r="263">
      <c r="F263" s="152"/>
    </row>
    <row r="264">
      <c r="F264" s="152"/>
    </row>
    <row r="265">
      <c r="F265" s="152"/>
    </row>
    <row r="266">
      <c r="F266" s="152"/>
    </row>
    <row r="267">
      <c r="F267" s="152"/>
    </row>
    <row r="268">
      <c r="F268" s="152"/>
    </row>
    <row r="269">
      <c r="F269" s="152"/>
    </row>
    <row r="270">
      <c r="F270" s="152"/>
    </row>
    <row r="271">
      <c r="F271" s="152"/>
    </row>
    <row r="272">
      <c r="F272" s="152"/>
    </row>
    <row r="273">
      <c r="F273" s="152"/>
    </row>
    <row r="274">
      <c r="F274" s="152"/>
    </row>
    <row r="275">
      <c r="F275" s="152"/>
    </row>
    <row r="276">
      <c r="F276" s="152"/>
    </row>
    <row r="277">
      <c r="F277" s="152"/>
    </row>
    <row r="278">
      <c r="F278" s="152"/>
    </row>
    <row r="279">
      <c r="F279" s="152"/>
    </row>
    <row r="280">
      <c r="F280" s="152"/>
    </row>
    <row r="281">
      <c r="F281" s="152"/>
    </row>
    <row r="282">
      <c r="F282" s="152"/>
    </row>
    <row r="283">
      <c r="F283" s="152"/>
    </row>
    <row r="284">
      <c r="F284" s="152"/>
    </row>
    <row r="285">
      <c r="F285" s="152"/>
    </row>
    <row r="286">
      <c r="F286" s="152"/>
    </row>
    <row r="287">
      <c r="F287" s="152"/>
    </row>
    <row r="288">
      <c r="F288" s="152"/>
    </row>
    <row r="289">
      <c r="F289" s="152"/>
    </row>
    <row r="290">
      <c r="F290" s="152"/>
    </row>
    <row r="291">
      <c r="F291" s="152"/>
    </row>
    <row r="292">
      <c r="F292" s="152"/>
    </row>
    <row r="293">
      <c r="F293" s="152"/>
    </row>
    <row r="294">
      <c r="F294" s="152"/>
    </row>
    <row r="295">
      <c r="F295" s="152"/>
    </row>
    <row r="296">
      <c r="F296" s="152"/>
    </row>
    <row r="297">
      <c r="F297" s="152"/>
    </row>
    <row r="298">
      <c r="F298" s="152"/>
    </row>
    <row r="299">
      <c r="F299" s="152"/>
    </row>
    <row r="300">
      <c r="F300" s="152"/>
    </row>
    <row r="301">
      <c r="F301" s="152"/>
    </row>
    <row r="302">
      <c r="F302" s="152"/>
    </row>
    <row r="303">
      <c r="F303" s="152"/>
    </row>
    <row r="304">
      <c r="F304" s="152"/>
    </row>
    <row r="305">
      <c r="F305" s="152"/>
    </row>
    <row r="306">
      <c r="F306" s="152"/>
    </row>
    <row r="307">
      <c r="F307" s="152"/>
    </row>
    <row r="308">
      <c r="F308" s="152"/>
    </row>
    <row r="309">
      <c r="F309" s="152"/>
    </row>
    <row r="310">
      <c r="F310" s="152"/>
    </row>
    <row r="311">
      <c r="F311" s="152"/>
    </row>
    <row r="312">
      <c r="F312" s="152"/>
    </row>
    <row r="313">
      <c r="F313" s="152"/>
    </row>
    <row r="314">
      <c r="F314" s="152"/>
    </row>
    <row r="315">
      <c r="F315" s="152"/>
    </row>
    <row r="316">
      <c r="F316" s="152"/>
    </row>
    <row r="317">
      <c r="F317" s="152"/>
    </row>
    <row r="318">
      <c r="F318" s="152"/>
    </row>
    <row r="319">
      <c r="F319" s="152"/>
    </row>
    <row r="320">
      <c r="F320" s="152"/>
    </row>
    <row r="321">
      <c r="F321" s="152"/>
    </row>
    <row r="322">
      <c r="F322" s="152"/>
    </row>
    <row r="323">
      <c r="F323" s="152"/>
    </row>
    <row r="324">
      <c r="F324" s="152"/>
    </row>
    <row r="325">
      <c r="F325" s="152"/>
    </row>
    <row r="326">
      <c r="F326" s="152"/>
    </row>
    <row r="327">
      <c r="F327" s="152"/>
    </row>
    <row r="328">
      <c r="F328" s="152"/>
    </row>
    <row r="329">
      <c r="F329" s="152"/>
    </row>
    <row r="330">
      <c r="F330" s="152"/>
    </row>
    <row r="331">
      <c r="F331" s="152"/>
    </row>
    <row r="332">
      <c r="F332" s="152"/>
    </row>
    <row r="333">
      <c r="F333" s="152"/>
    </row>
    <row r="334">
      <c r="F334" s="152"/>
    </row>
    <row r="335">
      <c r="F335" s="152"/>
    </row>
    <row r="336">
      <c r="F336" s="152"/>
    </row>
    <row r="337">
      <c r="F337" s="152"/>
    </row>
    <row r="338">
      <c r="F338" s="152"/>
    </row>
    <row r="339">
      <c r="F339" s="152"/>
    </row>
    <row r="340">
      <c r="F340" s="152"/>
    </row>
    <row r="341">
      <c r="F341" s="152"/>
    </row>
    <row r="342">
      <c r="F342" s="152"/>
    </row>
    <row r="343">
      <c r="F343" s="152"/>
    </row>
    <row r="344">
      <c r="F344" s="152"/>
    </row>
    <row r="345">
      <c r="F345" s="152"/>
    </row>
    <row r="346">
      <c r="F346" s="152"/>
    </row>
    <row r="347">
      <c r="F347" s="152"/>
    </row>
    <row r="348">
      <c r="F348" s="152"/>
    </row>
    <row r="349">
      <c r="F349" s="152"/>
    </row>
    <row r="350">
      <c r="F350" s="152"/>
    </row>
    <row r="351">
      <c r="F351" s="152"/>
    </row>
    <row r="352">
      <c r="F352" s="152"/>
    </row>
    <row r="353">
      <c r="F353" s="152"/>
    </row>
    <row r="354">
      <c r="F354" s="152"/>
    </row>
    <row r="355">
      <c r="F355" s="152"/>
    </row>
    <row r="356">
      <c r="F356" s="152"/>
    </row>
    <row r="357">
      <c r="F357" s="152"/>
    </row>
    <row r="358">
      <c r="F358" s="152"/>
    </row>
    <row r="359">
      <c r="F359" s="152"/>
    </row>
    <row r="360">
      <c r="F360" s="152"/>
    </row>
    <row r="361">
      <c r="F361" s="152"/>
    </row>
    <row r="362">
      <c r="F362" s="152"/>
    </row>
    <row r="363">
      <c r="F363" s="152"/>
    </row>
    <row r="364">
      <c r="F364" s="152"/>
    </row>
    <row r="365">
      <c r="F365" s="152"/>
    </row>
    <row r="366">
      <c r="F366" s="152"/>
    </row>
    <row r="367">
      <c r="F367" s="152"/>
    </row>
    <row r="368">
      <c r="F368" s="152"/>
    </row>
    <row r="369">
      <c r="F369" s="152"/>
    </row>
    <row r="370">
      <c r="F370" s="152"/>
    </row>
    <row r="371">
      <c r="F371" s="152"/>
    </row>
    <row r="372">
      <c r="F372" s="152"/>
    </row>
    <row r="373">
      <c r="F373" s="152"/>
    </row>
    <row r="374">
      <c r="F374" s="152"/>
    </row>
    <row r="375">
      <c r="F375" s="152"/>
    </row>
    <row r="376">
      <c r="F376" s="152"/>
    </row>
    <row r="377">
      <c r="F377" s="152"/>
    </row>
    <row r="378">
      <c r="F378" s="152"/>
    </row>
    <row r="379">
      <c r="F379" s="152"/>
    </row>
    <row r="380">
      <c r="F380" s="152"/>
    </row>
    <row r="381">
      <c r="F381" s="152"/>
    </row>
    <row r="382">
      <c r="F382" s="152"/>
    </row>
    <row r="383">
      <c r="F383" s="152"/>
    </row>
    <row r="384">
      <c r="F384" s="152"/>
    </row>
    <row r="385">
      <c r="F385" s="152"/>
    </row>
    <row r="386">
      <c r="F386" s="152"/>
    </row>
    <row r="387">
      <c r="F387" s="152"/>
    </row>
    <row r="388">
      <c r="F388" s="152"/>
    </row>
    <row r="389">
      <c r="F389" s="152"/>
    </row>
    <row r="390">
      <c r="F390" s="152"/>
    </row>
    <row r="391">
      <c r="F391" s="152"/>
    </row>
    <row r="392">
      <c r="F392" s="152"/>
    </row>
    <row r="393">
      <c r="F393" s="152"/>
    </row>
    <row r="394">
      <c r="F394" s="152"/>
    </row>
    <row r="395">
      <c r="F395" s="152"/>
    </row>
    <row r="396">
      <c r="F396" s="152"/>
    </row>
    <row r="397">
      <c r="F397" s="152"/>
    </row>
    <row r="398">
      <c r="F398" s="152"/>
    </row>
    <row r="399">
      <c r="F399" s="152"/>
    </row>
    <row r="400">
      <c r="F400" s="152"/>
    </row>
    <row r="401">
      <c r="F401" s="152"/>
    </row>
    <row r="402">
      <c r="F402" s="152"/>
    </row>
    <row r="403">
      <c r="F403" s="152"/>
    </row>
    <row r="404">
      <c r="F404" s="152"/>
    </row>
    <row r="405">
      <c r="F405" s="152"/>
    </row>
    <row r="406">
      <c r="F406" s="152"/>
    </row>
    <row r="407">
      <c r="F407" s="152"/>
    </row>
    <row r="408">
      <c r="F408" s="152"/>
    </row>
    <row r="409">
      <c r="F409" s="152"/>
    </row>
    <row r="410">
      <c r="F410" s="152"/>
    </row>
    <row r="411">
      <c r="F411" s="152"/>
    </row>
    <row r="412">
      <c r="F412" s="152"/>
    </row>
    <row r="413">
      <c r="F413" s="152"/>
    </row>
    <row r="414">
      <c r="F414" s="152"/>
    </row>
    <row r="415">
      <c r="F415" s="152"/>
    </row>
    <row r="416">
      <c r="F416" s="152"/>
    </row>
    <row r="417">
      <c r="F417" s="152"/>
    </row>
    <row r="418">
      <c r="F418" s="152"/>
    </row>
    <row r="419">
      <c r="F419" s="152"/>
    </row>
    <row r="420">
      <c r="F420" s="152"/>
    </row>
    <row r="421">
      <c r="F421" s="152"/>
    </row>
    <row r="422">
      <c r="F422" s="152"/>
    </row>
    <row r="423">
      <c r="F423" s="152"/>
    </row>
    <row r="424">
      <c r="F424" s="152"/>
    </row>
    <row r="425">
      <c r="F425" s="152"/>
    </row>
    <row r="426">
      <c r="F426" s="152"/>
    </row>
    <row r="427">
      <c r="F427" s="152"/>
    </row>
    <row r="428">
      <c r="F428" s="152"/>
    </row>
    <row r="429">
      <c r="F429" s="152"/>
    </row>
    <row r="430">
      <c r="F430" s="152"/>
    </row>
    <row r="431">
      <c r="F431" s="152"/>
    </row>
    <row r="432">
      <c r="F432" s="152"/>
    </row>
    <row r="433">
      <c r="F433" s="152"/>
    </row>
    <row r="434">
      <c r="F434" s="152"/>
    </row>
    <row r="435">
      <c r="F435" s="152"/>
    </row>
    <row r="436">
      <c r="F436" s="152"/>
    </row>
    <row r="437">
      <c r="F437" s="152"/>
    </row>
    <row r="438">
      <c r="F438" s="152"/>
    </row>
    <row r="439">
      <c r="F439" s="152"/>
    </row>
    <row r="440">
      <c r="F440" s="152"/>
    </row>
    <row r="441">
      <c r="F441" s="152"/>
    </row>
    <row r="442">
      <c r="F442" s="152"/>
    </row>
    <row r="443">
      <c r="F443" s="152"/>
    </row>
    <row r="444">
      <c r="F444" s="152"/>
    </row>
    <row r="445">
      <c r="F445" s="152"/>
    </row>
    <row r="446">
      <c r="F446" s="152"/>
    </row>
    <row r="447">
      <c r="F447" s="152"/>
    </row>
    <row r="448">
      <c r="F448" s="152"/>
    </row>
    <row r="449">
      <c r="F449" s="152"/>
    </row>
    <row r="450">
      <c r="F450" s="152"/>
    </row>
    <row r="451">
      <c r="F451" s="152"/>
    </row>
    <row r="452">
      <c r="F452" s="152"/>
    </row>
    <row r="453">
      <c r="F453" s="152"/>
    </row>
    <row r="454">
      <c r="F454" s="152"/>
    </row>
    <row r="455">
      <c r="F455" s="152"/>
    </row>
    <row r="456">
      <c r="F456" s="152"/>
    </row>
    <row r="457">
      <c r="F457" s="152"/>
    </row>
    <row r="458">
      <c r="F458" s="152"/>
    </row>
    <row r="459">
      <c r="F459" s="152"/>
    </row>
    <row r="460">
      <c r="F460" s="152"/>
    </row>
    <row r="461">
      <c r="F461" s="152"/>
    </row>
    <row r="462">
      <c r="F462" s="152"/>
    </row>
    <row r="463">
      <c r="F463" s="152"/>
    </row>
    <row r="464">
      <c r="F464" s="152"/>
    </row>
    <row r="465">
      <c r="F465" s="152"/>
    </row>
    <row r="466">
      <c r="F466" s="152"/>
    </row>
    <row r="467">
      <c r="F467" s="152"/>
    </row>
    <row r="468">
      <c r="F468" s="152"/>
    </row>
    <row r="469">
      <c r="F469" s="152"/>
    </row>
    <row r="470">
      <c r="F470" s="152"/>
    </row>
    <row r="471">
      <c r="F471" s="152"/>
    </row>
    <row r="472">
      <c r="F472" s="152"/>
    </row>
    <row r="473">
      <c r="F473" s="152"/>
    </row>
    <row r="474">
      <c r="F474" s="152"/>
    </row>
    <row r="475">
      <c r="F475" s="152"/>
    </row>
    <row r="476">
      <c r="F476" s="152"/>
    </row>
    <row r="477">
      <c r="F477" s="152"/>
    </row>
    <row r="478">
      <c r="F478" s="152"/>
    </row>
    <row r="479">
      <c r="F479" s="152"/>
    </row>
    <row r="480">
      <c r="F480" s="152"/>
    </row>
    <row r="481">
      <c r="F481" s="152"/>
    </row>
    <row r="482">
      <c r="F482" s="152"/>
    </row>
    <row r="483">
      <c r="F483" s="152"/>
    </row>
    <row r="484">
      <c r="F484" s="152"/>
    </row>
    <row r="485">
      <c r="F485" s="152"/>
    </row>
    <row r="486">
      <c r="F486" s="152"/>
    </row>
    <row r="487">
      <c r="F487" s="152"/>
    </row>
    <row r="488">
      <c r="F488" s="152"/>
    </row>
    <row r="489">
      <c r="F489" s="152"/>
    </row>
    <row r="490">
      <c r="F490" s="152"/>
    </row>
    <row r="491">
      <c r="F491" s="152"/>
    </row>
    <row r="492">
      <c r="F492" s="152"/>
    </row>
    <row r="493">
      <c r="F493" s="152"/>
    </row>
    <row r="494">
      <c r="F494" s="152"/>
    </row>
    <row r="495">
      <c r="F495" s="152"/>
    </row>
    <row r="496">
      <c r="F496" s="152"/>
    </row>
    <row r="497">
      <c r="F497" s="152"/>
    </row>
    <row r="498">
      <c r="F498" s="152"/>
    </row>
    <row r="499">
      <c r="F499" s="152"/>
    </row>
    <row r="500">
      <c r="F500" s="152"/>
    </row>
    <row r="501">
      <c r="F501" s="152"/>
    </row>
    <row r="502">
      <c r="F502" s="152"/>
    </row>
    <row r="503">
      <c r="F503" s="152"/>
    </row>
    <row r="504">
      <c r="F504" s="152"/>
    </row>
    <row r="505">
      <c r="F505" s="152"/>
    </row>
    <row r="506">
      <c r="F506" s="152"/>
    </row>
    <row r="507">
      <c r="F507" s="152"/>
    </row>
    <row r="508">
      <c r="F508" s="152"/>
    </row>
    <row r="509">
      <c r="F509" s="152"/>
    </row>
    <row r="510">
      <c r="F510" s="152"/>
    </row>
    <row r="511">
      <c r="F511" s="152"/>
    </row>
    <row r="512">
      <c r="F512" s="152"/>
    </row>
    <row r="513">
      <c r="F513" s="152"/>
    </row>
    <row r="514">
      <c r="F514" s="152"/>
    </row>
    <row r="515">
      <c r="F515" s="152"/>
    </row>
    <row r="516">
      <c r="F516" s="152"/>
    </row>
    <row r="517">
      <c r="F517" s="152"/>
    </row>
    <row r="518">
      <c r="F518" s="152"/>
    </row>
    <row r="519">
      <c r="F519" s="152"/>
    </row>
    <row r="520">
      <c r="F520" s="152"/>
    </row>
    <row r="521">
      <c r="F521" s="152"/>
    </row>
    <row r="522">
      <c r="F522" s="152"/>
    </row>
    <row r="523">
      <c r="F523" s="152"/>
    </row>
    <row r="524">
      <c r="F524" s="152"/>
    </row>
    <row r="525">
      <c r="F525" s="152"/>
    </row>
    <row r="526">
      <c r="F526" s="152"/>
    </row>
    <row r="527">
      <c r="F527" s="152"/>
    </row>
    <row r="528">
      <c r="F528" s="152"/>
    </row>
    <row r="529">
      <c r="F529" s="152"/>
    </row>
    <row r="530">
      <c r="F530" s="152"/>
    </row>
    <row r="531">
      <c r="F531" s="152"/>
    </row>
    <row r="532">
      <c r="F532" s="152"/>
    </row>
    <row r="533">
      <c r="F533" s="152"/>
    </row>
    <row r="534">
      <c r="F534" s="152"/>
    </row>
    <row r="535">
      <c r="F535" s="152"/>
    </row>
    <row r="536">
      <c r="F536" s="152"/>
    </row>
    <row r="537">
      <c r="F537" s="152"/>
    </row>
    <row r="538">
      <c r="F538" s="152"/>
    </row>
    <row r="539">
      <c r="F539" s="152"/>
    </row>
    <row r="540">
      <c r="F540" s="152"/>
    </row>
    <row r="541">
      <c r="F541" s="152"/>
    </row>
    <row r="542">
      <c r="F542" s="152"/>
    </row>
    <row r="543">
      <c r="F543" s="152"/>
    </row>
    <row r="544">
      <c r="F544" s="152"/>
    </row>
    <row r="545">
      <c r="F545" s="152"/>
    </row>
    <row r="546">
      <c r="F546" s="152"/>
    </row>
    <row r="547">
      <c r="F547" s="152"/>
    </row>
    <row r="548">
      <c r="F548" s="152"/>
    </row>
    <row r="549">
      <c r="F549" s="152"/>
    </row>
    <row r="550">
      <c r="F550" s="152"/>
    </row>
    <row r="551">
      <c r="F551" s="152"/>
    </row>
    <row r="552">
      <c r="F552" s="152"/>
    </row>
    <row r="553">
      <c r="F553" s="152"/>
    </row>
    <row r="554">
      <c r="F554" s="152"/>
    </row>
    <row r="555">
      <c r="F555" s="152"/>
    </row>
    <row r="556">
      <c r="F556" s="152"/>
    </row>
    <row r="557">
      <c r="F557" s="152"/>
    </row>
    <row r="558">
      <c r="F558" s="152"/>
    </row>
    <row r="559">
      <c r="F559" s="152"/>
    </row>
    <row r="560">
      <c r="F560" s="152"/>
    </row>
    <row r="561">
      <c r="F561" s="152"/>
    </row>
    <row r="562">
      <c r="F562" s="152"/>
    </row>
    <row r="563">
      <c r="F563" s="152"/>
    </row>
    <row r="564">
      <c r="F564" s="152"/>
    </row>
    <row r="565">
      <c r="F565" s="152"/>
    </row>
    <row r="566">
      <c r="F566" s="152"/>
    </row>
    <row r="567">
      <c r="F567" s="152"/>
    </row>
    <row r="568">
      <c r="F568" s="152"/>
    </row>
    <row r="569">
      <c r="F569" s="152"/>
    </row>
    <row r="570">
      <c r="F570" s="152"/>
    </row>
    <row r="571">
      <c r="F571" s="152"/>
    </row>
    <row r="572">
      <c r="F572" s="152"/>
    </row>
    <row r="573">
      <c r="F573" s="152"/>
    </row>
    <row r="574">
      <c r="F574" s="152"/>
    </row>
    <row r="575">
      <c r="F575" s="152"/>
    </row>
    <row r="576">
      <c r="F576" s="152"/>
    </row>
    <row r="577">
      <c r="F577" s="152"/>
    </row>
    <row r="578">
      <c r="F578" s="152"/>
    </row>
    <row r="579">
      <c r="F579" s="152"/>
    </row>
    <row r="580">
      <c r="F580" s="152"/>
    </row>
    <row r="581">
      <c r="F581" s="152"/>
    </row>
    <row r="582">
      <c r="F582" s="152"/>
    </row>
    <row r="583">
      <c r="F583" s="152"/>
    </row>
    <row r="584">
      <c r="F584" s="152"/>
    </row>
    <row r="585">
      <c r="F585" s="152"/>
    </row>
    <row r="586">
      <c r="F586" s="152"/>
    </row>
    <row r="587">
      <c r="F587" s="152"/>
    </row>
    <row r="588">
      <c r="F588" s="152"/>
    </row>
    <row r="589">
      <c r="F589" s="152"/>
    </row>
    <row r="590">
      <c r="F590" s="152"/>
    </row>
    <row r="591">
      <c r="F591" s="152"/>
    </row>
    <row r="592">
      <c r="F592" s="152"/>
    </row>
    <row r="593">
      <c r="F593" s="152"/>
    </row>
    <row r="594">
      <c r="F594" s="152"/>
    </row>
    <row r="595">
      <c r="F595" s="152"/>
    </row>
    <row r="596">
      <c r="F596" s="152"/>
    </row>
    <row r="597">
      <c r="F597" s="152"/>
    </row>
    <row r="598">
      <c r="F598" s="152"/>
    </row>
    <row r="599">
      <c r="F599" s="152"/>
    </row>
    <row r="600">
      <c r="F600" s="152"/>
    </row>
    <row r="601">
      <c r="F601" s="152"/>
    </row>
    <row r="602">
      <c r="F602" s="152"/>
    </row>
    <row r="603">
      <c r="F603" s="152"/>
    </row>
    <row r="604">
      <c r="F604" s="152"/>
    </row>
    <row r="605">
      <c r="F605" s="152"/>
    </row>
    <row r="606">
      <c r="F606" s="152"/>
    </row>
    <row r="607">
      <c r="F607" s="152"/>
    </row>
    <row r="608">
      <c r="F608" s="152"/>
    </row>
    <row r="609">
      <c r="F609" s="152"/>
    </row>
    <row r="610">
      <c r="F610" s="152"/>
    </row>
    <row r="611">
      <c r="F611" s="152"/>
    </row>
    <row r="612">
      <c r="F612" s="152"/>
    </row>
    <row r="613">
      <c r="F613" s="152"/>
    </row>
    <row r="614">
      <c r="F614" s="152"/>
    </row>
    <row r="615">
      <c r="F615" s="152"/>
    </row>
    <row r="616">
      <c r="F616" s="152"/>
    </row>
    <row r="617">
      <c r="F617" s="152"/>
    </row>
    <row r="618">
      <c r="F618" s="152"/>
    </row>
    <row r="619">
      <c r="F619" s="152"/>
    </row>
    <row r="620">
      <c r="F620" s="152"/>
    </row>
    <row r="621">
      <c r="F621" s="152"/>
    </row>
    <row r="622">
      <c r="F622" s="152"/>
    </row>
    <row r="623">
      <c r="F623" s="152"/>
    </row>
    <row r="624">
      <c r="F624" s="152"/>
    </row>
    <row r="625">
      <c r="F625" s="152"/>
    </row>
    <row r="626">
      <c r="F626" s="152"/>
    </row>
    <row r="627">
      <c r="F627" s="152"/>
    </row>
    <row r="628">
      <c r="F628" s="152"/>
    </row>
    <row r="629">
      <c r="F629" s="152"/>
    </row>
    <row r="630">
      <c r="F630" s="152"/>
    </row>
    <row r="631">
      <c r="F631" s="152"/>
    </row>
    <row r="632">
      <c r="F632" s="152"/>
    </row>
    <row r="633">
      <c r="F633" s="152"/>
    </row>
    <row r="634">
      <c r="F634" s="152"/>
    </row>
    <row r="635">
      <c r="F635" s="152"/>
    </row>
    <row r="636">
      <c r="F636" s="152"/>
    </row>
    <row r="637">
      <c r="F637" s="152"/>
    </row>
    <row r="638">
      <c r="F638" s="152"/>
    </row>
    <row r="639">
      <c r="F639" s="152"/>
    </row>
    <row r="640">
      <c r="F640" s="152"/>
    </row>
    <row r="641">
      <c r="F641" s="152"/>
    </row>
    <row r="642">
      <c r="F642" s="152"/>
    </row>
    <row r="643">
      <c r="F643" s="152"/>
    </row>
    <row r="644">
      <c r="F644" s="152"/>
    </row>
    <row r="645">
      <c r="F645" s="152"/>
    </row>
    <row r="646">
      <c r="F646" s="152"/>
    </row>
    <row r="647">
      <c r="F647" s="152"/>
    </row>
    <row r="648">
      <c r="F648" s="152"/>
    </row>
    <row r="649">
      <c r="F649" s="152"/>
    </row>
    <row r="650">
      <c r="F650" s="152"/>
    </row>
    <row r="651">
      <c r="F651" s="152"/>
    </row>
    <row r="652">
      <c r="F652" s="152"/>
    </row>
    <row r="653">
      <c r="F653" s="152"/>
    </row>
    <row r="654">
      <c r="F654" s="152"/>
    </row>
    <row r="655">
      <c r="F655" s="152"/>
    </row>
    <row r="656">
      <c r="F656" s="152"/>
    </row>
    <row r="657">
      <c r="F657" s="152"/>
    </row>
    <row r="658">
      <c r="F658" s="152"/>
    </row>
    <row r="659">
      <c r="F659" s="152"/>
    </row>
    <row r="660">
      <c r="F660" s="152"/>
    </row>
    <row r="661">
      <c r="F661" s="152"/>
    </row>
    <row r="662">
      <c r="F662" s="152"/>
    </row>
    <row r="663">
      <c r="F663" s="152"/>
    </row>
    <row r="664">
      <c r="F664" s="152"/>
    </row>
    <row r="665">
      <c r="F665" s="152"/>
    </row>
    <row r="666">
      <c r="F666" s="152"/>
    </row>
    <row r="667">
      <c r="F667" s="152"/>
    </row>
    <row r="668">
      <c r="F668" s="152"/>
    </row>
    <row r="669">
      <c r="F669" s="152"/>
    </row>
    <row r="670">
      <c r="F670" s="152"/>
    </row>
    <row r="671">
      <c r="F671" s="152"/>
    </row>
    <row r="672">
      <c r="F672" s="152"/>
    </row>
    <row r="673">
      <c r="F673" s="152"/>
    </row>
    <row r="674">
      <c r="F674" s="152"/>
    </row>
    <row r="675">
      <c r="F675" s="152"/>
    </row>
    <row r="676">
      <c r="F676" s="152"/>
    </row>
    <row r="677">
      <c r="F677" s="152"/>
    </row>
    <row r="678">
      <c r="F678" s="152"/>
    </row>
    <row r="679">
      <c r="F679" s="152"/>
    </row>
    <row r="680">
      <c r="F680" s="152"/>
    </row>
    <row r="681">
      <c r="F681" s="152"/>
    </row>
    <row r="682">
      <c r="F682" s="152"/>
    </row>
    <row r="683">
      <c r="F683" s="152"/>
    </row>
    <row r="684">
      <c r="F684" s="152"/>
    </row>
    <row r="685">
      <c r="F685" s="152"/>
    </row>
    <row r="686">
      <c r="F686" s="152"/>
    </row>
    <row r="687">
      <c r="F687" s="152"/>
    </row>
    <row r="688">
      <c r="F688" s="152"/>
    </row>
    <row r="689">
      <c r="F689" s="152"/>
    </row>
    <row r="690">
      <c r="F690" s="152"/>
    </row>
    <row r="691">
      <c r="F691" s="152"/>
    </row>
    <row r="692">
      <c r="F692" s="152"/>
    </row>
    <row r="693">
      <c r="F693" s="152"/>
    </row>
    <row r="694">
      <c r="F694" s="152"/>
    </row>
    <row r="695">
      <c r="F695" s="152"/>
    </row>
    <row r="696">
      <c r="F696" s="152"/>
    </row>
    <row r="697">
      <c r="F697" s="152"/>
    </row>
    <row r="698">
      <c r="F698" s="152"/>
    </row>
    <row r="699">
      <c r="F699" s="152"/>
    </row>
    <row r="700">
      <c r="F700" s="152"/>
    </row>
    <row r="701">
      <c r="F701" s="152"/>
    </row>
    <row r="702">
      <c r="F702" s="152"/>
    </row>
    <row r="703">
      <c r="F703" s="152"/>
    </row>
    <row r="704">
      <c r="F704" s="152"/>
    </row>
    <row r="705">
      <c r="F705" s="152"/>
    </row>
    <row r="706">
      <c r="F706" s="152"/>
    </row>
    <row r="707">
      <c r="F707" s="152"/>
    </row>
    <row r="708">
      <c r="F708" s="152"/>
    </row>
    <row r="709">
      <c r="F709" s="152"/>
    </row>
    <row r="710">
      <c r="F710" s="152"/>
    </row>
    <row r="711">
      <c r="F711" s="152"/>
    </row>
    <row r="712">
      <c r="F712" s="152"/>
    </row>
    <row r="713">
      <c r="F713" s="152"/>
    </row>
    <row r="714">
      <c r="F714" s="152"/>
    </row>
    <row r="715">
      <c r="F715" s="152"/>
    </row>
    <row r="716">
      <c r="F716" s="152"/>
    </row>
    <row r="717">
      <c r="F717" s="152"/>
    </row>
    <row r="718">
      <c r="F718" s="152"/>
    </row>
    <row r="719">
      <c r="F719" s="152"/>
    </row>
    <row r="720">
      <c r="F720" s="152"/>
    </row>
    <row r="721">
      <c r="F721" s="152"/>
    </row>
    <row r="722">
      <c r="F722" s="152"/>
    </row>
    <row r="723">
      <c r="F723" s="152"/>
    </row>
    <row r="724">
      <c r="F724" s="152"/>
    </row>
    <row r="725">
      <c r="F725" s="152"/>
    </row>
    <row r="726">
      <c r="F726" s="152"/>
    </row>
    <row r="727">
      <c r="F727" s="152"/>
    </row>
    <row r="728">
      <c r="F728" s="152"/>
    </row>
    <row r="729">
      <c r="F729" s="152"/>
    </row>
    <row r="730">
      <c r="F730" s="152"/>
    </row>
    <row r="731">
      <c r="F731" s="152"/>
    </row>
    <row r="732">
      <c r="F732" s="152"/>
    </row>
    <row r="733">
      <c r="F733" s="152"/>
    </row>
    <row r="734">
      <c r="F734" s="152"/>
    </row>
    <row r="735">
      <c r="F735" s="152"/>
    </row>
    <row r="736">
      <c r="F736" s="152"/>
    </row>
    <row r="737">
      <c r="F737" s="152"/>
    </row>
    <row r="738">
      <c r="F738" s="152"/>
    </row>
    <row r="739">
      <c r="F739" s="152"/>
    </row>
    <row r="740">
      <c r="F740" s="152"/>
    </row>
    <row r="741">
      <c r="F741" s="152"/>
    </row>
    <row r="742">
      <c r="F742" s="152"/>
    </row>
    <row r="743">
      <c r="F743" s="152"/>
    </row>
    <row r="744">
      <c r="F744" s="152"/>
    </row>
    <row r="745">
      <c r="F745" s="152"/>
    </row>
    <row r="746">
      <c r="F746" s="152"/>
    </row>
    <row r="747">
      <c r="F747" s="152"/>
    </row>
    <row r="748">
      <c r="F748" s="152"/>
    </row>
    <row r="749">
      <c r="F749" s="152"/>
    </row>
    <row r="750">
      <c r="F750" s="152"/>
    </row>
    <row r="751">
      <c r="F751" s="152"/>
    </row>
    <row r="752">
      <c r="F752" s="152"/>
    </row>
    <row r="753">
      <c r="F753" s="152"/>
    </row>
    <row r="754">
      <c r="F754" s="152"/>
    </row>
    <row r="755">
      <c r="F755" s="152"/>
    </row>
    <row r="756">
      <c r="F756" s="152"/>
    </row>
    <row r="757">
      <c r="F757" s="152"/>
    </row>
    <row r="758">
      <c r="F758" s="152"/>
    </row>
    <row r="759">
      <c r="F759" s="152"/>
    </row>
    <row r="760">
      <c r="F760" s="152"/>
    </row>
    <row r="761">
      <c r="F761" s="152"/>
    </row>
    <row r="762">
      <c r="F762" s="152"/>
    </row>
    <row r="763">
      <c r="F763" s="152"/>
    </row>
    <row r="764">
      <c r="F764" s="152"/>
    </row>
    <row r="765">
      <c r="F765" s="152"/>
    </row>
    <row r="766">
      <c r="F766" s="152"/>
    </row>
    <row r="767">
      <c r="F767" s="152"/>
    </row>
    <row r="768">
      <c r="F768" s="152"/>
    </row>
    <row r="769">
      <c r="F769" s="152"/>
    </row>
    <row r="770">
      <c r="F770" s="152"/>
    </row>
    <row r="771">
      <c r="F771" s="152"/>
    </row>
    <row r="772">
      <c r="F772" s="152"/>
    </row>
    <row r="773">
      <c r="F773" s="152"/>
    </row>
    <row r="774">
      <c r="F774" s="152"/>
    </row>
    <row r="775">
      <c r="F775" s="152"/>
    </row>
    <row r="776">
      <c r="F776" s="152"/>
    </row>
    <row r="777">
      <c r="F777" s="152"/>
    </row>
    <row r="778">
      <c r="F778" s="152"/>
    </row>
    <row r="779">
      <c r="F779" s="152"/>
    </row>
    <row r="780">
      <c r="F780" s="152"/>
    </row>
    <row r="781">
      <c r="F781" s="152"/>
    </row>
    <row r="782">
      <c r="F782" s="152"/>
    </row>
    <row r="783">
      <c r="F783" s="152"/>
    </row>
    <row r="784">
      <c r="F784" s="152"/>
    </row>
    <row r="785">
      <c r="F785" s="152"/>
    </row>
    <row r="786">
      <c r="F786" s="152"/>
    </row>
    <row r="787">
      <c r="F787" s="152"/>
    </row>
    <row r="788">
      <c r="F788" s="152"/>
    </row>
    <row r="789">
      <c r="F789" s="152"/>
    </row>
    <row r="790">
      <c r="F790" s="152"/>
    </row>
    <row r="791">
      <c r="F791" s="152"/>
    </row>
    <row r="792">
      <c r="F792" s="152"/>
    </row>
    <row r="793">
      <c r="F793" s="152"/>
    </row>
    <row r="794">
      <c r="F794" s="152"/>
    </row>
    <row r="795">
      <c r="F795" s="152"/>
    </row>
    <row r="796">
      <c r="F796" s="152"/>
    </row>
    <row r="797">
      <c r="F797" s="152"/>
    </row>
    <row r="798">
      <c r="F798" s="152"/>
    </row>
    <row r="799">
      <c r="F799" s="152"/>
    </row>
    <row r="800">
      <c r="F800" s="152"/>
    </row>
    <row r="801">
      <c r="F801" s="152"/>
    </row>
    <row r="802">
      <c r="F802" s="152"/>
    </row>
    <row r="803">
      <c r="F803" s="152"/>
    </row>
    <row r="804">
      <c r="F804" s="152"/>
    </row>
    <row r="805">
      <c r="F805" s="152"/>
    </row>
    <row r="806">
      <c r="F806" s="152"/>
    </row>
    <row r="807">
      <c r="F807" s="152"/>
    </row>
    <row r="808">
      <c r="F808" s="152"/>
    </row>
    <row r="809">
      <c r="F809" s="152"/>
    </row>
    <row r="810">
      <c r="F810" s="152"/>
    </row>
    <row r="811">
      <c r="F811" s="152"/>
    </row>
    <row r="812">
      <c r="F812" s="152"/>
    </row>
    <row r="813">
      <c r="F813" s="152"/>
    </row>
    <row r="814">
      <c r="F814" s="152"/>
    </row>
    <row r="815">
      <c r="F815" s="152"/>
    </row>
    <row r="816">
      <c r="F816" s="152"/>
    </row>
    <row r="817">
      <c r="F817" s="152"/>
    </row>
    <row r="818">
      <c r="F818" s="152"/>
    </row>
    <row r="819">
      <c r="F819" s="152"/>
    </row>
    <row r="820">
      <c r="F820" s="152"/>
    </row>
    <row r="821">
      <c r="F821" s="152"/>
    </row>
    <row r="822">
      <c r="F822" s="152"/>
    </row>
    <row r="823">
      <c r="F823" s="152"/>
    </row>
    <row r="824">
      <c r="F824" s="152"/>
    </row>
    <row r="825">
      <c r="F825" s="152"/>
    </row>
    <row r="826">
      <c r="F826" s="152"/>
    </row>
    <row r="827">
      <c r="F827" s="152"/>
    </row>
    <row r="828">
      <c r="F828" s="152"/>
    </row>
    <row r="829">
      <c r="F829" s="152"/>
    </row>
    <row r="830">
      <c r="F830" s="152"/>
    </row>
    <row r="831">
      <c r="F831" s="152"/>
    </row>
    <row r="832">
      <c r="F832" s="152"/>
    </row>
    <row r="833">
      <c r="F833" s="152"/>
    </row>
    <row r="834">
      <c r="F834" s="152"/>
    </row>
    <row r="835">
      <c r="F835" s="152"/>
    </row>
    <row r="836">
      <c r="F836" s="152"/>
    </row>
    <row r="837">
      <c r="F837" s="152"/>
    </row>
    <row r="838">
      <c r="F838" s="152"/>
    </row>
    <row r="839">
      <c r="F839" s="152"/>
    </row>
    <row r="840">
      <c r="F840" s="152"/>
    </row>
    <row r="841">
      <c r="F841" s="152"/>
    </row>
    <row r="842">
      <c r="F842" s="152"/>
    </row>
    <row r="843">
      <c r="F843" s="152"/>
    </row>
    <row r="844">
      <c r="F844" s="152"/>
    </row>
    <row r="845">
      <c r="F845" s="152"/>
    </row>
    <row r="846">
      <c r="F846" s="152"/>
    </row>
    <row r="847">
      <c r="F847" s="152"/>
    </row>
    <row r="848">
      <c r="F848" s="152"/>
    </row>
    <row r="849">
      <c r="F849" s="152"/>
    </row>
    <row r="850">
      <c r="F850" s="152"/>
    </row>
    <row r="851">
      <c r="F851" s="152"/>
    </row>
    <row r="852">
      <c r="F852" s="152"/>
    </row>
    <row r="853">
      <c r="F853" s="152"/>
    </row>
    <row r="854">
      <c r="F854" s="152"/>
    </row>
    <row r="855">
      <c r="F855" s="152"/>
    </row>
    <row r="856">
      <c r="F856" s="152"/>
    </row>
    <row r="857">
      <c r="F857" s="152"/>
    </row>
    <row r="858">
      <c r="F858" s="152"/>
    </row>
    <row r="859">
      <c r="F859" s="152"/>
    </row>
    <row r="860">
      <c r="F860" s="152"/>
    </row>
    <row r="861">
      <c r="F861" s="152"/>
    </row>
    <row r="862">
      <c r="F862" s="152"/>
    </row>
    <row r="863">
      <c r="F863" s="152"/>
    </row>
    <row r="864">
      <c r="F864" s="152"/>
    </row>
    <row r="865">
      <c r="F865" s="152"/>
    </row>
    <row r="866">
      <c r="F866" s="152"/>
    </row>
    <row r="867">
      <c r="F867" s="152"/>
    </row>
    <row r="868">
      <c r="F868" s="152"/>
    </row>
    <row r="869">
      <c r="F869" s="152"/>
    </row>
    <row r="870">
      <c r="F870" s="152"/>
    </row>
    <row r="871">
      <c r="F871" s="152"/>
    </row>
    <row r="872">
      <c r="F872" s="152"/>
    </row>
    <row r="873">
      <c r="F873" s="152"/>
    </row>
    <row r="874">
      <c r="F874" s="152"/>
    </row>
    <row r="875">
      <c r="F875" s="152"/>
    </row>
    <row r="876">
      <c r="F876" s="152"/>
    </row>
    <row r="877">
      <c r="F877" s="152"/>
    </row>
    <row r="878">
      <c r="F878" s="152"/>
    </row>
    <row r="879">
      <c r="F879" s="152"/>
    </row>
    <row r="880">
      <c r="F880" s="152"/>
    </row>
    <row r="881">
      <c r="F881" s="152"/>
    </row>
    <row r="882">
      <c r="F882" s="152"/>
    </row>
    <row r="883">
      <c r="F883" s="152"/>
    </row>
    <row r="884">
      <c r="F884" s="152"/>
    </row>
    <row r="885">
      <c r="F885" s="152"/>
    </row>
    <row r="886">
      <c r="F886" s="152"/>
    </row>
    <row r="887">
      <c r="F887" s="152"/>
    </row>
    <row r="888">
      <c r="F888" s="152"/>
    </row>
    <row r="889">
      <c r="F889" s="152"/>
    </row>
    <row r="890">
      <c r="F890" s="152"/>
    </row>
    <row r="891">
      <c r="F891" s="152"/>
    </row>
    <row r="892">
      <c r="F892" s="152"/>
    </row>
    <row r="893">
      <c r="F893" s="152"/>
    </row>
    <row r="894">
      <c r="F894" s="152"/>
    </row>
    <row r="895">
      <c r="F895" s="152"/>
    </row>
    <row r="896">
      <c r="F896" s="152"/>
    </row>
    <row r="897">
      <c r="F897" s="152"/>
    </row>
    <row r="898">
      <c r="F898" s="152"/>
    </row>
    <row r="899">
      <c r="F899" s="152"/>
    </row>
    <row r="900">
      <c r="F900" s="152"/>
    </row>
    <row r="901">
      <c r="F901" s="152"/>
    </row>
    <row r="902">
      <c r="F902" s="152"/>
    </row>
    <row r="903">
      <c r="F903" s="152"/>
    </row>
    <row r="904">
      <c r="F904" s="152"/>
    </row>
    <row r="905">
      <c r="F905" s="152"/>
    </row>
    <row r="906">
      <c r="F906" s="152"/>
    </row>
    <row r="907">
      <c r="F907" s="152"/>
    </row>
    <row r="908">
      <c r="F908" s="152"/>
    </row>
    <row r="909">
      <c r="F909" s="152"/>
    </row>
    <row r="910">
      <c r="F910" s="152"/>
    </row>
    <row r="911">
      <c r="F911" s="152"/>
    </row>
    <row r="912">
      <c r="F912" s="152"/>
    </row>
    <row r="913">
      <c r="F913" s="152"/>
    </row>
    <row r="914">
      <c r="F914" s="152"/>
    </row>
    <row r="915">
      <c r="F915" s="152"/>
    </row>
    <row r="916">
      <c r="F916" s="152"/>
    </row>
    <row r="917">
      <c r="F917" s="152"/>
    </row>
    <row r="918">
      <c r="F918" s="152"/>
    </row>
    <row r="919">
      <c r="F919" s="152"/>
    </row>
    <row r="920">
      <c r="F920" s="152"/>
    </row>
    <row r="921">
      <c r="F921" s="152"/>
    </row>
    <row r="922">
      <c r="F922" s="152"/>
    </row>
    <row r="923">
      <c r="F923" s="152"/>
    </row>
    <row r="924">
      <c r="F924" s="152"/>
    </row>
    <row r="925">
      <c r="F925" s="152"/>
    </row>
    <row r="926">
      <c r="F926" s="152"/>
    </row>
    <row r="927">
      <c r="F927" s="152"/>
    </row>
    <row r="928">
      <c r="F928" s="152"/>
    </row>
    <row r="929">
      <c r="F929" s="152"/>
    </row>
    <row r="930">
      <c r="F930" s="152"/>
    </row>
    <row r="931">
      <c r="F931" s="152"/>
    </row>
    <row r="932">
      <c r="F932" s="152"/>
    </row>
    <row r="933">
      <c r="F933" s="152"/>
    </row>
    <row r="934">
      <c r="F934" s="152"/>
    </row>
    <row r="935">
      <c r="F935" s="152"/>
    </row>
    <row r="936">
      <c r="F936" s="152"/>
    </row>
    <row r="937">
      <c r="F937" s="152"/>
    </row>
    <row r="938">
      <c r="F938" s="152"/>
    </row>
    <row r="939">
      <c r="F939" s="152"/>
    </row>
    <row r="940">
      <c r="F940" s="152"/>
    </row>
    <row r="941">
      <c r="F941" s="152"/>
    </row>
    <row r="942">
      <c r="F942" s="152"/>
    </row>
    <row r="943">
      <c r="F943" s="152"/>
    </row>
    <row r="944">
      <c r="F944" s="152"/>
    </row>
    <row r="945">
      <c r="F945" s="152"/>
    </row>
    <row r="946">
      <c r="F946" s="152"/>
    </row>
    <row r="947">
      <c r="F947" s="152"/>
    </row>
    <row r="948">
      <c r="F948" s="152"/>
    </row>
    <row r="949">
      <c r="F949" s="152"/>
    </row>
    <row r="950">
      <c r="F950" s="152"/>
    </row>
    <row r="951">
      <c r="F951" s="152"/>
    </row>
    <row r="952">
      <c r="F952" s="152"/>
    </row>
    <row r="953">
      <c r="F953" s="152"/>
    </row>
    <row r="954">
      <c r="F954" s="152"/>
    </row>
    <row r="955">
      <c r="F955" s="152"/>
    </row>
    <row r="956">
      <c r="F956" s="152"/>
    </row>
    <row r="957">
      <c r="F957" s="152"/>
    </row>
    <row r="958">
      <c r="F958" s="152"/>
    </row>
    <row r="959">
      <c r="F959" s="152"/>
    </row>
    <row r="960">
      <c r="F960" s="152"/>
    </row>
    <row r="961">
      <c r="F961" s="152"/>
    </row>
    <row r="962">
      <c r="F962" s="152"/>
    </row>
    <row r="963">
      <c r="F963" s="152"/>
    </row>
    <row r="964">
      <c r="F964" s="152"/>
    </row>
    <row r="965">
      <c r="F965" s="152"/>
    </row>
    <row r="966">
      <c r="F966" s="152"/>
    </row>
    <row r="967">
      <c r="F967" s="152"/>
    </row>
    <row r="968">
      <c r="F968" s="152"/>
    </row>
    <row r="969">
      <c r="F969" s="152"/>
    </row>
    <row r="970">
      <c r="F970" s="152"/>
    </row>
    <row r="971">
      <c r="F971" s="152"/>
    </row>
    <row r="972">
      <c r="F972" s="152"/>
    </row>
    <row r="973">
      <c r="F973" s="152"/>
    </row>
    <row r="974">
      <c r="F974" s="152"/>
    </row>
    <row r="975">
      <c r="F975" s="152"/>
    </row>
    <row r="976">
      <c r="F976" s="152"/>
    </row>
    <row r="977">
      <c r="F977" s="152"/>
    </row>
    <row r="978">
      <c r="F978" s="152"/>
    </row>
    <row r="979">
      <c r="F979" s="152"/>
    </row>
    <row r="980">
      <c r="F980" s="152"/>
    </row>
    <row r="981">
      <c r="F981" s="152"/>
    </row>
    <row r="982">
      <c r="F982" s="152"/>
    </row>
    <row r="983">
      <c r="F983" s="152"/>
    </row>
    <row r="984">
      <c r="F984" s="152"/>
    </row>
    <row r="985">
      <c r="F985" s="152"/>
    </row>
    <row r="986">
      <c r="F986" s="152"/>
    </row>
    <row r="987">
      <c r="F987" s="152"/>
    </row>
    <row r="988">
      <c r="F988" s="152"/>
    </row>
    <row r="989">
      <c r="F989" s="152"/>
    </row>
    <row r="990">
      <c r="F990" s="152"/>
    </row>
    <row r="991">
      <c r="F991" s="152"/>
    </row>
    <row r="992">
      <c r="F992" s="152"/>
    </row>
    <row r="993">
      <c r="F993" s="152"/>
    </row>
    <row r="994">
      <c r="F994" s="152"/>
    </row>
    <row r="995">
      <c r="F995" s="152"/>
    </row>
    <row r="996">
      <c r="F996" s="152"/>
    </row>
    <row r="997">
      <c r="F997" s="152"/>
    </row>
    <row r="998">
      <c r="F998" s="152"/>
    </row>
    <row r="999">
      <c r="F999" s="152"/>
    </row>
    <row r="1000">
      <c r="F1000" s="15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9" t="s">
        <v>190</v>
      </c>
      <c r="C1" s="89" t="s">
        <v>191</v>
      </c>
      <c r="D1" s="89" t="s">
        <v>192</v>
      </c>
      <c r="E1" s="89" t="s">
        <v>194</v>
      </c>
      <c r="F1" s="89" t="s">
        <v>195</v>
      </c>
      <c r="G1" s="88" t="s">
        <v>196</v>
      </c>
      <c r="H1" s="89" t="s">
        <v>197</v>
      </c>
    </row>
    <row r="2">
      <c r="A2" s="92" t="s">
        <v>200</v>
      </c>
      <c r="B2" s="95">
        <v>23.43232323232323</v>
      </c>
      <c r="C2" s="95">
        <v>0.05</v>
      </c>
      <c r="D2" s="95">
        <v>3.0025</v>
      </c>
      <c r="E2" s="95">
        <v>5.9975000000000005</v>
      </c>
      <c r="F2" s="95">
        <v>8.0</v>
      </c>
      <c r="G2" s="94">
        <v>11.9975</v>
      </c>
      <c r="H2" s="95">
        <v>0.0</v>
      </c>
    </row>
    <row r="3">
      <c r="A3" s="92" t="s">
        <v>215</v>
      </c>
      <c r="B3" s="95">
        <v>12.244897959183673</v>
      </c>
      <c r="C3" s="95">
        <v>0.0</v>
      </c>
      <c r="D3" s="95">
        <v>0.0</v>
      </c>
      <c r="E3" s="95">
        <v>0.0</v>
      </c>
      <c r="F3" s="95">
        <v>3.2</v>
      </c>
      <c r="G3" s="94">
        <v>8.380952380952381</v>
      </c>
      <c r="H3" s="95">
        <v>0.0</v>
      </c>
    </row>
    <row r="4">
      <c r="A4" s="92" t="s">
        <v>234</v>
      </c>
      <c r="B4" s="95">
        <v>9.696969696969697</v>
      </c>
      <c r="C4" s="95">
        <v>0.0</v>
      </c>
      <c r="D4" s="95">
        <v>0.0</v>
      </c>
      <c r="E4" s="95">
        <v>0.8</v>
      </c>
      <c r="F4" s="95">
        <v>0.8</v>
      </c>
      <c r="G4" s="94">
        <v>8.0</v>
      </c>
      <c r="H4" s="95">
        <v>0.0</v>
      </c>
    </row>
    <row r="5">
      <c r="A5" s="92" t="s">
        <v>270</v>
      </c>
      <c r="B5" s="95">
        <v>7.17948717948718</v>
      </c>
      <c r="C5" s="95">
        <v>0.0</v>
      </c>
      <c r="D5" s="95">
        <v>0.0</v>
      </c>
      <c r="E5" s="95">
        <v>0.0</v>
      </c>
      <c r="F5" s="95">
        <v>0.0</v>
      </c>
      <c r="G5" s="94">
        <v>7.466666666666667</v>
      </c>
      <c r="H5" s="95">
        <v>0.0</v>
      </c>
    </row>
    <row r="6">
      <c r="A6" s="92" t="s">
        <v>204</v>
      </c>
      <c r="B6" s="95">
        <v>16.842105263157894</v>
      </c>
      <c r="C6" s="95">
        <v>0.8421052631578947</v>
      </c>
      <c r="D6" s="95">
        <v>0.0</v>
      </c>
      <c r="E6" s="95">
        <v>5.052631578947368</v>
      </c>
      <c r="F6" s="95">
        <v>6.4</v>
      </c>
      <c r="G6" s="94">
        <v>6.222222222222222</v>
      </c>
      <c r="H6" s="95">
        <v>-0.8888888888888888</v>
      </c>
    </row>
    <row r="7">
      <c r="A7" s="92" t="s">
        <v>313</v>
      </c>
      <c r="B7" s="95">
        <v>4.324324324324324</v>
      </c>
      <c r="C7" s="95">
        <v>0.5378378378378378</v>
      </c>
      <c r="D7" s="95">
        <v>0.0</v>
      </c>
      <c r="E7" s="95">
        <v>-1.0666666666666667</v>
      </c>
      <c r="F7" s="95">
        <v>0.0</v>
      </c>
      <c r="G7" s="94">
        <v>6.153846153846154</v>
      </c>
      <c r="H7" s="95">
        <v>0.0</v>
      </c>
    </row>
    <row r="8">
      <c r="A8" s="92" t="s">
        <v>205</v>
      </c>
      <c r="B8" s="95">
        <v>16.0</v>
      </c>
      <c r="C8" s="95">
        <v>0.5</v>
      </c>
      <c r="D8" s="95">
        <v>0.0</v>
      </c>
      <c r="E8" s="95">
        <v>4.0</v>
      </c>
      <c r="F8" s="95">
        <v>6.0</v>
      </c>
      <c r="G8" s="94">
        <v>6.0</v>
      </c>
      <c r="H8" s="95">
        <v>0.0</v>
      </c>
    </row>
    <row r="9">
      <c r="A9" s="92" t="s">
        <v>280</v>
      </c>
      <c r="B9" s="95">
        <v>6.153846153846154</v>
      </c>
      <c r="C9" s="95">
        <v>0.0</v>
      </c>
      <c r="D9" s="95">
        <v>0.0</v>
      </c>
      <c r="E9" s="95">
        <v>0.0</v>
      </c>
      <c r="F9" s="95">
        <v>0.0</v>
      </c>
      <c r="G9" s="94">
        <v>6.0</v>
      </c>
      <c r="H9" s="95">
        <v>0.0</v>
      </c>
    </row>
    <row r="10">
      <c r="A10" s="92" t="s">
        <v>203</v>
      </c>
      <c r="B10" s="95">
        <v>19.393939393939394</v>
      </c>
      <c r="C10" s="95">
        <v>0.40404040404040403</v>
      </c>
      <c r="D10" s="95">
        <v>0.8</v>
      </c>
      <c r="E10" s="95">
        <v>3.0476190476190474</v>
      </c>
      <c r="F10" s="95">
        <v>8.0</v>
      </c>
      <c r="G10" s="94">
        <v>5.894736842105263</v>
      </c>
      <c r="H10" s="95">
        <v>1.6842105263157894</v>
      </c>
    </row>
    <row r="11">
      <c r="A11" s="92" t="s">
        <v>262</v>
      </c>
      <c r="B11" s="95">
        <v>8.0</v>
      </c>
      <c r="C11" s="95">
        <v>0.3333333333333333</v>
      </c>
      <c r="D11" s="95">
        <v>0.0</v>
      </c>
      <c r="E11" s="95">
        <v>1.3333333333333333</v>
      </c>
      <c r="F11" s="95">
        <v>1.3333333333333333</v>
      </c>
      <c r="G11" s="94">
        <v>5.333333333333333</v>
      </c>
      <c r="H11" s="95">
        <v>0.0</v>
      </c>
    </row>
    <row r="12">
      <c r="A12" s="92" t="s">
        <v>233</v>
      </c>
      <c r="B12" s="95">
        <v>10.0</v>
      </c>
      <c r="C12" s="95">
        <v>0.0</v>
      </c>
      <c r="D12" s="95">
        <v>2.0</v>
      </c>
      <c r="E12" s="95">
        <v>0.0</v>
      </c>
      <c r="F12" s="95">
        <v>3.0</v>
      </c>
      <c r="G12" s="94">
        <v>5.0</v>
      </c>
      <c r="H12" s="95">
        <v>0.0</v>
      </c>
    </row>
    <row r="13">
      <c r="A13" s="92" t="s">
        <v>257</v>
      </c>
      <c r="B13" s="95">
        <v>8.078787878787878</v>
      </c>
      <c r="C13" s="95">
        <v>0.0</v>
      </c>
      <c r="D13" s="95">
        <v>0.0</v>
      </c>
      <c r="E13" s="95">
        <v>2.283809523809524</v>
      </c>
      <c r="F13" s="95">
        <v>0.8400000000000001</v>
      </c>
      <c r="G13" s="94">
        <v>4.8020000000000005</v>
      </c>
      <c r="H13" s="95">
        <v>0.0</v>
      </c>
    </row>
    <row r="14">
      <c r="A14" s="92" t="s">
        <v>236</v>
      </c>
      <c r="B14" s="95">
        <v>9.35064935064935</v>
      </c>
      <c r="C14" s="95">
        <v>0.0</v>
      </c>
      <c r="D14" s="95">
        <v>0.0</v>
      </c>
      <c r="E14" s="95">
        <v>0.0</v>
      </c>
      <c r="F14" s="95">
        <v>4.266666666666667</v>
      </c>
      <c r="G14" s="94">
        <v>4.266666666666667</v>
      </c>
      <c r="H14" s="95">
        <v>1.0666666666666667</v>
      </c>
    </row>
    <row r="15">
      <c r="A15" s="92" t="s">
        <v>228</v>
      </c>
      <c r="B15" s="95">
        <v>10.4</v>
      </c>
      <c r="C15" s="95">
        <v>0.4</v>
      </c>
      <c r="D15" s="95">
        <v>2.0</v>
      </c>
      <c r="E15" s="95">
        <v>5.0</v>
      </c>
      <c r="F15" s="95">
        <v>1.0</v>
      </c>
      <c r="G15" s="94">
        <v>4.0</v>
      </c>
      <c r="H15" s="95">
        <v>1.0</v>
      </c>
    </row>
    <row r="16">
      <c r="A16" s="92" t="s">
        <v>284</v>
      </c>
      <c r="B16" s="95">
        <v>6.0</v>
      </c>
      <c r="C16" s="95">
        <v>0.0</v>
      </c>
      <c r="D16" s="95">
        <v>0.0</v>
      </c>
      <c r="E16" s="95">
        <v>2.0</v>
      </c>
      <c r="F16" s="95">
        <v>0.0</v>
      </c>
      <c r="G16" s="94">
        <v>4.0</v>
      </c>
      <c r="H16" s="95">
        <v>0.0</v>
      </c>
    </row>
    <row r="17">
      <c r="A17" s="92" t="s">
        <v>323</v>
      </c>
      <c r="B17" s="95">
        <v>4.067796610169491</v>
      </c>
      <c r="C17" s="95">
        <v>0.33559322033898303</v>
      </c>
      <c r="D17" s="95">
        <v>0.0</v>
      </c>
      <c r="E17" s="95">
        <v>0.0</v>
      </c>
      <c r="F17" s="95">
        <v>0.0</v>
      </c>
      <c r="G17" s="94">
        <v>4.0</v>
      </c>
      <c r="H17" s="95">
        <v>0.0</v>
      </c>
    </row>
    <row r="18">
      <c r="A18" s="92" t="s">
        <v>333</v>
      </c>
      <c r="B18" s="95">
        <v>4.0</v>
      </c>
      <c r="C18" s="95">
        <v>0.0</v>
      </c>
      <c r="D18" s="95">
        <v>0.0</v>
      </c>
      <c r="E18" s="95">
        <v>0.0</v>
      </c>
      <c r="F18" s="95">
        <v>0.0</v>
      </c>
      <c r="G18" s="94">
        <v>4.0</v>
      </c>
      <c r="H18" s="95">
        <v>0.0</v>
      </c>
    </row>
    <row r="19">
      <c r="A19" s="92" t="s">
        <v>358</v>
      </c>
      <c r="B19" s="95">
        <v>2.6666666666666665</v>
      </c>
      <c r="C19" s="95">
        <v>0.3333333333333333</v>
      </c>
      <c r="D19" s="95">
        <v>0.0</v>
      </c>
      <c r="E19" s="95">
        <v>0.0</v>
      </c>
      <c r="F19" s="95">
        <v>-1.3333333333333333</v>
      </c>
      <c r="G19" s="94">
        <v>4.0</v>
      </c>
      <c r="H19" s="95">
        <v>0.0</v>
      </c>
    </row>
    <row r="20">
      <c r="A20" s="92" t="s">
        <v>222</v>
      </c>
      <c r="B20" s="95">
        <v>11.272995780590715</v>
      </c>
      <c r="C20" s="95">
        <v>1.459915611814346</v>
      </c>
      <c r="D20" s="95">
        <v>1.00125</v>
      </c>
      <c r="E20" s="95">
        <v>0.0</v>
      </c>
      <c r="F20" s="95">
        <v>2.0</v>
      </c>
      <c r="G20" s="94">
        <v>3.50125</v>
      </c>
      <c r="H20" s="95">
        <v>4.8</v>
      </c>
    </row>
    <row r="21">
      <c r="A21" s="92" t="s">
        <v>310</v>
      </c>
      <c r="B21" s="95">
        <v>4.8</v>
      </c>
      <c r="C21" s="95">
        <v>0.0</v>
      </c>
      <c r="D21" s="95">
        <v>0.0</v>
      </c>
      <c r="E21" s="95">
        <v>0.0</v>
      </c>
      <c r="F21" s="95">
        <v>1.6</v>
      </c>
      <c r="G21" s="94">
        <v>3.3684210526315788</v>
      </c>
      <c r="H21" s="95">
        <v>0.0</v>
      </c>
    </row>
    <row r="22">
      <c r="A22" s="92" t="s">
        <v>235</v>
      </c>
      <c r="B22" s="95">
        <v>9.361702127659575</v>
      </c>
      <c r="C22" s="95">
        <v>0.0</v>
      </c>
      <c r="D22" s="95">
        <v>1.6842105263157894</v>
      </c>
      <c r="E22" s="95">
        <v>0.8888888888888888</v>
      </c>
      <c r="F22" s="95">
        <v>0.8421052631578947</v>
      </c>
      <c r="G22" s="94">
        <v>3.3684210526315788</v>
      </c>
      <c r="H22" s="95">
        <v>2.526315789473684</v>
      </c>
    </row>
    <row r="23">
      <c r="A23" s="92" t="s">
        <v>232</v>
      </c>
      <c r="B23" s="95">
        <v>10.0</v>
      </c>
      <c r="C23" s="95">
        <v>0.4166666666666667</v>
      </c>
      <c r="D23" s="95">
        <v>0.0</v>
      </c>
      <c r="E23" s="95">
        <v>0.8888888888888888</v>
      </c>
      <c r="F23" s="95">
        <v>0.0</v>
      </c>
      <c r="G23" s="94">
        <v>3.3684210526315788</v>
      </c>
      <c r="H23" s="95">
        <v>6.222222222222222</v>
      </c>
    </row>
    <row r="24">
      <c r="A24" s="92" t="s">
        <v>201</v>
      </c>
      <c r="B24" s="95">
        <v>22.4</v>
      </c>
      <c r="C24" s="95">
        <v>2.2</v>
      </c>
      <c r="D24" s="95">
        <v>4.8</v>
      </c>
      <c r="E24" s="95">
        <v>5.6</v>
      </c>
      <c r="F24" s="95">
        <v>0.0</v>
      </c>
      <c r="G24" s="94">
        <v>3.2</v>
      </c>
      <c r="H24" s="95">
        <v>8.421052631578947</v>
      </c>
    </row>
    <row r="25">
      <c r="A25" s="92" t="s">
        <v>334</v>
      </c>
      <c r="B25" s="95">
        <v>4.0</v>
      </c>
      <c r="C25" s="95">
        <v>0.0</v>
      </c>
      <c r="D25" s="95">
        <v>0.0</v>
      </c>
      <c r="E25" s="95">
        <v>0.9411764705882353</v>
      </c>
      <c r="F25" s="95">
        <v>0.0</v>
      </c>
      <c r="G25" s="94">
        <v>3.2</v>
      </c>
      <c r="H25" s="95">
        <v>0.0</v>
      </c>
    </row>
    <row r="26">
      <c r="A26" s="92" t="s">
        <v>330</v>
      </c>
      <c r="B26" s="95">
        <v>4.0</v>
      </c>
      <c r="C26" s="95">
        <v>0.0</v>
      </c>
      <c r="D26" s="95">
        <v>0.0</v>
      </c>
      <c r="E26" s="95">
        <v>0.0</v>
      </c>
      <c r="F26" s="95">
        <v>0.0</v>
      </c>
      <c r="G26" s="94">
        <v>3.2</v>
      </c>
      <c r="H26" s="95">
        <v>1.0</v>
      </c>
    </row>
    <row r="27">
      <c r="A27" s="92" t="s">
        <v>278</v>
      </c>
      <c r="B27" s="95">
        <v>2.67</v>
      </c>
      <c r="C27" s="95">
        <v>3.0</v>
      </c>
      <c r="D27" s="95">
        <v>0.0</v>
      </c>
      <c r="E27" s="95">
        <v>-1.33</v>
      </c>
      <c r="F27" s="95">
        <v>1.33</v>
      </c>
      <c r="G27" s="94">
        <v>2.67</v>
      </c>
      <c r="H27" s="95">
        <v>0.0</v>
      </c>
    </row>
    <row r="28">
      <c r="A28" s="92" t="s">
        <v>366</v>
      </c>
      <c r="B28" s="95">
        <v>2.4242424242424243</v>
      </c>
      <c r="C28" s="95">
        <v>0.0</v>
      </c>
      <c r="D28" s="95">
        <v>0.0</v>
      </c>
      <c r="E28" s="95">
        <v>0.0</v>
      </c>
      <c r="F28" s="95">
        <v>0.0</v>
      </c>
      <c r="G28" s="94">
        <v>2.6666666666666665</v>
      </c>
      <c r="H28" s="95">
        <v>0.0</v>
      </c>
    </row>
    <row r="29">
      <c r="A29" s="92" t="s">
        <v>321</v>
      </c>
      <c r="B29" s="95">
        <v>4.081632653061225</v>
      </c>
      <c r="C29" s="95">
        <v>0.6122448979591836</v>
      </c>
      <c r="D29" s="95">
        <v>0.0</v>
      </c>
      <c r="E29" s="95">
        <v>0.0</v>
      </c>
      <c r="F29" s="95">
        <v>2.4</v>
      </c>
      <c r="G29" s="94">
        <v>2.526315789473684</v>
      </c>
      <c r="H29" s="95">
        <v>-0.8421052631578947</v>
      </c>
    </row>
    <row r="30">
      <c r="A30" s="92" t="s">
        <v>368</v>
      </c>
      <c r="B30" s="95">
        <v>2.402</v>
      </c>
      <c r="C30" s="95">
        <v>0.198</v>
      </c>
      <c r="D30" s="95">
        <v>0.0</v>
      </c>
      <c r="E30" s="95">
        <v>0.0</v>
      </c>
      <c r="F30" s="95">
        <v>0.0</v>
      </c>
      <c r="G30" s="94">
        <v>2.402</v>
      </c>
      <c r="H30" s="95">
        <v>0.0</v>
      </c>
    </row>
    <row r="31">
      <c r="A31" s="92" t="s">
        <v>279</v>
      </c>
      <c r="B31" s="95">
        <v>6.4646464646464645</v>
      </c>
      <c r="C31" s="95">
        <v>0.0</v>
      </c>
      <c r="D31" s="95">
        <v>0.0</v>
      </c>
      <c r="E31" s="95">
        <v>0.0</v>
      </c>
      <c r="F31" s="95">
        <v>3.3684210526315788</v>
      </c>
      <c r="G31" s="94">
        <v>2.4</v>
      </c>
      <c r="H31" s="95">
        <v>0.8421052631578947</v>
      </c>
    </row>
    <row r="32">
      <c r="A32" s="92" t="s">
        <v>367</v>
      </c>
      <c r="B32" s="95">
        <v>2.4242424242424243</v>
      </c>
      <c r="C32" s="95">
        <v>0.0</v>
      </c>
      <c r="D32" s="95">
        <v>0.0</v>
      </c>
      <c r="E32" s="95">
        <v>0.0</v>
      </c>
      <c r="F32" s="95">
        <v>0.0</v>
      </c>
      <c r="G32" s="94">
        <v>2.4</v>
      </c>
      <c r="H32" s="95">
        <v>0.0</v>
      </c>
    </row>
    <row r="33">
      <c r="A33" s="92" t="s">
        <v>238</v>
      </c>
      <c r="B33" s="95">
        <v>9.142857142857142</v>
      </c>
      <c r="C33" s="95">
        <v>0.0</v>
      </c>
      <c r="D33" s="95">
        <v>2.2857142857142856</v>
      </c>
      <c r="E33" s="95">
        <v>4.571428571428571</v>
      </c>
      <c r="F33" s="95">
        <v>0.0</v>
      </c>
      <c r="G33" s="94">
        <v>2.2857142857142856</v>
      </c>
      <c r="H33" s="95">
        <v>0.0</v>
      </c>
    </row>
    <row r="34">
      <c r="A34" s="92" t="s">
        <v>347</v>
      </c>
      <c r="B34" s="95">
        <v>1.0666666666666667</v>
      </c>
      <c r="C34" s="95">
        <v>0.5333333333333333</v>
      </c>
      <c r="D34" s="95">
        <v>0.0</v>
      </c>
      <c r="E34" s="95">
        <v>0.0</v>
      </c>
      <c r="F34" s="95">
        <v>-1.0</v>
      </c>
      <c r="G34" s="94">
        <v>2.2857142857142856</v>
      </c>
      <c r="H34" s="95">
        <v>0.0</v>
      </c>
    </row>
    <row r="35">
      <c r="A35" s="92" t="s">
        <v>230</v>
      </c>
      <c r="B35" s="95">
        <v>10.256410256410257</v>
      </c>
      <c r="C35" s="95">
        <v>0.0</v>
      </c>
      <c r="D35" s="95">
        <v>0.0</v>
      </c>
      <c r="E35" s="95">
        <v>2.0025</v>
      </c>
      <c r="F35" s="95">
        <v>4.266666666666667</v>
      </c>
      <c r="G35" s="94">
        <v>2.0025</v>
      </c>
      <c r="H35" s="95">
        <v>0.9975</v>
      </c>
    </row>
    <row r="36">
      <c r="A36" s="92" t="s">
        <v>324</v>
      </c>
      <c r="B36" s="95">
        <v>4.0506329113924044</v>
      </c>
      <c r="C36" s="95">
        <v>0.0</v>
      </c>
      <c r="D36" s="95">
        <v>0.0</v>
      </c>
      <c r="E36" s="95">
        <v>0.0</v>
      </c>
      <c r="F36" s="95">
        <v>2.0</v>
      </c>
      <c r="G36" s="94">
        <v>2.0</v>
      </c>
      <c r="H36" s="95">
        <v>0.0</v>
      </c>
    </row>
    <row r="37">
      <c r="A37" s="92" t="s">
        <v>281</v>
      </c>
      <c r="B37" s="95">
        <v>6.0</v>
      </c>
      <c r="C37" s="95">
        <v>0.0</v>
      </c>
      <c r="D37" s="95">
        <v>0.0</v>
      </c>
      <c r="E37" s="95">
        <v>1.0</v>
      </c>
      <c r="F37" s="95">
        <v>1.0</v>
      </c>
      <c r="G37" s="94">
        <v>2.0</v>
      </c>
      <c r="H37" s="95">
        <v>2.0</v>
      </c>
    </row>
    <row r="38">
      <c r="A38" s="92" t="s">
        <v>335</v>
      </c>
      <c r="B38" s="95">
        <v>4.0</v>
      </c>
      <c r="C38" s="95">
        <v>0.0</v>
      </c>
      <c r="D38" s="95">
        <v>0.0</v>
      </c>
      <c r="E38" s="95">
        <v>1.0</v>
      </c>
      <c r="F38" s="95">
        <v>1.0</v>
      </c>
      <c r="G38" s="94">
        <v>2.0</v>
      </c>
      <c r="H38" s="95">
        <v>0.0</v>
      </c>
    </row>
    <row r="39">
      <c r="A39" s="92" t="s">
        <v>314</v>
      </c>
      <c r="B39" s="95">
        <v>4.2105263157894735</v>
      </c>
      <c r="C39" s="95">
        <v>0.0</v>
      </c>
      <c r="D39" s="95">
        <v>2.2857142857142856</v>
      </c>
      <c r="E39" s="95">
        <v>0.0</v>
      </c>
      <c r="F39" s="95">
        <v>0.0</v>
      </c>
      <c r="G39" s="94">
        <v>2.0</v>
      </c>
      <c r="H39" s="95">
        <v>0.0</v>
      </c>
    </row>
    <row r="40">
      <c r="A40" s="92" t="s">
        <v>377</v>
      </c>
      <c r="B40" s="95">
        <v>2.0512820512820515</v>
      </c>
      <c r="C40" s="95">
        <v>0.0</v>
      </c>
      <c r="D40" s="95">
        <v>0.0</v>
      </c>
      <c r="E40" s="95">
        <v>0.0</v>
      </c>
      <c r="F40" s="95">
        <v>0.0</v>
      </c>
      <c r="G40" s="94">
        <v>2.0</v>
      </c>
      <c r="H40" s="95">
        <v>0.0</v>
      </c>
    </row>
    <row r="41">
      <c r="A41" s="92" t="s">
        <v>211</v>
      </c>
      <c r="B41" s="95">
        <v>12.8</v>
      </c>
      <c r="C41" s="95">
        <v>0.2</v>
      </c>
      <c r="D41" s="95">
        <v>5.6</v>
      </c>
      <c r="E41" s="95">
        <v>2.4</v>
      </c>
      <c r="F41" s="95">
        <v>3.2</v>
      </c>
      <c r="G41" s="94">
        <v>1.6</v>
      </c>
      <c r="H41" s="95">
        <v>0.0</v>
      </c>
    </row>
    <row r="42">
      <c r="A42" s="92" t="s">
        <v>336</v>
      </c>
      <c r="B42" s="95">
        <v>4.0</v>
      </c>
      <c r="C42" s="95">
        <v>0.0</v>
      </c>
      <c r="D42" s="95">
        <v>0.0</v>
      </c>
      <c r="E42" s="95">
        <v>0.0</v>
      </c>
      <c r="F42" s="95">
        <v>2.4</v>
      </c>
      <c r="G42" s="94">
        <v>1.6</v>
      </c>
      <c r="H42" s="95">
        <v>0.0</v>
      </c>
    </row>
    <row r="43">
      <c r="A43" s="92" t="s">
        <v>287</v>
      </c>
      <c r="B43" s="95">
        <v>5.818181818181818</v>
      </c>
      <c r="C43" s="95">
        <v>0.36363636363636365</v>
      </c>
      <c r="D43" s="95">
        <v>0.0</v>
      </c>
      <c r="E43" s="95">
        <v>1.4545454545454546</v>
      </c>
      <c r="F43" s="95">
        <v>1.7777777777777777</v>
      </c>
      <c r="G43" s="94">
        <v>1.6</v>
      </c>
      <c r="H43" s="95">
        <v>1.3333333333333333</v>
      </c>
    </row>
    <row r="44">
      <c r="A44" s="92" t="s">
        <v>227</v>
      </c>
      <c r="B44" s="95">
        <v>10.505050505050505</v>
      </c>
      <c r="C44" s="95">
        <v>0.6060606060606061</v>
      </c>
      <c r="D44" s="95">
        <v>0.8</v>
      </c>
      <c r="E44" s="95">
        <v>6.095238095238095</v>
      </c>
      <c r="F44" s="95">
        <v>0.8421052631578947</v>
      </c>
      <c r="G44" s="94">
        <v>1.6</v>
      </c>
      <c r="H44" s="95">
        <v>0.8421052631578947</v>
      </c>
    </row>
    <row r="45">
      <c r="A45" s="92" t="s">
        <v>345</v>
      </c>
      <c r="B45" s="95">
        <v>3.2323232323232323</v>
      </c>
      <c r="C45" s="95">
        <v>0.0</v>
      </c>
      <c r="D45" s="95">
        <v>0.0</v>
      </c>
      <c r="E45" s="95">
        <v>0.8</v>
      </c>
      <c r="F45" s="95">
        <v>0.8</v>
      </c>
      <c r="G45" s="94">
        <v>1.6</v>
      </c>
      <c r="H45" s="95">
        <v>0.0</v>
      </c>
    </row>
    <row r="46">
      <c r="A46" s="92" t="s">
        <v>369</v>
      </c>
      <c r="B46" s="95">
        <v>2.4</v>
      </c>
      <c r="C46" s="95">
        <v>0.2</v>
      </c>
      <c r="D46" s="95">
        <v>0.8</v>
      </c>
      <c r="E46" s="95">
        <v>0.0</v>
      </c>
      <c r="F46" s="95">
        <v>0.0</v>
      </c>
      <c r="G46" s="94">
        <v>1.6</v>
      </c>
      <c r="H46" s="95">
        <v>0.0</v>
      </c>
    </row>
    <row r="47">
      <c r="A47" s="92" t="s">
        <v>325</v>
      </c>
      <c r="B47" s="95">
        <v>4.040404040404041</v>
      </c>
      <c r="C47" s="95">
        <v>0.0</v>
      </c>
      <c r="D47" s="95">
        <v>0.8421052631578947</v>
      </c>
      <c r="E47" s="95">
        <v>0.0</v>
      </c>
      <c r="F47" s="95">
        <v>0.8</v>
      </c>
      <c r="G47" s="94">
        <v>1.5238095238095237</v>
      </c>
      <c r="H47" s="95">
        <v>0.8421052631578947</v>
      </c>
    </row>
    <row r="48">
      <c r="A48" s="92" t="s">
        <v>198</v>
      </c>
      <c r="B48" s="95">
        <v>31.189830508474575</v>
      </c>
      <c r="C48" s="95">
        <v>0.8440677966101695</v>
      </c>
      <c r="D48" s="95">
        <v>12.521739130434783</v>
      </c>
      <c r="E48" s="95">
        <v>8.67</v>
      </c>
      <c r="F48" s="95">
        <v>4.0</v>
      </c>
      <c r="G48" s="94">
        <v>1.3878260869565218</v>
      </c>
      <c r="H48" s="95">
        <v>4.67</v>
      </c>
    </row>
    <row r="49">
      <c r="A49" s="92" t="s">
        <v>354</v>
      </c>
      <c r="B49" s="95">
        <v>2.7586206896551726</v>
      </c>
      <c r="C49" s="95">
        <v>0.3448275862068966</v>
      </c>
      <c r="D49" s="95">
        <v>0.0</v>
      </c>
      <c r="E49" s="95">
        <v>2.6666666666666665</v>
      </c>
      <c r="F49" s="95">
        <v>0.0</v>
      </c>
      <c r="G49" s="94">
        <v>1.3333333333333333</v>
      </c>
      <c r="H49" s="95">
        <v>-1.3333333333333333</v>
      </c>
    </row>
    <row r="50">
      <c r="A50" s="92" t="s">
        <v>396</v>
      </c>
      <c r="B50" s="95">
        <v>0.0</v>
      </c>
      <c r="C50" s="95">
        <v>0.3333333333333333</v>
      </c>
      <c r="D50" s="95">
        <v>0.0</v>
      </c>
      <c r="E50" s="95">
        <v>0.0</v>
      </c>
      <c r="F50" s="95">
        <v>-1.3333333333333333</v>
      </c>
      <c r="G50" s="94">
        <v>1.3333333333333333</v>
      </c>
      <c r="H50" s="95">
        <v>0.0</v>
      </c>
    </row>
    <row r="51">
      <c r="A51" s="92" t="s">
        <v>397</v>
      </c>
      <c r="B51" s="95">
        <v>0.0</v>
      </c>
      <c r="C51" s="95">
        <v>0.3333333333333333</v>
      </c>
      <c r="D51" s="95">
        <v>0.0</v>
      </c>
      <c r="E51" s="95">
        <v>0.0</v>
      </c>
      <c r="F51" s="95">
        <v>-1.3333333333333333</v>
      </c>
      <c r="G51" s="94">
        <v>1.3333333333333333</v>
      </c>
      <c r="H51" s="95">
        <v>0.0</v>
      </c>
    </row>
    <row r="52">
      <c r="A52" s="92" t="s">
        <v>219</v>
      </c>
      <c r="B52" s="95">
        <v>11.625641025641027</v>
      </c>
      <c r="C52" s="95">
        <v>1.0256410256410258</v>
      </c>
      <c r="D52" s="95">
        <v>5.563478260869565</v>
      </c>
      <c r="E52" s="95">
        <v>0.6666666666666666</v>
      </c>
      <c r="F52" s="95">
        <v>2.0016666666666665</v>
      </c>
      <c r="G52" s="94">
        <v>1.3316666666666668</v>
      </c>
      <c r="H52" s="95">
        <v>2.18</v>
      </c>
    </row>
    <row r="53">
      <c r="A53" s="92" t="s">
        <v>291</v>
      </c>
      <c r="B53" s="95">
        <v>5.711428571428571</v>
      </c>
      <c r="C53" s="95">
        <v>0.28285714285714286</v>
      </c>
      <c r="D53" s="95">
        <v>0.0</v>
      </c>
      <c r="E53" s="95">
        <v>0.0</v>
      </c>
      <c r="F53" s="95">
        <v>4.003333333333333</v>
      </c>
      <c r="G53" s="94">
        <v>1.33</v>
      </c>
      <c r="H53" s="95">
        <v>1.064</v>
      </c>
    </row>
    <row r="54">
      <c r="A54" s="92" t="s">
        <v>317</v>
      </c>
      <c r="B54" s="95">
        <v>1.352542372881356</v>
      </c>
      <c r="C54" s="95">
        <v>0.6813559322033897</v>
      </c>
      <c r="D54" s="95">
        <v>0.0</v>
      </c>
      <c r="E54" s="95">
        <v>0.0</v>
      </c>
      <c r="F54" s="95">
        <v>0.0</v>
      </c>
      <c r="G54" s="94">
        <v>1.33</v>
      </c>
      <c r="H54" s="95">
        <v>0.0</v>
      </c>
    </row>
    <row r="55">
      <c r="A55" s="92" t="s">
        <v>265</v>
      </c>
      <c r="B55" s="95">
        <v>7.57027027027027</v>
      </c>
      <c r="C55" s="95">
        <v>0.5378378378378378</v>
      </c>
      <c r="D55" s="95">
        <v>2.0025</v>
      </c>
      <c r="E55" s="95">
        <v>3.2</v>
      </c>
      <c r="F55" s="95">
        <v>1.0025</v>
      </c>
      <c r="G55" s="94">
        <v>1.2276923076923079</v>
      </c>
      <c r="H55" s="95">
        <v>0.0</v>
      </c>
    </row>
    <row r="56">
      <c r="A56" s="92" t="s">
        <v>304</v>
      </c>
      <c r="B56" s="95">
        <v>5.194805194805195</v>
      </c>
      <c r="C56" s="95">
        <v>0.7792207792207793</v>
      </c>
      <c r="D56" s="95">
        <v>0.0</v>
      </c>
      <c r="E56" s="95">
        <v>4.0</v>
      </c>
      <c r="F56" s="95">
        <v>0.0</v>
      </c>
      <c r="G56" s="94">
        <v>1.0666666666666667</v>
      </c>
      <c r="H56" s="95">
        <v>0.0</v>
      </c>
    </row>
    <row r="57">
      <c r="A57" s="92" t="s">
        <v>305</v>
      </c>
      <c r="B57" s="95">
        <v>5.0</v>
      </c>
      <c r="C57" s="95">
        <v>0.25</v>
      </c>
      <c r="D57" s="95">
        <v>0.0</v>
      </c>
      <c r="E57" s="95">
        <v>0.0</v>
      </c>
      <c r="F57" s="95">
        <v>0.0</v>
      </c>
      <c r="G57" s="94">
        <v>1.0666666666666667</v>
      </c>
      <c r="H57" s="95">
        <v>4.0</v>
      </c>
    </row>
    <row r="58">
      <c r="A58" s="92" t="s">
        <v>218</v>
      </c>
      <c r="B58" s="95">
        <v>12.121212121212121</v>
      </c>
      <c r="C58" s="95">
        <v>1.0101010101010102</v>
      </c>
      <c r="D58" s="95">
        <v>0.0</v>
      </c>
      <c r="E58" s="95">
        <v>8.571428571428571</v>
      </c>
      <c r="F58" s="95">
        <v>2.1052631578947367</v>
      </c>
      <c r="G58" s="94">
        <v>1.0526315789473684</v>
      </c>
      <c r="H58" s="95">
        <v>3.1578947368421053</v>
      </c>
    </row>
    <row r="59">
      <c r="A59" s="92" t="s">
        <v>318</v>
      </c>
      <c r="B59" s="95">
        <v>4.102564102564103</v>
      </c>
      <c r="C59" s="95">
        <v>0.5128205128205129</v>
      </c>
      <c r="D59" s="95">
        <v>1.0666666666666667</v>
      </c>
      <c r="E59" s="95">
        <v>0.0</v>
      </c>
      <c r="F59" s="95">
        <v>1.0</v>
      </c>
      <c r="G59" s="94">
        <v>1.0</v>
      </c>
      <c r="H59" s="95">
        <v>1.0666666666666667</v>
      </c>
    </row>
    <row r="60">
      <c r="A60" s="92" t="s">
        <v>381</v>
      </c>
      <c r="B60" s="95">
        <v>2.0</v>
      </c>
      <c r="C60" s="95">
        <v>0.0</v>
      </c>
      <c r="D60" s="95">
        <v>0.0</v>
      </c>
      <c r="E60" s="95">
        <v>0.0</v>
      </c>
      <c r="F60" s="95">
        <v>1.0</v>
      </c>
      <c r="G60" s="94">
        <v>1.0</v>
      </c>
      <c r="H60" s="95">
        <v>0.0</v>
      </c>
    </row>
    <row r="61">
      <c r="A61" s="92" t="s">
        <v>208</v>
      </c>
      <c r="B61" s="95">
        <v>13.061224489795917</v>
      </c>
      <c r="C61" s="95">
        <v>0.4081632653061224</v>
      </c>
      <c r="D61" s="95">
        <v>5.052631578947368</v>
      </c>
      <c r="E61" s="95">
        <v>4.8</v>
      </c>
      <c r="F61" s="95">
        <v>1.6</v>
      </c>
      <c r="G61" s="94">
        <v>0.8421052631578947</v>
      </c>
      <c r="H61" s="95">
        <v>0.8</v>
      </c>
    </row>
    <row r="62">
      <c r="A62" s="92" t="s">
        <v>320</v>
      </c>
      <c r="B62" s="95">
        <v>4.081632653061225</v>
      </c>
      <c r="C62" s="95">
        <v>0.2040816326530612</v>
      </c>
      <c r="D62" s="95">
        <v>0.0</v>
      </c>
      <c r="E62" s="95">
        <v>1.6</v>
      </c>
      <c r="F62" s="95">
        <v>1.6</v>
      </c>
      <c r="G62" s="94">
        <v>0.8421052631578947</v>
      </c>
      <c r="H62" s="95">
        <v>0.0</v>
      </c>
    </row>
    <row r="63">
      <c r="A63" s="92" t="s">
        <v>342</v>
      </c>
      <c r="B63" s="95">
        <v>3.404255319148936</v>
      </c>
      <c r="C63" s="95">
        <v>0.0</v>
      </c>
      <c r="D63" s="95">
        <v>0.0</v>
      </c>
      <c r="E63" s="95">
        <v>1.7777777777777777</v>
      </c>
      <c r="F63" s="95">
        <v>0.8421052631578947</v>
      </c>
      <c r="G63" s="94">
        <v>0.8421052631578947</v>
      </c>
      <c r="H63" s="95">
        <v>0.0</v>
      </c>
    </row>
    <row r="64">
      <c r="A64" s="92" t="s">
        <v>258</v>
      </c>
      <c r="B64" s="95">
        <v>8.0</v>
      </c>
      <c r="C64" s="95">
        <v>0.0</v>
      </c>
      <c r="D64" s="95">
        <v>0.0</v>
      </c>
      <c r="E64" s="95">
        <v>0.0</v>
      </c>
      <c r="F64" s="95">
        <v>0.8</v>
      </c>
      <c r="G64" s="94">
        <v>0.8421052631578947</v>
      </c>
      <c r="H64" s="95">
        <v>6.4</v>
      </c>
    </row>
    <row r="65">
      <c r="A65" s="92" t="s">
        <v>288</v>
      </c>
      <c r="B65" s="95">
        <v>5.7142857142857135</v>
      </c>
      <c r="C65" s="95">
        <v>0.6122448979591836</v>
      </c>
      <c r="D65" s="95">
        <v>1.6</v>
      </c>
      <c r="E65" s="95">
        <v>0.0</v>
      </c>
      <c r="F65" s="95">
        <v>-0.8</v>
      </c>
      <c r="G65" s="94">
        <v>0.8421052631578947</v>
      </c>
      <c r="H65" s="95">
        <v>4.2105263157894735</v>
      </c>
    </row>
    <row r="66">
      <c r="A66" s="92" t="s">
        <v>266</v>
      </c>
      <c r="B66" s="95">
        <v>7.422680412371134</v>
      </c>
      <c r="C66" s="95">
        <v>0.6185567010309279</v>
      </c>
      <c r="D66" s="95">
        <v>3.3684210526315788</v>
      </c>
      <c r="E66" s="95">
        <v>0.8</v>
      </c>
      <c r="F66" s="95">
        <v>3.2</v>
      </c>
      <c r="G66" s="94">
        <v>0.8</v>
      </c>
      <c r="H66" s="95">
        <v>-0.8888888888888888</v>
      </c>
    </row>
    <row r="67">
      <c r="A67" s="92" t="s">
        <v>210</v>
      </c>
      <c r="B67" s="95">
        <v>12.802000000000001</v>
      </c>
      <c r="C67" s="95">
        <v>0.602</v>
      </c>
      <c r="D67" s="95">
        <v>0.0</v>
      </c>
      <c r="E67" s="95">
        <v>9.6</v>
      </c>
      <c r="F67" s="95">
        <v>2.402</v>
      </c>
      <c r="G67" s="94">
        <v>0.8</v>
      </c>
      <c r="H67" s="95">
        <v>0.0</v>
      </c>
    </row>
    <row r="68">
      <c r="A68" s="92" t="s">
        <v>293</v>
      </c>
      <c r="B68" s="95">
        <v>5.6</v>
      </c>
      <c r="C68" s="95">
        <v>0.8</v>
      </c>
      <c r="D68" s="95">
        <v>-0.8</v>
      </c>
      <c r="E68" s="95">
        <v>0.8</v>
      </c>
      <c r="F68" s="95">
        <v>2.4</v>
      </c>
      <c r="G68" s="94">
        <v>0.8</v>
      </c>
      <c r="H68" s="95">
        <v>2.4</v>
      </c>
    </row>
    <row r="69">
      <c r="A69" s="92" t="s">
        <v>309</v>
      </c>
      <c r="B69" s="95">
        <v>4.848484848484849</v>
      </c>
      <c r="C69" s="95">
        <v>0.0</v>
      </c>
      <c r="D69" s="95">
        <v>0.8</v>
      </c>
      <c r="E69" s="95">
        <v>2.4</v>
      </c>
      <c r="F69" s="95">
        <v>0.8</v>
      </c>
      <c r="G69" s="94">
        <v>0.8</v>
      </c>
      <c r="H69" s="95">
        <v>0.0</v>
      </c>
    </row>
    <row r="70">
      <c r="A70" s="92" t="s">
        <v>385</v>
      </c>
      <c r="B70" s="95">
        <v>1.6</v>
      </c>
      <c r="C70" s="95">
        <v>0.0</v>
      </c>
      <c r="D70" s="95">
        <v>0.0</v>
      </c>
      <c r="E70" s="95">
        <v>0.0</v>
      </c>
      <c r="F70" s="95">
        <v>0.8</v>
      </c>
      <c r="G70" s="94">
        <v>0.8</v>
      </c>
      <c r="H70" s="95">
        <v>0.0</v>
      </c>
    </row>
    <row r="71">
      <c r="A71" s="92" t="s">
        <v>346</v>
      </c>
      <c r="B71" s="95">
        <v>3.2323232323232323</v>
      </c>
      <c r="C71" s="95">
        <v>0.20202020202020202</v>
      </c>
      <c r="D71" s="95">
        <v>0.8</v>
      </c>
      <c r="E71" s="95">
        <v>2.4</v>
      </c>
      <c r="F71" s="95">
        <v>0.0</v>
      </c>
      <c r="G71" s="94">
        <v>0.8</v>
      </c>
      <c r="H71" s="95">
        <v>-0.8421052631578947</v>
      </c>
    </row>
    <row r="72">
      <c r="A72" s="92" t="s">
        <v>267</v>
      </c>
      <c r="B72" s="95">
        <v>7.2727272727272725</v>
      </c>
      <c r="C72" s="95">
        <v>0.0</v>
      </c>
      <c r="D72" s="95">
        <v>0.0</v>
      </c>
      <c r="E72" s="95">
        <v>0.7619047619047619</v>
      </c>
      <c r="F72" s="95">
        <v>5.054736842105264</v>
      </c>
      <c r="G72" s="94">
        <v>0.798</v>
      </c>
      <c r="H72" s="95">
        <v>0.8421052631578947</v>
      </c>
    </row>
    <row r="73">
      <c r="A73" s="92" t="s">
        <v>244</v>
      </c>
      <c r="B73" s="95">
        <v>8.88888888888889</v>
      </c>
      <c r="C73" s="95">
        <v>0.608080808080808</v>
      </c>
      <c r="D73" s="95">
        <v>0.0</v>
      </c>
      <c r="E73" s="95">
        <v>6.4</v>
      </c>
      <c r="F73" s="95">
        <v>1.6</v>
      </c>
      <c r="G73" s="94">
        <v>0.7619047619047619</v>
      </c>
      <c r="H73" s="95">
        <v>0.0</v>
      </c>
    </row>
    <row r="74">
      <c r="A74" s="92" t="s">
        <v>277</v>
      </c>
      <c r="B74" s="95">
        <v>6.4646464646464645</v>
      </c>
      <c r="C74" s="95">
        <v>0.0</v>
      </c>
      <c r="D74" s="95">
        <v>0.0</v>
      </c>
      <c r="E74" s="95">
        <v>2.4</v>
      </c>
      <c r="F74" s="95">
        <v>0.8</v>
      </c>
      <c r="G74" s="94">
        <v>0.7619047619047619</v>
      </c>
      <c r="H74" s="95">
        <v>2.526315789473684</v>
      </c>
    </row>
    <row r="75">
      <c r="A75" s="92" t="s">
        <v>344</v>
      </c>
      <c r="B75" s="95">
        <v>3.265306122448979</v>
      </c>
      <c r="C75" s="95">
        <v>0.0</v>
      </c>
      <c r="D75" s="95">
        <v>0.8</v>
      </c>
      <c r="E75" s="95">
        <v>0.0</v>
      </c>
      <c r="F75" s="95">
        <v>0.8</v>
      </c>
      <c r="G75" s="94">
        <v>0.7619047619047619</v>
      </c>
      <c r="H75" s="95">
        <v>0.9411764705882353</v>
      </c>
    </row>
    <row r="76">
      <c r="A76" s="92" t="s">
        <v>251</v>
      </c>
      <c r="B76" s="95">
        <v>8.147219710669077</v>
      </c>
      <c r="C76" s="95">
        <v>0.01582278481012658</v>
      </c>
      <c r="D76" s="95">
        <v>3.532970657814408</v>
      </c>
      <c r="E76" s="95">
        <v>1.4523809523809523</v>
      </c>
      <c r="F76" s="95">
        <v>0.8214285714285714</v>
      </c>
      <c r="G76" s="94">
        <v>0.5805133928571429</v>
      </c>
      <c r="H76" s="95">
        <v>1.7666666666666666</v>
      </c>
    </row>
    <row r="77">
      <c r="A77" s="92" t="s">
        <v>250</v>
      </c>
      <c r="B77" s="95">
        <v>8.311688311688311</v>
      </c>
      <c r="C77" s="95">
        <v>0.0</v>
      </c>
      <c r="D77" s="95">
        <v>0.0</v>
      </c>
      <c r="E77" s="95">
        <v>1.0</v>
      </c>
      <c r="F77" s="95">
        <v>7.0</v>
      </c>
      <c r="G77" s="94">
        <v>0.0</v>
      </c>
      <c r="H77" s="95">
        <v>0.0</v>
      </c>
    </row>
    <row r="78">
      <c r="A78" s="92" t="s">
        <v>302</v>
      </c>
      <c r="B78" s="95">
        <v>5.333333333333333</v>
      </c>
      <c r="C78" s="95">
        <v>0.0</v>
      </c>
      <c r="D78" s="95">
        <v>0.0</v>
      </c>
      <c r="E78" s="95">
        <v>0.0</v>
      </c>
      <c r="F78" s="95">
        <v>5.333333333333333</v>
      </c>
      <c r="G78" s="94">
        <v>0.0</v>
      </c>
      <c r="H78" s="95">
        <v>0.0</v>
      </c>
    </row>
    <row r="79">
      <c r="A79" s="92" t="s">
        <v>216</v>
      </c>
      <c r="B79" s="95">
        <v>12.203389830508474</v>
      </c>
      <c r="C79" s="95">
        <v>0.3389830508474576</v>
      </c>
      <c r="D79" s="95">
        <v>5.333333333333333</v>
      </c>
      <c r="E79" s="95">
        <v>2.6666666666666665</v>
      </c>
      <c r="F79" s="95">
        <v>4.363636363636363</v>
      </c>
      <c r="G79" s="94">
        <v>0.0</v>
      </c>
      <c r="H79" s="95">
        <v>0.0</v>
      </c>
    </row>
    <row r="80">
      <c r="A80" s="92" t="s">
        <v>260</v>
      </c>
      <c r="B80" s="95">
        <v>8.0</v>
      </c>
      <c r="C80" s="95">
        <v>0.0</v>
      </c>
      <c r="D80" s="95">
        <v>0.0</v>
      </c>
      <c r="E80" s="95">
        <v>0.0</v>
      </c>
      <c r="F80" s="95">
        <v>4.0</v>
      </c>
      <c r="G80" s="94">
        <v>0.0</v>
      </c>
      <c r="H80" s="95">
        <v>4.0</v>
      </c>
    </row>
    <row r="81">
      <c r="A81" s="92" t="s">
        <v>337</v>
      </c>
      <c r="B81" s="95">
        <v>4.0</v>
      </c>
      <c r="C81" s="95">
        <v>0.0</v>
      </c>
      <c r="D81" s="95">
        <v>0.0</v>
      </c>
      <c r="E81" s="95">
        <v>0.0</v>
      </c>
      <c r="F81" s="95">
        <v>4.0</v>
      </c>
      <c r="G81" s="94">
        <v>0.0</v>
      </c>
      <c r="H81" s="95">
        <v>0.0</v>
      </c>
    </row>
    <row r="82">
      <c r="A82" s="92" t="s">
        <v>275</v>
      </c>
      <c r="B82" s="95">
        <v>6.666666666666667</v>
      </c>
      <c r="C82" s="95">
        <v>0.0</v>
      </c>
      <c r="D82" s="95">
        <v>2.6666666666666665</v>
      </c>
      <c r="E82" s="95">
        <v>1.3333333333333333</v>
      </c>
      <c r="F82" s="95">
        <v>2.6666666666666665</v>
      </c>
      <c r="G82" s="94">
        <v>0.0</v>
      </c>
      <c r="H82" s="95">
        <v>0.0</v>
      </c>
    </row>
    <row r="83">
      <c r="A83" s="92" t="s">
        <v>311</v>
      </c>
      <c r="B83" s="95">
        <v>4.8</v>
      </c>
      <c r="C83" s="95">
        <v>0.4</v>
      </c>
      <c r="D83" s="95">
        <v>0.0</v>
      </c>
      <c r="E83" s="95">
        <v>2.4</v>
      </c>
      <c r="F83" s="95">
        <v>2.4</v>
      </c>
      <c r="G83" s="94">
        <v>0.0</v>
      </c>
      <c r="H83" s="95">
        <v>0.0</v>
      </c>
    </row>
    <row r="84">
      <c r="A84" s="92" t="s">
        <v>370</v>
      </c>
      <c r="B84" s="95">
        <v>2.4</v>
      </c>
      <c r="C84" s="95">
        <v>0.0</v>
      </c>
      <c r="D84" s="95">
        <v>0.0</v>
      </c>
      <c r="E84" s="95">
        <v>0.0</v>
      </c>
      <c r="F84" s="95">
        <v>2.4</v>
      </c>
      <c r="G84" s="94">
        <v>0.0</v>
      </c>
      <c r="H84" s="95">
        <v>0.0</v>
      </c>
    </row>
    <row r="85">
      <c r="A85" s="92" t="s">
        <v>271</v>
      </c>
      <c r="B85" s="95">
        <v>7.0886075949367084</v>
      </c>
      <c r="C85" s="95">
        <v>0.5063291139240506</v>
      </c>
      <c r="D85" s="95">
        <v>2.0</v>
      </c>
      <c r="E85" s="95">
        <v>2.0</v>
      </c>
      <c r="F85" s="95">
        <v>2.0</v>
      </c>
      <c r="G85" s="94">
        <v>0.0</v>
      </c>
      <c r="H85" s="95">
        <v>1.0666666666666667</v>
      </c>
    </row>
    <row r="86">
      <c r="A86" s="92" t="s">
        <v>373</v>
      </c>
      <c r="B86" s="95">
        <v>2.162162162162162</v>
      </c>
      <c r="C86" s="95">
        <v>0.0</v>
      </c>
      <c r="D86" s="95">
        <v>0.0</v>
      </c>
      <c r="E86" s="95">
        <v>0.0</v>
      </c>
      <c r="F86" s="95">
        <v>2.0</v>
      </c>
      <c r="G86" s="94">
        <v>0.0</v>
      </c>
      <c r="H86" s="95">
        <v>0.0</v>
      </c>
    </row>
    <row r="87">
      <c r="A87" s="92" t="s">
        <v>382</v>
      </c>
      <c r="B87" s="95">
        <v>2.0</v>
      </c>
      <c r="C87" s="95">
        <v>0.0</v>
      </c>
      <c r="D87" s="95">
        <v>0.0</v>
      </c>
      <c r="E87" s="95">
        <v>0.0</v>
      </c>
      <c r="F87" s="95">
        <v>2.0</v>
      </c>
      <c r="G87" s="94">
        <v>0.0</v>
      </c>
      <c r="H87" s="95">
        <v>0.0</v>
      </c>
    </row>
    <row r="88">
      <c r="A88" s="92" t="s">
        <v>383</v>
      </c>
      <c r="B88" s="95">
        <v>2.0</v>
      </c>
      <c r="C88" s="95">
        <v>0.0</v>
      </c>
      <c r="D88" s="95">
        <v>0.0</v>
      </c>
      <c r="E88" s="95">
        <v>0.0</v>
      </c>
      <c r="F88" s="95">
        <v>2.0</v>
      </c>
      <c r="G88" s="94">
        <v>0.0</v>
      </c>
      <c r="H88" s="95">
        <v>0.0</v>
      </c>
    </row>
    <row r="89">
      <c r="A89" s="92" t="s">
        <v>286</v>
      </c>
      <c r="B89" s="95">
        <v>5.8968421052631586</v>
      </c>
      <c r="C89" s="95">
        <v>0.0</v>
      </c>
      <c r="D89" s="95">
        <v>0.0</v>
      </c>
      <c r="E89" s="95">
        <v>1.6842105263157894</v>
      </c>
      <c r="F89" s="95">
        <v>1.7755555555555556</v>
      </c>
      <c r="G89" s="94">
        <v>0.0</v>
      </c>
      <c r="H89" s="95">
        <v>2.5242105263157897</v>
      </c>
    </row>
    <row r="90">
      <c r="A90" s="92" t="s">
        <v>207</v>
      </c>
      <c r="B90" s="95">
        <v>14.545454545454545</v>
      </c>
      <c r="C90" s="95">
        <v>0.6060606060606061</v>
      </c>
      <c r="D90" s="95">
        <v>3.5555555555555554</v>
      </c>
      <c r="E90" s="95">
        <v>6.4</v>
      </c>
      <c r="F90" s="95">
        <v>1.6</v>
      </c>
      <c r="G90" s="94">
        <v>0.0</v>
      </c>
      <c r="H90" s="95">
        <v>3.0476190476190474</v>
      </c>
    </row>
    <row r="91">
      <c r="A91" s="92" t="s">
        <v>242</v>
      </c>
      <c r="B91" s="95">
        <v>8.88888888888889</v>
      </c>
      <c r="C91" s="95">
        <v>1.0101010101010102</v>
      </c>
      <c r="D91" s="95">
        <v>1.6</v>
      </c>
      <c r="E91" s="95">
        <v>1.6842105263157894</v>
      </c>
      <c r="F91" s="95">
        <v>1.6</v>
      </c>
      <c r="G91" s="94">
        <v>0.0</v>
      </c>
      <c r="H91" s="95">
        <v>4.0</v>
      </c>
    </row>
    <row r="92">
      <c r="A92" s="92" t="s">
        <v>295</v>
      </c>
      <c r="B92" s="95">
        <v>5.6</v>
      </c>
      <c r="C92" s="95">
        <v>0.2</v>
      </c>
      <c r="D92" s="95">
        <v>3.2</v>
      </c>
      <c r="E92" s="95">
        <v>0.0</v>
      </c>
      <c r="F92" s="95">
        <v>1.6</v>
      </c>
      <c r="G92" s="94">
        <v>0.0</v>
      </c>
      <c r="H92" s="95">
        <v>0.8</v>
      </c>
    </row>
    <row r="93">
      <c r="A93" s="92" t="s">
        <v>364</v>
      </c>
      <c r="B93" s="95">
        <v>2.4242424242424243</v>
      </c>
      <c r="C93" s="95">
        <v>0.20202020202020202</v>
      </c>
      <c r="D93" s="95">
        <v>0.0</v>
      </c>
      <c r="E93" s="95">
        <v>0.0</v>
      </c>
      <c r="F93" s="95">
        <v>1.6</v>
      </c>
      <c r="G93" s="94">
        <v>0.0</v>
      </c>
      <c r="H93" s="95">
        <v>0.8421052631578947</v>
      </c>
    </row>
    <row r="94">
      <c r="A94" s="92" t="s">
        <v>338</v>
      </c>
      <c r="B94" s="95">
        <v>4.0</v>
      </c>
      <c r="C94" s="95">
        <v>0.0</v>
      </c>
      <c r="D94" s="95">
        <v>0.0</v>
      </c>
      <c r="E94" s="95">
        <v>2.4615384615384617</v>
      </c>
      <c r="F94" s="95">
        <v>1.3333333333333333</v>
      </c>
      <c r="G94" s="94">
        <v>0.0</v>
      </c>
      <c r="H94" s="95">
        <v>0.0</v>
      </c>
    </row>
    <row r="95">
      <c r="A95" s="92" t="s">
        <v>312</v>
      </c>
      <c r="B95" s="95">
        <v>4.574285714285715</v>
      </c>
      <c r="C95" s="95">
        <v>0.0</v>
      </c>
      <c r="D95" s="95">
        <v>0.9975</v>
      </c>
      <c r="E95" s="95">
        <v>1.064</v>
      </c>
      <c r="F95" s="95">
        <v>1.3333333333333333</v>
      </c>
      <c r="G95" s="94">
        <v>0.0</v>
      </c>
      <c r="H95" s="95">
        <v>1.0666666666666667</v>
      </c>
    </row>
    <row r="96">
      <c r="A96" s="92" t="s">
        <v>351</v>
      </c>
      <c r="B96" s="95">
        <v>2.7586206896551726</v>
      </c>
      <c r="C96" s="95">
        <v>0.0</v>
      </c>
      <c r="D96" s="95">
        <v>0.0</v>
      </c>
      <c r="E96" s="95">
        <v>0.0</v>
      </c>
      <c r="F96" s="95">
        <v>1.3333333333333333</v>
      </c>
      <c r="G96" s="94">
        <v>0.0</v>
      </c>
      <c r="H96" s="95">
        <v>1.4545454545454546</v>
      </c>
    </row>
    <row r="97">
      <c r="A97" s="92" t="s">
        <v>372</v>
      </c>
      <c r="B97" s="95">
        <v>2.191780821917808</v>
      </c>
      <c r="C97" s="95">
        <v>0.273972602739726</v>
      </c>
      <c r="D97" s="95">
        <v>0.0</v>
      </c>
      <c r="E97" s="95">
        <v>0.0</v>
      </c>
      <c r="F97" s="95">
        <v>1.0666666666666667</v>
      </c>
      <c r="G97" s="94">
        <v>0.0</v>
      </c>
      <c r="H97" s="95">
        <v>1.0666666666666667</v>
      </c>
    </row>
    <row r="98">
      <c r="A98" s="92" t="s">
        <v>229</v>
      </c>
      <c r="B98" s="95">
        <v>10.38961038961039</v>
      </c>
      <c r="C98" s="95">
        <v>0.0</v>
      </c>
      <c r="D98" s="95">
        <v>0.0</v>
      </c>
      <c r="E98" s="95">
        <v>3.0</v>
      </c>
      <c r="F98" s="95">
        <v>1.0</v>
      </c>
      <c r="G98" s="94">
        <v>0.0</v>
      </c>
      <c r="H98" s="95">
        <v>6.857142857142857</v>
      </c>
    </row>
    <row r="99">
      <c r="A99" s="92" t="s">
        <v>361</v>
      </c>
      <c r="B99" s="95">
        <v>2.55531914893617</v>
      </c>
      <c r="C99" s="95">
        <v>0.0</v>
      </c>
      <c r="D99" s="95">
        <v>0.0</v>
      </c>
      <c r="E99" s="95">
        <v>1.6821052631578948</v>
      </c>
      <c r="F99" s="95">
        <v>0.8866666666666667</v>
      </c>
      <c r="G99" s="94">
        <v>0.0</v>
      </c>
      <c r="H99" s="95">
        <v>0.0</v>
      </c>
    </row>
    <row r="100">
      <c r="A100" s="92" t="s">
        <v>224</v>
      </c>
      <c r="B100" s="95">
        <v>10.612244897959183</v>
      </c>
      <c r="C100" s="95">
        <v>0.2040816326530612</v>
      </c>
      <c r="D100" s="95">
        <v>1.6842105263157894</v>
      </c>
      <c r="E100" s="95">
        <v>4.8</v>
      </c>
      <c r="F100" s="95">
        <v>0.8</v>
      </c>
      <c r="G100" s="94">
        <v>0.0</v>
      </c>
      <c r="H100" s="95">
        <v>3.2</v>
      </c>
    </row>
    <row r="101">
      <c r="A101" s="92" t="s">
        <v>261</v>
      </c>
      <c r="B101" s="95">
        <v>8.0</v>
      </c>
      <c r="C101" s="95">
        <v>0.4</v>
      </c>
      <c r="D101" s="95">
        <v>0.8</v>
      </c>
      <c r="E101" s="95">
        <v>4.0</v>
      </c>
      <c r="F101" s="95">
        <v>0.8</v>
      </c>
      <c r="G101" s="94">
        <v>0.0</v>
      </c>
      <c r="H101" s="95">
        <v>2.4</v>
      </c>
    </row>
    <row r="102">
      <c r="A102" s="92" t="s">
        <v>307</v>
      </c>
      <c r="B102" s="95">
        <v>1.6161616161616161</v>
      </c>
      <c r="C102" s="95">
        <v>0.8080808080808081</v>
      </c>
      <c r="D102" s="95">
        <v>0.0</v>
      </c>
      <c r="E102" s="95">
        <v>0.8421052631578947</v>
      </c>
      <c r="F102" s="95">
        <v>0.8</v>
      </c>
      <c r="G102" s="94">
        <v>0.0</v>
      </c>
      <c r="H102" s="95">
        <v>0.0</v>
      </c>
    </row>
    <row r="103">
      <c r="A103" s="92" t="s">
        <v>276</v>
      </c>
      <c r="B103" s="95">
        <v>6.5979381443298974</v>
      </c>
      <c r="C103" s="95">
        <v>0.2061855670103093</v>
      </c>
      <c r="D103" s="95">
        <v>0.0</v>
      </c>
      <c r="E103" s="95">
        <v>0.8</v>
      </c>
      <c r="F103" s="95">
        <v>0.8</v>
      </c>
      <c r="G103" s="94">
        <v>0.0</v>
      </c>
      <c r="H103" s="95">
        <v>5.333333333333333</v>
      </c>
    </row>
    <row r="104">
      <c r="A104" s="92" t="s">
        <v>245</v>
      </c>
      <c r="B104" s="95">
        <v>8.8</v>
      </c>
      <c r="C104" s="95">
        <v>0.8</v>
      </c>
      <c r="D104" s="95">
        <v>6.398</v>
      </c>
      <c r="E104" s="95">
        <v>0.798</v>
      </c>
      <c r="F104" s="95">
        <v>0.8</v>
      </c>
      <c r="G104" s="94">
        <v>0.0</v>
      </c>
      <c r="H104" s="95">
        <v>0.798</v>
      </c>
    </row>
    <row r="105">
      <c r="A105" s="92" t="s">
        <v>384</v>
      </c>
      <c r="B105" s="95">
        <v>1.6306122448979592</v>
      </c>
      <c r="C105" s="95">
        <v>0.0</v>
      </c>
      <c r="D105" s="95">
        <v>0.0</v>
      </c>
      <c r="E105" s="95">
        <v>0.798</v>
      </c>
      <c r="F105" s="95">
        <v>0.8</v>
      </c>
      <c r="G105" s="94">
        <v>0.0</v>
      </c>
      <c r="H105" s="95">
        <v>0.0</v>
      </c>
    </row>
    <row r="106">
      <c r="A106" s="92" t="s">
        <v>240</v>
      </c>
      <c r="B106" s="95">
        <v>8.88888888888889</v>
      </c>
      <c r="C106" s="95">
        <v>0.20202020202020202</v>
      </c>
      <c r="D106" s="95">
        <v>0.8</v>
      </c>
      <c r="E106" s="95">
        <v>0.0</v>
      </c>
      <c r="F106" s="95">
        <v>0.8</v>
      </c>
      <c r="G106" s="94">
        <v>0.0</v>
      </c>
      <c r="H106" s="95">
        <v>7.578947368421052</v>
      </c>
    </row>
    <row r="107">
      <c r="A107" s="92" t="s">
        <v>209</v>
      </c>
      <c r="B107" s="95">
        <v>12.931313131313132</v>
      </c>
      <c r="C107" s="95">
        <v>0.406060606060606</v>
      </c>
      <c r="D107" s="95">
        <v>1.598</v>
      </c>
      <c r="E107" s="95">
        <v>8.8</v>
      </c>
      <c r="F107" s="95">
        <v>0.798</v>
      </c>
      <c r="G107" s="94">
        <v>0.0</v>
      </c>
      <c r="H107" s="95">
        <v>1.6</v>
      </c>
    </row>
    <row r="108">
      <c r="A108" s="92" t="s">
        <v>237</v>
      </c>
      <c r="B108" s="95">
        <v>9.331666666666667</v>
      </c>
      <c r="C108" s="95">
        <v>0.0</v>
      </c>
      <c r="D108" s="95">
        <v>0.665</v>
      </c>
      <c r="E108" s="95">
        <v>8.001666666666667</v>
      </c>
      <c r="F108" s="95">
        <v>0.665</v>
      </c>
      <c r="G108" s="94">
        <v>0.0</v>
      </c>
      <c r="H108" s="95">
        <v>0.0</v>
      </c>
    </row>
    <row r="109">
      <c r="A109" s="92" t="s">
        <v>225</v>
      </c>
      <c r="B109" s="95">
        <v>10.612244897959183</v>
      </c>
      <c r="C109" s="95">
        <v>0.2040816326530612</v>
      </c>
      <c r="D109" s="95">
        <v>0.8</v>
      </c>
      <c r="E109" s="95">
        <v>8.8</v>
      </c>
      <c r="F109" s="95">
        <v>0.0</v>
      </c>
      <c r="G109" s="94">
        <v>0.0</v>
      </c>
      <c r="H109" s="95">
        <v>0.9411764705882353</v>
      </c>
    </row>
    <row r="110">
      <c r="A110" s="92" t="s">
        <v>212</v>
      </c>
      <c r="B110" s="95">
        <v>12.467532467532468</v>
      </c>
      <c r="C110" s="95">
        <v>0.7792207792207793</v>
      </c>
      <c r="D110" s="95">
        <v>1.0666666666666667</v>
      </c>
      <c r="E110" s="95">
        <v>8.0</v>
      </c>
      <c r="F110" s="95">
        <v>0.0</v>
      </c>
      <c r="G110" s="94">
        <v>0.0</v>
      </c>
      <c r="H110" s="95">
        <v>3.2</v>
      </c>
    </row>
    <row r="111">
      <c r="A111" s="92" t="s">
        <v>247</v>
      </c>
      <c r="B111" s="95">
        <v>8.421052631578947</v>
      </c>
      <c r="C111" s="95">
        <v>0.0</v>
      </c>
      <c r="D111" s="95">
        <v>0.0</v>
      </c>
      <c r="E111" s="95">
        <v>8.0</v>
      </c>
      <c r="F111" s="95">
        <v>0.0</v>
      </c>
      <c r="G111" s="94">
        <v>0.0</v>
      </c>
      <c r="H111" s="95">
        <v>0.0</v>
      </c>
    </row>
    <row r="112">
      <c r="A112" s="92" t="s">
        <v>268</v>
      </c>
      <c r="B112" s="95">
        <v>7.2727272727272725</v>
      </c>
      <c r="C112" s="95">
        <v>0.0</v>
      </c>
      <c r="D112" s="95">
        <v>0.0</v>
      </c>
      <c r="E112" s="95">
        <v>7.2</v>
      </c>
      <c r="F112" s="95">
        <v>0.0</v>
      </c>
      <c r="G112" s="94">
        <v>0.0</v>
      </c>
      <c r="H112" s="95">
        <v>0.0</v>
      </c>
    </row>
    <row r="113">
      <c r="A113" s="92" t="s">
        <v>202</v>
      </c>
      <c r="B113" s="95">
        <v>20.0</v>
      </c>
      <c r="C113" s="95">
        <v>0.0</v>
      </c>
      <c r="D113" s="95">
        <v>12.0</v>
      </c>
      <c r="E113" s="95">
        <v>6.4</v>
      </c>
      <c r="F113" s="95">
        <v>0.0</v>
      </c>
      <c r="G113" s="94">
        <v>0.0</v>
      </c>
      <c r="H113" s="95">
        <v>1.6</v>
      </c>
    </row>
    <row r="114">
      <c r="A114" s="92" t="s">
        <v>239</v>
      </c>
      <c r="B114" s="95">
        <v>8.979591836734693</v>
      </c>
      <c r="C114" s="95">
        <v>0.4081632653061224</v>
      </c>
      <c r="D114" s="95">
        <v>0.8</v>
      </c>
      <c r="E114" s="95">
        <v>6.4</v>
      </c>
      <c r="F114" s="95">
        <v>0.0</v>
      </c>
      <c r="G114" s="94">
        <v>0.0</v>
      </c>
      <c r="H114" s="95">
        <v>1.6842105263157894</v>
      </c>
    </row>
    <row r="115">
      <c r="A115" s="92" t="s">
        <v>282</v>
      </c>
      <c r="B115" s="95">
        <v>6.0</v>
      </c>
      <c r="C115" s="95">
        <v>0.0</v>
      </c>
      <c r="D115" s="95">
        <v>0.0</v>
      </c>
      <c r="E115" s="95">
        <v>4.0</v>
      </c>
      <c r="F115" s="95">
        <v>0.0</v>
      </c>
      <c r="G115" s="94">
        <v>0.0</v>
      </c>
      <c r="H115" s="95">
        <v>2.0</v>
      </c>
    </row>
    <row r="116">
      <c r="A116" s="92" t="s">
        <v>300</v>
      </c>
      <c r="B116" s="95">
        <v>5.333333333333333</v>
      </c>
      <c r="C116" s="95">
        <v>0.0</v>
      </c>
      <c r="D116" s="95">
        <v>0.0</v>
      </c>
      <c r="E116" s="95">
        <v>4.0</v>
      </c>
      <c r="F116" s="95">
        <v>0.0</v>
      </c>
      <c r="G116" s="94">
        <v>0.0</v>
      </c>
      <c r="H116" s="95">
        <v>1.4545454545454546</v>
      </c>
    </row>
    <row r="117">
      <c r="A117" s="92" t="s">
        <v>303</v>
      </c>
      <c r="B117" s="95">
        <v>5.333333333333333</v>
      </c>
      <c r="C117" s="95">
        <v>0.0</v>
      </c>
      <c r="D117" s="95">
        <v>2.4615384615384617</v>
      </c>
      <c r="E117" s="95">
        <v>2.6666666666666665</v>
      </c>
      <c r="F117" s="95">
        <v>0.0</v>
      </c>
      <c r="G117" s="94">
        <v>0.0</v>
      </c>
      <c r="H117" s="95">
        <v>0.0</v>
      </c>
    </row>
    <row r="118">
      <c r="A118" s="92" t="s">
        <v>296</v>
      </c>
      <c r="B118" s="95">
        <v>5.517241379310345</v>
      </c>
      <c r="C118" s="95">
        <v>0.0</v>
      </c>
      <c r="D118" s="95">
        <v>0.0</v>
      </c>
      <c r="E118" s="95">
        <v>2.6666666666666665</v>
      </c>
      <c r="F118" s="95">
        <v>0.0</v>
      </c>
      <c r="G118" s="94">
        <v>0.0</v>
      </c>
      <c r="H118" s="95">
        <v>2.6666666666666665</v>
      </c>
    </row>
    <row r="119">
      <c r="A119" s="92" t="s">
        <v>254</v>
      </c>
      <c r="B119" s="95">
        <v>8.080808080808081</v>
      </c>
      <c r="C119" s="95">
        <v>0.40404040404040403</v>
      </c>
      <c r="D119" s="95">
        <v>5.6</v>
      </c>
      <c r="E119" s="95">
        <v>2.526315789473684</v>
      </c>
      <c r="F119" s="95">
        <v>0.0</v>
      </c>
      <c r="G119" s="94">
        <v>0.0</v>
      </c>
      <c r="H119" s="95">
        <v>0.0</v>
      </c>
    </row>
    <row r="120">
      <c r="A120" s="92" t="s">
        <v>221</v>
      </c>
      <c r="B120" s="95">
        <v>11.313131313131313</v>
      </c>
      <c r="C120" s="95">
        <v>0.604040404040404</v>
      </c>
      <c r="D120" s="95">
        <v>5.6</v>
      </c>
      <c r="E120" s="95">
        <v>2.2857142857142856</v>
      </c>
      <c r="F120" s="95">
        <v>0.0</v>
      </c>
      <c r="G120" s="94">
        <v>0.0</v>
      </c>
      <c r="H120" s="95">
        <v>3.3684210526315788</v>
      </c>
    </row>
    <row r="121">
      <c r="A121" s="92" t="s">
        <v>299</v>
      </c>
      <c r="B121" s="95">
        <v>5.333333333333333</v>
      </c>
      <c r="C121" s="95">
        <v>0.0</v>
      </c>
      <c r="D121" s="95">
        <v>0.0</v>
      </c>
      <c r="E121" s="95">
        <v>2.1333333333333333</v>
      </c>
      <c r="F121" s="95">
        <v>0.0</v>
      </c>
      <c r="G121" s="94">
        <v>0.0</v>
      </c>
      <c r="H121" s="95">
        <v>3.0</v>
      </c>
    </row>
    <row r="122">
      <c r="A122" s="92" t="s">
        <v>331</v>
      </c>
      <c r="B122" s="95">
        <v>4.0</v>
      </c>
      <c r="C122" s="95">
        <v>0.25</v>
      </c>
      <c r="D122" s="95">
        <v>1.0</v>
      </c>
      <c r="E122" s="95">
        <v>2.0</v>
      </c>
      <c r="F122" s="95">
        <v>0.0</v>
      </c>
      <c r="G122" s="94">
        <v>0.0</v>
      </c>
      <c r="H122" s="95">
        <v>1.0</v>
      </c>
    </row>
    <row r="123">
      <c r="A123" s="92" t="s">
        <v>285</v>
      </c>
      <c r="B123" s="95">
        <v>5.959574468085107</v>
      </c>
      <c r="C123" s="95">
        <v>1.274468085106383</v>
      </c>
      <c r="D123" s="95">
        <v>0.0</v>
      </c>
      <c r="E123" s="95">
        <v>1.6842105263157894</v>
      </c>
      <c r="F123" s="95">
        <v>0.0</v>
      </c>
      <c r="G123" s="94">
        <v>0.0</v>
      </c>
      <c r="H123" s="95">
        <v>4.212631578947369</v>
      </c>
    </row>
    <row r="124">
      <c r="A124" s="92" t="s">
        <v>290</v>
      </c>
      <c r="B124" s="95">
        <v>5.7142857142857135</v>
      </c>
      <c r="C124" s="95">
        <v>0.2020408163265306</v>
      </c>
      <c r="D124" s="95">
        <v>3.2020000000000004</v>
      </c>
      <c r="E124" s="95">
        <v>1.6</v>
      </c>
      <c r="F124" s="95">
        <v>0.0</v>
      </c>
      <c r="G124" s="94">
        <v>0.0</v>
      </c>
      <c r="H124" s="95">
        <v>0.8400000000000001</v>
      </c>
    </row>
    <row r="125">
      <c r="A125" s="92" t="s">
        <v>319</v>
      </c>
      <c r="B125" s="95">
        <v>4.083673469387755</v>
      </c>
      <c r="C125" s="95">
        <v>0.0</v>
      </c>
      <c r="D125" s="95">
        <v>0.0</v>
      </c>
      <c r="E125" s="95">
        <v>1.6</v>
      </c>
      <c r="F125" s="95">
        <v>0.0</v>
      </c>
      <c r="G125" s="94">
        <v>0.0</v>
      </c>
      <c r="H125" s="95">
        <v>2.528421052631579</v>
      </c>
    </row>
    <row r="126">
      <c r="A126" s="92" t="s">
        <v>365</v>
      </c>
      <c r="B126" s="95">
        <v>2.4242424242424243</v>
      </c>
      <c r="C126" s="95">
        <v>0.40404040404040403</v>
      </c>
      <c r="D126" s="95">
        <v>0.0</v>
      </c>
      <c r="E126" s="95">
        <v>1.5238095238095237</v>
      </c>
      <c r="F126" s="95">
        <v>0.0</v>
      </c>
      <c r="G126" s="94">
        <v>0.0</v>
      </c>
      <c r="H126" s="95">
        <v>0.8421052631578947</v>
      </c>
    </row>
    <row r="127">
      <c r="A127" s="92" t="s">
        <v>292</v>
      </c>
      <c r="B127" s="95">
        <v>5.614035087719298</v>
      </c>
      <c r="C127" s="95">
        <v>0.3508771929824561</v>
      </c>
      <c r="D127" s="95">
        <v>4.0</v>
      </c>
      <c r="E127" s="95">
        <v>1.3333333333333333</v>
      </c>
      <c r="F127" s="95">
        <v>0.0</v>
      </c>
      <c r="G127" s="94">
        <v>0.0</v>
      </c>
      <c r="H127" s="95">
        <v>0.0</v>
      </c>
    </row>
    <row r="128">
      <c r="A128" s="92" t="s">
        <v>390</v>
      </c>
      <c r="B128" s="95">
        <v>1.3333333333333333</v>
      </c>
      <c r="C128" s="95">
        <v>0.0</v>
      </c>
      <c r="D128" s="95">
        <v>0.0</v>
      </c>
      <c r="E128" s="95">
        <v>1.3333333333333333</v>
      </c>
      <c r="F128" s="95">
        <v>0.0</v>
      </c>
      <c r="G128" s="94">
        <v>0.0</v>
      </c>
      <c r="H128" s="95">
        <v>0.0</v>
      </c>
    </row>
    <row r="129">
      <c r="A129" s="92" t="s">
        <v>392</v>
      </c>
      <c r="B129" s="95">
        <v>1.0256410256410258</v>
      </c>
      <c r="C129" s="95">
        <v>0.0</v>
      </c>
      <c r="D129" s="95">
        <v>0.0</v>
      </c>
      <c r="E129" s="95">
        <v>1.25</v>
      </c>
      <c r="F129" s="95">
        <v>0.0</v>
      </c>
      <c r="G129" s="94">
        <v>0.0</v>
      </c>
      <c r="H129" s="95">
        <v>0.0</v>
      </c>
    </row>
    <row r="130">
      <c r="A130" s="92" t="s">
        <v>223</v>
      </c>
      <c r="B130" s="95">
        <v>11.0</v>
      </c>
      <c r="C130" s="95">
        <v>0.0</v>
      </c>
      <c r="D130" s="95">
        <v>0.0</v>
      </c>
      <c r="E130" s="95">
        <v>1.0</v>
      </c>
      <c r="F130" s="95">
        <v>0.0</v>
      </c>
      <c r="G130" s="94">
        <v>0.0</v>
      </c>
      <c r="H130" s="95">
        <v>10.0</v>
      </c>
    </row>
    <row r="131">
      <c r="A131" s="92" t="s">
        <v>394</v>
      </c>
      <c r="B131" s="95">
        <v>1.0</v>
      </c>
      <c r="C131" s="95">
        <v>0.0</v>
      </c>
      <c r="D131" s="95">
        <v>0.0</v>
      </c>
      <c r="E131" s="95">
        <v>1.0</v>
      </c>
      <c r="F131" s="95">
        <v>0.0</v>
      </c>
      <c r="G131" s="94">
        <v>0.0</v>
      </c>
      <c r="H131" s="95">
        <v>0.0</v>
      </c>
    </row>
    <row r="132">
      <c r="A132" s="92" t="s">
        <v>269</v>
      </c>
      <c r="B132" s="95">
        <v>7.2</v>
      </c>
      <c r="C132" s="95">
        <v>0.0</v>
      </c>
      <c r="D132" s="95">
        <v>3.9979999999999998</v>
      </c>
      <c r="E132" s="95">
        <v>0.8</v>
      </c>
      <c r="F132" s="95">
        <v>0.0</v>
      </c>
      <c r="G132" s="94">
        <v>0.0</v>
      </c>
      <c r="H132" s="95">
        <v>2.402</v>
      </c>
    </row>
    <row r="133">
      <c r="A133" s="92" t="s">
        <v>348</v>
      </c>
      <c r="B133" s="95">
        <v>3.2</v>
      </c>
      <c r="C133" s="95">
        <v>0.0</v>
      </c>
      <c r="D133" s="95">
        <v>1.6</v>
      </c>
      <c r="E133" s="95">
        <v>0.7619047619047619</v>
      </c>
      <c r="F133" s="95">
        <v>0.0</v>
      </c>
      <c r="G133" s="94">
        <v>0.0</v>
      </c>
      <c r="H133" s="95">
        <v>0.8</v>
      </c>
    </row>
    <row r="134">
      <c r="A134" s="92" t="s">
        <v>206</v>
      </c>
      <c r="B134" s="95">
        <v>15.0</v>
      </c>
      <c r="C134" s="95">
        <v>0.0</v>
      </c>
      <c r="D134" s="95">
        <v>14.4</v>
      </c>
      <c r="E134" s="95">
        <v>0.0</v>
      </c>
      <c r="F134" s="95">
        <v>0.0</v>
      </c>
      <c r="G134" s="94">
        <v>0.0</v>
      </c>
      <c r="H134" s="95">
        <v>0.0</v>
      </c>
    </row>
    <row r="135">
      <c r="A135" s="92" t="s">
        <v>264</v>
      </c>
      <c r="B135" s="95">
        <v>8.0</v>
      </c>
      <c r="C135" s="95">
        <v>0.5</v>
      </c>
      <c r="D135" s="95">
        <v>10.0</v>
      </c>
      <c r="E135" s="95">
        <v>0.0</v>
      </c>
      <c r="F135" s="95">
        <v>0.0</v>
      </c>
      <c r="G135" s="94">
        <v>0.0</v>
      </c>
      <c r="H135" s="95">
        <v>0.0</v>
      </c>
    </row>
    <row r="136">
      <c r="A136" s="92" t="s">
        <v>243</v>
      </c>
      <c r="B136" s="95">
        <v>8.88888888888889</v>
      </c>
      <c r="C136" s="95">
        <v>0.40404040404040403</v>
      </c>
      <c r="D136" s="95">
        <v>7.619047619047619</v>
      </c>
      <c r="E136" s="95">
        <v>0.0</v>
      </c>
      <c r="F136" s="95">
        <v>0.0</v>
      </c>
      <c r="G136" s="94">
        <v>0.0</v>
      </c>
      <c r="H136" s="95">
        <v>0.8421052631578947</v>
      </c>
    </row>
    <row r="137">
      <c r="A137" s="92" t="s">
        <v>272</v>
      </c>
      <c r="B137" s="95">
        <v>7.017543859649122</v>
      </c>
      <c r="C137" s="95">
        <v>0.0</v>
      </c>
      <c r="D137" s="95">
        <v>7.2727272727272725</v>
      </c>
      <c r="E137" s="95">
        <v>0.0</v>
      </c>
      <c r="F137" s="95">
        <v>0.0</v>
      </c>
      <c r="G137" s="94">
        <v>0.0</v>
      </c>
      <c r="H137" s="95">
        <v>0.0</v>
      </c>
    </row>
    <row r="138">
      <c r="A138" s="92" t="s">
        <v>220</v>
      </c>
      <c r="B138" s="95">
        <v>11.428571428571427</v>
      </c>
      <c r="C138" s="95">
        <v>0.0</v>
      </c>
      <c r="D138" s="95">
        <v>7.2</v>
      </c>
      <c r="E138" s="95">
        <v>0.0</v>
      </c>
      <c r="F138" s="95">
        <v>0.0</v>
      </c>
      <c r="G138" s="94">
        <v>0.0</v>
      </c>
      <c r="H138" s="95">
        <v>4.705882352941177</v>
      </c>
    </row>
    <row r="139">
      <c r="A139" s="92" t="s">
        <v>273</v>
      </c>
      <c r="B139" s="95">
        <v>7.0</v>
      </c>
      <c r="C139" s="95">
        <v>0.0</v>
      </c>
      <c r="D139" s="95">
        <v>4.9975</v>
      </c>
      <c r="E139" s="95">
        <v>0.0</v>
      </c>
      <c r="F139" s="95">
        <v>0.0</v>
      </c>
      <c r="G139" s="94">
        <v>0.0</v>
      </c>
      <c r="H139" s="95">
        <v>2.0025</v>
      </c>
    </row>
    <row r="140">
      <c r="A140" s="92" t="s">
        <v>356</v>
      </c>
      <c r="B140" s="95">
        <v>2.711864406779661</v>
      </c>
      <c r="C140" s="95">
        <v>0.3389830508474576</v>
      </c>
      <c r="D140" s="95">
        <v>4.0</v>
      </c>
      <c r="E140" s="95">
        <v>0.0</v>
      </c>
      <c r="F140" s="95">
        <v>0.0</v>
      </c>
      <c r="G140" s="94">
        <v>0.0</v>
      </c>
      <c r="H140" s="95">
        <v>-1.6</v>
      </c>
    </row>
    <row r="141">
      <c r="A141" s="92" t="s">
        <v>306</v>
      </c>
      <c r="B141" s="95">
        <v>5.0</v>
      </c>
      <c r="C141" s="95">
        <v>0.25</v>
      </c>
      <c r="D141" s="95">
        <v>4.0</v>
      </c>
      <c r="E141" s="95">
        <v>0.0</v>
      </c>
      <c r="F141" s="95">
        <v>0.0</v>
      </c>
      <c r="G141" s="94">
        <v>0.0</v>
      </c>
      <c r="H141" s="95">
        <v>1.0</v>
      </c>
    </row>
    <row r="142">
      <c r="A142" s="92" t="s">
        <v>246</v>
      </c>
      <c r="B142" s="95">
        <v>8.421052631578947</v>
      </c>
      <c r="C142" s="95">
        <v>0.0</v>
      </c>
      <c r="D142" s="95">
        <v>4.0</v>
      </c>
      <c r="E142" s="95">
        <v>0.0</v>
      </c>
      <c r="F142" s="95">
        <v>0.0</v>
      </c>
      <c r="G142" s="94">
        <v>0.0</v>
      </c>
      <c r="H142" s="95">
        <v>4.0</v>
      </c>
    </row>
    <row r="143">
      <c r="A143" s="92" t="s">
        <v>315</v>
      </c>
      <c r="B143" s="95">
        <v>4.2105263157894735</v>
      </c>
      <c r="C143" s="95">
        <v>0.0</v>
      </c>
      <c r="D143" s="95">
        <v>4.0</v>
      </c>
      <c r="E143" s="95">
        <v>0.0</v>
      </c>
      <c r="F143" s="95">
        <v>0.0</v>
      </c>
      <c r="G143" s="94">
        <v>0.0</v>
      </c>
      <c r="H143" s="95">
        <v>0.0</v>
      </c>
    </row>
    <row r="144">
      <c r="A144" s="92" t="s">
        <v>359</v>
      </c>
      <c r="B144" s="95">
        <v>2.6666666666666665</v>
      </c>
      <c r="C144" s="95">
        <v>0.0</v>
      </c>
      <c r="D144" s="95">
        <v>3.3333333333333335</v>
      </c>
      <c r="E144" s="95">
        <v>0.0</v>
      </c>
      <c r="F144" s="95">
        <v>0.0</v>
      </c>
      <c r="G144" s="94">
        <v>0.0</v>
      </c>
      <c r="H144" s="95">
        <v>0.0</v>
      </c>
    </row>
    <row r="145">
      <c r="A145" s="92" t="s">
        <v>343</v>
      </c>
      <c r="B145" s="95">
        <v>3.2876712328767126</v>
      </c>
      <c r="C145" s="95">
        <v>0.0</v>
      </c>
      <c r="D145" s="95">
        <v>3.2</v>
      </c>
      <c r="E145" s="95">
        <v>0.0</v>
      </c>
      <c r="F145" s="95">
        <v>0.0</v>
      </c>
      <c r="G145" s="94">
        <v>0.0</v>
      </c>
      <c r="H145" s="95">
        <v>0.0</v>
      </c>
    </row>
    <row r="146">
      <c r="A146" s="92" t="s">
        <v>226</v>
      </c>
      <c r="B146" s="95">
        <v>10.505050505050505</v>
      </c>
      <c r="C146" s="95">
        <v>0.0</v>
      </c>
      <c r="D146" s="95">
        <v>2.4</v>
      </c>
      <c r="E146" s="95">
        <v>0.0</v>
      </c>
      <c r="F146" s="95">
        <v>0.0</v>
      </c>
      <c r="G146" s="94">
        <v>0.0</v>
      </c>
      <c r="H146" s="95">
        <v>8.421052631578947</v>
      </c>
    </row>
    <row r="147">
      <c r="A147" s="92" t="s">
        <v>362</v>
      </c>
      <c r="B147" s="95">
        <v>2.4489795918367343</v>
      </c>
      <c r="C147" s="95">
        <v>0.0</v>
      </c>
      <c r="D147" s="95">
        <v>2.4</v>
      </c>
      <c r="E147" s="95">
        <v>0.0</v>
      </c>
      <c r="F147" s="95">
        <v>0.0</v>
      </c>
      <c r="G147" s="94">
        <v>0.0</v>
      </c>
      <c r="H147" s="95">
        <v>0.0</v>
      </c>
    </row>
    <row r="148">
      <c r="A148" s="92" t="s">
        <v>378</v>
      </c>
      <c r="B148" s="95">
        <v>2.0512820512820515</v>
      </c>
      <c r="C148" s="95">
        <v>0.0</v>
      </c>
      <c r="D148" s="95">
        <v>2.0</v>
      </c>
      <c r="E148" s="95">
        <v>0.0</v>
      </c>
      <c r="F148" s="95">
        <v>0.0</v>
      </c>
      <c r="G148" s="94">
        <v>0.0</v>
      </c>
      <c r="H148" s="95">
        <v>0.0</v>
      </c>
    </row>
    <row r="149">
      <c r="A149" s="92" t="s">
        <v>371</v>
      </c>
      <c r="B149" s="95">
        <v>2.282857142857143</v>
      </c>
      <c r="C149" s="95">
        <v>0.0</v>
      </c>
      <c r="D149" s="95">
        <v>1.9975</v>
      </c>
      <c r="E149" s="95">
        <v>0.0</v>
      </c>
      <c r="F149" s="95">
        <v>0.0</v>
      </c>
      <c r="G149" s="94">
        <v>0.0</v>
      </c>
      <c r="H149" s="95">
        <v>0.0</v>
      </c>
    </row>
    <row r="150">
      <c r="A150" s="92" t="s">
        <v>341</v>
      </c>
      <c r="B150" s="95">
        <v>0.0</v>
      </c>
      <c r="C150" s="95">
        <v>0.5714285714285714</v>
      </c>
      <c r="D150" s="95">
        <v>1.7777777777777777</v>
      </c>
      <c r="E150" s="95">
        <v>0.0</v>
      </c>
      <c r="F150" s="95">
        <v>0.0</v>
      </c>
      <c r="G150" s="94">
        <v>0.0</v>
      </c>
      <c r="H150" s="95">
        <v>-2.0</v>
      </c>
    </row>
    <row r="151">
      <c r="A151" s="92" t="s">
        <v>386</v>
      </c>
      <c r="B151" s="95">
        <v>1.3559322033898304</v>
      </c>
      <c r="C151" s="95">
        <v>0.0</v>
      </c>
      <c r="D151" s="95">
        <v>1.4545454545454546</v>
      </c>
      <c r="E151" s="95">
        <v>0.0</v>
      </c>
      <c r="F151" s="95">
        <v>0.0</v>
      </c>
      <c r="G151" s="94">
        <v>0.0</v>
      </c>
      <c r="H151" s="95">
        <v>0.0</v>
      </c>
    </row>
    <row r="152">
      <c r="A152" s="92" t="s">
        <v>387</v>
      </c>
      <c r="B152" s="95">
        <v>1.3559322033898304</v>
      </c>
      <c r="C152" s="95">
        <v>0.0</v>
      </c>
      <c r="D152" s="95">
        <v>1.3333333333333333</v>
      </c>
      <c r="E152" s="95">
        <v>0.0</v>
      </c>
      <c r="F152" s="95">
        <v>0.0</v>
      </c>
      <c r="G152" s="94">
        <v>0.0</v>
      </c>
      <c r="H152" s="95">
        <v>0.0</v>
      </c>
    </row>
    <row r="153">
      <c r="A153" s="92" t="s">
        <v>389</v>
      </c>
      <c r="B153" s="95">
        <v>1.352542372881356</v>
      </c>
      <c r="C153" s="95">
        <v>0.33559322033898303</v>
      </c>
      <c r="D153" s="95">
        <v>1.33</v>
      </c>
      <c r="E153" s="95">
        <v>0.0</v>
      </c>
      <c r="F153" s="95">
        <v>0.0</v>
      </c>
      <c r="G153" s="94">
        <v>0.0</v>
      </c>
      <c r="H153" s="95">
        <v>0.0</v>
      </c>
    </row>
    <row r="154">
      <c r="A154" s="92" t="s">
        <v>376</v>
      </c>
      <c r="B154" s="95">
        <v>2.0512820512820515</v>
      </c>
      <c r="C154" s="95">
        <v>0.0</v>
      </c>
      <c r="D154" s="95">
        <v>1.25</v>
      </c>
      <c r="E154" s="95">
        <v>0.0</v>
      </c>
      <c r="F154" s="95">
        <v>0.0</v>
      </c>
      <c r="G154" s="94">
        <v>0.0</v>
      </c>
      <c r="H154" s="95">
        <v>1.3333333333333333</v>
      </c>
    </row>
    <row r="155">
      <c r="A155" s="92" t="s">
        <v>393</v>
      </c>
      <c r="B155" s="95">
        <v>1.010126582278481</v>
      </c>
      <c r="C155" s="95">
        <v>0.0</v>
      </c>
      <c r="D155" s="95">
        <v>0.9975</v>
      </c>
      <c r="E155" s="95">
        <v>0.0</v>
      </c>
      <c r="F155" s="95">
        <v>0.0</v>
      </c>
      <c r="G155" s="94">
        <v>0.0</v>
      </c>
      <c r="H155" s="95">
        <v>0.0</v>
      </c>
    </row>
    <row r="156">
      <c r="A156" s="92" t="s">
        <v>255</v>
      </c>
      <c r="B156" s="95">
        <v>8.08</v>
      </c>
      <c r="C156" s="95">
        <v>0.0</v>
      </c>
      <c r="D156" s="95">
        <v>0.8</v>
      </c>
      <c r="E156" s="95">
        <v>0.0</v>
      </c>
      <c r="F156" s="95">
        <v>0.0</v>
      </c>
      <c r="G156" s="94">
        <v>0.0</v>
      </c>
      <c r="H156" s="95">
        <v>8.0</v>
      </c>
    </row>
    <row r="157">
      <c r="A157" s="92" t="s">
        <v>339</v>
      </c>
      <c r="B157" s="95">
        <v>3.2020000000000004</v>
      </c>
      <c r="C157" s="95">
        <v>0.6</v>
      </c>
      <c r="D157" s="95">
        <v>0.0</v>
      </c>
      <c r="E157" s="95">
        <v>0.0</v>
      </c>
      <c r="F157" s="95">
        <v>0.0</v>
      </c>
      <c r="G157" s="94">
        <v>0.0</v>
      </c>
      <c r="H157" s="95">
        <v>3.2020000000000004</v>
      </c>
    </row>
    <row r="158">
      <c r="A158" s="92" t="s">
        <v>350</v>
      </c>
      <c r="B158" s="95">
        <v>0.0</v>
      </c>
      <c r="C158" s="95">
        <v>0.5128205128205129</v>
      </c>
      <c r="D158" s="95">
        <v>0.0</v>
      </c>
      <c r="E158" s="95">
        <v>0.0</v>
      </c>
      <c r="F158" s="95">
        <v>0.0</v>
      </c>
      <c r="G158" s="94">
        <v>0.0</v>
      </c>
      <c r="H158" s="95">
        <v>0.0</v>
      </c>
    </row>
    <row r="159">
      <c r="A159" s="92" t="s">
        <v>363</v>
      </c>
      <c r="B159" s="95">
        <v>0.0</v>
      </c>
      <c r="C159" s="95">
        <v>0.5</v>
      </c>
      <c r="D159" s="95">
        <v>0.0</v>
      </c>
      <c r="E159" s="95">
        <v>0.0</v>
      </c>
      <c r="F159" s="95">
        <v>0.0</v>
      </c>
      <c r="G159" s="94">
        <v>0.0</v>
      </c>
      <c r="H159" s="95">
        <v>0.0</v>
      </c>
    </row>
    <row r="160">
      <c r="A160" s="92" t="s">
        <v>395</v>
      </c>
      <c r="B160" s="95">
        <v>0.0</v>
      </c>
      <c r="C160" s="95">
        <v>0.3448275862068966</v>
      </c>
      <c r="D160" s="95">
        <v>0.0</v>
      </c>
      <c r="E160" s="95">
        <v>0.0</v>
      </c>
      <c r="F160" s="95">
        <v>0.0</v>
      </c>
      <c r="G160" s="94">
        <v>0.0</v>
      </c>
      <c r="H160" s="95">
        <v>0.0</v>
      </c>
    </row>
    <row r="161">
      <c r="A161" s="92" t="s">
        <v>355</v>
      </c>
      <c r="B161" s="95">
        <v>2.711864406779661</v>
      </c>
      <c r="C161" s="95">
        <v>0.3389830508474576</v>
      </c>
      <c r="D161" s="95">
        <v>0.0</v>
      </c>
      <c r="E161" s="95">
        <v>0.0</v>
      </c>
      <c r="F161" s="95">
        <v>0.0</v>
      </c>
      <c r="G161" s="94">
        <v>0.0</v>
      </c>
      <c r="H161" s="95">
        <v>3.2</v>
      </c>
    </row>
    <row r="162">
      <c r="A162" s="92" t="s">
        <v>327</v>
      </c>
      <c r="B162" s="95">
        <v>4.0</v>
      </c>
      <c r="C162" s="95">
        <v>0.3333333333333333</v>
      </c>
      <c r="D162" s="95">
        <v>0.0</v>
      </c>
      <c r="E162" s="95">
        <v>0.0</v>
      </c>
      <c r="F162" s="95">
        <v>0.0</v>
      </c>
      <c r="G162" s="94">
        <v>0.0</v>
      </c>
      <c r="H162" s="95">
        <v>4.0</v>
      </c>
    </row>
    <row r="163">
      <c r="A163" s="92" t="s">
        <v>404</v>
      </c>
      <c r="B163" s="95">
        <v>-1.3333333333333333</v>
      </c>
      <c r="C163" s="95">
        <v>0.3333333333333333</v>
      </c>
      <c r="D163" s="95">
        <v>0.0</v>
      </c>
      <c r="E163" s="95">
        <v>0.0</v>
      </c>
      <c r="F163" s="95">
        <v>0.0</v>
      </c>
      <c r="G163" s="94">
        <v>0.0</v>
      </c>
      <c r="H163" s="95">
        <v>-1.3333333333333333</v>
      </c>
    </row>
    <row r="164">
      <c r="A164" s="92" t="s">
        <v>298</v>
      </c>
      <c r="B164" s="95">
        <v>5.420338983050847</v>
      </c>
      <c r="C164" s="95">
        <v>0.0</v>
      </c>
      <c r="D164" s="95">
        <v>0.0</v>
      </c>
      <c r="E164" s="95">
        <v>0.0</v>
      </c>
      <c r="F164" s="95">
        <v>0.0</v>
      </c>
      <c r="G164" s="94">
        <v>0.0</v>
      </c>
      <c r="H164" s="95">
        <v>5.8145454545454545</v>
      </c>
    </row>
    <row r="165">
      <c r="A165" s="92" t="s">
        <v>316</v>
      </c>
      <c r="B165" s="95">
        <v>4.102564102564103</v>
      </c>
      <c r="C165" s="95">
        <v>0.0</v>
      </c>
      <c r="D165" s="95">
        <v>0.0</v>
      </c>
      <c r="E165" s="95">
        <v>0.0</v>
      </c>
      <c r="F165" s="95">
        <v>0.0</v>
      </c>
      <c r="G165" s="94">
        <v>0.0</v>
      </c>
      <c r="H165" s="95">
        <v>4.571428571428571</v>
      </c>
    </row>
    <row r="166">
      <c r="A166" s="92" t="s">
        <v>322</v>
      </c>
      <c r="B166" s="95">
        <v>4.067796610169491</v>
      </c>
      <c r="C166" s="95">
        <v>0.0</v>
      </c>
      <c r="D166" s="95">
        <v>0.0</v>
      </c>
      <c r="E166" s="95">
        <v>0.0</v>
      </c>
      <c r="F166" s="95">
        <v>0.0</v>
      </c>
      <c r="G166" s="94">
        <v>0.0</v>
      </c>
      <c r="H166" s="95">
        <v>4.0</v>
      </c>
    </row>
    <row r="167">
      <c r="A167" s="92" t="s">
        <v>326</v>
      </c>
      <c r="B167" s="95">
        <v>4.0</v>
      </c>
      <c r="C167" s="95">
        <v>0.0</v>
      </c>
      <c r="D167" s="95">
        <v>0.0</v>
      </c>
      <c r="E167" s="95">
        <v>0.0</v>
      </c>
      <c r="F167" s="95">
        <v>0.0</v>
      </c>
      <c r="G167" s="94">
        <v>0.0</v>
      </c>
      <c r="H167" s="95">
        <v>4.0</v>
      </c>
    </row>
    <row r="168">
      <c r="A168" s="92" t="s">
        <v>329</v>
      </c>
      <c r="B168" s="95">
        <v>4.0</v>
      </c>
      <c r="C168" s="95">
        <v>0.0</v>
      </c>
      <c r="D168" s="95">
        <v>0.0</v>
      </c>
      <c r="E168" s="95">
        <v>0.0</v>
      </c>
      <c r="F168" s="95">
        <v>0.0</v>
      </c>
      <c r="G168" s="94">
        <v>0.0</v>
      </c>
      <c r="H168" s="95">
        <v>4.0</v>
      </c>
    </row>
    <row r="169">
      <c r="A169" s="92" t="s">
        <v>349</v>
      </c>
      <c r="B169" s="95">
        <v>2.807017543859649</v>
      </c>
      <c r="C169" s="95">
        <v>0.0</v>
      </c>
      <c r="D169" s="95">
        <v>0.0</v>
      </c>
      <c r="E169" s="95">
        <v>0.0</v>
      </c>
      <c r="F169" s="95">
        <v>0.0</v>
      </c>
      <c r="G169" s="94">
        <v>0.0</v>
      </c>
      <c r="H169" s="95">
        <v>2.909090909090909</v>
      </c>
    </row>
    <row r="170">
      <c r="A170" s="92" t="s">
        <v>357</v>
      </c>
      <c r="B170" s="95">
        <v>2.6666666666666665</v>
      </c>
      <c r="C170" s="95">
        <v>0.0</v>
      </c>
      <c r="D170" s="95">
        <v>0.0</v>
      </c>
      <c r="E170" s="95">
        <v>0.0</v>
      </c>
      <c r="F170" s="95">
        <v>0.0</v>
      </c>
      <c r="G170" s="94">
        <v>0.0</v>
      </c>
      <c r="H170" s="95">
        <v>2.6666666666666665</v>
      </c>
    </row>
    <row r="171">
      <c r="A171" s="92" t="s">
        <v>374</v>
      </c>
      <c r="B171" s="95">
        <v>2.1052631578947367</v>
      </c>
      <c r="C171" s="95">
        <v>0.0</v>
      </c>
      <c r="D171" s="95">
        <v>0.0</v>
      </c>
      <c r="E171" s="95">
        <v>0.0</v>
      </c>
      <c r="F171" s="95">
        <v>0.0</v>
      </c>
      <c r="G171" s="94">
        <v>0.0</v>
      </c>
      <c r="H171" s="95">
        <v>2.2857142857142856</v>
      </c>
    </row>
    <row r="172">
      <c r="A172" s="92" t="s">
        <v>375</v>
      </c>
      <c r="B172" s="95">
        <v>2.0512820512820515</v>
      </c>
      <c r="C172" s="95">
        <v>0.0</v>
      </c>
      <c r="D172" s="95">
        <v>0.0</v>
      </c>
      <c r="E172" s="95">
        <v>0.0</v>
      </c>
      <c r="F172" s="95">
        <v>0.0</v>
      </c>
      <c r="G172" s="94">
        <v>0.0</v>
      </c>
      <c r="H172" s="95">
        <v>2.1333333333333333</v>
      </c>
    </row>
    <row r="173">
      <c r="A173" s="92" t="s">
        <v>379</v>
      </c>
      <c r="B173" s="95">
        <v>2.0</v>
      </c>
      <c r="C173" s="95">
        <v>0.0</v>
      </c>
      <c r="D173" s="95">
        <v>0.0</v>
      </c>
      <c r="E173" s="95">
        <v>0.0</v>
      </c>
      <c r="F173" s="95">
        <v>0.0</v>
      </c>
      <c r="G173" s="94">
        <v>0.0</v>
      </c>
      <c r="H173" s="95">
        <v>2.0</v>
      </c>
    </row>
    <row r="174">
      <c r="A174" s="92" t="s">
        <v>380</v>
      </c>
      <c r="B174" s="95">
        <v>2.0</v>
      </c>
      <c r="C174" s="95">
        <v>0.0</v>
      </c>
      <c r="D174" s="95">
        <v>0.0</v>
      </c>
      <c r="E174" s="95">
        <v>0.0</v>
      </c>
      <c r="F174" s="95">
        <v>0.0</v>
      </c>
      <c r="G174" s="94">
        <v>0.0</v>
      </c>
      <c r="H174" s="95">
        <v>2.0</v>
      </c>
    </row>
    <row r="175">
      <c r="A175" s="92" t="s">
        <v>398</v>
      </c>
      <c r="B175" s="95">
        <v>0.0</v>
      </c>
      <c r="C175" s="95">
        <v>0.0</v>
      </c>
      <c r="D175" s="95">
        <v>0.0</v>
      </c>
      <c r="E175" s="95">
        <v>0.0</v>
      </c>
      <c r="F175" s="95">
        <v>0.0</v>
      </c>
      <c r="G175" s="94">
        <v>0.0</v>
      </c>
      <c r="H175" s="95">
        <v>0.0</v>
      </c>
    </row>
    <row r="176">
      <c r="A176" s="92" t="s">
        <v>399</v>
      </c>
      <c r="B176" s="95">
        <v>0.0</v>
      </c>
      <c r="C176" s="95">
        <v>0.0</v>
      </c>
      <c r="D176" s="95">
        <v>0.0</v>
      </c>
      <c r="E176" s="95">
        <v>0.0</v>
      </c>
      <c r="F176" s="95">
        <v>0.0</v>
      </c>
      <c r="G176" s="94">
        <v>0.0</v>
      </c>
      <c r="H176" s="95">
        <v>0.0</v>
      </c>
    </row>
    <row r="177">
      <c r="A177" s="92" t="s">
        <v>400</v>
      </c>
      <c r="B177" s="95">
        <v>0.0</v>
      </c>
      <c r="C177" s="95">
        <v>0.0</v>
      </c>
      <c r="D177" s="95">
        <v>0.0</v>
      </c>
      <c r="E177" s="95">
        <v>0.0</v>
      </c>
      <c r="F177" s="95">
        <v>0.0</v>
      </c>
      <c r="G177" s="94">
        <v>0.0</v>
      </c>
      <c r="H177" s="95">
        <v>0.0</v>
      </c>
    </row>
    <row r="178">
      <c r="A178" s="92" t="s">
        <v>401</v>
      </c>
      <c r="B178" s="95">
        <v>0.0</v>
      </c>
      <c r="C178" s="95">
        <v>0.0</v>
      </c>
      <c r="D178" s="95">
        <v>0.0</v>
      </c>
      <c r="E178" s="95">
        <v>0.0</v>
      </c>
      <c r="F178" s="95">
        <v>0.0</v>
      </c>
      <c r="G178" s="94">
        <v>0.0</v>
      </c>
      <c r="H178" s="95">
        <v>0.0</v>
      </c>
    </row>
    <row r="179">
      <c r="A179" s="92" t="s">
        <v>402</v>
      </c>
      <c r="B179" s="95">
        <v>0.0</v>
      </c>
      <c r="C179" s="95">
        <v>0.0</v>
      </c>
      <c r="D179" s="95">
        <v>0.0</v>
      </c>
      <c r="E179" s="95">
        <v>0.0</v>
      </c>
      <c r="F179" s="95">
        <v>0.0</v>
      </c>
      <c r="G179" s="94">
        <v>0.0</v>
      </c>
      <c r="H179" s="95">
        <v>0.0</v>
      </c>
    </row>
    <row r="180">
      <c r="A180" s="92" t="s">
        <v>403</v>
      </c>
      <c r="B180" s="95">
        <v>0.0</v>
      </c>
      <c r="C180" s="95">
        <v>0.0</v>
      </c>
      <c r="D180" s="95">
        <v>0.0</v>
      </c>
      <c r="E180" s="95">
        <v>0.0</v>
      </c>
      <c r="F180" s="95">
        <v>0.0</v>
      </c>
      <c r="G180" s="94">
        <v>0.0</v>
      </c>
      <c r="H180" s="95">
        <v>0.0</v>
      </c>
    </row>
    <row r="181">
      <c r="A181" s="92" t="s">
        <v>405</v>
      </c>
      <c r="B181" s="95">
        <v>0.0</v>
      </c>
      <c r="C181" s="95">
        <v>0.0</v>
      </c>
      <c r="D181" s="95">
        <v>0.0</v>
      </c>
      <c r="E181" s="95">
        <v>0.0</v>
      </c>
      <c r="F181" s="95">
        <v>0.0</v>
      </c>
      <c r="G181" s="94">
        <v>0.0</v>
      </c>
      <c r="H181" s="95">
        <v>0.0</v>
      </c>
    </row>
    <row r="182">
      <c r="A182" s="92" t="s">
        <v>406</v>
      </c>
      <c r="B182" s="95">
        <v>0.0</v>
      </c>
      <c r="C182" s="95">
        <v>0.0</v>
      </c>
      <c r="D182" s="95">
        <v>0.0</v>
      </c>
      <c r="E182" s="95">
        <v>0.0</v>
      </c>
      <c r="F182" s="95">
        <v>0.0</v>
      </c>
      <c r="G182" s="94">
        <v>0.0</v>
      </c>
      <c r="H182" s="95">
        <v>0.0</v>
      </c>
    </row>
    <row r="183">
      <c r="A183" s="92" t="s">
        <v>407</v>
      </c>
      <c r="B183" s="95">
        <v>0.0</v>
      </c>
      <c r="C183" s="95">
        <v>0.0</v>
      </c>
      <c r="D183" s="95">
        <v>0.0</v>
      </c>
      <c r="E183" s="95">
        <v>0.0</v>
      </c>
      <c r="F183" s="95">
        <v>0.0</v>
      </c>
      <c r="G183" s="94">
        <v>0.0</v>
      </c>
      <c r="H183" s="95">
        <v>0.0</v>
      </c>
    </row>
    <row r="184">
      <c r="A184" s="92" t="s">
        <v>408</v>
      </c>
      <c r="B184" s="95">
        <v>0.0</v>
      </c>
      <c r="C184" s="95">
        <v>0.0</v>
      </c>
      <c r="D184" s="95">
        <v>0.0</v>
      </c>
      <c r="E184" s="95">
        <v>0.0</v>
      </c>
      <c r="F184" s="95">
        <v>0.0</v>
      </c>
      <c r="G184" s="94">
        <v>0.0</v>
      </c>
      <c r="H184" s="95">
        <v>0.0</v>
      </c>
    </row>
    <row r="185">
      <c r="A185" s="92" t="s">
        <v>409</v>
      </c>
      <c r="B185" s="95">
        <v>0.0</v>
      </c>
      <c r="C185" s="95">
        <v>0.0</v>
      </c>
      <c r="D185" s="95">
        <v>0.0</v>
      </c>
      <c r="E185" s="95">
        <v>0.0</v>
      </c>
      <c r="F185" s="95">
        <v>0.0</v>
      </c>
      <c r="G185" s="94">
        <v>0.0</v>
      </c>
      <c r="H185" s="95">
        <v>0.0</v>
      </c>
    </row>
    <row r="186">
      <c r="A186" s="92" t="s">
        <v>410</v>
      </c>
      <c r="B186" s="95">
        <v>0.0</v>
      </c>
      <c r="C186" s="95">
        <v>0.0</v>
      </c>
      <c r="D186" s="95">
        <v>0.0</v>
      </c>
      <c r="E186" s="95">
        <v>0.0</v>
      </c>
      <c r="F186" s="95">
        <v>0.0</v>
      </c>
      <c r="G186" s="94">
        <v>0.0</v>
      </c>
      <c r="H186" s="95">
        <v>0.0</v>
      </c>
    </row>
    <row r="187">
      <c r="A187" s="92" t="s">
        <v>411</v>
      </c>
      <c r="B187" s="95">
        <v>0.0</v>
      </c>
      <c r="C187" s="95">
        <v>0.0</v>
      </c>
      <c r="D187" s="95">
        <v>0.0</v>
      </c>
      <c r="E187" s="95">
        <v>0.0</v>
      </c>
      <c r="F187" s="95">
        <v>0.0</v>
      </c>
      <c r="G187" s="94">
        <v>0.0</v>
      </c>
      <c r="H187" s="95">
        <v>0.0</v>
      </c>
    </row>
    <row r="188">
      <c r="A188" s="92" t="s">
        <v>360</v>
      </c>
      <c r="B188" s="95">
        <v>0.0</v>
      </c>
      <c r="C188" s="95">
        <v>0.5</v>
      </c>
      <c r="D188" s="95">
        <v>-2.0</v>
      </c>
      <c r="E188" s="95">
        <v>0.0</v>
      </c>
      <c r="F188" s="95">
        <v>0.0</v>
      </c>
      <c r="G188" s="94">
        <v>0.0</v>
      </c>
      <c r="H188" s="95">
        <v>2.0</v>
      </c>
    </row>
    <row r="189">
      <c r="A189" s="92" t="s">
        <v>253</v>
      </c>
      <c r="B189" s="95">
        <v>8.080808080808081</v>
      </c>
      <c r="C189" s="95">
        <v>0.40404040404040403</v>
      </c>
      <c r="D189" s="95">
        <v>6.4</v>
      </c>
      <c r="E189" s="95">
        <v>-0.7619047619047619</v>
      </c>
      <c r="F189" s="95">
        <v>0.0</v>
      </c>
      <c r="G189" s="94">
        <v>0.0</v>
      </c>
      <c r="H189" s="95">
        <v>2.526315789473684</v>
      </c>
    </row>
    <row r="190">
      <c r="A190" s="92" t="s">
        <v>391</v>
      </c>
      <c r="B190" s="95">
        <v>0.0</v>
      </c>
      <c r="C190" s="95">
        <v>0.3508771929824561</v>
      </c>
      <c r="D190" s="95">
        <v>1.3333333333333333</v>
      </c>
      <c r="E190" s="95">
        <v>-1.3333333333333333</v>
      </c>
      <c r="F190" s="95">
        <v>0.0</v>
      </c>
      <c r="G190" s="94">
        <v>0.0</v>
      </c>
      <c r="H190" s="95">
        <v>0.0</v>
      </c>
    </row>
    <row r="191">
      <c r="A191" s="92" t="s">
        <v>388</v>
      </c>
      <c r="B191" s="95">
        <v>0.0</v>
      </c>
      <c r="C191" s="95">
        <v>0.37037037037037035</v>
      </c>
      <c r="D191" s="95">
        <v>1.4545454545454546</v>
      </c>
      <c r="E191" s="95">
        <v>-1.4545454545454546</v>
      </c>
      <c r="F191" s="95">
        <v>0.0</v>
      </c>
      <c r="G191" s="94">
        <v>0.0</v>
      </c>
      <c r="H191" s="95">
        <v>0.0</v>
      </c>
    </row>
    <row r="192">
      <c r="A192" s="92" t="s">
        <v>328</v>
      </c>
      <c r="B192" s="95">
        <v>2.426262626262626</v>
      </c>
      <c r="C192" s="95">
        <v>0.608080808080808</v>
      </c>
      <c r="D192" s="95">
        <v>0.0</v>
      </c>
      <c r="E192" s="95">
        <v>0.0</v>
      </c>
      <c r="F192" s="95">
        <v>-0.798</v>
      </c>
      <c r="G192" s="94">
        <v>0.0</v>
      </c>
      <c r="H192" s="95">
        <v>3.2</v>
      </c>
    </row>
    <row r="193">
      <c r="A193" s="92" t="s">
        <v>332</v>
      </c>
      <c r="B193" s="95">
        <v>4.0</v>
      </c>
      <c r="C193" s="95">
        <v>0.6</v>
      </c>
      <c r="D193" s="95">
        <v>0.8</v>
      </c>
      <c r="E193" s="95">
        <v>3.2</v>
      </c>
      <c r="F193" s="95">
        <v>-0.8</v>
      </c>
      <c r="G193" s="94">
        <v>0.0</v>
      </c>
      <c r="H193" s="95">
        <v>0.8421052631578947</v>
      </c>
    </row>
    <row r="194">
      <c r="A194" s="92" t="s">
        <v>308</v>
      </c>
      <c r="B194" s="95">
        <v>4.848484848484849</v>
      </c>
      <c r="C194" s="95">
        <v>0.40404040404040403</v>
      </c>
      <c r="D194" s="95">
        <v>5.333333333333333</v>
      </c>
      <c r="E194" s="95">
        <v>0.0</v>
      </c>
      <c r="F194" s="95">
        <v>-0.8</v>
      </c>
      <c r="G194" s="94">
        <v>0.0</v>
      </c>
      <c r="H194" s="95">
        <v>0.7619047619047619</v>
      </c>
    </row>
    <row r="195">
      <c r="A195" s="92" t="s">
        <v>352</v>
      </c>
      <c r="B195" s="95">
        <v>2.7586206896551726</v>
      </c>
      <c r="C195" s="95">
        <v>0.3448275862068966</v>
      </c>
      <c r="D195" s="95">
        <v>1.4545454545454546</v>
      </c>
      <c r="E195" s="95">
        <v>2.6666666666666665</v>
      </c>
      <c r="F195" s="95">
        <v>-1.3333333333333333</v>
      </c>
      <c r="G195" s="94">
        <v>0.0</v>
      </c>
      <c r="H195" s="95">
        <v>0.0</v>
      </c>
    </row>
    <row r="196">
      <c r="A196" s="92" t="s">
        <v>274</v>
      </c>
      <c r="B196" s="95">
        <v>6.8965517241379315</v>
      </c>
      <c r="C196" s="95">
        <v>0.6896551724137931</v>
      </c>
      <c r="D196" s="95">
        <v>0.0</v>
      </c>
      <c r="E196" s="95">
        <v>8.0</v>
      </c>
      <c r="F196" s="95">
        <v>-1.4545454545454546</v>
      </c>
      <c r="G196" s="94">
        <v>0.0</v>
      </c>
      <c r="H196" s="95">
        <v>0.0</v>
      </c>
    </row>
    <row r="197">
      <c r="A197" s="92" t="s">
        <v>301</v>
      </c>
      <c r="B197" s="95">
        <v>0.0</v>
      </c>
      <c r="C197" s="95">
        <v>1.0</v>
      </c>
      <c r="D197" s="95">
        <v>0.0</v>
      </c>
      <c r="E197" s="95">
        <v>4.0</v>
      </c>
      <c r="F197" s="95">
        <v>-4.0</v>
      </c>
      <c r="G197" s="94">
        <v>0.0</v>
      </c>
      <c r="H197" s="95">
        <v>0.0</v>
      </c>
    </row>
    <row r="198">
      <c r="A198" s="92" t="s">
        <v>217</v>
      </c>
      <c r="B198" s="95">
        <v>12.121212121212121</v>
      </c>
      <c r="C198" s="95">
        <v>1.2121212121212122</v>
      </c>
      <c r="D198" s="95">
        <v>0.0</v>
      </c>
      <c r="E198" s="95">
        <v>4.8</v>
      </c>
      <c r="F198" s="95">
        <v>4.0</v>
      </c>
      <c r="G198" s="94">
        <v>-0.8</v>
      </c>
      <c r="H198" s="95">
        <v>4.2105263157894735</v>
      </c>
    </row>
    <row r="199">
      <c r="A199" s="92" t="s">
        <v>213</v>
      </c>
      <c r="B199" s="95">
        <v>12.244897959183673</v>
      </c>
      <c r="C199" s="95">
        <v>0.6122448979591836</v>
      </c>
      <c r="D199" s="95">
        <v>2.526315789473684</v>
      </c>
      <c r="E199" s="95">
        <v>4.0</v>
      </c>
      <c r="F199" s="95">
        <v>1.6</v>
      </c>
      <c r="G199" s="94">
        <v>-0.8</v>
      </c>
      <c r="H199" s="95">
        <v>5.052631578947368</v>
      </c>
    </row>
    <row r="200">
      <c r="A200" s="92" t="s">
        <v>199</v>
      </c>
      <c r="B200" s="95">
        <v>30.76923076923077</v>
      </c>
      <c r="C200" s="95">
        <v>1.0256410256410258</v>
      </c>
      <c r="D200" s="95">
        <v>12.0</v>
      </c>
      <c r="E200" s="95">
        <v>4.0</v>
      </c>
      <c r="F200" s="95">
        <v>7.466666666666667</v>
      </c>
      <c r="G200" s="94">
        <v>-1.0666666666666667</v>
      </c>
      <c r="H200" s="95">
        <v>8.0</v>
      </c>
    </row>
    <row r="201">
      <c r="A201" s="92" t="s">
        <v>353</v>
      </c>
      <c r="B201" s="95">
        <v>1.0256410256410258</v>
      </c>
      <c r="C201" s="95">
        <v>0.5128205128205128</v>
      </c>
      <c r="D201" s="95">
        <v>0.0</v>
      </c>
      <c r="E201" s="95">
        <v>0.0</v>
      </c>
      <c r="F201" s="95">
        <v>1.25</v>
      </c>
      <c r="G201" s="94">
        <v>-1.3333333333333333</v>
      </c>
      <c r="H201" s="95">
        <v>1.3333333333333333</v>
      </c>
    </row>
    <row r="202">
      <c r="A202" s="92" t="s">
        <v>248</v>
      </c>
      <c r="B202" s="95">
        <v>8.333333333333334</v>
      </c>
      <c r="C202" s="95">
        <v>2.0833333333333335</v>
      </c>
      <c r="D202" s="95">
        <v>0.0</v>
      </c>
      <c r="E202" s="95">
        <v>2.6666666666666665</v>
      </c>
      <c r="F202" s="95">
        <v>3.8095238095238093</v>
      </c>
      <c r="G202" s="94">
        <v>-1.6842105263157894</v>
      </c>
      <c r="H202" s="95">
        <v>3.5555555555555554</v>
      </c>
    </row>
    <row r="203">
      <c r="A203" s="92" t="s">
        <v>340</v>
      </c>
      <c r="B203" s="95">
        <v>4.0</v>
      </c>
      <c r="C203" s="95">
        <v>0.5</v>
      </c>
      <c r="D203" s="95">
        <v>0.0</v>
      </c>
      <c r="E203" s="95">
        <v>4.0</v>
      </c>
      <c r="F203" s="95">
        <v>2.0</v>
      </c>
      <c r="G203" s="94">
        <v>-2.0</v>
      </c>
      <c r="H203" s="95">
        <v>0.0</v>
      </c>
    </row>
    <row r="204">
      <c r="G204" s="152"/>
    </row>
    <row r="205">
      <c r="G205" s="152"/>
    </row>
    <row r="206">
      <c r="G206" s="152"/>
    </row>
    <row r="207">
      <c r="G207" s="152"/>
    </row>
    <row r="208">
      <c r="G208" s="152"/>
    </row>
    <row r="209">
      <c r="G209" s="152"/>
    </row>
    <row r="210">
      <c r="G210" s="152"/>
    </row>
    <row r="211">
      <c r="G211" s="152"/>
    </row>
    <row r="212">
      <c r="G212" s="152"/>
    </row>
    <row r="213">
      <c r="G213" s="152"/>
    </row>
    <row r="214">
      <c r="G214" s="152"/>
    </row>
    <row r="215">
      <c r="G215" s="152"/>
    </row>
    <row r="216">
      <c r="G216" s="152"/>
    </row>
    <row r="217">
      <c r="G217" s="152"/>
    </row>
    <row r="218">
      <c r="G218" s="152"/>
    </row>
    <row r="219">
      <c r="G219" s="152"/>
    </row>
    <row r="220">
      <c r="G220" s="152"/>
    </row>
    <row r="221">
      <c r="G221" s="152"/>
    </row>
    <row r="222">
      <c r="G222" s="152"/>
    </row>
    <row r="223">
      <c r="G223" s="152"/>
    </row>
    <row r="224">
      <c r="G224" s="152"/>
    </row>
    <row r="225">
      <c r="G225" s="152"/>
    </row>
    <row r="226">
      <c r="G226" s="152"/>
    </row>
    <row r="227">
      <c r="G227" s="152"/>
    </row>
    <row r="228">
      <c r="G228" s="152"/>
    </row>
    <row r="229">
      <c r="G229" s="152"/>
    </row>
    <row r="230">
      <c r="G230" s="152"/>
    </row>
    <row r="231">
      <c r="G231" s="152"/>
    </row>
    <row r="232">
      <c r="G232" s="152"/>
    </row>
    <row r="233">
      <c r="G233" s="152"/>
    </row>
    <row r="234">
      <c r="G234" s="152"/>
    </row>
    <row r="235">
      <c r="G235" s="152"/>
    </row>
    <row r="236">
      <c r="G236" s="152"/>
    </row>
    <row r="237">
      <c r="G237" s="152"/>
    </row>
    <row r="238">
      <c r="G238" s="152"/>
    </row>
    <row r="239">
      <c r="G239" s="152"/>
    </row>
    <row r="240">
      <c r="G240" s="152"/>
    </row>
    <row r="241">
      <c r="G241" s="152"/>
    </row>
    <row r="242">
      <c r="G242" s="152"/>
    </row>
    <row r="243">
      <c r="G243" s="152"/>
    </row>
    <row r="244">
      <c r="G244" s="152"/>
    </row>
    <row r="245">
      <c r="G245" s="152"/>
    </row>
    <row r="246">
      <c r="G246" s="152"/>
    </row>
    <row r="247">
      <c r="G247" s="152"/>
    </row>
    <row r="248">
      <c r="G248" s="152"/>
    </row>
    <row r="249">
      <c r="G249" s="152"/>
    </row>
    <row r="250">
      <c r="G250" s="152"/>
    </row>
    <row r="251">
      <c r="G251" s="152"/>
    </row>
    <row r="252">
      <c r="G252" s="152"/>
    </row>
    <row r="253">
      <c r="G253" s="152"/>
    </row>
    <row r="254">
      <c r="G254" s="152"/>
    </row>
    <row r="255">
      <c r="G255" s="152"/>
    </row>
    <row r="256">
      <c r="G256" s="152"/>
    </row>
    <row r="257">
      <c r="G257" s="152"/>
    </row>
    <row r="258">
      <c r="G258" s="152"/>
    </row>
    <row r="259">
      <c r="G259" s="152"/>
    </row>
    <row r="260">
      <c r="G260" s="152"/>
    </row>
    <row r="261">
      <c r="G261" s="152"/>
    </row>
    <row r="262">
      <c r="G262" s="152"/>
    </row>
    <row r="263">
      <c r="G263" s="152"/>
    </row>
    <row r="264">
      <c r="G264" s="152"/>
    </row>
    <row r="265">
      <c r="G265" s="152"/>
    </row>
    <row r="266">
      <c r="G266" s="152"/>
    </row>
    <row r="267">
      <c r="G267" s="152"/>
    </row>
    <row r="268">
      <c r="G268" s="152"/>
    </row>
    <row r="269">
      <c r="G269" s="152"/>
    </row>
    <row r="270">
      <c r="G270" s="152"/>
    </row>
    <row r="271">
      <c r="G271" s="152"/>
    </row>
    <row r="272">
      <c r="G272" s="152"/>
    </row>
    <row r="273">
      <c r="G273" s="152"/>
    </row>
    <row r="274">
      <c r="G274" s="152"/>
    </row>
    <row r="275">
      <c r="G275" s="152"/>
    </row>
    <row r="276">
      <c r="G276" s="152"/>
    </row>
    <row r="277">
      <c r="G277" s="152"/>
    </row>
    <row r="278">
      <c r="G278" s="152"/>
    </row>
    <row r="279">
      <c r="G279" s="152"/>
    </row>
    <row r="280">
      <c r="G280" s="152"/>
    </row>
    <row r="281">
      <c r="G281" s="152"/>
    </row>
    <row r="282">
      <c r="G282" s="152"/>
    </row>
    <row r="283">
      <c r="G283" s="152"/>
    </row>
    <row r="284">
      <c r="G284" s="152"/>
    </row>
    <row r="285">
      <c r="G285" s="152"/>
    </row>
    <row r="286">
      <c r="G286" s="152"/>
    </row>
    <row r="287">
      <c r="G287" s="152"/>
    </row>
    <row r="288">
      <c r="G288" s="152"/>
    </row>
    <row r="289">
      <c r="G289" s="152"/>
    </row>
    <row r="290">
      <c r="G290" s="152"/>
    </row>
    <row r="291">
      <c r="G291" s="152"/>
    </row>
    <row r="292">
      <c r="G292" s="152"/>
    </row>
    <row r="293">
      <c r="G293" s="152"/>
    </row>
    <row r="294">
      <c r="G294" s="152"/>
    </row>
    <row r="295">
      <c r="G295" s="152"/>
    </row>
    <row r="296">
      <c r="G296" s="152"/>
    </row>
    <row r="297">
      <c r="G297" s="152"/>
    </row>
    <row r="298">
      <c r="G298" s="152"/>
    </row>
    <row r="299">
      <c r="G299" s="152"/>
    </row>
    <row r="300">
      <c r="G300" s="152"/>
    </row>
    <row r="301">
      <c r="G301" s="152"/>
    </row>
    <row r="302">
      <c r="G302" s="152"/>
    </row>
    <row r="303">
      <c r="G303" s="152"/>
    </row>
    <row r="304">
      <c r="G304" s="152"/>
    </row>
    <row r="305">
      <c r="G305" s="152"/>
    </row>
    <row r="306">
      <c r="G306" s="152"/>
    </row>
    <row r="307">
      <c r="G307" s="152"/>
    </row>
    <row r="308">
      <c r="G308" s="152"/>
    </row>
    <row r="309">
      <c r="G309" s="152"/>
    </row>
    <row r="310">
      <c r="G310" s="152"/>
    </row>
    <row r="311">
      <c r="G311" s="152"/>
    </row>
    <row r="312">
      <c r="G312" s="152"/>
    </row>
    <row r="313">
      <c r="G313" s="152"/>
    </row>
    <row r="314">
      <c r="G314" s="152"/>
    </row>
    <row r="315">
      <c r="G315" s="152"/>
    </row>
    <row r="316">
      <c r="G316" s="152"/>
    </row>
    <row r="317">
      <c r="G317" s="152"/>
    </row>
    <row r="318">
      <c r="G318" s="152"/>
    </row>
    <row r="319">
      <c r="G319" s="152"/>
    </row>
    <row r="320">
      <c r="G320" s="152"/>
    </row>
    <row r="321">
      <c r="G321" s="152"/>
    </row>
    <row r="322">
      <c r="G322" s="152"/>
    </row>
    <row r="323">
      <c r="G323" s="152"/>
    </row>
    <row r="324">
      <c r="G324" s="152"/>
    </row>
    <row r="325">
      <c r="G325" s="152"/>
    </row>
    <row r="326">
      <c r="G326" s="152"/>
    </row>
    <row r="327">
      <c r="G327" s="152"/>
    </row>
    <row r="328">
      <c r="G328" s="152"/>
    </row>
    <row r="329">
      <c r="G329" s="152"/>
    </row>
    <row r="330">
      <c r="G330" s="152"/>
    </row>
    <row r="331">
      <c r="G331" s="152"/>
    </row>
    <row r="332">
      <c r="G332" s="152"/>
    </row>
    <row r="333">
      <c r="G333" s="152"/>
    </row>
    <row r="334">
      <c r="G334" s="152"/>
    </row>
    <row r="335">
      <c r="G335" s="152"/>
    </row>
    <row r="336">
      <c r="G336" s="152"/>
    </row>
    <row r="337">
      <c r="G337" s="152"/>
    </row>
    <row r="338">
      <c r="G338" s="152"/>
    </row>
    <row r="339">
      <c r="G339" s="152"/>
    </row>
    <row r="340">
      <c r="G340" s="152"/>
    </row>
    <row r="341">
      <c r="G341" s="152"/>
    </row>
    <row r="342">
      <c r="G342" s="152"/>
    </row>
    <row r="343">
      <c r="G343" s="152"/>
    </row>
    <row r="344">
      <c r="G344" s="152"/>
    </row>
    <row r="345">
      <c r="G345" s="152"/>
    </row>
    <row r="346">
      <c r="G346" s="152"/>
    </row>
    <row r="347">
      <c r="G347" s="152"/>
    </row>
    <row r="348">
      <c r="G348" s="152"/>
    </row>
    <row r="349">
      <c r="G349" s="152"/>
    </row>
    <row r="350">
      <c r="G350" s="152"/>
    </row>
    <row r="351">
      <c r="G351" s="152"/>
    </row>
    <row r="352">
      <c r="G352" s="152"/>
    </row>
    <row r="353">
      <c r="G353" s="152"/>
    </row>
    <row r="354">
      <c r="G354" s="152"/>
    </row>
    <row r="355">
      <c r="G355" s="152"/>
    </row>
    <row r="356">
      <c r="G356" s="152"/>
    </row>
    <row r="357">
      <c r="G357" s="152"/>
    </row>
    <row r="358">
      <c r="G358" s="152"/>
    </row>
    <row r="359">
      <c r="G359" s="152"/>
    </row>
    <row r="360">
      <c r="G360" s="152"/>
    </row>
    <row r="361">
      <c r="G361" s="152"/>
    </row>
    <row r="362">
      <c r="G362" s="152"/>
    </row>
    <row r="363">
      <c r="G363" s="152"/>
    </row>
    <row r="364">
      <c r="G364" s="152"/>
    </row>
    <row r="365">
      <c r="G365" s="152"/>
    </row>
    <row r="366">
      <c r="G366" s="152"/>
    </row>
    <row r="367">
      <c r="G367" s="152"/>
    </row>
    <row r="368">
      <c r="G368" s="152"/>
    </row>
    <row r="369">
      <c r="G369" s="152"/>
    </row>
    <row r="370">
      <c r="G370" s="152"/>
    </row>
    <row r="371">
      <c r="G371" s="152"/>
    </row>
    <row r="372">
      <c r="G372" s="152"/>
    </row>
    <row r="373">
      <c r="G373" s="152"/>
    </row>
    <row r="374">
      <c r="G374" s="152"/>
    </row>
    <row r="375">
      <c r="G375" s="152"/>
    </row>
    <row r="376">
      <c r="G376" s="152"/>
    </row>
    <row r="377">
      <c r="G377" s="152"/>
    </row>
    <row r="378">
      <c r="G378" s="152"/>
    </row>
    <row r="379">
      <c r="G379" s="152"/>
    </row>
    <row r="380">
      <c r="G380" s="152"/>
    </row>
    <row r="381">
      <c r="G381" s="152"/>
    </row>
    <row r="382">
      <c r="G382" s="152"/>
    </row>
    <row r="383">
      <c r="G383" s="152"/>
    </row>
    <row r="384">
      <c r="G384" s="152"/>
    </row>
    <row r="385">
      <c r="G385" s="152"/>
    </row>
    <row r="386">
      <c r="G386" s="152"/>
    </row>
    <row r="387">
      <c r="G387" s="152"/>
    </row>
    <row r="388">
      <c r="G388" s="152"/>
    </row>
    <row r="389">
      <c r="G389" s="152"/>
    </row>
    <row r="390">
      <c r="G390" s="152"/>
    </row>
    <row r="391">
      <c r="G391" s="152"/>
    </row>
    <row r="392">
      <c r="G392" s="152"/>
    </row>
    <row r="393">
      <c r="G393" s="152"/>
    </row>
    <row r="394">
      <c r="G394" s="152"/>
    </row>
    <row r="395">
      <c r="G395" s="152"/>
    </row>
    <row r="396">
      <c r="G396" s="152"/>
    </row>
    <row r="397">
      <c r="G397" s="152"/>
    </row>
    <row r="398">
      <c r="G398" s="152"/>
    </row>
    <row r="399">
      <c r="G399" s="152"/>
    </row>
    <row r="400">
      <c r="G400" s="152"/>
    </row>
    <row r="401">
      <c r="G401" s="152"/>
    </row>
    <row r="402">
      <c r="G402" s="152"/>
    </row>
    <row r="403">
      <c r="G403" s="152"/>
    </row>
    <row r="404">
      <c r="G404" s="152"/>
    </row>
    <row r="405">
      <c r="G405" s="152"/>
    </row>
    <row r="406">
      <c r="G406" s="152"/>
    </row>
    <row r="407">
      <c r="G407" s="152"/>
    </row>
    <row r="408">
      <c r="G408" s="152"/>
    </row>
    <row r="409">
      <c r="G409" s="152"/>
    </row>
    <row r="410">
      <c r="G410" s="152"/>
    </row>
    <row r="411">
      <c r="G411" s="152"/>
    </row>
    <row r="412">
      <c r="G412" s="152"/>
    </row>
    <row r="413">
      <c r="G413" s="152"/>
    </row>
    <row r="414">
      <c r="G414" s="152"/>
    </row>
    <row r="415">
      <c r="G415" s="152"/>
    </row>
    <row r="416">
      <c r="G416" s="152"/>
    </row>
    <row r="417">
      <c r="G417" s="152"/>
    </row>
    <row r="418">
      <c r="G418" s="152"/>
    </row>
    <row r="419">
      <c r="G419" s="152"/>
    </row>
    <row r="420">
      <c r="G420" s="152"/>
    </row>
    <row r="421">
      <c r="G421" s="152"/>
    </row>
    <row r="422">
      <c r="G422" s="152"/>
    </row>
    <row r="423">
      <c r="G423" s="152"/>
    </row>
    <row r="424">
      <c r="G424" s="152"/>
    </row>
    <row r="425">
      <c r="G425" s="152"/>
    </row>
    <row r="426">
      <c r="G426" s="152"/>
    </row>
    <row r="427">
      <c r="G427" s="152"/>
    </row>
    <row r="428">
      <c r="G428" s="152"/>
    </row>
    <row r="429">
      <c r="G429" s="152"/>
    </row>
    <row r="430">
      <c r="G430" s="152"/>
    </row>
    <row r="431">
      <c r="G431" s="152"/>
    </row>
    <row r="432">
      <c r="G432" s="152"/>
    </row>
    <row r="433">
      <c r="G433" s="152"/>
    </row>
    <row r="434">
      <c r="G434" s="152"/>
    </row>
    <row r="435">
      <c r="G435" s="152"/>
    </row>
    <row r="436">
      <c r="G436" s="152"/>
    </row>
    <row r="437">
      <c r="G437" s="152"/>
    </row>
    <row r="438">
      <c r="G438" s="152"/>
    </row>
    <row r="439">
      <c r="G439" s="152"/>
    </row>
    <row r="440">
      <c r="G440" s="152"/>
    </row>
    <row r="441">
      <c r="G441" s="152"/>
    </row>
    <row r="442">
      <c r="G442" s="152"/>
    </row>
    <row r="443">
      <c r="G443" s="152"/>
    </row>
    <row r="444">
      <c r="G444" s="152"/>
    </row>
    <row r="445">
      <c r="G445" s="152"/>
    </row>
    <row r="446">
      <c r="G446" s="152"/>
    </row>
    <row r="447">
      <c r="G447" s="152"/>
    </row>
    <row r="448">
      <c r="G448" s="152"/>
    </row>
    <row r="449">
      <c r="G449" s="152"/>
    </row>
    <row r="450">
      <c r="G450" s="152"/>
    </row>
    <row r="451">
      <c r="G451" s="152"/>
    </row>
    <row r="452">
      <c r="G452" s="152"/>
    </row>
    <row r="453">
      <c r="G453" s="152"/>
    </row>
    <row r="454">
      <c r="G454" s="152"/>
    </row>
    <row r="455">
      <c r="G455" s="152"/>
    </row>
    <row r="456">
      <c r="G456" s="152"/>
    </row>
    <row r="457">
      <c r="G457" s="152"/>
    </row>
    <row r="458">
      <c r="G458" s="152"/>
    </row>
    <row r="459">
      <c r="G459" s="152"/>
    </row>
    <row r="460">
      <c r="G460" s="152"/>
    </row>
    <row r="461">
      <c r="G461" s="152"/>
    </row>
    <row r="462">
      <c r="G462" s="152"/>
    </row>
    <row r="463">
      <c r="G463" s="152"/>
    </row>
    <row r="464">
      <c r="G464" s="152"/>
    </row>
    <row r="465">
      <c r="G465" s="152"/>
    </row>
    <row r="466">
      <c r="G466" s="152"/>
    </row>
    <row r="467">
      <c r="G467" s="152"/>
    </row>
    <row r="468">
      <c r="G468" s="152"/>
    </row>
    <row r="469">
      <c r="G469" s="152"/>
    </row>
    <row r="470">
      <c r="G470" s="152"/>
    </row>
    <row r="471">
      <c r="G471" s="152"/>
    </row>
    <row r="472">
      <c r="G472" s="152"/>
    </row>
    <row r="473">
      <c r="G473" s="152"/>
    </row>
    <row r="474">
      <c r="G474" s="152"/>
    </row>
    <row r="475">
      <c r="G475" s="152"/>
    </row>
    <row r="476">
      <c r="G476" s="152"/>
    </row>
    <row r="477">
      <c r="G477" s="152"/>
    </row>
    <row r="478">
      <c r="G478" s="152"/>
    </row>
    <row r="479">
      <c r="G479" s="152"/>
    </row>
    <row r="480">
      <c r="G480" s="152"/>
    </row>
    <row r="481">
      <c r="G481" s="152"/>
    </row>
    <row r="482">
      <c r="G482" s="152"/>
    </row>
    <row r="483">
      <c r="G483" s="152"/>
    </row>
    <row r="484">
      <c r="G484" s="152"/>
    </row>
    <row r="485">
      <c r="G485" s="152"/>
    </row>
    <row r="486">
      <c r="G486" s="152"/>
    </row>
    <row r="487">
      <c r="G487" s="152"/>
    </row>
    <row r="488">
      <c r="G488" s="152"/>
    </row>
    <row r="489">
      <c r="G489" s="152"/>
    </row>
    <row r="490">
      <c r="G490" s="152"/>
    </row>
    <row r="491">
      <c r="G491" s="152"/>
    </row>
    <row r="492">
      <c r="G492" s="152"/>
    </row>
    <row r="493">
      <c r="G493" s="152"/>
    </row>
    <row r="494">
      <c r="G494" s="152"/>
    </row>
    <row r="495">
      <c r="G495" s="152"/>
    </row>
    <row r="496">
      <c r="G496" s="152"/>
    </row>
    <row r="497">
      <c r="G497" s="152"/>
    </row>
    <row r="498">
      <c r="G498" s="152"/>
    </row>
    <row r="499">
      <c r="G499" s="152"/>
    </row>
    <row r="500">
      <c r="G500" s="152"/>
    </row>
    <row r="501">
      <c r="G501" s="152"/>
    </row>
    <row r="502">
      <c r="G502" s="152"/>
    </row>
    <row r="503">
      <c r="G503" s="152"/>
    </row>
    <row r="504">
      <c r="G504" s="152"/>
    </row>
    <row r="505">
      <c r="G505" s="152"/>
    </row>
    <row r="506">
      <c r="G506" s="152"/>
    </row>
    <row r="507">
      <c r="G507" s="152"/>
    </row>
    <row r="508">
      <c r="G508" s="152"/>
    </row>
    <row r="509">
      <c r="G509" s="152"/>
    </row>
    <row r="510">
      <c r="G510" s="152"/>
    </row>
    <row r="511">
      <c r="G511" s="152"/>
    </row>
    <row r="512">
      <c r="G512" s="152"/>
    </row>
    <row r="513">
      <c r="G513" s="152"/>
    </row>
    <row r="514">
      <c r="G514" s="152"/>
    </row>
    <row r="515">
      <c r="G515" s="152"/>
    </row>
    <row r="516">
      <c r="G516" s="152"/>
    </row>
    <row r="517">
      <c r="G517" s="152"/>
    </row>
    <row r="518">
      <c r="G518" s="152"/>
    </row>
    <row r="519">
      <c r="G519" s="152"/>
    </row>
    <row r="520">
      <c r="G520" s="152"/>
    </row>
    <row r="521">
      <c r="G521" s="152"/>
    </row>
    <row r="522">
      <c r="G522" s="152"/>
    </row>
    <row r="523">
      <c r="G523" s="152"/>
    </row>
    <row r="524">
      <c r="G524" s="152"/>
    </row>
    <row r="525">
      <c r="G525" s="152"/>
    </row>
    <row r="526">
      <c r="G526" s="152"/>
    </row>
    <row r="527">
      <c r="G527" s="152"/>
    </row>
    <row r="528">
      <c r="G528" s="152"/>
    </row>
    <row r="529">
      <c r="G529" s="152"/>
    </row>
    <row r="530">
      <c r="G530" s="152"/>
    </row>
    <row r="531">
      <c r="G531" s="152"/>
    </row>
    <row r="532">
      <c r="G532" s="152"/>
    </row>
    <row r="533">
      <c r="G533" s="152"/>
    </row>
    <row r="534">
      <c r="G534" s="152"/>
    </row>
    <row r="535">
      <c r="G535" s="152"/>
    </row>
    <row r="536">
      <c r="G536" s="152"/>
    </row>
    <row r="537">
      <c r="G537" s="152"/>
    </row>
    <row r="538">
      <c r="G538" s="152"/>
    </row>
    <row r="539">
      <c r="G539" s="152"/>
    </row>
    <row r="540">
      <c r="G540" s="152"/>
    </row>
    <row r="541">
      <c r="G541" s="152"/>
    </row>
    <row r="542">
      <c r="G542" s="152"/>
    </row>
    <row r="543">
      <c r="G543" s="152"/>
    </row>
    <row r="544">
      <c r="G544" s="152"/>
    </row>
    <row r="545">
      <c r="G545" s="152"/>
    </row>
    <row r="546">
      <c r="G546" s="152"/>
    </row>
    <row r="547">
      <c r="G547" s="152"/>
    </row>
    <row r="548">
      <c r="G548" s="152"/>
    </row>
    <row r="549">
      <c r="G549" s="152"/>
    </row>
    <row r="550">
      <c r="G550" s="152"/>
    </row>
    <row r="551">
      <c r="G551" s="152"/>
    </row>
    <row r="552">
      <c r="G552" s="152"/>
    </row>
    <row r="553">
      <c r="G553" s="152"/>
    </row>
    <row r="554">
      <c r="G554" s="152"/>
    </row>
    <row r="555">
      <c r="G555" s="152"/>
    </row>
    <row r="556">
      <c r="G556" s="152"/>
    </row>
    <row r="557">
      <c r="G557" s="152"/>
    </row>
    <row r="558">
      <c r="G558" s="152"/>
    </row>
    <row r="559">
      <c r="G559" s="152"/>
    </row>
    <row r="560">
      <c r="G560" s="152"/>
    </row>
    <row r="561">
      <c r="G561" s="152"/>
    </row>
    <row r="562">
      <c r="G562" s="152"/>
    </row>
    <row r="563">
      <c r="G563" s="152"/>
    </row>
    <row r="564">
      <c r="G564" s="152"/>
    </row>
    <row r="565">
      <c r="G565" s="152"/>
    </row>
    <row r="566">
      <c r="G566" s="152"/>
    </row>
    <row r="567">
      <c r="G567" s="152"/>
    </row>
    <row r="568">
      <c r="G568" s="152"/>
    </row>
    <row r="569">
      <c r="G569" s="152"/>
    </row>
    <row r="570">
      <c r="G570" s="152"/>
    </row>
    <row r="571">
      <c r="G571" s="152"/>
    </row>
    <row r="572">
      <c r="G572" s="152"/>
    </row>
    <row r="573">
      <c r="G573" s="152"/>
    </row>
    <row r="574">
      <c r="G574" s="152"/>
    </row>
    <row r="575">
      <c r="G575" s="152"/>
    </row>
    <row r="576">
      <c r="G576" s="152"/>
    </row>
    <row r="577">
      <c r="G577" s="152"/>
    </row>
    <row r="578">
      <c r="G578" s="152"/>
    </row>
    <row r="579">
      <c r="G579" s="152"/>
    </row>
    <row r="580">
      <c r="G580" s="152"/>
    </row>
    <row r="581">
      <c r="G581" s="152"/>
    </row>
    <row r="582">
      <c r="G582" s="152"/>
    </row>
    <row r="583">
      <c r="G583" s="152"/>
    </row>
    <row r="584">
      <c r="G584" s="152"/>
    </row>
    <row r="585">
      <c r="G585" s="152"/>
    </row>
    <row r="586">
      <c r="G586" s="152"/>
    </row>
    <row r="587">
      <c r="G587" s="152"/>
    </row>
    <row r="588">
      <c r="G588" s="152"/>
    </row>
    <row r="589">
      <c r="G589" s="152"/>
    </row>
    <row r="590">
      <c r="G590" s="152"/>
    </row>
    <row r="591">
      <c r="G591" s="152"/>
    </row>
    <row r="592">
      <c r="G592" s="152"/>
    </row>
    <row r="593">
      <c r="G593" s="152"/>
    </row>
    <row r="594">
      <c r="G594" s="152"/>
    </row>
    <row r="595">
      <c r="G595" s="152"/>
    </row>
    <row r="596">
      <c r="G596" s="152"/>
    </row>
    <row r="597">
      <c r="G597" s="152"/>
    </row>
    <row r="598">
      <c r="G598" s="152"/>
    </row>
    <row r="599">
      <c r="G599" s="152"/>
    </row>
    <row r="600">
      <c r="G600" s="152"/>
    </row>
    <row r="601">
      <c r="G601" s="152"/>
    </row>
    <row r="602">
      <c r="G602" s="152"/>
    </row>
    <row r="603">
      <c r="G603" s="152"/>
    </row>
    <row r="604">
      <c r="G604" s="152"/>
    </row>
    <row r="605">
      <c r="G605" s="152"/>
    </row>
    <row r="606">
      <c r="G606" s="152"/>
    </row>
    <row r="607">
      <c r="G607" s="152"/>
    </row>
    <row r="608">
      <c r="G608" s="152"/>
    </row>
    <row r="609">
      <c r="G609" s="152"/>
    </row>
    <row r="610">
      <c r="G610" s="152"/>
    </row>
    <row r="611">
      <c r="G611" s="152"/>
    </row>
    <row r="612">
      <c r="G612" s="152"/>
    </row>
    <row r="613">
      <c r="G613" s="152"/>
    </row>
    <row r="614">
      <c r="G614" s="152"/>
    </row>
    <row r="615">
      <c r="G615" s="152"/>
    </row>
    <row r="616">
      <c r="G616" s="152"/>
    </row>
    <row r="617">
      <c r="G617" s="152"/>
    </row>
    <row r="618">
      <c r="G618" s="152"/>
    </row>
    <row r="619">
      <c r="G619" s="152"/>
    </row>
    <row r="620">
      <c r="G620" s="152"/>
    </row>
    <row r="621">
      <c r="G621" s="152"/>
    </row>
    <row r="622">
      <c r="G622" s="152"/>
    </row>
    <row r="623">
      <c r="G623" s="152"/>
    </row>
    <row r="624">
      <c r="G624" s="152"/>
    </row>
    <row r="625">
      <c r="G625" s="152"/>
    </row>
    <row r="626">
      <c r="G626" s="152"/>
    </row>
    <row r="627">
      <c r="G627" s="152"/>
    </row>
    <row r="628">
      <c r="G628" s="152"/>
    </row>
    <row r="629">
      <c r="G629" s="152"/>
    </row>
    <row r="630">
      <c r="G630" s="152"/>
    </row>
    <row r="631">
      <c r="G631" s="152"/>
    </row>
    <row r="632">
      <c r="G632" s="152"/>
    </row>
    <row r="633">
      <c r="G633" s="152"/>
    </row>
    <row r="634">
      <c r="G634" s="152"/>
    </row>
    <row r="635">
      <c r="G635" s="152"/>
    </row>
    <row r="636">
      <c r="G636" s="152"/>
    </row>
    <row r="637">
      <c r="G637" s="152"/>
    </row>
    <row r="638">
      <c r="G638" s="152"/>
    </row>
    <row r="639">
      <c r="G639" s="152"/>
    </row>
    <row r="640">
      <c r="G640" s="152"/>
    </row>
    <row r="641">
      <c r="G641" s="152"/>
    </row>
    <row r="642">
      <c r="G642" s="152"/>
    </row>
    <row r="643">
      <c r="G643" s="152"/>
    </row>
    <row r="644">
      <c r="G644" s="152"/>
    </row>
    <row r="645">
      <c r="G645" s="152"/>
    </row>
    <row r="646">
      <c r="G646" s="152"/>
    </row>
    <row r="647">
      <c r="G647" s="152"/>
    </row>
    <row r="648">
      <c r="G648" s="152"/>
    </row>
    <row r="649">
      <c r="G649" s="152"/>
    </row>
    <row r="650">
      <c r="G650" s="152"/>
    </row>
    <row r="651">
      <c r="G651" s="152"/>
    </row>
    <row r="652">
      <c r="G652" s="152"/>
    </row>
    <row r="653">
      <c r="G653" s="152"/>
    </row>
    <row r="654">
      <c r="G654" s="152"/>
    </row>
    <row r="655">
      <c r="G655" s="152"/>
    </row>
    <row r="656">
      <c r="G656" s="152"/>
    </row>
    <row r="657">
      <c r="G657" s="152"/>
    </row>
    <row r="658">
      <c r="G658" s="152"/>
    </row>
    <row r="659">
      <c r="G659" s="152"/>
    </row>
    <row r="660">
      <c r="G660" s="152"/>
    </row>
    <row r="661">
      <c r="G661" s="152"/>
    </row>
    <row r="662">
      <c r="G662" s="152"/>
    </row>
    <row r="663">
      <c r="G663" s="152"/>
    </row>
    <row r="664">
      <c r="G664" s="152"/>
    </row>
    <row r="665">
      <c r="G665" s="152"/>
    </row>
    <row r="666">
      <c r="G666" s="152"/>
    </row>
    <row r="667">
      <c r="G667" s="152"/>
    </row>
    <row r="668">
      <c r="G668" s="152"/>
    </row>
    <row r="669">
      <c r="G669" s="152"/>
    </row>
    <row r="670">
      <c r="G670" s="152"/>
    </row>
    <row r="671">
      <c r="G671" s="152"/>
    </row>
    <row r="672">
      <c r="G672" s="152"/>
    </row>
    <row r="673">
      <c r="G673" s="152"/>
    </row>
    <row r="674">
      <c r="G674" s="152"/>
    </row>
    <row r="675">
      <c r="G675" s="152"/>
    </row>
    <row r="676">
      <c r="G676" s="152"/>
    </row>
    <row r="677">
      <c r="G677" s="152"/>
    </row>
    <row r="678">
      <c r="G678" s="152"/>
    </row>
    <row r="679">
      <c r="G679" s="152"/>
    </row>
    <row r="680">
      <c r="G680" s="152"/>
    </row>
    <row r="681">
      <c r="G681" s="152"/>
    </row>
    <row r="682">
      <c r="G682" s="152"/>
    </row>
    <row r="683">
      <c r="G683" s="152"/>
    </row>
    <row r="684">
      <c r="G684" s="152"/>
    </row>
    <row r="685">
      <c r="G685" s="152"/>
    </row>
    <row r="686">
      <c r="G686" s="152"/>
    </row>
    <row r="687">
      <c r="G687" s="152"/>
    </row>
    <row r="688">
      <c r="G688" s="152"/>
    </row>
    <row r="689">
      <c r="G689" s="152"/>
    </row>
    <row r="690">
      <c r="G690" s="152"/>
    </row>
    <row r="691">
      <c r="G691" s="152"/>
    </row>
    <row r="692">
      <c r="G692" s="152"/>
    </row>
    <row r="693">
      <c r="G693" s="152"/>
    </row>
    <row r="694">
      <c r="G694" s="152"/>
    </row>
    <row r="695">
      <c r="G695" s="152"/>
    </row>
    <row r="696">
      <c r="G696" s="152"/>
    </row>
    <row r="697">
      <c r="G697" s="152"/>
    </row>
    <row r="698">
      <c r="G698" s="152"/>
    </row>
    <row r="699">
      <c r="G699" s="152"/>
    </row>
    <row r="700">
      <c r="G700" s="152"/>
    </row>
    <row r="701">
      <c r="G701" s="152"/>
    </row>
    <row r="702">
      <c r="G702" s="152"/>
    </row>
    <row r="703">
      <c r="G703" s="152"/>
    </row>
    <row r="704">
      <c r="G704" s="152"/>
    </row>
    <row r="705">
      <c r="G705" s="152"/>
    </row>
    <row r="706">
      <c r="G706" s="152"/>
    </row>
    <row r="707">
      <c r="G707" s="152"/>
    </row>
    <row r="708">
      <c r="G708" s="152"/>
    </row>
    <row r="709">
      <c r="G709" s="152"/>
    </row>
    <row r="710">
      <c r="G710" s="152"/>
    </row>
    <row r="711">
      <c r="G711" s="152"/>
    </row>
    <row r="712">
      <c r="G712" s="152"/>
    </row>
    <row r="713">
      <c r="G713" s="152"/>
    </row>
    <row r="714">
      <c r="G714" s="152"/>
    </row>
    <row r="715">
      <c r="G715" s="152"/>
    </row>
    <row r="716">
      <c r="G716" s="152"/>
    </row>
    <row r="717">
      <c r="G717" s="152"/>
    </row>
    <row r="718">
      <c r="G718" s="152"/>
    </row>
    <row r="719">
      <c r="G719" s="152"/>
    </row>
    <row r="720">
      <c r="G720" s="152"/>
    </row>
    <row r="721">
      <c r="G721" s="152"/>
    </row>
    <row r="722">
      <c r="G722" s="152"/>
    </row>
    <row r="723">
      <c r="G723" s="152"/>
    </row>
    <row r="724">
      <c r="G724" s="152"/>
    </row>
    <row r="725">
      <c r="G725" s="152"/>
    </row>
    <row r="726">
      <c r="G726" s="152"/>
    </row>
    <row r="727">
      <c r="G727" s="152"/>
    </row>
    <row r="728">
      <c r="G728" s="152"/>
    </row>
    <row r="729">
      <c r="G729" s="152"/>
    </row>
    <row r="730">
      <c r="G730" s="152"/>
    </row>
    <row r="731">
      <c r="G731" s="152"/>
    </row>
    <row r="732">
      <c r="G732" s="152"/>
    </row>
    <row r="733">
      <c r="G733" s="152"/>
    </row>
    <row r="734">
      <c r="G734" s="152"/>
    </row>
    <row r="735">
      <c r="G735" s="152"/>
    </row>
    <row r="736">
      <c r="G736" s="152"/>
    </row>
    <row r="737">
      <c r="G737" s="152"/>
    </row>
    <row r="738">
      <c r="G738" s="152"/>
    </row>
    <row r="739">
      <c r="G739" s="152"/>
    </row>
    <row r="740">
      <c r="G740" s="152"/>
    </row>
    <row r="741">
      <c r="G741" s="152"/>
    </row>
    <row r="742">
      <c r="G742" s="152"/>
    </row>
    <row r="743">
      <c r="G743" s="152"/>
    </row>
    <row r="744">
      <c r="G744" s="152"/>
    </row>
    <row r="745">
      <c r="G745" s="152"/>
    </row>
    <row r="746">
      <c r="G746" s="152"/>
    </row>
    <row r="747">
      <c r="G747" s="152"/>
    </row>
    <row r="748">
      <c r="G748" s="152"/>
    </row>
    <row r="749">
      <c r="G749" s="152"/>
    </row>
    <row r="750">
      <c r="G750" s="152"/>
    </row>
    <row r="751">
      <c r="G751" s="152"/>
    </row>
    <row r="752">
      <c r="G752" s="152"/>
    </row>
    <row r="753">
      <c r="G753" s="152"/>
    </row>
    <row r="754">
      <c r="G754" s="152"/>
    </row>
    <row r="755">
      <c r="G755" s="152"/>
    </row>
    <row r="756">
      <c r="G756" s="152"/>
    </row>
    <row r="757">
      <c r="G757" s="152"/>
    </row>
    <row r="758">
      <c r="G758" s="152"/>
    </row>
    <row r="759">
      <c r="G759" s="152"/>
    </row>
    <row r="760">
      <c r="G760" s="152"/>
    </row>
    <row r="761">
      <c r="G761" s="152"/>
    </row>
    <row r="762">
      <c r="G762" s="152"/>
    </row>
    <row r="763">
      <c r="G763" s="152"/>
    </row>
    <row r="764">
      <c r="G764" s="152"/>
    </row>
    <row r="765">
      <c r="G765" s="152"/>
    </row>
    <row r="766">
      <c r="G766" s="152"/>
    </row>
    <row r="767">
      <c r="G767" s="152"/>
    </row>
    <row r="768">
      <c r="G768" s="152"/>
    </row>
    <row r="769">
      <c r="G769" s="152"/>
    </row>
    <row r="770">
      <c r="G770" s="152"/>
    </row>
    <row r="771">
      <c r="G771" s="152"/>
    </row>
    <row r="772">
      <c r="G772" s="152"/>
    </row>
    <row r="773">
      <c r="G773" s="152"/>
    </row>
    <row r="774">
      <c r="G774" s="152"/>
    </row>
    <row r="775">
      <c r="G775" s="152"/>
    </row>
    <row r="776">
      <c r="G776" s="152"/>
    </row>
    <row r="777">
      <c r="G777" s="152"/>
    </row>
    <row r="778">
      <c r="G778" s="152"/>
    </row>
    <row r="779">
      <c r="G779" s="152"/>
    </row>
    <row r="780">
      <c r="G780" s="152"/>
    </row>
    <row r="781">
      <c r="G781" s="152"/>
    </row>
    <row r="782">
      <c r="G782" s="152"/>
    </row>
    <row r="783">
      <c r="G783" s="152"/>
    </row>
    <row r="784">
      <c r="G784" s="152"/>
    </row>
    <row r="785">
      <c r="G785" s="152"/>
    </row>
    <row r="786">
      <c r="G786" s="152"/>
    </row>
    <row r="787">
      <c r="G787" s="152"/>
    </row>
    <row r="788">
      <c r="G788" s="152"/>
    </row>
    <row r="789">
      <c r="G789" s="152"/>
    </row>
    <row r="790">
      <c r="G790" s="152"/>
    </row>
    <row r="791">
      <c r="G791" s="152"/>
    </row>
    <row r="792">
      <c r="G792" s="152"/>
    </row>
    <row r="793">
      <c r="G793" s="152"/>
    </row>
    <row r="794">
      <c r="G794" s="152"/>
    </row>
    <row r="795">
      <c r="G795" s="152"/>
    </row>
    <row r="796">
      <c r="G796" s="152"/>
    </row>
    <row r="797">
      <c r="G797" s="152"/>
    </row>
    <row r="798">
      <c r="G798" s="152"/>
    </row>
    <row r="799">
      <c r="G799" s="152"/>
    </row>
    <row r="800">
      <c r="G800" s="152"/>
    </row>
    <row r="801">
      <c r="G801" s="152"/>
    </row>
    <row r="802">
      <c r="G802" s="152"/>
    </row>
    <row r="803">
      <c r="G803" s="152"/>
    </row>
    <row r="804">
      <c r="G804" s="152"/>
    </row>
    <row r="805">
      <c r="G805" s="152"/>
    </row>
    <row r="806">
      <c r="G806" s="152"/>
    </row>
    <row r="807">
      <c r="G807" s="152"/>
    </row>
    <row r="808">
      <c r="G808" s="152"/>
    </row>
    <row r="809">
      <c r="G809" s="152"/>
    </row>
    <row r="810">
      <c r="G810" s="152"/>
    </row>
    <row r="811">
      <c r="G811" s="152"/>
    </row>
    <row r="812">
      <c r="G812" s="152"/>
    </row>
    <row r="813">
      <c r="G813" s="152"/>
    </row>
    <row r="814">
      <c r="G814" s="152"/>
    </row>
    <row r="815">
      <c r="G815" s="152"/>
    </row>
    <row r="816">
      <c r="G816" s="152"/>
    </row>
    <row r="817">
      <c r="G817" s="152"/>
    </row>
    <row r="818">
      <c r="G818" s="152"/>
    </row>
    <row r="819">
      <c r="G819" s="152"/>
    </row>
    <row r="820">
      <c r="G820" s="152"/>
    </row>
    <row r="821">
      <c r="G821" s="152"/>
    </row>
    <row r="822">
      <c r="G822" s="152"/>
    </row>
    <row r="823">
      <c r="G823" s="152"/>
    </row>
    <row r="824">
      <c r="G824" s="152"/>
    </row>
    <row r="825">
      <c r="G825" s="152"/>
    </row>
    <row r="826">
      <c r="G826" s="152"/>
    </row>
    <row r="827">
      <c r="G827" s="152"/>
    </row>
    <row r="828">
      <c r="G828" s="152"/>
    </row>
    <row r="829">
      <c r="G829" s="152"/>
    </row>
    <row r="830">
      <c r="G830" s="152"/>
    </row>
    <row r="831">
      <c r="G831" s="152"/>
    </row>
    <row r="832">
      <c r="G832" s="152"/>
    </row>
    <row r="833">
      <c r="G833" s="152"/>
    </row>
    <row r="834">
      <c r="G834" s="152"/>
    </row>
    <row r="835">
      <c r="G835" s="152"/>
    </row>
    <row r="836">
      <c r="G836" s="152"/>
    </row>
    <row r="837">
      <c r="G837" s="152"/>
    </row>
    <row r="838">
      <c r="G838" s="152"/>
    </row>
    <row r="839">
      <c r="G839" s="152"/>
    </row>
    <row r="840">
      <c r="G840" s="152"/>
    </row>
    <row r="841">
      <c r="G841" s="152"/>
    </row>
    <row r="842">
      <c r="G842" s="152"/>
    </row>
    <row r="843">
      <c r="G843" s="152"/>
    </row>
    <row r="844">
      <c r="G844" s="152"/>
    </row>
    <row r="845">
      <c r="G845" s="152"/>
    </row>
    <row r="846">
      <c r="G846" s="152"/>
    </row>
    <row r="847">
      <c r="G847" s="152"/>
    </row>
    <row r="848">
      <c r="G848" s="152"/>
    </row>
    <row r="849">
      <c r="G849" s="152"/>
    </row>
    <row r="850">
      <c r="G850" s="152"/>
    </row>
    <row r="851">
      <c r="G851" s="152"/>
    </row>
    <row r="852">
      <c r="G852" s="152"/>
    </row>
    <row r="853">
      <c r="G853" s="152"/>
    </row>
    <row r="854">
      <c r="G854" s="152"/>
    </row>
    <row r="855">
      <c r="G855" s="152"/>
    </row>
    <row r="856">
      <c r="G856" s="152"/>
    </row>
    <row r="857">
      <c r="G857" s="152"/>
    </row>
    <row r="858">
      <c r="G858" s="152"/>
    </row>
    <row r="859">
      <c r="G859" s="152"/>
    </row>
    <row r="860">
      <c r="G860" s="152"/>
    </row>
    <row r="861">
      <c r="G861" s="152"/>
    </row>
    <row r="862">
      <c r="G862" s="152"/>
    </row>
    <row r="863">
      <c r="G863" s="152"/>
    </row>
    <row r="864">
      <c r="G864" s="152"/>
    </row>
    <row r="865">
      <c r="G865" s="152"/>
    </row>
    <row r="866">
      <c r="G866" s="152"/>
    </row>
    <row r="867">
      <c r="G867" s="152"/>
    </row>
    <row r="868">
      <c r="G868" s="152"/>
    </row>
    <row r="869">
      <c r="G869" s="152"/>
    </row>
    <row r="870">
      <c r="G870" s="152"/>
    </row>
    <row r="871">
      <c r="G871" s="152"/>
    </row>
    <row r="872">
      <c r="G872" s="152"/>
    </row>
    <row r="873">
      <c r="G873" s="152"/>
    </row>
    <row r="874">
      <c r="G874" s="152"/>
    </row>
    <row r="875">
      <c r="G875" s="152"/>
    </row>
    <row r="876">
      <c r="G876" s="152"/>
    </row>
    <row r="877">
      <c r="G877" s="152"/>
    </row>
    <row r="878">
      <c r="G878" s="152"/>
    </row>
    <row r="879">
      <c r="G879" s="152"/>
    </row>
    <row r="880">
      <c r="G880" s="152"/>
    </row>
    <row r="881">
      <c r="G881" s="152"/>
    </row>
    <row r="882">
      <c r="G882" s="152"/>
    </row>
    <row r="883">
      <c r="G883" s="152"/>
    </row>
    <row r="884">
      <c r="G884" s="152"/>
    </row>
    <row r="885">
      <c r="G885" s="152"/>
    </row>
    <row r="886">
      <c r="G886" s="152"/>
    </row>
    <row r="887">
      <c r="G887" s="152"/>
    </row>
    <row r="888">
      <c r="G888" s="152"/>
    </row>
    <row r="889">
      <c r="G889" s="152"/>
    </row>
    <row r="890">
      <c r="G890" s="152"/>
    </row>
    <row r="891">
      <c r="G891" s="152"/>
    </row>
    <row r="892">
      <c r="G892" s="152"/>
    </row>
    <row r="893">
      <c r="G893" s="152"/>
    </row>
    <row r="894">
      <c r="G894" s="152"/>
    </row>
    <row r="895">
      <c r="G895" s="152"/>
    </row>
    <row r="896">
      <c r="G896" s="152"/>
    </row>
    <row r="897">
      <c r="G897" s="152"/>
    </row>
    <row r="898">
      <c r="G898" s="152"/>
    </row>
    <row r="899">
      <c r="G899" s="152"/>
    </row>
    <row r="900">
      <c r="G900" s="152"/>
    </row>
    <row r="901">
      <c r="G901" s="152"/>
    </row>
    <row r="902">
      <c r="G902" s="152"/>
    </row>
    <row r="903">
      <c r="G903" s="152"/>
    </row>
    <row r="904">
      <c r="G904" s="152"/>
    </row>
    <row r="905">
      <c r="G905" s="152"/>
    </row>
    <row r="906">
      <c r="G906" s="152"/>
    </row>
    <row r="907">
      <c r="G907" s="152"/>
    </row>
    <row r="908">
      <c r="G908" s="152"/>
    </row>
    <row r="909">
      <c r="G909" s="152"/>
    </row>
    <row r="910">
      <c r="G910" s="152"/>
    </row>
    <row r="911">
      <c r="G911" s="152"/>
    </row>
    <row r="912">
      <c r="G912" s="152"/>
    </row>
    <row r="913">
      <c r="G913" s="152"/>
    </row>
    <row r="914">
      <c r="G914" s="152"/>
    </row>
    <row r="915">
      <c r="G915" s="152"/>
    </row>
    <row r="916">
      <c r="G916" s="152"/>
    </row>
    <row r="917">
      <c r="G917" s="152"/>
    </row>
    <row r="918">
      <c r="G918" s="152"/>
    </row>
    <row r="919">
      <c r="G919" s="152"/>
    </row>
    <row r="920">
      <c r="G920" s="152"/>
    </row>
    <row r="921">
      <c r="G921" s="152"/>
    </row>
    <row r="922">
      <c r="G922" s="152"/>
    </row>
    <row r="923">
      <c r="G923" s="152"/>
    </row>
    <row r="924">
      <c r="G924" s="152"/>
    </row>
    <row r="925">
      <c r="G925" s="152"/>
    </row>
    <row r="926">
      <c r="G926" s="152"/>
    </row>
    <row r="927">
      <c r="G927" s="152"/>
    </row>
    <row r="928">
      <c r="G928" s="152"/>
    </row>
    <row r="929">
      <c r="G929" s="152"/>
    </row>
    <row r="930">
      <c r="G930" s="152"/>
    </row>
    <row r="931">
      <c r="G931" s="152"/>
    </row>
    <row r="932">
      <c r="G932" s="152"/>
    </row>
    <row r="933">
      <c r="G933" s="152"/>
    </row>
    <row r="934">
      <c r="G934" s="152"/>
    </row>
    <row r="935">
      <c r="G935" s="152"/>
    </row>
    <row r="936">
      <c r="G936" s="152"/>
    </row>
    <row r="937">
      <c r="G937" s="152"/>
    </row>
    <row r="938">
      <c r="G938" s="152"/>
    </row>
    <row r="939">
      <c r="G939" s="152"/>
    </row>
    <row r="940">
      <c r="G940" s="152"/>
    </row>
    <row r="941">
      <c r="G941" s="152"/>
    </row>
    <row r="942">
      <c r="G942" s="152"/>
    </row>
    <row r="943">
      <c r="G943" s="152"/>
    </row>
    <row r="944">
      <c r="G944" s="152"/>
    </row>
    <row r="945">
      <c r="G945" s="152"/>
    </row>
    <row r="946">
      <c r="G946" s="152"/>
    </row>
    <row r="947">
      <c r="G947" s="152"/>
    </row>
    <row r="948">
      <c r="G948" s="152"/>
    </row>
    <row r="949">
      <c r="G949" s="152"/>
    </row>
    <row r="950">
      <c r="G950" s="152"/>
    </row>
    <row r="951">
      <c r="G951" s="152"/>
    </row>
    <row r="952">
      <c r="G952" s="152"/>
    </row>
    <row r="953">
      <c r="G953" s="152"/>
    </row>
    <row r="954">
      <c r="G954" s="152"/>
    </row>
    <row r="955">
      <c r="G955" s="152"/>
    </row>
    <row r="956">
      <c r="G956" s="152"/>
    </row>
    <row r="957">
      <c r="G957" s="152"/>
    </row>
    <row r="958">
      <c r="G958" s="152"/>
    </row>
    <row r="959">
      <c r="G959" s="152"/>
    </row>
    <row r="960">
      <c r="G960" s="152"/>
    </row>
    <row r="961">
      <c r="G961" s="152"/>
    </row>
    <row r="962">
      <c r="G962" s="152"/>
    </row>
    <row r="963">
      <c r="G963" s="152"/>
    </row>
    <row r="964">
      <c r="G964" s="152"/>
    </row>
    <row r="965">
      <c r="G965" s="152"/>
    </row>
    <row r="966">
      <c r="G966" s="152"/>
    </row>
    <row r="967">
      <c r="G967" s="152"/>
    </row>
    <row r="968">
      <c r="G968" s="152"/>
    </row>
    <row r="969">
      <c r="G969" s="152"/>
    </row>
    <row r="970">
      <c r="G970" s="152"/>
    </row>
    <row r="971">
      <c r="G971" s="152"/>
    </row>
    <row r="972">
      <c r="G972" s="152"/>
    </row>
    <row r="973">
      <c r="G973" s="152"/>
    </row>
    <row r="974">
      <c r="G974" s="152"/>
    </row>
    <row r="975">
      <c r="G975" s="152"/>
    </row>
    <row r="976">
      <c r="G976" s="152"/>
    </row>
    <row r="977">
      <c r="G977" s="152"/>
    </row>
    <row r="978">
      <c r="G978" s="152"/>
    </row>
    <row r="979">
      <c r="G979" s="152"/>
    </row>
    <row r="980">
      <c r="G980" s="152"/>
    </row>
    <row r="981">
      <c r="G981" s="152"/>
    </row>
    <row r="982">
      <c r="G982" s="152"/>
    </row>
    <row r="983">
      <c r="G983" s="152"/>
    </row>
    <row r="984">
      <c r="G984" s="152"/>
    </row>
    <row r="985">
      <c r="G985" s="152"/>
    </row>
    <row r="986">
      <c r="G986" s="152"/>
    </row>
    <row r="987">
      <c r="G987" s="152"/>
    </row>
    <row r="988">
      <c r="G988" s="152"/>
    </row>
    <row r="989">
      <c r="G989" s="152"/>
    </row>
    <row r="990">
      <c r="G990" s="152"/>
    </row>
    <row r="991">
      <c r="G991" s="152"/>
    </row>
    <row r="992">
      <c r="G992" s="152"/>
    </row>
    <row r="993">
      <c r="G993" s="152"/>
    </row>
    <row r="994">
      <c r="G994" s="152"/>
    </row>
    <row r="995">
      <c r="G995" s="152"/>
    </row>
    <row r="996">
      <c r="G996" s="152"/>
    </row>
    <row r="997">
      <c r="G997" s="152"/>
    </row>
    <row r="998">
      <c r="G998" s="152"/>
    </row>
    <row r="999">
      <c r="G999" s="152"/>
    </row>
    <row r="1000">
      <c r="G1000" s="15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8" width="17.13"/>
  </cols>
  <sheetData>
    <row r="1">
      <c r="A1" s="86" t="s">
        <v>189</v>
      </c>
      <c r="B1" s="89" t="s">
        <v>190</v>
      </c>
      <c r="C1" s="89" t="s">
        <v>191</v>
      </c>
      <c r="D1" s="89" t="s">
        <v>192</v>
      </c>
      <c r="E1" s="89" t="s">
        <v>194</v>
      </c>
      <c r="F1" s="89" t="s">
        <v>195</v>
      </c>
      <c r="G1" s="89" t="s">
        <v>196</v>
      </c>
      <c r="H1" s="88" t="s">
        <v>197</v>
      </c>
    </row>
    <row r="2">
      <c r="A2" s="92" t="s">
        <v>223</v>
      </c>
      <c r="B2" s="95">
        <v>11.0</v>
      </c>
      <c r="C2" s="95">
        <v>0.0</v>
      </c>
      <c r="D2" s="95">
        <v>0.0</v>
      </c>
      <c r="E2" s="95">
        <v>1.0</v>
      </c>
      <c r="F2" s="95">
        <v>0.0</v>
      </c>
      <c r="G2" s="95">
        <v>0.0</v>
      </c>
      <c r="H2" s="94">
        <v>10.0</v>
      </c>
    </row>
    <row r="3">
      <c r="A3" s="92" t="s">
        <v>201</v>
      </c>
      <c r="B3" s="95">
        <v>22.4</v>
      </c>
      <c r="C3" s="95">
        <v>2.2</v>
      </c>
      <c r="D3" s="95">
        <v>4.8</v>
      </c>
      <c r="E3" s="95">
        <v>5.6</v>
      </c>
      <c r="F3" s="95">
        <v>0.0</v>
      </c>
      <c r="G3" s="95">
        <v>3.2</v>
      </c>
      <c r="H3" s="94">
        <v>8.421052631578947</v>
      </c>
    </row>
    <row r="4">
      <c r="A4" s="92" t="s">
        <v>226</v>
      </c>
      <c r="B4" s="95">
        <v>10.505050505050505</v>
      </c>
      <c r="C4" s="95">
        <v>0.0</v>
      </c>
      <c r="D4" s="95">
        <v>2.4</v>
      </c>
      <c r="E4" s="95">
        <v>0.0</v>
      </c>
      <c r="F4" s="95">
        <v>0.0</v>
      </c>
      <c r="G4" s="95">
        <v>0.0</v>
      </c>
      <c r="H4" s="94">
        <v>8.421052631578947</v>
      </c>
    </row>
    <row r="5">
      <c r="A5" s="92" t="s">
        <v>255</v>
      </c>
      <c r="B5" s="95">
        <v>8.08</v>
      </c>
      <c r="C5" s="95">
        <v>0.0</v>
      </c>
      <c r="D5" s="95">
        <v>0.8</v>
      </c>
      <c r="E5" s="95">
        <v>0.0</v>
      </c>
      <c r="F5" s="95">
        <v>0.0</v>
      </c>
      <c r="G5" s="95">
        <v>0.0</v>
      </c>
      <c r="H5" s="94">
        <v>8.0</v>
      </c>
    </row>
    <row r="6">
      <c r="A6" s="92" t="s">
        <v>199</v>
      </c>
      <c r="B6" s="95">
        <v>30.76923076923077</v>
      </c>
      <c r="C6" s="95">
        <v>1.0256410256410258</v>
      </c>
      <c r="D6" s="95">
        <v>12.0</v>
      </c>
      <c r="E6" s="95">
        <v>4.0</v>
      </c>
      <c r="F6" s="95">
        <v>7.466666666666667</v>
      </c>
      <c r="G6" s="95">
        <v>-1.0666666666666667</v>
      </c>
      <c r="H6" s="94">
        <v>8.0</v>
      </c>
    </row>
    <row r="7">
      <c r="A7" s="92" t="s">
        <v>240</v>
      </c>
      <c r="B7" s="95">
        <v>8.88888888888889</v>
      </c>
      <c r="C7" s="95">
        <v>0.20202020202020202</v>
      </c>
      <c r="D7" s="95">
        <v>0.8</v>
      </c>
      <c r="E7" s="95">
        <v>0.0</v>
      </c>
      <c r="F7" s="95">
        <v>0.8</v>
      </c>
      <c r="G7" s="95">
        <v>0.0</v>
      </c>
      <c r="H7" s="94">
        <v>7.578947368421052</v>
      </c>
    </row>
    <row r="8">
      <c r="A8" s="92" t="s">
        <v>229</v>
      </c>
      <c r="B8" s="95">
        <v>10.38961038961039</v>
      </c>
      <c r="C8" s="95">
        <v>0.0</v>
      </c>
      <c r="D8" s="95">
        <v>0.0</v>
      </c>
      <c r="E8" s="95">
        <v>3.0</v>
      </c>
      <c r="F8" s="95">
        <v>1.0</v>
      </c>
      <c r="G8" s="95">
        <v>0.0</v>
      </c>
      <c r="H8" s="94">
        <v>6.857142857142857</v>
      </c>
    </row>
    <row r="9">
      <c r="A9" s="92" t="s">
        <v>258</v>
      </c>
      <c r="B9" s="95">
        <v>8.0</v>
      </c>
      <c r="C9" s="95">
        <v>0.0</v>
      </c>
      <c r="D9" s="95">
        <v>0.0</v>
      </c>
      <c r="E9" s="95">
        <v>0.0</v>
      </c>
      <c r="F9" s="95">
        <v>0.8</v>
      </c>
      <c r="G9" s="95">
        <v>0.8421052631578947</v>
      </c>
      <c r="H9" s="94">
        <v>6.4</v>
      </c>
    </row>
    <row r="10">
      <c r="A10" s="92" t="s">
        <v>232</v>
      </c>
      <c r="B10" s="95">
        <v>10.0</v>
      </c>
      <c r="C10" s="95">
        <v>0.4166666666666667</v>
      </c>
      <c r="D10" s="95">
        <v>0.0</v>
      </c>
      <c r="E10" s="95">
        <v>0.8888888888888888</v>
      </c>
      <c r="F10" s="95">
        <v>0.0</v>
      </c>
      <c r="G10" s="95">
        <v>3.3684210526315788</v>
      </c>
      <c r="H10" s="94">
        <v>6.222222222222222</v>
      </c>
    </row>
    <row r="11">
      <c r="A11" s="92" t="s">
        <v>298</v>
      </c>
      <c r="B11" s="95">
        <v>5.420338983050847</v>
      </c>
      <c r="C11" s="95">
        <v>0.0</v>
      </c>
      <c r="D11" s="95">
        <v>0.0</v>
      </c>
      <c r="E11" s="95">
        <v>0.0</v>
      </c>
      <c r="F11" s="95">
        <v>0.0</v>
      </c>
      <c r="G11" s="95">
        <v>0.0</v>
      </c>
      <c r="H11" s="94">
        <v>5.8145454545454545</v>
      </c>
    </row>
    <row r="12">
      <c r="A12" s="92" t="s">
        <v>276</v>
      </c>
      <c r="B12" s="95">
        <v>6.5979381443298974</v>
      </c>
      <c r="C12" s="95">
        <v>0.2061855670103093</v>
      </c>
      <c r="D12" s="95">
        <v>0.0</v>
      </c>
      <c r="E12" s="95">
        <v>0.8</v>
      </c>
      <c r="F12" s="95">
        <v>0.8</v>
      </c>
      <c r="G12" s="95">
        <v>0.0</v>
      </c>
      <c r="H12" s="94">
        <v>5.333333333333333</v>
      </c>
    </row>
    <row r="13">
      <c r="A13" s="92" t="s">
        <v>213</v>
      </c>
      <c r="B13" s="95">
        <v>12.244897959183673</v>
      </c>
      <c r="C13" s="95">
        <v>0.6122448979591836</v>
      </c>
      <c r="D13" s="95">
        <v>2.526315789473684</v>
      </c>
      <c r="E13" s="95">
        <v>4.0</v>
      </c>
      <c r="F13" s="95">
        <v>1.6</v>
      </c>
      <c r="G13" s="95">
        <v>-0.8</v>
      </c>
      <c r="H13" s="94">
        <v>5.052631578947368</v>
      </c>
    </row>
    <row r="14">
      <c r="A14" s="92" t="s">
        <v>222</v>
      </c>
      <c r="B14" s="95">
        <v>11.272995780590715</v>
      </c>
      <c r="C14" s="95">
        <v>1.459915611814346</v>
      </c>
      <c r="D14" s="95">
        <v>1.00125</v>
      </c>
      <c r="E14" s="95">
        <v>0.0</v>
      </c>
      <c r="F14" s="95">
        <v>2.0</v>
      </c>
      <c r="G14" s="95">
        <v>3.50125</v>
      </c>
      <c r="H14" s="94">
        <v>4.8</v>
      </c>
    </row>
    <row r="15">
      <c r="A15" s="92" t="s">
        <v>220</v>
      </c>
      <c r="B15" s="95">
        <v>11.428571428571427</v>
      </c>
      <c r="C15" s="95">
        <v>0.0</v>
      </c>
      <c r="D15" s="95">
        <v>7.2</v>
      </c>
      <c r="E15" s="95">
        <v>0.0</v>
      </c>
      <c r="F15" s="95">
        <v>0.0</v>
      </c>
      <c r="G15" s="95">
        <v>0.0</v>
      </c>
      <c r="H15" s="94">
        <v>4.705882352941177</v>
      </c>
    </row>
    <row r="16">
      <c r="A16" s="92" t="s">
        <v>198</v>
      </c>
      <c r="B16" s="95">
        <v>31.189830508474575</v>
      </c>
      <c r="C16" s="95">
        <v>0.8440677966101695</v>
      </c>
      <c r="D16" s="95">
        <v>12.521739130434783</v>
      </c>
      <c r="E16" s="95">
        <v>8.67</v>
      </c>
      <c r="F16" s="95">
        <v>4.0</v>
      </c>
      <c r="G16" s="95">
        <v>1.3878260869565218</v>
      </c>
      <c r="H16" s="94">
        <v>4.67</v>
      </c>
    </row>
    <row r="17">
      <c r="A17" s="92" t="s">
        <v>316</v>
      </c>
      <c r="B17" s="95">
        <v>4.102564102564103</v>
      </c>
      <c r="C17" s="95">
        <v>0.0</v>
      </c>
      <c r="D17" s="95">
        <v>0.0</v>
      </c>
      <c r="E17" s="95">
        <v>0.0</v>
      </c>
      <c r="F17" s="95">
        <v>0.0</v>
      </c>
      <c r="G17" s="95">
        <v>0.0</v>
      </c>
      <c r="H17" s="94">
        <v>4.571428571428571</v>
      </c>
    </row>
    <row r="18">
      <c r="A18" s="92" t="s">
        <v>285</v>
      </c>
      <c r="B18" s="95">
        <v>5.959574468085107</v>
      </c>
      <c r="C18" s="95">
        <v>1.274468085106383</v>
      </c>
      <c r="D18" s="95">
        <v>0.0</v>
      </c>
      <c r="E18" s="95">
        <v>1.6842105263157894</v>
      </c>
      <c r="F18" s="95">
        <v>0.0</v>
      </c>
      <c r="G18" s="95">
        <v>0.0</v>
      </c>
      <c r="H18" s="94">
        <v>4.212631578947369</v>
      </c>
    </row>
    <row r="19">
      <c r="A19" s="92" t="s">
        <v>288</v>
      </c>
      <c r="B19" s="95">
        <v>5.7142857142857135</v>
      </c>
      <c r="C19" s="95">
        <v>0.6122448979591836</v>
      </c>
      <c r="D19" s="95">
        <v>1.6</v>
      </c>
      <c r="E19" s="95">
        <v>0.0</v>
      </c>
      <c r="F19" s="95">
        <v>-0.8</v>
      </c>
      <c r="G19" s="95">
        <v>0.8421052631578947</v>
      </c>
      <c r="H19" s="94">
        <v>4.2105263157894735</v>
      </c>
    </row>
    <row r="20">
      <c r="A20" s="92" t="s">
        <v>217</v>
      </c>
      <c r="B20" s="95">
        <v>12.121212121212121</v>
      </c>
      <c r="C20" s="95">
        <v>1.2121212121212122</v>
      </c>
      <c r="D20" s="95">
        <v>0.0</v>
      </c>
      <c r="E20" s="95">
        <v>4.8</v>
      </c>
      <c r="F20" s="95">
        <v>4.0</v>
      </c>
      <c r="G20" s="95">
        <v>-0.8</v>
      </c>
      <c r="H20" s="94">
        <v>4.2105263157894735</v>
      </c>
    </row>
    <row r="21">
      <c r="A21" s="92" t="s">
        <v>305</v>
      </c>
      <c r="B21" s="95">
        <v>5.0</v>
      </c>
      <c r="C21" s="95">
        <v>0.25</v>
      </c>
      <c r="D21" s="95">
        <v>0.0</v>
      </c>
      <c r="E21" s="95">
        <v>0.0</v>
      </c>
      <c r="F21" s="95">
        <v>0.0</v>
      </c>
      <c r="G21" s="95">
        <v>1.0666666666666667</v>
      </c>
      <c r="H21" s="94">
        <v>4.0</v>
      </c>
    </row>
    <row r="22">
      <c r="A22" s="92" t="s">
        <v>260</v>
      </c>
      <c r="B22" s="95">
        <v>8.0</v>
      </c>
      <c r="C22" s="95">
        <v>0.0</v>
      </c>
      <c r="D22" s="95">
        <v>0.0</v>
      </c>
      <c r="E22" s="95">
        <v>0.0</v>
      </c>
      <c r="F22" s="95">
        <v>4.0</v>
      </c>
      <c r="G22" s="95">
        <v>0.0</v>
      </c>
      <c r="H22" s="94">
        <v>4.0</v>
      </c>
    </row>
    <row r="23">
      <c r="A23" s="92" t="s">
        <v>242</v>
      </c>
      <c r="B23" s="95">
        <v>8.88888888888889</v>
      </c>
      <c r="C23" s="95">
        <v>1.0101010101010102</v>
      </c>
      <c r="D23" s="95">
        <v>1.6</v>
      </c>
      <c r="E23" s="95">
        <v>1.6842105263157894</v>
      </c>
      <c r="F23" s="95">
        <v>1.6</v>
      </c>
      <c r="G23" s="95">
        <v>0.0</v>
      </c>
      <c r="H23" s="94">
        <v>4.0</v>
      </c>
    </row>
    <row r="24">
      <c r="A24" s="92" t="s">
        <v>246</v>
      </c>
      <c r="B24" s="95">
        <v>8.421052631578947</v>
      </c>
      <c r="C24" s="95">
        <v>0.0</v>
      </c>
      <c r="D24" s="95">
        <v>4.0</v>
      </c>
      <c r="E24" s="95">
        <v>0.0</v>
      </c>
      <c r="F24" s="95">
        <v>0.0</v>
      </c>
      <c r="G24" s="95">
        <v>0.0</v>
      </c>
      <c r="H24" s="94">
        <v>4.0</v>
      </c>
    </row>
    <row r="25">
      <c r="A25" s="92" t="s">
        <v>327</v>
      </c>
      <c r="B25" s="95">
        <v>4.0</v>
      </c>
      <c r="C25" s="95">
        <v>0.3333333333333333</v>
      </c>
      <c r="D25" s="95">
        <v>0.0</v>
      </c>
      <c r="E25" s="95">
        <v>0.0</v>
      </c>
      <c r="F25" s="95">
        <v>0.0</v>
      </c>
      <c r="G25" s="95">
        <v>0.0</v>
      </c>
      <c r="H25" s="94">
        <v>4.0</v>
      </c>
    </row>
    <row r="26">
      <c r="A26" s="92" t="s">
        <v>322</v>
      </c>
      <c r="B26" s="95">
        <v>4.067796610169491</v>
      </c>
      <c r="C26" s="95">
        <v>0.0</v>
      </c>
      <c r="D26" s="95">
        <v>0.0</v>
      </c>
      <c r="E26" s="95">
        <v>0.0</v>
      </c>
      <c r="F26" s="95">
        <v>0.0</v>
      </c>
      <c r="G26" s="95">
        <v>0.0</v>
      </c>
      <c r="H26" s="94">
        <v>4.0</v>
      </c>
    </row>
    <row r="27">
      <c r="A27" s="92" t="s">
        <v>326</v>
      </c>
      <c r="B27" s="95">
        <v>4.0</v>
      </c>
      <c r="C27" s="95">
        <v>0.0</v>
      </c>
      <c r="D27" s="95">
        <v>0.0</v>
      </c>
      <c r="E27" s="95">
        <v>0.0</v>
      </c>
      <c r="F27" s="95">
        <v>0.0</v>
      </c>
      <c r="G27" s="95">
        <v>0.0</v>
      </c>
      <c r="H27" s="94">
        <v>4.0</v>
      </c>
    </row>
    <row r="28">
      <c r="A28" s="92" t="s">
        <v>329</v>
      </c>
      <c r="B28" s="95">
        <v>4.0</v>
      </c>
      <c r="C28" s="95">
        <v>0.0</v>
      </c>
      <c r="D28" s="95">
        <v>0.0</v>
      </c>
      <c r="E28" s="95">
        <v>0.0</v>
      </c>
      <c r="F28" s="95">
        <v>0.0</v>
      </c>
      <c r="G28" s="95">
        <v>0.0</v>
      </c>
      <c r="H28" s="94">
        <v>4.0</v>
      </c>
    </row>
    <row r="29">
      <c r="A29" s="92" t="s">
        <v>248</v>
      </c>
      <c r="B29" s="95">
        <v>8.333333333333334</v>
      </c>
      <c r="C29" s="95">
        <v>2.0833333333333335</v>
      </c>
      <c r="D29" s="95">
        <v>0.0</v>
      </c>
      <c r="E29" s="95">
        <v>2.6666666666666665</v>
      </c>
      <c r="F29" s="95">
        <v>3.8095238095238093</v>
      </c>
      <c r="G29" s="95">
        <v>-1.6842105263157894</v>
      </c>
      <c r="H29" s="94">
        <v>3.5555555555555554</v>
      </c>
    </row>
    <row r="30">
      <c r="A30" s="92" t="s">
        <v>221</v>
      </c>
      <c r="B30" s="95">
        <v>11.313131313131313</v>
      </c>
      <c r="C30" s="95">
        <v>0.604040404040404</v>
      </c>
      <c r="D30" s="95">
        <v>5.6</v>
      </c>
      <c r="E30" s="95">
        <v>2.2857142857142856</v>
      </c>
      <c r="F30" s="95">
        <v>0.0</v>
      </c>
      <c r="G30" s="95">
        <v>0.0</v>
      </c>
      <c r="H30" s="94">
        <v>3.3684210526315788</v>
      </c>
    </row>
    <row r="31">
      <c r="A31" s="92" t="s">
        <v>339</v>
      </c>
      <c r="B31" s="95">
        <v>3.2020000000000004</v>
      </c>
      <c r="C31" s="95">
        <v>0.6</v>
      </c>
      <c r="D31" s="95">
        <v>0.0</v>
      </c>
      <c r="E31" s="95">
        <v>0.0</v>
      </c>
      <c r="F31" s="95">
        <v>0.0</v>
      </c>
      <c r="G31" s="95">
        <v>0.0</v>
      </c>
      <c r="H31" s="94">
        <v>3.2020000000000004</v>
      </c>
    </row>
    <row r="32">
      <c r="A32" s="92" t="s">
        <v>224</v>
      </c>
      <c r="B32" s="95">
        <v>10.612244897959183</v>
      </c>
      <c r="C32" s="95">
        <v>0.2040816326530612</v>
      </c>
      <c r="D32" s="95">
        <v>1.6842105263157894</v>
      </c>
      <c r="E32" s="95">
        <v>4.8</v>
      </c>
      <c r="F32" s="95">
        <v>0.8</v>
      </c>
      <c r="G32" s="95">
        <v>0.0</v>
      </c>
      <c r="H32" s="94">
        <v>3.2</v>
      </c>
    </row>
    <row r="33">
      <c r="A33" s="92" t="s">
        <v>212</v>
      </c>
      <c r="B33" s="95">
        <v>12.467532467532468</v>
      </c>
      <c r="C33" s="95">
        <v>0.7792207792207793</v>
      </c>
      <c r="D33" s="95">
        <v>1.0666666666666667</v>
      </c>
      <c r="E33" s="95">
        <v>8.0</v>
      </c>
      <c r="F33" s="95">
        <v>0.0</v>
      </c>
      <c r="G33" s="95">
        <v>0.0</v>
      </c>
      <c r="H33" s="94">
        <v>3.2</v>
      </c>
    </row>
    <row r="34">
      <c r="A34" s="92" t="s">
        <v>355</v>
      </c>
      <c r="B34" s="95">
        <v>2.711864406779661</v>
      </c>
      <c r="C34" s="95">
        <v>0.3389830508474576</v>
      </c>
      <c r="D34" s="95">
        <v>0.0</v>
      </c>
      <c r="E34" s="95">
        <v>0.0</v>
      </c>
      <c r="F34" s="95">
        <v>0.0</v>
      </c>
      <c r="G34" s="95">
        <v>0.0</v>
      </c>
      <c r="H34" s="94">
        <v>3.2</v>
      </c>
    </row>
    <row r="35">
      <c r="A35" s="92" t="s">
        <v>328</v>
      </c>
      <c r="B35" s="95">
        <v>2.426262626262626</v>
      </c>
      <c r="C35" s="95">
        <v>0.608080808080808</v>
      </c>
      <c r="D35" s="95">
        <v>0.0</v>
      </c>
      <c r="E35" s="95">
        <v>0.0</v>
      </c>
      <c r="F35" s="95">
        <v>-0.798</v>
      </c>
      <c r="G35" s="95">
        <v>0.0</v>
      </c>
      <c r="H35" s="94">
        <v>3.2</v>
      </c>
    </row>
    <row r="36">
      <c r="A36" s="92" t="s">
        <v>218</v>
      </c>
      <c r="B36" s="95">
        <v>12.121212121212121</v>
      </c>
      <c r="C36" s="95">
        <v>1.0101010101010102</v>
      </c>
      <c r="D36" s="95">
        <v>0.0</v>
      </c>
      <c r="E36" s="95">
        <v>8.571428571428571</v>
      </c>
      <c r="F36" s="95">
        <v>2.1052631578947367</v>
      </c>
      <c r="G36" s="95">
        <v>1.0526315789473684</v>
      </c>
      <c r="H36" s="94">
        <v>3.1578947368421053</v>
      </c>
    </row>
    <row r="37">
      <c r="A37" s="92" t="s">
        <v>207</v>
      </c>
      <c r="B37" s="95">
        <v>14.545454545454545</v>
      </c>
      <c r="C37" s="95">
        <v>0.6060606060606061</v>
      </c>
      <c r="D37" s="95">
        <v>3.5555555555555554</v>
      </c>
      <c r="E37" s="95">
        <v>6.4</v>
      </c>
      <c r="F37" s="95">
        <v>1.6</v>
      </c>
      <c r="G37" s="95">
        <v>0.0</v>
      </c>
      <c r="H37" s="94">
        <v>3.0476190476190474</v>
      </c>
    </row>
    <row r="38">
      <c r="A38" s="92" t="s">
        <v>299</v>
      </c>
      <c r="B38" s="95">
        <v>5.333333333333333</v>
      </c>
      <c r="C38" s="95">
        <v>0.0</v>
      </c>
      <c r="D38" s="95">
        <v>0.0</v>
      </c>
      <c r="E38" s="95">
        <v>2.1333333333333333</v>
      </c>
      <c r="F38" s="95">
        <v>0.0</v>
      </c>
      <c r="G38" s="95">
        <v>0.0</v>
      </c>
      <c r="H38" s="94">
        <v>3.0</v>
      </c>
    </row>
    <row r="39">
      <c r="A39" s="92" t="s">
        <v>349</v>
      </c>
      <c r="B39" s="95">
        <v>2.807017543859649</v>
      </c>
      <c r="C39" s="95">
        <v>0.0</v>
      </c>
      <c r="D39" s="95">
        <v>0.0</v>
      </c>
      <c r="E39" s="95">
        <v>0.0</v>
      </c>
      <c r="F39" s="95">
        <v>0.0</v>
      </c>
      <c r="G39" s="95">
        <v>0.0</v>
      </c>
      <c r="H39" s="94">
        <v>2.909090909090909</v>
      </c>
    </row>
    <row r="40">
      <c r="A40" s="92" t="s">
        <v>296</v>
      </c>
      <c r="B40" s="95">
        <v>5.517241379310345</v>
      </c>
      <c r="C40" s="95">
        <v>0.0</v>
      </c>
      <c r="D40" s="95">
        <v>0.0</v>
      </c>
      <c r="E40" s="95">
        <v>2.6666666666666665</v>
      </c>
      <c r="F40" s="95">
        <v>0.0</v>
      </c>
      <c r="G40" s="95">
        <v>0.0</v>
      </c>
      <c r="H40" s="94">
        <v>2.6666666666666665</v>
      </c>
    </row>
    <row r="41">
      <c r="A41" s="92" t="s">
        <v>357</v>
      </c>
      <c r="B41" s="95">
        <v>2.6666666666666665</v>
      </c>
      <c r="C41" s="95">
        <v>0.0</v>
      </c>
      <c r="D41" s="95">
        <v>0.0</v>
      </c>
      <c r="E41" s="95">
        <v>0.0</v>
      </c>
      <c r="F41" s="95">
        <v>0.0</v>
      </c>
      <c r="G41" s="95">
        <v>0.0</v>
      </c>
      <c r="H41" s="94">
        <v>2.6666666666666665</v>
      </c>
    </row>
    <row r="42">
      <c r="A42" s="92" t="s">
        <v>319</v>
      </c>
      <c r="B42" s="95">
        <v>4.083673469387755</v>
      </c>
      <c r="C42" s="95">
        <v>0.0</v>
      </c>
      <c r="D42" s="95">
        <v>0.0</v>
      </c>
      <c r="E42" s="95">
        <v>1.6</v>
      </c>
      <c r="F42" s="95">
        <v>0.0</v>
      </c>
      <c r="G42" s="95">
        <v>0.0</v>
      </c>
      <c r="H42" s="94">
        <v>2.528421052631579</v>
      </c>
    </row>
    <row r="43">
      <c r="A43" s="92" t="s">
        <v>235</v>
      </c>
      <c r="B43" s="95">
        <v>9.361702127659575</v>
      </c>
      <c r="C43" s="95">
        <v>0.0</v>
      </c>
      <c r="D43" s="95">
        <v>1.6842105263157894</v>
      </c>
      <c r="E43" s="95">
        <v>0.8888888888888888</v>
      </c>
      <c r="F43" s="95">
        <v>0.8421052631578947</v>
      </c>
      <c r="G43" s="95">
        <v>3.3684210526315788</v>
      </c>
      <c r="H43" s="94">
        <v>2.526315789473684</v>
      </c>
    </row>
    <row r="44">
      <c r="A44" s="92" t="s">
        <v>277</v>
      </c>
      <c r="B44" s="95">
        <v>6.4646464646464645</v>
      </c>
      <c r="C44" s="95">
        <v>0.0</v>
      </c>
      <c r="D44" s="95">
        <v>0.0</v>
      </c>
      <c r="E44" s="95">
        <v>2.4</v>
      </c>
      <c r="F44" s="95">
        <v>0.8</v>
      </c>
      <c r="G44" s="95">
        <v>0.7619047619047619</v>
      </c>
      <c r="H44" s="94">
        <v>2.526315789473684</v>
      </c>
    </row>
    <row r="45">
      <c r="A45" s="92" t="s">
        <v>253</v>
      </c>
      <c r="B45" s="95">
        <v>8.080808080808081</v>
      </c>
      <c r="C45" s="95">
        <v>0.40404040404040403</v>
      </c>
      <c r="D45" s="95">
        <v>6.4</v>
      </c>
      <c r="E45" s="95">
        <v>-0.7619047619047619</v>
      </c>
      <c r="F45" s="95">
        <v>0.0</v>
      </c>
      <c r="G45" s="95">
        <v>0.0</v>
      </c>
      <c r="H45" s="94">
        <v>2.526315789473684</v>
      </c>
    </row>
    <row r="46">
      <c r="A46" s="92" t="s">
        <v>286</v>
      </c>
      <c r="B46" s="95">
        <v>5.8968421052631586</v>
      </c>
      <c r="C46" s="95">
        <v>0.0</v>
      </c>
      <c r="D46" s="95">
        <v>0.0</v>
      </c>
      <c r="E46" s="95">
        <v>1.6842105263157894</v>
      </c>
      <c r="F46" s="95">
        <v>1.7755555555555556</v>
      </c>
      <c r="G46" s="95">
        <v>0.0</v>
      </c>
      <c r="H46" s="94">
        <v>2.5242105263157897</v>
      </c>
    </row>
    <row r="47">
      <c r="A47" s="92" t="s">
        <v>269</v>
      </c>
      <c r="B47" s="95">
        <v>7.2</v>
      </c>
      <c r="C47" s="95">
        <v>0.0</v>
      </c>
      <c r="D47" s="95">
        <v>3.9979999999999998</v>
      </c>
      <c r="E47" s="95">
        <v>0.8</v>
      </c>
      <c r="F47" s="95">
        <v>0.0</v>
      </c>
      <c r="G47" s="95">
        <v>0.0</v>
      </c>
      <c r="H47" s="94">
        <v>2.402</v>
      </c>
    </row>
    <row r="48">
      <c r="A48" s="92" t="s">
        <v>293</v>
      </c>
      <c r="B48" s="95">
        <v>5.6</v>
      </c>
      <c r="C48" s="95">
        <v>0.8</v>
      </c>
      <c r="D48" s="95">
        <v>-0.8</v>
      </c>
      <c r="E48" s="95">
        <v>0.8</v>
      </c>
      <c r="F48" s="95">
        <v>2.4</v>
      </c>
      <c r="G48" s="95">
        <v>0.8</v>
      </c>
      <c r="H48" s="94">
        <v>2.4</v>
      </c>
    </row>
    <row r="49">
      <c r="A49" s="92" t="s">
        <v>261</v>
      </c>
      <c r="B49" s="95">
        <v>8.0</v>
      </c>
      <c r="C49" s="95">
        <v>0.4</v>
      </c>
      <c r="D49" s="95">
        <v>0.8</v>
      </c>
      <c r="E49" s="95">
        <v>4.0</v>
      </c>
      <c r="F49" s="95">
        <v>0.8</v>
      </c>
      <c r="G49" s="95">
        <v>0.0</v>
      </c>
      <c r="H49" s="94">
        <v>2.4</v>
      </c>
    </row>
    <row r="50">
      <c r="A50" s="92" t="s">
        <v>374</v>
      </c>
      <c r="B50" s="95">
        <v>2.1052631578947367</v>
      </c>
      <c r="C50" s="95">
        <v>0.0</v>
      </c>
      <c r="D50" s="95">
        <v>0.0</v>
      </c>
      <c r="E50" s="95">
        <v>0.0</v>
      </c>
      <c r="F50" s="95">
        <v>0.0</v>
      </c>
      <c r="G50" s="95">
        <v>0.0</v>
      </c>
      <c r="H50" s="94">
        <v>2.2857142857142856</v>
      </c>
    </row>
    <row r="51">
      <c r="A51" s="92" t="s">
        <v>219</v>
      </c>
      <c r="B51" s="95">
        <v>11.625641025641027</v>
      </c>
      <c r="C51" s="95">
        <v>1.0256410256410258</v>
      </c>
      <c r="D51" s="95">
        <v>5.563478260869565</v>
      </c>
      <c r="E51" s="95">
        <v>0.6666666666666666</v>
      </c>
      <c r="F51" s="95">
        <v>2.0016666666666665</v>
      </c>
      <c r="G51" s="95">
        <v>1.3316666666666668</v>
      </c>
      <c r="H51" s="94">
        <v>2.18</v>
      </c>
    </row>
    <row r="52">
      <c r="A52" s="92" t="s">
        <v>375</v>
      </c>
      <c r="B52" s="95">
        <v>2.0512820512820515</v>
      </c>
      <c r="C52" s="95">
        <v>0.0</v>
      </c>
      <c r="D52" s="95">
        <v>0.0</v>
      </c>
      <c r="E52" s="95">
        <v>0.0</v>
      </c>
      <c r="F52" s="95">
        <v>0.0</v>
      </c>
      <c r="G52" s="95">
        <v>0.0</v>
      </c>
      <c r="H52" s="94">
        <v>2.1333333333333333</v>
      </c>
    </row>
    <row r="53">
      <c r="A53" s="92" t="s">
        <v>273</v>
      </c>
      <c r="B53" s="95">
        <v>7.0</v>
      </c>
      <c r="C53" s="95">
        <v>0.0</v>
      </c>
      <c r="D53" s="95">
        <v>4.9975</v>
      </c>
      <c r="E53" s="95">
        <v>0.0</v>
      </c>
      <c r="F53" s="95">
        <v>0.0</v>
      </c>
      <c r="G53" s="95">
        <v>0.0</v>
      </c>
      <c r="H53" s="94">
        <v>2.0025</v>
      </c>
    </row>
    <row r="54">
      <c r="A54" s="92" t="s">
        <v>281</v>
      </c>
      <c r="B54" s="95">
        <v>6.0</v>
      </c>
      <c r="C54" s="95">
        <v>0.0</v>
      </c>
      <c r="D54" s="95">
        <v>0.0</v>
      </c>
      <c r="E54" s="95">
        <v>1.0</v>
      </c>
      <c r="F54" s="95">
        <v>1.0</v>
      </c>
      <c r="G54" s="95">
        <v>2.0</v>
      </c>
      <c r="H54" s="94">
        <v>2.0</v>
      </c>
    </row>
    <row r="55">
      <c r="A55" s="92" t="s">
        <v>282</v>
      </c>
      <c r="B55" s="95">
        <v>6.0</v>
      </c>
      <c r="C55" s="95">
        <v>0.0</v>
      </c>
      <c r="D55" s="95">
        <v>0.0</v>
      </c>
      <c r="E55" s="95">
        <v>4.0</v>
      </c>
      <c r="F55" s="95">
        <v>0.0</v>
      </c>
      <c r="G55" s="95">
        <v>0.0</v>
      </c>
      <c r="H55" s="94">
        <v>2.0</v>
      </c>
    </row>
    <row r="56">
      <c r="A56" s="92" t="s">
        <v>379</v>
      </c>
      <c r="B56" s="95">
        <v>2.0</v>
      </c>
      <c r="C56" s="95">
        <v>0.0</v>
      </c>
      <c r="D56" s="95">
        <v>0.0</v>
      </c>
      <c r="E56" s="95">
        <v>0.0</v>
      </c>
      <c r="F56" s="95">
        <v>0.0</v>
      </c>
      <c r="G56" s="95">
        <v>0.0</v>
      </c>
      <c r="H56" s="94">
        <v>2.0</v>
      </c>
    </row>
    <row r="57">
      <c r="A57" s="92" t="s">
        <v>380</v>
      </c>
      <c r="B57" s="95">
        <v>2.0</v>
      </c>
      <c r="C57" s="95">
        <v>0.0</v>
      </c>
      <c r="D57" s="95">
        <v>0.0</v>
      </c>
      <c r="E57" s="95">
        <v>0.0</v>
      </c>
      <c r="F57" s="95">
        <v>0.0</v>
      </c>
      <c r="G57" s="95">
        <v>0.0</v>
      </c>
      <c r="H57" s="94">
        <v>2.0</v>
      </c>
    </row>
    <row r="58">
      <c r="A58" s="92" t="s">
        <v>360</v>
      </c>
      <c r="B58" s="95">
        <v>0.0</v>
      </c>
      <c r="C58" s="95">
        <v>0.5</v>
      </c>
      <c r="D58" s="95">
        <v>-2.0</v>
      </c>
      <c r="E58" s="95">
        <v>0.0</v>
      </c>
      <c r="F58" s="95">
        <v>0.0</v>
      </c>
      <c r="G58" s="95">
        <v>0.0</v>
      </c>
      <c r="H58" s="94">
        <v>2.0</v>
      </c>
    </row>
    <row r="59">
      <c r="A59" s="92" t="s">
        <v>251</v>
      </c>
      <c r="B59" s="95">
        <v>8.147219710669077</v>
      </c>
      <c r="C59" s="95">
        <v>0.01582278481012658</v>
      </c>
      <c r="D59" s="95">
        <v>3.532970657814408</v>
      </c>
      <c r="E59" s="95">
        <v>1.4523809523809523</v>
      </c>
      <c r="F59" s="95">
        <v>0.8214285714285714</v>
      </c>
      <c r="G59" s="95">
        <v>0.5805133928571429</v>
      </c>
      <c r="H59" s="94">
        <v>1.7666666666666666</v>
      </c>
    </row>
    <row r="60">
      <c r="A60" s="92" t="s">
        <v>203</v>
      </c>
      <c r="B60" s="95">
        <v>19.393939393939394</v>
      </c>
      <c r="C60" s="95">
        <v>0.40404040404040403</v>
      </c>
      <c r="D60" s="95">
        <v>0.8</v>
      </c>
      <c r="E60" s="95">
        <v>3.0476190476190474</v>
      </c>
      <c r="F60" s="95">
        <v>8.0</v>
      </c>
      <c r="G60" s="95">
        <v>5.894736842105263</v>
      </c>
      <c r="H60" s="94">
        <v>1.6842105263157894</v>
      </c>
    </row>
    <row r="61">
      <c r="A61" s="92" t="s">
        <v>239</v>
      </c>
      <c r="B61" s="95">
        <v>8.979591836734693</v>
      </c>
      <c r="C61" s="95">
        <v>0.4081632653061224</v>
      </c>
      <c r="D61" s="95">
        <v>0.8</v>
      </c>
      <c r="E61" s="95">
        <v>6.4</v>
      </c>
      <c r="F61" s="95">
        <v>0.0</v>
      </c>
      <c r="G61" s="95">
        <v>0.0</v>
      </c>
      <c r="H61" s="94">
        <v>1.6842105263157894</v>
      </c>
    </row>
    <row r="62">
      <c r="A62" s="92" t="s">
        <v>209</v>
      </c>
      <c r="B62" s="95">
        <v>12.931313131313132</v>
      </c>
      <c r="C62" s="95">
        <v>0.406060606060606</v>
      </c>
      <c r="D62" s="95">
        <v>1.598</v>
      </c>
      <c r="E62" s="95">
        <v>8.8</v>
      </c>
      <c r="F62" s="95">
        <v>0.798</v>
      </c>
      <c r="G62" s="95">
        <v>0.0</v>
      </c>
      <c r="H62" s="94">
        <v>1.6</v>
      </c>
    </row>
    <row r="63">
      <c r="A63" s="92" t="s">
        <v>202</v>
      </c>
      <c r="B63" s="95">
        <v>20.0</v>
      </c>
      <c r="C63" s="95">
        <v>0.0</v>
      </c>
      <c r="D63" s="95">
        <v>12.0</v>
      </c>
      <c r="E63" s="95">
        <v>6.4</v>
      </c>
      <c r="F63" s="95">
        <v>0.0</v>
      </c>
      <c r="G63" s="95">
        <v>0.0</v>
      </c>
      <c r="H63" s="94">
        <v>1.6</v>
      </c>
    </row>
    <row r="64">
      <c r="A64" s="92" t="s">
        <v>351</v>
      </c>
      <c r="B64" s="95">
        <v>2.7586206896551726</v>
      </c>
      <c r="C64" s="95">
        <v>0.0</v>
      </c>
      <c r="D64" s="95">
        <v>0.0</v>
      </c>
      <c r="E64" s="95">
        <v>0.0</v>
      </c>
      <c r="F64" s="95">
        <v>1.3333333333333333</v>
      </c>
      <c r="G64" s="95">
        <v>0.0</v>
      </c>
      <c r="H64" s="94">
        <v>1.4545454545454546</v>
      </c>
    </row>
    <row r="65">
      <c r="A65" s="92" t="s">
        <v>300</v>
      </c>
      <c r="B65" s="95">
        <v>5.333333333333333</v>
      </c>
      <c r="C65" s="95">
        <v>0.0</v>
      </c>
      <c r="D65" s="95">
        <v>0.0</v>
      </c>
      <c r="E65" s="95">
        <v>4.0</v>
      </c>
      <c r="F65" s="95">
        <v>0.0</v>
      </c>
      <c r="G65" s="95">
        <v>0.0</v>
      </c>
      <c r="H65" s="94">
        <v>1.4545454545454546</v>
      </c>
    </row>
    <row r="66">
      <c r="A66" s="92" t="s">
        <v>287</v>
      </c>
      <c r="B66" s="95">
        <v>5.818181818181818</v>
      </c>
      <c r="C66" s="95">
        <v>0.36363636363636365</v>
      </c>
      <c r="D66" s="95">
        <v>0.0</v>
      </c>
      <c r="E66" s="95">
        <v>1.4545454545454546</v>
      </c>
      <c r="F66" s="95">
        <v>1.7777777777777777</v>
      </c>
      <c r="G66" s="95">
        <v>1.6</v>
      </c>
      <c r="H66" s="94">
        <v>1.3333333333333333</v>
      </c>
    </row>
    <row r="67">
      <c r="A67" s="92" t="s">
        <v>376</v>
      </c>
      <c r="B67" s="95">
        <v>2.0512820512820515</v>
      </c>
      <c r="C67" s="95">
        <v>0.0</v>
      </c>
      <c r="D67" s="95">
        <v>1.25</v>
      </c>
      <c r="E67" s="95">
        <v>0.0</v>
      </c>
      <c r="F67" s="95">
        <v>0.0</v>
      </c>
      <c r="G67" s="95">
        <v>0.0</v>
      </c>
      <c r="H67" s="94">
        <v>1.3333333333333333</v>
      </c>
    </row>
    <row r="68">
      <c r="A68" s="92" t="s">
        <v>353</v>
      </c>
      <c r="B68" s="95">
        <v>1.0256410256410258</v>
      </c>
      <c r="C68" s="95">
        <v>0.5128205128205128</v>
      </c>
      <c r="D68" s="95">
        <v>0.0</v>
      </c>
      <c r="E68" s="95">
        <v>0.0</v>
      </c>
      <c r="F68" s="95">
        <v>1.25</v>
      </c>
      <c r="G68" s="95">
        <v>-1.3333333333333333</v>
      </c>
      <c r="H68" s="94">
        <v>1.3333333333333333</v>
      </c>
    </row>
    <row r="69">
      <c r="A69" s="92" t="s">
        <v>236</v>
      </c>
      <c r="B69" s="95">
        <v>9.35064935064935</v>
      </c>
      <c r="C69" s="95">
        <v>0.0</v>
      </c>
      <c r="D69" s="95">
        <v>0.0</v>
      </c>
      <c r="E69" s="95">
        <v>0.0</v>
      </c>
      <c r="F69" s="95">
        <v>4.266666666666667</v>
      </c>
      <c r="G69" s="95">
        <v>4.266666666666667</v>
      </c>
      <c r="H69" s="94">
        <v>1.0666666666666667</v>
      </c>
    </row>
    <row r="70">
      <c r="A70" s="92" t="s">
        <v>318</v>
      </c>
      <c r="B70" s="95">
        <v>4.102564102564103</v>
      </c>
      <c r="C70" s="95">
        <v>0.5128205128205129</v>
      </c>
      <c r="D70" s="95">
        <v>1.0666666666666667</v>
      </c>
      <c r="E70" s="95">
        <v>0.0</v>
      </c>
      <c r="F70" s="95">
        <v>1.0</v>
      </c>
      <c r="G70" s="95">
        <v>1.0</v>
      </c>
      <c r="H70" s="94">
        <v>1.0666666666666667</v>
      </c>
    </row>
    <row r="71">
      <c r="A71" s="92" t="s">
        <v>271</v>
      </c>
      <c r="B71" s="95">
        <v>7.0886075949367084</v>
      </c>
      <c r="C71" s="95">
        <v>0.5063291139240506</v>
      </c>
      <c r="D71" s="95">
        <v>2.0</v>
      </c>
      <c r="E71" s="95">
        <v>2.0</v>
      </c>
      <c r="F71" s="95">
        <v>2.0</v>
      </c>
      <c r="G71" s="95">
        <v>0.0</v>
      </c>
      <c r="H71" s="94">
        <v>1.0666666666666667</v>
      </c>
    </row>
    <row r="72">
      <c r="A72" s="92" t="s">
        <v>312</v>
      </c>
      <c r="B72" s="95">
        <v>4.574285714285715</v>
      </c>
      <c r="C72" s="95">
        <v>0.0</v>
      </c>
      <c r="D72" s="95">
        <v>0.9975</v>
      </c>
      <c r="E72" s="95">
        <v>1.064</v>
      </c>
      <c r="F72" s="95">
        <v>1.3333333333333333</v>
      </c>
      <c r="G72" s="95">
        <v>0.0</v>
      </c>
      <c r="H72" s="94">
        <v>1.0666666666666667</v>
      </c>
    </row>
    <row r="73">
      <c r="A73" s="92" t="s">
        <v>372</v>
      </c>
      <c r="B73" s="95">
        <v>2.191780821917808</v>
      </c>
      <c r="C73" s="95">
        <v>0.273972602739726</v>
      </c>
      <c r="D73" s="95">
        <v>0.0</v>
      </c>
      <c r="E73" s="95">
        <v>0.0</v>
      </c>
      <c r="F73" s="95">
        <v>1.0666666666666667</v>
      </c>
      <c r="G73" s="95">
        <v>0.0</v>
      </c>
      <c r="H73" s="94">
        <v>1.0666666666666667</v>
      </c>
    </row>
    <row r="74">
      <c r="A74" s="92" t="s">
        <v>291</v>
      </c>
      <c r="B74" s="95">
        <v>5.711428571428571</v>
      </c>
      <c r="C74" s="95">
        <v>0.28285714285714286</v>
      </c>
      <c r="D74" s="95">
        <v>0.0</v>
      </c>
      <c r="E74" s="95">
        <v>0.0</v>
      </c>
      <c r="F74" s="95">
        <v>4.003333333333333</v>
      </c>
      <c r="G74" s="95">
        <v>1.33</v>
      </c>
      <c r="H74" s="94">
        <v>1.064</v>
      </c>
    </row>
    <row r="75">
      <c r="A75" s="92" t="s">
        <v>228</v>
      </c>
      <c r="B75" s="95">
        <v>10.4</v>
      </c>
      <c r="C75" s="95">
        <v>0.4</v>
      </c>
      <c r="D75" s="95">
        <v>2.0</v>
      </c>
      <c r="E75" s="95">
        <v>5.0</v>
      </c>
      <c r="F75" s="95">
        <v>1.0</v>
      </c>
      <c r="G75" s="95">
        <v>4.0</v>
      </c>
      <c r="H75" s="94">
        <v>1.0</v>
      </c>
    </row>
    <row r="76">
      <c r="A76" s="92" t="s">
        <v>330</v>
      </c>
      <c r="B76" s="95">
        <v>4.0</v>
      </c>
      <c r="C76" s="95">
        <v>0.0</v>
      </c>
      <c r="D76" s="95">
        <v>0.0</v>
      </c>
      <c r="E76" s="95">
        <v>0.0</v>
      </c>
      <c r="F76" s="95">
        <v>0.0</v>
      </c>
      <c r="G76" s="95">
        <v>3.2</v>
      </c>
      <c r="H76" s="94">
        <v>1.0</v>
      </c>
    </row>
    <row r="77">
      <c r="A77" s="92" t="s">
        <v>331</v>
      </c>
      <c r="B77" s="95">
        <v>4.0</v>
      </c>
      <c r="C77" s="95">
        <v>0.25</v>
      </c>
      <c r="D77" s="95">
        <v>1.0</v>
      </c>
      <c r="E77" s="95">
        <v>2.0</v>
      </c>
      <c r="F77" s="95">
        <v>0.0</v>
      </c>
      <c r="G77" s="95">
        <v>0.0</v>
      </c>
      <c r="H77" s="94">
        <v>1.0</v>
      </c>
    </row>
    <row r="78">
      <c r="A78" s="92" t="s">
        <v>306</v>
      </c>
      <c r="B78" s="95">
        <v>5.0</v>
      </c>
      <c r="C78" s="95">
        <v>0.25</v>
      </c>
      <c r="D78" s="95">
        <v>4.0</v>
      </c>
      <c r="E78" s="95">
        <v>0.0</v>
      </c>
      <c r="F78" s="95">
        <v>0.0</v>
      </c>
      <c r="G78" s="95">
        <v>0.0</v>
      </c>
      <c r="H78" s="94">
        <v>1.0</v>
      </c>
    </row>
    <row r="79">
      <c r="A79" s="92" t="s">
        <v>230</v>
      </c>
      <c r="B79" s="95">
        <v>10.256410256410257</v>
      </c>
      <c r="C79" s="95">
        <v>0.0</v>
      </c>
      <c r="D79" s="95">
        <v>0.0</v>
      </c>
      <c r="E79" s="95">
        <v>2.0025</v>
      </c>
      <c r="F79" s="95">
        <v>4.266666666666667</v>
      </c>
      <c r="G79" s="95">
        <v>2.0025</v>
      </c>
      <c r="H79" s="94">
        <v>0.9975</v>
      </c>
    </row>
    <row r="80">
      <c r="A80" s="92" t="s">
        <v>344</v>
      </c>
      <c r="B80" s="95">
        <v>3.265306122448979</v>
      </c>
      <c r="C80" s="95">
        <v>0.0</v>
      </c>
      <c r="D80" s="95">
        <v>0.8</v>
      </c>
      <c r="E80" s="95">
        <v>0.0</v>
      </c>
      <c r="F80" s="95">
        <v>0.8</v>
      </c>
      <c r="G80" s="95">
        <v>0.7619047619047619</v>
      </c>
      <c r="H80" s="94">
        <v>0.9411764705882353</v>
      </c>
    </row>
    <row r="81">
      <c r="A81" s="92" t="s">
        <v>225</v>
      </c>
      <c r="B81" s="95">
        <v>10.612244897959183</v>
      </c>
      <c r="C81" s="95">
        <v>0.2040816326530612</v>
      </c>
      <c r="D81" s="95">
        <v>0.8</v>
      </c>
      <c r="E81" s="95">
        <v>8.8</v>
      </c>
      <c r="F81" s="95">
        <v>0.0</v>
      </c>
      <c r="G81" s="95">
        <v>0.0</v>
      </c>
      <c r="H81" s="94">
        <v>0.9411764705882353</v>
      </c>
    </row>
    <row r="82">
      <c r="A82" s="92" t="s">
        <v>279</v>
      </c>
      <c r="B82" s="95">
        <v>6.4646464646464645</v>
      </c>
      <c r="C82" s="95">
        <v>0.0</v>
      </c>
      <c r="D82" s="95">
        <v>0.0</v>
      </c>
      <c r="E82" s="95">
        <v>0.0</v>
      </c>
      <c r="F82" s="95">
        <v>3.3684210526315788</v>
      </c>
      <c r="G82" s="95">
        <v>2.4</v>
      </c>
      <c r="H82" s="94">
        <v>0.8421052631578947</v>
      </c>
    </row>
    <row r="83">
      <c r="A83" s="92" t="s">
        <v>227</v>
      </c>
      <c r="B83" s="95">
        <v>10.505050505050505</v>
      </c>
      <c r="C83" s="95">
        <v>0.6060606060606061</v>
      </c>
      <c r="D83" s="95">
        <v>0.8</v>
      </c>
      <c r="E83" s="95">
        <v>6.095238095238095</v>
      </c>
      <c r="F83" s="95">
        <v>0.8421052631578947</v>
      </c>
      <c r="G83" s="95">
        <v>1.6</v>
      </c>
      <c r="H83" s="94">
        <v>0.8421052631578947</v>
      </c>
    </row>
    <row r="84">
      <c r="A84" s="92" t="s">
        <v>325</v>
      </c>
      <c r="B84" s="95">
        <v>4.040404040404041</v>
      </c>
      <c r="C84" s="95">
        <v>0.0</v>
      </c>
      <c r="D84" s="95">
        <v>0.8421052631578947</v>
      </c>
      <c r="E84" s="95">
        <v>0.0</v>
      </c>
      <c r="F84" s="95">
        <v>0.8</v>
      </c>
      <c r="G84" s="95">
        <v>1.5238095238095237</v>
      </c>
      <c r="H84" s="94">
        <v>0.8421052631578947</v>
      </c>
    </row>
    <row r="85">
      <c r="A85" s="92" t="s">
        <v>267</v>
      </c>
      <c r="B85" s="95">
        <v>7.2727272727272725</v>
      </c>
      <c r="C85" s="95">
        <v>0.0</v>
      </c>
      <c r="D85" s="95">
        <v>0.0</v>
      </c>
      <c r="E85" s="95">
        <v>0.7619047619047619</v>
      </c>
      <c r="F85" s="95">
        <v>5.054736842105264</v>
      </c>
      <c r="G85" s="95">
        <v>0.798</v>
      </c>
      <c r="H85" s="94">
        <v>0.8421052631578947</v>
      </c>
    </row>
    <row r="86">
      <c r="A86" s="92" t="s">
        <v>364</v>
      </c>
      <c r="B86" s="95">
        <v>2.4242424242424243</v>
      </c>
      <c r="C86" s="95">
        <v>0.20202020202020202</v>
      </c>
      <c r="D86" s="95">
        <v>0.0</v>
      </c>
      <c r="E86" s="95">
        <v>0.0</v>
      </c>
      <c r="F86" s="95">
        <v>1.6</v>
      </c>
      <c r="G86" s="95">
        <v>0.0</v>
      </c>
      <c r="H86" s="94">
        <v>0.8421052631578947</v>
      </c>
    </row>
    <row r="87">
      <c r="A87" s="92" t="s">
        <v>365</v>
      </c>
      <c r="B87" s="95">
        <v>2.4242424242424243</v>
      </c>
      <c r="C87" s="95">
        <v>0.40404040404040403</v>
      </c>
      <c r="D87" s="95">
        <v>0.0</v>
      </c>
      <c r="E87" s="95">
        <v>1.5238095238095237</v>
      </c>
      <c r="F87" s="95">
        <v>0.0</v>
      </c>
      <c r="G87" s="95">
        <v>0.0</v>
      </c>
      <c r="H87" s="94">
        <v>0.8421052631578947</v>
      </c>
    </row>
    <row r="88">
      <c r="A88" s="92" t="s">
        <v>243</v>
      </c>
      <c r="B88" s="95">
        <v>8.88888888888889</v>
      </c>
      <c r="C88" s="95">
        <v>0.40404040404040403</v>
      </c>
      <c r="D88" s="95">
        <v>7.619047619047619</v>
      </c>
      <c r="E88" s="95">
        <v>0.0</v>
      </c>
      <c r="F88" s="95">
        <v>0.0</v>
      </c>
      <c r="G88" s="95">
        <v>0.0</v>
      </c>
      <c r="H88" s="94">
        <v>0.8421052631578947</v>
      </c>
    </row>
    <row r="89">
      <c r="A89" s="92" t="s">
        <v>332</v>
      </c>
      <c r="B89" s="95">
        <v>4.0</v>
      </c>
      <c r="C89" s="95">
        <v>0.6</v>
      </c>
      <c r="D89" s="95">
        <v>0.8</v>
      </c>
      <c r="E89" s="95">
        <v>3.2</v>
      </c>
      <c r="F89" s="95">
        <v>-0.8</v>
      </c>
      <c r="G89" s="95">
        <v>0.0</v>
      </c>
      <c r="H89" s="94">
        <v>0.8421052631578947</v>
      </c>
    </row>
    <row r="90">
      <c r="A90" s="92" t="s">
        <v>290</v>
      </c>
      <c r="B90" s="95">
        <v>5.7142857142857135</v>
      </c>
      <c r="C90" s="95">
        <v>0.2020408163265306</v>
      </c>
      <c r="D90" s="95">
        <v>3.2020000000000004</v>
      </c>
      <c r="E90" s="95">
        <v>1.6</v>
      </c>
      <c r="F90" s="95">
        <v>0.0</v>
      </c>
      <c r="G90" s="95">
        <v>0.0</v>
      </c>
      <c r="H90" s="94">
        <v>0.8400000000000001</v>
      </c>
    </row>
    <row r="91">
      <c r="A91" s="92" t="s">
        <v>208</v>
      </c>
      <c r="B91" s="95">
        <v>13.061224489795917</v>
      </c>
      <c r="C91" s="95">
        <v>0.4081632653061224</v>
      </c>
      <c r="D91" s="95">
        <v>5.052631578947368</v>
      </c>
      <c r="E91" s="95">
        <v>4.8</v>
      </c>
      <c r="F91" s="95">
        <v>1.6</v>
      </c>
      <c r="G91" s="95">
        <v>0.8421052631578947</v>
      </c>
      <c r="H91" s="94">
        <v>0.8</v>
      </c>
    </row>
    <row r="92">
      <c r="A92" s="92" t="s">
        <v>295</v>
      </c>
      <c r="B92" s="95">
        <v>5.6</v>
      </c>
      <c r="C92" s="95">
        <v>0.2</v>
      </c>
      <c r="D92" s="95">
        <v>3.2</v>
      </c>
      <c r="E92" s="95">
        <v>0.0</v>
      </c>
      <c r="F92" s="95">
        <v>1.6</v>
      </c>
      <c r="G92" s="95">
        <v>0.0</v>
      </c>
      <c r="H92" s="94">
        <v>0.8</v>
      </c>
    </row>
    <row r="93">
      <c r="A93" s="92" t="s">
        <v>348</v>
      </c>
      <c r="B93" s="95">
        <v>3.2</v>
      </c>
      <c r="C93" s="95">
        <v>0.0</v>
      </c>
      <c r="D93" s="95">
        <v>1.6</v>
      </c>
      <c r="E93" s="95">
        <v>0.7619047619047619</v>
      </c>
      <c r="F93" s="95">
        <v>0.0</v>
      </c>
      <c r="G93" s="95">
        <v>0.0</v>
      </c>
      <c r="H93" s="94">
        <v>0.8</v>
      </c>
    </row>
    <row r="94">
      <c r="A94" s="92" t="s">
        <v>245</v>
      </c>
      <c r="B94" s="95">
        <v>8.8</v>
      </c>
      <c r="C94" s="95">
        <v>0.8</v>
      </c>
      <c r="D94" s="95">
        <v>6.398</v>
      </c>
      <c r="E94" s="95">
        <v>0.798</v>
      </c>
      <c r="F94" s="95">
        <v>0.8</v>
      </c>
      <c r="G94" s="95">
        <v>0.0</v>
      </c>
      <c r="H94" s="94">
        <v>0.798</v>
      </c>
    </row>
    <row r="95">
      <c r="A95" s="92" t="s">
        <v>308</v>
      </c>
      <c r="B95" s="95">
        <v>4.848484848484849</v>
      </c>
      <c r="C95" s="95">
        <v>0.40404040404040403</v>
      </c>
      <c r="D95" s="95">
        <v>5.333333333333333</v>
      </c>
      <c r="E95" s="95">
        <v>0.0</v>
      </c>
      <c r="F95" s="95">
        <v>-0.8</v>
      </c>
      <c r="G95" s="95">
        <v>0.0</v>
      </c>
      <c r="H95" s="94">
        <v>0.7619047619047619</v>
      </c>
    </row>
    <row r="96">
      <c r="A96" s="92" t="s">
        <v>200</v>
      </c>
      <c r="B96" s="95">
        <v>23.43232323232323</v>
      </c>
      <c r="C96" s="95">
        <v>0.05</v>
      </c>
      <c r="D96" s="95">
        <v>3.0025</v>
      </c>
      <c r="E96" s="95">
        <v>5.9975000000000005</v>
      </c>
      <c r="F96" s="95">
        <v>8.0</v>
      </c>
      <c r="G96" s="95">
        <v>11.9975</v>
      </c>
      <c r="H96" s="94">
        <v>0.0</v>
      </c>
    </row>
    <row r="97">
      <c r="A97" s="92" t="s">
        <v>215</v>
      </c>
      <c r="B97" s="95">
        <v>12.244897959183673</v>
      </c>
      <c r="C97" s="95">
        <v>0.0</v>
      </c>
      <c r="D97" s="95">
        <v>0.0</v>
      </c>
      <c r="E97" s="95">
        <v>0.0</v>
      </c>
      <c r="F97" s="95">
        <v>3.2</v>
      </c>
      <c r="G97" s="95">
        <v>8.380952380952381</v>
      </c>
      <c r="H97" s="94">
        <v>0.0</v>
      </c>
    </row>
    <row r="98">
      <c r="A98" s="92" t="s">
        <v>234</v>
      </c>
      <c r="B98" s="95">
        <v>9.696969696969697</v>
      </c>
      <c r="C98" s="95">
        <v>0.0</v>
      </c>
      <c r="D98" s="95">
        <v>0.0</v>
      </c>
      <c r="E98" s="95">
        <v>0.8</v>
      </c>
      <c r="F98" s="95">
        <v>0.8</v>
      </c>
      <c r="G98" s="95">
        <v>8.0</v>
      </c>
      <c r="H98" s="94">
        <v>0.0</v>
      </c>
    </row>
    <row r="99">
      <c r="A99" s="92" t="s">
        <v>270</v>
      </c>
      <c r="B99" s="95">
        <v>7.17948717948718</v>
      </c>
      <c r="C99" s="95">
        <v>0.0</v>
      </c>
      <c r="D99" s="95">
        <v>0.0</v>
      </c>
      <c r="E99" s="95">
        <v>0.0</v>
      </c>
      <c r="F99" s="95">
        <v>0.0</v>
      </c>
      <c r="G99" s="95">
        <v>7.466666666666667</v>
      </c>
      <c r="H99" s="94">
        <v>0.0</v>
      </c>
    </row>
    <row r="100">
      <c r="A100" s="92" t="s">
        <v>313</v>
      </c>
      <c r="B100" s="95">
        <v>4.324324324324324</v>
      </c>
      <c r="C100" s="95">
        <v>0.5378378378378378</v>
      </c>
      <c r="D100" s="95">
        <v>0.0</v>
      </c>
      <c r="E100" s="95">
        <v>-1.0666666666666667</v>
      </c>
      <c r="F100" s="95">
        <v>0.0</v>
      </c>
      <c r="G100" s="95">
        <v>6.153846153846154</v>
      </c>
      <c r="H100" s="94">
        <v>0.0</v>
      </c>
    </row>
    <row r="101">
      <c r="A101" s="92" t="s">
        <v>205</v>
      </c>
      <c r="B101" s="95">
        <v>16.0</v>
      </c>
      <c r="C101" s="95">
        <v>0.5</v>
      </c>
      <c r="D101" s="95">
        <v>0.0</v>
      </c>
      <c r="E101" s="95">
        <v>4.0</v>
      </c>
      <c r="F101" s="95">
        <v>6.0</v>
      </c>
      <c r="G101" s="95">
        <v>6.0</v>
      </c>
      <c r="H101" s="94">
        <v>0.0</v>
      </c>
    </row>
    <row r="102">
      <c r="A102" s="92" t="s">
        <v>280</v>
      </c>
      <c r="B102" s="95">
        <v>6.153846153846154</v>
      </c>
      <c r="C102" s="95">
        <v>0.0</v>
      </c>
      <c r="D102" s="95">
        <v>0.0</v>
      </c>
      <c r="E102" s="95">
        <v>0.0</v>
      </c>
      <c r="F102" s="95">
        <v>0.0</v>
      </c>
      <c r="G102" s="95">
        <v>6.0</v>
      </c>
      <c r="H102" s="94">
        <v>0.0</v>
      </c>
    </row>
    <row r="103">
      <c r="A103" s="92" t="s">
        <v>262</v>
      </c>
      <c r="B103" s="95">
        <v>8.0</v>
      </c>
      <c r="C103" s="95">
        <v>0.3333333333333333</v>
      </c>
      <c r="D103" s="95">
        <v>0.0</v>
      </c>
      <c r="E103" s="95">
        <v>1.3333333333333333</v>
      </c>
      <c r="F103" s="95">
        <v>1.3333333333333333</v>
      </c>
      <c r="G103" s="95">
        <v>5.333333333333333</v>
      </c>
      <c r="H103" s="94">
        <v>0.0</v>
      </c>
    </row>
    <row r="104">
      <c r="A104" s="92" t="s">
        <v>233</v>
      </c>
      <c r="B104" s="95">
        <v>10.0</v>
      </c>
      <c r="C104" s="95">
        <v>0.0</v>
      </c>
      <c r="D104" s="95">
        <v>2.0</v>
      </c>
      <c r="E104" s="95">
        <v>0.0</v>
      </c>
      <c r="F104" s="95">
        <v>3.0</v>
      </c>
      <c r="G104" s="95">
        <v>5.0</v>
      </c>
      <c r="H104" s="94">
        <v>0.0</v>
      </c>
    </row>
    <row r="105">
      <c r="A105" s="92" t="s">
        <v>257</v>
      </c>
      <c r="B105" s="95">
        <v>8.078787878787878</v>
      </c>
      <c r="C105" s="95">
        <v>0.0</v>
      </c>
      <c r="D105" s="95">
        <v>0.0</v>
      </c>
      <c r="E105" s="95">
        <v>2.283809523809524</v>
      </c>
      <c r="F105" s="95">
        <v>0.8400000000000001</v>
      </c>
      <c r="G105" s="95">
        <v>4.8020000000000005</v>
      </c>
      <c r="H105" s="94">
        <v>0.0</v>
      </c>
    </row>
    <row r="106">
      <c r="A106" s="92" t="s">
        <v>284</v>
      </c>
      <c r="B106" s="95">
        <v>6.0</v>
      </c>
      <c r="C106" s="95">
        <v>0.0</v>
      </c>
      <c r="D106" s="95">
        <v>0.0</v>
      </c>
      <c r="E106" s="95">
        <v>2.0</v>
      </c>
      <c r="F106" s="95">
        <v>0.0</v>
      </c>
      <c r="G106" s="95">
        <v>4.0</v>
      </c>
      <c r="H106" s="94">
        <v>0.0</v>
      </c>
    </row>
    <row r="107">
      <c r="A107" s="92" t="s">
        <v>323</v>
      </c>
      <c r="B107" s="95">
        <v>4.067796610169491</v>
      </c>
      <c r="C107" s="95">
        <v>0.33559322033898303</v>
      </c>
      <c r="D107" s="95">
        <v>0.0</v>
      </c>
      <c r="E107" s="95">
        <v>0.0</v>
      </c>
      <c r="F107" s="95">
        <v>0.0</v>
      </c>
      <c r="G107" s="95">
        <v>4.0</v>
      </c>
      <c r="H107" s="94">
        <v>0.0</v>
      </c>
    </row>
    <row r="108">
      <c r="A108" s="92" t="s">
        <v>333</v>
      </c>
      <c r="B108" s="95">
        <v>4.0</v>
      </c>
      <c r="C108" s="95">
        <v>0.0</v>
      </c>
      <c r="D108" s="95">
        <v>0.0</v>
      </c>
      <c r="E108" s="95">
        <v>0.0</v>
      </c>
      <c r="F108" s="95">
        <v>0.0</v>
      </c>
      <c r="G108" s="95">
        <v>4.0</v>
      </c>
      <c r="H108" s="94">
        <v>0.0</v>
      </c>
    </row>
    <row r="109">
      <c r="A109" s="92" t="s">
        <v>358</v>
      </c>
      <c r="B109" s="95">
        <v>2.6666666666666665</v>
      </c>
      <c r="C109" s="95">
        <v>0.3333333333333333</v>
      </c>
      <c r="D109" s="95">
        <v>0.0</v>
      </c>
      <c r="E109" s="95">
        <v>0.0</v>
      </c>
      <c r="F109" s="95">
        <v>-1.3333333333333333</v>
      </c>
      <c r="G109" s="95">
        <v>4.0</v>
      </c>
      <c r="H109" s="94">
        <v>0.0</v>
      </c>
    </row>
    <row r="110">
      <c r="A110" s="92" t="s">
        <v>310</v>
      </c>
      <c r="B110" s="95">
        <v>4.8</v>
      </c>
      <c r="C110" s="95">
        <v>0.0</v>
      </c>
      <c r="D110" s="95">
        <v>0.0</v>
      </c>
      <c r="E110" s="95">
        <v>0.0</v>
      </c>
      <c r="F110" s="95">
        <v>1.6</v>
      </c>
      <c r="G110" s="95">
        <v>3.3684210526315788</v>
      </c>
      <c r="H110" s="94">
        <v>0.0</v>
      </c>
    </row>
    <row r="111">
      <c r="A111" s="92" t="s">
        <v>334</v>
      </c>
      <c r="B111" s="95">
        <v>4.0</v>
      </c>
      <c r="C111" s="95">
        <v>0.0</v>
      </c>
      <c r="D111" s="95">
        <v>0.0</v>
      </c>
      <c r="E111" s="95">
        <v>0.9411764705882353</v>
      </c>
      <c r="F111" s="95">
        <v>0.0</v>
      </c>
      <c r="G111" s="95">
        <v>3.2</v>
      </c>
      <c r="H111" s="94">
        <v>0.0</v>
      </c>
    </row>
    <row r="112">
      <c r="A112" s="92" t="s">
        <v>278</v>
      </c>
      <c r="B112" s="95">
        <v>2.67</v>
      </c>
      <c r="C112" s="95">
        <v>3.0</v>
      </c>
      <c r="D112" s="95">
        <v>0.0</v>
      </c>
      <c r="E112" s="95">
        <v>-1.33</v>
      </c>
      <c r="F112" s="95">
        <v>1.33</v>
      </c>
      <c r="G112" s="95">
        <v>2.67</v>
      </c>
      <c r="H112" s="94">
        <v>0.0</v>
      </c>
    </row>
    <row r="113">
      <c r="A113" s="92" t="s">
        <v>366</v>
      </c>
      <c r="B113" s="95">
        <v>2.4242424242424243</v>
      </c>
      <c r="C113" s="95">
        <v>0.0</v>
      </c>
      <c r="D113" s="95">
        <v>0.0</v>
      </c>
      <c r="E113" s="95">
        <v>0.0</v>
      </c>
      <c r="F113" s="95">
        <v>0.0</v>
      </c>
      <c r="G113" s="95">
        <v>2.6666666666666665</v>
      </c>
      <c r="H113" s="94">
        <v>0.0</v>
      </c>
    </row>
    <row r="114">
      <c r="A114" s="92" t="s">
        <v>368</v>
      </c>
      <c r="B114" s="95">
        <v>2.402</v>
      </c>
      <c r="C114" s="95">
        <v>0.198</v>
      </c>
      <c r="D114" s="95">
        <v>0.0</v>
      </c>
      <c r="E114" s="95">
        <v>0.0</v>
      </c>
      <c r="F114" s="95">
        <v>0.0</v>
      </c>
      <c r="G114" s="95">
        <v>2.402</v>
      </c>
      <c r="H114" s="94">
        <v>0.0</v>
      </c>
    </row>
    <row r="115">
      <c r="A115" s="92" t="s">
        <v>367</v>
      </c>
      <c r="B115" s="95">
        <v>2.4242424242424243</v>
      </c>
      <c r="C115" s="95">
        <v>0.0</v>
      </c>
      <c r="D115" s="95">
        <v>0.0</v>
      </c>
      <c r="E115" s="95">
        <v>0.0</v>
      </c>
      <c r="F115" s="95">
        <v>0.0</v>
      </c>
      <c r="G115" s="95">
        <v>2.4</v>
      </c>
      <c r="H115" s="94">
        <v>0.0</v>
      </c>
    </row>
    <row r="116">
      <c r="A116" s="92" t="s">
        <v>238</v>
      </c>
      <c r="B116" s="95">
        <v>9.142857142857142</v>
      </c>
      <c r="C116" s="95">
        <v>0.0</v>
      </c>
      <c r="D116" s="95">
        <v>2.2857142857142856</v>
      </c>
      <c r="E116" s="95">
        <v>4.571428571428571</v>
      </c>
      <c r="F116" s="95">
        <v>0.0</v>
      </c>
      <c r="G116" s="95">
        <v>2.2857142857142856</v>
      </c>
      <c r="H116" s="94">
        <v>0.0</v>
      </c>
    </row>
    <row r="117">
      <c r="A117" s="92" t="s">
        <v>347</v>
      </c>
      <c r="B117" s="95">
        <v>1.0666666666666667</v>
      </c>
      <c r="C117" s="95">
        <v>0.5333333333333333</v>
      </c>
      <c r="D117" s="95">
        <v>0.0</v>
      </c>
      <c r="E117" s="95">
        <v>0.0</v>
      </c>
      <c r="F117" s="95">
        <v>-1.0</v>
      </c>
      <c r="G117" s="95">
        <v>2.2857142857142856</v>
      </c>
      <c r="H117" s="94">
        <v>0.0</v>
      </c>
    </row>
    <row r="118">
      <c r="A118" s="92" t="s">
        <v>324</v>
      </c>
      <c r="B118" s="95">
        <v>4.0506329113924044</v>
      </c>
      <c r="C118" s="95">
        <v>0.0</v>
      </c>
      <c r="D118" s="95">
        <v>0.0</v>
      </c>
      <c r="E118" s="95">
        <v>0.0</v>
      </c>
      <c r="F118" s="95">
        <v>2.0</v>
      </c>
      <c r="G118" s="95">
        <v>2.0</v>
      </c>
      <c r="H118" s="94">
        <v>0.0</v>
      </c>
    </row>
    <row r="119">
      <c r="A119" s="92" t="s">
        <v>335</v>
      </c>
      <c r="B119" s="95">
        <v>4.0</v>
      </c>
      <c r="C119" s="95">
        <v>0.0</v>
      </c>
      <c r="D119" s="95">
        <v>0.0</v>
      </c>
      <c r="E119" s="95">
        <v>1.0</v>
      </c>
      <c r="F119" s="95">
        <v>1.0</v>
      </c>
      <c r="G119" s="95">
        <v>2.0</v>
      </c>
      <c r="H119" s="94">
        <v>0.0</v>
      </c>
    </row>
    <row r="120">
      <c r="A120" s="92" t="s">
        <v>314</v>
      </c>
      <c r="B120" s="95">
        <v>4.2105263157894735</v>
      </c>
      <c r="C120" s="95">
        <v>0.0</v>
      </c>
      <c r="D120" s="95">
        <v>2.2857142857142856</v>
      </c>
      <c r="E120" s="95">
        <v>0.0</v>
      </c>
      <c r="F120" s="95">
        <v>0.0</v>
      </c>
      <c r="G120" s="95">
        <v>2.0</v>
      </c>
      <c r="H120" s="94">
        <v>0.0</v>
      </c>
    </row>
    <row r="121">
      <c r="A121" s="92" t="s">
        <v>377</v>
      </c>
      <c r="B121" s="95">
        <v>2.0512820512820515</v>
      </c>
      <c r="C121" s="95">
        <v>0.0</v>
      </c>
      <c r="D121" s="95">
        <v>0.0</v>
      </c>
      <c r="E121" s="95">
        <v>0.0</v>
      </c>
      <c r="F121" s="95">
        <v>0.0</v>
      </c>
      <c r="G121" s="95">
        <v>2.0</v>
      </c>
      <c r="H121" s="94">
        <v>0.0</v>
      </c>
    </row>
    <row r="122">
      <c r="A122" s="92" t="s">
        <v>211</v>
      </c>
      <c r="B122" s="95">
        <v>12.8</v>
      </c>
      <c r="C122" s="95">
        <v>0.2</v>
      </c>
      <c r="D122" s="95">
        <v>5.6</v>
      </c>
      <c r="E122" s="95">
        <v>2.4</v>
      </c>
      <c r="F122" s="95">
        <v>3.2</v>
      </c>
      <c r="G122" s="95">
        <v>1.6</v>
      </c>
      <c r="H122" s="94">
        <v>0.0</v>
      </c>
    </row>
    <row r="123">
      <c r="A123" s="92" t="s">
        <v>336</v>
      </c>
      <c r="B123" s="95">
        <v>4.0</v>
      </c>
      <c r="C123" s="95">
        <v>0.0</v>
      </c>
      <c r="D123" s="95">
        <v>0.0</v>
      </c>
      <c r="E123" s="95">
        <v>0.0</v>
      </c>
      <c r="F123" s="95">
        <v>2.4</v>
      </c>
      <c r="G123" s="95">
        <v>1.6</v>
      </c>
      <c r="H123" s="94">
        <v>0.0</v>
      </c>
    </row>
    <row r="124">
      <c r="A124" s="92" t="s">
        <v>345</v>
      </c>
      <c r="B124" s="95">
        <v>3.2323232323232323</v>
      </c>
      <c r="C124" s="95">
        <v>0.0</v>
      </c>
      <c r="D124" s="95">
        <v>0.0</v>
      </c>
      <c r="E124" s="95">
        <v>0.8</v>
      </c>
      <c r="F124" s="95">
        <v>0.8</v>
      </c>
      <c r="G124" s="95">
        <v>1.6</v>
      </c>
      <c r="H124" s="94">
        <v>0.0</v>
      </c>
    </row>
    <row r="125">
      <c r="A125" s="92" t="s">
        <v>369</v>
      </c>
      <c r="B125" s="95">
        <v>2.4</v>
      </c>
      <c r="C125" s="95">
        <v>0.2</v>
      </c>
      <c r="D125" s="95">
        <v>0.8</v>
      </c>
      <c r="E125" s="95">
        <v>0.0</v>
      </c>
      <c r="F125" s="95">
        <v>0.0</v>
      </c>
      <c r="G125" s="95">
        <v>1.6</v>
      </c>
      <c r="H125" s="94">
        <v>0.0</v>
      </c>
    </row>
    <row r="126">
      <c r="A126" s="92" t="s">
        <v>396</v>
      </c>
      <c r="B126" s="95">
        <v>0.0</v>
      </c>
      <c r="C126" s="95">
        <v>0.3333333333333333</v>
      </c>
      <c r="D126" s="95">
        <v>0.0</v>
      </c>
      <c r="E126" s="95">
        <v>0.0</v>
      </c>
      <c r="F126" s="95">
        <v>-1.3333333333333333</v>
      </c>
      <c r="G126" s="95">
        <v>1.3333333333333333</v>
      </c>
      <c r="H126" s="94">
        <v>0.0</v>
      </c>
    </row>
    <row r="127">
      <c r="A127" s="92" t="s">
        <v>397</v>
      </c>
      <c r="B127" s="95">
        <v>0.0</v>
      </c>
      <c r="C127" s="95">
        <v>0.3333333333333333</v>
      </c>
      <c r="D127" s="95">
        <v>0.0</v>
      </c>
      <c r="E127" s="95">
        <v>0.0</v>
      </c>
      <c r="F127" s="95">
        <v>-1.3333333333333333</v>
      </c>
      <c r="G127" s="95">
        <v>1.3333333333333333</v>
      </c>
      <c r="H127" s="94">
        <v>0.0</v>
      </c>
    </row>
    <row r="128">
      <c r="A128" s="92" t="s">
        <v>317</v>
      </c>
      <c r="B128" s="95">
        <v>1.352542372881356</v>
      </c>
      <c r="C128" s="95">
        <v>0.6813559322033897</v>
      </c>
      <c r="D128" s="95">
        <v>0.0</v>
      </c>
      <c r="E128" s="95">
        <v>0.0</v>
      </c>
      <c r="F128" s="95">
        <v>0.0</v>
      </c>
      <c r="G128" s="95">
        <v>1.33</v>
      </c>
      <c r="H128" s="94">
        <v>0.0</v>
      </c>
    </row>
    <row r="129">
      <c r="A129" s="92" t="s">
        <v>265</v>
      </c>
      <c r="B129" s="95">
        <v>7.57027027027027</v>
      </c>
      <c r="C129" s="95">
        <v>0.5378378378378378</v>
      </c>
      <c r="D129" s="95">
        <v>2.0025</v>
      </c>
      <c r="E129" s="95">
        <v>3.2</v>
      </c>
      <c r="F129" s="95">
        <v>1.0025</v>
      </c>
      <c r="G129" s="95">
        <v>1.2276923076923079</v>
      </c>
      <c r="H129" s="94">
        <v>0.0</v>
      </c>
    </row>
    <row r="130">
      <c r="A130" s="92" t="s">
        <v>304</v>
      </c>
      <c r="B130" s="95">
        <v>5.194805194805195</v>
      </c>
      <c r="C130" s="95">
        <v>0.7792207792207793</v>
      </c>
      <c r="D130" s="95">
        <v>0.0</v>
      </c>
      <c r="E130" s="95">
        <v>4.0</v>
      </c>
      <c r="F130" s="95">
        <v>0.0</v>
      </c>
      <c r="G130" s="95">
        <v>1.0666666666666667</v>
      </c>
      <c r="H130" s="94">
        <v>0.0</v>
      </c>
    </row>
    <row r="131">
      <c r="A131" s="92" t="s">
        <v>381</v>
      </c>
      <c r="B131" s="95">
        <v>2.0</v>
      </c>
      <c r="C131" s="95">
        <v>0.0</v>
      </c>
      <c r="D131" s="95">
        <v>0.0</v>
      </c>
      <c r="E131" s="95">
        <v>0.0</v>
      </c>
      <c r="F131" s="95">
        <v>1.0</v>
      </c>
      <c r="G131" s="95">
        <v>1.0</v>
      </c>
      <c r="H131" s="94">
        <v>0.0</v>
      </c>
    </row>
    <row r="132">
      <c r="A132" s="92" t="s">
        <v>320</v>
      </c>
      <c r="B132" s="95">
        <v>4.081632653061225</v>
      </c>
      <c r="C132" s="95">
        <v>0.2040816326530612</v>
      </c>
      <c r="D132" s="95">
        <v>0.0</v>
      </c>
      <c r="E132" s="95">
        <v>1.6</v>
      </c>
      <c r="F132" s="95">
        <v>1.6</v>
      </c>
      <c r="G132" s="95">
        <v>0.8421052631578947</v>
      </c>
      <c r="H132" s="94">
        <v>0.0</v>
      </c>
    </row>
    <row r="133">
      <c r="A133" s="92" t="s">
        <v>342</v>
      </c>
      <c r="B133" s="95">
        <v>3.404255319148936</v>
      </c>
      <c r="C133" s="95">
        <v>0.0</v>
      </c>
      <c r="D133" s="95">
        <v>0.0</v>
      </c>
      <c r="E133" s="95">
        <v>1.7777777777777777</v>
      </c>
      <c r="F133" s="95">
        <v>0.8421052631578947</v>
      </c>
      <c r="G133" s="95">
        <v>0.8421052631578947</v>
      </c>
      <c r="H133" s="94">
        <v>0.0</v>
      </c>
    </row>
    <row r="134">
      <c r="A134" s="92" t="s">
        <v>210</v>
      </c>
      <c r="B134" s="95">
        <v>12.802000000000001</v>
      </c>
      <c r="C134" s="95">
        <v>0.602</v>
      </c>
      <c r="D134" s="95">
        <v>0.0</v>
      </c>
      <c r="E134" s="95">
        <v>9.6</v>
      </c>
      <c r="F134" s="95">
        <v>2.402</v>
      </c>
      <c r="G134" s="95">
        <v>0.8</v>
      </c>
      <c r="H134" s="94">
        <v>0.0</v>
      </c>
    </row>
    <row r="135">
      <c r="A135" s="92" t="s">
        <v>309</v>
      </c>
      <c r="B135" s="95">
        <v>4.848484848484849</v>
      </c>
      <c r="C135" s="95">
        <v>0.0</v>
      </c>
      <c r="D135" s="95">
        <v>0.8</v>
      </c>
      <c r="E135" s="95">
        <v>2.4</v>
      </c>
      <c r="F135" s="95">
        <v>0.8</v>
      </c>
      <c r="G135" s="95">
        <v>0.8</v>
      </c>
      <c r="H135" s="94">
        <v>0.0</v>
      </c>
    </row>
    <row r="136">
      <c r="A136" s="92" t="s">
        <v>385</v>
      </c>
      <c r="B136" s="95">
        <v>1.6</v>
      </c>
      <c r="C136" s="95">
        <v>0.0</v>
      </c>
      <c r="D136" s="95">
        <v>0.0</v>
      </c>
      <c r="E136" s="95">
        <v>0.0</v>
      </c>
      <c r="F136" s="95">
        <v>0.8</v>
      </c>
      <c r="G136" s="95">
        <v>0.8</v>
      </c>
      <c r="H136" s="94">
        <v>0.0</v>
      </c>
    </row>
    <row r="137">
      <c r="A137" s="92" t="s">
        <v>244</v>
      </c>
      <c r="B137" s="95">
        <v>8.88888888888889</v>
      </c>
      <c r="C137" s="95">
        <v>0.608080808080808</v>
      </c>
      <c r="D137" s="95">
        <v>0.0</v>
      </c>
      <c r="E137" s="95">
        <v>6.4</v>
      </c>
      <c r="F137" s="95">
        <v>1.6</v>
      </c>
      <c r="G137" s="95">
        <v>0.7619047619047619</v>
      </c>
      <c r="H137" s="94">
        <v>0.0</v>
      </c>
    </row>
    <row r="138">
      <c r="A138" s="92" t="s">
        <v>250</v>
      </c>
      <c r="B138" s="95">
        <v>8.311688311688311</v>
      </c>
      <c r="C138" s="95">
        <v>0.0</v>
      </c>
      <c r="D138" s="95">
        <v>0.0</v>
      </c>
      <c r="E138" s="95">
        <v>1.0</v>
      </c>
      <c r="F138" s="95">
        <v>7.0</v>
      </c>
      <c r="G138" s="95">
        <v>0.0</v>
      </c>
      <c r="H138" s="94">
        <v>0.0</v>
      </c>
    </row>
    <row r="139">
      <c r="A139" s="92" t="s">
        <v>302</v>
      </c>
      <c r="B139" s="95">
        <v>5.333333333333333</v>
      </c>
      <c r="C139" s="95">
        <v>0.0</v>
      </c>
      <c r="D139" s="95">
        <v>0.0</v>
      </c>
      <c r="E139" s="95">
        <v>0.0</v>
      </c>
      <c r="F139" s="95">
        <v>5.333333333333333</v>
      </c>
      <c r="G139" s="95">
        <v>0.0</v>
      </c>
      <c r="H139" s="94">
        <v>0.0</v>
      </c>
    </row>
    <row r="140">
      <c r="A140" s="92" t="s">
        <v>216</v>
      </c>
      <c r="B140" s="95">
        <v>12.203389830508474</v>
      </c>
      <c r="C140" s="95">
        <v>0.3389830508474576</v>
      </c>
      <c r="D140" s="95">
        <v>5.333333333333333</v>
      </c>
      <c r="E140" s="95">
        <v>2.6666666666666665</v>
      </c>
      <c r="F140" s="95">
        <v>4.363636363636363</v>
      </c>
      <c r="G140" s="95">
        <v>0.0</v>
      </c>
      <c r="H140" s="94">
        <v>0.0</v>
      </c>
    </row>
    <row r="141">
      <c r="A141" s="92" t="s">
        <v>337</v>
      </c>
      <c r="B141" s="95">
        <v>4.0</v>
      </c>
      <c r="C141" s="95">
        <v>0.0</v>
      </c>
      <c r="D141" s="95">
        <v>0.0</v>
      </c>
      <c r="E141" s="95">
        <v>0.0</v>
      </c>
      <c r="F141" s="95">
        <v>4.0</v>
      </c>
      <c r="G141" s="95">
        <v>0.0</v>
      </c>
      <c r="H141" s="94">
        <v>0.0</v>
      </c>
    </row>
    <row r="142">
      <c r="A142" s="92" t="s">
        <v>275</v>
      </c>
      <c r="B142" s="95">
        <v>6.666666666666667</v>
      </c>
      <c r="C142" s="95">
        <v>0.0</v>
      </c>
      <c r="D142" s="95">
        <v>2.6666666666666665</v>
      </c>
      <c r="E142" s="95">
        <v>1.3333333333333333</v>
      </c>
      <c r="F142" s="95">
        <v>2.6666666666666665</v>
      </c>
      <c r="G142" s="95">
        <v>0.0</v>
      </c>
      <c r="H142" s="94">
        <v>0.0</v>
      </c>
    </row>
    <row r="143">
      <c r="A143" s="92" t="s">
        <v>311</v>
      </c>
      <c r="B143" s="95">
        <v>4.8</v>
      </c>
      <c r="C143" s="95">
        <v>0.4</v>
      </c>
      <c r="D143" s="95">
        <v>0.0</v>
      </c>
      <c r="E143" s="95">
        <v>2.4</v>
      </c>
      <c r="F143" s="95">
        <v>2.4</v>
      </c>
      <c r="G143" s="95">
        <v>0.0</v>
      </c>
      <c r="H143" s="94">
        <v>0.0</v>
      </c>
    </row>
    <row r="144">
      <c r="A144" s="92" t="s">
        <v>370</v>
      </c>
      <c r="B144" s="95">
        <v>2.4</v>
      </c>
      <c r="C144" s="95">
        <v>0.0</v>
      </c>
      <c r="D144" s="95">
        <v>0.0</v>
      </c>
      <c r="E144" s="95">
        <v>0.0</v>
      </c>
      <c r="F144" s="95">
        <v>2.4</v>
      </c>
      <c r="G144" s="95">
        <v>0.0</v>
      </c>
      <c r="H144" s="94">
        <v>0.0</v>
      </c>
    </row>
    <row r="145">
      <c r="A145" s="92" t="s">
        <v>373</v>
      </c>
      <c r="B145" s="95">
        <v>2.162162162162162</v>
      </c>
      <c r="C145" s="95">
        <v>0.0</v>
      </c>
      <c r="D145" s="95">
        <v>0.0</v>
      </c>
      <c r="E145" s="95">
        <v>0.0</v>
      </c>
      <c r="F145" s="95">
        <v>2.0</v>
      </c>
      <c r="G145" s="95">
        <v>0.0</v>
      </c>
      <c r="H145" s="94">
        <v>0.0</v>
      </c>
    </row>
    <row r="146">
      <c r="A146" s="92" t="s">
        <v>382</v>
      </c>
      <c r="B146" s="95">
        <v>2.0</v>
      </c>
      <c r="C146" s="95">
        <v>0.0</v>
      </c>
      <c r="D146" s="95">
        <v>0.0</v>
      </c>
      <c r="E146" s="95">
        <v>0.0</v>
      </c>
      <c r="F146" s="95">
        <v>2.0</v>
      </c>
      <c r="G146" s="95">
        <v>0.0</v>
      </c>
      <c r="H146" s="94">
        <v>0.0</v>
      </c>
    </row>
    <row r="147">
      <c r="A147" s="92" t="s">
        <v>383</v>
      </c>
      <c r="B147" s="95">
        <v>2.0</v>
      </c>
      <c r="C147" s="95">
        <v>0.0</v>
      </c>
      <c r="D147" s="95">
        <v>0.0</v>
      </c>
      <c r="E147" s="95">
        <v>0.0</v>
      </c>
      <c r="F147" s="95">
        <v>2.0</v>
      </c>
      <c r="G147" s="95">
        <v>0.0</v>
      </c>
      <c r="H147" s="94">
        <v>0.0</v>
      </c>
    </row>
    <row r="148">
      <c r="A148" s="92" t="s">
        <v>338</v>
      </c>
      <c r="B148" s="95">
        <v>4.0</v>
      </c>
      <c r="C148" s="95">
        <v>0.0</v>
      </c>
      <c r="D148" s="95">
        <v>0.0</v>
      </c>
      <c r="E148" s="95">
        <v>2.4615384615384617</v>
      </c>
      <c r="F148" s="95">
        <v>1.3333333333333333</v>
      </c>
      <c r="G148" s="95">
        <v>0.0</v>
      </c>
      <c r="H148" s="94">
        <v>0.0</v>
      </c>
    </row>
    <row r="149">
      <c r="A149" s="92" t="s">
        <v>361</v>
      </c>
      <c r="B149" s="95">
        <v>2.55531914893617</v>
      </c>
      <c r="C149" s="95">
        <v>0.0</v>
      </c>
      <c r="D149" s="95">
        <v>0.0</v>
      </c>
      <c r="E149" s="95">
        <v>1.6821052631578948</v>
      </c>
      <c r="F149" s="95">
        <v>0.8866666666666667</v>
      </c>
      <c r="G149" s="95">
        <v>0.0</v>
      </c>
      <c r="H149" s="94">
        <v>0.0</v>
      </c>
    </row>
    <row r="150">
      <c r="A150" s="92" t="s">
        <v>307</v>
      </c>
      <c r="B150" s="95">
        <v>1.6161616161616161</v>
      </c>
      <c r="C150" s="95">
        <v>0.8080808080808081</v>
      </c>
      <c r="D150" s="95">
        <v>0.0</v>
      </c>
      <c r="E150" s="95">
        <v>0.8421052631578947</v>
      </c>
      <c r="F150" s="95">
        <v>0.8</v>
      </c>
      <c r="G150" s="95">
        <v>0.0</v>
      </c>
      <c r="H150" s="94">
        <v>0.0</v>
      </c>
    </row>
    <row r="151">
      <c r="A151" s="92" t="s">
        <v>384</v>
      </c>
      <c r="B151" s="95">
        <v>1.6306122448979592</v>
      </c>
      <c r="C151" s="95">
        <v>0.0</v>
      </c>
      <c r="D151" s="95">
        <v>0.0</v>
      </c>
      <c r="E151" s="95">
        <v>0.798</v>
      </c>
      <c r="F151" s="95">
        <v>0.8</v>
      </c>
      <c r="G151" s="95">
        <v>0.0</v>
      </c>
      <c r="H151" s="94">
        <v>0.0</v>
      </c>
    </row>
    <row r="152">
      <c r="A152" s="92" t="s">
        <v>237</v>
      </c>
      <c r="B152" s="95">
        <v>9.331666666666667</v>
      </c>
      <c r="C152" s="95">
        <v>0.0</v>
      </c>
      <c r="D152" s="95">
        <v>0.665</v>
      </c>
      <c r="E152" s="95">
        <v>8.001666666666667</v>
      </c>
      <c r="F152" s="95">
        <v>0.665</v>
      </c>
      <c r="G152" s="95">
        <v>0.0</v>
      </c>
      <c r="H152" s="94">
        <v>0.0</v>
      </c>
    </row>
    <row r="153">
      <c r="A153" s="92" t="s">
        <v>247</v>
      </c>
      <c r="B153" s="95">
        <v>8.421052631578947</v>
      </c>
      <c r="C153" s="95">
        <v>0.0</v>
      </c>
      <c r="D153" s="95">
        <v>0.0</v>
      </c>
      <c r="E153" s="95">
        <v>8.0</v>
      </c>
      <c r="F153" s="95">
        <v>0.0</v>
      </c>
      <c r="G153" s="95">
        <v>0.0</v>
      </c>
      <c r="H153" s="94">
        <v>0.0</v>
      </c>
    </row>
    <row r="154">
      <c r="A154" s="92" t="s">
        <v>268</v>
      </c>
      <c r="B154" s="95">
        <v>7.2727272727272725</v>
      </c>
      <c r="C154" s="95">
        <v>0.0</v>
      </c>
      <c r="D154" s="95">
        <v>0.0</v>
      </c>
      <c r="E154" s="95">
        <v>7.2</v>
      </c>
      <c r="F154" s="95">
        <v>0.0</v>
      </c>
      <c r="G154" s="95">
        <v>0.0</v>
      </c>
      <c r="H154" s="94">
        <v>0.0</v>
      </c>
    </row>
    <row r="155">
      <c r="A155" s="92" t="s">
        <v>303</v>
      </c>
      <c r="B155" s="95">
        <v>5.333333333333333</v>
      </c>
      <c r="C155" s="95">
        <v>0.0</v>
      </c>
      <c r="D155" s="95">
        <v>2.4615384615384617</v>
      </c>
      <c r="E155" s="95">
        <v>2.6666666666666665</v>
      </c>
      <c r="F155" s="95">
        <v>0.0</v>
      </c>
      <c r="G155" s="95">
        <v>0.0</v>
      </c>
      <c r="H155" s="94">
        <v>0.0</v>
      </c>
    </row>
    <row r="156">
      <c r="A156" s="92" t="s">
        <v>254</v>
      </c>
      <c r="B156" s="95">
        <v>8.080808080808081</v>
      </c>
      <c r="C156" s="95">
        <v>0.40404040404040403</v>
      </c>
      <c r="D156" s="95">
        <v>5.6</v>
      </c>
      <c r="E156" s="95">
        <v>2.526315789473684</v>
      </c>
      <c r="F156" s="95">
        <v>0.0</v>
      </c>
      <c r="G156" s="95">
        <v>0.0</v>
      </c>
      <c r="H156" s="94">
        <v>0.0</v>
      </c>
    </row>
    <row r="157">
      <c r="A157" s="92" t="s">
        <v>292</v>
      </c>
      <c r="B157" s="95">
        <v>5.614035087719298</v>
      </c>
      <c r="C157" s="95">
        <v>0.3508771929824561</v>
      </c>
      <c r="D157" s="95">
        <v>4.0</v>
      </c>
      <c r="E157" s="95">
        <v>1.3333333333333333</v>
      </c>
      <c r="F157" s="95">
        <v>0.0</v>
      </c>
      <c r="G157" s="95">
        <v>0.0</v>
      </c>
      <c r="H157" s="94">
        <v>0.0</v>
      </c>
    </row>
    <row r="158">
      <c r="A158" s="92" t="s">
        <v>390</v>
      </c>
      <c r="B158" s="95">
        <v>1.3333333333333333</v>
      </c>
      <c r="C158" s="95">
        <v>0.0</v>
      </c>
      <c r="D158" s="95">
        <v>0.0</v>
      </c>
      <c r="E158" s="95">
        <v>1.3333333333333333</v>
      </c>
      <c r="F158" s="95">
        <v>0.0</v>
      </c>
      <c r="G158" s="95">
        <v>0.0</v>
      </c>
      <c r="H158" s="94">
        <v>0.0</v>
      </c>
    </row>
    <row r="159">
      <c r="A159" s="92" t="s">
        <v>392</v>
      </c>
      <c r="B159" s="95">
        <v>1.0256410256410258</v>
      </c>
      <c r="C159" s="95">
        <v>0.0</v>
      </c>
      <c r="D159" s="95">
        <v>0.0</v>
      </c>
      <c r="E159" s="95">
        <v>1.25</v>
      </c>
      <c r="F159" s="95">
        <v>0.0</v>
      </c>
      <c r="G159" s="95">
        <v>0.0</v>
      </c>
      <c r="H159" s="94">
        <v>0.0</v>
      </c>
    </row>
    <row r="160">
      <c r="A160" s="92" t="s">
        <v>394</v>
      </c>
      <c r="B160" s="95">
        <v>1.0</v>
      </c>
      <c r="C160" s="95">
        <v>0.0</v>
      </c>
      <c r="D160" s="95">
        <v>0.0</v>
      </c>
      <c r="E160" s="95">
        <v>1.0</v>
      </c>
      <c r="F160" s="95">
        <v>0.0</v>
      </c>
      <c r="G160" s="95">
        <v>0.0</v>
      </c>
      <c r="H160" s="94">
        <v>0.0</v>
      </c>
    </row>
    <row r="161">
      <c r="A161" s="92" t="s">
        <v>206</v>
      </c>
      <c r="B161" s="95">
        <v>15.0</v>
      </c>
      <c r="C161" s="95">
        <v>0.0</v>
      </c>
      <c r="D161" s="95">
        <v>14.4</v>
      </c>
      <c r="E161" s="95">
        <v>0.0</v>
      </c>
      <c r="F161" s="95">
        <v>0.0</v>
      </c>
      <c r="G161" s="95">
        <v>0.0</v>
      </c>
      <c r="H161" s="94">
        <v>0.0</v>
      </c>
    </row>
    <row r="162">
      <c r="A162" s="92" t="s">
        <v>264</v>
      </c>
      <c r="B162" s="95">
        <v>8.0</v>
      </c>
      <c r="C162" s="95">
        <v>0.5</v>
      </c>
      <c r="D162" s="95">
        <v>10.0</v>
      </c>
      <c r="E162" s="95">
        <v>0.0</v>
      </c>
      <c r="F162" s="95">
        <v>0.0</v>
      </c>
      <c r="G162" s="95">
        <v>0.0</v>
      </c>
      <c r="H162" s="94">
        <v>0.0</v>
      </c>
    </row>
    <row r="163">
      <c r="A163" s="92" t="s">
        <v>272</v>
      </c>
      <c r="B163" s="95">
        <v>7.017543859649122</v>
      </c>
      <c r="C163" s="95">
        <v>0.0</v>
      </c>
      <c r="D163" s="95">
        <v>7.2727272727272725</v>
      </c>
      <c r="E163" s="95">
        <v>0.0</v>
      </c>
      <c r="F163" s="95">
        <v>0.0</v>
      </c>
      <c r="G163" s="95">
        <v>0.0</v>
      </c>
      <c r="H163" s="94">
        <v>0.0</v>
      </c>
    </row>
    <row r="164">
      <c r="A164" s="92" t="s">
        <v>315</v>
      </c>
      <c r="B164" s="95">
        <v>4.2105263157894735</v>
      </c>
      <c r="C164" s="95">
        <v>0.0</v>
      </c>
      <c r="D164" s="95">
        <v>4.0</v>
      </c>
      <c r="E164" s="95">
        <v>0.0</v>
      </c>
      <c r="F164" s="95">
        <v>0.0</v>
      </c>
      <c r="G164" s="95">
        <v>0.0</v>
      </c>
      <c r="H164" s="94">
        <v>0.0</v>
      </c>
    </row>
    <row r="165">
      <c r="A165" s="92" t="s">
        <v>359</v>
      </c>
      <c r="B165" s="95">
        <v>2.6666666666666665</v>
      </c>
      <c r="C165" s="95">
        <v>0.0</v>
      </c>
      <c r="D165" s="95">
        <v>3.3333333333333335</v>
      </c>
      <c r="E165" s="95">
        <v>0.0</v>
      </c>
      <c r="F165" s="95">
        <v>0.0</v>
      </c>
      <c r="G165" s="95">
        <v>0.0</v>
      </c>
      <c r="H165" s="94">
        <v>0.0</v>
      </c>
    </row>
    <row r="166">
      <c r="A166" s="92" t="s">
        <v>343</v>
      </c>
      <c r="B166" s="95">
        <v>3.2876712328767126</v>
      </c>
      <c r="C166" s="95">
        <v>0.0</v>
      </c>
      <c r="D166" s="95">
        <v>3.2</v>
      </c>
      <c r="E166" s="95">
        <v>0.0</v>
      </c>
      <c r="F166" s="95">
        <v>0.0</v>
      </c>
      <c r="G166" s="95">
        <v>0.0</v>
      </c>
      <c r="H166" s="94">
        <v>0.0</v>
      </c>
    </row>
    <row r="167">
      <c r="A167" s="92" t="s">
        <v>362</v>
      </c>
      <c r="B167" s="95">
        <v>2.4489795918367343</v>
      </c>
      <c r="C167" s="95">
        <v>0.0</v>
      </c>
      <c r="D167" s="95">
        <v>2.4</v>
      </c>
      <c r="E167" s="95">
        <v>0.0</v>
      </c>
      <c r="F167" s="95">
        <v>0.0</v>
      </c>
      <c r="G167" s="95">
        <v>0.0</v>
      </c>
      <c r="H167" s="94">
        <v>0.0</v>
      </c>
    </row>
    <row r="168">
      <c r="A168" s="92" t="s">
        <v>378</v>
      </c>
      <c r="B168" s="95">
        <v>2.0512820512820515</v>
      </c>
      <c r="C168" s="95">
        <v>0.0</v>
      </c>
      <c r="D168" s="95">
        <v>2.0</v>
      </c>
      <c r="E168" s="95">
        <v>0.0</v>
      </c>
      <c r="F168" s="95">
        <v>0.0</v>
      </c>
      <c r="G168" s="95">
        <v>0.0</v>
      </c>
      <c r="H168" s="94">
        <v>0.0</v>
      </c>
    </row>
    <row r="169">
      <c r="A169" s="92" t="s">
        <v>371</v>
      </c>
      <c r="B169" s="95">
        <v>2.282857142857143</v>
      </c>
      <c r="C169" s="95">
        <v>0.0</v>
      </c>
      <c r="D169" s="95">
        <v>1.9975</v>
      </c>
      <c r="E169" s="95">
        <v>0.0</v>
      </c>
      <c r="F169" s="95">
        <v>0.0</v>
      </c>
      <c r="G169" s="95">
        <v>0.0</v>
      </c>
      <c r="H169" s="94">
        <v>0.0</v>
      </c>
    </row>
    <row r="170">
      <c r="A170" s="92" t="s">
        <v>386</v>
      </c>
      <c r="B170" s="95">
        <v>1.3559322033898304</v>
      </c>
      <c r="C170" s="95">
        <v>0.0</v>
      </c>
      <c r="D170" s="95">
        <v>1.4545454545454546</v>
      </c>
      <c r="E170" s="95">
        <v>0.0</v>
      </c>
      <c r="F170" s="95">
        <v>0.0</v>
      </c>
      <c r="G170" s="95">
        <v>0.0</v>
      </c>
      <c r="H170" s="94">
        <v>0.0</v>
      </c>
    </row>
    <row r="171">
      <c r="A171" s="92" t="s">
        <v>387</v>
      </c>
      <c r="B171" s="95">
        <v>1.3559322033898304</v>
      </c>
      <c r="C171" s="95">
        <v>0.0</v>
      </c>
      <c r="D171" s="95">
        <v>1.3333333333333333</v>
      </c>
      <c r="E171" s="95">
        <v>0.0</v>
      </c>
      <c r="F171" s="95">
        <v>0.0</v>
      </c>
      <c r="G171" s="95">
        <v>0.0</v>
      </c>
      <c r="H171" s="94">
        <v>0.0</v>
      </c>
    </row>
    <row r="172">
      <c r="A172" s="92" t="s">
        <v>389</v>
      </c>
      <c r="B172" s="95">
        <v>1.352542372881356</v>
      </c>
      <c r="C172" s="95">
        <v>0.33559322033898303</v>
      </c>
      <c r="D172" s="95">
        <v>1.33</v>
      </c>
      <c r="E172" s="95">
        <v>0.0</v>
      </c>
      <c r="F172" s="95">
        <v>0.0</v>
      </c>
      <c r="G172" s="95">
        <v>0.0</v>
      </c>
      <c r="H172" s="94">
        <v>0.0</v>
      </c>
    </row>
    <row r="173">
      <c r="A173" s="92" t="s">
        <v>393</v>
      </c>
      <c r="B173" s="95">
        <v>1.010126582278481</v>
      </c>
      <c r="C173" s="95">
        <v>0.0</v>
      </c>
      <c r="D173" s="95">
        <v>0.9975</v>
      </c>
      <c r="E173" s="95">
        <v>0.0</v>
      </c>
      <c r="F173" s="95">
        <v>0.0</v>
      </c>
      <c r="G173" s="95">
        <v>0.0</v>
      </c>
      <c r="H173" s="94">
        <v>0.0</v>
      </c>
    </row>
    <row r="174">
      <c r="A174" s="92" t="s">
        <v>350</v>
      </c>
      <c r="B174" s="95">
        <v>0.0</v>
      </c>
      <c r="C174" s="95">
        <v>0.5128205128205129</v>
      </c>
      <c r="D174" s="95">
        <v>0.0</v>
      </c>
      <c r="E174" s="95">
        <v>0.0</v>
      </c>
      <c r="F174" s="95">
        <v>0.0</v>
      </c>
      <c r="G174" s="95">
        <v>0.0</v>
      </c>
      <c r="H174" s="94">
        <v>0.0</v>
      </c>
    </row>
    <row r="175">
      <c r="A175" s="92" t="s">
        <v>363</v>
      </c>
      <c r="B175" s="95">
        <v>0.0</v>
      </c>
      <c r="C175" s="95">
        <v>0.5</v>
      </c>
      <c r="D175" s="95">
        <v>0.0</v>
      </c>
      <c r="E175" s="95">
        <v>0.0</v>
      </c>
      <c r="F175" s="95">
        <v>0.0</v>
      </c>
      <c r="G175" s="95">
        <v>0.0</v>
      </c>
      <c r="H175" s="94">
        <v>0.0</v>
      </c>
    </row>
    <row r="176">
      <c r="A176" s="92" t="s">
        <v>395</v>
      </c>
      <c r="B176" s="95">
        <v>0.0</v>
      </c>
      <c r="C176" s="95">
        <v>0.3448275862068966</v>
      </c>
      <c r="D176" s="95">
        <v>0.0</v>
      </c>
      <c r="E176" s="95">
        <v>0.0</v>
      </c>
      <c r="F176" s="95">
        <v>0.0</v>
      </c>
      <c r="G176" s="95">
        <v>0.0</v>
      </c>
      <c r="H176" s="94">
        <v>0.0</v>
      </c>
    </row>
    <row r="177">
      <c r="A177" s="92" t="s">
        <v>398</v>
      </c>
      <c r="B177" s="95">
        <v>0.0</v>
      </c>
      <c r="C177" s="95">
        <v>0.0</v>
      </c>
      <c r="D177" s="95">
        <v>0.0</v>
      </c>
      <c r="E177" s="95">
        <v>0.0</v>
      </c>
      <c r="F177" s="95">
        <v>0.0</v>
      </c>
      <c r="G177" s="95">
        <v>0.0</v>
      </c>
      <c r="H177" s="94">
        <v>0.0</v>
      </c>
    </row>
    <row r="178">
      <c r="A178" s="92" t="s">
        <v>399</v>
      </c>
      <c r="B178" s="95">
        <v>0.0</v>
      </c>
      <c r="C178" s="95">
        <v>0.0</v>
      </c>
      <c r="D178" s="95">
        <v>0.0</v>
      </c>
      <c r="E178" s="95">
        <v>0.0</v>
      </c>
      <c r="F178" s="95">
        <v>0.0</v>
      </c>
      <c r="G178" s="95">
        <v>0.0</v>
      </c>
      <c r="H178" s="94">
        <v>0.0</v>
      </c>
    </row>
    <row r="179">
      <c r="A179" s="92" t="s">
        <v>400</v>
      </c>
      <c r="B179" s="95">
        <v>0.0</v>
      </c>
      <c r="C179" s="95">
        <v>0.0</v>
      </c>
      <c r="D179" s="95">
        <v>0.0</v>
      </c>
      <c r="E179" s="95">
        <v>0.0</v>
      </c>
      <c r="F179" s="95">
        <v>0.0</v>
      </c>
      <c r="G179" s="95">
        <v>0.0</v>
      </c>
      <c r="H179" s="94">
        <v>0.0</v>
      </c>
    </row>
    <row r="180">
      <c r="A180" s="92" t="s">
        <v>401</v>
      </c>
      <c r="B180" s="95">
        <v>0.0</v>
      </c>
      <c r="C180" s="95">
        <v>0.0</v>
      </c>
      <c r="D180" s="95">
        <v>0.0</v>
      </c>
      <c r="E180" s="95">
        <v>0.0</v>
      </c>
      <c r="F180" s="95">
        <v>0.0</v>
      </c>
      <c r="G180" s="95">
        <v>0.0</v>
      </c>
      <c r="H180" s="94">
        <v>0.0</v>
      </c>
    </row>
    <row r="181">
      <c r="A181" s="92" t="s">
        <v>402</v>
      </c>
      <c r="B181" s="95">
        <v>0.0</v>
      </c>
      <c r="C181" s="95">
        <v>0.0</v>
      </c>
      <c r="D181" s="95">
        <v>0.0</v>
      </c>
      <c r="E181" s="95">
        <v>0.0</v>
      </c>
      <c r="F181" s="95">
        <v>0.0</v>
      </c>
      <c r="G181" s="95">
        <v>0.0</v>
      </c>
      <c r="H181" s="94">
        <v>0.0</v>
      </c>
    </row>
    <row r="182">
      <c r="A182" s="92" t="s">
        <v>403</v>
      </c>
      <c r="B182" s="95">
        <v>0.0</v>
      </c>
      <c r="C182" s="95">
        <v>0.0</v>
      </c>
      <c r="D182" s="95">
        <v>0.0</v>
      </c>
      <c r="E182" s="95">
        <v>0.0</v>
      </c>
      <c r="F182" s="95">
        <v>0.0</v>
      </c>
      <c r="G182" s="95">
        <v>0.0</v>
      </c>
      <c r="H182" s="94">
        <v>0.0</v>
      </c>
    </row>
    <row r="183">
      <c r="A183" s="92" t="s">
        <v>405</v>
      </c>
      <c r="B183" s="95">
        <v>0.0</v>
      </c>
      <c r="C183" s="95">
        <v>0.0</v>
      </c>
      <c r="D183" s="95">
        <v>0.0</v>
      </c>
      <c r="E183" s="95">
        <v>0.0</v>
      </c>
      <c r="F183" s="95">
        <v>0.0</v>
      </c>
      <c r="G183" s="95">
        <v>0.0</v>
      </c>
      <c r="H183" s="94">
        <v>0.0</v>
      </c>
    </row>
    <row r="184">
      <c r="A184" s="92" t="s">
        <v>406</v>
      </c>
      <c r="B184" s="95">
        <v>0.0</v>
      </c>
      <c r="C184" s="95">
        <v>0.0</v>
      </c>
      <c r="D184" s="95">
        <v>0.0</v>
      </c>
      <c r="E184" s="95">
        <v>0.0</v>
      </c>
      <c r="F184" s="95">
        <v>0.0</v>
      </c>
      <c r="G184" s="95">
        <v>0.0</v>
      </c>
      <c r="H184" s="94">
        <v>0.0</v>
      </c>
    </row>
    <row r="185">
      <c r="A185" s="92" t="s">
        <v>407</v>
      </c>
      <c r="B185" s="95">
        <v>0.0</v>
      </c>
      <c r="C185" s="95">
        <v>0.0</v>
      </c>
      <c r="D185" s="95">
        <v>0.0</v>
      </c>
      <c r="E185" s="95">
        <v>0.0</v>
      </c>
      <c r="F185" s="95">
        <v>0.0</v>
      </c>
      <c r="G185" s="95">
        <v>0.0</v>
      </c>
      <c r="H185" s="94">
        <v>0.0</v>
      </c>
    </row>
    <row r="186">
      <c r="A186" s="92" t="s">
        <v>408</v>
      </c>
      <c r="B186" s="95">
        <v>0.0</v>
      </c>
      <c r="C186" s="95">
        <v>0.0</v>
      </c>
      <c r="D186" s="95">
        <v>0.0</v>
      </c>
      <c r="E186" s="95">
        <v>0.0</v>
      </c>
      <c r="F186" s="95">
        <v>0.0</v>
      </c>
      <c r="G186" s="95">
        <v>0.0</v>
      </c>
      <c r="H186" s="94">
        <v>0.0</v>
      </c>
    </row>
    <row r="187">
      <c r="A187" s="92" t="s">
        <v>409</v>
      </c>
      <c r="B187" s="95">
        <v>0.0</v>
      </c>
      <c r="C187" s="95">
        <v>0.0</v>
      </c>
      <c r="D187" s="95">
        <v>0.0</v>
      </c>
      <c r="E187" s="95">
        <v>0.0</v>
      </c>
      <c r="F187" s="95">
        <v>0.0</v>
      </c>
      <c r="G187" s="95">
        <v>0.0</v>
      </c>
      <c r="H187" s="94">
        <v>0.0</v>
      </c>
    </row>
    <row r="188">
      <c r="A188" s="92" t="s">
        <v>410</v>
      </c>
      <c r="B188" s="95">
        <v>0.0</v>
      </c>
      <c r="C188" s="95">
        <v>0.0</v>
      </c>
      <c r="D188" s="95">
        <v>0.0</v>
      </c>
      <c r="E188" s="95">
        <v>0.0</v>
      </c>
      <c r="F188" s="95">
        <v>0.0</v>
      </c>
      <c r="G188" s="95">
        <v>0.0</v>
      </c>
      <c r="H188" s="94">
        <v>0.0</v>
      </c>
    </row>
    <row r="189">
      <c r="A189" s="92" t="s">
        <v>411</v>
      </c>
      <c r="B189" s="95">
        <v>0.0</v>
      </c>
      <c r="C189" s="95">
        <v>0.0</v>
      </c>
      <c r="D189" s="95">
        <v>0.0</v>
      </c>
      <c r="E189" s="95">
        <v>0.0</v>
      </c>
      <c r="F189" s="95">
        <v>0.0</v>
      </c>
      <c r="G189" s="95">
        <v>0.0</v>
      </c>
      <c r="H189" s="94">
        <v>0.0</v>
      </c>
    </row>
    <row r="190">
      <c r="A190" s="92" t="s">
        <v>391</v>
      </c>
      <c r="B190" s="95">
        <v>0.0</v>
      </c>
      <c r="C190" s="95">
        <v>0.3508771929824561</v>
      </c>
      <c r="D190" s="95">
        <v>1.3333333333333333</v>
      </c>
      <c r="E190" s="95">
        <v>-1.3333333333333333</v>
      </c>
      <c r="F190" s="95">
        <v>0.0</v>
      </c>
      <c r="G190" s="95">
        <v>0.0</v>
      </c>
      <c r="H190" s="94">
        <v>0.0</v>
      </c>
    </row>
    <row r="191">
      <c r="A191" s="92" t="s">
        <v>388</v>
      </c>
      <c r="B191" s="95">
        <v>0.0</v>
      </c>
      <c r="C191" s="95">
        <v>0.37037037037037035</v>
      </c>
      <c r="D191" s="95">
        <v>1.4545454545454546</v>
      </c>
      <c r="E191" s="95">
        <v>-1.4545454545454546</v>
      </c>
      <c r="F191" s="95">
        <v>0.0</v>
      </c>
      <c r="G191" s="95">
        <v>0.0</v>
      </c>
      <c r="H191" s="94">
        <v>0.0</v>
      </c>
    </row>
    <row r="192">
      <c r="A192" s="92" t="s">
        <v>352</v>
      </c>
      <c r="B192" s="95">
        <v>2.7586206896551726</v>
      </c>
      <c r="C192" s="95">
        <v>0.3448275862068966</v>
      </c>
      <c r="D192" s="95">
        <v>1.4545454545454546</v>
      </c>
      <c r="E192" s="95">
        <v>2.6666666666666665</v>
      </c>
      <c r="F192" s="95">
        <v>-1.3333333333333333</v>
      </c>
      <c r="G192" s="95">
        <v>0.0</v>
      </c>
      <c r="H192" s="94">
        <v>0.0</v>
      </c>
    </row>
    <row r="193">
      <c r="A193" s="92" t="s">
        <v>274</v>
      </c>
      <c r="B193" s="95">
        <v>6.8965517241379315</v>
      </c>
      <c r="C193" s="95">
        <v>0.6896551724137931</v>
      </c>
      <c r="D193" s="95">
        <v>0.0</v>
      </c>
      <c r="E193" s="95">
        <v>8.0</v>
      </c>
      <c r="F193" s="95">
        <v>-1.4545454545454546</v>
      </c>
      <c r="G193" s="95">
        <v>0.0</v>
      </c>
      <c r="H193" s="94">
        <v>0.0</v>
      </c>
    </row>
    <row r="194">
      <c r="A194" s="92" t="s">
        <v>301</v>
      </c>
      <c r="B194" s="95">
        <v>0.0</v>
      </c>
      <c r="C194" s="95">
        <v>1.0</v>
      </c>
      <c r="D194" s="95">
        <v>0.0</v>
      </c>
      <c r="E194" s="95">
        <v>4.0</v>
      </c>
      <c r="F194" s="95">
        <v>-4.0</v>
      </c>
      <c r="G194" s="95">
        <v>0.0</v>
      </c>
      <c r="H194" s="94">
        <v>0.0</v>
      </c>
    </row>
    <row r="195">
      <c r="A195" s="92" t="s">
        <v>340</v>
      </c>
      <c r="B195" s="95">
        <v>4.0</v>
      </c>
      <c r="C195" s="95">
        <v>0.5</v>
      </c>
      <c r="D195" s="95">
        <v>0.0</v>
      </c>
      <c r="E195" s="95">
        <v>4.0</v>
      </c>
      <c r="F195" s="95">
        <v>2.0</v>
      </c>
      <c r="G195" s="95">
        <v>-2.0</v>
      </c>
      <c r="H195" s="94">
        <v>0.0</v>
      </c>
    </row>
    <row r="196">
      <c r="A196" s="92" t="s">
        <v>321</v>
      </c>
      <c r="B196" s="95">
        <v>4.081632653061225</v>
      </c>
      <c r="C196" s="95">
        <v>0.6122448979591836</v>
      </c>
      <c r="D196" s="95">
        <v>0.0</v>
      </c>
      <c r="E196" s="95">
        <v>0.0</v>
      </c>
      <c r="F196" s="95">
        <v>2.4</v>
      </c>
      <c r="G196" s="95">
        <v>2.526315789473684</v>
      </c>
      <c r="H196" s="94">
        <v>-0.8421052631578947</v>
      </c>
    </row>
    <row r="197">
      <c r="A197" s="92" t="s">
        <v>346</v>
      </c>
      <c r="B197" s="95">
        <v>3.2323232323232323</v>
      </c>
      <c r="C197" s="95">
        <v>0.20202020202020202</v>
      </c>
      <c r="D197" s="95">
        <v>0.8</v>
      </c>
      <c r="E197" s="95">
        <v>2.4</v>
      </c>
      <c r="F197" s="95">
        <v>0.0</v>
      </c>
      <c r="G197" s="95">
        <v>0.8</v>
      </c>
      <c r="H197" s="94">
        <v>-0.8421052631578947</v>
      </c>
    </row>
    <row r="198">
      <c r="A198" s="92" t="s">
        <v>204</v>
      </c>
      <c r="B198" s="95">
        <v>16.842105263157894</v>
      </c>
      <c r="C198" s="95">
        <v>0.8421052631578947</v>
      </c>
      <c r="D198" s="95">
        <v>0.0</v>
      </c>
      <c r="E198" s="95">
        <v>5.052631578947368</v>
      </c>
      <c r="F198" s="95">
        <v>6.4</v>
      </c>
      <c r="G198" s="95">
        <v>6.222222222222222</v>
      </c>
      <c r="H198" s="94">
        <v>-0.8888888888888888</v>
      </c>
    </row>
    <row r="199">
      <c r="A199" s="92" t="s">
        <v>266</v>
      </c>
      <c r="B199" s="95">
        <v>7.422680412371134</v>
      </c>
      <c r="C199" s="95">
        <v>0.6185567010309279</v>
      </c>
      <c r="D199" s="95">
        <v>3.3684210526315788</v>
      </c>
      <c r="E199" s="95">
        <v>0.8</v>
      </c>
      <c r="F199" s="95">
        <v>3.2</v>
      </c>
      <c r="G199" s="95">
        <v>0.8</v>
      </c>
      <c r="H199" s="94">
        <v>-0.8888888888888888</v>
      </c>
    </row>
    <row r="200">
      <c r="A200" s="92" t="s">
        <v>354</v>
      </c>
      <c r="B200" s="95">
        <v>2.7586206896551726</v>
      </c>
      <c r="C200" s="95">
        <v>0.3448275862068966</v>
      </c>
      <c r="D200" s="95">
        <v>0.0</v>
      </c>
      <c r="E200" s="95">
        <v>2.6666666666666665</v>
      </c>
      <c r="F200" s="95">
        <v>0.0</v>
      </c>
      <c r="G200" s="95">
        <v>1.3333333333333333</v>
      </c>
      <c r="H200" s="94">
        <v>-1.3333333333333333</v>
      </c>
    </row>
    <row r="201">
      <c r="A201" s="92" t="s">
        <v>404</v>
      </c>
      <c r="B201" s="95">
        <v>-1.3333333333333333</v>
      </c>
      <c r="C201" s="95">
        <v>0.3333333333333333</v>
      </c>
      <c r="D201" s="95">
        <v>0.0</v>
      </c>
      <c r="E201" s="95">
        <v>0.0</v>
      </c>
      <c r="F201" s="95">
        <v>0.0</v>
      </c>
      <c r="G201" s="95">
        <v>0.0</v>
      </c>
      <c r="H201" s="94">
        <v>-1.3333333333333333</v>
      </c>
    </row>
    <row r="202">
      <c r="A202" s="92" t="s">
        <v>356</v>
      </c>
      <c r="B202" s="95">
        <v>2.711864406779661</v>
      </c>
      <c r="C202" s="95">
        <v>0.3389830508474576</v>
      </c>
      <c r="D202" s="95">
        <v>4.0</v>
      </c>
      <c r="E202" s="95">
        <v>0.0</v>
      </c>
      <c r="F202" s="95">
        <v>0.0</v>
      </c>
      <c r="G202" s="95">
        <v>0.0</v>
      </c>
      <c r="H202" s="94">
        <v>-1.6</v>
      </c>
    </row>
    <row r="203">
      <c r="A203" s="92" t="s">
        <v>341</v>
      </c>
      <c r="B203" s="95">
        <v>0.0</v>
      </c>
      <c r="C203" s="95">
        <v>0.5714285714285714</v>
      </c>
      <c r="D203" s="95">
        <v>1.7777777777777777</v>
      </c>
      <c r="E203" s="95">
        <v>0.0</v>
      </c>
      <c r="F203" s="95">
        <v>0.0</v>
      </c>
      <c r="G203" s="95">
        <v>0.0</v>
      </c>
      <c r="H203" s="94">
        <v>-2.0</v>
      </c>
    </row>
    <row r="204">
      <c r="H204" s="152"/>
    </row>
    <row r="205">
      <c r="H205" s="152"/>
    </row>
    <row r="206">
      <c r="H206" s="152"/>
    </row>
    <row r="207">
      <c r="H207" s="152"/>
    </row>
    <row r="208">
      <c r="H208" s="152"/>
    </row>
    <row r="209">
      <c r="H209" s="152"/>
    </row>
    <row r="210">
      <c r="H210" s="152"/>
    </row>
    <row r="211">
      <c r="H211" s="152"/>
    </row>
    <row r="212">
      <c r="H212" s="152"/>
    </row>
    <row r="213">
      <c r="H213" s="152"/>
    </row>
    <row r="214">
      <c r="H214" s="152"/>
    </row>
    <row r="215">
      <c r="H215" s="152"/>
    </row>
    <row r="216">
      <c r="H216" s="152"/>
    </row>
    <row r="217">
      <c r="H217" s="152"/>
    </row>
    <row r="218">
      <c r="H218" s="152"/>
    </row>
    <row r="219">
      <c r="H219" s="152"/>
    </row>
    <row r="220">
      <c r="H220" s="152"/>
    </row>
    <row r="221">
      <c r="H221" s="152"/>
    </row>
    <row r="222">
      <c r="H222" s="152"/>
    </row>
    <row r="223">
      <c r="H223" s="152"/>
    </row>
    <row r="224">
      <c r="H224" s="152"/>
    </row>
    <row r="225">
      <c r="H225" s="152"/>
    </row>
    <row r="226">
      <c r="H226" s="152"/>
    </row>
    <row r="227">
      <c r="H227" s="152"/>
    </row>
    <row r="228">
      <c r="H228" s="152"/>
    </row>
    <row r="229">
      <c r="H229" s="152"/>
    </row>
    <row r="230">
      <c r="H230" s="152"/>
    </row>
    <row r="231">
      <c r="H231" s="152"/>
    </row>
    <row r="232">
      <c r="H232" s="152"/>
    </row>
    <row r="233">
      <c r="H233" s="152"/>
    </row>
    <row r="234">
      <c r="H234" s="152"/>
    </row>
    <row r="235">
      <c r="H235" s="152"/>
    </row>
    <row r="236">
      <c r="H236" s="152"/>
    </row>
    <row r="237">
      <c r="H237" s="152"/>
    </row>
    <row r="238">
      <c r="H238" s="152"/>
    </row>
    <row r="239">
      <c r="H239" s="152"/>
    </row>
    <row r="240">
      <c r="H240" s="152"/>
    </row>
    <row r="241">
      <c r="H241" s="152"/>
    </row>
    <row r="242">
      <c r="H242" s="152"/>
    </row>
    <row r="243">
      <c r="H243" s="152"/>
    </row>
    <row r="244">
      <c r="H244" s="152"/>
    </row>
    <row r="245">
      <c r="H245" s="152"/>
    </row>
    <row r="246">
      <c r="H246" s="152"/>
    </row>
    <row r="247">
      <c r="H247" s="152"/>
    </row>
    <row r="248">
      <c r="H248" s="152"/>
    </row>
    <row r="249">
      <c r="H249" s="152"/>
    </row>
    <row r="250">
      <c r="H250" s="152"/>
    </row>
    <row r="251">
      <c r="H251" s="152"/>
    </row>
    <row r="252">
      <c r="H252" s="152"/>
    </row>
    <row r="253">
      <c r="H253" s="152"/>
    </row>
    <row r="254">
      <c r="H254" s="152"/>
    </row>
    <row r="255">
      <c r="H255" s="152"/>
    </row>
    <row r="256">
      <c r="H256" s="152"/>
    </row>
    <row r="257">
      <c r="H257" s="152"/>
    </row>
    <row r="258">
      <c r="H258" s="152"/>
    </row>
    <row r="259">
      <c r="H259" s="152"/>
    </row>
    <row r="260">
      <c r="H260" s="152"/>
    </row>
    <row r="261">
      <c r="H261" s="152"/>
    </row>
    <row r="262">
      <c r="H262" s="152"/>
    </row>
    <row r="263">
      <c r="H263" s="152"/>
    </row>
    <row r="264">
      <c r="H264" s="152"/>
    </row>
    <row r="265">
      <c r="H265" s="152"/>
    </row>
    <row r="266">
      <c r="H266" s="152"/>
    </row>
    <row r="267">
      <c r="H267" s="152"/>
    </row>
    <row r="268">
      <c r="H268" s="152"/>
    </row>
    <row r="269">
      <c r="H269" s="152"/>
    </row>
    <row r="270">
      <c r="H270" s="152"/>
    </row>
    <row r="271">
      <c r="H271" s="152"/>
    </row>
    <row r="272">
      <c r="H272" s="152"/>
    </row>
    <row r="273">
      <c r="H273" s="152"/>
    </row>
    <row r="274">
      <c r="H274" s="152"/>
    </row>
    <row r="275">
      <c r="H275" s="152"/>
    </row>
    <row r="276">
      <c r="H276" s="152"/>
    </row>
    <row r="277">
      <c r="H277" s="152"/>
    </row>
    <row r="278">
      <c r="H278" s="152"/>
    </row>
    <row r="279">
      <c r="H279" s="152"/>
    </row>
    <row r="280">
      <c r="H280" s="152"/>
    </row>
    <row r="281">
      <c r="H281" s="152"/>
    </row>
    <row r="282">
      <c r="H282" s="152"/>
    </row>
    <row r="283">
      <c r="H283" s="152"/>
    </row>
    <row r="284">
      <c r="H284" s="152"/>
    </row>
    <row r="285">
      <c r="H285" s="152"/>
    </row>
    <row r="286">
      <c r="H286" s="152"/>
    </row>
    <row r="287">
      <c r="H287" s="152"/>
    </row>
    <row r="288">
      <c r="H288" s="152"/>
    </row>
    <row r="289">
      <c r="H289" s="152"/>
    </row>
    <row r="290">
      <c r="H290" s="152"/>
    </row>
    <row r="291">
      <c r="H291" s="152"/>
    </row>
    <row r="292">
      <c r="H292" s="152"/>
    </row>
    <row r="293">
      <c r="H293" s="152"/>
    </row>
    <row r="294">
      <c r="H294" s="152"/>
    </row>
    <row r="295">
      <c r="H295" s="152"/>
    </row>
    <row r="296">
      <c r="H296" s="152"/>
    </row>
    <row r="297">
      <c r="H297" s="152"/>
    </row>
    <row r="298">
      <c r="H298" s="152"/>
    </row>
    <row r="299">
      <c r="H299" s="152"/>
    </row>
    <row r="300">
      <c r="H300" s="152"/>
    </row>
    <row r="301">
      <c r="H301" s="152"/>
    </row>
    <row r="302">
      <c r="H302" s="152"/>
    </row>
    <row r="303">
      <c r="H303" s="152"/>
    </row>
    <row r="304">
      <c r="H304" s="152"/>
    </row>
    <row r="305">
      <c r="H305" s="152"/>
    </row>
    <row r="306">
      <c r="H306" s="152"/>
    </row>
    <row r="307">
      <c r="H307" s="152"/>
    </row>
    <row r="308">
      <c r="H308" s="152"/>
    </row>
    <row r="309">
      <c r="H309" s="152"/>
    </row>
    <row r="310">
      <c r="H310" s="152"/>
    </row>
    <row r="311">
      <c r="H311" s="152"/>
    </row>
    <row r="312">
      <c r="H312" s="152"/>
    </row>
    <row r="313">
      <c r="H313" s="152"/>
    </row>
    <row r="314">
      <c r="H314" s="152"/>
    </row>
    <row r="315">
      <c r="H315" s="152"/>
    </row>
    <row r="316">
      <c r="H316" s="152"/>
    </row>
    <row r="317">
      <c r="H317" s="152"/>
    </row>
    <row r="318">
      <c r="H318" s="152"/>
    </row>
    <row r="319">
      <c r="H319" s="152"/>
    </row>
    <row r="320">
      <c r="H320" s="152"/>
    </row>
    <row r="321">
      <c r="H321" s="152"/>
    </row>
    <row r="322">
      <c r="H322" s="152"/>
    </row>
    <row r="323">
      <c r="H323" s="152"/>
    </row>
    <row r="324">
      <c r="H324" s="152"/>
    </row>
    <row r="325">
      <c r="H325" s="152"/>
    </row>
    <row r="326">
      <c r="H326" s="152"/>
    </row>
    <row r="327">
      <c r="H327" s="152"/>
    </row>
    <row r="328">
      <c r="H328" s="152"/>
    </row>
    <row r="329">
      <c r="H329" s="152"/>
    </row>
    <row r="330">
      <c r="H330" s="152"/>
    </row>
    <row r="331">
      <c r="H331" s="152"/>
    </row>
    <row r="332">
      <c r="H332" s="152"/>
    </row>
    <row r="333">
      <c r="H333" s="152"/>
    </row>
    <row r="334">
      <c r="H334" s="152"/>
    </row>
    <row r="335">
      <c r="H335" s="152"/>
    </row>
    <row r="336">
      <c r="H336" s="152"/>
    </row>
    <row r="337">
      <c r="H337" s="152"/>
    </row>
    <row r="338">
      <c r="H338" s="152"/>
    </row>
    <row r="339">
      <c r="H339" s="152"/>
    </row>
    <row r="340">
      <c r="H340" s="152"/>
    </row>
    <row r="341">
      <c r="H341" s="152"/>
    </row>
    <row r="342">
      <c r="H342" s="152"/>
    </row>
    <row r="343">
      <c r="H343" s="152"/>
    </row>
    <row r="344">
      <c r="H344" s="152"/>
    </row>
    <row r="345">
      <c r="H345" s="152"/>
    </row>
    <row r="346">
      <c r="H346" s="152"/>
    </row>
    <row r="347">
      <c r="H347" s="152"/>
    </row>
    <row r="348">
      <c r="H348" s="152"/>
    </row>
    <row r="349">
      <c r="H349" s="152"/>
    </row>
    <row r="350">
      <c r="H350" s="152"/>
    </row>
    <row r="351">
      <c r="H351" s="152"/>
    </row>
    <row r="352">
      <c r="H352" s="152"/>
    </row>
    <row r="353">
      <c r="H353" s="152"/>
    </row>
    <row r="354">
      <c r="H354" s="152"/>
    </row>
    <row r="355">
      <c r="H355" s="152"/>
    </row>
    <row r="356">
      <c r="H356" s="152"/>
    </row>
    <row r="357">
      <c r="H357" s="152"/>
    </row>
    <row r="358">
      <c r="H358" s="152"/>
    </row>
    <row r="359">
      <c r="H359" s="152"/>
    </row>
    <row r="360">
      <c r="H360" s="152"/>
    </row>
    <row r="361">
      <c r="H361" s="152"/>
    </row>
    <row r="362">
      <c r="H362" s="152"/>
    </row>
    <row r="363">
      <c r="H363" s="152"/>
    </row>
    <row r="364">
      <c r="H364" s="152"/>
    </row>
    <row r="365">
      <c r="H365" s="152"/>
    </row>
    <row r="366">
      <c r="H366" s="152"/>
    </row>
    <row r="367">
      <c r="H367" s="152"/>
    </row>
    <row r="368">
      <c r="H368" s="152"/>
    </row>
    <row r="369">
      <c r="H369" s="152"/>
    </row>
    <row r="370">
      <c r="H370" s="152"/>
    </row>
    <row r="371">
      <c r="H371" s="152"/>
    </row>
    <row r="372">
      <c r="H372" s="152"/>
    </row>
    <row r="373">
      <c r="H373" s="152"/>
    </row>
    <row r="374">
      <c r="H374" s="152"/>
    </row>
    <row r="375">
      <c r="H375" s="152"/>
    </row>
    <row r="376">
      <c r="H376" s="152"/>
    </row>
    <row r="377">
      <c r="H377" s="152"/>
    </row>
    <row r="378">
      <c r="H378" s="152"/>
    </row>
    <row r="379">
      <c r="H379" s="152"/>
    </row>
    <row r="380">
      <c r="H380" s="152"/>
    </row>
    <row r="381">
      <c r="H381" s="152"/>
    </row>
    <row r="382">
      <c r="H382" s="152"/>
    </row>
    <row r="383">
      <c r="H383" s="152"/>
    </row>
    <row r="384">
      <c r="H384" s="152"/>
    </row>
    <row r="385">
      <c r="H385" s="152"/>
    </row>
    <row r="386">
      <c r="H386" s="152"/>
    </row>
    <row r="387">
      <c r="H387" s="152"/>
    </row>
    <row r="388">
      <c r="H388" s="152"/>
    </row>
    <row r="389">
      <c r="H389" s="152"/>
    </row>
    <row r="390">
      <c r="H390" s="152"/>
    </row>
    <row r="391">
      <c r="H391" s="152"/>
    </row>
    <row r="392">
      <c r="H392" s="152"/>
    </row>
    <row r="393">
      <c r="H393" s="152"/>
    </row>
    <row r="394">
      <c r="H394" s="152"/>
    </row>
    <row r="395">
      <c r="H395" s="152"/>
    </row>
    <row r="396">
      <c r="H396" s="152"/>
    </row>
    <row r="397">
      <c r="H397" s="152"/>
    </row>
    <row r="398">
      <c r="H398" s="152"/>
    </row>
    <row r="399">
      <c r="H399" s="152"/>
    </row>
    <row r="400">
      <c r="H400" s="152"/>
    </row>
    <row r="401">
      <c r="H401" s="152"/>
    </row>
    <row r="402">
      <c r="H402" s="152"/>
    </row>
    <row r="403">
      <c r="H403" s="152"/>
    </row>
    <row r="404">
      <c r="H404" s="152"/>
    </row>
    <row r="405">
      <c r="H405" s="152"/>
    </row>
    <row r="406">
      <c r="H406" s="152"/>
    </row>
    <row r="407">
      <c r="H407" s="152"/>
    </row>
    <row r="408">
      <c r="H408" s="152"/>
    </row>
    <row r="409">
      <c r="H409" s="152"/>
    </row>
    <row r="410">
      <c r="H410" s="152"/>
    </row>
    <row r="411">
      <c r="H411" s="152"/>
    </row>
    <row r="412">
      <c r="H412" s="152"/>
    </row>
    <row r="413">
      <c r="H413" s="152"/>
    </row>
    <row r="414">
      <c r="H414" s="152"/>
    </row>
    <row r="415">
      <c r="H415" s="152"/>
    </row>
    <row r="416">
      <c r="H416" s="152"/>
    </row>
    <row r="417">
      <c r="H417" s="152"/>
    </row>
    <row r="418">
      <c r="H418" s="152"/>
    </row>
    <row r="419">
      <c r="H419" s="152"/>
    </row>
    <row r="420">
      <c r="H420" s="152"/>
    </row>
    <row r="421">
      <c r="H421" s="152"/>
    </row>
    <row r="422">
      <c r="H422" s="152"/>
    </row>
    <row r="423">
      <c r="H423" s="152"/>
    </row>
    <row r="424">
      <c r="H424" s="152"/>
    </row>
    <row r="425">
      <c r="H425" s="152"/>
    </row>
    <row r="426">
      <c r="H426" s="152"/>
    </row>
    <row r="427">
      <c r="H427" s="152"/>
    </row>
    <row r="428">
      <c r="H428" s="152"/>
    </row>
    <row r="429">
      <c r="H429" s="152"/>
    </row>
    <row r="430">
      <c r="H430" s="152"/>
    </row>
    <row r="431">
      <c r="H431" s="152"/>
    </row>
    <row r="432">
      <c r="H432" s="152"/>
    </row>
    <row r="433">
      <c r="H433" s="152"/>
    </row>
    <row r="434">
      <c r="H434" s="152"/>
    </row>
    <row r="435">
      <c r="H435" s="152"/>
    </row>
    <row r="436">
      <c r="H436" s="152"/>
    </row>
    <row r="437">
      <c r="H437" s="152"/>
    </row>
    <row r="438">
      <c r="H438" s="152"/>
    </row>
    <row r="439">
      <c r="H439" s="152"/>
    </row>
    <row r="440">
      <c r="H440" s="152"/>
    </row>
    <row r="441">
      <c r="H441" s="152"/>
    </row>
    <row r="442">
      <c r="H442" s="152"/>
    </row>
    <row r="443">
      <c r="H443" s="152"/>
    </row>
    <row r="444">
      <c r="H444" s="152"/>
    </row>
    <row r="445">
      <c r="H445" s="152"/>
    </row>
    <row r="446">
      <c r="H446" s="152"/>
    </row>
    <row r="447">
      <c r="H447" s="152"/>
    </row>
    <row r="448">
      <c r="H448" s="152"/>
    </row>
    <row r="449">
      <c r="H449" s="152"/>
    </row>
    <row r="450">
      <c r="H450" s="152"/>
    </row>
    <row r="451">
      <c r="H451" s="152"/>
    </row>
    <row r="452">
      <c r="H452" s="152"/>
    </row>
    <row r="453">
      <c r="H453" s="152"/>
    </row>
    <row r="454">
      <c r="H454" s="152"/>
    </row>
    <row r="455">
      <c r="H455" s="152"/>
    </row>
    <row r="456">
      <c r="H456" s="152"/>
    </row>
    <row r="457">
      <c r="H457" s="152"/>
    </row>
    <row r="458">
      <c r="H458" s="152"/>
    </row>
    <row r="459">
      <c r="H459" s="152"/>
    </row>
    <row r="460">
      <c r="H460" s="152"/>
    </row>
    <row r="461">
      <c r="H461" s="152"/>
    </row>
    <row r="462">
      <c r="H462" s="152"/>
    </row>
    <row r="463">
      <c r="H463" s="152"/>
    </row>
    <row r="464">
      <c r="H464" s="152"/>
    </row>
    <row r="465">
      <c r="H465" s="152"/>
    </row>
    <row r="466">
      <c r="H466" s="152"/>
    </row>
    <row r="467">
      <c r="H467" s="152"/>
    </row>
    <row r="468">
      <c r="H468" s="152"/>
    </row>
    <row r="469">
      <c r="H469" s="152"/>
    </row>
    <row r="470">
      <c r="H470" s="152"/>
    </row>
    <row r="471">
      <c r="H471" s="152"/>
    </row>
    <row r="472">
      <c r="H472" s="152"/>
    </row>
    <row r="473">
      <c r="H473" s="152"/>
    </row>
    <row r="474">
      <c r="H474" s="152"/>
    </row>
    <row r="475">
      <c r="H475" s="152"/>
    </row>
    <row r="476">
      <c r="H476" s="152"/>
    </row>
    <row r="477">
      <c r="H477" s="152"/>
    </row>
    <row r="478">
      <c r="H478" s="152"/>
    </row>
    <row r="479">
      <c r="H479" s="152"/>
    </row>
    <row r="480">
      <c r="H480" s="152"/>
    </row>
    <row r="481">
      <c r="H481" s="152"/>
    </row>
    <row r="482">
      <c r="H482" s="152"/>
    </row>
    <row r="483">
      <c r="H483" s="152"/>
    </row>
    <row r="484">
      <c r="H484" s="152"/>
    </row>
    <row r="485">
      <c r="H485" s="152"/>
    </row>
    <row r="486">
      <c r="H486" s="152"/>
    </row>
    <row r="487">
      <c r="H487" s="152"/>
    </row>
    <row r="488">
      <c r="H488" s="152"/>
    </row>
    <row r="489">
      <c r="H489" s="152"/>
    </row>
    <row r="490">
      <c r="H490" s="152"/>
    </row>
    <row r="491">
      <c r="H491" s="152"/>
    </row>
    <row r="492">
      <c r="H492" s="152"/>
    </row>
    <row r="493">
      <c r="H493" s="152"/>
    </row>
    <row r="494">
      <c r="H494" s="152"/>
    </row>
    <row r="495">
      <c r="H495" s="152"/>
    </row>
    <row r="496">
      <c r="H496" s="152"/>
    </row>
    <row r="497">
      <c r="H497" s="152"/>
    </row>
    <row r="498">
      <c r="H498" s="152"/>
    </row>
    <row r="499">
      <c r="H499" s="152"/>
    </row>
    <row r="500">
      <c r="H500" s="152"/>
    </row>
    <row r="501">
      <c r="H501" s="152"/>
    </row>
    <row r="502">
      <c r="H502" s="152"/>
    </row>
    <row r="503">
      <c r="H503" s="152"/>
    </row>
    <row r="504">
      <c r="H504" s="152"/>
    </row>
    <row r="505">
      <c r="H505" s="152"/>
    </row>
    <row r="506">
      <c r="H506" s="152"/>
    </row>
    <row r="507">
      <c r="H507" s="152"/>
    </row>
    <row r="508">
      <c r="H508" s="152"/>
    </row>
    <row r="509">
      <c r="H509" s="152"/>
    </row>
    <row r="510">
      <c r="H510" s="152"/>
    </row>
    <row r="511">
      <c r="H511" s="152"/>
    </row>
    <row r="512">
      <c r="H512" s="152"/>
    </row>
    <row r="513">
      <c r="H513" s="152"/>
    </row>
    <row r="514">
      <c r="H514" s="152"/>
    </row>
    <row r="515">
      <c r="H515" s="152"/>
    </row>
    <row r="516">
      <c r="H516" s="152"/>
    </row>
    <row r="517">
      <c r="H517" s="152"/>
    </row>
    <row r="518">
      <c r="H518" s="152"/>
    </row>
    <row r="519">
      <c r="H519" s="152"/>
    </row>
    <row r="520">
      <c r="H520" s="152"/>
    </row>
    <row r="521">
      <c r="H521" s="152"/>
    </row>
    <row r="522">
      <c r="H522" s="152"/>
    </row>
    <row r="523">
      <c r="H523" s="152"/>
    </row>
    <row r="524">
      <c r="H524" s="152"/>
    </row>
    <row r="525">
      <c r="H525" s="152"/>
    </row>
    <row r="526">
      <c r="H526" s="152"/>
    </row>
    <row r="527">
      <c r="H527" s="152"/>
    </row>
    <row r="528">
      <c r="H528" s="152"/>
    </row>
    <row r="529">
      <c r="H529" s="152"/>
    </row>
    <row r="530">
      <c r="H530" s="152"/>
    </row>
    <row r="531">
      <c r="H531" s="152"/>
    </row>
    <row r="532">
      <c r="H532" s="152"/>
    </row>
    <row r="533">
      <c r="H533" s="152"/>
    </row>
    <row r="534">
      <c r="H534" s="152"/>
    </row>
    <row r="535">
      <c r="H535" s="152"/>
    </row>
    <row r="536">
      <c r="H536" s="152"/>
    </row>
    <row r="537">
      <c r="H537" s="152"/>
    </row>
    <row r="538">
      <c r="H538" s="152"/>
    </row>
    <row r="539">
      <c r="H539" s="152"/>
    </row>
    <row r="540">
      <c r="H540" s="152"/>
    </row>
    <row r="541">
      <c r="H541" s="152"/>
    </row>
    <row r="542">
      <c r="H542" s="152"/>
    </row>
    <row r="543">
      <c r="H543" s="152"/>
    </row>
    <row r="544">
      <c r="H544" s="152"/>
    </row>
    <row r="545">
      <c r="H545" s="152"/>
    </row>
    <row r="546">
      <c r="H546" s="152"/>
    </row>
    <row r="547">
      <c r="H547" s="152"/>
    </row>
    <row r="548">
      <c r="H548" s="152"/>
    </row>
    <row r="549">
      <c r="H549" s="152"/>
    </row>
    <row r="550">
      <c r="H550" s="152"/>
    </row>
    <row r="551">
      <c r="H551" s="152"/>
    </row>
    <row r="552">
      <c r="H552" s="152"/>
    </row>
    <row r="553">
      <c r="H553" s="152"/>
    </row>
    <row r="554">
      <c r="H554" s="152"/>
    </row>
    <row r="555">
      <c r="H555" s="152"/>
    </row>
    <row r="556">
      <c r="H556" s="152"/>
    </row>
    <row r="557">
      <c r="H557" s="152"/>
    </row>
    <row r="558">
      <c r="H558" s="152"/>
    </row>
    <row r="559">
      <c r="H559" s="152"/>
    </row>
    <row r="560">
      <c r="H560" s="152"/>
    </row>
    <row r="561">
      <c r="H561" s="152"/>
    </row>
    <row r="562">
      <c r="H562" s="152"/>
    </row>
    <row r="563">
      <c r="H563" s="152"/>
    </row>
    <row r="564">
      <c r="H564" s="152"/>
    </row>
    <row r="565">
      <c r="H565" s="152"/>
    </row>
    <row r="566">
      <c r="H566" s="152"/>
    </row>
    <row r="567">
      <c r="H567" s="152"/>
    </row>
    <row r="568">
      <c r="H568" s="152"/>
    </row>
    <row r="569">
      <c r="H569" s="152"/>
    </row>
    <row r="570">
      <c r="H570" s="152"/>
    </row>
    <row r="571">
      <c r="H571" s="152"/>
    </row>
    <row r="572">
      <c r="H572" s="152"/>
    </row>
    <row r="573">
      <c r="H573" s="152"/>
    </row>
    <row r="574">
      <c r="H574" s="152"/>
    </row>
    <row r="575">
      <c r="H575" s="152"/>
    </row>
    <row r="576">
      <c r="H576" s="152"/>
    </row>
    <row r="577">
      <c r="H577" s="152"/>
    </row>
    <row r="578">
      <c r="H578" s="152"/>
    </row>
    <row r="579">
      <c r="H579" s="152"/>
    </row>
    <row r="580">
      <c r="H580" s="152"/>
    </row>
    <row r="581">
      <c r="H581" s="152"/>
    </row>
    <row r="582">
      <c r="H582" s="152"/>
    </row>
    <row r="583">
      <c r="H583" s="152"/>
    </row>
    <row r="584">
      <c r="H584" s="152"/>
    </row>
    <row r="585">
      <c r="H585" s="152"/>
    </row>
    <row r="586">
      <c r="H586" s="152"/>
    </row>
    <row r="587">
      <c r="H587" s="152"/>
    </row>
    <row r="588">
      <c r="H588" s="152"/>
    </row>
    <row r="589">
      <c r="H589" s="152"/>
    </row>
    <row r="590">
      <c r="H590" s="152"/>
    </row>
    <row r="591">
      <c r="H591" s="152"/>
    </row>
    <row r="592">
      <c r="H592" s="152"/>
    </row>
    <row r="593">
      <c r="H593" s="152"/>
    </row>
    <row r="594">
      <c r="H594" s="152"/>
    </row>
    <row r="595">
      <c r="H595" s="152"/>
    </row>
    <row r="596">
      <c r="H596" s="152"/>
    </row>
    <row r="597">
      <c r="H597" s="152"/>
    </row>
    <row r="598">
      <c r="H598" s="152"/>
    </row>
    <row r="599">
      <c r="H599" s="152"/>
    </row>
    <row r="600">
      <c r="H600" s="152"/>
    </row>
    <row r="601">
      <c r="H601" s="152"/>
    </row>
    <row r="602">
      <c r="H602" s="152"/>
    </row>
    <row r="603">
      <c r="H603" s="152"/>
    </row>
    <row r="604">
      <c r="H604" s="152"/>
    </row>
    <row r="605">
      <c r="H605" s="152"/>
    </row>
    <row r="606">
      <c r="H606" s="152"/>
    </row>
    <row r="607">
      <c r="H607" s="152"/>
    </row>
    <row r="608">
      <c r="H608" s="152"/>
    </row>
    <row r="609">
      <c r="H609" s="152"/>
    </row>
    <row r="610">
      <c r="H610" s="152"/>
    </row>
    <row r="611">
      <c r="H611" s="152"/>
    </row>
    <row r="612">
      <c r="H612" s="152"/>
    </row>
    <row r="613">
      <c r="H613" s="152"/>
    </row>
    <row r="614">
      <c r="H614" s="152"/>
    </row>
    <row r="615">
      <c r="H615" s="152"/>
    </row>
    <row r="616">
      <c r="H616" s="152"/>
    </row>
    <row r="617">
      <c r="H617" s="152"/>
    </row>
    <row r="618">
      <c r="H618" s="152"/>
    </row>
    <row r="619">
      <c r="H619" s="152"/>
    </row>
    <row r="620">
      <c r="H620" s="152"/>
    </row>
    <row r="621">
      <c r="H621" s="152"/>
    </row>
    <row r="622">
      <c r="H622" s="152"/>
    </row>
    <row r="623">
      <c r="H623" s="152"/>
    </row>
    <row r="624">
      <c r="H624" s="152"/>
    </row>
    <row r="625">
      <c r="H625" s="152"/>
    </row>
    <row r="626">
      <c r="H626" s="152"/>
    </row>
    <row r="627">
      <c r="H627" s="152"/>
    </row>
    <row r="628">
      <c r="H628" s="152"/>
    </row>
    <row r="629">
      <c r="H629" s="152"/>
    </row>
    <row r="630">
      <c r="H630" s="152"/>
    </row>
    <row r="631">
      <c r="H631" s="152"/>
    </row>
    <row r="632">
      <c r="H632" s="152"/>
    </row>
    <row r="633">
      <c r="H633" s="152"/>
    </row>
    <row r="634">
      <c r="H634" s="152"/>
    </row>
    <row r="635">
      <c r="H635" s="152"/>
    </row>
    <row r="636">
      <c r="H636" s="152"/>
    </row>
    <row r="637">
      <c r="H637" s="152"/>
    </row>
    <row r="638">
      <c r="H638" s="152"/>
    </row>
    <row r="639">
      <c r="H639" s="152"/>
    </row>
    <row r="640">
      <c r="H640" s="152"/>
    </row>
    <row r="641">
      <c r="H641" s="152"/>
    </row>
    <row r="642">
      <c r="H642" s="152"/>
    </row>
    <row r="643">
      <c r="H643" s="152"/>
    </row>
    <row r="644">
      <c r="H644" s="152"/>
    </row>
    <row r="645">
      <c r="H645" s="152"/>
    </row>
    <row r="646">
      <c r="H646" s="152"/>
    </row>
    <row r="647">
      <c r="H647" s="152"/>
    </row>
    <row r="648">
      <c r="H648" s="152"/>
    </row>
    <row r="649">
      <c r="H649" s="152"/>
    </row>
    <row r="650">
      <c r="H650" s="152"/>
    </row>
    <row r="651">
      <c r="H651" s="152"/>
    </row>
    <row r="652">
      <c r="H652" s="152"/>
    </row>
    <row r="653">
      <c r="H653" s="152"/>
    </row>
    <row r="654">
      <c r="H654" s="152"/>
    </row>
    <row r="655">
      <c r="H655" s="152"/>
    </row>
    <row r="656">
      <c r="H656" s="152"/>
    </row>
    <row r="657">
      <c r="H657" s="152"/>
    </row>
    <row r="658">
      <c r="H658" s="152"/>
    </row>
    <row r="659">
      <c r="H659" s="152"/>
    </row>
    <row r="660">
      <c r="H660" s="152"/>
    </row>
    <row r="661">
      <c r="H661" s="152"/>
    </row>
    <row r="662">
      <c r="H662" s="152"/>
    </row>
    <row r="663">
      <c r="H663" s="152"/>
    </row>
    <row r="664">
      <c r="H664" s="152"/>
    </row>
    <row r="665">
      <c r="H665" s="152"/>
    </row>
    <row r="666">
      <c r="H666" s="152"/>
    </row>
    <row r="667">
      <c r="H667" s="152"/>
    </row>
    <row r="668">
      <c r="H668" s="152"/>
    </row>
    <row r="669">
      <c r="H669" s="152"/>
    </row>
    <row r="670">
      <c r="H670" s="152"/>
    </row>
    <row r="671">
      <c r="H671" s="152"/>
    </row>
    <row r="672">
      <c r="H672" s="152"/>
    </row>
    <row r="673">
      <c r="H673" s="152"/>
    </row>
    <row r="674">
      <c r="H674" s="152"/>
    </row>
    <row r="675">
      <c r="H675" s="152"/>
    </row>
    <row r="676">
      <c r="H676" s="152"/>
    </row>
    <row r="677">
      <c r="H677" s="152"/>
    </row>
    <row r="678">
      <c r="H678" s="152"/>
    </row>
    <row r="679">
      <c r="H679" s="152"/>
    </row>
    <row r="680">
      <c r="H680" s="152"/>
    </row>
    <row r="681">
      <c r="H681" s="152"/>
    </row>
    <row r="682">
      <c r="H682" s="152"/>
    </row>
    <row r="683">
      <c r="H683" s="152"/>
    </row>
    <row r="684">
      <c r="H684" s="152"/>
    </row>
    <row r="685">
      <c r="H685" s="152"/>
    </row>
    <row r="686">
      <c r="H686" s="152"/>
    </row>
    <row r="687">
      <c r="H687" s="152"/>
    </row>
    <row r="688">
      <c r="H688" s="152"/>
    </row>
    <row r="689">
      <c r="H689" s="152"/>
    </row>
    <row r="690">
      <c r="H690" s="152"/>
    </row>
    <row r="691">
      <c r="H691" s="152"/>
    </row>
    <row r="692">
      <c r="H692" s="152"/>
    </row>
    <row r="693">
      <c r="H693" s="152"/>
    </row>
    <row r="694">
      <c r="H694" s="152"/>
    </row>
    <row r="695">
      <c r="H695" s="152"/>
    </row>
    <row r="696">
      <c r="H696" s="152"/>
    </row>
    <row r="697">
      <c r="H697" s="152"/>
    </row>
    <row r="698">
      <c r="H698" s="152"/>
    </row>
    <row r="699">
      <c r="H699" s="152"/>
    </row>
    <row r="700">
      <c r="H700" s="152"/>
    </row>
    <row r="701">
      <c r="H701" s="152"/>
    </row>
    <row r="702">
      <c r="H702" s="152"/>
    </row>
    <row r="703">
      <c r="H703" s="152"/>
    </row>
    <row r="704">
      <c r="H704" s="152"/>
    </row>
    <row r="705">
      <c r="H705" s="152"/>
    </row>
    <row r="706">
      <c r="H706" s="152"/>
    </row>
    <row r="707">
      <c r="H707" s="152"/>
    </row>
    <row r="708">
      <c r="H708" s="152"/>
    </row>
    <row r="709">
      <c r="H709" s="152"/>
    </row>
    <row r="710">
      <c r="H710" s="152"/>
    </row>
    <row r="711">
      <c r="H711" s="152"/>
    </row>
    <row r="712">
      <c r="H712" s="152"/>
    </row>
    <row r="713">
      <c r="H713" s="152"/>
    </row>
    <row r="714">
      <c r="H714" s="152"/>
    </row>
    <row r="715">
      <c r="H715" s="152"/>
    </row>
    <row r="716">
      <c r="H716" s="152"/>
    </row>
    <row r="717">
      <c r="H717" s="152"/>
    </row>
    <row r="718">
      <c r="H718" s="152"/>
    </row>
    <row r="719">
      <c r="H719" s="152"/>
    </row>
    <row r="720">
      <c r="H720" s="152"/>
    </row>
    <row r="721">
      <c r="H721" s="152"/>
    </row>
    <row r="722">
      <c r="H722" s="152"/>
    </row>
    <row r="723">
      <c r="H723" s="152"/>
    </row>
    <row r="724">
      <c r="H724" s="152"/>
    </row>
    <row r="725">
      <c r="H725" s="152"/>
    </row>
    <row r="726">
      <c r="H726" s="152"/>
    </row>
    <row r="727">
      <c r="H727" s="152"/>
    </row>
    <row r="728">
      <c r="H728" s="152"/>
    </row>
    <row r="729">
      <c r="H729" s="152"/>
    </row>
    <row r="730">
      <c r="H730" s="152"/>
    </row>
    <row r="731">
      <c r="H731" s="152"/>
    </row>
    <row r="732">
      <c r="H732" s="152"/>
    </row>
    <row r="733">
      <c r="H733" s="152"/>
    </row>
    <row r="734">
      <c r="H734" s="152"/>
    </row>
    <row r="735">
      <c r="H735" s="152"/>
    </row>
    <row r="736">
      <c r="H736" s="152"/>
    </row>
    <row r="737">
      <c r="H737" s="152"/>
    </row>
    <row r="738">
      <c r="H738" s="152"/>
    </row>
    <row r="739">
      <c r="H739" s="152"/>
    </row>
    <row r="740">
      <c r="H740" s="152"/>
    </row>
    <row r="741">
      <c r="H741" s="152"/>
    </row>
    <row r="742">
      <c r="H742" s="152"/>
    </row>
    <row r="743">
      <c r="H743" s="152"/>
    </row>
    <row r="744">
      <c r="H744" s="152"/>
    </row>
    <row r="745">
      <c r="H745" s="152"/>
    </row>
    <row r="746">
      <c r="H746" s="152"/>
    </row>
    <row r="747">
      <c r="H747" s="152"/>
    </row>
    <row r="748">
      <c r="H748" s="152"/>
    </row>
    <row r="749">
      <c r="H749" s="152"/>
    </row>
    <row r="750">
      <c r="H750" s="152"/>
    </row>
    <row r="751">
      <c r="H751" s="152"/>
    </row>
    <row r="752">
      <c r="H752" s="152"/>
    </row>
    <row r="753">
      <c r="H753" s="152"/>
    </row>
    <row r="754">
      <c r="H754" s="152"/>
    </row>
    <row r="755">
      <c r="H755" s="152"/>
    </row>
    <row r="756">
      <c r="H756" s="152"/>
    </row>
    <row r="757">
      <c r="H757" s="152"/>
    </row>
    <row r="758">
      <c r="H758" s="152"/>
    </row>
    <row r="759">
      <c r="H759" s="152"/>
    </row>
    <row r="760">
      <c r="H760" s="152"/>
    </row>
    <row r="761">
      <c r="H761" s="152"/>
    </row>
    <row r="762">
      <c r="H762" s="152"/>
    </row>
    <row r="763">
      <c r="H763" s="152"/>
    </row>
    <row r="764">
      <c r="H764" s="152"/>
    </row>
    <row r="765">
      <c r="H765" s="152"/>
    </row>
    <row r="766">
      <c r="H766" s="152"/>
    </row>
    <row r="767">
      <c r="H767" s="152"/>
    </row>
    <row r="768">
      <c r="H768" s="152"/>
    </row>
    <row r="769">
      <c r="H769" s="152"/>
    </row>
    <row r="770">
      <c r="H770" s="152"/>
    </row>
    <row r="771">
      <c r="H771" s="152"/>
    </row>
    <row r="772">
      <c r="H772" s="152"/>
    </row>
    <row r="773">
      <c r="H773" s="152"/>
    </row>
    <row r="774">
      <c r="H774" s="152"/>
    </row>
    <row r="775">
      <c r="H775" s="152"/>
    </row>
    <row r="776">
      <c r="H776" s="152"/>
    </row>
    <row r="777">
      <c r="H777" s="152"/>
    </row>
    <row r="778">
      <c r="H778" s="152"/>
    </row>
    <row r="779">
      <c r="H779" s="152"/>
    </row>
    <row r="780">
      <c r="H780" s="152"/>
    </row>
    <row r="781">
      <c r="H781" s="152"/>
    </row>
    <row r="782">
      <c r="H782" s="152"/>
    </row>
    <row r="783">
      <c r="H783" s="152"/>
    </row>
    <row r="784">
      <c r="H784" s="152"/>
    </row>
    <row r="785">
      <c r="H785" s="152"/>
    </row>
    <row r="786">
      <c r="H786" s="152"/>
    </row>
    <row r="787">
      <c r="H787" s="152"/>
    </row>
    <row r="788">
      <c r="H788" s="152"/>
    </row>
    <row r="789">
      <c r="H789" s="152"/>
    </row>
    <row r="790">
      <c r="H790" s="152"/>
    </row>
    <row r="791">
      <c r="H791" s="152"/>
    </row>
    <row r="792">
      <c r="H792" s="152"/>
    </row>
    <row r="793">
      <c r="H793" s="152"/>
    </row>
    <row r="794">
      <c r="H794" s="152"/>
    </row>
    <row r="795">
      <c r="H795" s="152"/>
    </row>
    <row r="796">
      <c r="H796" s="152"/>
    </row>
    <row r="797">
      <c r="H797" s="152"/>
    </row>
    <row r="798">
      <c r="H798" s="152"/>
    </row>
    <row r="799">
      <c r="H799" s="152"/>
    </row>
    <row r="800">
      <c r="H800" s="152"/>
    </row>
    <row r="801">
      <c r="H801" s="152"/>
    </row>
    <row r="802">
      <c r="H802" s="152"/>
    </row>
    <row r="803">
      <c r="H803" s="152"/>
    </row>
    <row r="804">
      <c r="H804" s="152"/>
    </row>
    <row r="805">
      <c r="H805" s="152"/>
    </row>
    <row r="806">
      <c r="H806" s="152"/>
    </row>
    <row r="807">
      <c r="H807" s="152"/>
    </row>
    <row r="808">
      <c r="H808" s="152"/>
    </row>
    <row r="809">
      <c r="H809" s="152"/>
    </row>
    <row r="810">
      <c r="H810" s="152"/>
    </row>
    <row r="811">
      <c r="H811" s="152"/>
    </row>
    <row r="812">
      <c r="H812" s="152"/>
    </row>
    <row r="813">
      <c r="H813" s="152"/>
    </row>
    <row r="814">
      <c r="H814" s="152"/>
    </row>
    <row r="815">
      <c r="H815" s="152"/>
    </row>
    <row r="816">
      <c r="H816" s="152"/>
    </row>
    <row r="817">
      <c r="H817" s="152"/>
    </row>
    <row r="818">
      <c r="H818" s="152"/>
    </row>
    <row r="819">
      <c r="H819" s="152"/>
    </row>
    <row r="820">
      <c r="H820" s="152"/>
    </row>
    <row r="821">
      <c r="H821" s="152"/>
    </row>
    <row r="822">
      <c r="H822" s="152"/>
    </row>
    <row r="823">
      <c r="H823" s="152"/>
    </row>
    <row r="824">
      <c r="H824" s="152"/>
    </row>
    <row r="825">
      <c r="H825" s="152"/>
    </row>
    <row r="826">
      <c r="H826" s="152"/>
    </row>
    <row r="827">
      <c r="H827" s="152"/>
    </row>
    <row r="828">
      <c r="H828" s="152"/>
    </row>
    <row r="829">
      <c r="H829" s="152"/>
    </row>
    <row r="830">
      <c r="H830" s="152"/>
    </row>
    <row r="831">
      <c r="H831" s="152"/>
    </row>
    <row r="832">
      <c r="H832" s="152"/>
    </row>
    <row r="833">
      <c r="H833" s="152"/>
    </row>
    <row r="834">
      <c r="H834" s="152"/>
    </row>
    <row r="835">
      <c r="H835" s="152"/>
    </row>
    <row r="836">
      <c r="H836" s="152"/>
    </row>
    <row r="837">
      <c r="H837" s="152"/>
    </row>
    <row r="838">
      <c r="H838" s="152"/>
    </row>
    <row r="839">
      <c r="H839" s="152"/>
    </row>
    <row r="840">
      <c r="H840" s="152"/>
    </row>
    <row r="841">
      <c r="H841" s="152"/>
    </row>
    <row r="842">
      <c r="H842" s="152"/>
    </row>
    <row r="843">
      <c r="H843" s="152"/>
    </row>
    <row r="844">
      <c r="H844" s="152"/>
    </row>
    <row r="845">
      <c r="H845" s="152"/>
    </row>
    <row r="846">
      <c r="H846" s="152"/>
    </row>
    <row r="847">
      <c r="H847" s="152"/>
    </row>
    <row r="848">
      <c r="H848" s="152"/>
    </row>
    <row r="849">
      <c r="H849" s="152"/>
    </row>
    <row r="850">
      <c r="H850" s="152"/>
    </row>
    <row r="851">
      <c r="H851" s="152"/>
    </row>
    <row r="852">
      <c r="H852" s="152"/>
    </row>
    <row r="853">
      <c r="H853" s="152"/>
    </row>
    <row r="854">
      <c r="H854" s="152"/>
    </row>
    <row r="855">
      <c r="H855" s="152"/>
    </row>
    <row r="856">
      <c r="H856" s="152"/>
    </row>
    <row r="857">
      <c r="H857" s="152"/>
    </row>
    <row r="858">
      <c r="H858" s="152"/>
    </row>
    <row r="859">
      <c r="H859" s="152"/>
    </row>
    <row r="860">
      <c r="H860" s="152"/>
    </row>
    <row r="861">
      <c r="H861" s="152"/>
    </row>
    <row r="862">
      <c r="H862" s="152"/>
    </row>
    <row r="863">
      <c r="H863" s="152"/>
    </row>
    <row r="864">
      <c r="H864" s="152"/>
    </row>
    <row r="865">
      <c r="H865" s="152"/>
    </row>
    <row r="866">
      <c r="H866" s="152"/>
    </row>
    <row r="867">
      <c r="H867" s="152"/>
    </row>
    <row r="868">
      <c r="H868" s="152"/>
    </row>
    <row r="869">
      <c r="H869" s="152"/>
    </row>
    <row r="870">
      <c r="H870" s="152"/>
    </row>
    <row r="871">
      <c r="H871" s="152"/>
    </row>
    <row r="872">
      <c r="H872" s="152"/>
    </row>
    <row r="873">
      <c r="H873" s="152"/>
    </row>
    <row r="874">
      <c r="H874" s="152"/>
    </row>
    <row r="875">
      <c r="H875" s="152"/>
    </row>
    <row r="876">
      <c r="H876" s="152"/>
    </row>
    <row r="877">
      <c r="H877" s="152"/>
    </row>
    <row r="878">
      <c r="H878" s="152"/>
    </row>
    <row r="879">
      <c r="H879" s="152"/>
    </row>
    <row r="880">
      <c r="H880" s="152"/>
    </row>
    <row r="881">
      <c r="H881" s="152"/>
    </row>
    <row r="882">
      <c r="H882" s="152"/>
    </row>
    <row r="883">
      <c r="H883" s="152"/>
    </row>
    <row r="884">
      <c r="H884" s="152"/>
    </row>
    <row r="885">
      <c r="H885" s="152"/>
    </row>
    <row r="886">
      <c r="H886" s="152"/>
    </row>
    <row r="887">
      <c r="H887" s="152"/>
    </row>
    <row r="888">
      <c r="H888" s="152"/>
    </row>
    <row r="889">
      <c r="H889" s="152"/>
    </row>
    <row r="890">
      <c r="H890" s="152"/>
    </row>
    <row r="891">
      <c r="H891" s="152"/>
    </row>
    <row r="892">
      <c r="H892" s="152"/>
    </row>
    <row r="893">
      <c r="H893" s="152"/>
    </row>
    <row r="894">
      <c r="H894" s="152"/>
    </row>
    <row r="895">
      <c r="H895" s="152"/>
    </row>
    <row r="896">
      <c r="H896" s="152"/>
    </row>
    <row r="897">
      <c r="H897" s="152"/>
    </row>
    <row r="898">
      <c r="H898" s="152"/>
    </row>
    <row r="899">
      <c r="H899" s="152"/>
    </row>
    <row r="900">
      <c r="H900" s="152"/>
    </row>
    <row r="901">
      <c r="H901" s="152"/>
    </row>
    <row r="902">
      <c r="H902" s="152"/>
    </row>
    <row r="903">
      <c r="H903" s="152"/>
    </row>
    <row r="904">
      <c r="H904" s="152"/>
    </row>
    <row r="905">
      <c r="H905" s="152"/>
    </row>
    <row r="906">
      <c r="H906" s="152"/>
    </row>
    <row r="907">
      <c r="H907" s="152"/>
    </row>
    <row r="908">
      <c r="H908" s="152"/>
    </row>
    <row r="909">
      <c r="H909" s="152"/>
    </row>
    <row r="910">
      <c r="H910" s="152"/>
    </row>
    <row r="911">
      <c r="H911" s="152"/>
    </row>
    <row r="912">
      <c r="H912" s="152"/>
    </row>
    <row r="913">
      <c r="H913" s="152"/>
    </row>
    <row r="914">
      <c r="H914" s="152"/>
    </row>
    <row r="915">
      <c r="H915" s="152"/>
    </row>
    <row r="916">
      <c r="H916" s="152"/>
    </row>
    <row r="917">
      <c r="H917" s="152"/>
    </row>
    <row r="918">
      <c r="H918" s="152"/>
    </row>
    <row r="919">
      <c r="H919" s="152"/>
    </row>
    <row r="920">
      <c r="H920" s="152"/>
    </row>
    <row r="921">
      <c r="H921" s="152"/>
    </row>
    <row r="922">
      <c r="H922" s="152"/>
    </row>
    <row r="923">
      <c r="H923" s="152"/>
    </row>
    <row r="924">
      <c r="H924" s="152"/>
    </row>
    <row r="925">
      <c r="H925" s="152"/>
    </row>
    <row r="926">
      <c r="H926" s="152"/>
    </row>
    <row r="927">
      <c r="H927" s="152"/>
    </row>
    <row r="928">
      <c r="H928" s="152"/>
    </row>
    <row r="929">
      <c r="H929" s="152"/>
    </row>
    <row r="930">
      <c r="H930" s="152"/>
    </row>
    <row r="931">
      <c r="H931" s="152"/>
    </row>
    <row r="932">
      <c r="H932" s="152"/>
    </row>
    <row r="933">
      <c r="H933" s="152"/>
    </row>
    <row r="934">
      <c r="H934" s="152"/>
    </row>
    <row r="935">
      <c r="H935" s="152"/>
    </row>
    <row r="936">
      <c r="H936" s="152"/>
    </row>
    <row r="937">
      <c r="H937" s="152"/>
    </row>
    <row r="938">
      <c r="H938" s="152"/>
    </row>
    <row r="939">
      <c r="H939" s="152"/>
    </row>
    <row r="940">
      <c r="H940" s="152"/>
    </row>
    <row r="941">
      <c r="H941" s="152"/>
    </row>
    <row r="942">
      <c r="H942" s="152"/>
    </row>
    <row r="943">
      <c r="H943" s="152"/>
    </row>
    <row r="944">
      <c r="H944" s="152"/>
    </row>
    <row r="945">
      <c r="H945" s="152"/>
    </row>
    <row r="946">
      <c r="H946" s="152"/>
    </row>
    <row r="947">
      <c r="H947" s="152"/>
    </row>
    <row r="948">
      <c r="H948" s="152"/>
    </row>
    <row r="949">
      <c r="H949" s="152"/>
    </row>
    <row r="950">
      <c r="H950" s="152"/>
    </row>
    <row r="951">
      <c r="H951" s="152"/>
    </row>
    <row r="952">
      <c r="H952" s="152"/>
    </row>
    <row r="953">
      <c r="H953" s="152"/>
    </row>
    <row r="954">
      <c r="H954" s="152"/>
    </row>
    <row r="955">
      <c r="H955" s="152"/>
    </row>
    <row r="956">
      <c r="H956" s="152"/>
    </row>
    <row r="957">
      <c r="H957" s="152"/>
    </row>
    <row r="958">
      <c r="H958" s="152"/>
    </row>
    <row r="959">
      <c r="H959" s="152"/>
    </row>
    <row r="960">
      <c r="H960" s="152"/>
    </row>
    <row r="961">
      <c r="H961" s="152"/>
    </row>
    <row r="962">
      <c r="H962" s="152"/>
    </row>
    <row r="963">
      <c r="H963" s="152"/>
    </row>
    <row r="964">
      <c r="H964" s="152"/>
    </row>
    <row r="965">
      <c r="H965" s="152"/>
    </row>
    <row r="966">
      <c r="H966" s="152"/>
    </row>
    <row r="967">
      <c r="H967" s="152"/>
    </row>
    <row r="968">
      <c r="H968" s="152"/>
    </row>
    <row r="969">
      <c r="H969" s="152"/>
    </row>
    <row r="970">
      <c r="H970" s="152"/>
    </row>
    <row r="971">
      <c r="H971" s="152"/>
    </row>
    <row r="972">
      <c r="H972" s="152"/>
    </row>
    <row r="973">
      <c r="H973" s="152"/>
    </row>
    <row r="974">
      <c r="H974" s="152"/>
    </row>
    <row r="975">
      <c r="H975" s="152"/>
    </row>
    <row r="976">
      <c r="H976" s="152"/>
    </row>
    <row r="977">
      <c r="H977" s="152"/>
    </row>
    <row r="978">
      <c r="H978" s="152"/>
    </row>
    <row r="979">
      <c r="H979" s="152"/>
    </row>
    <row r="980">
      <c r="H980" s="152"/>
    </row>
    <row r="981">
      <c r="H981" s="152"/>
    </row>
    <row r="982">
      <c r="H982" s="152"/>
    </row>
    <row r="983">
      <c r="H983" s="152"/>
    </row>
    <row r="984">
      <c r="H984" s="152"/>
    </row>
    <row r="985">
      <c r="H985" s="152"/>
    </row>
    <row r="986">
      <c r="H986" s="152"/>
    </row>
    <row r="987">
      <c r="H987" s="152"/>
    </row>
    <row r="988">
      <c r="H988" s="152"/>
    </row>
    <row r="989">
      <c r="H989" s="152"/>
    </row>
    <row r="990">
      <c r="H990" s="152"/>
    </row>
    <row r="991">
      <c r="H991" s="152"/>
    </row>
    <row r="992">
      <c r="H992" s="152"/>
    </row>
    <row r="993">
      <c r="H993" s="152"/>
    </row>
    <row r="994">
      <c r="H994" s="152"/>
    </row>
    <row r="995">
      <c r="H995" s="152"/>
    </row>
    <row r="996">
      <c r="H996" s="152"/>
    </row>
    <row r="997">
      <c r="H997" s="152"/>
    </row>
    <row r="998">
      <c r="H998" s="152"/>
    </row>
    <row r="999">
      <c r="H999" s="152"/>
    </row>
    <row r="1000">
      <c r="H1000" s="152"/>
    </row>
  </sheetData>
  <drawing r:id="rId1"/>
</worksheet>
</file>