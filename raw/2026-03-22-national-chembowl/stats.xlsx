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Stats " sheetId="1" r:id="rId5"/>
    <sheet state="visible" name="NCB 2026 Stats by PPG" sheetId="2" r:id="rId6"/>
    <sheet state="visible" name="NCB 2026 Stats by NPG" sheetId="3" r:id="rId7"/>
  </sheets>
  <definedNames/>
  <calcPr/>
</workbook>
</file>

<file path=xl/sharedStrings.xml><?xml version="1.0" encoding="utf-8"?>
<sst xmlns="http://schemas.openxmlformats.org/spreadsheetml/2006/main" count="176" uniqueCount="56">
  <si>
    <t>PLAYER NAME</t>
  </si>
  <si>
    <t>Power</t>
  </si>
  <si>
    <t>Correct</t>
  </si>
  <si>
    <t>Penalty</t>
  </si>
  <si>
    <t>Incorrect</t>
  </si>
  <si>
    <t>Games Played</t>
  </si>
  <si>
    <t>PPG</t>
  </si>
  <si>
    <t>NPG</t>
  </si>
  <si>
    <t>Power %</t>
  </si>
  <si>
    <t>Interrupt %</t>
  </si>
  <si>
    <t>Connor Zhao</t>
  </si>
  <si>
    <t>Anish Agrawal</t>
  </si>
  <si>
    <t>Aldric Benalan</t>
  </si>
  <si>
    <t>Easton Wei</t>
  </si>
  <si>
    <t>Akhil M</t>
  </si>
  <si>
    <t>Sid V</t>
  </si>
  <si>
    <t>Chengcheng Wang</t>
  </si>
  <si>
    <t>William Jung</t>
  </si>
  <si>
    <t>Theenash Sengupta</t>
  </si>
  <si>
    <t>Sriman Devineni</t>
  </si>
  <si>
    <t>Azim Faisal</t>
  </si>
  <si>
    <t>Sanjay Oruganti</t>
  </si>
  <si>
    <t xml:space="preserve">Isaac Kim </t>
  </si>
  <si>
    <t>Shannon Imaoka</t>
  </si>
  <si>
    <t>Kevin Han</t>
  </si>
  <si>
    <t>Max Wang</t>
  </si>
  <si>
    <t>Pranav Kolavennu</t>
  </si>
  <si>
    <t>Eric Zang</t>
  </si>
  <si>
    <t>Yale Zhang</t>
  </si>
  <si>
    <t>Gavin Josh Macatangay</t>
  </si>
  <si>
    <t>Justin Do</t>
  </si>
  <si>
    <t>Shaun Iyer</t>
  </si>
  <si>
    <t>Ved Patel</t>
  </si>
  <si>
    <t>Kian Dhawan</t>
  </si>
  <si>
    <t>Suzuko Ohshima</t>
  </si>
  <si>
    <t>Sam Easaw</t>
  </si>
  <si>
    <t>Kenneth Liu</t>
  </si>
  <si>
    <t>Yan-Ru Cao</t>
  </si>
  <si>
    <t>Sophie Cui</t>
  </si>
  <si>
    <t>Larry Du</t>
  </si>
  <si>
    <t>Sunny Guppi</t>
  </si>
  <si>
    <t>John Calder</t>
  </si>
  <si>
    <t>Walker Hayslip</t>
  </si>
  <si>
    <t>Aryan Verma</t>
  </si>
  <si>
    <t>Vibhu Bansal</t>
  </si>
  <si>
    <t>Ziang Zhuang</t>
  </si>
  <si>
    <t>Akhil Batchu</t>
  </si>
  <si>
    <t>Ryan Tae</t>
  </si>
  <si>
    <t>Min Shin</t>
  </si>
  <si>
    <t>Joey Magana</t>
  </si>
  <si>
    <t>Bradley Aquilar</t>
  </si>
  <si>
    <t>Robert Yang</t>
  </si>
  <si>
    <t>Rishab Medapalli</t>
  </si>
  <si>
    <t>Shirley Vo</t>
  </si>
  <si>
    <t>Pranav Challa</t>
  </si>
  <si>
    <t>Namish Dour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</si>
</sst>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EB Garamond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4" fillId="0" fontId="2" numFmtId="49" xfId="0" applyBorder="1" applyFont="1" applyNumberForma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8" fillId="0" fontId="2" numFmtId="49" xfId="0" applyBorder="1" applyFont="1" applyNumberFormat="1"/>
    <xf borderId="19" fillId="0" fontId="2" numFmtId="0" xfId="0" applyBorder="1" applyFont="1"/>
    <xf borderId="20" fillId="0" fontId="2" numFmtId="0" xfId="0" applyBorder="1" applyFont="1"/>
    <xf borderId="2" fillId="2" fontId="2" numFmtId="0" xfId="0" applyBorder="1" applyFill="1" applyFont="1"/>
    <xf borderId="3" fillId="2" fontId="2" numFmtId="0" xfId="0" applyBorder="1" applyFill="1" applyFont="1"/>
    <xf borderId="4" fillId="2" fontId="2" numFmtId="0" xfId="0" applyBorder="1" applyFill="1" applyFont="1"/>
    <xf borderId="4" fillId="2" fontId="2" numFmtId="49" xfId="0" applyBorder="1" applyFill="1" applyFont="1" applyNumberFormat="1"/>
    <xf borderId="5" fillId="2" fontId="2" numFmtId="0" xfId="0" applyBorder="1" applyFill="1" applyFont="1"/>
    <xf borderId="6" fillId="2" fontId="2" numFmtId="0" xfId="0" applyBorder="1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Stat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7" displayName="Table1" name="Table1" id="1">
  <tableColumns count="10">
    <tableColumn name="PLAYER NAME" id="1"/>
    <tableColumn name="Power" id="2"/>
    <tableColumn name="Correct" id="3"/>
    <tableColumn name="Penalty" id="4"/>
    <tableColumn name="Incorrect" id="5"/>
    <tableColumn name="Games Played" id="6"/>
    <tableColumn name="PPG" id="7"/>
    <tableColumn name="NPG" id="8"/>
    <tableColumn name="Power %" id="9"/>
    <tableColumn name="Interrupt %" id="10"/>
  </tableColumns>
  <tableStyleInfo name="Raw Stat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6" max="6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22.5" customHeight="1">
      <c r="A2" s="4" t="s">
        <v>10</v>
      </c>
      <c r="B2" s="5">
        <v>36.0</v>
      </c>
      <c r="C2" s="5">
        <v>11.0</v>
      </c>
      <c r="D2" s="5">
        <v>6.0</v>
      </c>
      <c r="E2" s="5">
        <v>3.0</v>
      </c>
      <c r="F2" s="5">
        <v>5.0</v>
      </c>
      <c r="G2" s="6">
        <f t="shared" ref="G2:G47" si="1">DIVIDE( MULTIPLY(B2,6) + MULTIPLY(C2,4) - MULTIPLY(D2,4) ,F2)</f>
        <v>47.2</v>
      </c>
      <c r="H2" s="6">
        <f t="shared" ref="H2:H47" si="2">DIVIDE(MULTIPLY(D2,-4),F2)</f>
        <v>-4.8</v>
      </c>
      <c r="I2" s="6">
        <f t="shared" ref="I2:I47" si="3">ROUND(DIVIDE(B2,B2+C2+D2+E2)*100,2)</f>
        <v>64.29</v>
      </c>
      <c r="J2" s="6">
        <f t="shared" ref="J2:J47" si="4">ROUND(DIVIDE(D2,B2+C2+D2+E2)*100,2)</f>
        <v>10.71</v>
      </c>
    </row>
    <row r="3" ht="22.5" customHeight="1">
      <c r="A3" s="4" t="s">
        <v>11</v>
      </c>
      <c r="B3" s="5">
        <v>15.0</v>
      </c>
      <c r="C3" s="5">
        <v>7.0</v>
      </c>
      <c r="D3" s="5">
        <v>1.0</v>
      </c>
      <c r="E3" s="5">
        <v>3.0</v>
      </c>
      <c r="F3" s="5">
        <v>5.0</v>
      </c>
      <c r="G3" s="6">
        <f t="shared" si="1"/>
        <v>22.8</v>
      </c>
      <c r="H3" s="6">
        <f t="shared" si="2"/>
        <v>-0.8</v>
      </c>
      <c r="I3" s="6">
        <f t="shared" si="3"/>
        <v>57.69</v>
      </c>
      <c r="J3" s="6">
        <f t="shared" si="4"/>
        <v>3.85</v>
      </c>
    </row>
    <row r="4" ht="22.5" customHeight="1">
      <c r="A4" s="4" t="s">
        <v>12</v>
      </c>
      <c r="B4" s="5">
        <v>3.0</v>
      </c>
      <c r="C4" s="5">
        <v>1.0</v>
      </c>
      <c r="D4" s="5">
        <v>2.0</v>
      </c>
      <c r="E4" s="5">
        <v>0.0</v>
      </c>
      <c r="F4" s="5">
        <v>5.0</v>
      </c>
      <c r="G4" s="6">
        <f t="shared" si="1"/>
        <v>2.8</v>
      </c>
      <c r="H4" s="6">
        <f t="shared" si="2"/>
        <v>-1.6</v>
      </c>
      <c r="I4" s="6">
        <f t="shared" si="3"/>
        <v>50</v>
      </c>
      <c r="J4" s="6">
        <f t="shared" si="4"/>
        <v>33.33</v>
      </c>
    </row>
    <row r="5" ht="22.5" customHeight="1">
      <c r="A5" s="4" t="s">
        <v>13</v>
      </c>
      <c r="B5" s="5">
        <v>14.0</v>
      </c>
      <c r="C5" s="5">
        <v>20.0</v>
      </c>
      <c r="D5" s="5">
        <v>4.0</v>
      </c>
      <c r="E5" s="5">
        <v>10.0</v>
      </c>
      <c r="F5" s="5">
        <v>5.0</v>
      </c>
      <c r="G5" s="6">
        <f t="shared" si="1"/>
        <v>29.6</v>
      </c>
      <c r="H5" s="6">
        <f t="shared" si="2"/>
        <v>-3.2</v>
      </c>
      <c r="I5" s="6">
        <f t="shared" si="3"/>
        <v>29.17</v>
      </c>
      <c r="J5" s="6">
        <f t="shared" si="4"/>
        <v>8.33</v>
      </c>
    </row>
    <row r="6" ht="22.5" customHeight="1">
      <c r="A6" s="4" t="s">
        <v>14</v>
      </c>
      <c r="B6" s="5">
        <v>15.0</v>
      </c>
      <c r="C6" s="5">
        <v>10.0</v>
      </c>
      <c r="D6" s="5">
        <v>5.0</v>
      </c>
      <c r="E6" s="5">
        <v>13.0</v>
      </c>
      <c r="F6" s="5">
        <v>5.0</v>
      </c>
      <c r="G6" s="6">
        <f t="shared" si="1"/>
        <v>22</v>
      </c>
      <c r="H6" s="6">
        <f t="shared" si="2"/>
        <v>-4</v>
      </c>
      <c r="I6" s="6">
        <f t="shared" si="3"/>
        <v>34.88</v>
      </c>
      <c r="J6" s="6">
        <f t="shared" si="4"/>
        <v>11.63</v>
      </c>
    </row>
    <row r="7" ht="22.5" customHeight="1">
      <c r="A7" s="4" t="s">
        <v>15</v>
      </c>
      <c r="B7" s="5">
        <v>0.0</v>
      </c>
      <c r="C7" s="5">
        <v>3.0</v>
      </c>
      <c r="D7" s="5">
        <v>0.0</v>
      </c>
      <c r="E7" s="5">
        <v>4.0</v>
      </c>
      <c r="F7" s="5">
        <v>5.0</v>
      </c>
      <c r="G7" s="6">
        <f t="shared" si="1"/>
        <v>2.4</v>
      </c>
      <c r="H7" s="6">
        <f t="shared" si="2"/>
        <v>0</v>
      </c>
      <c r="I7" s="6">
        <f t="shared" si="3"/>
        <v>0</v>
      </c>
      <c r="J7" s="6">
        <f t="shared" si="4"/>
        <v>0</v>
      </c>
    </row>
    <row r="8" ht="22.5" customHeight="1">
      <c r="A8" s="4" t="s">
        <v>16</v>
      </c>
      <c r="B8" s="5">
        <v>24.0</v>
      </c>
      <c r="C8" s="5">
        <v>19.0</v>
      </c>
      <c r="D8" s="5">
        <v>11.0</v>
      </c>
      <c r="E8" s="5">
        <v>11.0</v>
      </c>
      <c r="F8" s="5">
        <v>5.0</v>
      </c>
      <c r="G8" s="6">
        <f t="shared" si="1"/>
        <v>35.2</v>
      </c>
      <c r="H8" s="6">
        <f t="shared" si="2"/>
        <v>-8.8</v>
      </c>
      <c r="I8" s="6">
        <f t="shared" si="3"/>
        <v>36.92</v>
      </c>
      <c r="J8" s="6">
        <f t="shared" si="4"/>
        <v>16.92</v>
      </c>
    </row>
    <row r="9" ht="22.5" customHeight="1">
      <c r="A9" s="4" t="s">
        <v>17</v>
      </c>
      <c r="B9" s="5">
        <v>16.0</v>
      </c>
      <c r="C9" s="5">
        <v>6.0</v>
      </c>
      <c r="D9" s="5">
        <v>3.0</v>
      </c>
      <c r="E9" s="5">
        <v>1.0</v>
      </c>
      <c r="F9" s="5">
        <v>5.0</v>
      </c>
      <c r="G9" s="6">
        <f t="shared" si="1"/>
        <v>21.6</v>
      </c>
      <c r="H9" s="6">
        <f t="shared" si="2"/>
        <v>-2.4</v>
      </c>
      <c r="I9" s="6">
        <f t="shared" si="3"/>
        <v>61.54</v>
      </c>
      <c r="J9" s="6">
        <f t="shared" si="4"/>
        <v>11.54</v>
      </c>
    </row>
    <row r="10" ht="22.5" customHeight="1">
      <c r="A10" s="4" t="s">
        <v>18</v>
      </c>
      <c r="B10" s="5">
        <v>39.0</v>
      </c>
      <c r="C10" s="5">
        <v>7.0</v>
      </c>
      <c r="D10" s="5">
        <v>16.0</v>
      </c>
      <c r="E10" s="5">
        <v>5.0</v>
      </c>
      <c r="F10" s="5">
        <v>5.0</v>
      </c>
      <c r="G10" s="6">
        <f t="shared" si="1"/>
        <v>39.6</v>
      </c>
      <c r="H10" s="6">
        <f t="shared" si="2"/>
        <v>-12.8</v>
      </c>
      <c r="I10" s="6">
        <f t="shared" si="3"/>
        <v>58.21</v>
      </c>
      <c r="J10" s="6">
        <f t="shared" si="4"/>
        <v>23.88</v>
      </c>
    </row>
    <row r="11" ht="22.5" customHeight="1">
      <c r="A11" s="4" t="s">
        <v>19</v>
      </c>
      <c r="B11" s="5">
        <v>5.0</v>
      </c>
      <c r="C11" s="5">
        <v>11.0</v>
      </c>
      <c r="D11" s="5">
        <v>5.0</v>
      </c>
      <c r="E11" s="5">
        <v>13.0</v>
      </c>
      <c r="F11" s="5">
        <v>5.0</v>
      </c>
      <c r="G11" s="6">
        <f t="shared" si="1"/>
        <v>10.8</v>
      </c>
      <c r="H11" s="6">
        <f t="shared" si="2"/>
        <v>-4</v>
      </c>
      <c r="I11" s="6">
        <f t="shared" si="3"/>
        <v>14.71</v>
      </c>
      <c r="J11" s="6">
        <f t="shared" si="4"/>
        <v>14.71</v>
      </c>
    </row>
    <row r="12" ht="22.5" customHeight="1">
      <c r="A12" s="4" t="s">
        <v>20</v>
      </c>
      <c r="B12" s="5">
        <v>1.0</v>
      </c>
      <c r="C12" s="5">
        <v>0.0</v>
      </c>
      <c r="D12" s="5">
        <v>1.0</v>
      </c>
      <c r="E12" s="5">
        <v>2.0</v>
      </c>
      <c r="F12" s="5">
        <v>5.0</v>
      </c>
      <c r="G12" s="6">
        <f t="shared" si="1"/>
        <v>0.4</v>
      </c>
      <c r="H12" s="6">
        <f t="shared" si="2"/>
        <v>-0.8</v>
      </c>
      <c r="I12" s="6">
        <f t="shared" si="3"/>
        <v>25</v>
      </c>
      <c r="J12" s="6">
        <f t="shared" si="4"/>
        <v>25</v>
      </c>
    </row>
    <row r="13" ht="22.5" customHeight="1">
      <c r="A13" s="4" t="s">
        <v>21</v>
      </c>
      <c r="B13" s="5">
        <v>49.0</v>
      </c>
      <c r="C13" s="5">
        <v>16.0</v>
      </c>
      <c r="D13" s="5">
        <v>13.0</v>
      </c>
      <c r="E13" s="5">
        <v>6.0</v>
      </c>
      <c r="F13" s="5">
        <v>5.0</v>
      </c>
      <c r="G13" s="6">
        <f t="shared" si="1"/>
        <v>61.2</v>
      </c>
      <c r="H13" s="6">
        <f t="shared" si="2"/>
        <v>-10.4</v>
      </c>
      <c r="I13" s="6">
        <f t="shared" si="3"/>
        <v>58.33</v>
      </c>
      <c r="J13" s="6">
        <f t="shared" si="4"/>
        <v>15.48</v>
      </c>
    </row>
    <row r="14" ht="22.5" customHeight="1">
      <c r="A14" s="4" t="s">
        <v>22</v>
      </c>
      <c r="B14" s="5">
        <v>1.0</v>
      </c>
      <c r="C14" s="5">
        <v>1.0</v>
      </c>
      <c r="D14" s="5">
        <v>1.0</v>
      </c>
      <c r="E14" s="5">
        <v>3.0</v>
      </c>
      <c r="F14" s="5">
        <v>2.0</v>
      </c>
      <c r="G14" s="6">
        <f t="shared" si="1"/>
        <v>3</v>
      </c>
      <c r="H14" s="6">
        <f t="shared" si="2"/>
        <v>-2</v>
      </c>
      <c r="I14" s="6">
        <f t="shared" si="3"/>
        <v>16.67</v>
      </c>
      <c r="J14" s="6">
        <f t="shared" si="4"/>
        <v>16.67</v>
      </c>
    </row>
    <row r="15" ht="22.5" customHeight="1">
      <c r="A15" s="4" t="s">
        <v>23</v>
      </c>
      <c r="B15" s="5">
        <v>28.0</v>
      </c>
      <c r="C15" s="5">
        <v>15.0</v>
      </c>
      <c r="D15" s="5">
        <v>6.0</v>
      </c>
      <c r="E15" s="5">
        <v>4.0</v>
      </c>
      <c r="F15" s="5">
        <v>5.0</v>
      </c>
      <c r="G15" s="6">
        <f t="shared" si="1"/>
        <v>40.8</v>
      </c>
      <c r="H15" s="6">
        <f t="shared" si="2"/>
        <v>-4.8</v>
      </c>
      <c r="I15" s="6">
        <f t="shared" si="3"/>
        <v>52.83</v>
      </c>
      <c r="J15" s="6">
        <f t="shared" si="4"/>
        <v>11.32</v>
      </c>
    </row>
    <row r="16" ht="22.5" customHeight="1">
      <c r="A16" s="4" t="s">
        <v>24</v>
      </c>
      <c r="B16" s="5">
        <v>3.0</v>
      </c>
      <c r="C16" s="5">
        <v>3.0</v>
      </c>
      <c r="D16" s="5">
        <v>1.0</v>
      </c>
      <c r="E16" s="5">
        <v>3.0</v>
      </c>
      <c r="F16" s="5">
        <v>5.0</v>
      </c>
      <c r="G16" s="6">
        <f t="shared" si="1"/>
        <v>5.2</v>
      </c>
      <c r="H16" s="6">
        <f t="shared" si="2"/>
        <v>-0.8</v>
      </c>
      <c r="I16" s="6">
        <f t="shared" si="3"/>
        <v>30</v>
      </c>
      <c r="J16" s="6">
        <f t="shared" si="4"/>
        <v>10</v>
      </c>
    </row>
    <row r="17" ht="22.5" customHeight="1">
      <c r="A17" s="4" t="s">
        <v>25</v>
      </c>
      <c r="B17" s="5">
        <v>0.0</v>
      </c>
      <c r="C17" s="5">
        <v>1.0</v>
      </c>
      <c r="D17" s="5">
        <v>0.0</v>
      </c>
      <c r="E17" s="5">
        <v>6.0</v>
      </c>
      <c r="F17" s="5">
        <v>5.0</v>
      </c>
      <c r="G17" s="6">
        <f t="shared" si="1"/>
        <v>0.8</v>
      </c>
      <c r="H17" s="6">
        <f t="shared" si="2"/>
        <v>0</v>
      </c>
      <c r="I17" s="6">
        <f t="shared" si="3"/>
        <v>0</v>
      </c>
      <c r="J17" s="6">
        <f t="shared" si="4"/>
        <v>0</v>
      </c>
    </row>
    <row r="18" ht="22.5" customHeight="1">
      <c r="A18" s="4" t="s">
        <v>26</v>
      </c>
      <c r="B18" s="5">
        <v>0.0</v>
      </c>
      <c r="C18" s="5">
        <v>9.0</v>
      </c>
      <c r="D18" s="5">
        <v>5.0</v>
      </c>
      <c r="E18" s="5">
        <v>16.0</v>
      </c>
      <c r="F18" s="5">
        <v>5.0</v>
      </c>
      <c r="G18" s="6">
        <f t="shared" si="1"/>
        <v>3.2</v>
      </c>
      <c r="H18" s="6">
        <f t="shared" si="2"/>
        <v>-4</v>
      </c>
      <c r="I18" s="6">
        <f t="shared" si="3"/>
        <v>0</v>
      </c>
      <c r="J18" s="6">
        <f t="shared" si="4"/>
        <v>16.67</v>
      </c>
    </row>
    <row r="19" ht="22.5" customHeight="1">
      <c r="A19" s="4" t="s">
        <v>27</v>
      </c>
      <c r="B19" s="5">
        <v>16.0</v>
      </c>
      <c r="C19" s="5">
        <v>10.0</v>
      </c>
      <c r="D19" s="5">
        <v>2.0</v>
      </c>
      <c r="E19" s="5">
        <v>5.0</v>
      </c>
      <c r="F19" s="5">
        <v>5.0</v>
      </c>
      <c r="G19" s="6">
        <f t="shared" si="1"/>
        <v>25.6</v>
      </c>
      <c r="H19" s="6">
        <f t="shared" si="2"/>
        <v>-1.6</v>
      </c>
      <c r="I19" s="6">
        <f t="shared" si="3"/>
        <v>48.48</v>
      </c>
      <c r="J19" s="6">
        <f t="shared" si="4"/>
        <v>6.06</v>
      </c>
    </row>
    <row r="20" ht="22.5" customHeight="1">
      <c r="A20" s="4" t="s">
        <v>28</v>
      </c>
      <c r="B20" s="5">
        <v>13.0</v>
      </c>
      <c r="C20" s="5">
        <v>11.0</v>
      </c>
      <c r="D20" s="5">
        <v>5.0</v>
      </c>
      <c r="E20" s="5">
        <v>1.0</v>
      </c>
      <c r="F20" s="5">
        <v>5.0</v>
      </c>
      <c r="G20" s="6">
        <f t="shared" si="1"/>
        <v>20.4</v>
      </c>
      <c r="H20" s="6">
        <f t="shared" si="2"/>
        <v>-4</v>
      </c>
      <c r="I20" s="6">
        <f t="shared" si="3"/>
        <v>43.33</v>
      </c>
      <c r="J20" s="6">
        <f t="shared" si="4"/>
        <v>16.67</v>
      </c>
    </row>
    <row r="21" ht="22.5" customHeight="1">
      <c r="A21" s="4" t="s">
        <v>29</v>
      </c>
      <c r="B21" s="5">
        <v>1.0</v>
      </c>
      <c r="C21" s="5">
        <v>2.0</v>
      </c>
      <c r="D21" s="5">
        <v>0.0</v>
      </c>
      <c r="E21" s="5">
        <v>0.0</v>
      </c>
      <c r="F21" s="5">
        <v>5.0</v>
      </c>
      <c r="G21" s="6">
        <f t="shared" si="1"/>
        <v>2.8</v>
      </c>
      <c r="H21" s="6">
        <f t="shared" si="2"/>
        <v>0</v>
      </c>
      <c r="I21" s="6">
        <f t="shared" si="3"/>
        <v>33.33</v>
      </c>
      <c r="J21" s="6">
        <f t="shared" si="4"/>
        <v>0</v>
      </c>
    </row>
    <row r="22" ht="22.5" customHeight="1">
      <c r="A22" s="4" t="s">
        <v>30</v>
      </c>
      <c r="B22" s="5">
        <v>34.0</v>
      </c>
      <c r="C22" s="5">
        <v>9.0</v>
      </c>
      <c r="D22" s="5">
        <v>9.0</v>
      </c>
      <c r="E22" s="5">
        <v>19.0</v>
      </c>
      <c r="F22" s="5">
        <v>5.0</v>
      </c>
      <c r="G22" s="6">
        <f t="shared" si="1"/>
        <v>40.8</v>
      </c>
      <c r="H22" s="6">
        <f t="shared" si="2"/>
        <v>-7.2</v>
      </c>
      <c r="I22" s="6">
        <f t="shared" si="3"/>
        <v>47.89</v>
      </c>
      <c r="J22" s="6">
        <f t="shared" si="4"/>
        <v>12.68</v>
      </c>
    </row>
    <row r="23" ht="22.5" customHeight="1">
      <c r="A23" s="4" t="s">
        <v>31</v>
      </c>
      <c r="B23" s="5">
        <v>11.0</v>
      </c>
      <c r="C23" s="5">
        <v>11.0</v>
      </c>
      <c r="D23" s="5">
        <v>1.0</v>
      </c>
      <c r="E23" s="5">
        <v>14.0</v>
      </c>
      <c r="F23" s="5">
        <v>5.0</v>
      </c>
      <c r="G23" s="6">
        <f t="shared" si="1"/>
        <v>21.2</v>
      </c>
      <c r="H23" s="6">
        <f t="shared" si="2"/>
        <v>-0.8</v>
      </c>
      <c r="I23" s="6">
        <f t="shared" si="3"/>
        <v>29.73</v>
      </c>
      <c r="J23" s="6">
        <f t="shared" si="4"/>
        <v>2.7</v>
      </c>
    </row>
    <row r="24" ht="22.5" customHeight="1">
      <c r="A24" s="4" t="s">
        <v>32</v>
      </c>
      <c r="B24" s="5">
        <v>8.0</v>
      </c>
      <c r="C24" s="5">
        <v>0.0</v>
      </c>
      <c r="D24" s="5">
        <v>9.0</v>
      </c>
      <c r="E24" s="5">
        <v>5.0</v>
      </c>
      <c r="F24" s="5">
        <v>5.0</v>
      </c>
      <c r="G24" s="6">
        <f t="shared" si="1"/>
        <v>2.4</v>
      </c>
      <c r="H24" s="6">
        <f t="shared" si="2"/>
        <v>-7.2</v>
      </c>
      <c r="I24" s="6">
        <f t="shared" si="3"/>
        <v>36.36</v>
      </c>
      <c r="J24" s="6">
        <f t="shared" si="4"/>
        <v>40.91</v>
      </c>
    </row>
    <row r="25" ht="22.5" customHeight="1">
      <c r="A25" s="4" t="s">
        <v>33</v>
      </c>
      <c r="B25" s="5">
        <v>45.0</v>
      </c>
      <c r="C25" s="5">
        <v>15.0</v>
      </c>
      <c r="D25" s="5">
        <v>7.0</v>
      </c>
      <c r="E25" s="5">
        <v>8.0</v>
      </c>
      <c r="F25" s="5">
        <v>5.0</v>
      </c>
      <c r="G25" s="6">
        <f t="shared" si="1"/>
        <v>60.4</v>
      </c>
      <c r="H25" s="6">
        <f t="shared" si="2"/>
        <v>-5.6</v>
      </c>
      <c r="I25" s="6">
        <f t="shared" si="3"/>
        <v>60</v>
      </c>
      <c r="J25" s="6">
        <f t="shared" si="4"/>
        <v>9.33</v>
      </c>
    </row>
    <row r="26" ht="22.5" customHeight="1">
      <c r="A26" s="4" t="s">
        <v>34</v>
      </c>
      <c r="B26" s="5">
        <v>10.0</v>
      </c>
      <c r="C26" s="5">
        <v>2.0</v>
      </c>
      <c r="D26" s="5">
        <v>4.0</v>
      </c>
      <c r="E26" s="5">
        <v>0.0</v>
      </c>
      <c r="F26" s="5">
        <v>5.0</v>
      </c>
      <c r="G26" s="6">
        <f t="shared" si="1"/>
        <v>10.4</v>
      </c>
      <c r="H26" s="6">
        <f t="shared" si="2"/>
        <v>-3.2</v>
      </c>
      <c r="I26" s="6">
        <f t="shared" si="3"/>
        <v>62.5</v>
      </c>
      <c r="J26" s="6">
        <f t="shared" si="4"/>
        <v>25</v>
      </c>
    </row>
    <row r="27" ht="22.5" customHeight="1">
      <c r="A27" s="4" t="s">
        <v>35</v>
      </c>
      <c r="B27" s="5">
        <v>44.0</v>
      </c>
      <c r="C27" s="5">
        <v>15.0</v>
      </c>
      <c r="D27" s="5">
        <v>5.0</v>
      </c>
      <c r="E27" s="5">
        <v>11.0</v>
      </c>
      <c r="F27" s="5">
        <v>5.0</v>
      </c>
      <c r="G27" s="6">
        <f t="shared" si="1"/>
        <v>60.8</v>
      </c>
      <c r="H27" s="6">
        <f t="shared" si="2"/>
        <v>-4</v>
      </c>
      <c r="I27" s="6">
        <f t="shared" si="3"/>
        <v>58.67</v>
      </c>
      <c r="J27" s="6">
        <f t="shared" si="4"/>
        <v>6.67</v>
      </c>
    </row>
    <row r="28" ht="22.5" customHeight="1">
      <c r="A28" s="4" t="s">
        <v>36</v>
      </c>
      <c r="B28" s="5">
        <v>1.0</v>
      </c>
      <c r="C28" s="5">
        <v>0.0</v>
      </c>
      <c r="D28" s="5">
        <v>0.0</v>
      </c>
      <c r="E28" s="5">
        <v>0.0</v>
      </c>
      <c r="F28" s="5">
        <v>5.0</v>
      </c>
      <c r="G28" s="6">
        <f t="shared" si="1"/>
        <v>1.2</v>
      </c>
      <c r="H28" s="6">
        <f t="shared" si="2"/>
        <v>0</v>
      </c>
      <c r="I28" s="6">
        <f t="shared" si="3"/>
        <v>100</v>
      </c>
      <c r="J28" s="6">
        <f t="shared" si="4"/>
        <v>0</v>
      </c>
    </row>
    <row r="29" ht="22.5" customHeight="1">
      <c r="A29" s="4" t="s">
        <v>37</v>
      </c>
      <c r="B29" s="5">
        <v>15.0</v>
      </c>
      <c r="C29" s="5">
        <v>15.0</v>
      </c>
      <c r="D29" s="5">
        <v>2.0</v>
      </c>
      <c r="E29" s="5">
        <v>3.0</v>
      </c>
      <c r="F29" s="5">
        <v>5.0</v>
      </c>
      <c r="G29" s="6">
        <f t="shared" si="1"/>
        <v>28.4</v>
      </c>
      <c r="H29" s="6">
        <f t="shared" si="2"/>
        <v>-1.6</v>
      </c>
      <c r="I29" s="6">
        <f t="shared" si="3"/>
        <v>42.86</v>
      </c>
      <c r="J29" s="6">
        <f t="shared" si="4"/>
        <v>5.71</v>
      </c>
    </row>
    <row r="30" ht="22.5" customHeight="1">
      <c r="A30" s="4" t="s">
        <v>38</v>
      </c>
      <c r="B30" s="5">
        <v>14.0</v>
      </c>
      <c r="C30" s="5">
        <v>10.0</v>
      </c>
      <c r="D30" s="5">
        <v>1.0</v>
      </c>
      <c r="E30" s="5">
        <v>3.0</v>
      </c>
      <c r="F30" s="5">
        <v>5.0</v>
      </c>
      <c r="G30" s="6">
        <f t="shared" si="1"/>
        <v>24</v>
      </c>
      <c r="H30" s="6">
        <f t="shared" si="2"/>
        <v>-0.8</v>
      </c>
      <c r="I30" s="6">
        <f t="shared" si="3"/>
        <v>50</v>
      </c>
      <c r="J30" s="6">
        <f t="shared" si="4"/>
        <v>3.57</v>
      </c>
    </row>
    <row r="31" ht="22.5" customHeight="1">
      <c r="A31" s="4" t="s">
        <v>39</v>
      </c>
      <c r="B31" s="5">
        <v>15.0</v>
      </c>
      <c r="C31" s="5">
        <v>16.0</v>
      </c>
      <c r="D31" s="5">
        <v>12.0</v>
      </c>
      <c r="E31" s="5">
        <v>12.0</v>
      </c>
      <c r="F31" s="5">
        <v>5.0</v>
      </c>
      <c r="G31" s="6">
        <f t="shared" si="1"/>
        <v>21.2</v>
      </c>
      <c r="H31" s="6">
        <f t="shared" si="2"/>
        <v>-9.6</v>
      </c>
      <c r="I31" s="6">
        <f t="shared" si="3"/>
        <v>27.27</v>
      </c>
      <c r="J31" s="6">
        <f t="shared" si="4"/>
        <v>21.82</v>
      </c>
    </row>
    <row r="32" ht="22.5" customHeight="1">
      <c r="A32" s="4" t="s">
        <v>40</v>
      </c>
      <c r="B32" s="5">
        <v>1.0</v>
      </c>
      <c r="C32" s="5">
        <v>1.0</v>
      </c>
      <c r="D32" s="5">
        <v>0.0</v>
      </c>
      <c r="E32" s="5">
        <v>0.0</v>
      </c>
      <c r="F32" s="5">
        <v>5.0</v>
      </c>
      <c r="G32" s="6">
        <f t="shared" si="1"/>
        <v>2</v>
      </c>
      <c r="H32" s="6">
        <f t="shared" si="2"/>
        <v>0</v>
      </c>
      <c r="I32" s="6">
        <f t="shared" si="3"/>
        <v>50</v>
      </c>
      <c r="J32" s="6">
        <f t="shared" si="4"/>
        <v>0</v>
      </c>
    </row>
    <row r="33" ht="22.5" customHeight="1">
      <c r="A33" s="4" t="s">
        <v>41</v>
      </c>
      <c r="B33" s="5">
        <v>1.0</v>
      </c>
      <c r="C33" s="5">
        <v>2.0</v>
      </c>
      <c r="D33" s="5">
        <v>3.0</v>
      </c>
      <c r="E33" s="5">
        <v>26.0</v>
      </c>
      <c r="F33" s="5">
        <v>5.0</v>
      </c>
      <c r="G33" s="6">
        <f t="shared" si="1"/>
        <v>0.4</v>
      </c>
      <c r="H33" s="6">
        <f t="shared" si="2"/>
        <v>-2.4</v>
      </c>
      <c r="I33" s="6">
        <f t="shared" si="3"/>
        <v>3.13</v>
      </c>
      <c r="J33" s="6">
        <f t="shared" si="4"/>
        <v>9.38</v>
      </c>
    </row>
    <row r="34" ht="22.5" customHeight="1">
      <c r="A34" s="4" t="s">
        <v>42</v>
      </c>
      <c r="B34" s="5">
        <v>0.0</v>
      </c>
      <c r="C34" s="5">
        <v>2.0</v>
      </c>
      <c r="D34" s="5">
        <v>0.0</v>
      </c>
      <c r="E34" s="5">
        <v>2.0</v>
      </c>
      <c r="F34" s="5">
        <v>5.0</v>
      </c>
      <c r="G34" s="6">
        <f t="shared" si="1"/>
        <v>1.6</v>
      </c>
      <c r="H34" s="6">
        <f t="shared" si="2"/>
        <v>0</v>
      </c>
      <c r="I34" s="6">
        <f t="shared" si="3"/>
        <v>0</v>
      </c>
      <c r="J34" s="6">
        <f t="shared" si="4"/>
        <v>0</v>
      </c>
    </row>
    <row r="35" ht="22.5" customHeight="1">
      <c r="A35" s="4" t="s">
        <v>43</v>
      </c>
      <c r="B35" s="5">
        <v>1.0</v>
      </c>
      <c r="C35" s="5">
        <v>3.0</v>
      </c>
      <c r="D35" s="5">
        <v>2.0</v>
      </c>
      <c r="E35" s="5">
        <v>11.0</v>
      </c>
      <c r="F35" s="5">
        <v>5.0</v>
      </c>
      <c r="G35" s="6">
        <f t="shared" si="1"/>
        <v>2</v>
      </c>
      <c r="H35" s="6">
        <f t="shared" si="2"/>
        <v>-1.6</v>
      </c>
      <c r="I35" s="6">
        <f t="shared" si="3"/>
        <v>5.88</v>
      </c>
      <c r="J35" s="6">
        <f t="shared" si="4"/>
        <v>11.76</v>
      </c>
    </row>
    <row r="36" ht="22.5" customHeight="1">
      <c r="A36" s="4" t="s">
        <v>44</v>
      </c>
      <c r="B36" s="5">
        <v>1.0</v>
      </c>
      <c r="C36" s="5">
        <v>1.0</v>
      </c>
      <c r="D36" s="5">
        <v>1.0</v>
      </c>
      <c r="E36" s="5">
        <v>5.0</v>
      </c>
      <c r="F36" s="5">
        <v>5.0</v>
      </c>
      <c r="G36" s="6">
        <f t="shared" si="1"/>
        <v>1.2</v>
      </c>
      <c r="H36" s="6">
        <f t="shared" si="2"/>
        <v>-0.8</v>
      </c>
      <c r="I36" s="6">
        <f t="shared" si="3"/>
        <v>12.5</v>
      </c>
      <c r="J36" s="6">
        <f t="shared" si="4"/>
        <v>12.5</v>
      </c>
    </row>
    <row r="37" ht="22.5" customHeight="1">
      <c r="A37" s="4" t="s">
        <v>45</v>
      </c>
      <c r="B37" s="5">
        <v>0.0</v>
      </c>
      <c r="C37" s="5">
        <v>0.0</v>
      </c>
      <c r="D37" s="5">
        <v>0.0</v>
      </c>
      <c r="E37" s="5">
        <v>0.0</v>
      </c>
      <c r="F37" s="5">
        <v>3.0</v>
      </c>
      <c r="G37" s="6">
        <f t="shared" si="1"/>
        <v>0</v>
      </c>
      <c r="H37" s="6">
        <f t="shared" si="2"/>
        <v>0</v>
      </c>
      <c r="I37" s="6" t="str">
        <f t="shared" si="3"/>
        <v>#DIV/0!</v>
      </c>
      <c r="J37" s="6" t="str">
        <f t="shared" si="4"/>
        <v>#DIV/0!</v>
      </c>
    </row>
    <row r="38" ht="22.5" customHeight="1">
      <c r="A38" s="4" t="s">
        <v>46</v>
      </c>
      <c r="B38" s="5">
        <v>49.0</v>
      </c>
      <c r="C38" s="5">
        <v>19.0</v>
      </c>
      <c r="D38" s="5">
        <v>10.0</v>
      </c>
      <c r="E38" s="5">
        <v>4.0</v>
      </c>
      <c r="F38" s="5">
        <v>5.0</v>
      </c>
      <c r="G38" s="6">
        <f t="shared" si="1"/>
        <v>66</v>
      </c>
      <c r="H38" s="6">
        <f t="shared" si="2"/>
        <v>-8</v>
      </c>
      <c r="I38" s="6">
        <f t="shared" si="3"/>
        <v>59.76</v>
      </c>
      <c r="J38" s="6">
        <f t="shared" si="4"/>
        <v>12.2</v>
      </c>
    </row>
    <row r="39" ht="22.5" customHeight="1">
      <c r="A39" s="4" t="s">
        <v>47</v>
      </c>
      <c r="B39" s="5">
        <v>8.0</v>
      </c>
      <c r="C39" s="5">
        <v>10.0</v>
      </c>
      <c r="D39" s="5">
        <v>5.0</v>
      </c>
      <c r="E39" s="5">
        <v>0.0</v>
      </c>
      <c r="F39" s="5">
        <v>5.0</v>
      </c>
      <c r="G39" s="6">
        <f t="shared" si="1"/>
        <v>13.6</v>
      </c>
      <c r="H39" s="6">
        <f t="shared" si="2"/>
        <v>-4</v>
      </c>
      <c r="I39" s="6">
        <f t="shared" si="3"/>
        <v>34.78</v>
      </c>
      <c r="J39" s="6">
        <f t="shared" si="4"/>
        <v>21.74</v>
      </c>
    </row>
    <row r="40" ht="22.5" customHeight="1">
      <c r="A40" s="4" t="s">
        <v>48</v>
      </c>
      <c r="B40" s="5">
        <v>21.0</v>
      </c>
      <c r="C40" s="5">
        <v>19.0</v>
      </c>
      <c r="D40" s="5">
        <v>9.0</v>
      </c>
      <c r="E40" s="5">
        <v>8.0</v>
      </c>
      <c r="F40" s="5">
        <v>5.0</v>
      </c>
      <c r="G40" s="6">
        <f t="shared" si="1"/>
        <v>33.2</v>
      </c>
      <c r="H40" s="6">
        <f t="shared" si="2"/>
        <v>-7.2</v>
      </c>
      <c r="I40" s="6">
        <f t="shared" si="3"/>
        <v>36.84</v>
      </c>
      <c r="J40" s="6">
        <f t="shared" si="4"/>
        <v>15.79</v>
      </c>
    </row>
    <row r="41" ht="22.5" customHeight="1">
      <c r="A41" s="4" t="s">
        <v>49</v>
      </c>
      <c r="B41" s="5">
        <v>3.0</v>
      </c>
      <c r="C41" s="5">
        <v>9.0</v>
      </c>
      <c r="D41" s="5">
        <v>4.0</v>
      </c>
      <c r="E41" s="5">
        <v>7.0</v>
      </c>
      <c r="F41" s="5">
        <v>5.0</v>
      </c>
      <c r="G41" s="6">
        <f t="shared" si="1"/>
        <v>7.6</v>
      </c>
      <c r="H41" s="6">
        <f t="shared" si="2"/>
        <v>-3.2</v>
      </c>
      <c r="I41" s="6">
        <f t="shared" si="3"/>
        <v>13.04</v>
      </c>
      <c r="J41" s="6">
        <f t="shared" si="4"/>
        <v>17.39</v>
      </c>
    </row>
    <row r="42" ht="22.5" customHeight="1">
      <c r="A42" s="4" t="s">
        <v>50</v>
      </c>
      <c r="B42" s="5">
        <v>11.0</v>
      </c>
      <c r="C42" s="5">
        <v>11.0</v>
      </c>
      <c r="D42" s="5">
        <v>5.0</v>
      </c>
      <c r="E42" s="5">
        <v>12.0</v>
      </c>
      <c r="F42" s="5">
        <v>5.0</v>
      </c>
      <c r="G42" s="6">
        <f t="shared" si="1"/>
        <v>18</v>
      </c>
      <c r="H42" s="6">
        <f t="shared" si="2"/>
        <v>-4</v>
      </c>
      <c r="I42" s="6">
        <f t="shared" si="3"/>
        <v>28.21</v>
      </c>
      <c r="J42" s="6">
        <f t="shared" si="4"/>
        <v>12.82</v>
      </c>
    </row>
    <row r="43" ht="22.5" customHeight="1">
      <c r="A43" s="4" t="s">
        <v>51</v>
      </c>
      <c r="B43" s="5">
        <v>18.0</v>
      </c>
      <c r="C43" s="5">
        <v>10.0</v>
      </c>
      <c r="D43" s="5">
        <v>12.0</v>
      </c>
      <c r="E43" s="5">
        <v>12.0</v>
      </c>
      <c r="F43" s="5">
        <v>5.0</v>
      </c>
      <c r="G43" s="6">
        <f t="shared" si="1"/>
        <v>20</v>
      </c>
      <c r="H43" s="6">
        <f t="shared" si="2"/>
        <v>-9.6</v>
      </c>
      <c r="I43" s="6">
        <f t="shared" si="3"/>
        <v>34.62</v>
      </c>
      <c r="J43" s="6">
        <f t="shared" si="4"/>
        <v>23.08</v>
      </c>
    </row>
    <row r="44" ht="22.5" customHeight="1">
      <c r="A44" s="4" t="s">
        <v>52</v>
      </c>
      <c r="B44" s="5">
        <v>0.0</v>
      </c>
      <c r="C44" s="5">
        <v>2.0</v>
      </c>
      <c r="D44" s="5">
        <v>3.0</v>
      </c>
      <c r="E44" s="5">
        <v>2.0</v>
      </c>
      <c r="F44" s="5">
        <v>5.0</v>
      </c>
      <c r="G44" s="6">
        <f t="shared" si="1"/>
        <v>-0.8</v>
      </c>
      <c r="H44" s="6">
        <f t="shared" si="2"/>
        <v>-2.4</v>
      </c>
      <c r="I44" s="6">
        <f t="shared" si="3"/>
        <v>0</v>
      </c>
      <c r="J44" s="6">
        <f t="shared" si="4"/>
        <v>42.86</v>
      </c>
    </row>
    <row r="45" ht="22.5" customHeight="1">
      <c r="A45" s="4" t="s">
        <v>53</v>
      </c>
      <c r="B45" s="5">
        <v>3.0</v>
      </c>
      <c r="C45" s="5">
        <v>12.0</v>
      </c>
      <c r="D45" s="5">
        <v>7.0</v>
      </c>
      <c r="E45" s="5">
        <v>11.0</v>
      </c>
      <c r="F45" s="5">
        <v>5.0</v>
      </c>
      <c r="G45" s="6">
        <f t="shared" si="1"/>
        <v>7.6</v>
      </c>
      <c r="H45" s="6">
        <f t="shared" si="2"/>
        <v>-5.6</v>
      </c>
      <c r="I45" s="6">
        <f t="shared" si="3"/>
        <v>9.09</v>
      </c>
      <c r="J45" s="6">
        <f t="shared" si="4"/>
        <v>21.21</v>
      </c>
    </row>
    <row r="46" ht="22.5" customHeight="1">
      <c r="A46" s="4" t="s">
        <v>54</v>
      </c>
      <c r="B46" s="5">
        <v>3.0</v>
      </c>
      <c r="C46" s="5">
        <v>2.0</v>
      </c>
      <c r="D46" s="5">
        <v>2.0</v>
      </c>
      <c r="E46" s="5">
        <v>1.0</v>
      </c>
      <c r="F46" s="5">
        <v>5.0</v>
      </c>
      <c r="G46" s="6">
        <f t="shared" si="1"/>
        <v>3.6</v>
      </c>
      <c r="H46" s="6">
        <f t="shared" si="2"/>
        <v>-1.6</v>
      </c>
      <c r="I46" s="6">
        <f t="shared" si="3"/>
        <v>37.5</v>
      </c>
      <c r="J46" s="6">
        <f t="shared" si="4"/>
        <v>25</v>
      </c>
    </row>
    <row r="47" ht="22.5" customHeight="1">
      <c r="A47" s="4" t="s">
        <v>55</v>
      </c>
      <c r="B47" s="5">
        <v>5.0</v>
      </c>
      <c r="C47" s="5">
        <v>17.0</v>
      </c>
      <c r="D47" s="5">
        <v>7.0</v>
      </c>
      <c r="E47" s="5">
        <v>28.0</v>
      </c>
      <c r="F47" s="5">
        <v>5.0</v>
      </c>
      <c r="G47" s="6">
        <f t="shared" si="1"/>
        <v>14</v>
      </c>
      <c r="H47" s="6">
        <f t="shared" si="2"/>
        <v>-5.6</v>
      </c>
      <c r="I47" s="6">
        <f t="shared" si="3"/>
        <v>8.77</v>
      </c>
      <c r="J47" s="6">
        <f t="shared" si="4"/>
        <v>12.28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7" t="str">
        <f t="array" ref="A1:J47">SORT('Raw Stats '!A1:J47,7,FALSE)</f>
        <v>PLAYER NAME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1" t="s">
        <v>7</v>
      </c>
      <c r="I1" s="9" t="s">
        <v>8</v>
      </c>
      <c r="J1" s="12" t="s">
        <v>9</v>
      </c>
    </row>
    <row r="2">
      <c r="A2" s="13" t="s">
        <v>46</v>
      </c>
      <c r="B2" s="14">
        <v>49.0</v>
      </c>
      <c r="C2" s="15">
        <v>19.0</v>
      </c>
      <c r="D2" s="15">
        <v>10.0</v>
      </c>
      <c r="E2" s="15">
        <v>4.0</v>
      </c>
      <c r="F2" s="15">
        <v>5.0</v>
      </c>
      <c r="G2" s="15">
        <v>66.0</v>
      </c>
      <c r="H2" s="16">
        <v>-8.0</v>
      </c>
      <c r="I2" s="15">
        <v>59.76</v>
      </c>
      <c r="J2" s="17">
        <v>12.2</v>
      </c>
    </row>
    <row r="3">
      <c r="A3" s="18" t="s">
        <v>21</v>
      </c>
      <c r="B3" s="19">
        <v>49.0</v>
      </c>
      <c r="C3" s="20">
        <v>16.0</v>
      </c>
      <c r="D3" s="20">
        <v>13.0</v>
      </c>
      <c r="E3" s="20">
        <v>6.0</v>
      </c>
      <c r="F3" s="20">
        <v>5.0</v>
      </c>
      <c r="G3" s="20">
        <v>61.2</v>
      </c>
      <c r="H3" s="21">
        <v>-10.4</v>
      </c>
      <c r="I3" s="20">
        <v>58.33</v>
      </c>
      <c r="J3" s="22">
        <v>15.48</v>
      </c>
    </row>
    <row r="4">
      <c r="A4" s="18" t="s">
        <v>35</v>
      </c>
      <c r="B4" s="19">
        <v>44.0</v>
      </c>
      <c r="C4" s="20">
        <v>15.0</v>
      </c>
      <c r="D4" s="20">
        <v>5.0</v>
      </c>
      <c r="E4" s="20">
        <v>11.0</v>
      </c>
      <c r="F4" s="20">
        <v>5.0</v>
      </c>
      <c r="G4" s="20">
        <v>60.8</v>
      </c>
      <c r="H4" s="21">
        <v>-4.0</v>
      </c>
      <c r="I4" s="20">
        <v>58.67</v>
      </c>
      <c r="J4" s="22">
        <v>6.67</v>
      </c>
    </row>
    <row r="5">
      <c r="A5" s="18" t="s">
        <v>33</v>
      </c>
      <c r="B5" s="19">
        <v>45.0</v>
      </c>
      <c r="C5" s="20">
        <v>15.0</v>
      </c>
      <c r="D5" s="20">
        <v>7.0</v>
      </c>
      <c r="E5" s="20">
        <v>8.0</v>
      </c>
      <c r="F5" s="20">
        <v>5.0</v>
      </c>
      <c r="G5" s="20">
        <v>60.4</v>
      </c>
      <c r="H5" s="21">
        <v>-5.6</v>
      </c>
      <c r="I5" s="20">
        <v>60.0</v>
      </c>
      <c r="J5" s="22">
        <v>9.33</v>
      </c>
    </row>
    <row r="6">
      <c r="A6" s="18" t="s">
        <v>10</v>
      </c>
      <c r="B6" s="19">
        <v>36.0</v>
      </c>
      <c r="C6" s="20">
        <v>11.0</v>
      </c>
      <c r="D6" s="20">
        <v>6.0</v>
      </c>
      <c r="E6" s="20">
        <v>3.0</v>
      </c>
      <c r="F6" s="20">
        <v>5.0</v>
      </c>
      <c r="G6" s="20">
        <v>47.2</v>
      </c>
      <c r="H6" s="21">
        <v>-4.8</v>
      </c>
      <c r="I6" s="20">
        <v>64.29</v>
      </c>
      <c r="J6" s="22">
        <v>10.71</v>
      </c>
    </row>
    <row r="7">
      <c r="A7" s="18" t="s">
        <v>23</v>
      </c>
      <c r="B7" s="19">
        <v>28.0</v>
      </c>
      <c r="C7" s="20">
        <v>15.0</v>
      </c>
      <c r="D7" s="20">
        <v>6.0</v>
      </c>
      <c r="E7" s="20">
        <v>4.0</v>
      </c>
      <c r="F7" s="20">
        <v>5.0</v>
      </c>
      <c r="G7" s="20">
        <v>40.8</v>
      </c>
      <c r="H7" s="21">
        <v>-4.8</v>
      </c>
      <c r="I7" s="20">
        <v>52.83</v>
      </c>
      <c r="J7" s="22">
        <v>11.32</v>
      </c>
    </row>
    <row r="8">
      <c r="A8" s="18" t="s">
        <v>30</v>
      </c>
      <c r="B8" s="19">
        <v>34.0</v>
      </c>
      <c r="C8" s="20">
        <v>9.0</v>
      </c>
      <c r="D8" s="20">
        <v>9.0</v>
      </c>
      <c r="E8" s="20">
        <v>19.0</v>
      </c>
      <c r="F8" s="20">
        <v>5.0</v>
      </c>
      <c r="G8" s="20">
        <v>40.8</v>
      </c>
      <c r="H8" s="21">
        <v>-7.2</v>
      </c>
      <c r="I8" s="20">
        <v>47.89</v>
      </c>
      <c r="J8" s="22">
        <v>12.68</v>
      </c>
    </row>
    <row r="9">
      <c r="A9" s="18" t="s">
        <v>18</v>
      </c>
      <c r="B9" s="19">
        <v>39.0</v>
      </c>
      <c r="C9" s="20">
        <v>7.0</v>
      </c>
      <c r="D9" s="20">
        <v>16.0</v>
      </c>
      <c r="E9" s="20">
        <v>5.0</v>
      </c>
      <c r="F9" s="20">
        <v>5.0</v>
      </c>
      <c r="G9" s="20">
        <v>39.6</v>
      </c>
      <c r="H9" s="21">
        <v>-12.8</v>
      </c>
      <c r="I9" s="20">
        <v>58.21</v>
      </c>
      <c r="J9" s="22">
        <v>23.88</v>
      </c>
    </row>
    <row r="10">
      <c r="A10" s="18" t="s">
        <v>16</v>
      </c>
      <c r="B10" s="19">
        <v>24.0</v>
      </c>
      <c r="C10" s="20">
        <v>19.0</v>
      </c>
      <c r="D10" s="20">
        <v>11.0</v>
      </c>
      <c r="E10" s="20">
        <v>11.0</v>
      </c>
      <c r="F10" s="20">
        <v>5.0</v>
      </c>
      <c r="G10" s="20">
        <v>35.2</v>
      </c>
      <c r="H10" s="21">
        <v>-8.8</v>
      </c>
      <c r="I10" s="20">
        <v>36.92</v>
      </c>
      <c r="J10" s="22">
        <v>16.92</v>
      </c>
    </row>
    <row r="11">
      <c r="A11" s="18" t="s">
        <v>48</v>
      </c>
      <c r="B11" s="19">
        <v>21.0</v>
      </c>
      <c r="C11" s="20">
        <v>19.0</v>
      </c>
      <c r="D11" s="20">
        <v>9.0</v>
      </c>
      <c r="E11" s="20">
        <v>8.0</v>
      </c>
      <c r="F11" s="20">
        <v>5.0</v>
      </c>
      <c r="G11" s="20">
        <v>33.2</v>
      </c>
      <c r="H11" s="21">
        <v>-7.2</v>
      </c>
      <c r="I11" s="20">
        <v>36.84</v>
      </c>
      <c r="J11" s="22">
        <v>15.79</v>
      </c>
    </row>
    <row r="12">
      <c r="A12" s="18" t="s">
        <v>13</v>
      </c>
      <c r="B12" s="19">
        <v>14.0</v>
      </c>
      <c r="C12" s="20">
        <v>20.0</v>
      </c>
      <c r="D12" s="20">
        <v>4.0</v>
      </c>
      <c r="E12" s="20">
        <v>10.0</v>
      </c>
      <c r="F12" s="20">
        <v>5.0</v>
      </c>
      <c r="G12" s="20">
        <v>29.6</v>
      </c>
      <c r="H12" s="21">
        <v>-3.2</v>
      </c>
      <c r="I12" s="20">
        <v>29.17</v>
      </c>
      <c r="J12" s="22">
        <v>8.33</v>
      </c>
    </row>
    <row r="13">
      <c r="A13" s="18" t="s">
        <v>37</v>
      </c>
      <c r="B13" s="19">
        <v>15.0</v>
      </c>
      <c r="C13" s="20">
        <v>15.0</v>
      </c>
      <c r="D13" s="20">
        <v>2.0</v>
      </c>
      <c r="E13" s="20">
        <v>3.0</v>
      </c>
      <c r="F13" s="20">
        <v>5.0</v>
      </c>
      <c r="G13" s="20">
        <v>28.4</v>
      </c>
      <c r="H13" s="21">
        <v>-1.6</v>
      </c>
      <c r="I13" s="20">
        <v>42.86</v>
      </c>
      <c r="J13" s="22">
        <v>5.71</v>
      </c>
    </row>
    <row r="14">
      <c r="A14" s="18" t="s">
        <v>27</v>
      </c>
      <c r="B14" s="19">
        <v>16.0</v>
      </c>
      <c r="C14" s="20">
        <v>10.0</v>
      </c>
      <c r="D14" s="20">
        <v>2.0</v>
      </c>
      <c r="E14" s="20">
        <v>5.0</v>
      </c>
      <c r="F14" s="20">
        <v>5.0</v>
      </c>
      <c r="G14" s="20">
        <v>25.6</v>
      </c>
      <c r="H14" s="21">
        <v>-1.6</v>
      </c>
      <c r="I14" s="20">
        <v>48.48</v>
      </c>
      <c r="J14" s="22">
        <v>6.06</v>
      </c>
    </row>
    <row r="15">
      <c r="A15" s="18" t="s">
        <v>38</v>
      </c>
      <c r="B15" s="19">
        <v>14.0</v>
      </c>
      <c r="C15" s="20">
        <v>10.0</v>
      </c>
      <c r="D15" s="20">
        <v>1.0</v>
      </c>
      <c r="E15" s="20">
        <v>3.0</v>
      </c>
      <c r="F15" s="20">
        <v>5.0</v>
      </c>
      <c r="G15" s="20">
        <v>24.0</v>
      </c>
      <c r="H15" s="21">
        <v>-0.8</v>
      </c>
      <c r="I15" s="20">
        <v>50.0</v>
      </c>
      <c r="J15" s="22">
        <v>3.57</v>
      </c>
    </row>
    <row r="16">
      <c r="A16" s="18" t="s">
        <v>11</v>
      </c>
      <c r="B16" s="19">
        <v>15.0</v>
      </c>
      <c r="C16" s="20">
        <v>7.0</v>
      </c>
      <c r="D16" s="20">
        <v>1.0</v>
      </c>
      <c r="E16" s="20">
        <v>3.0</v>
      </c>
      <c r="F16" s="20">
        <v>5.0</v>
      </c>
      <c r="G16" s="20">
        <v>22.8</v>
      </c>
      <c r="H16" s="21">
        <v>-0.8</v>
      </c>
      <c r="I16" s="20">
        <v>57.69</v>
      </c>
      <c r="J16" s="22">
        <v>3.85</v>
      </c>
    </row>
    <row r="17">
      <c r="A17" s="18" t="s">
        <v>14</v>
      </c>
      <c r="B17" s="19">
        <v>15.0</v>
      </c>
      <c r="C17" s="20">
        <v>10.0</v>
      </c>
      <c r="D17" s="20">
        <v>5.0</v>
      </c>
      <c r="E17" s="20">
        <v>13.0</v>
      </c>
      <c r="F17" s="20">
        <v>5.0</v>
      </c>
      <c r="G17" s="20">
        <v>22.0</v>
      </c>
      <c r="H17" s="21">
        <v>-4.0</v>
      </c>
      <c r="I17" s="20">
        <v>34.88</v>
      </c>
      <c r="J17" s="22">
        <v>11.63</v>
      </c>
    </row>
    <row r="18">
      <c r="A18" s="18" t="s">
        <v>17</v>
      </c>
      <c r="B18" s="19">
        <v>16.0</v>
      </c>
      <c r="C18" s="20">
        <v>6.0</v>
      </c>
      <c r="D18" s="20">
        <v>3.0</v>
      </c>
      <c r="E18" s="20">
        <v>1.0</v>
      </c>
      <c r="F18" s="20">
        <v>5.0</v>
      </c>
      <c r="G18" s="20">
        <v>21.6</v>
      </c>
      <c r="H18" s="21">
        <v>-2.4</v>
      </c>
      <c r="I18" s="20">
        <v>61.54</v>
      </c>
      <c r="J18" s="22">
        <v>11.54</v>
      </c>
    </row>
    <row r="19">
      <c r="A19" s="18" t="s">
        <v>31</v>
      </c>
      <c r="B19" s="19">
        <v>11.0</v>
      </c>
      <c r="C19" s="20">
        <v>11.0</v>
      </c>
      <c r="D19" s="20">
        <v>1.0</v>
      </c>
      <c r="E19" s="20">
        <v>14.0</v>
      </c>
      <c r="F19" s="20">
        <v>5.0</v>
      </c>
      <c r="G19" s="20">
        <v>21.2</v>
      </c>
      <c r="H19" s="21">
        <v>-0.8</v>
      </c>
      <c r="I19" s="20">
        <v>29.73</v>
      </c>
      <c r="J19" s="22">
        <v>2.7</v>
      </c>
    </row>
    <row r="20">
      <c r="A20" s="18" t="s">
        <v>39</v>
      </c>
      <c r="B20" s="19">
        <v>15.0</v>
      </c>
      <c r="C20" s="20">
        <v>16.0</v>
      </c>
      <c r="D20" s="20">
        <v>12.0</v>
      </c>
      <c r="E20" s="20">
        <v>12.0</v>
      </c>
      <c r="F20" s="20">
        <v>5.0</v>
      </c>
      <c r="G20" s="20">
        <v>21.2</v>
      </c>
      <c r="H20" s="21">
        <v>-9.6</v>
      </c>
      <c r="I20" s="20">
        <v>27.27</v>
      </c>
      <c r="J20" s="22">
        <v>21.82</v>
      </c>
    </row>
    <row r="21">
      <c r="A21" s="18" t="s">
        <v>28</v>
      </c>
      <c r="B21" s="19">
        <v>13.0</v>
      </c>
      <c r="C21" s="20">
        <v>11.0</v>
      </c>
      <c r="D21" s="20">
        <v>5.0</v>
      </c>
      <c r="E21" s="20">
        <v>1.0</v>
      </c>
      <c r="F21" s="20">
        <v>5.0</v>
      </c>
      <c r="G21" s="20">
        <v>20.4</v>
      </c>
      <c r="H21" s="21">
        <v>-4.0</v>
      </c>
      <c r="I21" s="20">
        <v>43.33</v>
      </c>
      <c r="J21" s="22">
        <v>16.67</v>
      </c>
    </row>
    <row r="22">
      <c r="A22" s="18" t="s">
        <v>51</v>
      </c>
      <c r="B22" s="19">
        <v>18.0</v>
      </c>
      <c r="C22" s="20">
        <v>10.0</v>
      </c>
      <c r="D22" s="20">
        <v>12.0</v>
      </c>
      <c r="E22" s="20">
        <v>12.0</v>
      </c>
      <c r="F22" s="20">
        <v>5.0</v>
      </c>
      <c r="G22" s="20">
        <v>20.0</v>
      </c>
      <c r="H22" s="21">
        <v>-9.6</v>
      </c>
      <c r="I22" s="20">
        <v>34.62</v>
      </c>
      <c r="J22" s="22">
        <v>23.08</v>
      </c>
    </row>
    <row r="23">
      <c r="A23" s="18" t="s">
        <v>50</v>
      </c>
      <c r="B23" s="19">
        <v>11.0</v>
      </c>
      <c r="C23" s="20">
        <v>11.0</v>
      </c>
      <c r="D23" s="20">
        <v>5.0</v>
      </c>
      <c r="E23" s="20">
        <v>12.0</v>
      </c>
      <c r="F23" s="20">
        <v>5.0</v>
      </c>
      <c r="G23" s="20">
        <v>18.0</v>
      </c>
      <c r="H23" s="21">
        <v>-4.0</v>
      </c>
      <c r="I23" s="20">
        <v>28.21</v>
      </c>
      <c r="J23" s="22">
        <v>12.82</v>
      </c>
    </row>
    <row r="24">
      <c r="A24" s="18" t="s">
        <v>55</v>
      </c>
      <c r="B24" s="19">
        <v>5.0</v>
      </c>
      <c r="C24" s="20">
        <v>17.0</v>
      </c>
      <c r="D24" s="20">
        <v>7.0</v>
      </c>
      <c r="E24" s="20">
        <v>28.0</v>
      </c>
      <c r="F24" s="20">
        <v>5.0</v>
      </c>
      <c r="G24" s="20">
        <v>14.0</v>
      </c>
      <c r="H24" s="21">
        <v>-5.6</v>
      </c>
      <c r="I24" s="20">
        <v>8.77</v>
      </c>
      <c r="J24" s="22">
        <v>12.28</v>
      </c>
    </row>
    <row r="25">
      <c r="A25" s="18" t="s">
        <v>47</v>
      </c>
      <c r="B25" s="19">
        <v>8.0</v>
      </c>
      <c r="C25" s="20">
        <v>10.0</v>
      </c>
      <c r="D25" s="20">
        <v>5.0</v>
      </c>
      <c r="E25" s="20">
        <v>0.0</v>
      </c>
      <c r="F25" s="20">
        <v>5.0</v>
      </c>
      <c r="G25" s="20">
        <v>13.6</v>
      </c>
      <c r="H25" s="21">
        <v>-4.0</v>
      </c>
      <c r="I25" s="20">
        <v>34.78</v>
      </c>
      <c r="J25" s="22">
        <v>21.74</v>
      </c>
    </row>
    <row r="26">
      <c r="A26" s="18" t="s">
        <v>19</v>
      </c>
      <c r="B26" s="19">
        <v>5.0</v>
      </c>
      <c r="C26" s="20">
        <v>11.0</v>
      </c>
      <c r="D26" s="20">
        <v>5.0</v>
      </c>
      <c r="E26" s="20">
        <v>13.0</v>
      </c>
      <c r="F26" s="20">
        <v>5.0</v>
      </c>
      <c r="G26" s="20">
        <v>10.8</v>
      </c>
      <c r="H26" s="21">
        <v>-4.0</v>
      </c>
      <c r="I26" s="20">
        <v>14.71</v>
      </c>
      <c r="J26" s="22">
        <v>14.71</v>
      </c>
    </row>
    <row r="27">
      <c r="A27" s="18" t="s">
        <v>34</v>
      </c>
      <c r="B27" s="19">
        <v>10.0</v>
      </c>
      <c r="C27" s="20">
        <v>2.0</v>
      </c>
      <c r="D27" s="20">
        <v>4.0</v>
      </c>
      <c r="E27" s="20">
        <v>0.0</v>
      </c>
      <c r="F27" s="20">
        <v>5.0</v>
      </c>
      <c r="G27" s="20">
        <v>10.4</v>
      </c>
      <c r="H27" s="21">
        <v>-3.2</v>
      </c>
      <c r="I27" s="20">
        <v>62.5</v>
      </c>
      <c r="J27" s="22">
        <v>25.0</v>
      </c>
    </row>
    <row r="28">
      <c r="A28" s="18" t="s">
        <v>49</v>
      </c>
      <c r="B28" s="19">
        <v>3.0</v>
      </c>
      <c r="C28" s="20">
        <v>9.0</v>
      </c>
      <c r="D28" s="20">
        <v>4.0</v>
      </c>
      <c r="E28" s="20">
        <v>7.0</v>
      </c>
      <c r="F28" s="20">
        <v>5.0</v>
      </c>
      <c r="G28" s="20">
        <v>7.6</v>
      </c>
      <c r="H28" s="21">
        <v>-3.2</v>
      </c>
      <c r="I28" s="20">
        <v>13.04</v>
      </c>
      <c r="J28" s="22">
        <v>17.39</v>
      </c>
    </row>
    <row r="29">
      <c r="A29" s="18" t="s">
        <v>53</v>
      </c>
      <c r="B29" s="19">
        <v>3.0</v>
      </c>
      <c r="C29" s="20">
        <v>12.0</v>
      </c>
      <c r="D29" s="20">
        <v>7.0</v>
      </c>
      <c r="E29" s="20">
        <v>11.0</v>
      </c>
      <c r="F29" s="20">
        <v>5.0</v>
      </c>
      <c r="G29" s="20">
        <v>7.6</v>
      </c>
      <c r="H29" s="21">
        <v>-5.6</v>
      </c>
      <c r="I29" s="20">
        <v>9.09</v>
      </c>
      <c r="J29" s="22">
        <v>21.21</v>
      </c>
    </row>
    <row r="30">
      <c r="A30" s="18" t="s">
        <v>24</v>
      </c>
      <c r="B30" s="19">
        <v>3.0</v>
      </c>
      <c r="C30" s="20">
        <v>3.0</v>
      </c>
      <c r="D30" s="20">
        <v>1.0</v>
      </c>
      <c r="E30" s="20">
        <v>3.0</v>
      </c>
      <c r="F30" s="20">
        <v>5.0</v>
      </c>
      <c r="G30" s="20">
        <v>5.2</v>
      </c>
      <c r="H30" s="21">
        <v>-0.8</v>
      </c>
      <c r="I30" s="20">
        <v>30.0</v>
      </c>
      <c r="J30" s="22">
        <v>10.0</v>
      </c>
    </row>
    <row r="31">
      <c r="A31" s="18" t="s">
        <v>54</v>
      </c>
      <c r="B31" s="19">
        <v>3.0</v>
      </c>
      <c r="C31" s="20">
        <v>2.0</v>
      </c>
      <c r="D31" s="20">
        <v>2.0</v>
      </c>
      <c r="E31" s="20">
        <v>1.0</v>
      </c>
      <c r="F31" s="20">
        <v>5.0</v>
      </c>
      <c r="G31" s="20">
        <v>3.6</v>
      </c>
      <c r="H31" s="21">
        <v>-1.6</v>
      </c>
      <c r="I31" s="20">
        <v>37.5</v>
      </c>
      <c r="J31" s="22">
        <v>25.0</v>
      </c>
    </row>
    <row r="32">
      <c r="A32" s="18" t="s">
        <v>26</v>
      </c>
      <c r="B32" s="19">
        <v>0.0</v>
      </c>
      <c r="C32" s="20">
        <v>9.0</v>
      </c>
      <c r="D32" s="20">
        <v>5.0</v>
      </c>
      <c r="E32" s="20">
        <v>16.0</v>
      </c>
      <c r="F32" s="20">
        <v>5.0</v>
      </c>
      <c r="G32" s="20">
        <v>3.2</v>
      </c>
      <c r="H32" s="21">
        <v>-4.0</v>
      </c>
      <c r="I32" s="20">
        <v>0.0</v>
      </c>
      <c r="J32" s="22">
        <v>16.67</v>
      </c>
    </row>
    <row r="33">
      <c r="A33" s="18" t="s">
        <v>22</v>
      </c>
      <c r="B33" s="19">
        <v>1.0</v>
      </c>
      <c r="C33" s="20">
        <v>1.0</v>
      </c>
      <c r="D33" s="20">
        <v>1.0</v>
      </c>
      <c r="E33" s="20">
        <v>3.0</v>
      </c>
      <c r="F33" s="20">
        <v>2.0</v>
      </c>
      <c r="G33" s="20">
        <v>3.0</v>
      </c>
      <c r="H33" s="21">
        <v>-2.0</v>
      </c>
      <c r="I33" s="20">
        <v>16.67</v>
      </c>
      <c r="J33" s="22">
        <v>16.67</v>
      </c>
    </row>
    <row r="34">
      <c r="A34" s="18" t="s">
        <v>12</v>
      </c>
      <c r="B34" s="19">
        <v>3.0</v>
      </c>
      <c r="C34" s="20">
        <v>1.0</v>
      </c>
      <c r="D34" s="20">
        <v>2.0</v>
      </c>
      <c r="E34" s="20">
        <v>0.0</v>
      </c>
      <c r="F34" s="20">
        <v>5.0</v>
      </c>
      <c r="G34" s="20">
        <v>2.8</v>
      </c>
      <c r="H34" s="21">
        <v>-1.6</v>
      </c>
      <c r="I34" s="20">
        <v>50.0</v>
      </c>
      <c r="J34" s="22">
        <v>33.33</v>
      </c>
    </row>
    <row r="35">
      <c r="A35" s="18" t="s">
        <v>29</v>
      </c>
      <c r="B35" s="19">
        <v>1.0</v>
      </c>
      <c r="C35" s="20">
        <v>2.0</v>
      </c>
      <c r="D35" s="20">
        <v>0.0</v>
      </c>
      <c r="E35" s="20">
        <v>0.0</v>
      </c>
      <c r="F35" s="20">
        <v>5.0</v>
      </c>
      <c r="G35" s="20">
        <v>2.8</v>
      </c>
      <c r="H35" s="21">
        <v>0.0</v>
      </c>
      <c r="I35" s="20">
        <v>33.33</v>
      </c>
      <c r="J35" s="22">
        <v>0.0</v>
      </c>
    </row>
    <row r="36">
      <c r="A36" s="18" t="s">
        <v>15</v>
      </c>
      <c r="B36" s="19">
        <v>0.0</v>
      </c>
      <c r="C36" s="20">
        <v>3.0</v>
      </c>
      <c r="D36" s="20">
        <v>0.0</v>
      </c>
      <c r="E36" s="20">
        <v>4.0</v>
      </c>
      <c r="F36" s="20">
        <v>5.0</v>
      </c>
      <c r="G36" s="20">
        <v>2.4</v>
      </c>
      <c r="H36" s="21">
        <v>0.0</v>
      </c>
      <c r="I36" s="20">
        <v>0.0</v>
      </c>
      <c r="J36" s="22">
        <v>0.0</v>
      </c>
    </row>
    <row r="37">
      <c r="A37" s="18" t="s">
        <v>32</v>
      </c>
      <c r="B37" s="19">
        <v>8.0</v>
      </c>
      <c r="C37" s="20">
        <v>0.0</v>
      </c>
      <c r="D37" s="20">
        <v>9.0</v>
      </c>
      <c r="E37" s="20">
        <v>5.0</v>
      </c>
      <c r="F37" s="20">
        <v>5.0</v>
      </c>
      <c r="G37" s="20">
        <v>2.4</v>
      </c>
      <c r="H37" s="21">
        <v>-7.2</v>
      </c>
      <c r="I37" s="20">
        <v>36.36</v>
      </c>
      <c r="J37" s="22">
        <v>40.91</v>
      </c>
    </row>
    <row r="38">
      <c r="A38" s="18" t="s">
        <v>40</v>
      </c>
      <c r="B38" s="19">
        <v>1.0</v>
      </c>
      <c r="C38" s="20">
        <v>1.0</v>
      </c>
      <c r="D38" s="20">
        <v>0.0</v>
      </c>
      <c r="E38" s="20">
        <v>0.0</v>
      </c>
      <c r="F38" s="20">
        <v>5.0</v>
      </c>
      <c r="G38" s="20">
        <v>2.0</v>
      </c>
      <c r="H38" s="21">
        <v>0.0</v>
      </c>
      <c r="I38" s="20">
        <v>50.0</v>
      </c>
      <c r="J38" s="22">
        <v>0.0</v>
      </c>
    </row>
    <row r="39">
      <c r="A39" s="18" t="s">
        <v>43</v>
      </c>
      <c r="B39" s="19">
        <v>1.0</v>
      </c>
      <c r="C39" s="20">
        <v>3.0</v>
      </c>
      <c r="D39" s="20">
        <v>2.0</v>
      </c>
      <c r="E39" s="20">
        <v>11.0</v>
      </c>
      <c r="F39" s="20">
        <v>5.0</v>
      </c>
      <c r="G39" s="20">
        <v>2.0</v>
      </c>
      <c r="H39" s="21">
        <v>-1.6</v>
      </c>
      <c r="I39" s="20">
        <v>5.88</v>
      </c>
      <c r="J39" s="22">
        <v>11.76</v>
      </c>
    </row>
    <row r="40">
      <c r="A40" s="18" t="s">
        <v>42</v>
      </c>
      <c r="B40" s="19">
        <v>0.0</v>
      </c>
      <c r="C40" s="20">
        <v>2.0</v>
      </c>
      <c r="D40" s="20">
        <v>0.0</v>
      </c>
      <c r="E40" s="20">
        <v>2.0</v>
      </c>
      <c r="F40" s="20">
        <v>5.0</v>
      </c>
      <c r="G40" s="20">
        <v>1.6</v>
      </c>
      <c r="H40" s="21">
        <v>0.0</v>
      </c>
      <c r="I40" s="20">
        <v>0.0</v>
      </c>
      <c r="J40" s="22">
        <v>0.0</v>
      </c>
    </row>
    <row r="41">
      <c r="A41" s="18" t="s">
        <v>36</v>
      </c>
      <c r="B41" s="19">
        <v>1.0</v>
      </c>
      <c r="C41" s="20">
        <v>0.0</v>
      </c>
      <c r="D41" s="20">
        <v>0.0</v>
      </c>
      <c r="E41" s="20">
        <v>0.0</v>
      </c>
      <c r="F41" s="20">
        <v>5.0</v>
      </c>
      <c r="G41" s="20">
        <v>1.2</v>
      </c>
      <c r="H41" s="21">
        <v>0.0</v>
      </c>
      <c r="I41" s="20">
        <v>100.0</v>
      </c>
      <c r="J41" s="22">
        <v>0.0</v>
      </c>
    </row>
    <row r="42">
      <c r="A42" s="18" t="s">
        <v>44</v>
      </c>
      <c r="B42" s="19">
        <v>1.0</v>
      </c>
      <c r="C42" s="20">
        <v>1.0</v>
      </c>
      <c r="D42" s="20">
        <v>1.0</v>
      </c>
      <c r="E42" s="20">
        <v>5.0</v>
      </c>
      <c r="F42" s="20">
        <v>5.0</v>
      </c>
      <c r="G42" s="20">
        <v>1.2</v>
      </c>
      <c r="H42" s="21">
        <v>-0.8</v>
      </c>
      <c r="I42" s="20">
        <v>12.5</v>
      </c>
      <c r="J42" s="22">
        <v>12.5</v>
      </c>
    </row>
    <row r="43">
      <c r="A43" s="18" t="s">
        <v>25</v>
      </c>
      <c r="B43" s="19">
        <v>0.0</v>
      </c>
      <c r="C43" s="20">
        <v>1.0</v>
      </c>
      <c r="D43" s="20">
        <v>0.0</v>
      </c>
      <c r="E43" s="20">
        <v>6.0</v>
      </c>
      <c r="F43" s="20">
        <v>5.0</v>
      </c>
      <c r="G43" s="20">
        <v>0.8</v>
      </c>
      <c r="H43" s="21">
        <v>0.0</v>
      </c>
      <c r="I43" s="20">
        <v>0.0</v>
      </c>
      <c r="J43" s="22">
        <v>0.0</v>
      </c>
    </row>
    <row r="44">
      <c r="A44" s="18" t="s">
        <v>20</v>
      </c>
      <c r="B44" s="19">
        <v>1.0</v>
      </c>
      <c r="C44" s="20">
        <v>0.0</v>
      </c>
      <c r="D44" s="20">
        <v>1.0</v>
      </c>
      <c r="E44" s="20">
        <v>2.0</v>
      </c>
      <c r="F44" s="20">
        <v>5.0</v>
      </c>
      <c r="G44" s="20">
        <v>0.4</v>
      </c>
      <c r="H44" s="21">
        <v>-0.8</v>
      </c>
      <c r="I44" s="20">
        <v>25.0</v>
      </c>
      <c r="J44" s="22">
        <v>25.0</v>
      </c>
    </row>
    <row r="45">
      <c r="A45" s="18" t="s">
        <v>41</v>
      </c>
      <c r="B45" s="19">
        <v>1.0</v>
      </c>
      <c r="C45" s="20">
        <v>2.0</v>
      </c>
      <c r="D45" s="20">
        <v>3.0</v>
      </c>
      <c r="E45" s="20">
        <v>26.0</v>
      </c>
      <c r="F45" s="20">
        <v>5.0</v>
      </c>
      <c r="G45" s="20">
        <v>0.4</v>
      </c>
      <c r="H45" s="21">
        <v>-2.4</v>
      </c>
      <c r="I45" s="20">
        <v>3.13</v>
      </c>
      <c r="J45" s="22">
        <v>9.38</v>
      </c>
    </row>
    <row r="46">
      <c r="A46" s="18" t="s">
        <v>45</v>
      </c>
      <c r="B46" s="19">
        <v>0.0</v>
      </c>
      <c r="C46" s="20">
        <v>0.0</v>
      </c>
      <c r="D46" s="20">
        <v>0.0</v>
      </c>
      <c r="E46" s="20">
        <v>0.0</v>
      </c>
      <c r="F46" s="20">
        <v>3.0</v>
      </c>
      <c r="G46" s="20">
        <v>0.0</v>
      </c>
      <c r="H46" s="21">
        <v>0.0</v>
      </c>
      <c r="I46" s="20" t="e">
        <v>#DIV/0!</v>
      </c>
      <c r="J46" s="22" t="e">
        <v>#DIV/0!</v>
      </c>
    </row>
    <row r="47">
      <c r="A47" s="7" t="s">
        <v>52</v>
      </c>
      <c r="B47" s="8">
        <v>0.0</v>
      </c>
      <c r="C47" s="9">
        <v>2.0</v>
      </c>
      <c r="D47" s="9">
        <v>3.0</v>
      </c>
      <c r="E47" s="9">
        <v>2.0</v>
      </c>
      <c r="F47" s="9">
        <v>5.0</v>
      </c>
      <c r="G47" s="9">
        <v>-0.8</v>
      </c>
      <c r="H47" s="11">
        <v>-2.4</v>
      </c>
      <c r="I47" s="9">
        <v>0.0</v>
      </c>
      <c r="J47" s="12">
        <v>42.86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23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5" t="s">
        <v>6</v>
      </c>
      <c r="H1" s="27" t="s">
        <v>7</v>
      </c>
      <c r="I1" s="25" t="s">
        <v>8</v>
      </c>
      <c r="J1" s="28" t="s">
        <v>9</v>
      </c>
    </row>
    <row r="2">
      <c r="A2" s="13" t="str">
        <f t="array" ref="A2:J48">SORT('Raw Stats '!A1:J47,8,TRUE)</f>
        <v>Theenash Sengupta</v>
      </c>
      <c r="B2" s="14">
        <v>39.0</v>
      </c>
      <c r="C2" s="15">
        <v>7.0</v>
      </c>
      <c r="D2" s="15">
        <v>16.0</v>
      </c>
      <c r="E2" s="15">
        <v>5.0</v>
      </c>
      <c r="F2" s="15">
        <v>5.0</v>
      </c>
      <c r="G2" s="15">
        <v>39.6</v>
      </c>
      <c r="H2" s="15">
        <v>-12.8</v>
      </c>
      <c r="I2" s="15">
        <v>58.21</v>
      </c>
      <c r="J2" s="15">
        <v>23.88</v>
      </c>
    </row>
    <row r="3">
      <c r="A3" s="13" t="s">
        <v>21</v>
      </c>
      <c r="B3" s="14">
        <v>49.0</v>
      </c>
      <c r="C3" s="15">
        <v>16.0</v>
      </c>
      <c r="D3" s="15">
        <v>13.0</v>
      </c>
      <c r="E3" s="15">
        <v>6.0</v>
      </c>
      <c r="F3" s="15">
        <v>5.0</v>
      </c>
      <c r="G3" s="15">
        <v>61.2</v>
      </c>
      <c r="H3" s="16">
        <v>-10.4</v>
      </c>
      <c r="I3" s="15">
        <v>58.33</v>
      </c>
      <c r="J3" s="17">
        <v>15.48</v>
      </c>
    </row>
    <row r="4">
      <c r="A4" s="18" t="s">
        <v>39</v>
      </c>
      <c r="B4" s="19">
        <v>15.0</v>
      </c>
      <c r="C4" s="20">
        <v>16.0</v>
      </c>
      <c r="D4" s="20">
        <v>12.0</v>
      </c>
      <c r="E4" s="20">
        <v>12.0</v>
      </c>
      <c r="F4" s="20">
        <v>5.0</v>
      </c>
      <c r="G4" s="20">
        <v>21.2</v>
      </c>
      <c r="H4" s="21">
        <v>-9.6</v>
      </c>
      <c r="I4" s="20">
        <v>27.27</v>
      </c>
      <c r="J4" s="22">
        <v>21.82</v>
      </c>
    </row>
    <row r="5">
      <c r="A5" s="18" t="s">
        <v>51</v>
      </c>
      <c r="B5" s="19">
        <v>18.0</v>
      </c>
      <c r="C5" s="20">
        <v>10.0</v>
      </c>
      <c r="D5" s="20">
        <v>12.0</v>
      </c>
      <c r="E5" s="20">
        <v>12.0</v>
      </c>
      <c r="F5" s="20">
        <v>5.0</v>
      </c>
      <c r="G5" s="20">
        <v>20.0</v>
      </c>
      <c r="H5" s="21">
        <v>-9.6</v>
      </c>
      <c r="I5" s="20">
        <v>34.62</v>
      </c>
      <c r="J5" s="22">
        <v>23.08</v>
      </c>
    </row>
    <row r="6">
      <c r="A6" s="18" t="s">
        <v>16</v>
      </c>
      <c r="B6" s="19">
        <v>24.0</v>
      </c>
      <c r="C6" s="20">
        <v>19.0</v>
      </c>
      <c r="D6" s="20">
        <v>11.0</v>
      </c>
      <c r="E6" s="20">
        <v>11.0</v>
      </c>
      <c r="F6" s="20">
        <v>5.0</v>
      </c>
      <c r="G6" s="20">
        <v>35.2</v>
      </c>
      <c r="H6" s="21">
        <v>-8.8</v>
      </c>
      <c r="I6" s="20">
        <v>36.92</v>
      </c>
      <c r="J6" s="22">
        <v>16.92</v>
      </c>
    </row>
    <row r="7">
      <c r="A7" s="18" t="s">
        <v>46</v>
      </c>
      <c r="B7" s="19">
        <v>49.0</v>
      </c>
      <c r="C7" s="20">
        <v>19.0</v>
      </c>
      <c r="D7" s="20">
        <v>10.0</v>
      </c>
      <c r="E7" s="20">
        <v>4.0</v>
      </c>
      <c r="F7" s="20">
        <v>5.0</v>
      </c>
      <c r="G7" s="20">
        <v>66.0</v>
      </c>
      <c r="H7" s="21">
        <v>-8.0</v>
      </c>
      <c r="I7" s="20">
        <v>59.76</v>
      </c>
      <c r="J7" s="22">
        <v>12.2</v>
      </c>
    </row>
    <row r="8">
      <c r="A8" s="18" t="s">
        <v>30</v>
      </c>
      <c r="B8" s="19">
        <v>34.0</v>
      </c>
      <c r="C8" s="20">
        <v>9.0</v>
      </c>
      <c r="D8" s="20">
        <v>9.0</v>
      </c>
      <c r="E8" s="20">
        <v>19.0</v>
      </c>
      <c r="F8" s="20">
        <v>5.0</v>
      </c>
      <c r="G8" s="20">
        <v>40.8</v>
      </c>
      <c r="H8" s="21">
        <v>-7.2</v>
      </c>
      <c r="I8" s="20">
        <v>47.89</v>
      </c>
      <c r="J8" s="22">
        <v>12.68</v>
      </c>
    </row>
    <row r="9">
      <c r="A9" s="18" t="s">
        <v>32</v>
      </c>
      <c r="B9" s="19">
        <v>8.0</v>
      </c>
      <c r="C9" s="20">
        <v>0.0</v>
      </c>
      <c r="D9" s="20">
        <v>9.0</v>
      </c>
      <c r="E9" s="20">
        <v>5.0</v>
      </c>
      <c r="F9" s="20">
        <v>5.0</v>
      </c>
      <c r="G9" s="20">
        <v>2.4</v>
      </c>
      <c r="H9" s="21">
        <v>-7.2</v>
      </c>
      <c r="I9" s="20">
        <v>36.36</v>
      </c>
      <c r="J9" s="22">
        <v>40.91</v>
      </c>
    </row>
    <row r="10">
      <c r="A10" s="18" t="s">
        <v>48</v>
      </c>
      <c r="B10" s="19">
        <v>21.0</v>
      </c>
      <c r="C10" s="20">
        <v>19.0</v>
      </c>
      <c r="D10" s="20">
        <v>9.0</v>
      </c>
      <c r="E10" s="20">
        <v>8.0</v>
      </c>
      <c r="F10" s="20">
        <v>5.0</v>
      </c>
      <c r="G10" s="20">
        <v>33.2</v>
      </c>
      <c r="H10" s="21">
        <v>-7.2</v>
      </c>
      <c r="I10" s="20">
        <v>36.84</v>
      </c>
      <c r="J10" s="22">
        <v>15.79</v>
      </c>
    </row>
    <row r="11">
      <c r="A11" s="18" t="s">
        <v>33</v>
      </c>
      <c r="B11" s="19">
        <v>45.0</v>
      </c>
      <c r="C11" s="20">
        <v>15.0</v>
      </c>
      <c r="D11" s="20">
        <v>7.0</v>
      </c>
      <c r="E11" s="20">
        <v>8.0</v>
      </c>
      <c r="F11" s="20">
        <v>5.0</v>
      </c>
      <c r="G11" s="20">
        <v>60.4</v>
      </c>
      <c r="H11" s="21">
        <v>-5.6</v>
      </c>
      <c r="I11" s="20">
        <v>60.0</v>
      </c>
      <c r="J11" s="22">
        <v>9.33</v>
      </c>
    </row>
    <row r="12">
      <c r="A12" s="18" t="s">
        <v>53</v>
      </c>
      <c r="B12" s="19">
        <v>3.0</v>
      </c>
      <c r="C12" s="20">
        <v>12.0</v>
      </c>
      <c r="D12" s="20">
        <v>7.0</v>
      </c>
      <c r="E12" s="20">
        <v>11.0</v>
      </c>
      <c r="F12" s="20">
        <v>5.0</v>
      </c>
      <c r="G12" s="20">
        <v>7.6</v>
      </c>
      <c r="H12" s="21">
        <v>-5.6</v>
      </c>
      <c r="I12" s="20">
        <v>9.09</v>
      </c>
      <c r="J12" s="22">
        <v>21.21</v>
      </c>
    </row>
    <row r="13">
      <c r="A13" s="18" t="s">
        <v>55</v>
      </c>
      <c r="B13" s="19">
        <v>5.0</v>
      </c>
      <c r="C13" s="20">
        <v>17.0</v>
      </c>
      <c r="D13" s="20">
        <v>7.0</v>
      </c>
      <c r="E13" s="20">
        <v>28.0</v>
      </c>
      <c r="F13" s="20">
        <v>5.0</v>
      </c>
      <c r="G13" s="20">
        <v>14.0</v>
      </c>
      <c r="H13" s="21">
        <v>-5.6</v>
      </c>
      <c r="I13" s="20">
        <v>8.77</v>
      </c>
      <c r="J13" s="22">
        <v>12.28</v>
      </c>
    </row>
    <row r="14">
      <c r="A14" s="18" t="s">
        <v>10</v>
      </c>
      <c r="B14" s="19">
        <v>36.0</v>
      </c>
      <c r="C14" s="20">
        <v>11.0</v>
      </c>
      <c r="D14" s="20">
        <v>6.0</v>
      </c>
      <c r="E14" s="20">
        <v>3.0</v>
      </c>
      <c r="F14" s="20">
        <v>5.0</v>
      </c>
      <c r="G14" s="20">
        <v>47.2</v>
      </c>
      <c r="H14" s="21">
        <v>-4.8</v>
      </c>
      <c r="I14" s="20">
        <v>64.29</v>
      </c>
      <c r="J14" s="22">
        <v>10.71</v>
      </c>
    </row>
    <row r="15">
      <c r="A15" s="18" t="s">
        <v>23</v>
      </c>
      <c r="B15" s="19">
        <v>28.0</v>
      </c>
      <c r="C15" s="20">
        <v>15.0</v>
      </c>
      <c r="D15" s="20">
        <v>6.0</v>
      </c>
      <c r="E15" s="20">
        <v>4.0</v>
      </c>
      <c r="F15" s="20">
        <v>5.0</v>
      </c>
      <c r="G15" s="20">
        <v>40.8</v>
      </c>
      <c r="H15" s="21">
        <v>-4.8</v>
      </c>
      <c r="I15" s="20">
        <v>52.83</v>
      </c>
      <c r="J15" s="22">
        <v>11.32</v>
      </c>
    </row>
    <row r="16">
      <c r="A16" s="18" t="s">
        <v>14</v>
      </c>
      <c r="B16" s="19">
        <v>15.0</v>
      </c>
      <c r="C16" s="20">
        <v>10.0</v>
      </c>
      <c r="D16" s="20">
        <v>5.0</v>
      </c>
      <c r="E16" s="20">
        <v>13.0</v>
      </c>
      <c r="F16" s="20">
        <v>5.0</v>
      </c>
      <c r="G16" s="20">
        <v>22.0</v>
      </c>
      <c r="H16" s="21">
        <v>-4.0</v>
      </c>
      <c r="I16" s="20">
        <v>34.88</v>
      </c>
      <c r="J16" s="22">
        <v>11.63</v>
      </c>
    </row>
    <row r="17">
      <c r="A17" s="18" t="s">
        <v>19</v>
      </c>
      <c r="B17" s="19">
        <v>5.0</v>
      </c>
      <c r="C17" s="20">
        <v>11.0</v>
      </c>
      <c r="D17" s="20">
        <v>5.0</v>
      </c>
      <c r="E17" s="20">
        <v>13.0</v>
      </c>
      <c r="F17" s="20">
        <v>5.0</v>
      </c>
      <c r="G17" s="20">
        <v>10.8</v>
      </c>
      <c r="H17" s="21">
        <v>-4.0</v>
      </c>
      <c r="I17" s="20">
        <v>14.71</v>
      </c>
      <c r="J17" s="22">
        <v>14.71</v>
      </c>
    </row>
    <row r="18">
      <c r="A18" s="18" t="s">
        <v>26</v>
      </c>
      <c r="B18" s="19">
        <v>0.0</v>
      </c>
      <c r="C18" s="20">
        <v>9.0</v>
      </c>
      <c r="D18" s="20">
        <v>5.0</v>
      </c>
      <c r="E18" s="20">
        <v>16.0</v>
      </c>
      <c r="F18" s="20">
        <v>5.0</v>
      </c>
      <c r="G18" s="20">
        <v>3.2</v>
      </c>
      <c r="H18" s="21">
        <v>-4.0</v>
      </c>
      <c r="I18" s="20">
        <v>0.0</v>
      </c>
      <c r="J18" s="22">
        <v>16.67</v>
      </c>
    </row>
    <row r="19">
      <c r="A19" s="18" t="s">
        <v>28</v>
      </c>
      <c r="B19" s="19">
        <v>13.0</v>
      </c>
      <c r="C19" s="20">
        <v>11.0</v>
      </c>
      <c r="D19" s="20">
        <v>5.0</v>
      </c>
      <c r="E19" s="20">
        <v>1.0</v>
      </c>
      <c r="F19" s="20">
        <v>5.0</v>
      </c>
      <c r="G19" s="20">
        <v>20.4</v>
      </c>
      <c r="H19" s="21">
        <v>-4.0</v>
      </c>
      <c r="I19" s="20">
        <v>43.33</v>
      </c>
      <c r="J19" s="22">
        <v>16.67</v>
      </c>
    </row>
    <row r="20">
      <c r="A20" s="18" t="s">
        <v>35</v>
      </c>
      <c r="B20" s="19">
        <v>44.0</v>
      </c>
      <c r="C20" s="20">
        <v>15.0</v>
      </c>
      <c r="D20" s="20">
        <v>5.0</v>
      </c>
      <c r="E20" s="20">
        <v>11.0</v>
      </c>
      <c r="F20" s="20">
        <v>5.0</v>
      </c>
      <c r="G20" s="20">
        <v>60.8</v>
      </c>
      <c r="H20" s="21">
        <v>-4.0</v>
      </c>
      <c r="I20" s="20">
        <v>58.67</v>
      </c>
      <c r="J20" s="22">
        <v>6.67</v>
      </c>
    </row>
    <row r="21">
      <c r="A21" s="18" t="s">
        <v>47</v>
      </c>
      <c r="B21" s="19">
        <v>8.0</v>
      </c>
      <c r="C21" s="20">
        <v>10.0</v>
      </c>
      <c r="D21" s="20">
        <v>5.0</v>
      </c>
      <c r="E21" s="20">
        <v>0.0</v>
      </c>
      <c r="F21" s="20">
        <v>5.0</v>
      </c>
      <c r="G21" s="20">
        <v>13.6</v>
      </c>
      <c r="H21" s="21">
        <v>-4.0</v>
      </c>
      <c r="I21" s="20">
        <v>34.78</v>
      </c>
      <c r="J21" s="22">
        <v>21.74</v>
      </c>
    </row>
    <row r="22">
      <c r="A22" s="18" t="s">
        <v>50</v>
      </c>
      <c r="B22" s="19">
        <v>11.0</v>
      </c>
      <c r="C22" s="20">
        <v>11.0</v>
      </c>
      <c r="D22" s="20">
        <v>5.0</v>
      </c>
      <c r="E22" s="20">
        <v>12.0</v>
      </c>
      <c r="F22" s="20">
        <v>5.0</v>
      </c>
      <c r="G22" s="20">
        <v>18.0</v>
      </c>
      <c r="H22" s="21">
        <v>-4.0</v>
      </c>
      <c r="I22" s="20">
        <v>28.21</v>
      </c>
      <c r="J22" s="22">
        <v>12.82</v>
      </c>
    </row>
    <row r="23">
      <c r="A23" s="18" t="s">
        <v>13</v>
      </c>
      <c r="B23" s="19">
        <v>14.0</v>
      </c>
      <c r="C23" s="20">
        <v>20.0</v>
      </c>
      <c r="D23" s="20">
        <v>4.0</v>
      </c>
      <c r="E23" s="20">
        <v>10.0</v>
      </c>
      <c r="F23" s="20">
        <v>5.0</v>
      </c>
      <c r="G23" s="20">
        <v>29.6</v>
      </c>
      <c r="H23" s="21">
        <v>-3.2</v>
      </c>
      <c r="I23" s="20">
        <v>29.17</v>
      </c>
      <c r="J23" s="22">
        <v>8.33</v>
      </c>
    </row>
    <row r="24">
      <c r="A24" s="18" t="s">
        <v>34</v>
      </c>
      <c r="B24" s="19">
        <v>10.0</v>
      </c>
      <c r="C24" s="20">
        <v>2.0</v>
      </c>
      <c r="D24" s="20">
        <v>4.0</v>
      </c>
      <c r="E24" s="20">
        <v>0.0</v>
      </c>
      <c r="F24" s="20">
        <v>5.0</v>
      </c>
      <c r="G24" s="20">
        <v>10.4</v>
      </c>
      <c r="H24" s="21">
        <v>-3.2</v>
      </c>
      <c r="I24" s="20">
        <v>62.5</v>
      </c>
      <c r="J24" s="22">
        <v>25.0</v>
      </c>
    </row>
    <row r="25">
      <c r="A25" s="18" t="s">
        <v>49</v>
      </c>
      <c r="B25" s="19">
        <v>3.0</v>
      </c>
      <c r="C25" s="20">
        <v>9.0</v>
      </c>
      <c r="D25" s="20">
        <v>4.0</v>
      </c>
      <c r="E25" s="20">
        <v>7.0</v>
      </c>
      <c r="F25" s="20">
        <v>5.0</v>
      </c>
      <c r="G25" s="20">
        <v>7.6</v>
      </c>
      <c r="H25" s="21">
        <v>-3.2</v>
      </c>
      <c r="I25" s="20">
        <v>13.04</v>
      </c>
      <c r="J25" s="22">
        <v>17.39</v>
      </c>
    </row>
    <row r="26">
      <c r="A26" s="18" t="s">
        <v>17</v>
      </c>
      <c r="B26" s="19">
        <v>16.0</v>
      </c>
      <c r="C26" s="20">
        <v>6.0</v>
      </c>
      <c r="D26" s="20">
        <v>3.0</v>
      </c>
      <c r="E26" s="20">
        <v>1.0</v>
      </c>
      <c r="F26" s="20">
        <v>5.0</v>
      </c>
      <c r="G26" s="20">
        <v>21.6</v>
      </c>
      <c r="H26" s="21">
        <v>-2.4</v>
      </c>
      <c r="I26" s="20">
        <v>61.54</v>
      </c>
      <c r="J26" s="22">
        <v>11.54</v>
      </c>
    </row>
    <row r="27">
      <c r="A27" s="18" t="s">
        <v>41</v>
      </c>
      <c r="B27" s="19">
        <v>1.0</v>
      </c>
      <c r="C27" s="20">
        <v>2.0</v>
      </c>
      <c r="D27" s="20">
        <v>3.0</v>
      </c>
      <c r="E27" s="20">
        <v>26.0</v>
      </c>
      <c r="F27" s="20">
        <v>5.0</v>
      </c>
      <c r="G27" s="20">
        <v>0.4</v>
      </c>
      <c r="H27" s="21">
        <v>-2.4</v>
      </c>
      <c r="I27" s="20">
        <v>3.13</v>
      </c>
      <c r="J27" s="22">
        <v>9.38</v>
      </c>
    </row>
    <row r="28">
      <c r="A28" s="18" t="s">
        <v>52</v>
      </c>
      <c r="B28" s="19">
        <v>0.0</v>
      </c>
      <c r="C28" s="20">
        <v>2.0</v>
      </c>
      <c r="D28" s="20">
        <v>3.0</v>
      </c>
      <c r="E28" s="20">
        <v>2.0</v>
      </c>
      <c r="F28" s="20">
        <v>5.0</v>
      </c>
      <c r="G28" s="20">
        <v>-0.8</v>
      </c>
      <c r="H28" s="21">
        <v>-2.4</v>
      </c>
      <c r="I28" s="20">
        <v>0.0</v>
      </c>
      <c r="J28" s="22">
        <v>42.86</v>
      </c>
    </row>
    <row r="29">
      <c r="A29" s="18" t="s">
        <v>22</v>
      </c>
      <c r="B29" s="19">
        <v>1.0</v>
      </c>
      <c r="C29" s="20">
        <v>1.0</v>
      </c>
      <c r="D29" s="20">
        <v>1.0</v>
      </c>
      <c r="E29" s="20">
        <v>3.0</v>
      </c>
      <c r="F29" s="20">
        <v>2.0</v>
      </c>
      <c r="G29" s="20">
        <v>3.0</v>
      </c>
      <c r="H29" s="21">
        <v>-2.0</v>
      </c>
      <c r="I29" s="20">
        <v>16.67</v>
      </c>
      <c r="J29" s="22">
        <v>16.67</v>
      </c>
    </row>
    <row r="30">
      <c r="A30" s="18" t="s">
        <v>12</v>
      </c>
      <c r="B30" s="19">
        <v>3.0</v>
      </c>
      <c r="C30" s="20">
        <v>1.0</v>
      </c>
      <c r="D30" s="20">
        <v>2.0</v>
      </c>
      <c r="E30" s="20">
        <v>0.0</v>
      </c>
      <c r="F30" s="20">
        <v>5.0</v>
      </c>
      <c r="G30" s="20">
        <v>2.8</v>
      </c>
      <c r="H30" s="21">
        <v>-1.6</v>
      </c>
      <c r="I30" s="20">
        <v>50.0</v>
      </c>
      <c r="J30" s="22">
        <v>33.33</v>
      </c>
    </row>
    <row r="31">
      <c r="A31" s="18" t="s">
        <v>27</v>
      </c>
      <c r="B31" s="19">
        <v>16.0</v>
      </c>
      <c r="C31" s="20">
        <v>10.0</v>
      </c>
      <c r="D31" s="20">
        <v>2.0</v>
      </c>
      <c r="E31" s="20">
        <v>5.0</v>
      </c>
      <c r="F31" s="20">
        <v>5.0</v>
      </c>
      <c r="G31" s="20">
        <v>25.6</v>
      </c>
      <c r="H31" s="21">
        <v>-1.6</v>
      </c>
      <c r="I31" s="20">
        <v>48.48</v>
      </c>
      <c r="J31" s="22">
        <v>6.06</v>
      </c>
    </row>
    <row r="32">
      <c r="A32" s="18" t="s">
        <v>37</v>
      </c>
      <c r="B32" s="19">
        <v>15.0</v>
      </c>
      <c r="C32" s="20">
        <v>15.0</v>
      </c>
      <c r="D32" s="20">
        <v>2.0</v>
      </c>
      <c r="E32" s="20">
        <v>3.0</v>
      </c>
      <c r="F32" s="20">
        <v>5.0</v>
      </c>
      <c r="G32" s="20">
        <v>28.4</v>
      </c>
      <c r="H32" s="21">
        <v>-1.6</v>
      </c>
      <c r="I32" s="20">
        <v>42.86</v>
      </c>
      <c r="J32" s="22">
        <v>5.71</v>
      </c>
    </row>
    <row r="33">
      <c r="A33" s="18" t="s">
        <v>43</v>
      </c>
      <c r="B33" s="19">
        <v>1.0</v>
      </c>
      <c r="C33" s="20">
        <v>3.0</v>
      </c>
      <c r="D33" s="20">
        <v>2.0</v>
      </c>
      <c r="E33" s="20">
        <v>11.0</v>
      </c>
      <c r="F33" s="20">
        <v>5.0</v>
      </c>
      <c r="G33" s="20">
        <v>2.0</v>
      </c>
      <c r="H33" s="21">
        <v>-1.6</v>
      </c>
      <c r="I33" s="20">
        <v>5.88</v>
      </c>
      <c r="J33" s="22">
        <v>11.76</v>
      </c>
    </row>
    <row r="34">
      <c r="A34" s="18" t="s">
        <v>54</v>
      </c>
      <c r="B34" s="19">
        <v>3.0</v>
      </c>
      <c r="C34" s="20">
        <v>2.0</v>
      </c>
      <c r="D34" s="20">
        <v>2.0</v>
      </c>
      <c r="E34" s="20">
        <v>1.0</v>
      </c>
      <c r="F34" s="20">
        <v>5.0</v>
      </c>
      <c r="G34" s="20">
        <v>3.6</v>
      </c>
      <c r="H34" s="21">
        <v>-1.6</v>
      </c>
      <c r="I34" s="20">
        <v>37.5</v>
      </c>
      <c r="J34" s="22">
        <v>25.0</v>
      </c>
    </row>
    <row r="35">
      <c r="A35" s="18" t="s">
        <v>11</v>
      </c>
      <c r="B35" s="19">
        <v>15.0</v>
      </c>
      <c r="C35" s="20">
        <v>7.0</v>
      </c>
      <c r="D35" s="20">
        <v>1.0</v>
      </c>
      <c r="E35" s="20">
        <v>3.0</v>
      </c>
      <c r="F35" s="20">
        <v>5.0</v>
      </c>
      <c r="G35" s="20">
        <v>22.8</v>
      </c>
      <c r="H35" s="21">
        <v>-0.8</v>
      </c>
      <c r="I35" s="20">
        <v>57.69</v>
      </c>
      <c r="J35" s="22">
        <v>3.85</v>
      </c>
    </row>
    <row r="36">
      <c r="A36" s="18" t="s">
        <v>20</v>
      </c>
      <c r="B36" s="19">
        <v>1.0</v>
      </c>
      <c r="C36" s="20">
        <v>0.0</v>
      </c>
      <c r="D36" s="20">
        <v>1.0</v>
      </c>
      <c r="E36" s="20">
        <v>2.0</v>
      </c>
      <c r="F36" s="20">
        <v>5.0</v>
      </c>
      <c r="G36" s="20">
        <v>0.4</v>
      </c>
      <c r="H36" s="21">
        <v>-0.8</v>
      </c>
      <c r="I36" s="20">
        <v>25.0</v>
      </c>
      <c r="J36" s="22">
        <v>25.0</v>
      </c>
    </row>
    <row r="37">
      <c r="A37" s="18" t="s">
        <v>24</v>
      </c>
      <c r="B37" s="19">
        <v>3.0</v>
      </c>
      <c r="C37" s="20">
        <v>3.0</v>
      </c>
      <c r="D37" s="20">
        <v>1.0</v>
      </c>
      <c r="E37" s="20">
        <v>3.0</v>
      </c>
      <c r="F37" s="20">
        <v>5.0</v>
      </c>
      <c r="G37" s="20">
        <v>5.2</v>
      </c>
      <c r="H37" s="21">
        <v>-0.8</v>
      </c>
      <c r="I37" s="20">
        <v>30.0</v>
      </c>
      <c r="J37" s="22">
        <v>10.0</v>
      </c>
    </row>
    <row r="38">
      <c r="A38" s="18" t="s">
        <v>31</v>
      </c>
      <c r="B38" s="19">
        <v>11.0</v>
      </c>
      <c r="C38" s="20">
        <v>11.0</v>
      </c>
      <c r="D38" s="20">
        <v>1.0</v>
      </c>
      <c r="E38" s="20">
        <v>14.0</v>
      </c>
      <c r="F38" s="20">
        <v>5.0</v>
      </c>
      <c r="G38" s="20">
        <v>21.2</v>
      </c>
      <c r="H38" s="21">
        <v>-0.8</v>
      </c>
      <c r="I38" s="20">
        <v>29.73</v>
      </c>
      <c r="J38" s="22">
        <v>2.7</v>
      </c>
    </row>
    <row r="39">
      <c r="A39" s="18" t="s">
        <v>38</v>
      </c>
      <c r="B39" s="19">
        <v>14.0</v>
      </c>
      <c r="C39" s="20">
        <v>10.0</v>
      </c>
      <c r="D39" s="20">
        <v>1.0</v>
      </c>
      <c r="E39" s="20">
        <v>3.0</v>
      </c>
      <c r="F39" s="20">
        <v>5.0</v>
      </c>
      <c r="G39" s="20">
        <v>24.0</v>
      </c>
      <c r="H39" s="21">
        <v>-0.8</v>
      </c>
      <c r="I39" s="20">
        <v>50.0</v>
      </c>
      <c r="J39" s="22">
        <v>3.57</v>
      </c>
    </row>
    <row r="40">
      <c r="A40" s="18" t="s">
        <v>44</v>
      </c>
      <c r="B40" s="19">
        <v>1.0</v>
      </c>
      <c r="C40" s="20">
        <v>1.0</v>
      </c>
      <c r="D40" s="20">
        <v>1.0</v>
      </c>
      <c r="E40" s="20">
        <v>5.0</v>
      </c>
      <c r="F40" s="20">
        <v>5.0</v>
      </c>
      <c r="G40" s="20">
        <v>1.2</v>
      </c>
      <c r="H40" s="21">
        <v>-0.8</v>
      </c>
      <c r="I40" s="20">
        <v>12.5</v>
      </c>
      <c r="J40" s="22">
        <v>12.5</v>
      </c>
    </row>
    <row r="41">
      <c r="A41" s="18" t="s">
        <v>15</v>
      </c>
      <c r="B41" s="19">
        <v>0.0</v>
      </c>
      <c r="C41" s="20">
        <v>3.0</v>
      </c>
      <c r="D41" s="20">
        <v>0.0</v>
      </c>
      <c r="E41" s="20">
        <v>4.0</v>
      </c>
      <c r="F41" s="20">
        <v>5.0</v>
      </c>
      <c r="G41" s="20">
        <v>2.4</v>
      </c>
      <c r="H41" s="21">
        <v>0.0</v>
      </c>
      <c r="I41" s="20">
        <v>0.0</v>
      </c>
      <c r="J41" s="22">
        <v>0.0</v>
      </c>
    </row>
    <row r="42">
      <c r="A42" s="18" t="s">
        <v>25</v>
      </c>
      <c r="B42" s="19">
        <v>0.0</v>
      </c>
      <c r="C42" s="20">
        <v>1.0</v>
      </c>
      <c r="D42" s="20">
        <v>0.0</v>
      </c>
      <c r="E42" s="20">
        <v>6.0</v>
      </c>
      <c r="F42" s="20">
        <v>5.0</v>
      </c>
      <c r="G42" s="20">
        <v>0.8</v>
      </c>
      <c r="H42" s="21">
        <v>0.0</v>
      </c>
      <c r="I42" s="20">
        <v>0.0</v>
      </c>
      <c r="J42" s="22">
        <v>0.0</v>
      </c>
    </row>
    <row r="43">
      <c r="A43" s="18" t="s">
        <v>29</v>
      </c>
      <c r="B43" s="19">
        <v>1.0</v>
      </c>
      <c r="C43" s="20">
        <v>2.0</v>
      </c>
      <c r="D43" s="20">
        <v>0.0</v>
      </c>
      <c r="E43" s="20">
        <v>0.0</v>
      </c>
      <c r="F43" s="20">
        <v>5.0</v>
      </c>
      <c r="G43" s="20">
        <v>2.8</v>
      </c>
      <c r="H43" s="21">
        <v>0.0</v>
      </c>
      <c r="I43" s="20">
        <v>33.33</v>
      </c>
      <c r="J43" s="22">
        <v>0.0</v>
      </c>
    </row>
    <row r="44">
      <c r="A44" s="18" t="s">
        <v>36</v>
      </c>
      <c r="B44" s="19">
        <v>1.0</v>
      </c>
      <c r="C44" s="20">
        <v>0.0</v>
      </c>
      <c r="D44" s="20">
        <v>0.0</v>
      </c>
      <c r="E44" s="20">
        <v>0.0</v>
      </c>
      <c r="F44" s="20">
        <v>5.0</v>
      </c>
      <c r="G44" s="20">
        <v>1.2</v>
      </c>
      <c r="H44" s="21">
        <v>0.0</v>
      </c>
      <c r="I44" s="20">
        <v>100.0</v>
      </c>
      <c r="J44" s="22">
        <v>0.0</v>
      </c>
    </row>
    <row r="45">
      <c r="A45" s="18" t="s">
        <v>40</v>
      </c>
      <c r="B45" s="19">
        <v>1.0</v>
      </c>
      <c r="C45" s="20">
        <v>1.0</v>
      </c>
      <c r="D45" s="20">
        <v>0.0</v>
      </c>
      <c r="E45" s="20">
        <v>0.0</v>
      </c>
      <c r="F45" s="20">
        <v>5.0</v>
      </c>
      <c r="G45" s="20">
        <v>2.0</v>
      </c>
      <c r="H45" s="21">
        <v>0.0</v>
      </c>
      <c r="I45" s="20">
        <v>50.0</v>
      </c>
      <c r="J45" s="22">
        <v>0.0</v>
      </c>
    </row>
    <row r="46">
      <c r="A46" s="18" t="s">
        <v>42</v>
      </c>
      <c r="B46" s="19">
        <v>0.0</v>
      </c>
      <c r="C46" s="20">
        <v>2.0</v>
      </c>
      <c r="D46" s="20">
        <v>0.0</v>
      </c>
      <c r="E46" s="20">
        <v>2.0</v>
      </c>
      <c r="F46" s="20">
        <v>5.0</v>
      </c>
      <c r="G46" s="20">
        <v>1.6</v>
      </c>
      <c r="H46" s="21">
        <v>0.0</v>
      </c>
      <c r="I46" s="20">
        <v>0.0</v>
      </c>
      <c r="J46" s="22">
        <v>0.0</v>
      </c>
    </row>
    <row r="47">
      <c r="A47" s="18" t="s">
        <v>45</v>
      </c>
      <c r="B47" s="19">
        <v>0.0</v>
      </c>
      <c r="C47" s="20">
        <v>0.0</v>
      </c>
      <c r="D47" s="20">
        <v>0.0</v>
      </c>
      <c r="E47" s="20">
        <v>0.0</v>
      </c>
      <c r="F47" s="20">
        <v>3.0</v>
      </c>
      <c r="G47" s="20">
        <v>0.0</v>
      </c>
      <c r="H47" s="21">
        <v>0.0</v>
      </c>
      <c r="I47" s="20" t="e">
        <v>#DIV/0!</v>
      </c>
      <c r="J47" s="22" t="e">
        <v>#DIV/0!</v>
      </c>
    </row>
    <row r="48">
      <c r="A48" s="29" t="s">
        <v>0</v>
      </c>
      <c r="B48" s="30" t="s">
        <v>1</v>
      </c>
      <c r="C48" s="31" t="s">
        <v>2</v>
      </c>
      <c r="D48" s="31" t="s">
        <v>3</v>
      </c>
      <c r="E48" s="31" t="s">
        <v>4</v>
      </c>
      <c r="F48" s="32" t="s">
        <v>5</v>
      </c>
      <c r="G48" s="31" t="s">
        <v>6</v>
      </c>
      <c r="H48" s="33" t="s">
        <v>7</v>
      </c>
      <c r="I48" s="31" t="s">
        <v>8</v>
      </c>
      <c r="J48" s="34" t="s">
        <v>9</v>
      </c>
    </row>
  </sheetData>
  <drawing r:id="rId1"/>
</worksheet>
</file>