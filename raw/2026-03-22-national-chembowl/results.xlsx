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OF EVENTS" sheetId="1" r:id="rId5"/>
    <sheet state="visible" name="RR GROUPS" sheetId="2" r:id="rId6"/>
    <sheet state="visible" name="RR MATCHUPS" sheetId="3" r:id="rId7"/>
    <sheet state="visible" name="RR SCORES" sheetId="4" r:id="rId8"/>
    <sheet state="visible" name="DE BRACKET" sheetId="5" r:id="rId9"/>
  </sheets>
  <definedNames/>
  <calcPr/>
</workbook>
</file>

<file path=xl/sharedStrings.xml><?xml version="1.0" encoding="utf-8"?>
<sst xmlns="http://schemas.openxmlformats.org/spreadsheetml/2006/main" count="257" uniqueCount="177">
  <si>
    <t>Round</t>
  </si>
  <si>
    <t>Arrhenius</t>
  </si>
  <si>
    <t>VC</t>
  </si>
  <si>
    <t>Arr-1</t>
  </si>
  <si>
    <t>Arr-2</t>
  </si>
  <si>
    <t>Benzene</t>
  </si>
  <si>
    <t>Arr-3</t>
  </si>
  <si>
    <t>Time (PST)</t>
  </si>
  <si>
    <t>Ben-1</t>
  </si>
  <si>
    <t>Catalyst</t>
  </si>
  <si>
    <t>Dipole</t>
  </si>
  <si>
    <t>Ben-2</t>
  </si>
  <si>
    <t>Ben-3</t>
  </si>
  <si>
    <t>Opening Ceremony</t>
  </si>
  <si>
    <t>A1</t>
  </si>
  <si>
    <t>Cat-1</t>
  </si>
  <si>
    <t>Annor Azgha</t>
  </si>
  <si>
    <t xml:space="preserve">8:00 - 8:15 a.m. </t>
  </si>
  <si>
    <t>Cat-2</t>
  </si>
  <si>
    <t>B1</t>
  </si>
  <si>
    <t>Honeypots and Mosquitos</t>
  </si>
  <si>
    <t>Cat-3</t>
  </si>
  <si>
    <t>C1</t>
  </si>
  <si>
    <t>Caudates</t>
  </si>
  <si>
    <t>Dip-1</t>
  </si>
  <si>
    <t>D1</t>
  </si>
  <si>
    <t>Deakhil</t>
  </si>
  <si>
    <t>RR1</t>
  </si>
  <si>
    <t>Dip-2</t>
  </si>
  <si>
    <t xml:space="preserve">8:20 - 8:55 a.m. </t>
  </si>
  <si>
    <t>Dip-3</t>
  </si>
  <si>
    <t>A2</t>
  </si>
  <si>
    <t>!</t>
  </si>
  <si>
    <t>Knights</t>
  </si>
  <si>
    <t>RR2</t>
  </si>
  <si>
    <t>B2</t>
  </si>
  <si>
    <t xml:space="preserve">8:55 - 9:30 a.m. </t>
  </si>
  <si>
    <t>Walter White Phosphorus</t>
  </si>
  <si>
    <t>C2</t>
  </si>
  <si>
    <t>Cherry Bombs</t>
  </si>
  <si>
    <t>RR3</t>
  </si>
  <si>
    <t>D2</t>
  </si>
  <si>
    <t xml:space="preserve">9:30 - 10:05 a.m. </t>
  </si>
  <si>
    <t>Future Campers</t>
  </si>
  <si>
    <t>Wins</t>
  </si>
  <si>
    <t>Ties</t>
  </si>
  <si>
    <t>Round 1</t>
  </si>
  <si>
    <t>RR4</t>
  </si>
  <si>
    <t>A3</t>
  </si>
  <si>
    <t>A1 vs A6</t>
  </si>
  <si>
    <t xml:space="preserve">10:05 - 10:40 a.m. </t>
  </si>
  <si>
    <t>Grignard Gobblers</t>
  </si>
  <si>
    <t>Losses</t>
  </si>
  <si>
    <t>B3</t>
  </si>
  <si>
    <t>Fatty Acid</t>
  </si>
  <si>
    <t>Points</t>
  </si>
  <si>
    <t>A2 vs A5</t>
  </si>
  <si>
    <t>RR5</t>
  </si>
  <si>
    <t>Team Name</t>
  </si>
  <si>
    <t>A3 vs A4</t>
  </si>
  <si>
    <t xml:space="preserve">10:40 - 11:15 p.m. </t>
  </si>
  <si>
    <t>Score</t>
  </si>
  <si>
    <t>B1 vs B6</t>
  </si>
  <si>
    <t>B2 vs B5</t>
  </si>
  <si>
    <t>C3</t>
  </si>
  <si>
    <t>Kevin Qiu</t>
  </si>
  <si>
    <t>Lunch</t>
  </si>
  <si>
    <t>B3 vs B4</t>
  </si>
  <si>
    <t>D3</t>
  </si>
  <si>
    <t>Alkane Crackers</t>
  </si>
  <si>
    <t xml:space="preserve">11:15 - 12:15 p.m. </t>
  </si>
  <si>
    <t>C1 vs C6</t>
  </si>
  <si>
    <t>C2 vs C5</t>
  </si>
  <si>
    <t>C3 vs C4</t>
  </si>
  <si>
    <t>D1 vs D6</t>
  </si>
  <si>
    <t>A4</t>
  </si>
  <si>
    <t>D2 vs D5</t>
  </si>
  <si>
    <t>Chengcheng</t>
  </si>
  <si>
    <t>DE1</t>
  </si>
  <si>
    <t>D3 vs D4</t>
  </si>
  <si>
    <t>B4</t>
  </si>
  <si>
    <t>Quadratic Acid</t>
  </si>
  <si>
    <t xml:space="preserve">12:15 - 12:55p.m. </t>
  </si>
  <si>
    <t>C4</t>
  </si>
  <si>
    <t>Nonchalant Dreadheads</t>
  </si>
  <si>
    <t>D4</t>
  </si>
  <si>
    <t>DE2</t>
  </si>
  <si>
    <t>Mumbai Mole-esters</t>
  </si>
  <si>
    <t>Round 2</t>
  </si>
  <si>
    <t xml:space="preserve">12:55 - 1:35 p.m. </t>
  </si>
  <si>
    <t>A2 vs A3</t>
  </si>
  <si>
    <t>A1 vs A5</t>
  </si>
  <si>
    <t>A5</t>
  </si>
  <si>
    <t>DE3</t>
  </si>
  <si>
    <t>Snowy Dusky Bagels</t>
  </si>
  <si>
    <t xml:space="preserve">1:35 - 2:15 p.m. </t>
  </si>
  <si>
    <t>A6 vs A4</t>
  </si>
  <si>
    <t>B5</t>
  </si>
  <si>
    <t>dry</t>
  </si>
  <si>
    <t>C5</t>
  </si>
  <si>
    <t>B2 vs B3</t>
  </si>
  <si>
    <t>Gay-Lussac Goons</t>
  </si>
  <si>
    <t>B1 vs B5</t>
  </si>
  <si>
    <t>Finals</t>
  </si>
  <si>
    <t>B6 vs B4</t>
  </si>
  <si>
    <t>D5</t>
  </si>
  <si>
    <t>StarGatevanic Cell</t>
  </si>
  <si>
    <t>C2 vs C3</t>
  </si>
  <si>
    <t xml:space="preserve">2:15 - 2:55 p.m. </t>
  </si>
  <si>
    <t>C1 vs C5</t>
  </si>
  <si>
    <t>C6 vs C4</t>
  </si>
  <si>
    <t>D2 vs D3</t>
  </si>
  <si>
    <t>D1 vs D5</t>
  </si>
  <si>
    <t>D6 vs D4</t>
  </si>
  <si>
    <t>Ending Ceremony</t>
  </si>
  <si>
    <t>A6</t>
  </si>
  <si>
    <t xml:space="preserve">2:55 - 3:05 p.m. </t>
  </si>
  <si>
    <t>Azizam</t>
  </si>
  <si>
    <t>B6</t>
  </si>
  <si>
    <t>Round 3</t>
  </si>
  <si>
    <t>A5 vs A3</t>
  </si>
  <si>
    <t>NileGreen</t>
  </si>
  <si>
    <t xml:space="preserve">A6 vs A2 </t>
  </si>
  <si>
    <t>C6</t>
  </si>
  <si>
    <t>ChemKings</t>
  </si>
  <si>
    <t>A1 vs A4</t>
  </si>
  <si>
    <t>D6</t>
  </si>
  <si>
    <t>B5 vs B3</t>
  </si>
  <si>
    <t>Caffeine</t>
  </si>
  <si>
    <t>B6 vs B2</t>
  </si>
  <si>
    <t>B1 vs B4</t>
  </si>
  <si>
    <t>C5 vs C3</t>
  </si>
  <si>
    <t>C6 vs C2</t>
  </si>
  <si>
    <t>C1 vs C4</t>
  </si>
  <si>
    <t>D5 vs D3</t>
  </si>
  <si>
    <t>D6 vs D2</t>
  </si>
  <si>
    <t>D1 vs D4</t>
  </si>
  <si>
    <t>Round 4</t>
  </si>
  <si>
    <t>A4 vs A2</t>
  </si>
  <si>
    <t>A1 vs A3</t>
  </si>
  <si>
    <t>A5 vs A6</t>
  </si>
  <si>
    <t>B4 vs B2</t>
  </si>
  <si>
    <t>B1 vs B3</t>
  </si>
  <si>
    <t>B5 vs B6</t>
  </si>
  <si>
    <t>C4 vs C2</t>
  </si>
  <si>
    <t>C1 vs C3</t>
  </si>
  <si>
    <t>C5 vs C6</t>
  </si>
  <si>
    <t>D4 vs D2</t>
  </si>
  <si>
    <t>D1 vs D3</t>
  </si>
  <si>
    <t>D5 vs D6</t>
  </si>
  <si>
    <t>Round 5</t>
  </si>
  <si>
    <t>A3 vs A6</t>
  </si>
  <si>
    <t>A4 vs A5</t>
  </si>
  <si>
    <t>A1 vs A2</t>
  </si>
  <si>
    <t>B3 vs B6</t>
  </si>
  <si>
    <t>B4 vs B5</t>
  </si>
  <si>
    <t>B1 vs B2</t>
  </si>
  <si>
    <t>C3 vs C6</t>
  </si>
  <si>
    <t>C4 vs C5</t>
  </si>
  <si>
    <t>C1 vs C2</t>
  </si>
  <si>
    <t>D3 vs D6</t>
  </si>
  <si>
    <t>D4 vs D5</t>
  </si>
  <si>
    <t>D1 vs D2</t>
  </si>
  <si>
    <t>T</t>
  </si>
  <si>
    <t>DE 2</t>
  </si>
  <si>
    <t>DE 3</t>
  </si>
  <si>
    <t>DE 4</t>
  </si>
  <si>
    <t>DE 5</t>
  </si>
  <si>
    <t>FINALS</t>
  </si>
  <si>
    <t>Stage 1</t>
  </si>
  <si>
    <t>H&amp;M</t>
  </si>
  <si>
    <t>Stage 2</t>
  </si>
  <si>
    <t>Stage 3</t>
  </si>
  <si>
    <t>Stage 4</t>
  </si>
  <si>
    <t>TIE!!</t>
  </si>
  <si>
    <t>WINNER!!!!!</t>
  </si>
  <si>
    <t>Cherry Bomb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</si>
</sst>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31.0"/>
      <color theme="1"/>
      <name val="Montserrat"/>
    </font>
    <font>
      <b/>
      <color theme="1"/>
      <name val="EB Garamond"/>
    </font>
    <font>
      <sz val="55.0"/>
      <color theme="1"/>
      <name val="Montserrat"/>
    </font>
    <font/>
    <font>
      <color theme="1"/>
      <name val="Arial"/>
      <scheme val="minor"/>
    </font>
    <font>
      <color theme="1"/>
      <name val="EB Garamond"/>
    </font>
    <font>
      <b/>
      <sz val="25.0"/>
      <color theme="1"/>
      <name val="Montserrat"/>
    </font>
    <font>
      <sz val="30.0"/>
      <color theme="1"/>
      <name val="Montserrat"/>
    </font>
    <font>
      <sz val="31.0"/>
      <color rgb="FF000000"/>
      <name val="Montserrat"/>
    </font>
    <font>
      <sz val="27.0"/>
      <color theme="1"/>
      <name val="Montserrat"/>
    </font>
    <font>
      <sz val="25.0"/>
      <color theme="1"/>
      <name val="Montserrat"/>
    </font>
    <font>
      <u/>
      <sz val="12.0"/>
      <color theme="1"/>
      <name val="EB Garamond"/>
    </font>
    <font>
      <sz val="27.0"/>
      <color rgb="FF000000"/>
      <name val="Montserrat"/>
    </font>
    <font>
      <sz val="25.0"/>
      <color rgb="FF000000"/>
      <name val="Montserrat"/>
    </font>
    <font>
      <color theme="1"/>
      <name val="Arial"/>
    </font>
    <font>
      <sz val="40.0"/>
      <color theme="1"/>
      <name val="Montserrat"/>
    </font>
    <font>
      <sz val="32.0"/>
      <color rgb="FF000000"/>
      <name val="Montserrat"/>
    </font>
    <font>
      <sz val="11.0"/>
      <color theme="1"/>
      <name val="EB Garamond"/>
    </font>
    <font>
      <b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</fills>
  <borders count="62">
    <border/>
    <border>
      <left style="thick">
        <color rgb="FF000000"/>
      </left>
      <top style="thick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</border>
    <border>
      <left style="thick">
        <color rgb="FF000000"/>
      </left>
      <top style="medium">
        <color rgb="FF000000"/>
      </top>
    </border>
    <border>
      <left style="medium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medium">
        <color rgb="FF000000"/>
      </bottom>
    </border>
    <border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 style="thin">
        <color rgb="FFB7B7B7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B7B7B7"/>
      </right>
      <top style="thick">
        <color rgb="FF000000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000000"/>
      </top>
      <bottom style="medium">
        <color rgb="FF000000"/>
      </bottom>
    </border>
    <border>
      <left style="thin">
        <color rgb="FFB7B7B7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B7B7B7"/>
      </righ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</border>
    <border>
      <left style="thin">
        <color rgb="FFB7B7B7"/>
      </left>
      <right style="thick">
        <color rgb="FF000000"/>
      </right>
      <bottom style="thin">
        <color rgb="FFB7B7B7"/>
      </bottom>
    </border>
    <border>
      <right style="thin">
        <color rgb="FFB7B7B7"/>
      </right>
    </border>
    <border>
      <right style="thin">
        <color rgb="FF000000"/>
      </right>
      <bottom style="thin">
        <color rgb="FF000000"/>
      </bottom>
    </border>
    <border>
      <right style="thin">
        <color rgb="FFB7B7B7"/>
      </right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B7B7B7"/>
      </top>
      <bottom style="thick">
        <color rgb="FF000000"/>
      </bottom>
    </border>
    <border>
      <right style="medium">
        <color rgb="FF000000"/>
      </right>
      <top style="thin">
        <color rgb="FFB7B7B7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B7B7B7"/>
      </right>
      <bottom style="thick">
        <color rgb="FF000000"/>
      </bottom>
    </border>
    <border>
      <left style="medium">
        <color rgb="FF000000"/>
      </left>
      <right style="thin">
        <color rgb="FFB7B7B7"/>
      </right>
      <bottom style="thick">
        <color rgb="FF000000"/>
      </bottom>
    </border>
    <border>
      <left style="thin">
        <color rgb="FFB7B7B7"/>
      </left>
      <right style="thin">
        <color rgb="FFB7B7B7"/>
      </right>
      <bottom style="thick">
        <color rgb="FF000000"/>
      </bottom>
    </border>
    <border>
      <left style="thin">
        <color rgb="FFB7B7B7"/>
      </left>
      <right style="thick">
        <color rgb="FF000000"/>
      </right>
      <bottom style="thick">
        <color rgb="FF000000"/>
      </bottom>
    </border>
    <border>
      <left style="thin">
        <color rgb="FFB7B7B7"/>
      </left>
      <right style="thin">
        <color rgb="FFB7B7B7"/>
      </right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vertical="bottom"/>
    </xf>
    <xf borderId="3" fillId="3" fontId="3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4" numFmtId="0" xfId="0" applyBorder="1" applyFont="1"/>
    <xf borderId="5" fillId="3" fontId="3" numFmtId="0" xfId="0" applyAlignment="1" applyBorder="1" applyFill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5" fillId="4" fontId="3" numFmtId="0" xfId="0" applyAlignment="1" applyBorder="1" applyFill="1" applyFont="1">
      <alignment horizontal="center" readingOrder="0"/>
    </xf>
    <xf borderId="8" fillId="0" fontId="4" numFmtId="0" xfId="0" applyBorder="1" applyFont="1"/>
    <xf borderId="5" fillId="5" fontId="3" numFmtId="0" xfId="0" applyAlignment="1" applyBorder="1" applyFill="1" applyFont="1">
      <alignment horizontal="center" readingOrder="0"/>
    </xf>
    <xf borderId="9" fillId="0" fontId="4" numFmtId="0" xfId="0" applyBorder="1" applyFont="1"/>
    <xf borderId="5" fillId="6" fontId="3" numFmtId="0" xfId="0" applyAlignment="1" applyBorder="1" applyFill="1" applyFont="1">
      <alignment horizontal="center" readingOrder="0"/>
    </xf>
    <xf borderId="10" fillId="4" fontId="3" numFmtId="0" xfId="0" applyAlignment="1" applyBorder="1" applyFill="1" applyFont="1">
      <alignment horizontal="center" readingOrder="0"/>
    </xf>
    <xf borderId="11" fillId="0" fontId="4" numFmtId="0" xfId="0" applyBorder="1" applyFont="1"/>
    <xf borderId="0" fillId="7" fontId="5" numFmtId="0" xfId="0" applyFill="1" applyFont="1"/>
    <xf borderId="12" fillId="0" fontId="4" numFmtId="0" xfId="0" applyBorder="1" applyFont="1"/>
    <xf borderId="13" fillId="0" fontId="4" numFmtId="0" xfId="0" applyBorder="1" applyFont="1"/>
    <xf borderId="3" fillId="4" fontId="3" numFmtId="0" xfId="0" applyAlignment="1" applyBorder="1" applyFill="1" applyFont="1">
      <alignment horizontal="center" readingOrder="0"/>
    </xf>
    <xf borderId="14" fillId="0" fontId="4" numFmtId="0" xfId="0" applyBorder="1" applyFont="1"/>
    <xf borderId="15" fillId="3" fontId="6" numFmtId="0" xfId="0" applyAlignment="1" applyBorder="1" applyFill="1" applyFont="1">
      <alignment horizontal="center" readingOrder="0" vertical="bottom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7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wrapText="1"/>
    </xf>
    <xf borderId="20" fillId="0" fontId="4" numFmtId="0" xfId="0" applyBorder="1" applyFont="1"/>
    <xf borderId="11" fillId="0" fontId="8" numFmtId="0" xfId="0" applyAlignment="1" applyBorder="1" applyFont="1">
      <alignment readingOrder="0"/>
    </xf>
    <xf borderId="15" fillId="3" fontId="6" numFmtId="0" xfId="0" applyAlignment="1" applyBorder="1" applyFill="1" applyFont="1">
      <alignment horizontal="center" vertical="bottom"/>
    </xf>
    <xf borderId="3" fillId="5" fontId="3" numFmtId="0" xfId="0" applyAlignment="1" applyBorder="1" applyFill="1" applyFont="1">
      <alignment horizontal="center" readingOrder="0"/>
    </xf>
    <xf borderId="21" fillId="0" fontId="7" numFmtId="0" xfId="0" applyAlignment="1" applyBorder="1" applyFont="1">
      <alignment readingOrder="0"/>
    </xf>
    <xf borderId="1" fillId="0" fontId="9" numFmtId="0" xfId="0" applyAlignment="1" applyBorder="1" applyFont="1">
      <alignment horizontal="left" readingOrder="0" shrinkToFit="0" wrapText="1"/>
    </xf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3" fillId="6" fontId="3" numFmtId="0" xfId="0" applyAlignment="1" applyBorder="1" applyFill="1" applyFont="1">
      <alignment horizontal="center" readingOrder="0"/>
    </xf>
    <xf borderId="26" fillId="0" fontId="4" numFmtId="0" xfId="0" applyBorder="1" applyFont="1"/>
    <xf borderId="27" fillId="0" fontId="4" numFmtId="0" xfId="0" applyBorder="1" applyFont="1"/>
    <xf borderId="28" fillId="0" fontId="7" numFmtId="0" xfId="0" applyAlignment="1" applyBorder="1" applyFont="1">
      <alignment readingOrder="0"/>
    </xf>
    <xf borderId="0" fillId="7" fontId="5" numFmtId="0" xfId="0" applyAlignment="1" applyFill="1" applyFont="1">
      <alignment readingOrder="0"/>
    </xf>
    <xf borderId="29" fillId="0" fontId="4" numFmtId="0" xfId="0" applyBorder="1" applyFont="1"/>
    <xf borderId="20" fillId="0" fontId="7" numFmtId="0" xfId="0" applyAlignment="1" applyBorder="1" applyFont="1">
      <alignment readingOrder="0"/>
    </xf>
    <xf borderId="21" fillId="0" fontId="4" numFmtId="0" xfId="0" applyBorder="1" applyFont="1"/>
    <xf borderId="3" fillId="0" fontId="8" numFmtId="0" xfId="0" applyAlignment="1" applyBorder="1" applyFont="1">
      <alignment readingOrder="0"/>
    </xf>
    <xf borderId="30" fillId="0" fontId="4" numFmtId="0" xfId="0" applyBorder="1" applyFont="1"/>
    <xf borderId="15" fillId="0" fontId="4" numFmtId="0" xfId="0" applyBorder="1" applyFont="1"/>
    <xf borderId="31" fillId="0" fontId="4" numFmtId="0" xfId="0" applyBorder="1" applyFont="1"/>
    <xf borderId="32" fillId="3" fontId="2" numFmtId="0" xfId="0" applyAlignment="1" applyBorder="1" applyFill="1" applyFont="1">
      <alignment horizontal="center" vertical="bottom"/>
    </xf>
    <xf borderId="18" fillId="3" fontId="2" numFmtId="0" xfId="0" applyAlignment="1" applyBorder="1" applyFill="1" applyFont="1">
      <alignment horizontal="center" readingOrder="0" vertical="bottom"/>
    </xf>
    <xf borderId="27" fillId="0" fontId="7" numFmtId="0" xfId="0" applyAlignment="1" applyBorder="1" applyFont="1">
      <alignment readingOrder="0"/>
    </xf>
    <xf borderId="33" fillId="3" fontId="2" numFmtId="0" xfId="0" applyAlignment="1" applyBorder="1" applyFill="1" applyFont="1">
      <alignment horizontal="center" vertical="bottom"/>
    </xf>
    <xf borderId="0" fillId="0" fontId="10" numFmtId="0" xfId="0" applyAlignment="1" applyFont="1">
      <alignment horizontal="center" readingOrder="0"/>
    </xf>
    <xf borderId="34" fillId="3" fontId="2" numFmtId="0" xfId="0" applyAlignment="1" applyBorder="1" applyFill="1" applyFont="1">
      <alignment horizontal="center" vertical="bottom"/>
    </xf>
    <xf borderId="11" fillId="0" fontId="11" numFmtId="0" xfId="0" applyAlignment="1" applyBorder="1" applyFont="1">
      <alignment horizontal="center" readingOrder="0"/>
    </xf>
    <xf borderId="35" fillId="0" fontId="12" numFmtId="0" xfId="0" applyAlignment="1" applyBorder="1" applyFont="1">
      <alignment horizontal="center" readingOrder="0"/>
    </xf>
    <xf borderId="29" fillId="0" fontId="13" numFmtId="0" xfId="0" applyAlignment="1" applyBorder="1" applyFont="1">
      <alignment horizontal="center" readingOrder="0" shrinkToFit="0" wrapText="1"/>
    </xf>
    <xf borderId="36" fillId="3" fontId="6" numFmtId="0" xfId="0" applyAlignment="1" applyBorder="1" applyFill="1" applyFont="1">
      <alignment readingOrder="0" vertical="bottom"/>
    </xf>
    <xf borderId="0" fillId="0" fontId="14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readingOrder="0" shrinkToFit="0" wrapText="1"/>
    </xf>
    <xf borderId="37" fillId="3" fontId="6" numFmtId="0" xfId="0" applyAlignment="1" applyBorder="1" applyFill="1" applyFont="1">
      <alignment readingOrder="0" vertical="bottom"/>
    </xf>
    <xf borderId="0" fillId="7" fontId="15" numFmtId="0" xfId="0" applyAlignment="1" applyFill="1" applyFont="1">
      <alignment vertical="bottom"/>
    </xf>
    <xf borderId="38" fillId="0" fontId="4" numFmtId="0" xfId="0" applyBorder="1" applyFont="1"/>
    <xf borderId="39" fillId="3" fontId="6" numFmtId="0" xfId="0" applyAlignment="1" applyBorder="1" applyFill="1" applyFont="1">
      <alignment horizontal="center" readingOrder="0" vertical="bottom"/>
    </xf>
    <xf borderId="40" fillId="0" fontId="4" numFmtId="0" xfId="0" applyBorder="1" applyFont="1"/>
    <xf borderId="4" fillId="0" fontId="7" numFmtId="0" xfId="0" applyAlignment="1" applyBorder="1" applyFont="1">
      <alignment readingOrder="0"/>
    </xf>
    <xf borderId="5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41" fillId="8" fontId="6" numFmtId="0" xfId="0" applyAlignment="1" applyBorder="1" applyFill="1" applyFont="1">
      <alignment horizontal="center" vertical="bottom"/>
    </xf>
    <xf borderId="42" fillId="3" fontId="6" numFmtId="0" xfId="0" applyAlignment="1" applyBorder="1" applyFill="1" applyFont="1">
      <alignment horizontal="center" readingOrder="0" vertical="bottom"/>
    </xf>
    <xf borderId="41" fillId="9" fontId="6" numFmtId="0" xfId="0" applyAlignment="1" applyBorder="1" applyFill="1" applyFont="1">
      <alignment horizontal="center" vertical="bottom"/>
    </xf>
    <xf borderId="0" fillId="7" fontId="16" numFmtId="0" xfId="0" applyAlignment="1" applyFill="1" applyFont="1">
      <alignment horizontal="center" readingOrder="0" shrinkToFit="0" wrapText="1"/>
    </xf>
    <xf borderId="43" fillId="0" fontId="4" numFmtId="0" xfId="0" applyBorder="1" applyFont="1"/>
    <xf borderId="0" fillId="7" fontId="17" numFmtId="0" xfId="0" applyAlignment="1" applyFill="1" applyFont="1">
      <alignment horizontal="left" readingOrder="0" shrinkToFit="0" wrapText="1"/>
    </xf>
    <xf borderId="44" fillId="0" fontId="6" numFmtId="0" xfId="0" applyAlignment="1" applyBorder="1" applyFont="1">
      <alignment horizontal="right" vertical="bottom"/>
    </xf>
    <xf borderId="0" fillId="0" fontId="7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45" fillId="0" fontId="6" numFmtId="0" xfId="0" applyAlignment="1" applyBorder="1" applyFont="1">
      <alignment horizontal="right" vertical="bottom"/>
    </xf>
    <xf borderId="0" fillId="0" fontId="5" numFmtId="0" xfId="0" applyAlignment="1" applyFont="1">
      <alignment horizontal="left"/>
    </xf>
    <xf borderId="24" fillId="10" fontId="2" numFmtId="0" xfId="0" applyAlignment="1" applyBorder="1" applyFill="1" applyFont="1">
      <alignment horizontal="center" readingOrder="0"/>
    </xf>
    <xf borderId="46" fillId="0" fontId="6" numFmtId="0" xfId="0" applyAlignment="1" applyBorder="1" applyFont="1">
      <alignment horizontal="right" vertical="bottom"/>
    </xf>
    <xf borderId="0" fillId="10" fontId="5" numFmtId="0" xfId="0" applyFill="1" applyFont="1"/>
    <xf borderId="24" fillId="11" fontId="6" numFmtId="0" xfId="0" applyAlignment="1" applyBorder="1" applyFill="1" applyFont="1">
      <alignment horizontal="center" readingOrder="0" vertical="bottom"/>
    </xf>
    <xf borderId="24" fillId="10" fontId="6" numFmtId="0" xfId="0" applyAlignment="1" applyBorder="1" applyFill="1" applyFont="1">
      <alignment horizontal="center" readingOrder="0" vertical="bottom"/>
    </xf>
    <xf borderId="0" fillId="10" fontId="15" numFmtId="0" xfId="0" applyAlignment="1" applyFill="1" applyFont="1">
      <alignment vertical="bottom"/>
    </xf>
    <xf borderId="0" fillId="10" fontId="2" numFmtId="0" xfId="0" applyAlignment="1" applyFill="1" applyFont="1">
      <alignment horizontal="center" readingOrder="0" vertical="bottom"/>
    </xf>
    <xf borderId="47" fillId="11" fontId="6" numFmtId="0" xfId="0" applyAlignment="1" applyBorder="1" applyFill="1" applyFont="1">
      <alignment horizontal="center" readingOrder="0" vertical="bottom"/>
    </xf>
    <xf borderId="24" fillId="4" fontId="6" numFmtId="0" xfId="0" applyAlignment="1" applyBorder="1" applyFill="1" applyFont="1">
      <alignment horizontal="center" readingOrder="0" vertical="bottom"/>
    </xf>
    <xf borderId="3" fillId="10" fontId="15" numFmtId="0" xfId="0" applyAlignment="1" applyBorder="1" applyFill="1" applyFont="1">
      <alignment vertical="bottom"/>
    </xf>
    <xf borderId="11" fillId="10" fontId="15" numFmtId="0" xfId="0" applyAlignment="1" applyBorder="1" applyFill="1" applyFont="1">
      <alignment vertical="bottom"/>
    </xf>
    <xf borderId="23" fillId="10" fontId="2" numFmtId="0" xfId="0" applyAlignment="1" applyBorder="1" applyFill="1" applyFont="1">
      <alignment horizontal="center" vertical="bottom"/>
    </xf>
    <xf borderId="0" fillId="10" fontId="6" numFmtId="0" xfId="0" applyAlignment="1" applyFill="1" applyFont="1">
      <alignment readingOrder="0" vertical="bottom"/>
    </xf>
    <xf borderId="0" fillId="10" fontId="2" numFmtId="0" xfId="0" applyAlignment="1" applyFill="1" applyFont="1">
      <alignment horizontal="center" vertical="bottom"/>
    </xf>
    <xf borderId="24" fillId="5" fontId="6" numFmtId="0" xfId="0" applyAlignment="1" applyBorder="1" applyFill="1" applyFont="1">
      <alignment horizontal="center" readingOrder="0" vertical="bottom"/>
    </xf>
    <xf borderId="5" fillId="10" fontId="15" numFmtId="0" xfId="0" applyAlignment="1" applyBorder="1" applyFill="1" applyFont="1">
      <alignment vertical="bottom"/>
    </xf>
    <xf borderId="20" fillId="10" fontId="15" numFmtId="0" xfId="0" applyAlignment="1" applyBorder="1" applyFill="1" applyFont="1">
      <alignment vertical="bottom"/>
    </xf>
    <xf borderId="24" fillId="6" fontId="6" numFmtId="0" xfId="0" applyAlignment="1" applyBorder="1" applyFill="1" applyFont="1">
      <alignment horizontal="center" readingOrder="0" vertical="bottom"/>
    </xf>
    <xf borderId="21" fillId="10" fontId="15" numFmtId="0" xfId="0" applyAlignment="1" applyBorder="1" applyFill="1" applyFont="1">
      <alignment vertical="bottom"/>
    </xf>
    <xf borderId="24" fillId="10" fontId="6" numFmtId="0" xfId="0" applyAlignment="1" applyBorder="1" applyFill="1" applyFont="1">
      <alignment horizontal="center" vertical="bottom"/>
    </xf>
    <xf borderId="0" fillId="10" fontId="15" numFmtId="1" xfId="0" applyAlignment="1" applyFill="1" applyFont="1" applyNumberFormat="1">
      <alignment vertical="bottom"/>
    </xf>
    <xf borderId="21" fillId="10" fontId="2" numFmtId="0" xfId="0" applyAlignment="1" applyBorder="1" applyFill="1" applyFont="1">
      <alignment readingOrder="0" vertical="bottom"/>
    </xf>
    <xf borderId="24" fillId="10" fontId="2" numFmtId="0" xfId="0" applyAlignment="1" applyBorder="1" applyFill="1" applyFont="1">
      <alignment horizontal="center" readingOrder="0" vertical="bottom"/>
    </xf>
    <xf borderId="0" fillId="10" fontId="6" numFmtId="0" xfId="0" applyAlignment="1" applyFill="1" applyFont="1">
      <alignment horizontal="center" vertical="bottom"/>
    </xf>
    <xf borderId="24" fillId="12" fontId="6" numFmtId="0" xfId="0" applyAlignment="1" applyBorder="1" applyFill="1" applyFont="1">
      <alignment horizontal="center" readingOrder="0" vertical="bottom"/>
    </xf>
    <xf borderId="24" fillId="10" fontId="18" numFmtId="0" xfId="0" applyAlignment="1" applyBorder="1" applyFill="1" applyFont="1">
      <alignment horizontal="center" readingOrder="0" vertical="bottom"/>
    </xf>
    <xf borderId="0" fillId="10" fontId="15" numFmtId="0" xfId="0" applyAlignment="1" applyFill="1" applyFont="1">
      <alignment readingOrder="0" vertical="bottom"/>
    </xf>
    <xf borderId="48" fillId="10" fontId="15" numFmtId="0" xfId="0" applyAlignment="1" applyBorder="1" applyFill="1" applyFont="1">
      <alignment vertical="bottom"/>
    </xf>
    <xf borderId="49" fillId="0" fontId="6" numFmtId="0" xfId="0" applyAlignment="1" applyBorder="1" applyFont="1">
      <alignment horizontal="right" vertical="bottom"/>
    </xf>
    <xf borderId="24" fillId="13" fontId="6" numFmtId="0" xfId="0" applyAlignment="1" applyBorder="1" applyFill="1" applyFont="1">
      <alignment horizontal="center" readingOrder="0" vertical="bottom"/>
    </xf>
    <xf borderId="24" fillId="10" fontId="2" numFmtId="0" xfId="0" applyAlignment="1" applyBorder="1" applyFill="1" applyFont="1">
      <alignment horizontal="center" vertical="bottom"/>
    </xf>
    <xf borderId="26" fillId="10" fontId="2" numFmtId="0" xfId="0" applyAlignment="1" applyBorder="1" applyFill="1" applyFont="1">
      <alignment horizontal="center" vertical="bottom"/>
    </xf>
    <xf borderId="24" fillId="14" fontId="6" numFmtId="0" xfId="0" applyAlignment="1" applyBorder="1" applyFill="1" applyFont="1">
      <alignment horizontal="center" readingOrder="0" vertical="bottom"/>
    </xf>
    <xf borderId="35" fillId="5" fontId="6" numFmtId="0" xfId="0" applyBorder="1" applyFill="1" applyFont="1"/>
    <xf borderId="24" fillId="15" fontId="6" numFmtId="0" xfId="0" applyAlignment="1" applyBorder="1" applyFill="1" applyFont="1">
      <alignment horizontal="center" readingOrder="0" vertical="bottom"/>
    </xf>
    <xf borderId="0" fillId="10" fontId="19" numFmtId="0" xfId="0" applyAlignment="1" applyFill="1" applyFont="1">
      <alignment readingOrder="0"/>
    </xf>
    <xf borderId="21" fillId="10" fontId="19" numFmtId="0" xfId="0" applyAlignment="1" applyBorder="1" applyFill="1" applyFont="1">
      <alignment readingOrder="0"/>
    </xf>
    <xf borderId="24" fillId="10" fontId="5" numFmtId="0" xfId="0" applyAlignment="1" applyBorder="1" applyFill="1" applyFont="1">
      <alignment readingOrder="0"/>
    </xf>
    <xf borderId="24" fillId="10" fontId="5" numFmtId="0" xfId="0" applyBorder="1" applyFill="1" applyFont="1"/>
    <xf borderId="24" fillId="10" fontId="6" numFmtId="0" xfId="0" applyAlignment="1" applyBorder="1" applyFill="1" applyFont="1">
      <alignment readingOrder="0"/>
    </xf>
    <xf borderId="21" fillId="10" fontId="5" numFmtId="0" xfId="0" applyBorder="1" applyFill="1" applyFont="1"/>
    <xf borderId="11" fillId="10" fontId="2" numFmtId="0" xfId="0" applyAlignment="1" applyBorder="1" applyFill="1" applyFont="1">
      <alignment horizontal="center" vertical="bottom"/>
    </xf>
    <xf borderId="50" fillId="7" fontId="15" numFmtId="0" xfId="0" applyAlignment="1" applyBorder="1" applyFill="1" applyFont="1">
      <alignment vertical="bottom"/>
    </xf>
    <xf borderId="28" fillId="10" fontId="2" numFmtId="0" xfId="0" applyAlignment="1" applyBorder="1" applyFill="1" applyFont="1">
      <alignment horizontal="center" vertical="bottom"/>
    </xf>
    <xf borderId="24" fillId="10" fontId="15" numFmtId="0" xfId="0" applyAlignment="1" applyBorder="1" applyFill="1" applyFont="1">
      <alignment vertical="bottom"/>
    </xf>
    <xf borderId="19" fillId="10" fontId="6" numFmtId="0" xfId="0" applyAlignment="1" applyBorder="1" applyFill="1" applyFont="1">
      <alignment vertical="bottom"/>
    </xf>
    <xf borderId="24" fillId="10" fontId="6" numFmtId="0" xfId="0" applyAlignment="1" applyBorder="1" applyFill="1" applyFont="1">
      <alignment readingOrder="0" vertical="bottom"/>
    </xf>
    <xf borderId="0" fillId="10" fontId="6" numFmtId="0" xfId="0" applyAlignment="1" applyFill="1" applyFont="1">
      <alignment vertical="bottom"/>
    </xf>
    <xf borderId="22" fillId="10" fontId="6" numFmtId="0" xfId="0" applyAlignment="1" applyBorder="1" applyFill="1" applyFont="1">
      <alignment readingOrder="0" vertical="bottom"/>
    </xf>
    <xf borderId="26" fillId="10" fontId="6" numFmtId="0" xfId="0" applyAlignment="1" applyBorder="1" applyFill="1" applyFont="1">
      <alignment horizontal="center" vertical="bottom"/>
    </xf>
    <xf borderId="11" fillId="10" fontId="2" numFmtId="0" xfId="0" applyAlignment="1" applyBorder="1" applyFill="1" applyFont="1">
      <alignment horizontal="center" readingOrder="0" vertical="bottom"/>
    </xf>
    <xf borderId="21" fillId="10" fontId="6" numFmtId="0" xfId="0" applyAlignment="1" applyBorder="1" applyFill="1" applyFont="1">
      <alignment horizontal="center" vertical="bottom"/>
    </xf>
    <xf borderId="0" fillId="10" fontId="6" numFmtId="0" xfId="0" applyFill="1" applyFont="1"/>
    <xf borderId="0" fillId="10" fontId="6" numFmtId="0" xfId="0" applyAlignment="1" applyFill="1" applyFont="1">
      <alignment horizontal="center" readingOrder="0" vertical="bottom"/>
    </xf>
    <xf borderId="0" fillId="10" fontId="5" numFmtId="0" xfId="0" applyAlignment="1" applyFill="1" applyFont="1">
      <alignment readingOrder="0"/>
    </xf>
    <xf borderId="5" fillId="10" fontId="6" numFmtId="0" xfId="0" applyAlignment="1" applyBorder="1" applyFill="1" applyFont="1">
      <alignment readingOrder="0" vertical="bottom"/>
    </xf>
    <xf borderId="3" fillId="10" fontId="2" numFmtId="0" xfId="0" applyAlignment="1" applyBorder="1" applyFill="1" applyFont="1">
      <alignment horizontal="center" vertical="bottom"/>
    </xf>
    <xf borderId="21" fillId="10" fontId="6" numFmtId="0" xfId="0" applyAlignment="1" applyBorder="1" applyFill="1" applyFont="1">
      <alignment vertical="bottom"/>
    </xf>
    <xf borderId="11" fillId="10" fontId="6" numFmtId="0" xfId="0" applyAlignment="1" applyBorder="1" applyFill="1" applyFont="1">
      <alignment vertical="bottom"/>
    </xf>
    <xf borderId="23" fillId="10" fontId="15" numFmtId="0" xfId="0" applyAlignment="1" applyBorder="1" applyFill="1" applyFont="1">
      <alignment vertical="bottom"/>
    </xf>
    <xf borderId="26" fillId="10" fontId="6" numFmtId="0" xfId="0" applyAlignment="1" applyBorder="1" applyFill="1" applyFont="1">
      <alignment horizontal="center" readingOrder="0" vertical="bottom"/>
    </xf>
    <xf borderId="51" fillId="8" fontId="6" numFmtId="0" xfId="0" applyAlignment="1" applyBorder="1" applyFill="1" applyFont="1">
      <alignment horizontal="center" vertical="bottom"/>
    </xf>
    <xf borderId="35" fillId="0" fontId="6" numFmtId="0" xfId="0" applyBorder="1" applyFont="1"/>
    <xf borderId="52" fillId="7" fontId="15" numFmtId="0" xfId="0" applyAlignment="1" applyBorder="1" applyFill="1" applyFont="1">
      <alignment vertical="bottom"/>
    </xf>
    <xf borderId="53" fillId="3" fontId="6" numFmtId="0" xfId="0" applyAlignment="1" applyBorder="1" applyFill="1" applyFont="1">
      <alignment readingOrder="0" vertical="bottom"/>
    </xf>
    <xf borderId="54" fillId="3" fontId="6" numFmtId="0" xfId="0" applyAlignment="1" applyBorder="1" applyFill="1" applyFont="1">
      <alignment readingOrder="0" vertical="bottom"/>
    </xf>
    <xf borderId="55" fillId="3" fontId="6" numFmtId="0" xfId="0" applyAlignment="1" applyBorder="1" applyFill="1" applyFont="1">
      <alignment horizontal="center" readingOrder="0" vertical="bottom"/>
    </xf>
    <xf borderId="56" fillId="8" fontId="6" numFmtId="0" xfId="0" applyAlignment="1" applyBorder="1" applyFill="1" applyFont="1">
      <alignment horizontal="center" vertical="bottom"/>
    </xf>
    <xf borderId="56" fillId="9" fontId="6" numFmtId="0" xfId="0" applyAlignment="1" applyBorder="1" applyFill="1" applyFont="1">
      <alignment horizontal="center" vertical="bottom"/>
    </xf>
    <xf borderId="16" fillId="7" fontId="15" numFmtId="0" xfId="0" applyAlignment="1" applyBorder="1" applyFill="1" applyFont="1">
      <alignment vertical="bottom"/>
    </xf>
    <xf borderId="57" fillId="7" fontId="15" numFmtId="0" xfId="0" applyAlignment="1" applyBorder="1" applyFill="1" applyFont="1">
      <alignment vertical="bottom"/>
    </xf>
    <xf borderId="58" fillId="0" fontId="6" numFmtId="0" xfId="0" applyAlignment="1" applyBorder="1" applyFont="1">
      <alignment horizontal="right" vertical="bottom"/>
    </xf>
    <xf borderId="57" fillId="0" fontId="6" numFmtId="0" xfId="0" applyAlignment="1" applyBorder="1" applyFont="1">
      <alignment horizontal="right" vertical="bottom"/>
    </xf>
    <xf borderId="59" fillId="0" fontId="6" numFmtId="0" xfId="0" applyAlignment="1" applyBorder="1" applyFont="1">
      <alignment horizontal="right" vertical="bottom"/>
    </xf>
    <xf borderId="60" fillId="0" fontId="6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6" numFmtId="0" xfId="0" applyFont="1"/>
    <xf borderId="15" fillId="4" fontId="6" numFmtId="0" xfId="0" applyAlignment="1" applyBorder="1" applyFill="1" applyFont="1">
      <alignment horizontal="center" vertical="bottom"/>
    </xf>
    <xf borderId="32" fillId="4" fontId="2" numFmtId="0" xfId="0" applyAlignment="1" applyBorder="1" applyFill="1" applyFont="1">
      <alignment horizontal="center" vertical="bottom"/>
    </xf>
    <xf borderId="18" fillId="4" fontId="2" numFmtId="0" xfId="0" applyAlignment="1" applyBorder="1" applyFill="1" applyFont="1">
      <alignment horizontal="center" readingOrder="0" vertical="bottom"/>
    </xf>
    <xf borderId="33" fillId="4" fontId="2" numFmtId="0" xfId="0" applyAlignment="1" applyBorder="1" applyFill="1" applyFont="1">
      <alignment horizontal="center" vertical="bottom"/>
    </xf>
    <xf borderId="34" fillId="4" fontId="2" numFmtId="0" xfId="0" applyAlignment="1" applyBorder="1" applyFill="1" applyFont="1">
      <alignment horizontal="center" vertical="bottom"/>
    </xf>
    <xf borderId="36" fillId="4" fontId="6" numFmtId="0" xfId="0" applyAlignment="1" applyBorder="1" applyFill="1" applyFont="1">
      <alignment vertical="bottom"/>
    </xf>
    <xf borderId="37" fillId="4" fontId="6" numFmtId="0" xfId="0" applyAlignment="1" applyBorder="1" applyFill="1" applyFont="1">
      <alignment readingOrder="0" vertical="bottom"/>
    </xf>
    <xf borderId="39" fillId="16" fontId="6" numFmtId="0" xfId="0" applyAlignment="1" applyBorder="1" applyFill="1" applyFont="1">
      <alignment horizontal="center" readingOrder="0" vertical="bottom"/>
    </xf>
    <xf borderId="42" fillId="16" fontId="6" numFmtId="0" xfId="0" applyAlignment="1" applyBorder="1" applyFill="1" applyFont="1">
      <alignment horizontal="center" readingOrder="0" vertical="bottom"/>
    </xf>
    <xf borderId="41" fillId="9" fontId="6" numFmtId="0" xfId="0" applyAlignment="1" applyBorder="1" applyFill="1" applyFont="1">
      <alignment horizontal="center" readingOrder="0" vertical="bottom"/>
    </xf>
    <xf borderId="41" fillId="16" fontId="6" numFmtId="0" xfId="0" applyAlignment="1" applyBorder="1" applyFill="1" applyFont="1">
      <alignment horizontal="center" vertical="bottom"/>
    </xf>
    <xf borderId="0" fillId="7" fontId="15" numFmtId="0" xfId="0" applyAlignment="1" applyFill="1" applyFont="1">
      <alignment readingOrder="0" vertical="bottom"/>
    </xf>
    <xf borderId="53" fillId="4" fontId="6" numFmtId="0" xfId="0" applyAlignment="1" applyBorder="1" applyFill="1" applyFont="1">
      <alignment vertical="bottom"/>
    </xf>
    <xf borderId="54" fillId="4" fontId="6" numFmtId="0" xfId="0" applyAlignment="1" applyBorder="1" applyFill="1" applyFont="1">
      <alignment readingOrder="0" vertical="bottom"/>
    </xf>
    <xf borderId="55" fillId="16" fontId="6" numFmtId="0" xfId="0" applyAlignment="1" applyBorder="1" applyFill="1" applyFont="1">
      <alignment horizontal="center" readingOrder="0" vertical="bottom"/>
    </xf>
    <xf borderId="56" fillId="16" fontId="6" numFmtId="0" xfId="0" applyAlignment="1" applyBorder="1" applyFill="1" applyFont="1">
      <alignment horizontal="center" vertical="bottom"/>
    </xf>
    <xf borderId="15" fillId="5" fontId="6" numFmtId="0" xfId="0" applyAlignment="1" applyBorder="1" applyFill="1" applyFont="1">
      <alignment horizontal="center" vertical="bottom"/>
    </xf>
    <xf borderId="32" fillId="5" fontId="2" numFmtId="0" xfId="0" applyAlignment="1" applyBorder="1" applyFill="1" applyFont="1">
      <alignment horizontal="center" vertical="bottom"/>
    </xf>
    <xf borderId="18" fillId="5" fontId="2" numFmtId="0" xfId="0" applyAlignment="1" applyBorder="1" applyFill="1" applyFont="1">
      <alignment horizontal="center" readingOrder="0" vertical="bottom"/>
    </xf>
    <xf borderId="33" fillId="5" fontId="2" numFmtId="0" xfId="0" applyAlignment="1" applyBorder="1" applyFill="1" applyFont="1">
      <alignment horizontal="center" vertical="bottom"/>
    </xf>
    <xf borderId="34" fillId="5" fontId="2" numFmtId="0" xfId="0" applyAlignment="1" applyBorder="1" applyFill="1" applyFont="1">
      <alignment horizontal="center" vertical="bottom"/>
    </xf>
    <xf borderId="36" fillId="5" fontId="6" numFmtId="0" xfId="0" applyAlignment="1" applyBorder="1" applyFill="1" applyFont="1">
      <alignment vertical="bottom"/>
    </xf>
    <xf borderId="37" fillId="5" fontId="6" numFmtId="0" xfId="0" applyAlignment="1" applyBorder="1" applyFill="1" applyFont="1">
      <alignment readingOrder="0" vertical="bottom"/>
    </xf>
    <xf borderId="39" fillId="2" fontId="6" numFmtId="0" xfId="0" applyAlignment="1" applyBorder="1" applyFill="1" applyFont="1">
      <alignment horizontal="center" readingOrder="0" vertical="bottom"/>
    </xf>
    <xf borderId="42" fillId="2" fontId="6" numFmtId="0" xfId="0" applyAlignment="1" applyBorder="1" applyFill="1" applyFont="1">
      <alignment horizontal="center" readingOrder="0" vertical="bottom"/>
    </xf>
    <xf borderId="41" fillId="2" fontId="6" numFmtId="0" xfId="0" applyAlignment="1" applyBorder="1" applyFill="1" applyFont="1">
      <alignment horizontal="center" vertical="bottom"/>
    </xf>
    <xf borderId="61" fillId="0" fontId="6" numFmtId="0" xfId="0" applyAlignment="1" applyBorder="1" applyFont="1">
      <alignment horizontal="right" vertical="bottom"/>
    </xf>
    <xf borderId="53" fillId="5" fontId="6" numFmtId="0" xfId="0" applyAlignment="1" applyBorder="1" applyFill="1" applyFont="1">
      <alignment vertical="bottom"/>
    </xf>
    <xf borderId="54" fillId="5" fontId="6" numFmtId="0" xfId="0" applyAlignment="1" applyBorder="1" applyFill="1" applyFont="1">
      <alignment readingOrder="0" vertical="bottom"/>
    </xf>
    <xf borderId="55" fillId="2" fontId="6" numFmtId="0" xfId="0" applyAlignment="1" applyBorder="1" applyFill="1" applyFont="1">
      <alignment horizontal="center" readingOrder="0" vertical="bottom"/>
    </xf>
    <xf borderId="16" fillId="0" fontId="6" numFmtId="0" xfId="0" applyAlignment="1" applyBorder="1" applyFont="1">
      <alignment horizontal="right" vertical="bottom"/>
    </xf>
    <xf borderId="15" fillId="6" fontId="6" numFmtId="0" xfId="0" applyAlignment="1" applyBorder="1" applyFill="1" applyFont="1">
      <alignment horizontal="center" vertical="bottom"/>
    </xf>
    <xf borderId="32" fillId="6" fontId="2" numFmtId="0" xfId="0" applyAlignment="1" applyBorder="1" applyFill="1" applyFont="1">
      <alignment horizontal="center" vertical="bottom"/>
    </xf>
    <xf borderId="18" fillId="6" fontId="2" numFmtId="0" xfId="0" applyAlignment="1" applyBorder="1" applyFill="1" applyFont="1">
      <alignment horizontal="center" readingOrder="0" vertical="bottom"/>
    </xf>
    <xf borderId="33" fillId="6" fontId="2" numFmtId="0" xfId="0" applyAlignment="1" applyBorder="1" applyFill="1" applyFont="1">
      <alignment horizontal="center" vertical="bottom"/>
    </xf>
    <xf borderId="34" fillId="6" fontId="2" numFmtId="0" xfId="0" applyAlignment="1" applyBorder="1" applyFill="1" applyFont="1">
      <alignment horizontal="center" vertical="bottom"/>
    </xf>
    <xf borderId="36" fillId="6" fontId="6" numFmtId="0" xfId="0" applyAlignment="1" applyBorder="1" applyFill="1" applyFont="1">
      <alignment vertical="bottom"/>
    </xf>
    <xf borderId="37" fillId="6" fontId="6" numFmtId="0" xfId="0" applyAlignment="1" applyBorder="1" applyFill="1" applyFont="1">
      <alignment readingOrder="0" vertical="bottom"/>
    </xf>
    <xf borderId="39" fillId="17" fontId="6" numFmtId="0" xfId="0" applyAlignment="1" applyBorder="1" applyFill="1" applyFont="1">
      <alignment horizontal="center" readingOrder="0" vertical="bottom"/>
    </xf>
    <xf borderId="42" fillId="17" fontId="6" numFmtId="0" xfId="0" applyAlignment="1" applyBorder="1" applyFill="1" applyFont="1">
      <alignment horizontal="center" readingOrder="0" vertical="bottom"/>
    </xf>
    <xf borderId="51" fillId="9" fontId="6" numFmtId="0" xfId="0" applyAlignment="1" applyBorder="1" applyFill="1" applyFont="1">
      <alignment horizontal="center" vertical="bottom"/>
    </xf>
    <xf borderId="53" fillId="6" fontId="6" numFmtId="0" xfId="0" applyAlignment="1" applyBorder="1" applyFill="1" applyFont="1">
      <alignment vertical="bottom"/>
    </xf>
    <xf borderId="54" fillId="6" fontId="6" numFmtId="0" xfId="0" applyAlignment="1" applyBorder="1" applyFill="1" applyFont="1">
      <alignment readingOrder="0" vertical="bottom"/>
    </xf>
    <xf borderId="55" fillId="17" fontId="6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.13"/>
  </cols>
  <sheetData>
    <row r="1" ht="30.0" customHeight="1">
      <c r="A1" s="1" t="s">
        <v>0</v>
      </c>
      <c r="B1" s="8"/>
      <c r="C1" s="1" t="s">
        <v>7</v>
      </c>
      <c r="D1" s="12"/>
      <c r="E1" s="12"/>
      <c r="F1" s="12"/>
      <c r="G1" s="8"/>
      <c r="H1" s="16"/>
    </row>
    <row r="2" ht="30.0" customHeight="1">
      <c r="A2" s="18"/>
      <c r="B2" s="20"/>
      <c r="C2" s="18"/>
      <c r="D2" s="22"/>
      <c r="E2" s="22"/>
      <c r="F2" s="22"/>
      <c r="G2" s="20"/>
      <c r="H2" s="16"/>
    </row>
    <row r="3" ht="30.0" customHeight="1">
      <c r="A3" s="26" t="s">
        <v>13</v>
      </c>
      <c r="B3" s="8"/>
      <c r="C3" s="32" t="s">
        <v>17</v>
      </c>
      <c r="D3" s="12"/>
      <c r="E3" s="12"/>
      <c r="F3" s="12"/>
      <c r="G3" s="8"/>
      <c r="H3" s="16"/>
    </row>
    <row r="4" ht="42.0" customHeight="1">
      <c r="A4" s="18"/>
      <c r="B4" s="20"/>
      <c r="C4" s="18"/>
      <c r="D4" s="22"/>
      <c r="E4" s="22"/>
      <c r="F4" s="22"/>
      <c r="G4" s="20"/>
      <c r="H4" s="16"/>
    </row>
    <row r="5" ht="30.0" customHeight="1">
      <c r="A5" s="26" t="s">
        <v>27</v>
      </c>
      <c r="B5" s="8"/>
      <c r="C5" s="32" t="s">
        <v>29</v>
      </c>
      <c r="D5" s="12"/>
      <c r="E5" s="12"/>
      <c r="F5" s="12"/>
      <c r="G5" s="8"/>
      <c r="H5" s="16"/>
    </row>
    <row r="6" ht="30.0" customHeight="1">
      <c r="A6" s="18"/>
      <c r="B6" s="20"/>
      <c r="C6" s="18"/>
      <c r="D6" s="22"/>
      <c r="E6" s="22"/>
      <c r="F6" s="22"/>
      <c r="G6" s="20"/>
      <c r="H6" s="41" t="s">
        <v>32</v>
      </c>
    </row>
    <row r="7" ht="30.0" customHeight="1">
      <c r="A7" s="26" t="s">
        <v>34</v>
      </c>
      <c r="B7" s="8"/>
      <c r="C7" s="32" t="s">
        <v>36</v>
      </c>
      <c r="D7" s="12"/>
      <c r="E7" s="12"/>
      <c r="F7" s="12"/>
      <c r="G7" s="8"/>
      <c r="H7" s="16"/>
    </row>
    <row r="8" ht="30.0" customHeight="1">
      <c r="A8" s="18"/>
      <c r="B8" s="20"/>
      <c r="C8" s="18"/>
      <c r="D8" s="22"/>
      <c r="E8" s="22"/>
      <c r="F8" s="22"/>
      <c r="G8" s="20"/>
      <c r="H8" s="16"/>
    </row>
    <row r="9" ht="30.0" customHeight="1">
      <c r="A9" s="26" t="s">
        <v>40</v>
      </c>
      <c r="B9" s="8"/>
      <c r="C9" s="32" t="s">
        <v>42</v>
      </c>
      <c r="D9" s="12"/>
      <c r="E9" s="12"/>
      <c r="F9" s="12"/>
      <c r="G9" s="8"/>
      <c r="H9" s="16"/>
    </row>
    <row r="10" ht="30.0" customHeight="1">
      <c r="A10" s="18"/>
      <c r="B10" s="20"/>
      <c r="C10" s="18"/>
      <c r="D10" s="22"/>
      <c r="E10" s="22"/>
      <c r="F10" s="22"/>
      <c r="G10" s="20"/>
      <c r="H10" s="16"/>
    </row>
    <row r="11" ht="30.0" customHeight="1">
      <c r="A11" s="26" t="s">
        <v>47</v>
      </c>
      <c r="B11" s="8"/>
      <c r="C11" s="32" t="s">
        <v>50</v>
      </c>
      <c r="D11" s="12"/>
      <c r="E11" s="12"/>
      <c r="F11" s="12"/>
      <c r="G11" s="8"/>
      <c r="H11" s="16"/>
    </row>
    <row r="12" ht="30.0" customHeight="1">
      <c r="A12" s="18"/>
      <c r="B12" s="20"/>
      <c r="C12" s="18"/>
      <c r="D12" s="22"/>
      <c r="E12" s="22"/>
      <c r="F12" s="22"/>
      <c r="G12" s="20"/>
      <c r="H12" s="16"/>
    </row>
    <row r="13" ht="30.0" customHeight="1">
      <c r="A13" s="26" t="s">
        <v>57</v>
      </c>
      <c r="B13" s="8"/>
      <c r="C13" s="32" t="s">
        <v>60</v>
      </c>
      <c r="D13" s="12"/>
      <c r="E13" s="12"/>
      <c r="F13" s="12"/>
      <c r="G13" s="8"/>
      <c r="H13" s="16"/>
    </row>
    <row r="14" ht="30.0" customHeight="1">
      <c r="A14" s="18"/>
      <c r="B14" s="20"/>
      <c r="C14" s="18"/>
      <c r="D14" s="22"/>
      <c r="E14" s="22"/>
      <c r="F14" s="22"/>
      <c r="G14" s="20"/>
      <c r="H14" s="16"/>
    </row>
    <row r="15" ht="30.0" customHeight="1">
      <c r="A15" s="26" t="s">
        <v>66</v>
      </c>
      <c r="B15" s="8"/>
      <c r="C15" s="32" t="s">
        <v>70</v>
      </c>
      <c r="D15" s="12"/>
      <c r="E15" s="12"/>
      <c r="F15" s="12"/>
      <c r="G15" s="8"/>
      <c r="H15" s="16"/>
    </row>
    <row r="16" ht="30.0" customHeight="1">
      <c r="A16" s="18"/>
      <c r="B16" s="20"/>
      <c r="C16" s="18"/>
      <c r="D16" s="22"/>
      <c r="E16" s="22"/>
      <c r="F16" s="22"/>
      <c r="G16" s="20"/>
      <c r="H16" s="16"/>
    </row>
    <row r="17" ht="30.0" customHeight="1">
      <c r="A17" s="26" t="s">
        <v>78</v>
      </c>
      <c r="B17" s="8"/>
      <c r="C17" s="32" t="s">
        <v>82</v>
      </c>
      <c r="D17" s="12"/>
      <c r="E17" s="12"/>
      <c r="F17" s="12"/>
      <c r="G17" s="8"/>
      <c r="H17" s="16"/>
    </row>
    <row r="18" ht="30.0" customHeight="1">
      <c r="A18" s="18"/>
      <c r="B18" s="20"/>
      <c r="C18" s="18"/>
      <c r="D18" s="22"/>
      <c r="E18" s="22"/>
      <c r="F18" s="22"/>
      <c r="G18" s="20"/>
      <c r="H18" s="16"/>
    </row>
    <row r="19" ht="30.0" customHeight="1">
      <c r="A19" s="26" t="s">
        <v>86</v>
      </c>
      <c r="B19" s="8"/>
      <c r="C19" s="32" t="s">
        <v>89</v>
      </c>
      <c r="D19" s="12"/>
      <c r="E19" s="12"/>
      <c r="F19" s="12"/>
      <c r="G19" s="8"/>
      <c r="H19" s="16"/>
    </row>
    <row r="20" ht="30.0" customHeight="1">
      <c r="A20" s="18"/>
      <c r="B20" s="20"/>
      <c r="C20" s="18"/>
      <c r="D20" s="22"/>
      <c r="E20" s="22"/>
      <c r="F20" s="22"/>
      <c r="G20" s="20"/>
      <c r="H20" s="16"/>
    </row>
    <row r="21" ht="30.0" customHeight="1">
      <c r="A21" s="26" t="s">
        <v>93</v>
      </c>
      <c r="B21" s="8"/>
      <c r="C21" s="32" t="s">
        <v>95</v>
      </c>
      <c r="D21" s="12"/>
      <c r="E21" s="12"/>
      <c r="F21" s="12"/>
      <c r="G21" s="8"/>
      <c r="H21" s="16"/>
    </row>
    <row r="22" ht="30.0" customHeight="1">
      <c r="A22" s="18"/>
      <c r="B22" s="20"/>
      <c r="C22" s="18"/>
      <c r="D22" s="22"/>
      <c r="E22" s="22"/>
      <c r="F22" s="22"/>
      <c r="G22" s="20"/>
      <c r="H22" s="16"/>
    </row>
    <row r="23" ht="30.0" customHeight="1">
      <c r="A23" s="26" t="s">
        <v>103</v>
      </c>
      <c r="B23" s="8"/>
      <c r="C23" s="32" t="s">
        <v>108</v>
      </c>
      <c r="D23" s="12"/>
      <c r="E23" s="12"/>
      <c r="F23" s="12"/>
      <c r="G23" s="8"/>
      <c r="H23" s="16"/>
    </row>
    <row r="24" ht="30.0" customHeight="1">
      <c r="A24" s="18"/>
      <c r="B24" s="20"/>
      <c r="C24" s="18"/>
      <c r="D24" s="22"/>
      <c r="E24" s="22"/>
      <c r="F24" s="22"/>
      <c r="G24" s="20"/>
      <c r="H24" s="16"/>
    </row>
    <row r="25" ht="30.0" customHeight="1">
      <c r="A25" s="26" t="s">
        <v>114</v>
      </c>
      <c r="B25" s="8"/>
      <c r="C25" s="32" t="s">
        <v>116</v>
      </c>
      <c r="D25" s="12"/>
      <c r="E25" s="12"/>
      <c r="F25" s="12"/>
      <c r="G25" s="8"/>
      <c r="H25" s="16"/>
    </row>
    <row r="26" ht="42.0" customHeight="1">
      <c r="A26" s="18"/>
      <c r="B26" s="20"/>
      <c r="C26" s="18"/>
      <c r="D26" s="22"/>
      <c r="E26" s="22"/>
      <c r="F26" s="22"/>
      <c r="G26" s="20"/>
      <c r="H26" s="16"/>
    </row>
    <row r="27" ht="30.0" customHeight="1">
      <c r="A27" s="73"/>
      <c r="B27" s="73"/>
      <c r="C27" s="75"/>
      <c r="D27" s="75"/>
      <c r="E27" s="75"/>
      <c r="F27" s="75"/>
      <c r="G27" s="75"/>
      <c r="H27" s="16"/>
    </row>
    <row r="28" ht="30.0" customHeight="1">
      <c r="A28" s="73"/>
      <c r="B28" s="73"/>
      <c r="C28" s="75"/>
      <c r="D28" s="75"/>
      <c r="E28" s="75"/>
      <c r="F28" s="75"/>
      <c r="G28" s="75"/>
      <c r="H28" s="16"/>
    </row>
  </sheetData>
  <mergeCells count="26">
    <mergeCell ref="A1:B2"/>
    <mergeCell ref="C1:G2"/>
    <mergeCell ref="A3:B4"/>
    <mergeCell ref="C3:G4"/>
    <mergeCell ref="A5:B6"/>
    <mergeCell ref="C5:G6"/>
    <mergeCell ref="C7:G8"/>
    <mergeCell ref="A21:B22"/>
    <mergeCell ref="A23:B24"/>
    <mergeCell ref="A25:B26"/>
    <mergeCell ref="A7:B8"/>
    <mergeCell ref="A9:B10"/>
    <mergeCell ref="A11:B12"/>
    <mergeCell ref="A13:B14"/>
    <mergeCell ref="A15:B16"/>
    <mergeCell ref="A17:B18"/>
    <mergeCell ref="A19:B20"/>
    <mergeCell ref="C23:G24"/>
    <mergeCell ref="C25:G26"/>
    <mergeCell ref="C9:G10"/>
    <mergeCell ref="C11:G12"/>
    <mergeCell ref="C13:G14"/>
    <mergeCell ref="C15:G16"/>
    <mergeCell ref="C17:G18"/>
    <mergeCell ref="C19:G20"/>
    <mergeCell ref="C21:G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9.13"/>
    <col customWidth="1" min="15" max="15" width="26.88"/>
  </cols>
  <sheetData>
    <row r="1" ht="22.5" customHeight="1">
      <c r="A1" s="3" t="s">
        <v>1</v>
      </c>
      <c r="B1" s="5"/>
      <c r="C1" s="5"/>
      <c r="D1" s="5"/>
      <c r="E1" s="7"/>
      <c r="F1" s="9" t="s">
        <v>5</v>
      </c>
      <c r="G1" s="5"/>
      <c r="H1" s="5"/>
      <c r="I1" s="5"/>
      <c r="J1" s="7"/>
      <c r="K1" s="11" t="s">
        <v>9</v>
      </c>
      <c r="L1" s="5"/>
      <c r="M1" s="5"/>
      <c r="N1" s="5"/>
      <c r="O1" s="7"/>
      <c r="P1" s="13" t="s">
        <v>10</v>
      </c>
      <c r="Q1" s="5"/>
      <c r="R1" s="5"/>
      <c r="S1" s="5"/>
      <c r="T1" s="7"/>
    </row>
    <row r="2" ht="22.5" customHeight="1">
      <c r="A2" s="15"/>
      <c r="E2" s="17"/>
      <c r="J2" s="17"/>
      <c r="O2" s="17"/>
      <c r="T2" s="17"/>
    </row>
    <row r="3" ht="22.5" customHeight="1">
      <c r="A3" s="23"/>
      <c r="B3" s="22"/>
      <c r="C3" s="22"/>
      <c r="D3" s="22"/>
      <c r="E3" s="20"/>
      <c r="F3" s="22"/>
      <c r="G3" s="22"/>
      <c r="H3" s="22"/>
      <c r="I3" s="22"/>
      <c r="J3" s="20"/>
      <c r="K3" s="22"/>
      <c r="L3" s="22"/>
      <c r="M3" s="22"/>
      <c r="N3" s="22"/>
      <c r="O3" s="20"/>
      <c r="P3" s="22"/>
      <c r="Q3" s="22"/>
      <c r="R3" s="22"/>
      <c r="S3" s="22"/>
      <c r="T3" s="20"/>
    </row>
    <row r="4" ht="22.5" customHeight="1">
      <c r="A4" s="25" t="s">
        <v>14</v>
      </c>
      <c r="B4" s="28" t="s">
        <v>16</v>
      </c>
      <c r="E4" s="17"/>
      <c r="F4" s="31" t="s">
        <v>19</v>
      </c>
      <c r="G4" s="28" t="s">
        <v>20</v>
      </c>
      <c r="J4" s="17"/>
      <c r="K4" s="31" t="s">
        <v>22</v>
      </c>
      <c r="L4" s="28" t="s">
        <v>23</v>
      </c>
      <c r="O4" s="17"/>
      <c r="P4" s="31" t="s">
        <v>25</v>
      </c>
      <c r="Q4" s="28" t="s">
        <v>26</v>
      </c>
      <c r="T4" s="17"/>
    </row>
    <row r="5" ht="22.5" customHeight="1">
      <c r="A5" s="33"/>
      <c r="B5" s="34"/>
      <c r="C5" s="35"/>
      <c r="D5" s="35"/>
      <c r="E5" s="36"/>
      <c r="F5" s="38"/>
      <c r="G5" s="34"/>
      <c r="H5" s="35"/>
      <c r="I5" s="35"/>
      <c r="J5" s="36"/>
      <c r="K5" s="38"/>
      <c r="L5" s="34"/>
      <c r="M5" s="35"/>
      <c r="N5" s="35"/>
      <c r="O5" s="36"/>
      <c r="P5" s="38"/>
      <c r="Q5" s="34"/>
      <c r="R5" s="35"/>
      <c r="S5" s="35"/>
      <c r="T5" s="36"/>
    </row>
    <row r="6" ht="22.5" customHeight="1">
      <c r="A6" s="40" t="s">
        <v>31</v>
      </c>
      <c r="B6" s="28" t="s">
        <v>33</v>
      </c>
      <c r="E6" s="17"/>
      <c r="F6" s="43" t="s">
        <v>35</v>
      </c>
      <c r="G6" s="45" t="s">
        <v>37</v>
      </c>
      <c r="H6" s="5"/>
      <c r="I6" s="5"/>
      <c r="J6" s="7"/>
      <c r="K6" s="43" t="s">
        <v>38</v>
      </c>
      <c r="L6" s="45" t="s">
        <v>39</v>
      </c>
      <c r="M6" s="5"/>
      <c r="N6" s="5"/>
      <c r="O6" s="7"/>
      <c r="P6" s="43" t="s">
        <v>41</v>
      </c>
      <c r="Q6" s="45" t="s">
        <v>43</v>
      </c>
      <c r="R6" s="5"/>
      <c r="S6" s="5"/>
      <c r="T6" s="7"/>
    </row>
    <row r="7" ht="22.5" customHeight="1">
      <c r="A7" s="33"/>
      <c r="B7" s="34"/>
      <c r="C7" s="35"/>
      <c r="D7" s="35"/>
      <c r="E7" s="36"/>
      <c r="F7" s="38"/>
      <c r="G7" s="34"/>
      <c r="H7" s="35"/>
      <c r="I7" s="35"/>
      <c r="J7" s="36"/>
      <c r="K7" s="38"/>
      <c r="L7" s="34"/>
      <c r="M7" s="35"/>
      <c r="N7" s="35"/>
      <c r="O7" s="36"/>
      <c r="P7" s="38"/>
      <c r="Q7" s="34"/>
      <c r="R7" s="35"/>
      <c r="S7" s="35"/>
      <c r="T7" s="36"/>
    </row>
    <row r="8" ht="22.5" customHeight="1">
      <c r="A8" s="40" t="s">
        <v>48</v>
      </c>
      <c r="B8" s="28" t="s">
        <v>51</v>
      </c>
      <c r="E8" s="17"/>
      <c r="F8" s="43" t="s">
        <v>53</v>
      </c>
      <c r="G8" s="45" t="s">
        <v>54</v>
      </c>
      <c r="H8" s="5"/>
      <c r="I8" s="5"/>
      <c r="J8" s="7"/>
      <c r="K8" s="43" t="s">
        <v>64</v>
      </c>
      <c r="L8" s="45" t="s">
        <v>65</v>
      </c>
      <c r="M8" s="5"/>
      <c r="N8" s="5"/>
      <c r="O8" s="7"/>
      <c r="P8" s="43" t="s">
        <v>68</v>
      </c>
      <c r="Q8" s="45" t="s">
        <v>69</v>
      </c>
      <c r="R8" s="5"/>
      <c r="S8" s="5"/>
      <c r="T8" s="7"/>
    </row>
    <row r="9" ht="22.5" customHeight="1">
      <c r="A9" s="33"/>
      <c r="B9" s="34"/>
      <c r="C9" s="35"/>
      <c r="D9" s="35"/>
      <c r="E9" s="36"/>
      <c r="F9" s="38"/>
      <c r="G9" s="34"/>
      <c r="H9" s="35"/>
      <c r="I9" s="35"/>
      <c r="J9" s="36"/>
      <c r="K9" s="38"/>
      <c r="L9" s="34"/>
      <c r="M9" s="35"/>
      <c r="N9" s="35"/>
      <c r="O9" s="36"/>
      <c r="P9" s="38"/>
      <c r="Q9" s="34"/>
      <c r="R9" s="35"/>
      <c r="S9" s="35"/>
      <c r="T9" s="36"/>
    </row>
    <row r="10" ht="22.5" customHeight="1">
      <c r="A10" s="40" t="s">
        <v>75</v>
      </c>
      <c r="B10" s="28" t="s">
        <v>77</v>
      </c>
      <c r="E10" s="17"/>
      <c r="F10" s="43" t="s">
        <v>80</v>
      </c>
      <c r="G10" s="45" t="s">
        <v>81</v>
      </c>
      <c r="H10" s="5"/>
      <c r="I10" s="5"/>
      <c r="J10" s="7"/>
      <c r="K10" s="43" t="s">
        <v>83</v>
      </c>
      <c r="L10" s="45" t="s">
        <v>84</v>
      </c>
      <c r="M10" s="5"/>
      <c r="N10" s="5"/>
      <c r="O10" s="7"/>
      <c r="P10" s="43" t="s">
        <v>85</v>
      </c>
      <c r="Q10" s="45" t="s">
        <v>87</v>
      </c>
      <c r="R10" s="5"/>
      <c r="S10" s="5"/>
      <c r="T10" s="7"/>
    </row>
    <row r="11" ht="22.5" customHeight="1">
      <c r="A11" s="33"/>
      <c r="B11" s="34"/>
      <c r="C11" s="35"/>
      <c r="D11" s="35"/>
      <c r="E11" s="36"/>
      <c r="F11" s="38"/>
      <c r="G11" s="34"/>
      <c r="H11" s="35"/>
      <c r="I11" s="35"/>
      <c r="J11" s="36"/>
      <c r="K11" s="38"/>
      <c r="L11" s="34"/>
      <c r="M11" s="35"/>
      <c r="N11" s="35"/>
      <c r="O11" s="36"/>
      <c r="P11" s="38"/>
      <c r="Q11" s="34"/>
      <c r="R11" s="35"/>
      <c r="S11" s="35"/>
      <c r="T11" s="36"/>
    </row>
    <row r="12" ht="22.5" customHeight="1">
      <c r="A12" s="40" t="s">
        <v>92</v>
      </c>
      <c r="B12" s="28" t="s">
        <v>94</v>
      </c>
      <c r="E12" s="17"/>
      <c r="F12" s="43" t="s">
        <v>97</v>
      </c>
      <c r="G12" s="45" t="s">
        <v>98</v>
      </c>
      <c r="H12" s="5"/>
      <c r="I12" s="5"/>
      <c r="J12" s="7"/>
      <c r="K12" s="43" t="s">
        <v>99</v>
      </c>
      <c r="L12" s="45" t="s">
        <v>101</v>
      </c>
      <c r="M12" s="5"/>
      <c r="N12" s="5"/>
      <c r="O12" s="7"/>
      <c r="P12" s="43" t="s">
        <v>105</v>
      </c>
      <c r="Q12" s="45" t="s">
        <v>106</v>
      </c>
      <c r="R12" s="5"/>
      <c r="S12" s="5"/>
      <c r="T12" s="7"/>
    </row>
    <row r="13" ht="22.5" customHeight="1">
      <c r="A13" s="33"/>
      <c r="B13" s="34"/>
      <c r="C13" s="35"/>
      <c r="D13" s="35"/>
      <c r="E13" s="36"/>
      <c r="F13" s="38"/>
      <c r="G13" s="34"/>
      <c r="H13" s="35"/>
      <c r="I13" s="35"/>
      <c r="J13" s="36"/>
      <c r="K13" s="38"/>
      <c r="L13" s="34"/>
      <c r="M13" s="35"/>
      <c r="N13" s="35"/>
      <c r="O13" s="36"/>
      <c r="P13" s="38"/>
      <c r="Q13" s="34"/>
      <c r="R13" s="35"/>
      <c r="S13" s="35"/>
      <c r="T13" s="36"/>
    </row>
    <row r="14" ht="22.5" customHeight="1">
      <c r="A14" s="40" t="s">
        <v>115</v>
      </c>
      <c r="B14" s="28" t="s">
        <v>117</v>
      </c>
      <c r="E14" s="17"/>
      <c r="F14" s="43" t="s">
        <v>118</v>
      </c>
      <c r="G14" s="45" t="s">
        <v>121</v>
      </c>
      <c r="H14" s="5"/>
      <c r="I14" s="5"/>
      <c r="J14" s="7"/>
      <c r="K14" s="43" t="s">
        <v>123</v>
      </c>
      <c r="L14" s="45" t="s">
        <v>124</v>
      </c>
      <c r="M14" s="5"/>
      <c r="N14" s="5"/>
      <c r="O14" s="7"/>
      <c r="P14" s="43" t="s">
        <v>126</v>
      </c>
      <c r="Q14" s="45" t="s">
        <v>128</v>
      </c>
      <c r="R14" s="5"/>
      <c r="S14" s="5"/>
      <c r="T14" s="7"/>
    </row>
    <row r="15" ht="22.5" customHeight="1">
      <c r="A15" s="74"/>
      <c r="B15" s="34"/>
      <c r="C15" s="35"/>
      <c r="D15" s="35"/>
      <c r="E15" s="36"/>
      <c r="F15" s="48"/>
      <c r="G15" s="23"/>
      <c r="H15" s="22"/>
      <c r="I15" s="22"/>
      <c r="J15" s="20"/>
      <c r="K15" s="48"/>
      <c r="L15" s="23"/>
      <c r="M15" s="22"/>
      <c r="N15" s="22"/>
      <c r="O15" s="20"/>
      <c r="P15" s="48"/>
      <c r="Q15" s="23"/>
      <c r="R15" s="22"/>
      <c r="S15" s="22"/>
      <c r="T15" s="20"/>
    </row>
  </sheetData>
  <mergeCells count="52">
    <mergeCell ref="B12:E13"/>
    <mergeCell ref="F12:F13"/>
    <mergeCell ref="G12:J13"/>
    <mergeCell ref="K12:K13"/>
    <mergeCell ref="L12:O13"/>
    <mergeCell ref="P12:P13"/>
    <mergeCell ref="Q12:T13"/>
    <mergeCell ref="A12:A13"/>
    <mergeCell ref="A14:A15"/>
    <mergeCell ref="B14:E15"/>
    <mergeCell ref="F14:F15"/>
    <mergeCell ref="G14:J15"/>
    <mergeCell ref="K14:K15"/>
    <mergeCell ref="L14:O15"/>
    <mergeCell ref="L4:O5"/>
    <mergeCell ref="P4:P5"/>
    <mergeCell ref="L6:O7"/>
    <mergeCell ref="P6:P7"/>
    <mergeCell ref="Q6:T7"/>
    <mergeCell ref="A1:E3"/>
    <mergeCell ref="F1:J3"/>
    <mergeCell ref="K1:O3"/>
    <mergeCell ref="P1:T3"/>
    <mergeCell ref="A4:A5"/>
    <mergeCell ref="B4:E5"/>
    <mergeCell ref="F4:F5"/>
    <mergeCell ref="Q4:T5"/>
    <mergeCell ref="G4:J5"/>
    <mergeCell ref="K4:K5"/>
    <mergeCell ref="A6:A7"/>
    <mergeCell ref="B6:E7"/>
    <mergeCell ref="F6:F7"/>
    <mergeCell ref="G6:J7"/>
    <mergeCell ref="K6:K7"/>
    <mergeCell ref="B8:E9"/>
    <mergeCell ref="F8:F9"/>
    <mergeCell ref="G8:J9"/>
    <mergeCell ref="K8:K9"/>
    <mergeCell ref="L8:O9"/>
    <mergeCell ref="P8:P9"/>
    <mergeCell ref="Q8:T9"/>
    <mergeCell ref="P10:P11"/>
    <mergeCell ref="Q10:T11"/>
    <mergeCell ref="A8:A9"/>
    <mergeCell ref="A10:A11"/>
    <mergeCell ref="B10:E11"/>
    <mergeCell ref="F10:F11"/>
    <mergeCell ref="G10:J11"/>
    <mergeCell ref="K10:K11"/>
    <mergeCell ref="L10:O11"/>
    <mergeCell ref="P14:P15"/>
    <mergeCell ref="Q14:T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5" width="15.13"/>
  </cols>
  <sheetData>
    <row r="1" ht="22.5" customHeight="1">
      <c r="A1" s="4" t="s">
        <v>2</v>
      </c>
      <c r="B1" s="6" t="s">
        <v>3</v>
      </c>
      <c r="C1" s="5"/>
      <c r="D1" s="3" t="s">
        <v>4</v>
      </c>
      <c r="E1" s="5"/>
      <c r="F1" s="3" t="s">
        <v>6</v>
      </c>
      <c r="G1" s="7"/>
      <c r="H1" s="14" t="s">
        <v>8</v>
      </c>
      <c r="I1" s="5"/>
      <c r="J1" s="19" t="s">
        <v>11</v>
      </c>
      <c r="K1" s="5"/>
      <c r="L1" s="19" t="s">
        <v>12</v>
      </c>
      <c r="M1" s="7"/>
      <c r="N1" s="11" t="s">
        <v>15</v>
      </c>
      <c r="O1" s="27"/>
      <c r="P1" s="30" t="s">
        <v>18</v>
      </c>
      <c r="Q1" s="27"/>
      <c r="R1" s="30" t="s">
        <v>21</v>
      </c>
      <c r="S1" s="7"/>
      <c r="T1" s="13" t="s">
        <v>24</v>
      </c>
      <c r="U1" s="27"/>
      <c r="V1" s="37" t="s">
        <v>28</v>
      </c>
      <c r="W1" s="27"/>
      <c r="X1" s="37" t="s">
        <v>30</v>
      </c>
      <c r="Y1" s="27"/>
    </row>
    <row r="2" ht="22.5" customHeight="1">
      <c r="A2" s="39"/>
      <c r="D2" s="15"/>
      <c r="F2" s="15"/>
      <c r="G2" s="17"/>
      <c r="H2" s="42"/>
      <c r="J2" s="15"/>
      <c r="L2" s="15"/>
      <c r="M2" s="17"/>
      <c r="O2" s="44"/>
      <c r="P2" s="15"/>
      <c r="Q2" s="44"/>
      <c r="R2" s="15"/>
      <c r="S2" s="17"/>
      <c r="U2" s="44"/>
      <c r="V2" s="15"/>
      <c r="W2" s="44"/>
      <c r="X2" s="15"/>
      <c r="Y2" s="44"/>
    </row>
    <row r="3" ht="22.5" customHeight="1">
      <c r="A3" s="46"/>
      <c r="B3" s="22"/>
      <c r="C3" s="22"/>
      <c r="D3" s="23"/>
      <c r="E3" s="22"/>
      <c r="F3" s="23"/>
      <c r="G3" s="20"/>
      <c r="H3" s="18"/>
      <c r="I3" s="22"/>
      <c r="J3" s="23"/>
      <c r="K3" s="22"/>
      <c r="L3" s="23"/>
      <c r="M3" s="20"/>
      <c r="N3" s="22"/>
      <c r="O3" s="48"/>
      <c r="P3" s="23"/>
      <c r="Q3" s="48"/>
      <c r="R3" s="23"/>
      <c r="S3" s="20"/>
      <c r="T3" s="22"/>
      <c r="U3" s="48"/>
      <c r="V3" s="23"/>
      <c r="W3" s="48"/>
      <c r="X3" s="23"/>
      <c r="Y3" s="48"/>
    </row>
    <row r="4" ht="22.5" customHeight="1">
      <c r="A4" s="51" t="s">
        <v>46</v>
      </c>
      <c r="B4" s="53" t="s">
        <v>49</v>
      </c>
      <c r="C4" s="44"/>
      <c r="D4" s="55" t="s">
        <v>56</v>
      </c>
      <c r="E4" s="44"/>
      <c r="F4" s="55" t="s">
        <v>59</v>
      </c>
      <c r="G4" s="17"/>
      <c r="H4" s="57" t="s">
        <v>62</v>
      </c>
      <c r="I4" s="44"/>
      <c r="J4" s="59" t="s">
        <v>63</v>
      </c>
      <c r="K4" s="44"/>
      <c r="L4" s="59" t="s">
        <v>67</v>
      </c>
      <c r="M4" s="17"/>
      <c r="N4" s="60" t="s">
        <v>71</v>
      </c>
      <c r="O4" s="44"/>
      <c r="P4" s="59" t="s">
        <v>72</v>
      </c>
      <c r="Q4" s="44"/>
      <c r="R4" s="59" t="s">
        <v>73</v>
      </c>
      <c r="S4" s="17"/>
      <c r="T4" s="60" t="s">
        <v>74</v>
      </c>
      <c r="U4" s="44"/>
      <c r="V4" s="59" t="s">
        <v>76</v>
      </c>
      <c r="W4" s="44"/>
      <c r="X4" s="59" t="s">
        <v>79</v>
      </c>
      <c r="Y4" s="44"/>
    </row>
    <row r="5" ht="22.5" customHeight="1">
      <c r="A5" s="63"/>
      <c r="B5" s="35"/>
      <c r="C5" s="38"/>
      <c r="D5" s="34"/>
      <c r="E5" s="38"/>
      <c r="F5" s="34"/>
      <c r="G5" s="36"/>
      <c r="H5" s="65"/>
      <c r="I5" s="38"/>
      <c r="J5" s="35"/>
      <c r="K5" s="38"/>
      <c r="L5" s="35"/>
      <c r="M5" s="36"/>
      <c r="N5" s="35"/>
      <c r="O5" s="38"/>
      <c r="P5" s="35"/>
      <c r="Q5" s="38"/>
      <c r="R5" s="35"/>
      <c r="S5" s="36"/>
      <c r="T5" s="35"/>
      <c r="U5" s="38"/>
      <c r="V5" s="35"/>
      <c r="W5" s="38"/>
      <c r="X5" s="35"/>
      <c r="Y5" s="38"/>
    </row>
    <row r="6" ht="22.5" customHeight="1">
      <c r="A6" s="66" t="s">
        <v>88</v>
      </c>
      <c r="B6" s="67" t="s">
        <v>90</v>
      </c>
      <c r="C6" s="27"/>
      <c r="D6" s="68" t="s">
        <v>91</v>
      </c>
      <c r="E6" s="27"/>
      <c r="F6" s="69" t="s">
        <v>96</v>
      </c>
      <c r="G6" s="7"/>
      <c r="H6" s="57" t="s">
        <v>100</v>
      </c>
      <c r="I6" s="44"/>
      <c r="J6" s="60" t="s">
        <v>102</v>
      </c>
      <c r="K6" s="44"/>
      <c r="L6" s="59" t="s">
        <v>104</v>
      </c>
      <c r="M6" s="17"/>
      <c r="N6" s="60" t="s">
        <v>107</v>
      </c>
      <c r="O6" s="44"/>
      <c r="P6" s="60" t="s">
        <v>109</v>
      </c>
      <c r="Q6" s="44"/>
      <c r="R6" s="59" t="s">
        <v>110</v>
      </c>
      <c r="S6" s="17"/>
      <c r="T6" s="60" t="s">
        <v>111</v>
      </c>
      <c r="U6" s="44"/>
      <c r="V6" s="60" t="s">
        <v>112</v>
      </c>
      <c r="W6" s="44"/>
      <c r="X6" s="59" t="s">
        <v>113</v>
      </c>
      <c r="Y6" s="44"/>
    </row>
    <row r="7" ht="22.5" customHeight="1">
      <c r="A7" s="63"/>
      <c r="B7" s="35"/>
      <c r="C7" s="38"/>
      <c r="D7" s="34"/>
      <c r="E7" s="38"/>
      <c r="F7" s="34"/>
      <c r="G7" s="36"/>
      <c r="H7" s="65"/>
      <c r="I7" s="38"/>
      <c r="J7" s="35"/>
      <c r="K7" s="38"/>
      <c r="L7" s="35"/>
      <c r="M7" s="36"/>
      <c r="N7" s="35"/>
      <c r="O7" s="38"/>
      <c r="P7" s="35"/>
      <c r="Q7" s="38"/>
      <c r="R7" s="35"/>
      <c r="S7" s="36"/>
      <c r="T7" s="35"/>
      <c r="U7" s="38"/>
      <c r="V7" s="35"/>
      <c r="W7" s="38"/>
      <c r="X7" s="35"/>
      <c r="Y7" s="38"/>
    </row>
    <row r="8" ht="22.5" customHeight="1">
      <c r="A8" s="66" t="s">
        <v>119</v>
      </c>
      <c r="B8" s="67" t="s">
        <v>120</v>
      </c>
      <c r="C8" s="27"/>
      <c r="D8" s="69" t="s">
        <v>122</v>
      </c>
      <c r="E8" s="27"/>
      <c r="F8" s="68" t="s">
        <v>125</v>
      </c>
      <c r="G8" s="7"/>
      <c r="H8" s="57" t="s">
        <v>127</v>
      </c>
      <c r="I8" s="44"/>
      <c r="J8" s="59" t="s">
        <v>129</v>
      </c>
      <c r="K8" s="44"/>
      <c r="L8" s="60" t="s">
        <v>130</v>
      </c>
      <c r="M8" s="17"/>
      <c r="N8" s="60" t="s">
        <v>131</v>
      </c>
      <c r="O8" s="44"/>
      <c r="P8" s="59" t="s">
        <v>132</v>
      </c>
      <c r="Q8" s="44"/>
      <c r="R8" s="60" t="s">
        <v>133</v>
      </c>
      <c r="S8" s="17"/>
      <c r="T8" s="60" t="s">
        <v>134</v>
      </c>
      <c r="U8" s="44"/>
      <c r="V8" s="59" t="s">
        <v>135</v>
      </c>
      <c r="W8" s="44"/>
      <c r="X8" s="60" t="s">
        <v>136</v>
      </c>
      <c r="Y8" s="44"/>
    </row>
    <row r="9" ht="22.5" customHeight="1">
      <c r="A9" s="63"/>
      <c r="B9" s="35"/>
      <c r="C9" s="38"/>
      <c r="D9" s="34"/>
      <c r="E9" s="38"/>
      <c r="F9" s="34"/>
      <c r="G9" s="36"/>
      <c r="H9" s="65"/>
      <c r="I9" s="38"/>
      <c r="J9" s="35"/>
      <c r="K9" s="38"/>
      <c r="L9" s="35"/>
      <c r="M9" s="36"/>
      <c r="N9" s="35"/>
      <c r="O9" s="38"/>
      <c r="P9" s="35"/>
      <c r="Q9" s="38"/>
      <c r="R9" s="35"/>
      <c r="S9" s="36"/>
      <c r="T9" s="35"/>
      <c r="U9" s="38"/>
      <c r="V9" s="35"/>
      <c r="W9" s="38"/>
      <c r="X9" s="35"/>
      <c r="Y9" s="38"/>
    </row>
    <row r="10" ht="22.5" customHeight="1">
      <c r="A10" s="66" t="s">
        <v>137</v>
      </c>
      <c r="B10" s="67" t="s">
        <v>138</v>
      </c>
      <c r="C10" s="27"/>
      <c r="D10" s="69" t="s">
        <v>139</v>
      </c>
      <c r="E10" s="27"/>
      <c r="F10" s="69" t="s">
        <v>140</v>
      </c>
      <c r="G10" s="7"/>
      <c r="H10" s="57" t="s">
        <v>141</v>
      </c>
      <c r="I10" s="44"/>
      <c r="J10" s="59" t="s">
        <v>142</v>
      </c>
      <c r="K10" s="44"/>
      <c r="L10" s="59" t="s">
        <v>143</v>
      </c>
      <c r="M10" s="17"/>
      <c r="N10" s="60" t="s">
        <v>144</v>
      </c>
      <c r="O10" s="44"/>
      <c r="P10" s="59" t="s">
        <v>145</v>
      </c>
      <c r="Q10" s="44"/>
      <c r="R10" s="59" t="s">
        <v>146</v>
      </c>
      <c r="S10" s="17"/>
      <c r="T10" s="60" t="s">
        <v>147</v>
      </c>
      <c r="U10" s="44"/>
      <c r="V10" s="59" t="s">
        <v>148</v>
      </c>
      <c r="W10" s="44"/>
      <c r="X10" s="59" t="s">
        <v>149</v>
      </c>
      <c r="Y10" s="44"/>
    </row>
    <row r="11" ht="22.5" customHeight="1">
      <c r="A11" s="63"/>
      <c r="B11" s="35"/>
      <c r="C11" s="38"/>
      <c r="D11" s="34"/>
      <c r="E11" s="38"/>
      <c r="F11" s="34"/>
      <c r="G11" s="36"/>
      <c r="H11" s="65"/>
      <c r="I11" s="38"/>
      <c r="J11" s="35"/>
      <c r="K11" s="38"/>
      <c r="L11" s="35"/>
      <c r="M11" s="36"/>
      <c r="N11" s="35"/>
      <c r="O11" s="38"/>
      <c r="P11" s="35"/>
      <c r="Q11" s="38"/>
      <c r="R11" s="35"/>
      <c r="S11" s="36"/>
      <c r="T11" s="35"/>
      <c r="U11" s="38"/>
      <c r="V11" s="35"/>
      <c r="W11" s="38"/>
      <c r="X11" s="35"/>
      <c r="Y11" s="38"/>
    </row>
    <row r="12" ht="22.5" customHeight="1">
      <c r="A12" s="66" t="s">
        <v>150</v>
      </c>
      <c r="B12" s="67" t="s">
        <v>151</v>
      </c>
      <c r="C12" s="27"/>
      <c r="D12" s="69" t="s">
        <v>152</v>
      </c>
      <c r="E12" s="27"/>
      <c r="F12" s="69" t="s">
        <v>153</v>
      </c>
      <c r="G12" s="7"/>
      <c r="H12" s="57" t="s">
        <v>154</v>
      </c>
      <c r="I12" s="44"/>
      <c r="J12" s="59" t="s">
        <v>155</v>
      </c>
      <c r="K12" s="44"/>
      <c r="L12" s="59" t="s">
        <v>156</v>
      </c>
      <c r="M12" s="17"/>
      <c r="N12" s="60" t="s">
        <v>157</v>
      </c>
      <c r="O12" s="44"/>
      <c r="P12" s="59" t="s">
        <v>158</v>
      </c>
      <c r="Q12" s="44"/>
      <c r="R12" s="59" t="s">
        <v>159</v>
      </c>
      <c r="S12" s="17"/>
      <c r="T12" s="60" t="s">
        <v>160</v>
      </c>
      <c r="U12" s="44"/>
      <c r="V12" s="59" t="s">
        <v>161</v>
      </c>
      <c r="W12" s="44"/>
      <c r="X12" s="59" t="s">
        <v>162</v>
      </c>
      <c r="Y12" s="44"/>
    </row>
    <row r="13" ht="22.5" customHeight="1">
      <c r="A13" s="63"/>
      <c r="B13" s="35"/>
      <c r="C13" s="38"/>
      <c r="D13" s="34"/>
      <c r="E13" s="38"/>
      <c r="F13" s="34"/>
      <c r="G13" s="36"/>
      <c r="H13" s="65"/>
      <c r="I13" s="38"/>
      <c r="J13" s="35"/>
      <c r="K13" s="38"/>
      <c r="L13" s="35"/>
      <c r="M13" s="36"/>
      <c r="N13" s="35"/>
      <c r="O13" s="38"/>
      <c r="P13" s="35"/>
      <c r="Q13" s="38"/>
      <c r="R13" s="35"/>
      <c r="S13" s="36"/>
      <c r="T13" s="35"/>
      <c r="U13" s="38"/>
      <c r="V13" s="35"/>
      <c r="W13" s="38"/>
      <c r="X13" s="35"/>
      <c r="Y13" s="38"/>
    </row>
    <row r="14" ht="22.5" customHeight="1">
      <c r="A14" s="77"/>
      <c r="B14" s="53"/>
      <c r="C14" s="53"/>
      <c r="D14" s="78"/>
      <c r="E14" s="78"/>
      <c r="F14" s="78"/>
      <c r="G14" s="78"/>
      <c r="H14" s="60"/>
      <c r="I14" s="60"/>
      <c r="J14" s="59"/>
      <c r="K14" s="59"/>
      <c r="L14" s="59"/>
      <c r="M14" s="59"/>
      <c r="N14" s="80"/>
      <c r="O14" s="78"/>
      <c r="P14" s="78"/>
      <c r="Q14" s="78"/>
      <c r="R14" s="78"/>
      <c r="S14" s="78"/>
      <c r="T14" s="80"/>
      <c r="U14" s="78"/>
      <c r="V14" s="78"/>
      <c r="W14" s="78"/>
      <c r="X14" s="78"/>
      <c r="Y14" s="78"/>
    </row>
  </sheetData>
  <mergeCells count="78">
    <mergeCell ref="N8:O9"/>
    <mergeCell ref="P8:Q9"/>
    <mergeCell ref="R8:S9"/>
    <mergeCell ref="T8:U9"/>
    <mergeCell ref="V8:W9"/>
    <mergeCell ref="X8:Y9"/>
    <mergeCell ref="A8:A9"/>
    <mergeCell ref="B8:C9"/>
    <mergeCell ref="D8:E9"/>
    <mergeCell ref="F8:G9"/>
    <mergeCell ref="H8:I9"/>
    <mergeCell ref="J8:K9"/>
    <mergeCell ref="L8:M9"/>
    <mergeCell ref="N10:O11"/>
    <mergeCell ref="P10:Q11"/>
    <mergeCell ref="R10:S11"/>
    <mergeCell ref="T10:U11"/>
    <mergeCell ref="V10:W11"/>
    <mergeCell ref="X10:Y11"/>
    <mergeCell ref="A10:A11"/>
    <mergeCell ref="B10:C11"/>
    <mergeCell ref="D10:E11"/>
    <mergeCell ref="F10:G11"/>
    <mergeCell ref="H10:I11"/>
    <mergeCell ref="J10:K11"/>
    <mergeCell ref="L10:M11"/>
    <mergeCell ref="N1:O3"/>
    <mergeCell ref="P1:Q3"/>
    <mergeCell ref="R1:S3"/>
    <mergeCell ref="T1:U3"/>
    <mergeCell ref="V1:W3"/>
    <mergeCell ref="X1:Y3"/>
    <mergeCell ref="A1:A3"/>
    <mergeCell ref="B1:C3"/>
    <mergeCell ref="D1:E3"/>
    <mergeCell ref="F1:G3"/>
    <mergeCell ref="H1:I3"/>
    <mergeCell ref="J1:K3"/>
    <mergeCell ref="L1:M3"/>
    <mergeCell ref="N4:O5"/>
    <mergeCell ref="P4:Q5"/>
    <mergeCell ref="R4:S5"/>
    <mergeCell ref="T4:U5"/>
    <mergeCell ref="V4:W5"/>
    <mergeCell ref="X4:Y5"/>
    <mergeCell ref="A4:A5"/>
    <mergeCell ref="B4:C5"/>
    <mergeCell ref="D4:E5"/>
    <mergeCell ref="F4:G5"/>
    <mergeCell ref="H4:I5"/>
    <mergeCell ref="J4:K5"/>
    <mergeCell ref="L4:M5"/>
    <mergeCell ref="N6:O7"/>
    <mergeCell ref="P6:Q7"/>
    <mergeCell ref="R6:S7"/>
    <mergeCell ref="T6:U7"/>
    <mergeCell ref="V6:W7"/>
    <mergeCell ref="X6:Y7"/>
    <mergeCell ref="A6:A7"/>
    <mergeCell ref="B6:C7"/>
    <mergeCell ref="D6:E7"/>
    <mergeCell ref="F6:G7"/>
    <mergeCell ref="H6:I7"/>
    <mergeCell ref="J6:K7"/>
    <mergeCell ref="L6:M7"/>
    <mergeCell ref="N12:O13"/>
    <mergeCell ref="P12:Q13"/>
    <mergeCell ref="R12:S13"/>
    <mergeCell ref="T12:U13"/>
    <mergeCell ref="V12:W13"/>
    <mergeCell ref="X12:Y13"/>
    <mergeCell ref="A12:A13"/>
    <mergeCell ref="B12:C13"/>
    <mergeCell ref="D12:E13"/>
    <mergeCell ref="F12:G13"/>
    <mergeCell ref="H12:I13"/>
    <mergeCell ref="J12:K13"/>
    <mergeCell ref="L12:M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5.38"/>
    <col customWidth="1" min="20" max="20" width="23.0"/>
    <col customWidth="1" min="21" max="21" width="9.13"/>
  </cols>
  <sheetData>
    <row r="1">
      <c r="A1" s="2" t="s">
        <v>1</v>
      </c>
      <c r="B1" s="10"/>
      <c r="C1" s="21" t="str">
        <f>B2</f>
        <v>Annor Azgha</v>
      </c>
      <c r="D1" s="24"/>
      <c r="E1" s="29" t="str">
        <f>B3</f>
        <v>Knights</v>
      </c>
      <c r="F1" s="24"/>
      <c r="G1" s="29" t="str">
        <f>B4</f>
        <v>Grignard Gobblers</v>
      </c>
      <c r="H1" s="24"/>
      <c r="I1" s="29" t="str">
        <f>B5</f>
        <v>Chengcheng</v>
      </c>
      <c r="J1" s="24"/>
      <c r="K1" s="29" t="str">
        <f>B6</f>
        <v>Snowy Dusky Bagels</v>
      </c>
      <c r="L1" s="24"/>
      <c r="M1" s="29" t="str">
        <f>B7</f>
        <v>Azizam</v>
      </c>
      <c r="N1" s="47"/>
      <c r="O1" s="49" t="s">
        <v>44</v>
      </c>
      <c r="P1" s="50" t="s">
        <v>45</v>
      </c>
      <c r="Q1" s="52" t="s">
        <v>52</v>
      </c>
      <c r="R1" s="54" t="s">
        <v>55</v>
      </c>
      <c r="T1" s="56" t="s">
        <v>58</v>
      </c>
      <c r="U1" s="56" t="s">
        <v>61</v>
      </c>
    </row>
    <row r="2">
      <c r="A2" s="58" t="s">
        <v>14</v>
      </c>
      <c r="B2" s="61" t="str">
        <f>'RR GROUPS'!B4</f>
        <v>Annor Azgha</v>
      </c>
      <c r="C2" s="62"/>
      <c r="D2" s="62"/>
      <c r="E2" s="64">
        <v>74.0</v>
      </c>
      <c r="F2" s="70" t="str">
        <f>if(E2&gt;C3,"W",if(E2&lt;C3,"L",if(isblank(E2),"","T")))</f>
        <v>W</v>
      </c>
      <c r="G2" s="71">
        <v>86.0</v>
      </c>
      <c r="H2" s="72" t="str">
        <f>if(G2&gt;C4,"W",if(G2&lt;C4,"L",if(isblank(G2),"","T")))</f>
        <v>W</v>
      </c>
      <c r="I2" s="71">
        <v>78.0</v>
      </c>
      <c r="J2" s="72" t="str">
        <f>if(I2&gt;C5,"W",if(I2&lt;C5,"L",if(isblank(I2),"","T")))</f>
        <v>W</v>
      </c>
      <c r="K2" s="71">
        <v>70.0</v>
      </c>
      <c r="L2" s="72" t="str">
        <f>if(K2&gt;C6,"W",if(K2&lt;C6,"L",if(isblank(K2),"","T")))</f>
        <v>W</v>
      </c>
      <c r="M2" s="71">
        <v>110.0</v>
      </c>
      <c r="N2" s="72" t="str">
        <f>if(M2&gt;C7,"W",if(M2&lt;C7,"L",if(isblank(M2),"","T")))</f>
        <v>W</v>
      </c>
      <c r="O2" s="76">
        <f t="shared" ref="O2:O7" si="1">countif(C2:N2,"W")</f>
        <v>5</v>
      </c>
      <c r="P2" s="79">
        <f t="shared" ref="P2:P7" si="2">countif(C2:N2,"T")</f>
        <v>0</v>
      </c>
      <c r="Q2" s="82">
        <f t="shared" ref="Q2:Q7" si="3">countif(C2:N2,"L")</f>
        <v>0</v>
      </c>
      <c r="R2" s="109">
        <f>SUM(
IF(E2="","",IF(E2&gt;C3,E2+100,IF(E2=C3,E2+50,E2+MAX(50-(C3-E2),0)))),
IF(G2="","",IF(G2&gt;C4,G2+100,IF(G2=C4,G2+50,G2+MAX(50-(C4-G2),0)))),
IF(I2="","",IF(I2&gt;C5,I2+100,IF(I2=C5,I2+50,I2+MAX(50-(C5-I2),0)))),
IF(K2="","",IF(K2&gt;C6,K2+100,IF(K2=C6,K2+50,K2+MAX(50-(C6-K2),0)))),
IF(M2="","",IF(M2&gt;C7,M2+100,IF(M2=C7,M2+50,M2+MAX(50-(C7-M2),0))))
)
</f>
        <v>918</v>
      </c>
      <c r="T2" s="114" t="str">
        <f>IFERROR(__xludf.DUMMYFUNCTION("SORT(
  FILTER({B2:B7, R2:R7}, R2:R7 &lt;&gt; """"),
  2,
  FALSE
)
"),"Annor Azgha")</f>
        <v>Annor Azgha</v>
      </c>
      <c r="U2" s="114">
        <f>IFERROR(__xludf.DUMMYFUNCTION("""COMPUTED_VALUE"""),918.0)</f>
        <v>918</v>
      </c>
    </row>
    <row r="3">
      <c r="A3" s="58" t="s">
        <v>31</v>
      </c>
      <c r="B3" s="61" t="str">
        <f>'RR GROUPS'!B6</f>
        <v>Knights</v>
      </c>
      <c r="C3" s="71">
        <v>0.0</v>
      </c>
      <c r="D3" s="72" t="str">
        <f>if(E2&lt;C3,"W",if(E2&gt;C3,"L",if(isblank(C3),"","T")))</f>
        <v>L</v>
      </c>
      <c r="E3" s="62"/>
      <c r="F3" s="123"/>
      <c r="G3" s="64">
        <v>66.0</v>
      </c>
      <c r="H3" s="70" t="str">
        <f>if(G3&gt;E4,"W",if(G3&lt;E4,"L",if(isblank(G3),"","T")))</f>
        <v>W</v>
      </c>
      <c r="I3" s="71">
        <v>0.0</v>
      </c>
      <c r="J3" s="72" t="str">
        <f>if(I3&gt;E5,"W",if(I3&lt;E5,"L",if(isblank(I3),"","T")))</f>
        <v>L</v>
      </c>
      <c r="K3" s="71">
        <v>30.0</v>
      </c>
      <c r="L3" s="72" t="str">
        <f>if(K3&gt;E6,"W",if(K3&lt;E6,"L",if(isblank(K3),"","T")))</f>
        <v>L</v>
      </c>
      <c r="M3" s="71">
        <v>70.0</v>
      </c>
      <c r="N3" s="70" t="str">
        <f>if(M3&gt;E7,"W",if(M3&lt;E7,"L",if(isblank(M3),"","T")))</f>
        <v>W</v>
      </c>
      <c r="O3" s="76">
        <f t="shared" si="1"/>
        <v>2</v>
      </c>
      <c r="P3" s="79">
        <f t="shared" si="2"/>
        <v>0</v>
      </c>
      <c r="Q3" s="82">
        <f t="shared" si="3"/>
        <v>3</v>
      </c>
      <c r="R3" s="109">
        <f>SUM(
IF(C3="",0,IF(C3&gt;E2,C3+100,IF(C3=E2,C3+50,C3+MAX(50-(E2-C3),0)))),
IF(G3="",0,IF(G3&gt;E4,G3+100,IF(G3=E4,G3+50,G3+MAX(50-(E4-G3),0)))),
IF(I3="",0,IF(I3&gt;E5,I3+100,IF(I3=E5,I3+50,I3+MAX(50-(E5-I3),0)))),
IF(K3="",0,IF(K3&gt;E6,K3+100,IF(K3=E6,K3+50,K3+MAX(50-(E6-K3),0)))),
IF(M3="",0,IF(M3&gt;E7,M3+100,IF(M3=E7,M3+50,M3+MAX(50-(E7-M3),0))))
)
</f>
        <v>366</v>
      </c>
      <c r="T3" s="114" t="str">
        <f>IFERROR(__xludf.DUMMYFUNCTION("""COMPUTED_VALUE"""),"Snowy Dusky Bagels")</f>
        <v>Snowy Dusky Bagels</v>
      </c>
      <c r="U3" s="114">
        <f>IFERROR(__xludf.DUMMYFUNCTION("""COMPUTED_VALUE"""),862.0)</f>
        <v>862</v>
      </c>
    </row>
    <row r="4">
      <c r="A4" s="58" t="s">
        <v>48</v>
      </c>
      <c r="B4" s="61" t="str">
        <f>'RR GROUPS'!B8</f>
        <v>Grignard Gobblers</v>
      </c>
      <c r="C4" s="71">
        <v>30.0</v>
      </c>
      <c r="D4" s="142" t="str">
        <f>if(G2&lt;C4,"W",if(G2&gt;C4,"L",if(isblank(C4),"","T")))</f>
        <v>L</v>
      </c>
      <c r="E4" s="71">
        <v>32.0</v>
      </c>
      <c r="F4" s="72" t="str">
        <f>if(G3&lt;E4,"W",if(G3&gt;E4,"L",if(isblank(E4),"","T")))</f>
        <v>L</v>
      </c>
      <c r="G4" s="62"/>
      <c r="H4" s="123"/>
      <c r="I4" s="64">
        <v>50.0</v>
      </c>
      <c r="J4" s="72" t="str">
        <f>if(I4&gt;G5,"W",if(I4&lt;G5,"L",if(isblank(I4),"","T")))</f>
        <v>W</v>
      </c>
      <c r="K4" s="71">
        <v>22.0</v>
      </c>
      <c r="L4" s="70" t="str">
        <f>if(K4&gt;G6,"W",if(K4&lt;G6,"L",if(isblank(K4),"","T")))</f>
        <v>L</v>
      </c>
      <c r="M4" s="71">
        <v>30.0</v>
      </c>
      <c r="N4" s="70" t="str">
        <f>if(M4&gt;G7,"W",if(M4&lt;G7,"L",if(isblank(M4),"","T")))</f>
        <v>L</v>
      </c>
      <c r="O4" s="76">
        <f t="shared" si="1"/>
        <v>1</v>
      </c>
      <c r="P4" s="79">
        <f t="shared" si="2"/>
        <v>0</v>
      </c>
      <c r="Q4" s="82">
        <f t="shared" si="3"/>
        <v>4</v>
      </c>
      <c r="R4" s="109">
        <f>SUM(
IF(C4="",0,IF(C4&gt;G2,C4+100,IF(C4=G2,C4+50,C4+MAX(50-(G2-C4),0)))),
IF(E4="",0,IF(E4&gt;G3,E4+100,IF(E4=G3,E4+50,E4+MAX(50-(G3-E4),0)))),
IF(I4="",0,IF(I4&gt;G5,I4+100,IF(I4=G5,I4+50,I4+MAX(50-(G5-I4),0)))),
IF(K4="",0,IF(K4&gt;G6,K4+100,IF(K4=G6,K4+50,K4+MAX(50-(G6-K4),0)))),
IF(M4="",0,IF(M4&gt;G7,M4+100,IF(M4=G7,M4+50,M4+MAX(50-(G7-M4),0))))
)
</f>
        <v>320</v>
      </c>
      <c r="T4" s="143" t="str">
        <f>IFERROR(__xludf.DUMMYFUNCTION("""COMPUTED_VALUE"""),"Chengcheng")</f>
        <v>Chengcheng</v>
      </c>
      <c r="U4" s="143">
        <f>IFERROR(__xludf.DUMMYFUNCTION("""COMPUTED_VALUE"""),524.0)</f>
        <v>524</v>
      </c>
    </row>
    <row r="5">
      <c r="A5" s="58" t="s">
        <v>75</v>
      </c>
      <c r="B5" s="61" t="str">
        <f>'RR GROUPS'!B10</f>
        <v>Chengcheng</v>
      </c>
      <c r="C5" s="71">
        <v>40.0</v>
      </c>
      <c r="D5" s="142" t="str">
        <f>if(I2&lt;C5,"W",if(I2&gt;C5,"L",if(isblank(C5),"","T")))</f>
        <v>L</v>
      </c>
      <c r="E5" s="71">
        <v>76.0</v>
      </c>
      <c r="F5" s="70" t="str">
        <f>if(I3&lt;E5,"W",if(I3&gt;E5,"L",if(isblank(E5),"","T")))</f>
        <v>W</v>
      </c>
      <c r="G5" s="71">
        <v>40.0</v>
      </c>
      <c r="H5" s="70" t="str">
        <f>if(I4&lt;G5,"W",if(I4&gt;G5,"L",if(isblank(G5),"","T")))</f>
        <v>L</v>
      </c>
      <c r="I5" s="62"/>
      <c r="J5" s="123"/>
      <c r="K5" s="64">
        <v>40.0</v>
      </c>
      <c r="L5" s="70" t="str">
        <f>if(K5&gt;I6,"W",if(K5&lt;I6,"L",if(isblank(K5),"","T")))</f>
        <v>L</v>
      </c>
      <c r="M5" s="71">
        <v>64.0</v>
      </c>
      <c r="N5" s="72" t="str">
        <f>if(M5&gt;I7,"W",if(M5&lt;I7,"L",if(isblank(M5),"","T")))</f>
        <v>W</v>
      </c>
      <c r="O5" s="76">
        <f t="shared" si="1"/>
        <v>2</v>
      </c>
      <c r="P5" s="79">
        <f t="shared" si="2"/>
        <v>0</v>
      </c>
      <c r="Q5" s="82">
        <f t="shared" si="3"/>
        <v>3</v>
      </c>
      <c r="R5" s="109">
        <f>SUM(
IF(C5="","",IF(C5&gt;I2,C5+100,IF(C5=I2,C5+50,C5+MAX(50-(I2-C5),0)))),
IF(E5="","",IF(E5&gt;I3,E5+100,IF(E5=I3,E5+50,E5+MAX(50-(I3-E5),0)))),
IF(G5="","",IF(G5&gt;I4,G5+100,IF(G5=I4,G5+50,G5+MAX(50-(I4-C5),0)))),
IF(K5="","",IF(K5&gt;I6,K5+100,IF(K5=I6,K5+50,K5+MAX(50-(I6-K5),0)))),
IF(M5="","",IF(M5&gt;I7,M5+100,IF(M5=I7,M5+50,M5+MAX(50-(I7-M5),0))))
)
</f>
        <v>524</v>
      </c>
      <c r="T5" s="143" t="str">
        <f>IFERROR(__xludf.DUMMYFUNCTION("""COMPUTED_VALUE"""),"Knights")</f>
        <v>Knights</v>
      </c>
      <c r="U5" s="143">
        <f>IFERROR(__xludf.DUMMYFUNCTION("""COMPUTED_VALUE"""),366.0)</f>
        <v>366</v>
      </c>
    </row>
    <row r="6">
      <c r="A6" s="58" t="s">
        <v>92</v>
      </c>
      <c r="B6" s="61" t="str">
        <f>'RR GROUPS'!B12</f>
        <v>Snowy Dusky Bagels</v>
      </c>
      <c r="C6" s="71">
        <v>64.0</v>
      </c>
      <c r="D6" s="142" t="str">
        <f>if(K2&lt;C6,"W",if(K2&gt;C6,"L",if(isblank(C6),"","T")))</f>
        <v>L</v>
      </c>
      <c r="E6" s="71">
        <v>92.0</v>
      </c>
      <c r="F6" s="70" t="str">
        <f>if(K3&lt;E6,"W",if(K3&gt;E6,"L",if(isblank(E6),"","T")))</f>
        <v>W</v>
      </c>
      <c r="G6" s="71">
        <v>82.0</v>
      </c>
      <c r="H6" s="72" t="str">
        <f>if(K4&lt;G6,"W",if(K4&gt;G6,"L",if(isblank(G6),"","T")))</f>
        <v>W</v>
      </c>
      <c r="I6" s="71">
        <v>78.0</v>
      </c>
      <c r="J6" s="72" t="str">
        <f>if(K5&lt;I6,"W",if(K5&gt;I6,"L",if(isblank(I6),"","T")))</f>
        <v>W</v>
      </c>
      <c r="K6" s="62"/>
      <c r="L6" s="144"/>
      <c r="M6" s="71">
        <v>102.0</v>
      </c>
      <c r="N6" s="70" t="str">
        <f>if(M6&gt;K7,"W",if(M6&lt;K7,"L",if(isblank(M6),"","T")))</f>
        <v>W</v>
      </c>
      <c r="O6" s="76">
        <f t="shared" si="1"/>
        <v>4</v>
      </c>
      <c r="P6" s="79">
        <f t="shared" si="2"/>
        <v>0</v>
      </c>
      <c r="Q6" s="82">
        <f t="shared" si="3"/>
        <v>1</v>
      </c>
      <c r="R6" s="109">
        <f>SUM(
IF(C6="","",IF(C6&gt;K2,C6+100,IF(C6=K2,C6+50,C6+MAX(50-(K2-C6),0)))),
IF(E6="","",IF(E6&gt;K3,E6+100,IF(E6=K3,E6+50,E6+MAX(50-(K3-E6),0)))),
IF(G6="","",IF(G6&gt;K4,G6+100,IF(G6=K4,G6+50,G6+MAX(50-(K4-G6),0)))),
IF(I6="","",IF(I6&gt;K5,I6+100,IF(I6=K5,I6+50,I6+MAX(50-(K5-I6),0)))),
IF(M6="","",IF(M6&gt;K7,M6+100,IF(M6=K7,M6+50,M6+MAX(50-(K7-M6),0))))
)
</f>
        <v>862</v>
      </c>
      <c r="T6" s="143" t="str">
        <f>IFERROR(__xludf.DUMMYFUNCTION("""COMPUTED_VALUE"""),"Grignard Gobblers")</f>
        <v>Grignard Gobblers</v>
      </c>
      <c r="U6" s="143">
        <f>IFERROR(__xludf.DUMMYFUNCTION("""COMPUTED_VALUE"""),320.0)</f>
        <v>320</v>
      </c>
    </row>
    <row r="7">
      <c r="A7" s="145" t="s">
        <v>115</v>
      </c>
      <c r="B7" s="146" t="str">
        <f>'RR GROUPS'!B14</f>
        <v>Azizam</v>
      </c>
      <c r="C7" s="147">
        <v>6.0</v>
      </c>
      <c r="D7" s="148" t="str">
        <f>if(M2&lt;C7,"W",if(M2&gt;C7,"L",if(isblank(C7),"","T")))</f>
        <v>L</v>
      </c>
      <c r="E7" s="147">
        <v>22.0</v>
      </c>
      <c r="F7" s="149" t="str">
        <f>if(M3&lt;E7,"W",if(M3&gt;E7,"L",if(isblank(E7),"","T")))</f>
        <v>L</v>
      </c>
      <c r="G7" s="147">
        <v>40.0</v>
      </c>
      <c r="H7" s="149" t="str">
        <f>if(M4&lt;G7,"W",if(M4&gt;G7,"L",if(isblank(G7),"","T")))</f>
        <v>W</v>
      </c>
      <c r="I7" s="147">
        <v>50.0</v>
      </c>
      <c r="J7" s="148" t="str">
        <f>if(M5&lt;I7,"W",if(M5&gt;I7,"L",if(isblank(I7),"","T")))</f>
        <v>L</v>
      </c>
      <c r="K7" s="147">
        <v>12.0</v>
      </c>
      <c r="L7" s="149" t="str">
        <f>if(M6&lt;K7,"W",if(M6&gt;K7,"L",if(isblank(K7),"","T")))</f>
        <v>L</v>
      </c>
      <c r="M7" s="150"/>
      <c r="N7" s="151"/>
      <c r="O7" s="152">
        <f t="shared" si="1"/>
        <v>1</v>
      </c>
      <c r="P7" s="153">
        <f t="shared" si="2"/>
        <v>0</v>
      </c>
      <c r="Q7" s="154">
        <f t="shared" si="3"/>
        <v>4</v>
      </c>
      <c r="R7" s="155">
        <f>SUM(
IF(C7="","",IF(C7&gt;M2,C7+100,IF(C7=M2,C7+50,C7+MAX(50-(M2-C7),0)))),
IF(E7="","",IF(E7&gt;M3,E7+100,IF(E7=M3,E7+50,E7+MAX(50-(M3-E7),0)))),
IF(G7="","",IF(G7&gt;M4,G7+100,IF(G7=M4,G7+50,G7+MAX(50-(M4-G7),0)))),
IF(I7="","",IF(I7&gt;M5,I7+100,IF(I7=M5,I7+50,I7+MAX(50-(M5-I7),0)))),
IF(K7="","",IF(K7&gt;M6,K7+100,IF(K7=M6,K7+50,K7+MAX(50-(M6-K7),0))))
)
</f>
        <v>268</v>
      </c>
      <c r="T7" s="143" t="str">
        <f>IFERROR(__xludf.DUMMYFUNCTION("""COMPUTED_VALUE"""),"Azizam")</f>
        <v>Azizam</v>
      </c>
      <c r="U7" s="143">
        <f>IFERROR(__xludf.DUMMYFUNCTION("""COMPUTED_VALUE"""),268.0)</f>
        <v>268</v>
      </c>
    </row>
    <row r="8">
      <c r="A8" s="156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T8" s="157"/>
      <c r="U8" s="157">
        <f>SUM(U2:U7)</f>
        <v>3258</v>
      </c>
    </row>
    <row r="9">
      <c r="A9" s="2" t="s">
        <v>5</v>
      </c>
      <c r="B9" s="10"/>
      <c r="C9" s="158" t="str">
        <f>B10</f>
        <v>Honeypots and Mosquitos</v>
      </c>
      <c r="D9" s="24"/>
      <c r="E9" s="158" t="str">
        <f>B11</f>
        <v>Walter White Phosphorus</v>
      </c>
      <c r="F9" s="24"/>
      <c r="G9" s="158" t="str">
        <f>B12</f>
        <v>Fatty Acid</v>
      </c>
      <c r="H9" s="24"/>
      <c r="I9" s="158" t="str">
        <f>B13</f>
        <v>Quadratic Acid</v>
      </c>
      <c r="J9" s="24"/>
      <c r="K9" s="158" t="str">
        <f>B14</f>
        <v>dry</v>
      </c>
      <c r="L9" s="24"/>
      <c r="M9" s="158" t="str">
        <f>B15</f>
        <v>NileGreen</v>
      </c>
      <c r="N9" s="47"/>
      <c r="O9" s="159" t="s">
        <v>44</v>
      </c>
      <c r="P9" s="160" t="s">
        <v>45</v>
      </c>
      <c r="Q9" s="161" t="s">
        <v>52</v>
      </c>
      <c r="R9" s="162" t="s">
        <v>55</v>
      </c>
      <c r="T9" s="56" t="s">
        <v>58</v>
      </c>
      <c r="U9" s="56" t="s">
        <v>61</v>
      </c>
    </row>
    <row r="10">
      <c r="A10" s="163" t="s">
        <v>19</v>
      </c>
      <c r="B10" s="164" t="str">
        <f>'RR GROUPS'!G4</f>
        <v>Honeypots and Mosquitos</v>
      </c>
      <c r="C10" s="62"/>
      <c r="D10" s="62"/>
      <c r="E10" s="165">
        <v>84.0</v>
      </c>
      <c r="F10" s="72" t="str">
        <f>if(E10&gt;C11,"W",if(E10&lt;C11,"L",if(isblank(E10),"","T")))</f>
        <v>W</v>
      </c>
      <c r="G10" s="166">
        <v>80.0</v>
      </c>
      <c r="H10" s="72" t="str">
        <f>if(G10&gt;C12,"W",if(G10&lt;C12,"L",if(isblank(G10),"","T")))</f>
        <v>W</v>
      </c>
      <c r="I10" s="166">
        <v>50.0</v>
      </c>
      <c r="J10" s="72" t="str">
        <f>if(I10&gt;C13,"W",if(I10&lt;C13,"L",if(isblank(I10),"","T")))</f>
        <v>L</v>
      </c>
      <c r="K10" s="166">
        <v>74.0</v>
      </c>
      <c r="L10" s="72" t="str">
        <f>if(K10&gt;C14,"W",if(K10&lt;C14,"L",if(isblank(K10),"","T")))</f>
        <v>W</v>
      </c>
      <c r="M10" s="166">
        <v>116.0</v>
      </c>
      <c r="N10" s="72" t="str">
        <f>if(M10&gt;C15,"W",if(M10&lt;C15,"L",if(isblank(M10),"","T")))</f>
        <v>W</v>
      </c>
      <c r="O10" s="76">
        <f t="shared" ref="O10:O15" si="4">countif(C10:N10,"W")</f>
        <v>4</v>
      </c>
      <c r="P10" s="79">
        <f t="shared" ref="P10:P15" si="5">countif(C10:N10,"T")</f>
        <v>0</v>
      </c>
      <c r="Q10" s="82">
        <f t="shared" ref="Q10:Q15" si="6">countif(C10:N10,"L")</f>
        <v>1</v>
      </c>
      <c r="R10" s="109">
        <f>SUM(
IF(E10="","",IF(E10&gt;C11,E10+100,IF(E10=C11,E10+50,E10+MAX(50-(C11-E10),0)))),
IF(G10="","",IF(G10&gt;C12,G10+100,IF(G10=C12,G10+50,G10+MAX(50-(C12-G10),0)))),
IF(I10="","",IF(I10&gt;C13,I10+100,IF(I10=C13,I10+50,I10+MAX(50-(C13-I10),0)))),
IF(K10="","",IF(K10&gt;C14,K10+100,IF(K10=C14,K10+50,K10+MAX(50-(C14-K10),0)))),
IF(M10="","",IF(M10&gt;C15,M10+100,IF(M10=C15,M10+50,M10+MAX(50-(C15-M10),0))))
)
</f>
        <v>842</v>
      </c>
      <c r="T10" s="114" t="str">
        <f>IFERROR(__xludf.DUMMYFUNCTION("SORT(
  FILTER({B10:B15, R10:R15}, R10:R15 &lt;&gt; """"),
  2,
  FALSE
)
"),"Honeypots and Mosquitos")</f>
        <v>Honeypots and Mosquitos</v>
      </c>
      <c r="U10" s="114">
        <f>IFERROR(__xludf.DUMMYFUNCTION("""COMPUTED_VALUE"""),842.0)</f>
        <v>842</v>
      </c>
    </row>
    <row r="11">
      <c r="A11" s="163" t="s">
        <v>35</v>
      </c>
      <c r="B11" s="164" t="str">
        <f>'RR GROUPS'!G6</f>
        <v>Walter White Phosphorus</v>
      </c>
      <c r="C11" s="166">
        <v>32.0</v>
      </c>
      <c r="D11" s="70" t="str">
        <f>if(E10&lt;C11,"W",if(E10&gt;C11,"L",if(isblank(C11),"","T")))</f>
        <v>L</v>
      </c>
      <c r="E11" s="62"/>
      <c r="F11" s="62"/>
      <c r="G11" s="165">
        <v>80.0</v>
      </c>
      <c r="H11" s="70" t="str">
        <f>if(G11&gt;E12,"W",if(G11&lt;E12,"L",if(isblank(G11),"","T")))</f>
        <v>W</v>
      </c>
      <c r="I11" s="166">
        <v>76.0</v>
      </c>
      <c r="J11" s="167" t="str">
        <f>if(I11&gt;E13, "W", if(I11&lt;E13,"L" ,if(isblank(I11),"","T")))</f>
        <v>W</v>
      </c>
      <c r="K11" s="166">
        <v>62.0</v>
      </c>
      <c r="L11" s="72" t="str">
        <f>if(K11&gt;E14,"W",if(K11&lt;E14,"L",if(isblank(K11),"","T")))</f>
        <v>W</v>
      </c>
      <c r="M11" s="166">
        <v>52.0</v>
      </c>
      <c r="N11" s="168" t="str">
        <f>if(M11&gt;E15,"W",if(M11&lt;E15,"L",if(isblank(M11),"","T")))</f>
        <v>L</v>
      </c>
      <c r="O11" s="76">
        <f t="shared" si="4"/>
        <v>3</v>
      </c>
      <c r="P11" s="79">
        <f t="shared" si="5"/>
        <v>0</v>
      </c>
      <c r="Q11" s="82">
        <f t="shared" si="6"/>
        <v>2</v>
      </c>
      <c r="R11" s="109">
        <f>SUM(
IF(C11="",0,IF(C11&gt;E10,C11+100,IF(C11=E10,C11+50,C11+MAX(50-(E10-C11),0)))),
IF(G11="",0,IF(G11&gt;E12,G11+100,IF(G11=E12,G11+50,G11+MAX(50-(E12-G11),0)))),
IF(I11="",0,IF(I11&gt;E13,I11+100,IF(I11=E13,I11+50,I11+MAX(50-(E13-I11),0)))),
IF(K11="",0,IF(K11&gt;E14,K11+100,IF(K11=E14,K11+50,K11+MAX(50-(E14-K11),0)))),
IF(M11="",0,IF(M11&gt;E15,M11+100,IF(M11=E15,M11+50,M11+MAX(50-(E15-M11),0))))
)
</f>
        <v>644</v>
      </c>
      <c r="T11" s="114" t="str">
        <f>IFERROR(__xludf.DUMMYFUNCTION("""COMPUTED_VALUE"""),"dry")</f>
        <v>dry</v>
      </c>
      <c r="U11" s="114">
        <f>IFERROR(__xludf.DUMMYFUNCTION("""COMPUTED_VALUE"""),664.0)</f>
        <v>664</v>
      </c>
    </row>
    <row r="12">
      <c r="A12" s="163" t="s">
        <v>53</v>
      </c>
      <c r="B12" s="164" t="str">
        <f>'RR GROUPS'!G8</f>
        <v>Fatty Acid</v>
      </c>
      <c r="C12" s="166">
        <v>16.0</v>
      </c>
      <c r="D12" s="142" t="str">
        <f>if(G10&lt;C12,"W",if(G10&gt;C12,"L",if(isblank(C12),"","T")))</f>
        <v>L</v>
      </c>
      <c r="E12" s="166">
        <v>16.0</v>
      </c>
      <c r="F12" s="72" t="str">
        <f>if(G11&lt;E12,"W",if(G11&gt;E12,"L",if(isblank(E12),"","T")))</f>
        <v>L</v>
      </c>
      <c r="G12" s="169"/>
      <c r="H12" s="62"/>
      <c r="I12" s="165">
        <v>34.0</v>
      </c>
      <c r="J12" s="70" t="str">
        <f>if(I12&gt;G13,"W",if(I12&lt;G13,"L",if(isblank(I12),"","T")))</f>
        <v>L</v>
      </c>
      <c r="K12" s="166">
        <v>4.0</v>
      </c>
      <c r="L12" s="72" t="str">
        <f>if(K12&gt;G14,"W",if(K12&lt;G14,"L",if(isblank(K12),"","T")))</f>
        <v>L</v>
      </c>
      <c r="M12" s="166">
        <v>20.0</v>
      </c>
      <c r="N12" s="72" t="str">
        <f>if(M12&gt;G15,"W",if(M12&lt;G15,"L",if(isblank(M12),"","T")))</f>
        <v>L</v>
      </c>
      <c r="O12" s="76">
        <f t="shared" si="4"/>
        <v>0</v>
      </c>
      <c r="P12" s="79">
        <f t="shared" si="5"/>
        <v>0</v>
      </c>
      <c r="Q12" s="82">
        <f t="shared" si="6"/>
        <v>5</v>
      </c>
      <c r="R12" s="109">
        <f>SUM(
IF(C12="",0,IF(C12&gt;G10,C12+100,IF(C12=G10,C12+50,C12+MAX(50-(G10-C12),0)))),
IF(E12="",0,IF(E12&gt;G11,E12+100,IF(E12=G11,E12+50,E12+MAX(50-(G11-E12),0)))),
IF(I12="",0,IF(I12&gt;G13,I12+100,IF(I12=G13,I12+50,I12+MAX(50-(G13-I12),0)))),
IF(K12="",0,IF(K12&gt;G14,K12+100,IF(K12=G14,K12+50,K12+MAX(50-(G14-K12),0)))),
IF(M12="",0,IF(M12&gt;G15,M12+100,IF(M12=G15,M12+50,M12+MAX(50-(G15-M12),0))))
)
</f>
        <v>132</v>
      </c>
      <c r="T12" s="143" t="str">
        <f>IFERROR(__xludf.DUMMYFUNCTION("""COMPUTED_VALUE"""),"Walter White Phosphorus")</f>
        <v>Walter White Phosphorus</v>
      </c>
      <c r="U12" s="143">
        <f>IFERROR(__xludf.DUMMYFUNCTION("""COMPUTED_VALUE"""),644.0)</f>
        <v>644</v>
      </c>
    </row>
    <row r="13">
      <c r="A13" s="163" t="s">
        <v>80</v>
      </c>
      <c r="B13" s="164" t="str">
        <f>'RR GROUPS'!G10</f>
        <v>Quadratic Acid</v>
      </c>
      <c r="C13" s="166">
        <v>62.0</v>
      </c>
      <c r="D13" s="142" t="str">
        <f>if(I10&lt;C13,"W",if(I10&gt;C13,"L",if(isblank(C13),"","T")))</f>
        <v>W</v>
      </c>
      <c r="E13" s="166">
        <v>32.0</v>
      </c>
      <c r="F13" s="70" t="str">
        <f>if(I11&lt;E13,"W",if(I11&gt;E13,"L",if(isblank(E13),"","T")))</f>
        <v>L</v>
      </c>
      <c r="G13" s="166">
        <v>78.0</v>
      </c>
      <c r="H13" s="72" t="str">
        <f>if(I12&lt;G13,"W",if(I12&gt;G13,"L",if(isblank(G13),"","T")))</f>
        <v>W</v>
      </c>
      <c r="I13" s="62"/>
      <c r="J13" s="62"/>
      <c r="K13" s="165">
        <v>44.0</v>
      </c>
      <c r="L13" s="72" t="str">
        <f>if(K13&gt;I14,"W",if(K13&lt;I14,"L",if(isblank(K13),"","T")))</f>
        <v>L</v>
      </c>
      <c r="M13" s="166">
        <v>74.0</v>
      </c>
      <c r="N13" s="70" t="str">
        <f>if(M13&gt;I15,"W",if(M13&lt;I15,"L",if(isblank(M13),"","T")))</f>
        <v>W</v>
      </c>
      <c r="O13" s="76">
        <f t="shared" si="4"/>
        <v>3</v>
      </c>
      <c r="P13" s="79">
        <f t="shared" si="5"/>
        <v>0</v>
      </c>
      <c r="Q13" s="82">
        <f t="shared" si="6"/>
        <v>2</v>
      </c>
      <c r="R13" s="109">
        <f>SUM(
IF(C13="","",IF(C13&gt;I10,C13+100,IF(C13=I10,C13+50,C13+MAX(50-(I10-C13),0)))),
IF(E13="","",IF(E13&gt;I11,E13+100,IF(E13=I11,E13+50,E13+MAX(50-(I11-E13),0)))),
IF(G13="","",IF(G13&gt;I12,G13+100,IF(G13=I12,G13+50,G13+MAX(50-(I12-C13),0)))),
IF(K13="","",IF(K13&gt;I14,K13+100,IF(K13=I14,K13+50,K13+MAX(50-(I14-K13),0)))),
IF(M13="","",IF(M13&gt;I15,M13+100,IF(M13=I15,M13+50,M13+MAX(50-(I15-M13),0))))
)
</f>
        <v>628</v>
      </c>
      <c r="T13" s="143" t="str">
        <f>IFERROR(__xludf.DUMMYFUNCTION("""COMPUTED_VALUE"""),"Quadratic Acid")</f>
        <v>Quadratic Acid</v>
      </c>
      <c r="U13" s="143">
        <f>IFERROR(__xludf.DUMMYFUNCTION("""COMPUTED_VALUE"""),628.0)</f>
        <v>628</v>
      </c>
    </row>
    <row r="14">
      <c r="A14" s="163" t="s">
        <v>97</v>
      </c>
      <c r="B14" s="164" t="str">
        <f>'RR GROUPS'!G12</f>
        <v>dry</v>
      </c>
      <c r="C14" s="166">
        <v>52.0</v>
      </c>
      <c r="D14" s="142" t="str">
        <f>if(K10&lt;C14,"W",if(K10&gt;C14,"L",if(isblank(C14),"","T")))</f>
        <v>L</v>
      </c>
      <c r="E14" s="166">
        <v>50.0</v>
      </c>
      <c r="F14" s="70" t="str">
        <f>if(K11&lt;E14,"W",if(K11&gt;E14,"L",if(isblank(E14),"","T")))</f>
        <v>L</v>
      </c>
      <c r="G14" s="166">
        <v>82.0</v>
      </c>
      <c r="H14" s="70" t="str">
        <f>if(K12&lt;G14,"W",if(K12&gt;G14,"L",if(isblank(G14),"","T")))</f>
        <v>W</v>
      </c>
      <c r="I14" s="166">
        <v>62.0</v>
      </c>
      <c r="J14" s="70" t="str">
        <f>if(K13&lt;I14,"W",if(K13&gt;I14,"L",if(isblank(I14),"","T")))</f>
        <v>W</v>
      </c>
      <c r="K14" s="62"/>
      <c r="L14" s="144"/>
      <c r="M14" s="165">
        <v>52.0</v>
      </c>
      <c r="N14" s="72" t="str">
        <f>if(M14&gt;K15,"W",if(M14&lt;K15,"L",if(isblank(M14),"","T")))</f>
        <v>W</v>
      </c>
      <c r="O14" s="76">
        <f t="shared" si="4"/>
        <v>3</v>
      </c>
      <c r="P14" s="79">
        <f t="shared" si="5"/>
        <v>0</v>
      </c>
      <c r="Q14" s="82">
        <f t="shared" si="6"/>
        <v>2</v>
      </c>
      <c r="R14" s="109">
        <f>SUM(
IF(C14="","",IF(C14&gt;K10,C14+100,IF(C14=K10,C14+50,C14+MAX(50-(K10-C14),0)))),
IF(E14="","",IF(E14&gt;K11,E14+100,IF(E14=K11,E14+50,E14+MAX(50-(K11-E14),0)))),
IF(G14="","",IF(G14&gt;K12,G14+100,IF(G14=K12,G14+50,G14+MAX(50-(K12-G14),0)))),
IF(I14="","",IF(I14&gt;K13,I14+100,IF(I14=K13,I14+50,I14+MAX(50-(K13-I14),0)))),
IF(M14="","",IF(M14&gt;K15,M14+100,IF(M14=K15,M14+50,M14+MAX(50-(K15-M14),0))))
)
</f>
        <v>664</v>
      </c>
      <c r="T14" s="143" t="str">
        <f>IFERROR(__xludf.DUMMYFUNCTION("""COMPUTED_VALUE"""),"NileGreen")</f>
        <v>NileGreen</v>
      </c>
      <c r="U14" s="143">
        <f>IFERROR(__xludf.DUMMYFUNCTION("""COMPUTED_VALUE"""),464.0)</f>
        <v>464</v>
      </c>
    </row>
    <row r="15">
      <c r="A15" s="170" t="s">
        <v>118</v>
      </c>
      <c r="B15" s="171" t="str">
        <f>'RR GROUPS'!G14</f>
        <v>NileGreen</v>
      </c>
      <c r="C15" s="172">
        <v>20.0</v>
      </c>
      <c r="D15" s="148" t="str">
        <f>if(M10&lt;C15,"W",if(M10&gt;C15,"L",if(isblank(C15),"","T")))</f>
        <v>L</v>
      </c>
      <c r="E15" s="172">
        <v>60.0</v>
      </c>
      <c r="F15" s="173" t="str">
        <f>if(M11&lt;E15,"W",if(M11&gt;E15,"L",if(isblank(E15),"","T")))</f>
        <v>W</v>
      </c>
      <c r="G15" s="172">
        <v>34.0</v>
      </c>
      <c r="H15" s="148" t="str">
        <f>if(M12&lt;G15,"W",if(M12&gt;G15,"L",if(isblank(G15),"","T")))</f>
        <v>W</v>
      </c>
      <c r="I15" s="172">
        <v>44.0</v>
      </c>
      <c r="J15" s="149" t="str">
        <f>if(M13&lt;I15,"W",if(M13&gt;I15,"L",if(isblank(I15),"","T")))</f>
        <v>L</v>
      </c>
      <c r="K15" s="172">
        <v>44.0</v>
      </c>
      <c r="L15" s="148" t="str">
        <f>if(M14&lt;K15,"W",if(M14&gt;K15,"L",if(isblank(K15),"","T")))</f>
        <v>L</v>
      </c>
      <c r="M15" s="150"/>
      <c r="N15" s="151"/>
      <c r="O15" s="152">
        <f t="shared" si="4"/>
        <v>2</v>
      </c>
      <c r="P15" s="153">
        <f t="shared" si="5"/>
        <v>0</v>
      </c>
      <c r="Q15" s="154">
        <f t="shared" si="6"/>
        <v>3</v>
      </c>
      <c r="R15" s="155">
        <f>SUM(
IF(C15="","",IF(C15&gt;M10,C15+100,IF(C15=M10,C15+50,C15+MAX(50-(M10-C15),0)))),
IF(E15="","",IF(E15&gt;M11,E15+100,IF(E15=M11,E15+50,E15+MAX(50-(M11-E15),0)))),
IF(G15="","",IF(G15&gt;M12,G15+100,IF(G15=M12,G15+50,G15+MAX(50-(M12-G15),0)))),
IF(I15="","",IF(I15&gt;M13,I15+100,IF(I15=M13,I15+50,I15+MAX(50-(M13-I15),0)))),
IF(K15="","",IF(K15&gt;M14,K15+100,IF(K15=M14,K15+50,K15+MAX(50-(M14-K15),0))))
)
</f>
        <v>464</v>
      </c>
      <c r="T15" s="143" t="str">
        <f>IFERROR(__xludf.DUMMYFUNCTION("""COMPUTED_VALUE"""),"Fatty Acid")</f>
        <v>Fatty Acid</v>
      </c>
      <c r="U15" s="143">
        <f>IFERROR(__xludf.DUMMYFUNCTION("""COMPUTED_VALUE"""),132.0)</f>
        <v>132</v>
      </c>
    </row>
    <row r="16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T16" s="157"/>
      <c r="U16" s="157">
        <f>SUM(U10:U15)</f>
        <v>3374</v>
      </c>
    </row>
    <row r="17">
      <c r="A17" s="2" t="s">
        <v>9</v>
      </c>
      <c r="B17" s="10"/>
      <c r="C17" s="174" t="str">
        <f>B18</f>
        <v>Caudates</v>
      </c>
      <c r="D17" s="24"/>
      <c r="E17" s="174" t="str">
        <f>B19</f>
        <v>Cherry Bombs</v>
      </c>
      <c r="F17" s="24"/>
      <c r="G17" s="174" t="str">
        <f>B20</f>
        <v>Kevin Qiu</v>
      </c>
      <c r="H17" s="24"/>
      <c r="I17" s="174" t="str">
        <f>B21</f>
        <v>Nonchalant Dreadheads</v>
      </c>
      <c r="J17" s="24"/>
      <c r="K17" s="174" t="str">
        <f>B22</f>
        <v>Gay-Lussac Goons</v>
      </c>
      <c r="L17" s="24"/>
      <c r="M17" s="174" t="str">
        <f>B23</f>
        <v>ChemKings</v>
      </c>
      <c r="N17" s="47"/>
      <c r="O17" s="175" t="s">
        <v>44</v>
      </c>
      <c r="P17" s="176" t="s">
        <v>45</v>
      </c>
      <c r="Q17" s="177" t="s">
        <v>52</v>
      </c>
      <c r="R17" s="178" t="s">
        <v>55</v>
      </c>
      <c r="T17" s="56" t="s">
        <v>58</v>
      </c>
      <c r="U17" s="56" t="s">
        <v>61</v>
      </c>
    </row>
    <row r="18">
      <c r="A18" s="179" t="s">
        <v>22</v>
      </c>
      <c r="B18" s="180" t="str">
        <f>'RR GROUPS'!L4</f>
        <v>Caudates</v>
      </c>
      <c r="C18" s="62"/>
      <c r="D18" s="62"/>
      <c r="E18" s="181">
        <v>38.0</v>
      </c>
      <c r="F18" s="72" t="str">
        <f>if(E18&gt;C19,"W",if(E18&lt;C19,"L",if(isblank(E18),"","T")))</f>
        <v>L</v>
      </c>
      <c r="G18" s="182">
        <v>92.0</v>
      </c>
      <c r="H18" s="72" t="str">
        <f>if(G18&gt;C20,"W",if(G18&lt;C20,"L",if(isblank(G18),"","T")))</f>
        <v>W</v>
      </c>
      <c r="I18" s="182">
        <v>92.0</v>
      </c>
      <c r="J18" s="72" t="str">
        <f>if(I18&gt;C21,"W",if(I18&lt;C21,"L",if(isblank(I18),"","T")))</f>
        <v>W</v>
      </c>
      <c r="K18" s="182">
        <v>72.0</v>
      </c>
      <c r="L18" s="72" t="str">
        <f>if(K18&gt;C22,"W",if(K18&lt;C22,"L",if(isblank(K18),"","T")))</f>
        <v>W</v>
      </c>
      <c r="M18" s="182">
        <v>114.0</v>
      </c>
      <c r="N18" s="72" t="str">
        <f>if(M18&gt;C23,"W",if(M18&lt;C23,"L",if(isblank(M18),"","T")))</f>
        <v>W</v>
      </c>
      <c r="O18" s="76">
        <f t="shared" ref="O18:O23" si="7">countif(C18:N18,"W")</f>
        <v>4</v>
      </c>
      <c r="P18" s="79">
        <f t="shared" ref="P18:P23" si="8">countif(C18:N18,"T")</f>
        <v>0</v>
      </c>
      <c r="Q18" s="82">
        <f t="shared" ref="Q18:Q23" si="9">countif(C18:N18,"L")</f>
        <v>1</v>
      </c>
      <c r="R18" s="109">
        <f>SUM(
IF(E18="","",IF(E18&gt;C19,E18+100,IF(E18=C19,E18+50,E18+MAX(50-(C19-E18),0)))),
IF(G18="","",IF(G18&gt;C20,G18+100,IF(G18=C20,G18+50,G18+MAX(50-(C20-G18),0)))),
IF(I18="","",IF(I18&gt;C21,I18+100,IF(I18=C21,I18+50,I18+MAX(50-(C21-I18),0)))),
IF(K18="","",IF(K18&gt;C22,K18+100,IF(K18=C22,K18+50,K18+MAX(50-(C22-K18),0)))),
IF(M18="","",IF(M18&gt;C23,M18+100,IF(M18=C23,M18+50,M18+MAX(50-(C23-M18),0))))
)
</f>
        <v>840</v>
      </c>
      <c r="T18" s="114" t="str">
        <f>IFERROR(__xludf.DUMMYFUNCTION("SORT(
  FILTER({B18:B23, R18:R23}, R18:R23 &lt;&gt; """"),
  2,
  FALSE
)
"),"Caudates")</f>
        <v>Caudates</v>
      </c>
      <c r="U18" s="114">
        <f>IFERROR(__xludf.DUMMYFUNCTION("""COMPUTED_VALUE"""),840.0)</f>
        <v>840</v>
      </c>
    </row>
    <row r="19">
      <c r="A19" s="179" t="s">
        <v>38</v>
      </c>
      <c r="B19" s="180" t="str">
        <f>'RR GROUPS'!L6</f>
        <v>Cherry Bombs</v>
      </c>
      <c r="C19" s="182">
        <v>56.0</v>
      </c>
      <c r="D19" s="70" t="str">
        <f>if(E18&lt;C19,"W",if(E18&gt;C19,"L",if(isblank(C19),"","T")))</f>
        <v>W</v>
      </c>
      <c r="E19" s="62"/>
      <c r="F19" s="123"/>
      <c r="G19" s="181">
        <v>76.0</v>
      </c>
      <c r="H19" s="70" t="str">
        <f>if(G19&gt;E20,"W",if(G19&lt;E20,"L",if(isblank(G19),"","T")))</f>
        <v>W</v>
      </c>
      <c r="I19" s="182">
        <v>48.0</v>
      </c>
      <c r="J19" s="183" t="str">
        <f>if(I19&gt;E21,"W",if(I19&lt;E21,"L",if(isblank(I19),"","T")))</f>
        <v>L</v>
      </c>
      <c r="K19" s="182">
        <v>102.0</v>
      </c>
      <c r="L19" s="70" t="str">
        <f>if(K19&gt;E22,"W",if(K19&lt;E22,"L",if(isblank(K19),"","T")))</f>
        <v>W</v>
      </c>
      <c r="M19" s="182">
        <v>84.0</v>
      </c>
      <c r="N19" s="72" t="str">
        <f>if(M19&gt;E23,"W",if(M19&lt;E23,"L",if(isblank(M19),"","T")))</f>
        <v>W</v>
      </c>
      <c r="O19" s="76">
        <f t="shared" si="7"/>
        <v>4</v>
      </c>
      <c r="P19" s="79">
        <f t="shared" si="8"/>
        <v>0</v>
      </c>
      <c r="Q19" s="82">
        <f t="shared" si="9"/>
        <v>1</v>
      </c>
      <c r="R19" s="109">
        <f>SUM(
IF(C19="",0,IF(C19&gt;E18,C19+100,IF(C19=E18,C19+50,C19+MAX(50-(E18-C19),0)))),
IF(G19="",0,IF(G19&gt;E20,G19+100,IF(G19=E20,G19+50,G19+MAX(50-(E20-G19),0)))),
IF(I19="",0,IF(I19&gt;E21,I19+100,IF(I19=E21,I19+50,I19+MAX(50-(E21-I19),0)))),
IF(K19="",0,IF(K19&gt;E22,K19+100,IF(K19=E22,K19+50,K19+MAX(50-(E22-K19),0)))),
IF(M19="",0,IF(M19&gt;E23,M19+100,IF(M19=E23,M19+50,M19+MAX(50-(E23-M19),0))))
)
</f>
        <v>800</v>
      </c>
      <c r="T19" s="114" t="str">
        <f>IFERROR(__xludf.DUMMYFUNCTION("""COMPUTED_VALUE"""),"Cherry Bombs")</f>
        <v>Cherry Bombs</v>
      </c>
      <c r="U19" s="114">
        <f>IFERROR(__xludf.DUMMYFUNCTION("""COMPUTED_VALUE"""),800.0)</f>
        <v>800</v>
      </c>
    </row>
    <row r="20">
      <c r="A20" s="179" t="s">
        <v>64</v>
      </c>
      <c r="B20" s="180" t="str">
        <f>'RR GROUPS'!L8</f>
        <v>Kevin Qiu</v>
      </c>
      <c r="C20" s="182">
        <v>20.0</v>
      </c>
      <c r="D20" s="142" t="str">
        <f>if(G18&lt;C20,"W",if(G18&gt;C20,"L",if(isblank(C20),"","T")))</f>
        <v>L</v>
      </c>
      <c r="E20" s="182">
        <v>42.0</v>
      </c>
      <c r="F20" s="72" t="str">
        <f>if(G19&lt;E20,"W",if(G19&gt;E20,"L",if(isblank(E20),"","T")))</f>
        <v>L</v>
      </c>
      <c r="G20" s="62"/>
      <c r="H20" s="123"/>
      <c r="I20" s="181">
        <v>72.0</v>
      </c>
      <c r="J20" s="72" t="str">
        <f>if(I20&gt;G21,"W",if(I20&lt;G21,"L",if(isblank(I20),"","T")))</f>
        <v>W</v>
      </c>
      <c r="K20" s="182">
        <v>90.0</v>
      </c>
      <c r="L20" s="183" t="str">
        <f>if(K20&gt;G22,"W",if(K20&lt;G22,"L",if(isblank(K20),"","T")))</f>
        <v>W</v>
      </c>
      <c r="M20" s="182">
        <v>76.0</v>
      </c>
      <c r="N20" s="72" t="str">
        <f>if(M20&gt;G23,"W",if(M20&lt;G23,"L",if(isblank(M20),"","T")))</f>
        <v>W</v>
      </c>
      <c r="O20" s="76">
        <f t="shared" si="7"/>
        <v>3</v>
      </c>
      <c r="P20" s="79">
        <f t="shared" si="8"/>
        <v>0</v>
      </c>
      <c r="Q20" s="82">
        <f t="shared" si="9"/>
        <v>2</v>
      </c>
      <c r="R20" s="109">
        <f>SUM(
IF(C20="",0,IF(C20&gt;G18,C20+100,IF(C20=G18,C20+50,C20+MAX(50-(G18-C20),0)))),
IF(E20="",0,IF(E20&gt;G19,E20+100,IF(E20=G19,E20+50,E20+MAX(50-(G19-E20),0)))),
IF(I20="",0,IF(I20&gt;G21,I20+100,IF(I20=G21,I20+50,I20+MAX(50-(G21-I20),0)))),
IF(K20="",0,IF(K20&gt;G22,K20+100,IF(K20=G22,K20+50,K20+MAX(50-(G22-K20),0)))),
IF(M20="",0,IF(M20&gt;G23,M20+100,IF(M20=G23,M20+50,M20+MAX(50-(G23-M20),0))))
)
</f>
        <v>616</v>
      </c>
      <c r="T20" s="143" t="str">
        <f>IFERROR(__xludf.DUMMYFUNCTION("""COMPUTED_VALUE"""),"Kevin Qiu")</f>
        <v>Kevin Qiu</v>
      </c>
      <c r="U20" s="143">
        <f>IFERROR(__xludf.DUMMYFUNCTION("""COMPUTED_VALUE"""),616.0)</f>
        <v>616</v>
      </c>
    </row>
    <row r="21">
      <c r="A21" s="179" t="s">
        <v>83</v>
      </c>
      <c r="B21" s="180" t="str">
        <f>'RR GROUPS'!L10</f>
        <v>Nonchalant Dreadheads</v>
      </c>
      <c r="C21" s="182">
        <v>14.0</v>
      </c>
      <c r="D21" s="142" t="str">
        <f>if(I18&lt;C21,"W",if(I18&gt;C21,"L",if(isblank(C21),"","T")))</f>
        <v>L</v>
      </c>
      <c r="E21" s="182">
        <v>64.0</v>
      </c>
      <c r="F21" s="183" t="str">
        <f>if(I19&lt;E21,"W",if(I19&gt;E21,"L",if(isblank(E21),"","T")))</f>
        <v>W</v>
      </c>
      <c r="G21" s="182">
        <v>40.0</v>
      </c>
      <c r="H21" s="70" t="str">
        <f>if(I20&lt;G21,"W",if(I20&gt;G21,"L",if(isblank(G21),"","T")))</f>
        <v>L</v>
      </c>
      <c r="I21" s="62"/>
      <c r="J21" s="123"/>
      <c r="K21" s="181">
        <v>44.0</v>
      </c>
      <c r="L21" s="72" t="str">
        <f>if(K21&gt;I22,"W",if(K21&lt;I22,"L",if(isblank(K21),"","T")))</f>
        <v>W</v>
      </c>
      <c r="M21" s="182">
        <v>66.0</v>
      </c>
      <c r="N21" s="72" t="str">
        <f>if(M21&gt;I23,"W",if(M21&lt;I23,"L",if(isblank(M21),"","T")))</f>
        <v>W</v>
      </c>
      <c r="O21" s="76">
        <f t="shared" si="7"/>
        <v>3</v>
      </c>
      <c r="P21" s="79">
        <f t="shared" si="8"/>
        <v>0</v>
      </c>
      <c r="Q21" s="82">
        <f t="shared" si="9"/>
        <v>2</v>
      </c>
      <c r="R21" s="109">
        <f>SUM(
IF(C21="","",IF(C21&gt;I18,C21+100,IF(C21=I18,C21+50,C21+MAX(50-(I18-C21),0)))),
IF(E21="","",IF(E21&gt;I19,E21+100,IF(E21=I19,E21+50,E21+MAX(50-(I19-E21),0)))),
IF(G21="","",IF(G21&gt;I20,G21+100,IF(G21=I20,G21+50,G21+MAX(50-(I20-C21),0)))),
IF(K21="","",IF(K21&gt;I22,K21+100,IF(K21=I22,K21+50,K21+MAX(50-(I22-K21),0)))),
IF(M21="","",IF(M21&gt;I23,M21+100,IF(M21=I23,M21+50,M21+MAX(50-(I23-M21),0))))
)
</f>
        <v>528</v>
      </c>
      <c r="T21" s="143" t="str">
        <f>IFERROR(__xludf.DUMMYFUNCTION("""COMPUTED_VALUE"""),"Nonchalant Dreadheads")</f>
        <v>Nonchalant Dreadheads</v>
      </c>
      <c r="U21" s="143">
        <f>IFERROR(__xludf.DUMMYFUNCTION("""COMPUTED_VALUE"""),528.0)</f>
        <v>528</v>
      </c>
    </row>
    <row r="22">
      <c r="A22" s="179" t="s">
        <v>99</v>
      </c>
      <c r="B22" s="180" t="str">
        <f>'RR GROUPS'!L12</f>
        <v>Gay-Lussac Goons</v>
      </c>
      <c r="C22" s="182">
        <v>34.0</v>
      </c>
      <c r="D22" s="142" t="str">
        <f>if(K18&lt;C22,"W",if(K18&gt;C22,"L",if(isblank(C22),"","T")))</f>
        <v>L</v>
      </c>
      <c r="E22" s="182">
        <v>8.0</v>
      </c>
      <c r="F22" s="72" t="str">
        <f>if(K19&lt;E22,"W",if(K19&gt;E22,"L",if(isblank(E22),"","T")))</f>
        <v>L</v>
      </c>
      <c r="G22" s="182">
        <v>4.0</v>
      </c>
      <c r="H22" s="183" t="str">
        <f>if(K20&lt;G22,"W",if(K20&gt;G22,"L",if(isblank(G22),"","T")))</f>
        <v>L</v>
      </c>
      <c r="I22" s="182">
        <v>16.0</v>
      </c>
      <c r="J22" s="70" t="str">
        <f>if(K21&lt;I22,"W",if(K21&gt;I22,"L",if(isblank(I22),"","T")))</f>
        <v>L</v>
      </c>
      <c r="K22" s="62"/>
      <c r="L22" s="144"/>
      <c r="M22" s="181">
        <v>4.0</v>
      </c>
      <c r="N22" s="167" t="str">
        <f>if(M22&gt;K23,"W",if(M22&lt;K23,"L",if(isblank(M22),"","T")))</f>
        <v>L</v>
      </c>
      <c r="O22" s="76">
        <f t="shared" si="7"/>
        <v>0</v>
      </c>
      <c r="P22" s="79">
        <f t="shared" si="8"/>
        <v>0</v>
      </c>
      <c r="Q22" s="184">
        <f t="shared" si="9"/>
        <v>5</v>
      </c>
      <c r="R22" s="109">
        <f>SUM(
IF(C22="","",IF(C22&gt;K18,C22+100,IF(C22=K18,C22+50,C22+MAX(50-(K18-C22),0)))),
IF(E22="","",IF(E22&gt;K19,E22+100,IF(E22=K19,E22+50,E22+MAX(50-(K19-E22),0)))),
IF(G22="","",IF(G22&gt;K20,G22+100,IF(G22=K20,G22+50,G22+MAX(50-(K20-G22),0)))),
IF(I22="","",IF(I22&gt;K21,I22+100,IF(I22=K21,I22+50,I22+MAX(50-(K21-I22),0)))),
IF(M22="","",IF(M22&gt;K23,M22+100,IF(M22=K23,M22+50,M22+MAX(50-(K23-M22),0))))
)
</f>
        <v>142</v>
      </c>
      <c r="T22" s="143" t="str">
        <f>IFERROR(__xludf.DUMMYFUNCTION("""COMPUTED_VALUE"""),"ChemKings")</f>
        <v>ChemKings</v>
      </c>
      <c r="U22" s="143">
        <f>IFERROR(__xludf.DUMMYFUNCTION("""COMPUTED_VALUE"""),154.0)</f>
        <v>154</v>
      </c>
    </row>
    <row r="23">
      <c r="A23" s="185" t="s">
        <v>123</v>
      </c>
      <c r="B23" s="186" t="str">
        <f>'RR GROUPS'!L14</f>
        <v>ChemKings</v>
      </c>
      <c r="C23" s="187">
        <v>4.0</v>
      </c>
      <c r="D23" s="148" t="str">
        <f>if(M18&lt;C23,"W",if(M18&gt;C23,"L",if(isblank(C23),"","T")))</f>
        <v>L</v>
      </c>
      <c r="E23" s="187">
        <v>10.0</v>
      </c>
      <c r="F23" s="148" t="str">
        <f>if(M19&lt;E23,"W",if(M19&gt;E23,"L",if(isblank(E23),"","T")))</f>
        <v>L</v>
      </c>
      <c r="G23" s="187">
        <v>0.0</v>
      </c>
      <c r="H23" s="148" t="str">
        <f>if(M20&lt;G23,"W",if(M20&gt;G23,"L",if(isblank(G23),"","T")))</f>
        <v>L</v>
      </c>
      <c r="I23" s="187">
        <v>22.0</v>
      </c>
      <c r="J23" s="148" t="str">
        <f>if(M21&lt;I23,"W",if(M21&gt;I23,"L",if(isblank(I23),"","T")))</f>
        <v>L</v>
      </c>
      <c r="K23" s="187">
        <v>12.0</v>
      </c>
      <c r="L23" s="148" t="str">
        <f>if(M22&lt;K23,"W",if(M22&gt;K23,"L",if(isblank(K23),"","T")))</f>
        <v>W</v>
      </c>
      <c r="M23" s="150"/>
      <c r="N23" s="151"/>
      <c r="O23" s="152">
        <f t="shared" si="7"/>
        <v>1</v>
      </c>
      <c r="P23" s="188">
        <f t="shared" si="8"/>
        <v>0</v>
      </c>
      <c r="Q23" s="188">
        <f t="shared" si="9"/>
        <v>4</v>
      </c>
      <c r="R23" s="155">
        <f>SUM(
IF(C23="","",IF(C23&gt;M18,C23+100,IF(C23=M18,C23+50,C23+MAX(50-(M18-C23),0)))),
IF(E23="","",IF(E23&gt;M19,E23+100,IF(E23=M19,E23+50,E23+MAX(50-(M19-E23),0)))),
IF(G23="","",IF(G23&gt;M20,G23+100,IF(G23=M20,G23+50,G23+MAX(50-(M20-G23),0)))),
IF(I23="","",IF(I23&gt;M21,I23+100,IF(I23=M21,I23+50,I23+MAX(50-(M21-I23),0)))),
IF(K23="","",IF(K23&gt;M22,K23+100,IF(K23=M22,K23+50,K23+MAX(50-(M22-K23),0))))
)
</f>
        <v>154</v>
      </c>
      <c r="T23" s="143" t="str">
        <f>IFERROR(__xludf.DUMMYFUNCTION("""COMPUTED_VALUE"""),"Gay-Lussac Goons")</f>
        <v>Gay-Lussac Goons</v>
      </c>
      <c r="U23" s="143">
        <f>IFERROR(__xludf.DUMMYFUNCTION("""COMPUTED_VALUE"""),142.0)</f>
        <v>142</v>
      </c>
    </row>
    <row r="24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T24" s="157"/>
      <c r="U24" s="157">
        <f>SUM(U18:U23)</f>
        <v>3080</v>
      </c>
    </row>
    <row r="25">
      <c r="A25" s="2" t="s">
        <v>10</v>
      </c>
      <c r="B25" s="10"/>
      <c r="C25" s="189" t="str">
        <f>B26</f>
        <v>Deakhil</v>
      </c>
      <c r="D25" s="24"/>
      <c r="E25" s="189" t="str">
        <f>B27</f>
        <v>Future Campers</v>
      </c>
      <c r="F25" s="24"/>
      <c r="G25" s="189" t="str">
        <f>B28</f>
        <v>Alkane Crackers</v>
      </c>
      <c r="H25" s="24"/>
      <c r="I25" s="189" t="str">
        <f>B29</f>
        <v>Mumbai Mole-esters</v>
      </c>
      <c r="J25" s="24"/>
      <c r="K25" s="189" t="str">
        <f>B30</f>
        <v>StarGatevanic Cell</v>
      </c>
      <c r="L25" s="24"/>
      <c r="M25" s="189" t="str">
        <f>B31</f>
        <v>Caffeine</v>
      </c>
      <c r="N25" s="47"/>
      <c r="O25" s="190" t="s">
        <v>44</v>
      </c>
      <c r="P25" s="191" t="s">
        <v>45</v>
      </c>
      <c r="Q25" s="192" t="s">
        <v>52</v>
      </c>
      <c r="R25" s="193" t="s">
        <v>55</v>
      </c>
      <c r="T25" s="56" t="s">
        <v>58</v>
      </c>
      <c r="U25" s="56" t="s">
        <v>61</v>
      </c>
    </row>
    <row r="26">
      <c r="A26" s="194" t="s">
        <v>25</v>
      </c>
      <c r="B26" s="195" t="str">
        <f>'RR GROUPS'!Q4</f>
        <v>Deakhil</v>
      </c>
      <c r="C26" s="62"/>
      <c r="D26" s="62"/>
      <c r="E26" s="196">
        <v>66.0</v>
      </c>
      <c r="F26" s="70" t="str">
        <f>if(E26&gt;C27,"W",if(E26&lt;C27,"L",if(isblank(E26),"","T")))</f>
        <v>W</v>
      </c>
      <c r="G26" s="197">
        <v>72.0</v>
      </c>
      <c r="H26" s="72" t="str">
        <f>if(G26&gt;C28,"W",if(G26&lt;C28,"L",if(isblank(G26),"","T")))</f>
        <v>W</v>
      </c>
      <c r="I26" s="197">
        <v>94.0</v>
      </c>
      <c r="J26" s="70" t="str">
        <f>if(I26&gt;C29,"W",if(I26&lt;C29,"L",if(isblank(I26),"","T")))</f>
        <v>W</v>
      </c>
      <c r="K26" s="197">
        <v>104.0</v>
      </c>
      <c r="L26" s="70" t="str">
        <f>if(K26&gt;C30,"W",if(K26&lt;C30,"L",if(isblank(K26),"","T")))</f>
        <v>W</v>
      </c>
      <c r="M26" s="197">
        <v>86.0</v>
      </c>
      <c r="N26" s="72" t="str">
        <f>if(M26&gt;C31,"W",if(M26&lt;C31,"L",if(isblank(M26),"","T")))</f>
        <v>W</v>
      </c>
      <c r="O26" s="76">
        <f t="shared" ref="O26:O31" si="10">countif(C26:N26,"W")</f>
        <v>5</v>
      </c>
      <c r="P26" s="79">
        <f t="shared" ref="P26:P31" si="11">countif(C26:N26,"T")</f>
        <v>0</v>
      </c>
      <c r="Q26" s="82">
        <f t="shared" ref="Q26:Q31" si="12">countif(C26:N26,"L")</f>
        <v>0</v>
      </c>
      <c r="R26" s="109">
        <f>SUM(
IF(E26="","",IF(E26&gt;C27,E26+100,IF(E26=C27,E26+50,E26+MAX(50-(C27-E26),0)))),
IF(G26="","",IF(G26&gt;C28,G26+100,IF(G26=C28,G26+50,G26+MAX(50-(C28-G26),0)))),
IF(I26="","",IF(I26&gt;C29,I26+100,IF(I26=C29,I26+50,I26+MAX(50-(C29-I26),0)))),
IF(K26="","",IF(K26&gt;C30,K26+100,IF(K26=C30,K26+50,K26+MAX(50-(C30-K26),0)))),
IF(M26="","",IF(M26&gt;C31,M26+100,IF(M26=C31,M26+50,M26+MAX(50-(C31-M26),0))))
)
</f>
        <v>922</v>
      </c>
      <c r="T26" s="114" t="str">
        <f>IFERROR(__xludf.DUMMYFUNCTION("SORT(
  FILTER({B26:B31, R26:R31}, R26:R31 &lt;&gt; """"),
  2,
  FALSE
)
"),"Deakhil")</f>
        <v>Deakhil</v>
      </c>
      <c r="U26" s="114">
        <f>IFERROR(__xludf.DUMMYFUNCTION("""COMPUTED_VALUE"""),922.0)</f>
        <v>922</v>
      </c>
    </row>
    <row r="27">
      <c r="A27" s="194" t="s">
        <v>41</v>
      </c>
      <c r="B27" s="195" t="str">
        <f>'RR GROUPS'!Q6</f>
        <v>Future Campers</v>
      </c>
      <c r="C27" s="197">
        <v>44.0</v>
      </c>
      <c r="D27" s="72" t="str">
        <f>if(E26&lt;C27,"W",if(E26&gt;C27,"L",if(isblank(C27),"","T")))</f>
        <v>L</v>
      </c>
      <c r="E27" s="62"/>
      <c r="F27" s="123"/>
      <c r="G27" s="196">
        <v>50.0</v>
      </c>
      <c r="H27" s="72" t="str">
        <f>if(G27&gt;E28,"W",if(G27&lt;E28,"L",if(isblank(G27),"","T")))</f>
        <v>L</v>
      </c>
      <c r="I27" s="197">
        <v>92.0</v>
      </c>
      <c r="J27" s="72" t="str">
        <f>if(I27&gt;E29,"W",if(I27&lt;E29,"L",if(isblank(I27),"","T")))</f>
        <v>W</v>
      </c>
      <c r="K27" s="197">
        <v>74.0</v>
      </c>
      <c r="L27" s="72" t="str">
        <f>if(K27&gt;E30,"W",if(K27&lt;E30,"L",if(isblank(K27),"","T")))</f>
        <v>W</v>
      </c>
      <c r="M27" s="197">
        <v>80.0</v>
      </c>
      <c r="N27" s="72" t="str">
        <f>if(M27&gt;E31,"W",if(M27&lt;E31,"L",if(isblank(M27),"","T")))</f>
        <v>W</v>
      </c>
      <c r="O27" s="76">
        <f t="shared" si="10"/>
        <v>3</v>
      </c>
      <c r="P27" s="79">
        <f t="shared" si="11"/>
        <v>0</v>
      </c>
      <c r="Q27" s="82">
        <f t="shared" si="12"/>
        <v>2</v>
      </c>
      <c r="R27" s="109">
        <f>SUM(
IF(C27="",0,IF(C27&gt;E26,C27+100,IF(C27=E26,C27+50,C27+MAX(50-(E26-C27),0)))),
IF(G27="",0,IF(G27&gt;E28,G27+100,IF(G27=E28,G27+50,G27+MAX(50-(E28-G27),0)))),
IF(I27="",0,IF(I27&gt;E29,I27+100,IF(I27=E29,I27+50,I27+MAX(50-(E29-I27),0)))),
IF(K27="",0,IF(K27&gt;E30,K27+100,IF(K27=E30,K27+50,K27+MAX(50-(E30-K27),0)))),
IF(M27="",0,IF(M27&gt;E31,M27+100,IF(M27=E31,M27+50,M27+MAX(50-(E31-M27),0))))
)
</f>
        <v>702</v>
      </c>
      <c r="T27" s="114" t="str">
        <f>IFERROR(__xludf.DUMMYFUNCTION("""COMPUTED_VALUE"""),"Future Campers")</f>
        <v>Future Campers</v>
      </c>
      <c r="U27" s="114">
        <f>IFERROR(__xludf.DUMMYFUNCTION("""COMPUTED_VALUE"""),702.0)</f>
        <v>702</v>
      </c>
    </row>
    <row r="28">
      <c r="A28" s="194" t="s">
        <v>68</v>
      </c>
      <c r="B28" s="195" t="str">
        <f>'RR GROUPS'!Q8</f>
        <v>Alkane Crackers</v>
      </c>
      <c r="C28" s="197">
        <v>30.0</v>
      </c>
      <c r="D28" s="142" t="str">
        <f>if(G26&lt;C28,"W",if(G26&gt;C28,"L",if(isblank(C28),"","T")))</f>
        <v>L</v>
      </c>
      <c r="E28" s="197">
        <v>66.0</v>
      </c>
      <c r="F28" s="70" t="str">
        <f>if(G27&lt;E28,"W",if(G27&gt;E28,"L",if(isblank(E28),"","T")))</f>
        <v>W</v>
      </c>
      <c r="G28" s="169"/>
      <c r="H28" s="123"/>
      <c r="I28" s="196">
        <v>56.0</v>
      </c>
      <c r="J28" s="70" t="str">
        <f>if(I28&gt;G29,"W",if(I28&lt;G29,"L",if(isblank(I28),"","T")))</f>
        <v>W</v>
      </c>
      <c r="K28" s="197">
        <v>34.0</v>
      </c>
      <c r="L28" s="70" t="str">
        <f>if(K28&gt;G30,"W",if(K28&lt;G30,"L",if(isblank(K28),"","T")))</f>
        <v>L</v>
      </c>
      <c r="M28" s="197">
        <v>30.0</v>
      </c>
      <c r="N28" s="72" t="str">
        <f>if(M28&gt;G31,"W",if(M28&lt;G31,"L",if(isblank(M28),"","T")))</f>
        <v>W</v>
      </c>
      <c r="O28" s="76">
        <f t="shared" si="10"/>
        <v>3</v>
      </c>
      <c r="P28" s="79">
        <f t="shared" si="11"/>
        <v>0</v>
      </c>
      <c r="Q28" s="82">
        <f t="shared" si="12"/>
        <v>2</v>
      </c>
      <c r="R28" s="109">
        <f>SUM(
IF(C28="",0,IF(C28&gt;G26,C28+100,IF(C28=G26,C28+50,C28+MAX(50-(G26-C28),0)))),
IF(E28="",0,IF(E28&gt;G27,E28+100,IF(E28=G27,E28+50,E28+MAX(50-(G27-E28),0)))),
IF(I28="",0,IF(I28&gt;G29,I28+100,IF(I28=G29,I28+50,I28+MAX(50-(G29-I28),0)))),
IF(K28="",0,IF(K28&gt;G30,K28+100,IF(K28=G30,K28+50,K28+MAX(50-(G30-K28),0)))),
IF(M28="",0,IF(M28&gt;G31,M28+100,IF(M28=G31,M28+50,M28+MAX(50-(G31-M28),0))))
)
</f>
        <v>546</v>
      </c>
      <c r="T28" s="143" t="str">
        <f>IFERROR(__xludf.DUMMYFUNCTION("""COMPUTED_VALUE"""),"Alkane Crackers")</f>
        <v>Alkane Crackers</v>
      </c>
      <c r="U28" s="143">
        <f>IFERROR(__xludf.DUMMYFUNCTION("""COMPUTED_VALUE"""),546.0)</f>
        <v>546</v>
      </c>
    </row>
    <row r="29">
      <c r="A29" s="194" t="s">
        <v>85</v>
      </c>
      <c r="B29" s="195" t="str">
        <f>'RR GROUPS'!Q10</f>
        <v>Mumbai Mole-esters</v>
      </c>
      <c r="C29" s="197">
        <v>16.0</v>
      </c>
      <c r="D29" s="198" t="str">
        <f>if(I26&lt;C29,"W",if(I26&gt;C29,"L",if(isblank(C29),"","T")))</f>
        <v>L</v>
      </c>
      <c r="E29" s="197">
        <v>22.0</v>
      </c>
      <c r="F29" s="70" t="str">
        <f>if(I27&lt;E29,"W",if(I27&gt;E29,"L",if(isblank(E29),"","T")))</f>
        <v>L</v>
      </c>
      <c r="G29" s="197">
        <v>50.0</v>
      </c>
      <c r="H29" s="72" t="str">
        <f>if(I28&lt;G29,"W",if(I28&gt;G29,"L",if(isblank(G29),"","T")))</f>
        <v>L</v>
      </c>
      <c r="I29" s="62"/>
      <c r="J29" s="123"/>
      <c r="K29" s="196">
        <v>42.0</v>
      </c>
      <c r="L29" s="70" t="str">
        <f>if(K29&gt;I30,"W",if(K29&lt;I30,"L",if(isblank(K29),"","T")))</f>
        <v>W</v>
      </c>
      <c r="M29" s="197">
        <v>50.0</v>
      </c>
      <c r="N29" s="72" t="str">
        <f>if(M29&gt;I31,"W",if(M29&lt;I31,"L",if(isblank(M29),"","T")))</f>
        <v>W</v>
      </c>
      <c r="O29" s="76">
        <f t="shared" si="10"/>
        <v>2</v>
      </c>
      <c r="P29" s="79">
        <f t="shared" si="11"/>
        <v>0</v>
      </c>
      <c r="Q29" s="82">
        <f t="shared" si="12"/>
        <v>3</v>
      </c>
      <c r="R29" s="109">
        <f>SUM(
IF(C29="","",IF(C29&gt;I26,C29+100,IF(C29=I26,C29+50,C29+MAX(50-(I26-C29),0)))),
IF(E29="","",IF(E29&gt;I27,E29+100,IF(E29=I27,E29+50,E29+MAX(50-(I27-E29),0)))),
IF(G29="","",IF(G29&gt;I28,G29+100,IF(G29=I28,G29+50,G29+MAX(50-(I28-C29),0)))),
IF(K29="","",IF(K29&gt;I30,K29+100,IF(K29=I30,K29+50,K29+MAX(50-(I30-K29),0)))),
IF(M29="","",IF(M29&gt;I31,M29+100,IF(M29=I31,M29+50,M29+MAX(50-(I31-M29),0))))
)
</f>
        <v>390</v>
      </c>
      <c r="T29" s="143" t="str">
        <f>IFERROR(__xludf.DUMMYFUNCTION("""COMPUTED_VALUE"""),"Mumbai Mole-esters")</f>
        <v>Mumbai Mole-esters</v>
      </c>
      <c r="U29" s="143">
        <f>IFERROR(__xludf.DUMMYFUNCTION("""COMPUTED_VALUE"""),390.0)</f>
        <v>390</v>
      </c>
    </row>
    <row r="30">
      <c r="A30" s="194" t="s">
        <v>105</v>
      </c>
      <c r="B30" s="195" t="str">
        <f>'RR GROUPS'!Q12</f>
        <v>StarGatevanic Cell</v>
      </c>
      <c r="C30" s="197">
        <v>0.0</v>
      </c>
      <c r="D30" s="198" t="str">
        <f>if(K26&lt;C30,"W",if(K26&gt;C30,"L",if(isblank(C30),"","T")))</f>
        <v>L</v>
      </c>
      <c r="E30" s="197">
        <v>24.0</v>
      </c>
      <c r="F30" s="70" t="str">
        <f>if(K27&lt;E30,"W",if(K27&gt;E30,"L",if(isblank(E30),"","T")))</f>
        <v>L</v>
      </c>
      <c r="G30" s="197">
        <v>62.0</v>
      </c>
      <c r="H30" s="72" t="str">
        <f>if(K28&lt;G30,"W",if(K28&gt;G30,"L",if(isblank(G30),"","T")))</f>
        <v>W</v>
      </c>
      <c r="I30" s="197">
        <v>12.0</v>
      </c>
      <c r="J30" s="72" t="str">
        <f>if(K29&lt;I30,"W",if(K29&gt;I30,"L",if(isblank(I30),"","T")))</f>
        <v>L</v>
      </c>
      <c r="K30" s="62"/>
      <c r="L30" s="144"/>
      <c r="M30" s="196">
        <v>30.0</v>
      </c>
      <c r="N30" s="72" t="str">
        <f>if(M30&gt;K31,"W",if(M30&lt;K31,"L",if(isblank(M30),"","T")))</f>
        <v>W</v>
      </c>
      <c r="O30" s="76">
        <f t="shared" si="10"/>
        <v>2</v>
      </c>
      <c r="P30" s="79">
        <f t="shared" si="11"/>
        <v>0</v>
      </c>
      <c r="Q30" s="82">
        <f t="shared" si="12"/>
        <v>3</v>
      </c>
      <c r="R30" s="109">
        <f>SUM(
IF(C30="","",IF(C30&gt;K26,C30+100,IF(C30=K26,C30+50,C30+MAX(50-(K26-C30),0)))),
IF(E30="","",IF(E30&gt;K27,E30+100,IF(E30=K27,E30+50,E30+MAX(50-(K27-E30),0)))),
IF(G30="","",IF(G30&gt;K28,G30+100,IF(G30=K28,G30+50,G30+MAX(50-(K28-G30),0)))),
IF(I30="","",IF(I30&gt;K29,I30+100,IF(I30=K29,I30+50,I30+MAX(50-(K29-I30),0)))),
IF(M30="","",IF(M30&gt;K31,M30+100,IF(M30=K31,M30+50,M30+MAX(50-(K31-M30),0))))
)
</f>
        <v>348</v>
      </c>
      <c r="T30" s="143" t="str">
        <f>IFERROR(__xludf.DUMMYFUNCTION("""COMPUTED_VALUE"""),"StarGatevanic Cell")</f>
        <v>StarGatevanic Cell</v>
      </c>
      <c r="U30" s="143">
        <f>IFERROR(__xludf.DUMMYFUNCTION("""COMPUTED_VALUE"""),348.0)</f>
        <v>348</v>
      </c>
    </row>
    <row r="31">
      <c r="A31" s="199" t="s">
        <v>126</v>
      </c>
      <c r="B31" s="200" t="str">
        <f>'RR GROUPS'!Q14</f>
        <v>Caffeine</v>
      </c>
      <c r="C31" s="201">
        <v>32.0</v>
      </c>
      <c r="D31" s="148" t="str">
        <f>if(M26&lt;C31,"W",if(M26&gt;C31,"L",if(isblank(C31),"","T")))</f>
        <v>L</v>
      </c>
      <c r="E31" s="201">
        <v>12.0</v>
      </c>
      <c r="F31" s="148" t="str">
        <f>if(M27&lt;E31,"W",if(M27&gt;E31,"L",if(isblank(E31),"","T")))</f>
        <v>L</v>
      </c>
      <c r="G31" s="201">
        <v>18.0</v>
      </c>
      <c r="H31" s="148" t="str">
        <f>if(M28&lt;G31,"W",if(M28&gt;G31,"L",if(isblank(G31),"","T")))</f>
        <v>L</v>
      </c>
      <c r="I31" s="201">
        <v>44.0</v>
      </c>
      <c r="J31" s="148" t="str">
        <f>if(M29&lt;I31,"W",if(M29&gt;I31,"L",if(isblank(I31),"","T")))</f>
        <v>L</v>
      </c>
      <c r="K31" s="201">
        <v>24.0</v>
      </c>
      <c r="L31" s="148" t="str">
        <f>if(M30&lt;K31,"W",if(M30&gt;K31,"L",if(isblank(K31),"","T")))</f>
        <v>L</v>
      </c>
      <c r="M31" s="150"/>
      <c r="N31" s="151"/>
      <c r="O31" s="152">
        <f t="shared" si="10"/>
        <v>0</v>
      </c>
      <c r="P31" s="153">
        <f t="shared" si="11"/>
        <v>0</v>
      </c>
      <c r="Q31" s="154">
        <f t="shared" si="12"/>
        <v>5</v>
      </c>
      <c r="R31" s="155">
        <f>SUM(
IF(C31="","",IF(C31&gt;M26,C31+100,IF(C31=M26,C31+50,C31+MAX(50-(M26-C31),0)))),
IF(E31="","",IF(E31&gt;M27,E31+100,IF(E31=M27,E31+50,E31+MAX(50-(M27-E31),0)))),
IF(G31="","",IF(G31&gt;M28,G31+100,IF(G31=M28,G31+50,G31+MAX(50-(M28-G31),0)))),
IF(I31="","",IF(I31&gt;M29,I31+100,IF(I31=M29,I31+50,I31+MAX(50-(M29-I31),0)))),
IF(K31="","",IF(K31&gt;M30,K31+100,IF(K31=M30,K31+50,K31+MAX(50-(M30-K31),0))))
)
</f>
        <v>256</v>
      </c>
      <c r="T31" s="143" t="str">
        <f>IFERROR(__xludf.DUMMYFUNCTION("""COMPUTED_VALUE"""),"Caffeine")</f>
        <v>Caffeine</v>
      </c>
      <c r="U31" s="143">
        <f>IFERROR(__xludf.DUMMYFUNCTION("""COMPUTED_VALUE"""),256.0)</f>
        <v>256</v>
      </c>
    </row>
    <row r="32">
      <c r="U32" s="157">
        <f>SUM(U26:U31)</f>
        <v>3164</v>
      </c>
    </row>
  </sheetData>
  <mergeCells count="28">
    <mergeCell ref="A1:B1"/>
    <mergeCell ref="C1:D1"/>
    <mergeCell ref="E1:F1"/>
    <mergeCell ref="G1:H1"/>
    <mergeCell ref="I1:J1"/>
    <mergeCell ref="K1:L1"/>
    <mergeCell ref="M1:N1"/>
    <mergeCell ref="A9:B9"/>
    <mergeCell ref="C9:D9"/>
    <mergeCell ref="E9:F9"/>
    <mergeCell ref="G9:H9"/>
    <mergeCell ref="I9:J9"/>
    <mergeCell ref="K9:L9"/>
    <mergeCell ref="M9:N9"/>
    <mergeCell ref="A25:B25"/>
    <mergeCell ref="C25:D25"/>
    <mergeCell ref="E25:F25"/>
    <mergeCell ref="G25:H25"/>
    <mergeCell ref="I25:J25"/>
    <mergeCell ref="K25:L25"/>
    <mergeCell ref="M25:N25"/>
    <mergeCell ref="A17:B17"/>
    <mergeCell ref="C17:D17"/>
    <mergeCell ref="E17:F17"/>
    <mergeCell ref="G17:H17"/>
    <mergeCell ref="I17:J17"/>
    <mergeCell ref="K17:L17"/>
    <mergeCell ref="M17:N17"/>
  </mergeCells>
  <conditionalFormatting sqref="D2:D7 F2:F7 H2:H7 J2:J7 L2:L7 N2:N7 D10:D15 F10:F15 H10:H15 J10:J15 L10:L15 N10:N15 D18:D23 F18:F23 H18:H23 J18:J23 L18:L23 N18:N23 D27:D31 F26:F31 H26:H31 J26:J31 L26:L31 N26:N30">
    <cfRule type="containsText" dxfId="0" priority="1" operator="containsText" text="W">
      <formula>NOT(ISERROR(SEARCH(("W"),(D2))))</formula>
    </cfRule>
  </conditionalFormatting>
  <conditionalFormatting sqref="D2:D7 F2:F7 H2:H7 J2:J7 L2:L7 N2:N7 D10:D15 F10:F15 H10:H15 J10:J15 L10:L15 N10:N15 D18:D23 F18:F23 H18:H23 J18:J23 L18:L23 N18:N23 D27:D31 F26:F31 H26:H31 J26:J31 L26:L31 N26:N30">
    <cfRule type="containsText" dxfId="1" priority="2" operator="containsText" text="T">
      <formula>NOT(ISERROR(SEARCH(("T"),(D2))))</formula>
    </cfRule>
  </conditionalFormatting>
  <conditionalFormatting sqref="D2:D7 F2:F7 H2:H7 J2:J7 L2:L7 N2:N7 D10:D15 F10:F15 H10:H15 J10:J15 L10:L15 N10:N15 D18:D23 F18:F23 H18:H23 J18:J23 L18:L23 N18:N23 D27:D31 F26:F31 H26:H31 J26:J31 L26:L31 N26:N30">
    <cfRule type="containsText" dxfId="2" priority="3" operator="containsText" text="L">
      <formula>NOT(ISERROR(SEARCH(("L"),(D2))))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16" width="15.13"/>
  </cols>
  <sheetData>
    <row r="1">
      <c r="A1" s="81" t="s">
        <v>163</v>
      </c>
      <c r="B1" s="38"/>
      <c r="C1" s="81" t="s">
        <v>164</v>
      </c>
      <c r="D1" s="38"/>
      <c r="E1" s="81" t="s">
        <v>165</v>
      </c>
      <c r="F1" s="38"/>
      <c r="G1" s="81" t="s">
        <v>166</v>
      </c>
      <c r="H1" s="38"/>
      <c r="I1" s="81" t="s">
        <v>167</v>
      </c>
      <c r="J1" s="35"/>
      <c r="K1" s="38"/>
      <c r="L1" s="81" t="s">
        <v>168</v>
      </c>
      <c r="M1" s="35"/>
      <c r="N1" s="35"/>
      <c r="O1" s="38"/>
      <c r="P1" s="83"/>
    </row>
    <row r="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</row>
    <row r="3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</row>
    <row r="4">
      <c r="A4" s="84" t="s">
        <v>26</v>
      </c>
      <c r="B4" s="85">
        <v>108.0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3"/>
      <c r="O4" s="83"/>
      <c r="P4" s="83"/>
    </row>
    <row r="5">
      <c r="A5" s="87" t="s">
        <v>169</v>
      </c>
      <c r="B5" s="86"/>
      <c r="C5" s="88" t="s">
        <v>26</v>
      </c>
      <c r="D5" s="85">
        <v>58.0</v>
      </c>
      <c r="E5" s="86"/>
      <c r="F5" s="86"/>
      <c r="G5" s="86"/>
      <c r="H5" s="86"/>
      <c r="I5" s="86"/>
      <c r="J5" s="86"/>
      <c r="K5" s="86"/>
      <c r="L5" s="86"/>
      <c r="M5" s="86"/>
      <c r="N5" s="83"/>
      <c r="O5" s="83"/>
      <c r="P5" s="83"/>
    </row>
    <row r="6">
      <c r="A6" s="89" t="s">
        <v>98</v>
      </c>
      <c r="B6" s="85">
        <v>26.0</v>
      </c>
      <c r="C6" s="90"/>
      <c r="D6" s="86"/>
      <c r="E6" s="91"/>
      <c r="F6" s="86"/>
      <c r="G6" s="86"/>
      <c r="H6" s="86"/>
      <c r="I6" s="86"/>
      <c r="J6" s="86"/>
      <c r="K6" s="86"/>
      <c r="L6" s="86"/>
      <c r="M6" s="86"/>
      <c r="N6" s="83"/>
      <c r="O6" s="83"/>
      <c r="P6" s="83"/>
    </row>
    <row r="7">
      <c r="A7" s="86"/>
      <c r="B7" s="86"/>
      <c r="C7" s="87" t="s">
        <v>169</v>
      </c>
      <c r="D7" s="86"/>
      <c r="E7" s="92"/>
      <c r="F7" s="93"/>
      <c r="G7" s="94"/>
      <c r="H7" s="93" t="s">
        <v>23</v>
      </c>
      <c r="I7" s="86"/>
      <c r="J7" s="86"/>
      <c r="K7" s="86"/>
      <c r="L7" s="86"/>
      <c r="M7" s="86"/>
      <c r="N7" s="83"/>
      <c r="O7" s="83"/>
      <c r="P7" s="83"/>
    </row>
    <row r="8">
      <c r="A8" s="95" t="s">
        <v>170</v>
      </c>
      <c r="B8" s="85"/>
      <c r="C8" s="86"/>
      <c r="D8" s="86"/>
      <c r="E8" s="91"/>
      <c r="F8" s="96"/>
      <c r="G8" s="96"/>
      <c r="H8" s="97"/>
      <c r="I8" s="86"/>
      <c r="J8" s="86"/>
      <c r="K8" s="86"/>
      <c r="L8" s="86"/>
      <c r="M8" s="86"/>
      <c r="N8" s="83"/>
      <c r="O8" s="83"/>
      <c r="P8" s="83"/>
    </row>
    <row r="9">
      <c r="A9" s="87" t="s">
        <v>171</v>
      </c>
      <c r="B9" s="86"/>
      <c r="C9" s="98" t="s">
        <v>23</v>
      </c>
      <c r="D9" s="85">
        <v>136.0</v>
      </c>
      <c r="E9" s="91"/>
      <c r="F9" s="86"/>
      <c r="G9" s="86"/>
      <c r="H9" s="99"/>
      <c r="I9" s="86"/>
      <c r="J9" s="86"/>
      <c r="K9" s="86"/>
      <c r="L9" s="86"/>
      <c r="M9" s="86"/>
      <c r="N9" s="83"/>
      <c r="O9" s="83"/>
      <c r="P9" s="83"/>
    </row>
    <row r="10">
      <c r="A10" s="98" t="s">
        <v>23</v>
      </c>
      <c r="B10" s="100"/>
      <c r="C10" s="90"/>
      <c r="D10" s="86"/>
      <c r="E10" s="86"/>
      <c r="F10" s="86"/>
      <c r="G10" s="86"/>
      <c r="H10" s="99"/>
      <c r="I10" s="86"/>
      <c r="J10" s="86"/>
      <c r="K10" s="86"/>
      <c r="L10" s="86"/>
      <c r="M10" s="86"/>
      <c r="N10" s="83"/>
      <c r="O10" s="83"/>
      <c r="P10" s="83"/>
    </row>
    <row r="11">
      <c r="A11" s="86"/>
      <c r="B11" s="86"/>
      <c r="C11" s="101"/>
      <c r="D11" s="86"/>
      <c r="E11" s="86"/>
      <c r="F11" s="86"/>
      <c r="G11" s="86"/>
      <c r="H11" s="102" t="s">
        <v>169</v>
      </c>
      <c r="I11" s="103"/>
      <c r="J11" s="100"/>
      <c r="K11" s="100"/>
      <c r="L11" s="85" t="s">
        <v>23</v>
      </c>
      <c r="M11" s="104"/>
      <c r="N11" s="83"/>
      <c r="O11" s="83"/>
      <c r="P11" s="83"/>
    </row>
    <row r="12">
      <c r="A12" s="105" t="s">
        <v>16</v>
      </c>
      <c r="B12" s="106">
        <v>68.0</v>
      </c>
      <c r="C12" s="86"/>
      <c r="D12" s="86"/>
      <c r="E12" s="86"/>
      <c r="F12" s="86"/>
      <c r="G12" s="86"/>
      <c r="H12" s="99"/>
      <c r="I12" s="86"/>
      <c r="J12" s="86"/>
      <c r="K12" s="86"/>
      <c r="L12" s="99"/>
      <c r="M12" s="107"/>
      <c r="N12" s="83"/>
      <c r="O12" s="83"/>
      <c r="P12" s="83"/>
    </row>
    <row r="13">
      <c r="A13" s="87" t="s">
        <v>172</v>
      </c>
      <c r="B13" s="108"/>
      <c r="C13" s="105" t="s">
        <v>16</v>
      </c>
      <c r="D13" s="85">
        <v>94.0</v>
      </c>
      <c r="E13" s="86"/>
      <c r="F13" s="86"/>
      <c r="G13" s="86"/>
      <c r="H13" s="99"/>
      <c r="I13" s="86"/>
      <c r="J13" s="86"/>
      <c r="K13" s="86"/>
      <c r="L13" s="99"/>
      <c r="M13" s="107"/>
      <c r="N13" s="83"/>
      <c r="O13" s="83"/>
      <c r="P13" s="83"/>
    </row>
    <row r="14">
      <c r="A14" s="110" t="s">
        <v>43</v>
      </c>
      <c r="B14" s="106">
        <v>32.0</v>
      </c>
      <c r="C14" s="90"/>
      <c r="D14" s="86"/>
      <c r="E14" s="91"/>
      <c r="F14" s="86"/>
      <c r="G14" s="86"/>
      <c r="H14" s="99"/>
      <c r="I14" s="86"/>
      <c r="J14" s="86"/>
      <c r="K14" s="86"/>
      <c r="L14" s="99"/>
      <c r="M14" s="107"/>
      <c r="N14" s="83"/>
      <c r="O14" s="83"/>
      <c r="P14" s="83"/>
    </row>
    <row r="15">
      <c r="A15" s="86"/>
      <c r="B15" s="86"/>
      <c r="C15" s="87" t="s">
        <v>171</v>
      </c>
      <c r="D15" s="86"/>
      <c r="E15" s="92"/>
      <c r="F15" s="111"/>
      <c r="G15" s="111"/>
      <c r="H15" s="112"/>
      <c r="I15" s="86"/>
      <c r="J15" s="86"/>
      <c r="K15" s="86"/>
      <c r="L15" s="99"/>
      <c r="M15" s="107"/>
      <c r="N15" s="83"/>
      <c r="O15" s="83"/>
      <c r="P15" s="83"/>
    </row>
    <row r="16">
      <c r="A16" s="113" t="s">
        <v>94</v>
      </c>
      <c r="B16" s="85">
        <v>80.0</v>
      </c>
      <c r="C16" s="86"/>
      <c r="D16" s="86"/>
      <c r="E16" s="91"/>
      <c r="F16" s="93"/>
      <c r="G16" s="86"/>
      <c r="H16" s="93" t="s">
        <v>16</v>
      </c>
      <c r="I16" s="86"/>
      <c r="J16" s="86"/>
      <c r="K16" s="86"/>
      <c r="L16" s="99"/>
      <c r="M16" s="107"/>
      <c r="N16" s="83"/>
      <c r="O16" s="83"/>
      <c r="P16" s="83"/>
    </row>
    <row r="17">
      <c r="A17" s="87" t="s">
        <v>173</v>
      </c>
      <c r="B17" s="86"/>
      <c r="C17" s="115" t="s">
        <v>39</v>
      </c>
      <c r="D17" s="85">
        <v>68.0</v>
      </c>
      <c r="E17" s="91"/>
      <c r="F17" s="86"/>
      <c r="G17" s="86"/>
      <c r="H17" s="86"/>
      <c r="I17" s="86"/>
      <c r="J17" s="86"/>
      <c r="K17" s="86"/>
      <c r="L17" s="99"/>
      <c r="M17" s="107"/>
      <c r="N17" s="83"/>
      <c r="O17" s="83"/>
      <c r="P17" s="83"/>
    </row>
    <row r="18">
      <c r="A18" s="115" t="s">
        <v>39</v>
      </c>
      <c r="B18" s="85">
        <v>82.0</v>
      </c>
      <c r="C18" s="90"/>
      <c r="D18" s="86"/>
      <c r="E18" s="86"/>
      <c r="F18" s="86"/>
      <c r="G18" s="86"/>
      <c r="H18" s="86"/>
      <c r="I18" s="86"/>
      <c r="J18" s="86"/>
      <c r="K18" s="86"/>
      <c r="L18" s="99"/>
      <c r="M18" s="107"/>
      <c r="N18" s="83"/>
      <c r="O18" s="83"/>
      <c r="P18" s="83"/>
    </row>
    <row r="19">
      <c r="A19" s="83"/>
      <c r="B19" s="83"/>
      <c r="C19" s="83"/>
      <c r="D19" s="83"/>
      <c r="E19" s="83"/>
      <c r="F19" s="83"/>
      <c r="G19" s="83"/>
      <c r="H19" s="83"/>
      <c r="I19" s="83"/>
      <c r="J19" s="116"/>
      <c r="K19" s="116"/>
      <c r="L19" s="117"/>
      <c r="M19" s="118"/>
      <c r="N19" s="119"/>
      <c r="O19" s="120" t="s">
        <v>174</v>
      </c>
      <c r="P19" s="83"/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121"/>
      <c r="M20" s="83"/>
      <c r="N20" s="83"/>
      <c r="O20" s="116" t="s">
        <v>175</v>
      </c>
      <c r="P20" s="83"/>
    </row>
    <row r="21">
      <c r="A21" s="83"/>
      <c r="B21" s="83"/>
      <c r="C21" s="89" t="s">
        <v>98</v>
      </c>
      <c r="D21" s="100"/>
      <c r="E21" s="86"/>
      <c r="F21" s="86"/>
      <c r="G21" s="86"/>
      <c r="H21" s="86"/>
      <c r="I21" s="83"/>
      <c r="J21" s="83"/>
      <c r="K21" s="83"/>
      <c r="L21" s="121"/>
      <c r="M21" s="83"/>
      <c r="N21" s="83"/>
      <c r="O21" s="83"/>
      <c r="P21" s="83"/>
    </row>
    <row r="22">
      <c r="A22" s="83"/>
      <c r="B22" s="83"/>
      <c r="C22" s="96"/>
      <c r="D22" s="86"/>
      <c r="E22" s="91"/>
      <c r="F22" s="93" t="s">
        <v>176</v>
      </c>
      <c r="G22" s="86"/>
      <c r="H22" s="86"/>
      <c r="I22" s="83"/>
      <c r="J22" s="83"/>
      <c r="K22" s="83"/>
      <c r="L22" s="121"/>
      <c r="M22" s="83"/>
      <c r="N22" s="83"/>
      <c r="O22" s="83"/>
      <c r="P22" s="83"/>
    </row>
    <row r="23">
      <c r="A23" s="83"/>
      <c r="B23" s="83"/>
      <c r="C23" s="87"/>
      <c r="D23" s="86"/>
      <c r="E23" s="122"/>
      <c r="F23" s="124"/>
      <c r="G23" s="94"/>
      <c r="H23" s="104"/>
      <c r="I23" s="83"/>
      <c r="J23" s="83"/>
      <c r="K23" s="83"/>
      <c r="L23" s="121"/>
      <c r="M23" s="83"/>
      <c r="N23" s="83"/>
      <c r="O23" s="83"/>
      <c r="P23" s="83"/>
    </row>
    <row r="24">
      <c r="A24" s="83"/>
      <c r="B24" s="83"/>
      <c r="C24" s="87" t="s">
        <v>172</v>
      </c>
      <c r="D24" s="121"/>
      <c r="E24" s="125"/>
      <c r="F24" s="126"/>
      <c r="G24" s="86"/>
      <c r="H24" s="127" t="s">
        <v>176</v>
      </c>
      <c r="I24" s="86"/>
      <c r="J24" s="86"/>
      <c r="K24" s="86"/>
      <c r="L24" s="99"/>
      <c r="M24" s="83"/>
      <c r="N24" s="83"/>
      <c r="O24" s="83"/>
      <c r="P24" s="83"/>
    </row>
    <row r="25">
      <c r="A25" s="83"/>
      <c r="B25" s="83"/>
      <c r="C25" s="83"/>
      <c r="D25" s="83"/>
      <c r="E25" s="91"/>
      <c r="F25" s="126"/>
      <c r="G25" s="96"/>
      <c r="H25" s="128"/>
      <c r="I25" s="91"/>
      <c r="J25" s="86"/>
      <c r="K25" s="86"/>
      <c r="L25" s="99"/>
      <c r="M25" s="83"/>
      <c r="N25" s="83"/>
      <c r="O25" s="83"/>
      <c r="P25" s="83"/>
    </row>
    <row r="26">
      <c r="A26" s="83"/>
      <c r="B26" s="83"/>
      <c r="C26" s="86"/>
      <c r="D26" s="99"/>
      <c r="E26" s="86"/>
      <c r="F26" s="129" t="s">
        <v>43</v>
      </c>
      <c r="G26" s="86"/>
      <c r="H26" s="128"/>
      <c r="I26" s="91"/>
      <c r="J26" s="93" t="s">
        <v>16</v>
      </c>
      <c r="K26" s="86"/>
      <c r="L26" s="99"/>
      <c r="M26" s="83"/>
      <c r="N26" s="83"/>
      <c r="O26" s="83"/>
      <c r="P26" s="83"/>
    </row>
    <row r="27">
      <c r="A27" s="83"/>
      <c r="B27" s="83"/>
      <c r="C27" s="110" t="s">
        <v>43</v>
      </c>
      <c r="D27" s="130"/>
      <c r="E27" s="86"/>
      <c r="F27" s="87" t="s">
        <v>172</v>
      </c>
      <c r="G27" s="87"/>
      <c r="H27" s="87"/>
      <c r="I27" s="131"/>
      <c r="J27" s="124"/>
      <c r="K27" s="104"/>
      <c r="L27" s="132"/>
      <c r="M27" s="83"/>
      <c r="N27" s="83"/>
      <c r="O27" s="83"/>
      <c r="P27" s="83"/>
    </row>
    <row r="28">
      <c r="A28" s="83"/>
      <c r="B28" s="83"/>
      <c r="C28" s="86"/>
      <c r="D28" s="86"/>
      <c r="E28" s="86"/>
      <c r="F28" s="128"/>
      <c r="G28" s="86"/>
      <c r="H28" s="102" t="s">
        <v>171</v>
      </c>
      <c r="I28" s="125"/>
      <c r="J28" s="126"/>
      <c r="K28" s="111"/>
      <c r="L28" s="112"/>
      <c r="M28" s="83"/>
      <c r="N28" s="83"/>
      <c r="O28" s="83"/>
      <c r="P28" s="83"/>
    </row>
    <row r="29">
      <c r="A29" s="83"/>
      <c r="B29" s="83"/>
      <c r="C29" s="83"/>
      <c r="D29" s="83"/>
      <c r="E29" s="83"/>
      <c r="F29" s="133"/>
      <c r="G29" s="83"/>
      <c r="H29" s="133"/>
      <c r="I29" s="91"/>
      <c r="J29" s="126"/>
      <c r="K29" s="86"/>
      <c r="L29" s="134" t="s">
        <v>16</v>
      </c>
      <c r="M29" s="83"/>
      <c r="N29" s="83"/>
      <c r="O29" s="83"/>
      <c r="P29" s="83"/>
    </row>
    <row r="30">
      <c r="A30" s="83"/>
      <c r="B30" s="83"/>
      <c r="C30" s="95" t="s">
        <v>170</v>
      </c>
      <c r="D30" s="135">
        <v>80.0</v>
      </c>
      <c r="E30" s="83"/>
      <c r="F30" s="133"/>
      <c r="G30" s="83"/>
      <c r="H30" s="133"/>
      <c r="I30" s="91"/>
      <c r="J30" s="126"/>
      <c r="K30" s="86"/>
      <c r="L30" s="86"/>
      <c r="M30" s="83"/>
      <c r="N30" s="83"/>
      <c r="O30" s="83"/>
      <c r="P30" s="83"/>
    </row>
    <row r="31">
      <c r="A31" s="83"/>
      <c r="B31" s="83"/>
      <c r="C31" s="96"/>
      <c r="D31" s="96"/>
      <c r="E31" s="91"/>
      <c r="F31" s="93" t="s">
        <v>26</v>
      </c>
      <c r="G31" s="86"/>
      <c r="H31" s="128"/>
      <c r="I31" s="91"/>
      <c r="J31" s="136" t="s">
        <v>176</v>
      </c>
      <c r="K31" s="86"/>
      <c r="L31" s="86"/>
      <c r="M31" s="83"/>
      <c r="N31" s="83"/>
      <c r="O31" s="83"/>
      <c r="P31" s="83"/>
    </row>
    <row r="32">
      <c r="A32" s="83"/>
      <c r="B32" s="83"/>
      <c r="C32" s="87"/>
      <c r="D32" s="86"/>
      <c r="E32" s="122"/>
      <c r="F32" s="137"/>
      <c r="G32" s="122"/>
      <c r="H32" s="138"/>
      <c r="I32" s="83"/>
      <c r="J32" s="83"/>
      <c r="K32" s="83"/>
      <c r="L32" s="83"/>
      <c r="M32" s="83"/>
      <c r="N32" s="83"/>
      <c r="O32" s="83"/>
      <c r="P32" s="83"/>
    </row>
    <row r="33">
      <c r="A33" s="83"/>
      <c r="B33" s="83"/>
      <c r="C33" s="87" t="s">
        <v>173</v>
      </c>
      <c r="D33" s="121"/>
      <c r="E33" s="125"/>
      <c r="F33" s="139"/>
      <c r="G33" s="140"/>
      <c r="H33" s="130"/>
      <c r="I33" s="83"/>
      <c r="J33" s="83"/>
      <c r="K33" s="83"/>
      <c r="L33" s="83"/>
      <c r="M33" s="83"/>
      <c r="N33" s="83"/>
      <c r="O33" s="83"/>
      <c r="P33" s="83"/>
    </row>
    <row r="34">
      <c r="A34" s="83"/>
      <c r="B34" s="83"/>
      <c r="C34" s="83"/>
      <c r="D34" s="83"/>
      <c r="E34" s="91"/>
      <c r="F34" s="126"/>
      <c r="G34" s="86"/>
      <c r="H34" s="93" t="s">
        <v>26</v>
      </c>
      <c r="I34" s="83"/>
      <c r="J34" s="83"/>
      <c r="K34" s="83"/>
      <c r="L34" s="83"/>
      <c r="M34" s="83"/>
      <c r="N34" s="83"/>
      <c r="O34" s="83"/>
      <c r="P34" s="83"/>
    </row>
    <row r="35">
      <c r="A35" s="83"/>
      <c r="B35" s="83"/>
      <c r="C35" s="86"/>
      <c r="D35" s="99"/>
      <c r="E35" s="86"/>
      <c r="F35" s="129" t="s">
        <v>170</v>
      </c>
      <c r="G35" s="86"/>
      <c r="H35" s="86"/>
      <c r="I35" s="83"/>
      <c r="J35" s="83"/>
      <c r="K35" s="83"/>
      <c r="L35" s="83"/>
      <c r="M35" s="83"/>
      <c r="N35" s="83"/>
      <c r="O35" s="83"/>
      <c r="P35" s="83"/>
    </row>
    <row r="36">
      <c r="A36" s="83"/>
      <c r="B36" s="83"/>
      <c r="C36" s="113" t="s">
        <v>94</v>
      </c>
      <c r="D36" s="141">
        <v>52.0</v>
      </c>
      <c r="E36" s="86"/>
      <c r="F36" s="87" t="s">
        <v>173</v>
      </c>
      <c r="G36" s="87"/>
      <c r="H36" s="86"/>
      <c r="I36" s="83"/>
      <c r="J36" s="83"/>
      <c r="K36" s="83"/>
      <c r="L36" s="83"/>
      <c r="M36" s="83"/>
      <c r="N36" s="83"/>
      <c r="O36" s="83"/>
      <c r="P36" s="83"/>
    </row>
    <row r="37">
      <c r="A37" s="83"/>
      <c r="B37" s="83"/>
      <c r="C37" s="104"/>
      <c r="D37" s="104"/>
      <c r="E37" s="86"/>
      <c r="F37" s="86"/>
      <c r="G37" s="86"/>
      <c r="H37" s="86"/>
      <c r="I37" s="83"/>
      <c r="J37" s="83"/>
      <c r="K37" s="83"/>
      <c r="L37" s="83"/>
      <c r="M37" s="83"/>
      <c r="N37" s="83"/>
      <c r="O37" s="83"/>
      <c r="P37" s="83"/>
    </row>
    <row r="38">
      <c r="A38" s="83"/>
      <c r="B38" s="83"/>
      <c r="C38" s="104"/>
      <c r="D38" s="104"/>
      <c r="E38" s="86"/>
      <c r="F38" s="86"/>
      <c r="G38" s="86"/>
      <c r="H38" s="86"/>
      <c r="I38" s="83"/>
      <c r="J38" s="83"/>
      <c r="K38" s="83"/>
      <c r="L38" s="83"/>
      <c r="M38" s="83"/>
      <c r="N38" s="83"/>
      <c r="O38" s="83"/>
      <c r="P38" s="83"/>
    </row>
    <row r="39">
      <c r="A39" s="83"/>
      <c r="B39" s="83"/>
      <c r="C39" s="104"/>
      <c r="D39" s="104"/>
      <c r="E39" s="86"/>
      <c r="F39" s="86"/>
      <c r="G39" s="86"/>
      <c r="H39" s="86"/>
      <c r="I39" s="83"/>
      <c r="J39" s="83"/>
      <c r="K39" s="83"/>
      <c r="L39" s="83"/>
      <c r="M39" s="83"/>
      <c r="N39" s="83"/>
      <c r="O39" s="83"/>
      <c r="P39" s="83"/>
    </row>
    <row r="40">
      <c r="A40" s="83"/>
      <c r="B40" s="83"/>
      <c r="C40" s="104"/>
      <c r="D40" s="104"/>
      <c r="E40" s="86"/>
      <c r="F40" s="86"/>
      <c r="G40" s="86"/>
      <c r="H40" s="86"/>
      <c r="I40" s="83"/>
      <c r="J40" s="83"/>
      <c r="K40" s="83"/>
      <c r="L40" s="83"/>
      <c r="M40" s="83"/>
      <c r="N40" s="83"/>
      <c r="O40" s="83"/>
      <c r="P40" s="83"/>
    </row>
  </sheetData>
  <mergeCells count="6">
    <mergeCell ref="A1:B1"/>
    <mergeCell ref="C1:D1"/>
    <mergeCell ref="E1:F1"/>
    <mergeCell ref="G1:H1"/>
    <mergeCell ref="I1:K1"/>
    <mergeCell ref="L1:O1"/>
  </mergeCells>
  <drawing r:id="rId1"/>
</worksheet>
</file>