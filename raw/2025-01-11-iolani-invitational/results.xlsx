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Playoffs" sheetId="2" r:id="rId6"/>
    <sheet state="visible" name="Game Numbers -&gt;" sheetId="3" r:id="rId7"/>
    <sheet state="visible" name="1" sheetId="4" r:id="rId8"/>
    <sheet state="visible" name="2" sheetId="5" r:id="rId9"/>
    <sheet state="visible" name="3" sheetId="6" r:id="rId10"/>
    <sheet state="visible" name="4" sheetId="7" r:id="rId11"/>
    <sheet state="visible" name="5" sheetId="8" r:id="rId12"/>
    <sheet state="visible" name="6" sheetId="9" r:id="rId13"/>
    <sheet state="visible" name="7" sheetId="10" r:id="rId14"/>
    <sheet state="visible" name="8" sheetId="11" r:id="rId15"/>
    <sheet state="visible" name="9" sheetId="12" r:id="rId16"/>
    <sheet state="visible" name="10" sheetId="13" r:id="rId17"/>
    <sheet state="visible" name="11" sheetId="14" r:id="rId18"/>
    <sheet state="visible" name="12" sheetId="15" r:id="rId19"/>
    <sheet state="visible" name="13" sheetId="16" r:id="rId20"/>
    <sheet state="visible" name="14" sheetId="17" r:id="rId21"/>
    <sheet state="visible" name="15" sheetId="18" r:id="rId22"/>
    <sheet state="visible" name="16" sheetId="19" r:id="rId23"/>
    <sheet state="visible" name="17" sheetId="20" r:id="rId24"/>
    <sheet state="visible" name="18" sheetId="21" r:id="rId25"/>
    <sheet state="visible" name="19" sheetId="22" r:id="rId26"/>
    <sheet state="visible" name="20" sheetId="23" r:id="rId27"/>
    <sheet state="visible" name="21" sheetId="24" r:id="rId28"/>
    <sheet state="visible" name="22" sheetId="25" r:id="rId29"/>
    <sheet state="visible" name="23" sheetId="26" r:id="rId30"/>
    <sheet state="visible" name="24" sheetId="27" r:id="rId31"/>
    <sheet state="visible" name="25" sheetId="28" r:id="rId32"/>
  </sheets>
  <definedNames/>
  <calcPr/>
</workbook>
</file>

<file path=xl/sharedStrings.xml><?xml version="1.0" encoding="utf-8"?>
<sst xmlns="http://schemas.openxmlformats.org/spreadsheetml/2006/main" count="369" uniqueCount="50">
  <si>
    <t>For mod purposes only:</t>
  </si>
  <si>
    <t>Game #:</t>
  </si>
  <si>
    <t>USE THE RIGHT GAME NUMBER</t>
  </si>
  <si>
    <t>Top 3 teams in each division based on championship points, then points as a tiebreaker</t>
  </si>
  <si>
    <t>Halliday</t>
  </si>
  <si>
    <r>
      <rPr>
        <b/>
      </rPr>
      <t xml:space="preserve">Game numbers can be found </t>
    </r>
    <r>
      <rPr>
        <b/>
        <color rgb="FF1155CC"/>
        <u/>
      </rPr>
      <t>here</t>
    </r>
  </si>
  <si>
    <t>Iolani 1</t>
  </si>
  <si>
    <t>Iolani 4</t>
  </si>
  <si>
    <t>Tossup</t>
  </si>
  <si>
    <t>Bonus</t>
  </si>
  <si>
    <t>Quarterfinals</t>
  </si>
  <si>
    <t>Penalty</t>
  </si>
  <si>
    <t>Kaiser 1</t>
  </si>
  <si>
    <t>Punahou 3</t>
  </si>
  <si>
    <t>Champs Point</t>
  </si>
  <si>
    <t>Average Score</t>
  </si>
  <si>
    <t>SE Seed</t>
  </si>
  <si>
    <t>4:00-4:30</t>
  </si>
  <si>
    <t>Semifinals</t>
  </si>
  <si>
    <t>4:35-5:05</t>
  </si>
  <si>
    <t>Championships</t>
  </si>
  <si>
    <t>5:10-5:40</t>
  </si>
  <si>
    <t>(see tabs below)</t>
  </si>
  <si>
    <t>Game 22</t>
  </si>
  <si>
    <t>Seto Hall</t>
  </si>
  <si>
    <t>Resnick</t>
  </si>
  <si>
    <t>Iolani 2</t>
  </si>
  <si>
    <t>Iolani 5</t>
  </si>
  <si>
    <t>Punahou 4</t>
  </si>
  <si>
    <t>Kaiser 2</t>
  </si>
  <si>
    <t>Punahou 2</t>
  </si>
  <si>
    <t>Game 24</t>
  </si>
  <si>
    <t>Game 19</t>
  </si>
  <si>
    <t>Iolani 3</t>
  </si>
  <si>
    <t>W101</t>
  </si>
  <si>
    <t>Game 25</t>
  </si>
  <si>
    <t>Punahou 1</t>
  </si>
  <si>
    <t>Game 21</t>
  </si>
  <si>
    <t>W104</t>
  </si>
  <si>
    <t>Walker</t>
  </si>
  <si>
    <t>Game 23</t>
  </si>
  <si>
    <t>Mililani</t>
  </si>
  <si>
    <t>Game 20</t>
  </si>
  <si>
    <t>W102</t>
  </si>
  <si>
    <t>Sub:</t>
  </si>
  <si>
    <t>Team 1 Score:</t>
  </si>
  <si>
    <t xml:space="preserve">Team 2 Score: </t>
  </si>
  <si>
    <t>Káiser 2</t>
  </si>
  <si>
    <t>mililani</t>
  </si>
  <si>
    <t>iolani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</si>
</sst>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</fills>
  <borders count="4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4" fontId="3" numFmtId="0" xfId="0" applyFill="1" applyFont="1"/>
    <xf borderId="0" fillId="5" fontId="4" numFmtId="0" xfId="0" applyAlignment="1" applyFill="1" applyFont="1">
      <alignment vertical="bottom"/>
    </xf>
    <xf borderId="0" fillId="0" fontId="5" numFmtId="0" xfId="0" applyAlignment="1" applyFont="1">
      <alignment horizontal="center" readingOrder="0"/>
    </xf>
    <xf borderId="0" fillId="5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3" numFmtId="164" xfId="0" applyFont="1" applyNumberFormat="1"/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3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readingOrder="0" vertical="bottom"/>
    </xf>
    <xf borderId="3" fillId="3" fontId="2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vertical="bottom"/>
    </xf>
    <xf borderId="0" fillId="5" fontId="2" numFmtId="0" xfId="0" applyAlignment="1" applyFill="1" applyFont="1">
      <alignment readingOrder="0" vertical="bottom"/>
    </xf>
    <xf borderId="1" fillId="5" fontId="2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vertical="bottom"/>
    </xf>
    <xf borderId="3" fillId="5" fontId="2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vertical="bottom"/>
    </xf>
    <xf borderId="3" fillId="5" fontId="2" numFmtId="0" xfId="0" applyAlignment="1" applyBorder="1" applyFill="1" applyFont="1">
      <alignment readingOrder="0"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JBXAuDtn6dLz2S1Mjxtv9MjbesQHoQkMZB7DsC-U8Q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4.63"/>
  </cols>
  <sheetData>
    <row r="1">
      <c r="A1" s="4" t="s">
        <v>4</v>
      </c>
      <c r="B1" s="6" t="s">
        <v>6</v>
      </c>
      <c r="C1" s="6" t="s">
        <v>7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</row>
    <row r="2">
      <c r="A2" s="6" t="s">
        <v>6</v>
      </c>
      <c r="B2" s="9"/>
      <c r="C2" s="6">
        <v>138.0</v>
      </c>
      <c r="D2" s="6">
        <v>222.0</v>
      </c>
      <c r="E2" s="6">
        <v>120.0</v>
      </c>
      <c r="F2" s="6">
        <v>6.0</v>
      </c>
      <c r="G2" s="22">
        <f t="shared" ref="G2:G5" si="1">AVERAGE(B2:E2)</f>
        <v>160</v>
      </c>
      <c r="H2" s="6">
        <v>1.0</v>
      </c>
    </row>
    <row r="3">
      <c r="A3" s="6" t="s">
        <v>7</v>
      </c>
      <c r="B3" s="6">
        <v>46.0</v>
      </c>
      <c r="C3" s="9"/>
      <c r="D3" s="6">
        <v>82.0</v>
      </c>
      <c r="E3" s="6">
        <v>82.0</v>
      </c>
      <c r="F3" s="6">
        <v>4.0</v>
      </c>
      <c r="G3" s="22">
        <f t="shared" si="1"/>
        <v>70</v>
      </c>
      <c r="H3" s="6">
        <v>6.0</v>
      </c>
    </row>
    <row r="4">
      <c r="A4" s="6" t="s">
        <v>12</v>
      </c>
      <c r="B4" s="6">
        <v>0.0</v>
      </c>
      <c r="C4" s="6">
        <v>18.0</v>
      </c>
      <c r="D4" s="9"/>
      <c r="E4" s="6">
        <v>50.0</v>
      </c>
      <c r="F4" s="6">
        <v>2.0</v>
      </c>
      <c r="G4" s="22">
        <f t="shared" si="1"/>
        <v>22.66666667</v>
      </c>
    </row>
    <row r="5">
      <c r="A5" s="6" t="s">
        <v>13</v>
      </c>
      <c r="B5" s="6">
        <v>18.0</v>
      </c>
      <c r="C5" s="6">
        <v>48.0</v>
      </c>
      <c r="D5" s="6">
        <v>12.0</v>
      </c>
      <c r="E5" s="9"/>
      <c r="F5" s="6">
        <v>0.0</v>
      </c>
      <c r="G5" s="22">
        <f t="shared" si="1"/>
        <v>26</v>
      </c>
    </row>
    <row r="6">
      <c r="G6" s="22"/>
    </row>
    <row r="7">
      <c r="A7" s="4" t="s">
        <v>25</v>
      </c>
      <c r="B7" s="6" t="s">
        <v>26</v>
      </c>
      <c r="C7" s="6" t="s">
        <v>27</v>
      </c>
      <c r="D7" s="6" t="s">
        <v>29</v>
      </c>
      <c r="E7" s="6" t="s">
        <v>30</v>
      </c>
      <c r="G7" s="22"/>
    </row>
    <row r="8">
      <c r="A8" s="6" t="s">
        <v>26</v>
      </c>
      <c r="B8" s="9"/>
      <c r="C8" s="6">
        <v>58.0</v>
      </c>
      <c r="D8" s="6">
        <v>128.0</v>
      </c>
      <c r="E8" s="6">
        <v>66.0</v>
      </c>
      <c r="F8" s="6">
        <v>6.0</v>
      </c>
      <c r="G8" s="22">
        <f t="shared" ref="G8:G11" si="2">AVERAGE(B8:E8)</f>
        <v>84</v>
      </c>
      <c r="H8" s="6">
        <v>3.0</v>
      </c>
    </row>
    <row r="9">
      <c r="A9" s="6" t="s">
        <v>27</v>
      </c>
      <c r="B9" s="6">
        <v>22.0</v>
      </c>
      <c r="C9" s="9"/>
      <c r="D9" s="6">
        <v>70.0</v>
      </c>
      <c r="E9" s="6">
        <v>18.0</v>
      </c>
      <c r="F9" s="6">
        <v>2.0</v>
      </c>
      <c r="G9" s="22">
        <f t="shared" si="2"/>
        <v>36.66666667</v>
      </c>
      <c r="H9" s="6">
        <v>7.0</v>
      </c>
    </row>
    <row r="10">
      <c r="A10" s="6" t="s">
        <v>29</v>
      </c>
      <c r="B10" s="6">
        <v>-4.0</v>
      </c>
      <c r="C10" s="6">
        <v>4.0</v>
      </c>
      <c r="D10" s="9"/>
      <c r="E10" s="6">
        <v>12.0</v>
      </c>
      <c r="F10" s="6">
        <v>0.0</v>
      </c>
      <c r="G10" s="22">
        <f t="shared" si="2"/>
        <v>4</v>
      </c>
    </row>
    <row r="11">
      <c r="A11" s="6" t="s">
        <v>30</v>
      </c>
      <c r="B11" s="6">
        <v>40.0</v>
      </c>
      <c r="C11" s="6">
        <v>136.0</v>
      </c>
      <c r="D11" s="6">
        <v>86.0</v>
      </c>
      <c r="E11" s="9"/>
      <c r="F11" s="6">
        <v>4.0</v>
      </c>
      <c r="G11" s="22">
        <f t="shared" si="2"/>
        <v>87.33333333</v>
      </c>
      <c r="H11" s="6">
        <v>4.0</v>
      </c>
    </row>
    <row r="13">
      <c r="A13" s="4" t="s">
        <v>39</v>
      </c>
      <c r="B13" s="6" t="s">
        <v>33</v>
      </c>
      <c r="C13" s="6" t="s">
        <v>41</v>
      </c>
      <c r="D13" s="6" t="s">
        <v>36</v>
      </c>
      <c r="E13" s="6" t="s">
        <v>28</v>
      </c>
      <c r="G13" s="22"/>
    </row>
    <row r="14">
      <c r="A14" s="6" t="s">
        <v>33</v>
      </c>
      <c r="B14" s="9"/>
      <c r="C14" s="6">
        <v>108.0</v>
      </c>
      <c r="D14" s="6">
        <v>78.0</v>
      </c>
      <c r="E14" s="6">
        <v>72.0</v>
      </c>
      <c r="F14" s="6">
        <v>4.0</v>
      </c>
      <c r="G14" s="22">
        <f t="shared" ref="G14:G17" si="3">AVERAGE(B14:E14)</f>
        <v>86</v>
      </c>
      <c r="H14" s="6">
        <v>5.0</v>
      </c>
    </row>
    <row r="15">
      <c r="A15" s="6" t="s">
        <v>41</v>
      </c>
      <c r="B15" s="6">
        <v>0.0</v>
      </c>
      <c r="C15" s="9"/>
      <c r="D15" s="6">
        <v>22.0</v>
      </c>
      <c r="E15" s="6">
        <v>26.0</v>
      </c>
      <c r="F15" s="6">
        <v>0.0</v>
      </c>
      <c r="G15" s="22">
        <f t="shared" si="3"/>
        <v>16</v>
      </c>
    </row>
    <row r="16">
      <c r="A16" s="6" t="s">
        <v>36</v>
      </c>
      <c r="B16" s="6">
        <v>92.0</v>
      </c>
      <c r="C16" s="6">
        <v>100.0</v>
      </c>
      <c r="D16" s="9"/>
      <c r="E16" s="6">
        <v>96.0</v>
      </c>
      <c r="F16" s="6">
        <v>6.0</v>
      </c>
      <c r="G16" s="22">
        <f t="shared" si="3"/>
        <v>96</v>
      </c>
      <c r="H16" s="6">
        <v>2.0</v>
      </c>
    </row>
    <row r="17">
      <c r="A17" s="6" t="s">
        <v>28</v>
      </c>
      <c r="B17" s="6">
        <v>18.0</v>
      </c>
      <c r="C17" s="6">
        <v>88.0</v>
      </c>
      <c r="D17" s="6">
        <v>-12.0</v>
      </c>
      <c r="E17" s="9"/>
      <c r="F17" s="6">
        <v>2.0</v>
      </c>
      <c r="G17" s="22">
        <f t="shared" si="3"/>
        <v>31.33333333</v>
      </c>
      <c r="H17" s="6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5"/>
    <col customWidth="1" min="5" max="5" width="14.25"/>
    <col customWidth="1" min="7" max="7" width="14.63"/>
  </cols>
  <sheetData>
    <row r="1">
      <c r="A1" s="5" t="s">
        <v>3</v>
      </c>
    </row>
    <row r="2">
      <c r="A2" s="7" t="s">
        <v>10</v>
      </c>
      <c r="B2" s="7" t="s">
        <v>17</v>
      </c>
      <c r="C2" s="8" t="s">
        <v>18</v>
      </c>
      <c r="D2" s="8" t="s">
        <v>19</v>
      </c>
      <c r="E2" s="10" t="s">
        <v>20</v>
      </c>
      <c r="F2" s="10" t="s">
        <v>21</v>
      </c>
      <c r="G2" s="12"/>
      <c r="H2" s="12"/>
      <c r="I2" s="13"/>
    </row>
    <row r="3">
      <c r="A3" s="16"/>
      <c r="B3" s="16"/>
      <c r="C3" s="17"/>
      <c r="D3" s="17"/>
      <c r="E3" s="12"/>
      <c r="F3" s="12"/>
      <c r="G3" s="12"/>
      <c r="H3" s="12"/>
      <c r="I3" s="13"/>
    </row>
    <row r="4">
      <c r="A4" s="18"/>
      <c r="B4" s="18">
        <v>112.0</v>
      </c>
      <c r="C4" s="17"/>
      <c r="D4" s="19"/>
      <c r="E4" s="20"/>
      <c r="F4" s="12"/>
      <c r="G4" s="12"/>
      <c r="H4" s="12"/>
      <c r="I4" s="13"/>
    </row>
    <row r="5">
      <c r="A5" s="21"/>
      <c r="B5" s="23"/>
      <c r="C5" s="17"/>
      <c r="D5" s="17"/>
      <c r="E5" s="20"/>
      <c r="F5" s="12"/>
      <c r="G5" s="20"/>
      <c r="H5" s="12"/>
      <c r="I5" s="13"/>
    </row>
    <row r="6">
      <c r="A6" s="16"/>
      <c r="B6" s="24" t="s">
        <v>23</v>
      </c>
      <c r="C6" s="25" t="s">
        <v>6</v>
      </c>
      <c r="D6" s="25">
        <v>100.0</v>
      </c>
      <c r="E6" s="20"/>
      <c r="F6" s="12"/>
      <c r="G6" s="12"/>
      <c r="H6" s="12"/>
      <c r="I6" s="13"/>
    </row>
    <row r="7">
      <c r="A7" s="26"/>
      <c r="B7" s="27" t="s">
        <v>24</v>
      </c>
      <c r="C7" s="28"/>
      <c r="D7" s="29"/>
      <c r="E7" s="12"/>
      <c r="F7" s="12"/>
      <c r="G7" s="20"/>
      <c r="H7" s="12"/>
      <c r="I7" s="13"/>
    </row>
    <row r="8">
      <c r="A8" s="18" t="s">
        <v>28</v>
      </c>
      <c r="B8" s="30">
        <v>8.0</v>
      </c>
      <c r="C8" s="17"/>
      <c r="D8" s="31"/>
      <c r="E8" s="20"/>
      <c r="F8" s="12"/>
      <c r="G8" s="12"/>
      <c r="H8" s="12"/>
      <c r="I8" s="13"/>
    </row>
    <row r="9">
      <c r="A9" s="21"/>
      <c r="B9" s="21"/>
      <c r="C9" s="17"/>
      <c r="D9" s="32" t="s">
        <v>31</v>
      </c>
      <c r="E9" s="33" t="s">
        <v>6</v>
      </c>
      <c r="F9" s="33">
        <v>62.0</v>
      </c>
      <c r="G9" s="20"/>
      <c r="H9" s="12"/>
      <c r="I9" s="13"/>
    </row>
    <row r="10">
      <c r="A10" s="18" t="s">
        <v>30</v>
      </c>
      <c r="B10" s="18">
        <v>34.0</v>
      </c>
      <c r="C10" s="17"/>
      <c r="D10" s="31" t="s">
        <v>24</v>
      </c>
      <c r="E10" s="34"/>
      <c r="F10" s="35"/>
      <c r="G10" s="12"/>
      <c r="H10" s="12"/>
      <c r="I10" s="13"/>
    </row>
    <row r="11">
      <c r="A11" s="21"/>
      <c r="B11" s="36"/>
      <c r="C11" s="17"/>
      <c r="D11" s="32"/>
      <c r="E11" s="12"/>
      <c r="F11" s="37"/>
      <c r="G11" s="12"/>
      <c r="H11" s="12"/>
      <c r="I11" s="13"/>
    </row>
    <row r="12">
      <c r="A12" s="16"/>
      <c r="B12" s="27" t="s">
        <v>32</v>
      </c>
      <c r="C12" s="25" t="s">
        <v>33</v>
      </c>
      <c r="D12" s="38">
        <v>40.0</v>
      </c>
      <c r="E12" s="12"/>
      <c r="F12" s="37"/>
      <c r="G12" s="12"/>
      <c r="H12" s="12"/>
    </row>
    <row r="13">
      <c r="A13" s="16"/>
      <c r="B13" s="27" t="s">
        <v>34</v>
      </c>
      <c r="C13" s="28"/>
      <c r="D13" s="28"/>
      <c r="E13" s="12"/>
      <c r="F13" s="37"/>
      <c r="G13" s="12"/>
      <c r="H13" s="12"/>
    </row>
    <row r="14">
      <c r="A14" s="18" t="s">
        <v>33</v>
      </c>
      <c r="B14" s="30">
        <v>38.0</v>
      </c>
      <c r="C14" s="17"/>
      <c r="D14" s="17"/>
      <c r="E14" s="12"/>
      <c r="F14" s="37"/>
      <c r="G14" s="12"/>
      <c r="H14" s="12"/>
    </row>
    <row r="15">
      <c r="A15" s="39"/>
      <c r="B15" s="39"/>
      <c r="C15" s="17"/>
      <c r="D15" s="17"/>
      <c r="E15" s="12"/>
      <c r="F15" s="37" t="s">
        <v>35</v>
      </c>
      <c r="G15" s="33" t="s">
        <v>6</v>
      </c>
      <c r="H15" s="12"/>
    </row>
    <row r="16">
      <c r="A16" s="16"/>
      <c r="B16" s="16"/>
      <c r="C16" s="17"/>
      <c r="D16" s="17"/>
      <c r="E16" s="12"/>
      <c r="F16" s="37" t="s">
        <v>24</v>
      </c>
      <c r="G16" s="40"/>
      <c r="H16" s="40"/>
    </row>
    <row r="17">
      <c r="A17" s="18" t="s">
        <v>36</v>
      </c>
      <c r="B17" s="18">
        <v>104.0</v>
      </c>
      <c r="C17" s="17"/>
      <c r="D17" s="17"/>
      <c r="E17" s="12"/>
      <c r="F17" s="37"/>
      <c r="G17" s="12"/>
      <c r="H17" s="12"/>
    </row>
    <row r="18">
      <c r="A18" s="39"/>
      <c r="B18" s="23"/>
      <c r="C18" s="17"/>
      <c r="D18" s="17"/>
      <c r="E18" s="12"/>
      <c r="F18" s="37"/>
      <c r="G18" s="12"/>
      <c r="H18" s="12"/>
    </row>
    <row r="19">
      <c r="A19" s="16"/>
      <c r="B19" s="27" t="s">
        <v>37</v>
      </c>
      <c r="C19" s="25" t="s">
        <v>36</v>
      </c>
      <c r="D19" s="25">
        <v>48.0</v>
      </c>
      <c r="E19" s="12"/>
      <c r="F19" s="37"/>
      <c r="G19" s="12"/>
      <c r="H19" s="12"/>
    </row>
    <row r="20">
      <c r="A20" s="16"/>
      <c r="B20" s="27" t="s">
        <v>38</v>
      </c>
      <c r="C20" s="28"/>
      <c r="D20" s="29"/>
      <c r="E20" s="12"/>
      <c r="F20" s="37"/>
      <c r="G20" s="12"/>
      <c r="H20" s="12"/>
    </row>
    <row r="21">
      <c r="A21" s="18" t="s">
        <v>27</v>
      </c>
      <c r="B21" s="30">
        <v>8.0</v>
      </c>
      <c r="C21" s="17"/>
      <c r="D21" s="32"/>
      <c r="E21" s="12"/>
      <c r="F21" s="37"/>
      <c r="G21" s="12"/>
      <c r="H21" s="12"/>
    </row>
    <row r="22">
      <c r="A22" s="39"/>
      <c r="B22" s="39"/>
      <c r="C22" s="17"/>
      <c r="D22" s="32" t="s">
        <v>40</v>
      </c>
      <c r="E22" s="33" t="s">
        <v>36</v>
      </c>
      <c r="F22" s="41">
        <v>8.0</v>
      </c>
      <c r="G22" s="12"/>
      <c r="H22" s="12"/>
    </row>
    <row r="23">
      <c r="A23" s="18" t="s">
        <v>26</v>
      </c>
      <c r="B23" s="18">
        <v>30.0</v>
      </c>
      <c r="C23" s="17"/>
      <c r="D23" s="32" t="s">
        <v>34</v>
      </c>
      <c r="E23" s="40"/>
      <c r="F23" s="40"/>
      <c r="G23" s="12"/>
      <c r="H23" s="12"/>
    </row>
    <row r="24">
      <c r="A24" s="39"/>
      <c r="B24" s="23"/>
      <c r="C24" s="17"/>
      <c r="D24" s="32"/>
      <c r="E24" s="12"/>
      <c r="F24" s="12"/>
      <c r="G24" s="12"/>
      <c r="H24" s="12"/>
    </row>
    <row r="25">
      <c r="A25" s="16"/>
      <c r="B25" s="27" t="s">
        <v>42</v>
      </c>
      <c r="C25" s="25" t="s">
        <v>7</v>
      </c>
      <c r="D25" s="38">
        <v>22.0</v>
      </c>
      <c r="E25" s="12"/>
      <c r="F25" s="12"/>
      <c r="G25" s="12"/>
      <c r="H25" s="12"/>
    </row>
    <row r="26">
      <c r="A26" s="16"/>
      <c r="B26" s="27" t="s">
        <v>43</v>
      </c>
      <c r="C26" s="28"/>
      <c r="D26" s="28"/>
      <c r="E26" s="12"/>
      <c r="F26" s="12"/>
      <c r="G26" s="12"/>
      <c r="H26" s="12"/>
    </row>
    <row r="27">
      <c r="A27" s="18" t="s">
        <v>7</v>
      </c>
      <c r="B27" s="30">
        <v>44.0</v>
      </c>
      <c r="C27" s="17"/>
      <c r="D27" s="17"/>
      <c r="E27" s="12"/>
      <c r="F27" s="12"/>
      <c r="G27" s="12"/>
      <c r="H27" s="12"/>
    </row>
    <row r="28">
      <c r="A28" s="42"/>
      <c r="B28" s="42"/>
    </row>
  </sheetData>
  <mergeCells count="1">
    <mergeCell ref="A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13.88"/>
  </cols>
  <sheetData>
    <row r="1">
      <c r="A1" s="1"/>
      <c r="B1" s="1" t="s">
        <v>0</v>
      </c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</v>
      </c>
      <c r="E3" s="3"/>
      <c r="F3" s="1"/>
    </row>
    <row r="4">
      <c r="A4" s="4"/>
      <c r="E4" s="1"/>
      <c r="F4" s="1"/>
      <c r="G4" s="1"/>
      <c r="H4" s="1"/>
    </row>
    <row r="5">
      <c r="A5" s="4"/>
      <c r="B5" s="11" t="s">
        <v>5</v>
      </c>
    </row>
    <row r="6">
      <c r="A6" s="4"/>
    </row>
    <row r="7">
      <c r="A7" s="4"/>
      <c r="C7" s="15" t="s">
        <v>22</v>
      </c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1">
      <c r="B31" s="4"/>
      <c r="F31" s="4"/>
    </row>
  </sheetData>
  <mergeCells count="4">
    <mergeCell ref="B1:D1"/>
    <mergeCell ref="B3:D3"/>
    <mergeCell ref="F3:H3"/>
    <mergeCell ref="B5:D5"/>
  </mergeCells>
  <hyperlinks>
    <hyperlink r:id="rId1" ref="B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6</v>
      </c>
      <c r="E3" s="3"/>
      <c r="F3" s="1" t="s">
        <v>7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6" t="b">
        <v>1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1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6" t="b">
        <v>1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6" t="b">
        <v>1</v>
      </c>
      <c r="G12" s="6" t="b">
        <v>1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6" t="b">
        <v>1</v>
      </c>
      <c r="F13" s="6" t="b">
        <v>1</v>
      </c>
      <c r="G13" s="6" t="b">
        <v>1</v>
      </c>
      <c r="H13" s="14" t="b">
        <v>0</v>
      </c>
    </row>
    <row r="14">
      <c r="A14" s="4">
        <v>10.0</v>
      </c>
      <c r="B14" s="6" t="b">
        <v>1</v>
      </c>
      <c r="C14" s="6" t="b">
        <v>1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6" t="b">
        <v>1</v>
      </c>
      <c r="C15" s="6" t="b">
        <v>1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6" t="b">
        <v>1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6" t="b">
        <v>1</v>
      </c>
      <c r="H19" s="14" t="b">
        <v>0</v>
      </c>
    </row>
    <row r="20">
      <c r="A20" s="4">
        <v>16.0</v>
      </c>
      <c r="B20" s="6" t="b">
        <v>1</v>
      </c>
      <c r="C20" s="6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6" t="b">
        <v>1</v>
      </c>
    </row>
    <row r="22">
      <c r="A22" s="4">
        <v>18.0</v>
      </c>
      <c r="B22" s="6" t="b">
        <v>1</v>
      </c>
      <c r="C22" s="6" t="b">
        <v>1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6" t="b">
        <v>1</v>
      </c>
      <c r="C23" s="6" t="b">
        <v>1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6" t="b">
        <v>1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1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6" t="b">
        <v>0</v>
      </c>
      <c r="D28" s="14" t="b">
        <v>0</v>
      </c>
      <c r="F28" s="14" t="b">
        <v>0</v>
      </c>
      <c r="G28" s="14" t="b">
        <v>0</v>
      </c>
      <c r="H28" s="6" t="b">
        <v>0</v>
      </c>
    </row>
    <row r="29">
      <c r="A29" s="4" t="s">
        <v>44</v>
      </c>
      <c r="B29" s="14">
        <f>4*COUNTIF(B5:B28, TRUE)</f>
        <v>52</v>
      </c>
      <c r="C29" s="14">
        <f>10*COUNTIF(C5:C28, TRUE)</f>
        <v>90</v>
      </c>
      <c r="D29" s="14">
        <f>-4*COUNTIF(D5:D28, TRUE)</f>
        <v>-4</v>
      </c>
      <c r="F29" s="14">
        <f>4*COUNTIF(F5:F28, TRUE)</f>
        <v>20</v>
      </c>
      <c r="G29" s="14">
        <f>10*COUNTIF(G5:G28, TRUE)</f>
        <v>30</v>
      </c>
      <c r="H29" s="14">
        <f>-4*COUNTIF(H5:H28, TRUE)</f>
        <v>-4</v>
      </c>
    </row>
    <row r="31">
      <c r="B31" s="4" t="s">
        <v>45</v>
      </c>
      <c r="C31" s="14">
        <f>SUM(B29:D29)</f>
        <v>138</v>
      </c>
      <c r="F31" s="4" t="s">
        <v>46</v>
      </c>
      <c r="G31" s="14">
        <f>SUM(F29:H29)</f>
        <v>46</v>
      </c>
    </row>
  </sheetData>
  <mergeCells count="2">
    <mergeCell ref="B3:D3"/>
    <mergeCell ref="F3:H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2.0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13</v>
      </c>
      <c r="E3" s="3"/>
      <c r="F3" s="1" t="s">
        <v>12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6" t="b">
        <v>1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6" t="b">
        <v>1</v>
      </c>
      <c r="G13" s="6" t="b">
        <v>1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6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6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6" t="b">
        <v>1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6" t="b">
        <v>1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6" t="b">
        <v>1</v>
      </c>
      <c r="G24" s="6" t="b">
        <v>1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1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12</v>
      </c>
      <c r="C29" s="14">
        <f>10*COUNTIF(C5:C28, TRUE)</f>
        <v>0</v>
      </c>
      <c r="D29" s="14">
        <f>-4*COUNTIF(D5:D28, TRUE)</f>
        <v>0</v>
      </c>
      <c r="F29" s="14">
        <f>4*COUNTIF(F5:F28, TRUE)</f>
        <v>20</v>
      </c>
      <c r="G29" s="14">
        <f>10*COUNTIF(G5:G28, TRUE)</f>
        <v>30</v>
      </c>
      <c r="H29" s="14">
        <f>-4*COUNTIF(H5:H28, TRUE)</f>
        <v>0</v>
      </c>
    </row>
    <row r="31">
      <c r="B31" s="4" t="s">
        <v>45</v>
      </c>
      <c r="C31" s="14">
        <f>SUM(B29:D29)</f>
        <v>12</v>
      </c>
      <c r="F31" s="4" t="s">
        <v>46</v>
      </c>
      <c r="G31" s="14">
        <f>SUM(F29:H29)</f>
        <v>50</v>
      </c>
    </row>
  </sheetData>
  <mergeCells count="2">
    <mergeCell ref="B3:D3"/>
    <mergeCell ref="F3:H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3.0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26</v>
      </c>
      <c r="E3" s="3"/>
      <c r="F3" s="1" t="s">
        <v>27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6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6" t="b">
        <v>1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6" t="b">
        <v>1</v>
      </c>
      <c r="C13" s="6" t="b">
        <v>1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6" t="b">
        <v>1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6" t="b">
        <v>1</v>
      </c>
      <c r="G16" s="6" t="b">
        <v>1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6" t="b">
        <v>1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14" t="b">
        <v>0</v>
      </c>
      <c r="G19" s="14" t="b">
        <v>0</v>
      </c>
      <c r="H19" s="6" t="b">
        <v>1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6" t="b">
        <v>1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6" t="b">
        <v>1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6" t="b">
        <v>1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6" t="b">
        <v>1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6" t="b">
        <v>0</v>
      </c>
      <c r="D26" s="14" t="b">
        <v>0</v>
      </c>
      <c r="F26" s="6" t="b">
        <v>1</v>
      </c>
      <c r="G26" s="6" t="b">
        <v>0</v>
      </c>
      <c r="H26" s="14" t="b">
        <v>0</v>
      </c>
    </row>
    <row r="27">
      <c r="A27" s="4">
        <v>23.0</v>
      </c>
      <c r="B27" s="6" t="b">
        <v>1</v>
      </c>
      <c r="C27" s="6" t="b">
        <v>1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36</v>
      </c>
      <c r="C29" s="14">
        <f>10*COUNTIF(C5:C28, TRUE)</f>
        <v>30</v>
      </c>
      <c r="D29" s="14">
        <f>-4*COUNTIF(D5:D28, TRUE)</f>
        <v>-8</v>
      </c>
      <c r="F29" s="14">
        <f>4*COUNTIF(F5:F28, TRUE)</f>
        <v>16</v>
      </c>
      <c r="G29" s="14">
        <f>10*COUNTIF(G5:G28, TRUE)</f>
        <v>10</v>
      </c>
      <c r="H29" s="14">
        <f>-4*COUNTIF(H5:H28, TRUE)</f>
        <v>-4</v>
      </c>
    </row>
    <row r="31">
      <c r="B31" s="4" t="s">
        <v>45</v>
      </c>
      <c r="C31" s="14">
        <f>SUM(B29:D29)</f>
        <v>58</v>
      </c>
      <c r="F31" s="4" t="s">
        <v>46</v>
      </c>
      <c r="G31" s="14">
        <f>SUM(F29:H29)</f>
        <v>22</v>
      </c>
    </row>
  </sheetData>
  <mergeCells count="2">
    <mergeCell ref="B3:D3"/>
    <mergeCell ref="F3:H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4.0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47</v>
      </c>
      <c r="E3" s="3"/>
      <c r="F3" s="1" t="s">
        <v>30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6" t="b">
        <v>1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6" t="b">
        <v>1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6" t="b">
        <v>1</v>
      </c>
      <c r="G13" s="6" t="b">
        <v>1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6" t="b">
        <v>1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6" t="b">
        <v>1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6" t="b">
        <v>1</v>
      </c>
      <c r="C21" s="14" t="b">
        <v>0</v>
      </c>
      <c r="D21" s="14" t="b">
        <v>0</v>
      </c>
      <c r="F21" s="14" t="b">
        <v>0</v>
      </c>
      <c r="G21" s="14" t="b">
        <v>0</v>
      </c>
      <c r="H21" s="6" t="b">
        <v>1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6" t="b">
        <v>1</v>
      </c>
      <c r="G23" s="6" t="b">
        <v>1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6" t="b">
        <v>1</v>
      </c>
      <c r="G24" s="6" t="b">
        <v>1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6" t="b">
        <v>1</v>
      </c>
      <c r="G26" s="6" t="b">
        <v>0</v>
      </c>
      <c r="H26" s="14" t="b">
        <v>0</v>
      </c>
    </row>
    <row r="27">
      <c r="A27" s="4">
        <v>23.0</v>
      </c>
      <c r="B27" s="6" t="b">
        <v>1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12</v>
      </c>
      <c r="C29" s="14">
        <f>10*COUNTIF(C5:C28, TRUE)</f>
        <v>0</v>
      </c>
      <c r="D29" s="14">
        <f>-4*COUNTIF(D5:D28, TRUE)</f>
        <v>0</v>
      </c>
      <c r="F29" s="14">
        <f>4*COUNTIF(F5:F28, TRUE)</f>
        <v>40</v>
      </c>
      <c r="G29" s="14">
        <f>10*COUNTIF(G5:G28, TRUE)</f>
        <v>50</v>
      </c>
      <c r="H29" s="14">
        <f>-4*COUNTIF(H5:H28, TRUE)</f>
        <v>-4</v>
      </c>
    </row>
    <row r="31">
      <c r="B31" s="4" t="s">
        <v>45</v>
      </c>
      <c r="C31" s="14">
        <f>SUM(B29:D29)</f>
        <v>12</v>
      </c>
      <c r="F31" s="4" t="s">
        <v>46</v>
      </c>
      <c r="G31" s="14">
        <f>SUM(F29:H29)</f>
        <v>86</v>
      </c>
    </row>
  </sheetData>
  <mergeCells count="2">
    <mergeCell ref="B3:D3"/>
    <mergeCell ref="F3:H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5.0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48</v>
      </c>
      <c r="E3" s="3"/>
      <c r="F3" s="1" t="s">
        <v>49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6" t="b">
        <v>1</v>
      </c>
      <c r="G5" s="14" t="b">
        <v>0</v>
      </c>
      <c r="H5" s="14" t="b">
        <v>0</v>
      </c>
    </row>
    <row r="6">
      <c r="A6" s="4">
        <v>2.0</v>
      </c>
      <c r="B6" s="6" t="b">
        <v>0</v>
      </c>
      <c r="C6" s="14" t="b">
        <v>0</v>
      </c>
      <c r="D6" s="6" t="b">
        <v>0</v>
      </c>
      <c r="F6" s="6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0</v>
      </c>
      <c r="G7" s="6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6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6" t="b">
        <v>1</v>
      </c>
      <c r="G9" s="6" t="b">
        <v>1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6" t="b">
        <v>0</v>
      </c>
      <c r="F10" s="6" t="b">
        <v>1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6" t="b">
        <v>0</v>
      </c>
      <c r="F11" s="6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6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6" t="b">
        <v>0</v>
      </c>
      <c r="F13" s="6" t="b">
        <v>1</v>
      </c>
      <c r="G13" s="6" t="b">
        <v>1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6" t="b">
        <v>1</v>
      </c>
      <c r="G14" s="6" t="b">
        <v>1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6" t="b">
        <v>1</v>
      </c>
      <c r="G15" s="6" t="b">
        <v>1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6" t="b">
        <v>1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14" t="b">
        <v>0</v>
      </c>
      <c r="G20" s="14" t="b">
        <v>0</v>
      </c>
      <c r="H20" s="6" t="b">
        <v>1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6" t="b">
        <v>1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6" t="b">
        <v>1</v>
      </c>
      <c r="G24" s="6" t="b">
        <v>1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1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6" t="b">
        <v>1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0</v>
      </c>
      <c r="C29" s="14">
        <f>10*COUNTIF(C5:C28, TRUE)</f>
        <v>0</v>
      </c>
      <c r="D29" s="14">
        <f>-4*COUNTIF(D5:D28, TRUE)</f>
        <v>0</v>
      </c>
      <c r="F29" s="14">
        <f>4*COUNTIF(F5:F28, TRUE)</f>
        <v>52</v>
      </c>
      <c r="G29" s="14">
        <f>10*COUNTIF(G5:G28, TRUE)</f>
        <v>60</v>
      </c>
      <c r="H29" s="14">
        <f>-4*COUNTIF(H5:H28, TRUE)</f>
        <v>-4</v>
      </c>
    </row>
    <row r="31">
      <c r="B31" s="4" t="s">
        <v>45</v>
      </c>
      <c r="C31" s="14">
        <f>SUM(B29:D29)</f>
        <v>0</v>
      </c>
      <c r="F31" s="4" t="s">
        <v>46</v>
      </c>
      <c r="G31" s="14">
        <f>SUM(F29:H29)</f>
        <v>108</v>
      </c>
    </row>
  </sheetData>
  <mergeCells count="2">
    <mergeCell ref="B3:D3"/>
    <mergeCell ref="F3:H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6.0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36</v>
      </c>
      <c r="E3" s="3"/>
      <c r="F3" s="1" t="s">
        <v>28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6" t="b">
        <v>1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6" t="b">
        <v>1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6" t="b">
        <v>1</v>
      </c>
      <c r="C12" s="6" t="b">
        <v>1</v>
      </c>
      <c r="D12" s="14" t="b">
        <v>0</v>
      </c>
      <c r="F12" s="14" t="b">
        <v>0</v>
      </c>
      <c r="G12" s="14" t="b">
        <v>0</v>
      </c>
      <c r="H12" s="6" t="b">
        <v>0</v>
      </c>
    </row>
    <row r="13">
      <c r="A13" s="4">
        <v>9.0</v>
      </c>
      <c r="B13" s="6" t="b">
        <v>1</v>
      </c>
      <c r="C13" s="6" t="b">
        <v>1</v>
      </c>
      <c r="D13" s="14" t="b">
        <v>0</v>
      </c>
      <c r="F13" s="14" t="b">
        <v>0</v>
      </c>
      <c r="G13" s="14" t="b">
        <v>0</v>
      </c>
      <c r="H13" s="6" t="b">
        <v>1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6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6" t="b">
        <v>1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14" t="b">
        <v>0</v>
      </c>
      <c r="G19" s="14" t="b">
        <v>0</v>
      </c>
      <c r="H19" s="6" t="b">
        <v>1</v>
      </c>
    </row>
    <row r="20">
      <c r="A20" s="4">
        <v>16.0</v>
      </c>
      <c r="B20" s="6" t="b">
        <v>1</v>
      </c>
      <c r="C20" s="6" t="b">
        <v>1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6" t="b">
        <v>1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6" t="b">
        <v>1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6" t="b">
        <v>1</v>
      </c>
      <c r="D24" s="14" t="b">
        <v>0</v>
      </c>
      <c r="F24" s="14" t="b">
        <v>0</v>
      </c>
      <c r="G24" s="14" t="b">
        <v>0</v>
      </c>
      <c r="H24" s="6" t="b">
        <v>1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6" t="b">
        <v>1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1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6" t="b">
        <v>1</v>
      </c>
    </row>
    <row r="29">
      <c r="A29" s="4" t="s">
        <v>44</v>
      </c>
      <c r="B29" s="14">
        <f>4*COUNTIF(B5:B28, TRUE)</f>
        <v>36</v>
      </c>
      <c r="C29" s="14">
        <f>10*COUNTIF(C5:C28, TRUE)</f>
        <v>60</v>
      </c>
      <c r="D29" s="14">
        <f>-4*COUNTIF(D5:D28, TRUE)</f>
        <v>0</v>
      </c>
      <c r="F29" s="14">
        <f>4*COUNTIF(F5:F28, TRUE)</f>
        <v>8</v>
      </c>
      <c r="G29" s="14">
        <f>10*COUNTIF(G5:G28, TRUE)</f>
        <v>0</v>
      </c>
      <c r="H29" s="14">
        <f>-4*COUNTIF(H5:H28, TRUE)</f>
        <v>-20</v>
      </c>
    </row>
    <row r="31">
      <c r="B31" s="4" t="s">
        <v>45</v>
      </c>
      <c r="C31" s="14">
        <f>SUM(B29:D29)</f>
        <v>96</v>
      </c>
      <c r="F31" s="4" t="s">
        <v>46</v>
      </c>
      <c r="G31" s="14">
        <f>SUM(F29:H29)</f>
        <v>-12</v>
      </c>
    </row>
  </sheetData>
  <mergeCells count="2">
    <mergeCell ref="B3:D3"/>
    <mergeCell ref="F3:H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7.0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6</v>
      </c>
      <c r="E3" s="3"/>
      <c r="F3" s="1" t="s">
        <v>12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6" t="b">
        <v>1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6" t="b">
        <v>1</v>
      </c>
      <c r="C8" s="6" t="b">
        <v>1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6" t="b">
        <v>1</v>
      </c>
      <c r="C10" s="6" t="b">
        <v>1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6" t="b">
        <v>1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6" t="b">
        <v>1</v>
      </c>
      <c r="C12" s="6" t="b">
        <v>1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6" t="b">
        <v>1</v>
      </c>
      <c r="C13" s="6" t="b">
        <v>1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6" t="b">
        <v>1</v>
      </c>
      <c r="C14" s="6" t="b">
        <v>1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6" t="b">
        <v>1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6" t="b">
        <v>1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6" t="b">
        <v>1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6" t="b">
        <v>1</v>
      </c>
      <c r="C20" s="6" t="b">
        <v>1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6" t="b">
        <v>1</v>
      </c>
      <c r="C22" s="6" t="b">
        <v>1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6" t="b">
        <v>1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6" t="b">
        <v>1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6" t="b">
        <v>1</v>
      </c>
      <c r="C25" s="6" t="b">
        <v>1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6" t="b">
        <v>1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6" t="b">
        <v>1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76</v>
      </c>
      <c r="C29" s="14">
        <f>10*COUNTIF(C5:C28, TRUE)</f>
        <v>150</v>
      </c>
      <c r="D29" s="14">
        <f>-4*COUNTIF(D5:D28, TRUE)</f>
        <v>-4</v>
      </c>
      <c r="F29" s="14">
        <f>4*COUNTIF(F5:F28, TRUE)</f>
        <v>0</v>
      </c>
      <c r="G29" s="14">
        <f>10*COUNTIF(G5:G28, TRUE)</f>
        <v>0</v>
      </c>
      <c r="H29" s="14">
        <f>-4*COUNTIF(H5:H28, TRUE)</f>
        <v>0</v>
      </c>
    </row>
    <row r="31">
      <c r="B31" s="4" t="s">
        <v>45</v>
      </c>
      <c r="C31" s="14">
        <f>SUM(B29:D29)</f>
        <v>222</v>
      </c>
      <c r="F31" s="4" t="s">
        <v>46</v>
      </c>
      <c r="G31" s="14">
        <f>SUM(F29:H29)</f>
        <v>0</v>
      </c>
    </row>
  </sheetData>
  <mergeCells count="2">
    <mergeCell ref="B3:D3"/>
    <mergeCell ref="F3:H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8.0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13</v>
      </c>
      <c r="E3" s="3"/>
      <c r="F3" s="1" t="s">
        <v>7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6" t="b">
        <v>1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6" t="b">
        <v>1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6" t="b">
        <v>1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6" t="b">
        <v>1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6" t="b">
        <v>1</v>
      </c>
      <c r="G13" s="6" t="b">
        <v>1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6" t="b">
        <v>1</v>
      </c>
      <c r="G14" s="6" t="b">
        <v>1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6" t="b">
        <v>1</v>
      </c>
      <c r="G16" s="6" t="b">
        <v>1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6" t="b">
        <v>1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6" t="b">
        <v>1</v>
      </c>
      <c r="H18" s="14" t="b">
        <v>0</v>
      </c>
    </row>
    <row r="19">
      <c r="A19" s="4">
        <v>15.0</v>
      </c>
      <c r="B19" s="6" t="b">
        <v>1</v>
      </c>
      <c r="C19" s="14" t="b">
        <v>0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6" t="b">
        <v>1</v>
      </c>
      <c r="C20" s="6" t="b">
        <v>1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6" t="b">
        <v>1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6" t="b">
        <v>1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6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32</v>
      </c>
      <c r="C29" s="14">
        <f>10*COUNTIF(C5:C28, TRUE)</f>
        <v>20</v>
      </c>
      <c r="D29" s="14">
        <f>-4*COUNTIF(D5:D28, TRUE)</f>
        <v>-4</v>
      </c>
      <c r="F29" s="14">
        <f>4*COUNTIF(F5:F28, TRUE)</f>
        <v>36</v>
      </c>
      <c r="G29" s="14">
        <f>10*COUNTIF(G5:G28, TRUE)</f>
        <v>50</v>
      </c>
      <c r="H29" s="14">
        <f>-4*COUNTIF(H5:H28, TRUE)</f>
        <v>-4</v>
      </c>
    </row>
    <row r="31">
      <c r="B31" s="4" t="s">
        <v>45</v>
      </c>
      <c r="C31" s="14">
        <f>SUM(B29:D29)</f>
        <v>48</v>
      </c>
      <c r="F31" s="4" t="s">
        <v>46</v>
      </c>
      <c r="G31" s="14">
        <f>SUM(F29:H29)</f>
        <v>82</v>
      </c>
    </row>
  </sheetData>
  <mergeCells count="2">
    <mergeCell ref="B3:D3"/>
    <mergeCell ref="F3:H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9.0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26</v>
      </c>
      <c r="E3" s="3"/>
      <c r="F3" s="1" t="s">
        <v>29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1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6" t="b">
        <v>1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6" t="b">
        <v>1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6" t="b">
        <v>1</v>
      </c>
      <c r="C12" s="6" t="b">
        <v>1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6" t="b">
        <v>1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6" t="b">
        <v>1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6" t="b">
        <v>1</v>
      </c>
      <c r="C19" s="6" t="b">
        <v>1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6" t="b">
        <v>1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6" t="b">
        <v>1</v>
      </c>
    </row>
    <row r="22">
      <c r="A22" s="4">
        <v>18.0</v>
      </c>
      <c r="B22" s="6" t="b">
        <v>1</v>
      </c>
      <c r="C22" s="6" t="b">
        <v>1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6" t="b">
        <v>1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6" t="b">
        <v>1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6" t="b">
        <v>1</v>
      </c>
      <c r="C25" s="6" t="b">
        <v>1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6" t="b">
        <v>1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56</v>
      </c>
      <c r="C29" s="14">
        <f>10*COUNTIF(C5:C28, TRUE)</f>
        <v>80</v>
      </c>
      <c r="D29" s="14">
        <f>-4*COUNTIF(D5:D28, TRUE)</f>
        <v>-8</v>
      </c>
      <c r="F29" s="14">
        <f>4*COUNTIF(F5:F28, TRUE)</f>
        <v>0</v>
      </c>
      <c r="G29" s="14">
        <f>10*COUNTIF(G5:G28, TRUE)</f>
        <v>0</v>
      </c>
      <c r="H29" s="14">
        <f>-4*COUNTIF(H5:H28, TRUE)</f>
        <v>-4</v>
      </c>
    </row>
    <row r="31">
      <c r="B31" s="4" t="s">
        <v>45</v>
      </c>
      <c r="C31" s="14">
        <f>SUM(B29:D29)</f>
        <v>128</v>
      </c>
      <c r="F31" s="4" t="s">
        <v>46</v>
      </c>
      <c r="G31" s="14">
        <f>SUM(F29:H29)</f>
        <v>-4</v>
      </c>
    </row>
  </sheetData>
  <mergeCells count="2">
    <mergeCell ref="B3:D3"/>
    <mergeCell ref="F3:H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10.0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27</v>
      </c>
      <c r="E3" s="3"/>
      <c r="F3" s="1" t="s">
        <v>30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6" t="b">
        <v>1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6" t="b">
        <v>1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6" t="b">
        <v>1</v>
      </c>
      <c r="G8" s="6" t="b">
        <v>1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6" t="b">
        <v>1</v>
      </c>
      <c r="G9" s="6" t="b">
        <v>1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6" t="b">
        <v>1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6" t="b">
        <v>1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6" t="b">
        <v>1</v>
      </c>
      <c r="G12" s="6" t="b">
        <v>1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6" t="b">
        <v>1</v>
      </c>
      <c r="G13" s="6" t="b">
        <v>1</v>
      </c>
      <c r="H13" s="14" t="b">
        <v>0</v>
      </c>
    </row>
    <row r="14">
      <c r="A14" s="4">
        <v>10.0</v>
      </c>
      <c r="B14" s="6" t="b">
        <v>1</v>
      </c>
      <c r="C14" s="6" t="b">
        <v>1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6" t="b">
        <v>1</v>
      </c>
      <c r="F15" s="6" t="b">
        <v>1</v>
      </c>
      <c r="G15" s="14" t="b">
        <v>0</v>
      </c>
      <c r="H15" s="14" t="b">
        <v>0</v>
      </c>
    </row>
    <row r="16">
      <c r="A16" s="4">
        <v>12.0</v>
      </c>
      <c r="B16" s="6" t="b">
        <v>1</v>
      </c>
      <c r="C16" s="14" t="b">
        <v>0</v>
      </c>
      <c r="D16" s="14" t="b">
        <v>0</v>
      </c>
      <c r="F16" s="6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6" t="b">
        <v>1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6" t="b">
        <v>0</v>
      </c>
      <c r="C21" s="14" t="b">
        <v>0</v>
      </c>
      <c r="D21" s="14" t="b">
        <v>0</v>
      </c>
      <c r="F21" s="6" t="b">
        <v>1</v>
      </c>
      <c r="G21" s="14" t="b">
        <v>0</v>
      </c>
      <c r="H21" s="14" t="b">
        <v>0</v>
      </c>
    </row>
    <row r="22">
      <c r="A22" s="4">
        <v>18.0</v>
      </c>
      <c r="B22" s="6" t="b">
        <v>1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6" t="b">
        <v>1</v>
      </c>
      <c r="G24" s="6" t="b">
        <v>1</v>
      </c>
      <c r="H24" s="14" t="b">
        <v>0</v>
      </c>
    </row>
    <row r="25">
      <c r="A25" s="4">
        <v>21.0</v>
      </c>
      <c r="B25" s="6" t="b">
        <v>1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6" t="b">
        <v>1</v>
      </c>
      <c r="G26" s="6" t="b">
        <v>1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6" t="b">
        <v>1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6" t="b">
        <v>1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20</v>
      </c>
      <c r="C29" s="14">
        <f>10*COUNTIF(C5:C28, TRUE)</f>
        <v>10</v>
      </c>
      <c r="D29" s="14">
        <f>-4*COUNTIF(D5:D28, TRUE)</f>
        <v>-12</v>
      </c>
      <c r="F29" s="14">
        <f>4*COUNTIF(F5:F28, TRUE)</f>
        <v>56</v>
      </c>
      <c r="G29" s="14">
        <f>10*COUNTIF(G5:G28, TRUE)</f>
        <v>80</v>
      </c>
      <c r="H29" s="14">
        <f>-4*COUNTIF(H5:H28, TRUE)</f>
        <v>0</v>
      </c>
    </row>
    <row r="31">
      <c r="B31" s="4" t="s">
        <v>45</v>
      </c>
      <c r="C31" s="14">
        <f>SUM(B29:D29)</f>
        <v>18</v>
      </c>
      <c r="F31" s="4" t="s">
        <v>46</v>
      </c>
      <c r="G31" s="14">
        <f>SUM(F29:H29)</f>
        <v>136</v>
      </c>
    </row>
  </sheetData>
  <mergeCells count="2">
    <mergeCell ref="B3:D3"/>
    <mergeCell ref="F3:H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11.0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36</v>
      </c>
      <c r="E3" s="3"/>
      <c r="F3" s="1" t="s">
        <v>33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1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6" t="b">
        <v>1</v>
      </c>
      <c r="G6" s="6" t="b">
        <v>1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6" t="b">
        <v>1</v>
      </c>
      <c r="H7" s="14" t="b">
        <v>0</v>
      </c>
    </row>
    <row r="8">
      <c r="A8" s="4">
        <v>4.0</v>
      </c>
      <c r="B8" s="6" t="b">
        <v>1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6" t="b">
        <v>1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6" t="b">
        <v>1</v>
      </c>
      <c r="G10" s="14" t="b">
        <v>0</v>
      </c>
      <c r="H10" s="14" t="b">
        <v>0</v>
      </c>
    </row>
    <row r="11">
      <c r="A11" s="4">
        <v>7.0</v>
      </c>
      <c r="B11" s="6" t="b">
        <v>1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6" t="b">
        <v>1</v>
      </c>
      <c r="C12" s="6" t="b">
        <v>1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6" t="b">
        <v>1</v>
      </c>
      <c r="G13" s="6" t="b">
        <v>1</v>
      </c>
      <c r="H13" s="14" t="b">
        <v>0</v>
      </c>
    </row>
    <row r="14">
      <c r="A14" s="4">
        <v>10.0</v>
      </c>
      <c r="B14" s="6" t="b">
        <v>1</v>
      </c>
      <c r="C14" s="6" t="b">
        <v>1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6" t="b">
        <v>1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6" t="b">
        <v>1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14" t="b">
        <v>0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6" t="b">
        <v>1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6" t="b">
        <v>1</v>
      </c>
      <c r="C23" s="6" t="b">
        <v>1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6" t="b">
        <v>1</v>
      </c>
      <c r="F24" s="14" t="b">
        <v>0</v>
      </c>
      <c r="G24" s="6" t="b">
        <v>0</v>
      </c>
      <c r="H24" s="6" t="b">
        <v>1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1</v>
      </c>
      <c r="G25" s="6" t="b">
        <v>1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1</v>
      </c>
      <c r="C27" s="6" t="b">
        <v>1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36</v>
      </c>
      <c r="C29" s="14">
        <f>10*COUNTIF(C5:C28, TRUE)</f>
        <v>60</v>
      </c>
      <c r="D29" s="14">
        <f>-4*COUNTIF(D5:D28, TRUE)</f>
        <v>-4</v>
      </c>
      <c r="F29" s="14">
        <f>4*COUNTIF(F5:F28, TRUE)</f>
        <v>32</v>
      </c>
      <c r="G29" s="14">
        <f>10*COUNTIF(G5:G28, TRUE)</f>
        <v>50</v>
      </c>
      <c r="H29" s="14">
        <f>-4*COUNTIF(H5:H28, TRUE)</f>
        <v>-4</v>
      </c>
    </row>
    <row r="31">
      <c r="B31" s="4" t="s">
        <v>45</v>
      </c>
      <c r="C31" s="14">
        <f>SUM(B29:D29)</f>
        <v>92</v>
      </c>
      <c r="F31" s="4" t="s">
        <v>46</v>
      </c>
      <c r="G31" s="14">
        <f>SUM(F29:H29)</f>
        <v>78</v>
      </c>
    </row>
  </sheetData>
  <mergeCells count="2">
    <mergeCell ref="B3:D3"/>
    <mergeCell ref="F3:H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12.0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41</v>
      </c>
      <c r="E3" s="3"/>
      <c r="F3" s="1" t="s">
        <v>28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6" t="b">
        <v>1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6" t="b">
        <v>1</v>
      </c>
      <c r="G6" s="6" t="b">
        <v>1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6" t="b">
        <v>1</v>
      </c>
      <c r="G11" s="6" t="b">
        <v>1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6" t="b">
        <v>1</v>
      </c>
      <c r="G12" s="6" t="b">
        <v>1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6" t="b">
        <v>1</v>
      </c>
      <c r="G14" s="6" t="b">
        <v>1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6" t="b">
        <v>1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6" t="b">
        <v>1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1</v>
      </c>
      <c r="G25" s="6" t="b">
        <v>1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6" t="b">
        <v>1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16</v>
      </c>
      <c r="C29" s="14">
        <f>10*COUNTIF(C5:C28, TRUE)</f>
        <v>10</v>
      </c>
      <c r="D29" s="14">
        <f>-4*COUNTIF(D5:D28, TRUE)</f>
        <v>0</v>
      </c>
      <c r="F29" s="14">
        <f>4*COUNTIF(F5:F28, TRUE)</f>
        <v>32</v>
      </c>
      <c r="G29" s="14">
        <f>10*COUNTIF(G5:G28, TRUE)</f>
        <v>60</v>
      </c>
      <c r="H29" s="14">
        <f>-4*COUNTIF(H5:H28, TRUE)</f>
        <v>-4</v>
      </c>
    </row>
    <row r="31">
      <c r="B31" s="4" t="s">
        <v>45</v>
      </c>
      <c r="C31" s="14">
        <f>SUM(B29:D29)</f>
        <v>26</v>
      </c>
      <c r="F31" s="4" t="s">
        <v>46</v>
      </c>
      <c r="G31" s="14">
        <f>SUM(F29:H29)</f>
        <v>88</v>
      </c>
    </row>
  </sheetData>
  <mergeCells count="2">
    <mergeCell ref="B3:D3"/>
    <mergeCell ref="F3:H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13.0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6</v>
      </c>
      <c r="E3" s="3"/>
      <c r="F3" s="1" t="s">
        <v>13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1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6" t="b">
        <v>1</v>
      </c>
      <c r="C8" s="6" t="b">
        <v>1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6" t="b">
        <v>1</v>
      </c>
      <c r="F9" s="6" t="b">
        <v>1</v>
      </c>
      <c r="G9" s="14" t="b">
        <v>0</v>
      </c>
      <c r="H9" s="14" t="b">
        <v>0</v>
      </c>
    </row>
    <row r="10">
      <c r="A10" s="4">
        <v>6.0</v>
      </c>
      <c r="B10" s="6" t="b">
        <v>1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6" t="b">
        <v>1</v>
      </c>
      <c r="C13" s="6" t="b">
        <v>1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6" t="b">
        <v>1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6" t="b">
        <v>1</v>
      </c>
      <c r="H18" s="14" t="b">
        <v>0</v>
      </c>
    </row>
    <row r="19">
      <c r="A19" s="4">
        <v>15.0</v>
      </c>
      <c r="B19" s="6" t="b">
        <v>1</v>
      </c>
      <c r="C19" s="6" t="b">
        <v>1</v>
      </c>
      <c r="D19" s="14" t="b">
        <v>0</v>
      </c>
      <c r="F19" s="14" t="b">
        <v>0</v>
      </c>
      <c r="G19" s="14" t="b">
        <v>0</v>
      </c>
      <c r="H19" s="6" t="b">
        <v>1</v>
      </c>
    </row>
    <row r="20">
      <c r="A20" s="4">
        <v>16.0</v>
      </c>
      <c r="B20" s="6" t="b">
        <v>1</v>
      </c>
      <c r="C20" s="6" t="b">
        <v>1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6" t="b">
        <v>1</v>
      </c>
      <c r="C22" s="6" t="b">
        <v>1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6" t="b">
        <v>1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6" t="b">
        <v>1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48</v>
      </c>
      <c r="C29" s="14">
        <f>10*COUNTIF(C5:C28, TRUE)</f>
        <v>80</v>
      </c>
      <c r="D29" s="14">
        <f>-4*COUNTIF(D5:D28, TRUE)</f>
        <v>-8</v>
      </c>
      <c r="F29" s="14">
        <f>4*COUNTIF(F5:F28, TRUE)</f>
        <v>12</v>
      </c>
      <c r="G29" s="14">
        <f>10*COUNTIF(G5:G28, TRUE)</f>
        <v>10</v>
      </c>
      <c r="H29" s="14">
        <f>-4*COUNTIF(H5:H28, TRUE)</f>
        <v>-4</v>
      </c>
    </row>
    <row r="31">
      <c r="B31" s="4" t="s">
        <v>45</v>
      </c>
      <c r="C31" s="14">
        <f>SUM(B29:D29)</f>
        <v>120</v>
      </c>
      <c r="F31" s="4" t="s">
        <v>46</v>
      </c>
      <c r="G31" s="14">
        <f>SUM(F29:H29)</f>
        <v>18</v>
      </c>
    </row>
  </sheetData>
  <mergeCells count="2">
    <mergeCell ref="B3:D3"/>
    <mergeCell ref="F3:H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14.0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7</v>
      </c>
      <c r="E3" s="3"/>
      <c r="F3" s="1" t="s">
        <v>12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6" t="b">
        <v>1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6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6" t="b">
        <v>1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1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6" t="b">
        <v>1</v>
      </c>
      <c r="C15" s="6" t="b">
        <v>1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6" t="b">
        <v>1</v>
      </c>
      <c r="H18" s="14" t="b">
        <v>0</v>
      </c>
    </row>
    <row r="19">
      <c r="A19" s="4">
        <v>15.0</v>
      </c>
      <c r="B19" s="6" t="b">
        <v>1</v>
      </c>
      <c r="C19" s="6" t="b">
        <v>1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6" t="b">
        <v>1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32</v>
      </c>
      <c r="C29" s="14">
        <f>10*COUNTIF(C5:C28, TRUE)</f>
        <v>50</v>
      </c>
      <c r="D29" s="14">
        <f>-4*COUNTIF(D5:D28, TRUE)</f>
        <v>0</v>
      </c>
      <c r="F29" s="14">
        <f>4*COUNTIF(F5:F28, TRUE)</f>
        <v>8</v>
      </c>
      <c r="G29" s="14">
        <f>10*COUNTIF(G5:G28, TRUE)</f>
        <v>10</v>
      </c>
      <c r="H29" s="14">
        <f>-4*COUNTIF(H5:H28, TRUE)</f>
        <v>0</v>
      </c>
    </row>
    <row r="31">
      <c r="B31" s="4" t="s">
        <v>45</v>
      </c>
      <c r="C31" s="14">
        <f>SUM(B29:D29)</f>
        <v>82</v>
      </c>
      <c r="F31" s="4" t="s">
        <v>46</v>
      </c>
      <c r="G31" s="14">
        <f>SUM(F29:H29)</f>
        <v>18</v>
      </c>
    </row>
  </sheetData>
  <mergeCells count="2">
    <mergeCell ref="B3:D3"/>
    <mergeCell ref="F3:H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15.0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26</v>
      </c>
      <c r="E3" s="3"/>
      <c r="F3" s="1" t="s">
        <v>30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6" t="b">
        <v>1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1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6" t="b">
        <v>1</v>
      </c>
      <c r="F12" s="6" t="b">
        <v>1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6" t="b">
        <v>1</v>
      </c>
      <c r="G15" s="6" t="b">
        <v>1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6" t="b">
        <v>1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14" t="b">
        <v>0</v>
      </c>
      <c r="H19" s="14" t="b">
        <v>0</v>
      </c>
    </row>
    <row r="20">
      <c r="A20" s="4">
        <v>16.0</v>
      </c>
      <c r="B20" s="6" t="b">
        <v>1</v>
      </c>
      <c r="C20" s="14" t="b">
        <v>0</v>
      </c>
      <c r="D20" s="14" t="b">
        <v>0</v>
      </c>
      <c r="F20" s="6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6" t="b">
        <v>1</v>
      </c>
      <c r="G21" s="6" t="b">
        <v>1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6" t="b">
        <v>1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40</v>
      </c>
      <c r="C29" s="14">
        <f>10*COUNTIF(C5:C28, TRUE)</f>
        <v>30</v>
      </c>
      <c r="D29" s="14">
        <f>-4*COUNTIF(D5:D28, TRUE)</f>
        <v>-4</v>
      </c>
      <c r="F29" s="14">
        <f>4*COUNTIF(F5:F28, TRUE)</f>
        <v>20</v>
      </c>
      <c r="G29" s="14">
        <f>10*COUNTIF(G5:G28, TRUE)</f>
        <v>20</v>
      </c>
      <c r="H29" s="14">
        <f>-4*COUNTIF(H5:H28, TRUE)</f>
        <v>0</v>
      </c>
    </row>
    <row r="31">
      <c r="B31" s="4" t="s">
        <v>45</v>
      </c>
      <c r="C31" s="14">
        <f>SUM(B29:D29)</f>
        <v>66</v>
      </c>
      <c r="F31" s="4" t="s">
        <v>46</v>
      </c>
      <c r="G31" s="14">
        <f>SUM(F29:H29)</f>
        <v>40</v>
      </c>
    </row>
  </sheetData>
  <mergeCells count="2">
    <mergeCell ref="B3:D3"/>
    <mergeCell ref="F3:H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16.0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27</v>
      </c>
      <c r="E3" s="3"/>
      <c r="F3" s="1" t="s">
        <v>29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6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6" t="b">
        <v>1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6" t="b">
        <v>1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14" t="b">
        <v>0</v>
      </c>
      <c r="H18" s="14" t="b">
        <v>0</v>
      </c>
    </row>
    <row r="19">
      <c r="A19" s="4">
        <v>15.0</v>
      </c>
      <c r="B19" s="6" t="b">
        <v>1</v>
      </c>
      <c r="C19" s="6" t="b">
        <v>1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6" t="b">
        <v>1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6" t="b">
        <v>1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40</v>
      </c>
      <c r="C29" s="14">
        <f>10*COUNTIF(C5:C28, TRUE)</f>
        <v>30</v>
      </c>
      <c r="D29" s="14">
        <f>-4*COUNTIF(D5:D28, TRUE)</f>
        <v>0</v>
      </c>
      <c r="F29" s="14">
        <f>4*COUNTIF(F5:F28, TRUE)</f>
        <v>4</v>
      </c>
      <c r="G29" s="14">
        <f>10*COUNTIF(G5:G28, TRUE)</f>
        <v>0</v>
      </c>
      <c r="H29" s="14">
        <f>-4*COUNTIF(H5:H28, TRUE)</f>
        <v>0</v>
      </c>
    </row>
    <row r="31">
      <c r="B31" s="4" t="s">
        <v>45</v>
      </c>
      <c r="C31" s="14">
        <f>SUM(B29:D29)</f>
        <v>70</v>
      </c>
      <c r="F31" s="4" t="s">
        <v>46</v>
      </c>
      <c r="G31" s="14">
        <f>SUM(F29:H29)</f>
        <v>4</v>
      </c>
    </row>
  </sheetData>
  <mergeCells count="2">
    <mergeCell ref="B3:D3"/>
    <mergeCell ref="F3:H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17.0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28</v>
      </c>
      <c r="E3" s="3"/>
      <c r="F3" s="1" t="s">
        <v>33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6" t="b">
        <v>1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6" t="b">
        <v>1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6" t="b">
        <v>1</v>
      </c>
      <c r="G9" s="6" t="b">
        <v>1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6" t="b">
        <v>1</v>
      </c>
      <c r="F12" s="14" t="b">
        <v>0</v>
      </c>
      <c r="G12" s="6" t="b">
        <v>0</v>
      </c>
      <c r="H12" s="6" t="b">
        <v>1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6" t="b">
        <v>1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6" t="b">
        <v>1</v>
      </c>
      <c r="F19" s="6" t="b">
        <v>1</v>
      </c>
      <c r="G19" s="6" t="b">
        <v>1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6" t="b">
        <v>0</v>
      </c>
      <c r="F21" s="6" t="b">
        <v>1</v>
      </c>
      <c r="G21" s="6" t="b">
        <v>1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6" t="b">
        <v>1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6" t="b">
        <v>1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16</v>
      </c>
      <c r="C29" s="14">
        <f>10*COUNTIF(C5:C28, TRUE)</f>
        <v>10</v>
      </c>
      <c r="D29" s="14">
        <f>-4*COUNTIF(D5:D28, TRUE)</f>
        <v>-8</v>
      </c>
      <c r="F29" s="14">
        <f>4*COUNTIF(F5:F28, TRUE)</f>
        <v>36</v>
      </c>
      <c r="G29" s="14">
        <f>10*COUNTIF(G5:G28, TRUE)</f>
        <v>40</v>
      </c>
      <c r="H29" s="14">
        <f>-4*COUNTIF(H5:H28, TRUE)</f>
        <v>-4</v>
      </c>
    </row>
    <row r="31">
      <c r="B31" s="4" t="s">
        <v>45</v>
      </c>
      <c r="C31" s="14">
        <f>SUM(B29:D29)</f>
        <v>18</v>
      </c>
      <c r="F31" s="4" t="s">
        <v>46</v>
      </c>
      <c r="G31" s="14">
        <f>SUM(F29:H29)</f>
        <v>72</v>
      </c>
    </row>
  </sheetData>
  <mergeCells count="2">
    <mergeCell ref="B3:D3"/>
    <mergeCell ref="F3:H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18.0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41</v>
      </c>
      <c r="E3" s="3"/>
      <c r="F3" s="1" t="s">
        <v>36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6" t="b">
        <v>1</v>
      </c>
      <c r="G5" s="6" t="b">
        <v>1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6" t="b">
        <v>1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6" t="b">
        <v>1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6" t="b">
        <v>1</v>
      </c>
      <c r="G9" s="6" t="b">
        <v>1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6" t="b">
        <v>1</v>
      </c>
      <c r="G11" s="6" t="b">
        <v>1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14" t="b">
        <v>0</v>
      </c>
      <c r="G12" s="14" t="b">
        <v>0</v>
      </c>
      <c r="H12" s="6" t="b">
        <v>1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6" t="b">
        <v>1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6" t="b">
        <v>1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6" t="b">
        <v>1</v>
      </c>
      <c r="H18" s="14" t="b">
        <v>0</v>
      </c>
    </row>
    <row r="19">
      <c r="A19" s="4">
        <v>15.0</v>
      </c>
      <c r="B19" s="6" t="b">
        <v>1</v>
      </c>
      <c r="C19" s="6" t="b">
        <v>1</v>
      </c>
      <c r="D19" s="14" t="b">
        <v>0</v>
      </c>
      <c r="F19" s="14" t="b">
        <v>0</v>
      </c>
      <c r="G19" s="14" t="b">
        <v>0</v>
      </c>
      <c r="H19" s="6" t="b">
        <v>1</v>
      </c>
    </row>
    <row r="20">
      <c r="A20" s="4">
        <v>16.0</v>
      </c>
      <c r="B20" s="6" t="b">
        <v>1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6" t="b">
        <v>1</v>
      </c>
      <c r="G21" s="6" t="b">
        <v>1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6" t="b">
        <v>1</v>
      </c>
      <c r="G23" s="6" t="b">
        <v>1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6" t="b">
        <v>1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12</v>
      </c>
      <c r="C29" s="14">
        <f>10*COUNTIF(C5:C28, TRUE)</f>
        <v>10</v>
      </c>
      <c r="D29" s="14">
        <f>-4*COUNTIF(D5:D28, TRUE)</f>
        <v>0</v>
      </c>
      <c r="F29" s="14">
        <f>4*COUNTIF(F5:F28, TRUE)</f>
        <v>48</v>
      </c>
      <c r="G29" s="14">
        <f>10*COUNTIF(G5:G28, TRUE)</f>
        <v>60</v>
      </c>
      <c r="H29" s="14">
        <f>-4*COUNTIF(H5:H28, TRUE)</f>
        <v>-8</v>
      </c>
    </row>
    <row r="31">
      <c r="B31" s="4" t="s">
        <v>45</v>
      </c>
      <c r="C31" s="14">
        <f>SUM(B29:D29)</f>
        <v>22</v>
      </c>
      <c r="F31" s="4" t="s">
        <v>46</v>
      </c>
      <c r="G31" s="14">
        <f>SUM(F29:H29)</f>
        <v>100</v>
      </c>
    </row>
  </sheetData>
  <mergeCells count="2">
    <mergeCell ref="B3:D3"/>
    <mergeCell ref="F3:H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19.0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33</v>
      </c>
      <c r="E3" s="3"/>
      <c r="F3" s="1" t="s">
        <v>30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6" t="b">
        <v>1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6" t="b">
        <v>1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6" t="b">
        <v>1</v>
      </c>
      <c r="G11" s="14" t="b">
        <v>0</v>
      </c>
      <c r="H11" s="14" t="b">
        <v>0</v>
      </c>
    </row>
    <row r="12">
      <c r="A12" s="4">
        <v>8.0</v>
      </c>
      <c r="B12" s="6" t="b">
        <v>1</v>
      </c>
      <c r="C12" s="6" t="b">
        <v>1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6" t="b">
        <v>1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6" t="b">
        <v>1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14" t="b">
        <v>0</v>
      </c>
      <c r="H19" s="14" t="b">
        <v>0</v>
      </c>
    </row>
    <row r="20">
      <c r="A20" s="4">
        <v>16.0</v>
      </c>
      <c r="B20" s="6" t="b">
        <v>1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6" t="b">
        <v>1</v>
      </c>
      <c r="G21" s="6" t="b">
        <v>1</v>
      </c>
      <c r="H21" s="14" t="b">
        <v>0</v>
      </c>
    </row>
    <row r="22">
      <c r="A22" s="4">
        <v>18.0</v>
      </c>
      <c r="B22" s="6" t="b">
        <v>1</v>
      </c>
      <c r="C22" s="14" t="b">
        <v>0</v>
      </c>
      <c r="D22" s="14" t="b">
        <v>0</v>
      </c>
      <c r="F22" s="14" t="b">
        <v>0</v>
      </c>
      <c r="G22" s="14" t="b">
        <v>0</v>
      </c>
      <c r="H22" s="6" t="b">
        <v>1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6" t="b">
        <v>1</v>
      </c>
      <c r="G26" s="6" t="b">
        <v>0</v>
      </c>
      <c r="H26" s="14" t="b">
        <v>0</v>
      </c>
    </row>
    <row r="27">
      <c r="A27" s="4">
        <v>23.0</v>
      </c>
      <c r="B27" s="6" t="b">
        <v>1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28</v>
      </c>
      <c r="C29" s="14">
        <f>10*COUNTIF(C5:C28, TRUE)</f>
        <v>10</v>
      </c>
      <c r="D29" s="14">
        <f>-4*COUNTIF(D5:D28, TRUE)</f>
        <v>0</v>
      </c>
      <c r="F29" s="14">
        <f>4*COUNTIF(F5:F28, TRUE)</f>
        <v>32</v>
      </c>
      <c r="G29" s="14">
        <f>10*COUNTIF(G5:G28, TRUE)</f>
        <v>10</v>
      </c>
      <c r="H29" s="14">
        <f>-4*COUNTIF(H5:H28, TRUE)</f>
        <v>-8</v>
      </c>
    </row>
    <row r="31">
      <c r="B31" s="4" t="s">
        <v>45</v>
      </c>
      <c r="C31" s="14">
        <f>SUM(B29:D29)</f>
        <v>38</v>
      </c>
      <c r="F31" s="4" t="s">
        <v>46</v>
      </c>
      <c r="G31" s="14">
        <f>SUM(F29:H29)</f>
        <v>34</v>
      </c>
    </row>
  </sheetData>
  <mergeCells count="2">
    <mergeCell ref="B3:D3"/>
    <mergeCell ref="F3:H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20.0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26</v>
      </c>
      <c r="E3" s="3"/>
      <c r="F3" s="1" t="s">
        <v>7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6" t="b">
        <v>1</v>
      </c>
      <c r="G11" s="14" t="b">
        <v>0</v>
      </c>
      <c r="H11" s="14" t="b">
        <v>0</v>
      </c>
    </row>
    <row r="12">
      <c r="A12" s="4">
        <v>8.0</v>
      </c>
      <c r="B12" s="6" t="b">
        <v>1</v>
      </c>
      <c r="C12" s="14" t="b">
        <v>0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6" t="b">
        <v>1</v>
      </c>
      <c r="C13" s="6" t="b">
        <v>1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6" t="b">
        <v>1</v>
      </c>
      <c r="G17" s="6" t="b">
        <v>1</v>
      </c>
      <c r="H17" s="14" t="b">
        <v>0</v>
      </c>
    </row>
    <row r="18">
      <c r="A18" s="4">
        <v>14.0</v>
      </c>
      <c r="B18" s="6" t="b">
        <v>1</v>
      </c>
      <c r="C18" s="14" t="b">
        <v>0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6" t="b">
        <v>1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6" t="b">
        <v>1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6" t="b">
        <v>1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6" t="b">
        <v>1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6" t="b">
        <v>1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24</v>
      </c>
      <c r="C29" s="14">
        <f>10*COUNTIF(C5:C28, TRUE)</f>
        <v>10</v>
      </c>
      <c r="D29" s="14">
        <f>-4*COUNTIF(D5:D28, TRUE)</f>
        <v>-4</v>
      </c>
      <c r="F29" s="14">
        <f>4*COUNTIF(F5:F28, TRUE)</f>
        <v>24</v>
      </c>
      <c r="G29" s="14">
        <f>10*COUNTIF(G5:G28, TRUE)</f>
        <v>20</v>
      </c>
      <c r="H29" s="14">
        <f>-4*COUNTIF(H5:H28, TRUE)</f>
        <v>0</v>
      </c>
    </row>
    <row r="31">
      <c r="B31" s="4" t="s">
        <v>45</v>
      </c>
      <c r="C31" s="14">
        <f>SUM(B29:D29)</f>
        <v>30</v>
      </c>
      <c r="F31" s="4" t="s">
        <v>46</v>
      </c>
      <c r="G31" s="14">
        <f>SUM(F29:H29)</f>
        <v>44</v>
      </c>
    </row>
  </sheetData>
  <mergeCells count="2">
    <mergeCell ref="B3:D3"/>
    <mergeCell ref="F3:H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21.0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27</v>
      </c>
      <c r="E3" s="3"/>
      <c r="F3" s="1" t="s">
        <v>36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6" t="b">
        <v>1</v>
      </c>
      <c r="G5" s="6" t="b">
        <v>1</v>
      </c>
      <c r="H5" s="14" t="b">
        <v>0</v>
      </c>
    </row>
    <row r="6">
      <c r="A6" s="4">
        <v>2.0</v>
      </c>
      <c r="B6" s="6" t="b">
        <v>1</v>
      </c>
      <c r="C6" s="14" t="b">
        <v>0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6" t="b">
        <v>1</v>
      </c>
      <c r="G8" s="6" t="b">
        <v>1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14" t="b">
        <v>0</v>
      </c>
      <c r="G9" s="14" t="b">
        <v>0</v>
      </c>
      <c r="H9" s="6" t="b">
        <v>1</v>
      </c>
    </row>
    <row r="10">
      <c r="A10" s="4">
        <v>6.0</v>
      </c>
      <c r="B10" s="6" t="b">
        <v>1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6" t="b">
        <v>1</v>
      </c>
      <c r="F12" s="6" t="b">
        <v>1</v>
      </c>
      <c r="G12" s="6" t="b">
        <v>1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6" t="b">
        <v>1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6" t="b">
        <v>1</v>
      </c>
      <c r="G14" s="6" t="b">
        <v>1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6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6" t="b">
        <v>1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6" t="b">
        <v>1</v>
      </c>
      <c r="G18" s="6" t="b">
        <v>1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6" t="b">
        <v>1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6" t="b">
        <v>1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6" t="b">
        <v>1</v>
      </c>
      <c r="G23" s="6" t="b">
        <v>1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6" t="b">
        <v>1</v>
      </c>
      <c r="G24" s="6" t="b">
        <v>1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6" t="b">
        <v>1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16</v>
      </c>
      <c r="C29" s="14">
        <f>10*COUNTIF(C5:C28, TRUE)</f>
        <v>0</v>
      </c>
      <c r="D29" s="14">
        <f>-4*COUNTIF(D5:D28, TRUE)</f>
        <v>-8</v>
      </c>
      <c r="F29" s="14">
        <f>4*COUNTIF(F5:F28, TRUE)</f>
        <v>36</v>
      </c>
      <c r="G29" s="14">
        <f>10*COUNTIF(G5:G28, TRUE)</f>
        <v>80</v>
      </c>
      <c r="H29" s="14">
        <f>-4*COUNTIF(H5:H28, TRUE)</f>
        <v>-12</v>
      </c>
    </row>
    <row r="31">
      <c r="B31" s="4" t="s">
        <v>45</v>
      </c>
      <c r="C31" s="14">
        <f>SUM(B29:D29)</f>
        <v>8</v>
      </c>
      <c r="F31" s="4" t="s">
        <v>46</v>
      </c>
      <c r="G31" s="14">
        <f>SUM(F29:H29)</f>
        <v>104</v>
      </c>
    </row>
  </sheetData>
  <mergeCells count="2">
    <mergeCell ref="B3:D3"/>
    <mergeCell ref="F3:H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22.0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6</v>
      </c>
      <c r="E3" s="3"/>
      <c r="F3" s="1" t="s">
        <v>28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6" t="b">
        <v>1</v>
      </c>
      <c r="G6" s="14" t="b">
        <v>0</v>
      </c>
      <c r="H6" s="14" t="b">
        <v>0</v>
      </c>
    </row>
    <row r="7">
      <c r="A7" s="4">
        <v>3.0</v>
      </c>
      <c r="B7" s="6" t="b">
        <v>1</v>
      </c>
      <c r="C7" s="6" t="b">
        <v>1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6" t="b">
        <v>1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1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6" t="b">
        <v>1</v>
      </c>
      <c r="C12" s="14" t="b">
        <v>0</v>
      </c>
      <c r="D12" s="6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6" t="b">
        <v>1</v>
      </c>
      <c r="C13" s="6" t="b">
        <v>1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6" t="b">
        <v>1</v>
      </c>
      <c r="C14" s="6" t="b">
        <v>1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6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6" t="b">
        <v>1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6" t="b">
        <v>1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6" t="b">
        <v>1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6" t="b">
        <v>1</v>
      </c>
      <c r="C23" s="6" t="b">
        <v>1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14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1</v>
      </c>
      <c r="C27" s="6" t="b">
        <v>1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52</v>
      </c>
      <c r="C29" s="14">
        <f>10*COUNTIF(C5:C28, TRUE)</f>
        <v>60</v>
      </c>
      <c r="D29" s="14">
        <f>-4*COUNTIF(D5:D28, TRUE)</f>
        <v>0</v>
      </c>
      <c r="F29" s="14">
        <f>4*COUNTIF(F5:F28, TRUE)</f>
        <v>8</v>
      </c>
      <c r="G29" s="14">
        <f>10*COUNTIF(G5:G28, TRUE)</f>
        <v>0</v>
      </c>
      <c r="H29" s="14">
        <f>-4*COUNTIF(H5:H28, TRUE)</f>
        <v>0</v>
      </c>
    </row>
    <row r="31">
      <c r="B31" s="4" t="s">
        <v>45</v>
      </c>
      <c r="C31" s="14">
        <f>SUM(B29:D29)</f>
        <v>112</v>
      </c>
      <c r="F31" s="4" t="s">
        <v>46</v>
      </c>
      <c r="G31" s="14">
        <f>SUM(F29:H29)</f>
        <v>8</v>
      </c>
    </row>
  </sheetData>
  <mergeCells count="2">
    <mergeCell ref="B3:D3"/>
    <mergeCell ref="F3:H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23.0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36</v>
      </c>
      <c r="E3" s="3"/>
      <c r="F3" s="1" t="s">
        <v>7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1</v>
      </c>
      <c r="C5" s="6" t="b">
        <v>1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6" t="b">
        <v>1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6" t="b">
        <v>1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6" t="b">
        <v>1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6" t="b">
        <v>1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6" t="b">
        <v>1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14" t="b">
        <v>0</v>
      </c>
      <c r="C12" s="14" t="b">
        <v>0</v>
      </c>
      <c r="D12" s="14" t="b">
        <v>0</v>
      </c>
      <c r="F12" s="6" t="b">
        <v>1</v>
      </c>
      <c r="G12" s="14" t="b">
        <v>0</v>
      </c>
      <c r="H12" s="14" t="b">
        <v>0</v>
      </c>
    </row>
    <row r="13">
      <c r="A13" s="4">
        <v>9.0</v>
      </c>
      <c r="B13" s="6" t="b">
        <v>1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6" t="b">
        <v>1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6" t="b">
        <v>1</v>
      </c>
    </row>
    <row r="16">
      <c r="A16" s="4">
        <v>12.0</v>
      </c>
      <c r="B16" s="14" t="b">
        <v>0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14" t="b">
        <v>0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6" t="b">
        <v>1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6" t="b">
        <v>1</v>
      </c>
      <c r="G20" s="14" t="b">
        <v>0</v>
      </c>
      <c r="H20" s="14" t="b">
        <v>0</v>
      </c>
    </row>
    <row r="21">
      <c r="A21" s="4">
        <v>17.0</v>
      </c>
      <c r="B21" s="14" t="b">
        <v>0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14" t="b">
        <v>0</v>
      </c>
      <c r="C24" s="14" t="b">
        <v>0</v>
      </c>
      <c r="D24" s="14" t="b">
        <v>0</v>
      </c>
      <c r="F24" s="14" t="b">
        <v>0</v>
      </c>
      <c r="G24" s="14" t="b">
        <v>0</v>
      </c>
      <c r="H24" s="6" t="b">
        <v>1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14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32</v>
      </c>
      <c r="C29" s="14">
        <f>10*COUNTIF(C5:C28, TRUE)</f>
        <v>20</v>
      </c>
      <c r="D29" s="14">
        <f>-4*COUNTIF(D5:D28, TRUE)</f>
        <v>-4</v>
      </c>
      <c r="F29" s="14">
        <f>4*COUNTIF(F5:F28, TRUE)</f>
        <v>20</v>
      </c>
      <c r="G29" s="14">
        <f>10*COUNTIF(G5:G28, TRUE)</f>
        <v>10</v>
      </c>
      <c r="H29" s="14">
        <f>-4*COUNTIF(H5:H28, TRUE)</f>
        <v>-8</v>
      </c>
    </row>
    <row r="31">
      <c r="B31" s="4" t="s">
        <v>45</v>
      </c>
      <c r="C31" s="14">
        <f>SUM(B29:D29)</f>
        <v>48</v>
      </c>
      <c r="F31" s="4" t="s">
        <v>46</v>
      </c>
      <c r="G31" s="14">
        <f>SUM(F29:H29)</f>
        <v>22</v>
      </c>
    </row>
  </sheetData>
  <mergeCells count="2">
    <mergeCell ref="B3:D3"/>
    <mergeCell ref="F3:H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24.0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6</v>
      </c>
      <c r="E3" s="3"/>
      <c r="F3" s="1" t="s">
        <v>33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6" t="b">
        <v>1</v>
      </c>
      <c r="C6" s="6" t="b">
        <v>1</v>
      </c>
      <c r="D6" s="6" t="b">
        <v>0</v>
      </c>
      <c r="F6" s="14" t="b">
        <v>0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6" t="b">
        <v>1</v>
      </c>
      <c r="G7" s="6" t="b">
        <v>1</v>
      </c>
      <c r="H7" s="14" t="b">
        <v>0</v>
      </c>
    </row>
    <row r="8">
      <c r="A8" s="4">
        <v>4.0</v>
      </c>
      <c r="B8" s="14" t="b">
        <v>0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6" t="b">
        <v>0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6" t="b">
        <v>1</v>
      </c>
      <c r="C10" s="6" t="b">
        <v>1</v>
      </c>
      <c r="D10" s="14" t="b">
        <v>0</v>
      </c>
      <c r="F10" s="14" t="b">
        <v>0</v>
      </c>
      <c r="G10" s="14" t="b">
        <v>0</v>
      </c>
      <c r="H10" s="14" t="b">
        <v>0</v>
      </c>
    </row>
    <row r="11">
      <c r="A11" s="4">
        <v>7.0</v>
      </c>
      <c r="B11" s="6" t="b">
        <v>1</v>
      </c>
      <c r="C11" s="6" t="b">
        <v>0</v>
      </c>
      <c r="D11" s="14" t="b">
        <v>0</v>
      </c>
      <c r="F11" s="14" t="b">
        <v>0</v>
      </c>
      <c r="G11" s="14" t="b">
        <v>0</v>
      </c>
      <c r="H11" s="14" t="b">
        <v>0</v>
      </c>
    </row>
    <row r="12">
      <c r="A12" s="4">
        <v>8.0</v>
      </c>
      <c r="B12" s="6" t="b">
        <v>0</v>
      </c>
      <c r="C12" s="14" t="b">
        <v>0</v>
      </c>
      <c r="D12" s="14" t="b">
        <v>0</v>
      </c>
      <c r="F12" s="6" t="b">
        <v>1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6" t="b">
        <v>1</v>
      </c>
      <c r="G14" s="14" t="b">
        <v>0</v>
      </c>
      <c r="H14" s="14" t="b">
        <v>0</v>
      </c>
    </row>
    <row r="15">
      <c r="A15" s="4">
        <v>11.0</v>
      </c>
      <c r="B15" s="6" t="b">
        <v>1</v>
      </c>
      <c r="C15" s="6" t="b">
        <v>1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6" t="b">
        <v>1</v>
      </c>
      <c r="C16" s="14" t="b">
        <v>0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6" t="b">
        <v>1</v>
      </c>
      <c r="C17" s="6" t="b">
        <v>1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14" t="b">
        <v>0</v>
      </c>
      <c r="C18" s="14" t="b">
        <v>0</v>
      </c>
      <c r="D18" s="14" t="b">
        <v>0</v>
      </c>
      <c r="F18" s="14" t="b">
        <v>0</v>
      </c>
      <c r="G18" s="14" t="b">
        <v>0</v>
      </c>
      <c r="H18" s="6" t="b">
        <v>0</v>
      </c>
    </row>
    <row r="19">
      <c r="A19" s="4">
        <v>15.0</v>
      </c>
      <c r="B19" s="14" t="b">
        <v>0</v>
      </c>
      <c r="C19" s="14" t="b">
        <v>0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14" t="b">
        <v>0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6" t="b">
        <v>1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14" t="b">
        <v>0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14" t="b">
        <v>0</v>
      </c>
      <c r="C23" s="14" t="b">
        <v>0</v>
      </c>
      <c r="D23" s="14" t="b">
        <v>0</v>
      </c>
      <c r="F23" s="6" t="b">
        <v>0</v>
      </c>
      <c r="G23" s="14" t="b">
        <v>0</v>
      </c>
      <c r="H23" s="14" t="b">
        <v>0</v>
      </c>
    </row>
    <row r="24">
      <c r="A24" s="4">
        <v>20.0</v>
      </c>
      <c r="B24" s="6" t="b">
        <v>0</v>
      </c>
      <c r="C24" s="14" t="b">
        <v>0</v>
      </c>
      <c r="D24" s="14" t="b">
        <v>0</v>
      </c>
      <c r="F24" s="6" t="b">
        <v>1</v>
      </c>
      <c r="G24" s="6" t="b">
        <v>1</v>
      </c>
      <c r="H24" s="14" t="b">
        <v>0</v>
      </c>
    </row>
    <row r="25">
      <c r="A25" s="4">
        <v>21.0</v>
      </c>
      <c r="B25" s="6" t="b">
        <v>1</v>
      </c>
      <c r="C25" s="6" t="b">
        <v>1</v>
      </c>
      <c r="D25" s="14" t="b">
        <v>0</v>
      </c>
      <c r="F25" s="6" t="b">
        <v>0</v>
      </c>
      <c r="G25" s="6" t="b">
        <v>0</v>
      </c>
      <c r="H25" s="6" t="b">
        <v>0</v>
      </c>
    </row>
    <row r="26">
      <c r="A26" s="4">
        <v>22.0</v>
      </c>
      <c r="B26" s="6" t="b">
        <v>1</v>
      </c>
      <c r="C26" s="6" t="b">
        <v>0</v>
      </c>
      <c r="D26" s="14" t="b">
        <v>0</v>
      </c>
      <c r="F26" s="14" t="b">
        <v>0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6" t="b">
        <v>1</v>
      </c>
      <c r="G27" s="14" t="b">
        <v>0</v>
      </c>
      <c r="H27" s="14" t="b">
        <v>0</v>
      </c>
    </row>
    <row r="28">
      <c r="A28" s="4">
        <v>24.0</v>
      </c>
      <c r="B28" s="6" t="b">
        <v>1</v>
      </c>
      <c r="C28" s="6" t="b">
        <v>1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40</v>
      </c>
      <c r="C29" s="14">
        <f>10*COUNTIF(C5:C28, TRUE)</f>
        <v>60</v>
      </c>
      <c r="D29" s="14">
        <f>-4*COUNTIF(D5:D28, TRUE)</f>
        <v>0</v>
      </c>
      <c r="F29" s="14">
        <f>4*COUNTIF(F5:F28, TRUE)</f>
        <v>20</v>
      </c>
      <c r="G29" s="14">
        <f>10*COUNTIF(G5:G28, TRUE)</f>
        <v>20</v>
      </c>
      <c r="H29" s="14">
        <f>-4*COUNTIF(H5:H28, TRUE)</f>
        <v>0</v>
      </c>
    </row>
    <row r="31">
      <c r="B31" s="4" t="s">
        <v>45</v>
      </c>
      <c r="C31" s="14">
        <f>SUM(B29:D29)</f>
        <v>100</v>
      </c>
      <c r="F31" s="4" t="s">
        <v>46</v>
      </c>
      <c r="G31" s="14">
        <f>SUM(F29:H29)</f>
        <v>40</v>
      </c>
    </row>
  </sheetData>
  <mergeCells count="2">
    <mergeCell ref="B3:D3"/>
    <mergeCell ref="F3:H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/>
      <c r="B1" s="2" t="s">
        <v>1</v>
      </c>
      <c r="C1" s="1">
        <v>25.0</v>
      </c>
      <c r="D1" s="1"/>
      <c r="E1" s="3"/>
      <c r="F1" s="1"/>
      <c r="G1" s="1"/>
      <c r="H1" s="1"/>
    </row>
    <row r="2">
      <c r="A2" s="1"/>
      <c r="B2" s="1"/>
      <c r="C2" s="1"/>
      <c r="D2" s="1"/>
      <c r="E2" s="3"/>
      <c r="F2" s="1"/>
      <c r="G2" s="1"/>
      <c r="H2" s="1"/>
    </row>
    <row r="3">
      <c r="A3" s="1"/>
      <c r="B3" s="1" t="s">
        <v>6</v>
      </c>
      <c r="E3" s="3"/>
      <c r="F3" s="1" t="s">
        <v>36</v>
      </c>
    </row>
    <row r="4">
      <c r="A4" s="4"/>
      <c r="B4" s="1" t="s">
        <v>8</v>
      </c>
      <c r="C4" s="1" t="s">
        <v>9</v>
      </c>
      <c r="D4" s="1" t="s">
        <v>11</v>
      </c>
      <c r="E4" s="1"/>
      <c r="F4" s="1" t="s">
        <v>8</v>
      </c>
      <c r="G4" s="1" t="s">
        <v>9</v>
      </c>
      <c r="H4" s="1" t="s">
        <v>11</v>
      </c>
    </row>
    <row r="5">
      <c r="A5" s="4">
        <v>1.0</v>
      </c>
      <c r="B5" s="6" t="b">
        <v>0</v>
      </c>
      <c r="C5" s="6" t="b">
        <v>0</v>
      </c>
      <c r="D5" s="6" t="b">
        <v>0</v>
      </c>
      <c r="F5" s="14" t="b">
        <v>0</v>
      </c>
      <c r="G5" s="14" t="b">
        <v>0</v>
      </c>
      <c r="H5" s="14" t="b">
        <v>0</v>
      </c>
    </row>
    <row r="6">
      <c r="A6" s="4">
        <v>2.0</v>
      </c>
      <c r="B6" s="14" t="b">
        <v>0</v>
      </c>
      <c r="C6" s="14" t="b">
        <v>0</v>
      </c>
      <c r="D6" s="6" t="b">
        <v>0</v>
      </c>
      <c r="F6" s="6" t="b">
        <v>1</v>
      </c>
      <c r="G6" s="14" t="b">
        <v>0</v>
      </c>
      <c r="H6" s="14" t="b">
        <v>0</v>
      </c>
    </row>
    <row r="7">
      <c r="A7" s="4">
        <v>3.0</v>
      </c>
      <c r="B7" s="14" t="b">
        <v>0</v>
      </c>
      <c r="C7" s="6" t="b">
        <v>0</v>
      </c>
      <c r="D7" s="6" t="b">
        <v>0</v>
      </c>
      <c r="F7" s="14" t="b">
        <v>0</v>
      </c>
      <c r="G7" s="14" t="b">
        <v>0</v>
      </c>
      <c r="H7" s="14" t="b">
        <v>0</v>
      </c>
    </row>
    <row r="8">
      <c r="A8" s="4">
        <v>4.0</v>
      </c>
      <c r="B8" s="6" t="b">
        <v>1</v>
      </c>
      <c r="C8" s="6" t="b">
        <v>0</v>
      </c>
      <c r="D8" s="14" t="b">
        <v>0</v>
      </c>
      <c r="F8" s="14" t="b">
        <v>0</v>
      </c>
      <c r="G8" s="14" t="b">
        <v>0</v>
      </c>
      <c r="H8" s="14" t="b">
        <v>0</v>
      </c>
    </row>
    <row r="9">
      <c r="A9" s="4">
        <v>5.0</v>
      </c>
      <c r="B9" s="14" t="b">
        <v>0</v>
      </c>
      <c r="C9" s="6" t="b">
        <v>0</v>
      </c>
      <c r="D9" s="14" t="b">
        <v>0</v>
      </c>
      <c r="F9" s="14" t="b">
        <v>0</v>
      </c>
      <c r="G9" s="14" t="b">
        <v>0</v>
      </c>
      <c r="H9" s="14" t="b">
        <v>0</v>
      </c>
    </row>
    <row r="10">
      <c r="A10" s="4">
        <v>6.0</v>
      </c>
      <c r="B10" s="14" t="b">
        <v>0</v>
      </c>
      <c r="C10" s="6" t="b">
        <v>0</v>
      </c>
      <c r="D10" s="14" t="b">
        <v>0</v>
      </c>
      <c r="F10" s="14" t="b">
        <v>0</v>
      </c>
      <c r="G10" s="14" t="b">
        <v>0</v>
      </c>
      <c r="H10" s="6" t="b">
        <v>0</v>
      </c>
    </row>
    <row r="11">
      <c r="A11" s="4">
        <v>7.0</v>
      </c>
      <c r="B11" s="14" t="b">
        <v>0</v>
      </c>
      <c r="C11" s="6" t="b">
        <v>0</v>
      </c>
      <c r="D11" s="14" t="b">
        <v>0</v>
      </c>
      <c r="F11" s="14" t="b">
        <v>0</v>
      </c>
      <c r="G11" s="14" t="b">
        <v>0</v>
      </c>
      <c r="H11" s="6" t="b">
        <v>1</v>
      </c>
    </row>
    <row r="12">
      <c r="A12" s="4">
        <v>8.0</v>
      </c>
      <c r="B12" s="6" t="b">
        <v>1</v>
      </c>
      <c r="C12" s="6" t="b">
        <v>1</v>
      </c>
      <c r="D12" s="14" t="b">
        <v>0</v>
      </c>
      <c r="F12" s="14" t="b">
        <v>0</v>
      </c>
      <c r="G12" s="14" t="b">
        <v>0</v>
      </c>
      <c r="H12" s="14" t="b">
        <v>0</v>
      </c>
    </row>
    <row r="13">
      <c r="A13" s="4">
        <v>9.0</v>
      </c>
      <c r="B13" s="14" t="b">
        <v>0</v>
      </c>
      <c r="C13" s="14" t="b">
        <v>0</v>
      </c>
      <c r="D13" s="14" t="b">
        <v>0</v>
      </c>
      <c r="F13" s="14" t="b">
        <v>0</v>
      </c>
      <c r="G13" s="14" t="b">
        <v>0</v>
      </c>
      <c r="H13" s="14" t="b">
        <v>0</v>
      </c>
    </row>
    <row r="14">
      <c r="A14" s="4">
        <v>10.0</v>
      </c>
      <c r="B14" s="14" t="b">
        <v>0</v>
      </c>
      <c r="C14" s="14" t="b">
        <v>0</v>
      </c>
      <c r="D14" s="14" t="b">
        <v>0</v>
      </c>
      <c r="F14" s="14" t="b">
        <v>0</v>
      </c>
      <c r="G14" s="14" t="b">
        <v>0</v>
      </c>
      <c r="H14" s="14" t="b">
        <v>0</v>
      </c>
    </row>
    <row r="15">
      <c r="A15" s="4">
        <v>11.0</v>
      </c>
      <c r="B15" s="14" t="b">
        <v>0</v>
      </c>
      <c r="C15" s="14" t="b">
        <v>0</v>
      </c>
      <c r="D15" s="14" t="b">
        <v>0</v>
      </c>
      <c r="F15" s="14" t="b">
        <v>0</v>
      </c>
      <c r="G15" s="14" t="b">
        <v>0</v>
      </c>
      <c r="H15" s="14" t="b">
        <v>0</v>
      </c>
    </row>
    <row r="16">
      <c r="A16" s="4">
        <v>12.0</v>
      </c>
      <c r="B16" s="6" t="b">
        <v>1</v>
      </c>
      <c r="C16" s="6" t="b">
        <v>1</v>
      </c>
      <c r="D16" s="14" t="b">
        <v>0</v>
      </c>
      <c r="F16" s="14" t="b">
        <v>0</v>
      </c>
      <c r="G16" s="14" t="b">
        <v>0</v>
      </c>
      <c r="H16" s="14" t="b">
        <v>0</v>
      </c>
    </row>
    <row r="17">
      <c r="A17" s="4">
        <v>13.0</v>
      </c>
      <c r="B17" s="14" t="b">
        <v>0</v>
      </c>
      <c r="C17" s="14" t="b">
        <v>0</v>
      </c>
      <c r="D17" s="14" t="b">
        <v>0</v>
      </c>
      <c r="F17" s="14" t="b">
        <v>0</v>
      </c>
      <c r="G17" s="14" t="b">
        <v>0</v>
      </c>
      <c r="H17" s="14" t="b">
        <v>0</v>
      </c>
    </row>
    <row r="18">
      <c r="A18" s="4">
        <v>14.0</v>
      </c>
      <c r="B18" s="6" t="b">
        <v>1</v>
      </c>
      <c r="C18" s="14" t="b">
        <v>0</v>
      </c>
      <c r="D18" s="14" t="b">
        <v>0</v>
      </c>
      <c r="F18" s="14" t="b">
        <v>0</v>
      </c>
      <c r="G18" s="14" t="b">
        <v>0</v>
      </c>
      <c r="H18" s="14" t="b">
        <v>0</v>
      </c>
    </row>
    <row r="19">
      <c r="A19" s="4">
        <v>15.0</v>
      </c>
      <c r="B19" s="6" t="b">
        <v>1</v>
      </c>
      <c r="C19" s="14" t="b">
        <v>0</v>
      </c>
      <c r="D19" s="14" t="b">
        <v>0</v>
      </c>
      <c r="F19" s="14" t="b">
        <v>0</v>
      </c>
      <c r="G19" s="14" t="b">
        <v>0</v>
      </c>
      <c r="H19" s="14" t="b">
        <v>0</v>
      </c>
    </row>
    <row r="20">
      <c r="A20" s="4">
        <v>16.0</v>
      </c>
      <c r="B20" s="6" t="b">
        <v>1</v>
      </c>
      <c r="C20" s="14" t="b">
        <v>0</v>
      </c>
      <c r="D20" s="14" t="b">
        <v>0</v>
      </c>
      <c r="F20" s="14" t="b">
        <v>0</v>
      </c>
      <c r="G20" s="14" t="b">
        <v>0</v>
      </c>
      <c r="H20" s="14" t="b">
        <v>0</v>
      </c>
    </row>
    <row r="21">
      <c r="A21" s="4">
        <v>17.0</v>
      </c>
      <c r="B21" s="6" t="b">
        <v>1</v>
      </c>
      <c r="C21" s="14" t="b">
        <v>0</v>
      </c>
      <c r="D21" s="14" t="b">
        <v>0</v>
      </c>
      <c r="F21" s="14" t="b">
        <v>0</v>
      </c>
      <c r="G21" s="14" t="b">
        <v>0</v>
      </c>
      <c r="H21" s="14" t="b">
        <v>0</v>
      </c>
    </row>
    <row r="22">
      <c r="A22" s="4">
        <v>18.0</v>
      </c>
      <c r="B22" s="14" t="b">
        <v>0</v>
      </c>
      <c r="C22" s="14" t="b">
        <v>0</v>
      </c>
      <c r="D22" s="6" t="b">
        <v>1</v>
      </c>
      <c r="F22" s="14" t="b">
        <v>0</v>
      </c>
      <c r="G22" s="14" t="b">
        <v>0</v>
      </c>
      <c r="H22" s="14" t="b">
        <v>0</v>
      </c>
    </row>
    <row r="23">
      <c r="A23" s="4">
        <v>19.0</v>
      </c>
      <c r="B23" s="6" t="b">
        <v>1</v>
      </c>
      <c r="C23" s="14" t="b">
        <v>0</v>
      </c>
      <c r="D23" s="14" t="b">
        <v>0</v>
      </c>
      <c r="F23" s="14" t="b">
        <v>0</v>
      </c>
      <c r="G23" s="14" t="b">
        <v>0</v>
      </c>
      <c r="H23" s="14" t="b">
        <v>0</v>
      </c>
    </row>
    <row r="24">
      <c r="A24" s="4">
        <v>20.0</v>
      </c>
      <c r="B24" s="6" t="b">
        <v>1</v>
      </c>
      <c r="C24" s="6" t="b">
        <v>1</v>
      </c>
      <c r="D24" s="14" t="b">
        <v>0</v>
      </c>
      <c r="F24" s="6" t="b">
        <v>0</v>
      </c>
      <c r="G24" s="14" t="b">
        <v>0</v>
      </c>
      <c r="H24" s="14" t="b">
        <v>0</v>
      </c>
    </row>
    <row r="25">
      <c r="A25" s="4">
        <v>21.0</v>
      </c>
      <c r="B25" s="14" t="b">
        <v>0</v>
      </c>
      <c r="C25" s="14" t="b">
        <v>0</v>
      </c>
      <c r="D25" s="14" t="b">
        <v>0</v>
      </c>
      <c r="F25" s="6" t="b">
        <v>1</v>
      </c>
      <c r="G25" s="6" t="b">
        <v>0</v>
      </c>
      <c r="H25" s="6" t="b">
        <v>0</v>
      </c>
    </row>
    <row r="26">
      <c r="A26" s="4">
        <v>22.0</v>
      </c>
      <c r="B26" s="6" t="b">
        <v>0</v>
      </c>
      <c r="C26" s="14" t="b">
        <v>0</v>
      </c>
      <c r="D26" s="14" t="b">
        <v>0</v>
      </c>
      <c r="F26" s="6" t="b">
        <v>1</v>
      </c>
      <c r="G26" s="6" t="b">
        <v>0</v>
      </c>
      <c r="H26" s="14" t="b">
        <v>0</v>
      </c>
    </row>
    <row r="27">
      <c r="A27" s="4">
        <v>23.0</v>
      </c>
      <c r="B27" s="6" t="b">
        <v>0</v>
      </c>
      <c r="C27" s="14" t="b">
        <v>0</v>
      </c>
      <c r="D27" s="14" t="b">
        <v>0</v>
      </c>
      <c r="F27" s="14" t="b">
        <v>0</v>
      </c>
      <c r="G27" s="14" t="b">
        <v>0</v>
      </c>
      <c r="H27" s="14" t="b">
        <v>0</v>
      </c>
    </row>
    <row r="28">
      <c r="A28" s="4">
        <v>24.0</v>
      </c>
      <c r="B28" s="6" t="b">
        <v>0</v>
      </c>
      <c r="C28" s="14" t="b">
        <v>0</v>
      </c>
      <c r="D28" s="14" t="b">
        <v>0</v>
      </c>
      <c r="F28" s="14" t="b">
        <v>0</v>
      </c>
      <c r="G28" s="14" t="b">
        <v>0</v>
      </c>
      <c r="H28" s="14" t="b">
        <v>0</v>
      </c>
    </row>
    <row r="29">
      <c r="A29" s="4" t="s">
        <v>44</v>
      </c>
      <c r="B29" s="14">
        <f>4*COUNTIF(B5:B28, TRUE)</f>
        <v>36</v>
      </c>
      <c r="C29" s="14">
        <f>10*COUNTIF(C5:C28, TRUE)</f>
        <v>30</v>
      </c>
      <c r="D29" s="14">
        <f>-4*COUNTIF(D5:D28, TRUE)</f>
        <v>-4</v>
      </c>
      <c r="F29" s="14">
        <f>4*COUNTIF(F5:F28, TRUE)</f>
        <v>12</v>
      </c>
      <c r="G29" s="14">
        <f>10*COUNTIF(G5:G28, TRUE)</f>
        <v>0</v>
      </c>
      <c r="H29" s="14">
        <f>-4*COUNTIF(H5:H28, TRUE)</f>
        <v>-4</v>
      </c>
    </row>
    <row r="31">
      <c r="B31" s="4" t="s">
        <v>45</v>
      </c>
      <c r="C31" s="14">
        <f>SUM(B29:D29)</f>
        <v>62</v>
      </c>
      <c r="F31" s="4" t="s">
        <v>46</v>
      </c>
      <c r="G31" s="14">
        <f>SUM(F29:H29)</f>
        <v>8</v>
      </c>
    </row>
  </sheetData>
  <mergeCells count="2">
    <mergeCell ref="B3:D3"/>
    <mergeCell ref="F3:H3"/>
  </mergeCells>
  <drawing r:id="rId1"/>
</worksheet>
</file>