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Results" sheetId="1" r:id="rId5"/>
    <sheet state="visible" name="ELIM brackets" sheetId="2" r:id="rId6"/>
    <sheet state="visible" name="Room Assignments" sheetId="3" r:id="rId7"/>
    <sheet state="visible" name="Payment" sheetId="4" r:id="rId8"/>
  </sheets>
  <definedNames/>
  <calcPr/>
</workbook>
</file>

<file path=xl/sharedStrings.xml><?xml version="1.0" encoding="utf-8"?>
<sst xmlns="http://schemas.openxmlformats.org/spreadsheetml/2006/main" count="376" uniqueCount="158">
  <si>
    <t>Van Nuys HS A</t>
  </si>
  <si>
    <t>W = 100+ pts; T = 50+ pts; L = 0+ pts</t>
  </si>
  <si>
    <t>Room</t>
  </si>
  <si>
    <t>Centennial HS</t>
  </si>
  <si>
    <t>Churchill MS</t>
  </si>
  <si>
    <t>Pleasanton MS</t>
  </si>
  <si>
    <t>x</t>
  </si>
  <si>
    <t>Stuy HS</t>
  </si>
  <si>
    <t>Van Nuys HS B</t>
  </si>
  <si>
    <t>KJ Academy</t>
  </si>
  <si>
    <t>MLK HS</t>
  </si>
  <si>
    <t>Acadia MS A</t>
  </si>
  <si>
    <t>Match 1</t>
  </si>
  <si>
    <t>KJ Henry A</t>
  </si>
  <si>
    <t>Match result</t>
  </si>
  <si>
    <t>Timberline HS</t>
  </si>
  <si>
    <t>Whitney HS</t>
  </si>
  <si>
    <t>Community MS</t>
  </si>
  <si>
    <t>Van Nuys A</t>
  </si>
  <si>
    <t>Winston Churchil MS A</t>
  </si>
  <si>
    <t>Match score</t>
  </si>
  <si>
    <t>Van Nuys has dipped so the next school will be</t>
  </si>
  <si>
    <t>Tournament pts</t>
  </si>
  <si>
    <t>Winston Churchil MS B</t>
  </si>
  <si>
    <t>Quail Valley MS</t>
  </si>
  <si>
    <t>Match 2</t>
  </si>
  <si>
    <t>Pleasanton MS B</t>
  </si>
  <si>
    <t>Match 3</t>
  </si>
  <si>
    <t>Stuyvesant HS</t>
  </si>
  <si>
    <t>South County MS</t>
  </si>
  <si>
    <t>Match 4</t>
  </si>
  <si>
    <t>Match 5</t>
  </si>
  <si>
    <t>Bottimus Elementary</t>
  </si>
  <si>
    <t>Ladue MS</t>
  </si>
  <si>
    <t>Record</t>
  </si>
  <si>
    <t>Total tournament pts</t>
  </si>
  <si>
    <t>Division places</t>
  </si>
  <si>
    <t>Modified Score</t>
  </si>
  <si>
    <t>Tarbucks</t>
  </si>
  <si>
    <t>Churchill MS B</t>
  </si>
  <si>
    <t>CARDINAL DIVISION</t>
  </si>
  <si>
    <t>Van Nuys B</t>
  </si>
  <si>
    <t>Acadia MS</t>
  </si>
  <si>
    <t>Campbells</t>
  </si>
  <si>
    <t>Claydens</t>
  </si>
  <si>
    <t>Klein</t>
  </si>
  <si>
    <t>CMS</t>
  </si>
  <si>
    <t>Pleasanton B</t>
  </si>
  <si>
    <t>Winston Churchill Middle School B</t>
  </si>
  <si>
    <t>Marshaks</t>
  </si>
  <si>
    <t>L</t>
  </si>
  <si>
    <t>60-118</t>
  </si>
  <si>
    <t>52-108</t>
  </si>
  <si>
    <t>W</t>
  </si>
  <si>
    <t>88-86</t>
  </si>
  <si>
    <t>HRK</t>
  </si>
  <si>
    <t>60-58</t>
  </si>
  <si>
    <t>74-58</t>
  </si>
  <si>
    <t>Seeds</t>
  </si>
  <si>
    <t>Van Nuys HS</t>
  </si>
  <si>
    <t xml:space="preserve">South County </t>
  </si>
  <si>
    <t>Timberline</t>
  </si>
  <si>
    <t>Bottimus</t>
  </si>
  <si>
    <t>Zumdahls</t>
  </si>
  <si>
    <t>Lehningers</t>
  </si>
  <si>
    <t>South County</t>
  </si>
  <si>
    <t>Tiimberline</t>
  </si>
  <si>
    <t>DE rooms are permed</t>
  </si>
  <si>
    <t>Van Nuys High School B</t>
  </si>
  <si>
    <t>118-60</t>
  </si>
  <si>
    <t>12-188</t>
  </si>
  <si>
    <t>58-200</t>
  </si>
  <si>
    <t>104-30</t>
  </si>
  <si>
    <t>76-62</t>
  </si>
  <si>
    <t>Stuyvesant High School</t>
  </si>
  <si>
    <t>94-118</t>
  </si>
  <si>
    <t>56-56</t>
  </si>
  <si>
    <t>200-58</t>
  </si>
  <si>
    <t>164-80</t>
  </si>
  <si>
    <t>58-74</t>
  </si>
  <si>
    <t>70-192</t>
  </si>
  <si>
    <t>102-56</t>
  </si>
  <si>
    <t>58-60</t>
  </si>
  <si>
    <t>62-76</t>
  </si>
  <si>
    <t xml:space="preserve">Pleasanton Middle School </t>
  </si>
  <si>
    <t>192-70</t>
  </si>
  <si>
    <t>188-12</t>
  </si>
  <si>
    <t>86-88</t>
  </si>
  <si>
    <t>80-164</t>
  </si>
  <si>
    <t>120-34</t>
  </si>
  <si>
    <t>118-94</t>
  </si>
  <si>
    <t>108-52</t>
  </si>
  <si>
    <t>56-102</t>
  </si>
  <si>
    <t>30-104</t>
  </si>
  <si>
    <t>34-120</t>
  </si>
  <si>
    <t>BLUE JAY DIVISION</t>
  </si>
  <si>
    <t>218-64</t>
  </si>
  <si>
    <t>194-96</t>
  </si>
  <si>
    <t>120-76</t>
  </si>
  <si>
    <t>142-52</t>
  </si>
  <si>
    <t>130-70</t>
  </si>
  <si>
    <t>5-0</t>
  </si>
  <si>
    <t>KJ Henry Math and Science Academy</t>
  </si>
  <si>
    <t>64-218</t>
  </si>
  <si>
    <t>140-56</t>
  </si>
  <si>
    <t>148-130</t>
  </si>
  <si>
    <t>130-84</t>
  </si>
  <si>
    <t>82-90</t>
  </si>
  <si>
    <t>Martin Luther King High School</t>
  </si>
  <si>
    <t>92-72</t>
  </si>
  <si>
    <t>108-152</t>
  </si>
  <si>
    <t>130-148</t>
  </si>
  <si>
    <t>104-42</t>
  </si>
  <si>
    <t>70-130</t>
  </si>
  <si>
    <t>Community Middle School</t>
  </si>
  <si>
    <t>140-126</t>
  </si>
  <si>
    <t>152-108</t>
  </si>
  <si>
    <t>62-172</t>
  </si>
  <si>
    <t>52-142</t>
  </si>
  <si>
    <t>90-82</t>
  </si>
  <si>
    <t>Pleasanton Middle School B</t>
  </si>
  <si>
    <t>126-140</t>
  </si>
  <si>
    <t>56-140</t>
  </si>
  <si>
    <t>76-120</t>
  </si>
  <si>
    <t>42-104</t>
  </si>
  <si>
    <t>34-108</t>
  </si>
  <si>
    <t>0-5</t>
  </si>
  <si>
    <t>72-92</t>
  </si>
  <si>
    <t>96-194</t>
  </si>
  <si>
    <t>172-62</t>
  </si>
  <si>
    <t>108-34</t>
  </si>
  <si>
    <t>GOLDFINCH DIVISION</t>
  </si>
  <si>
    <t>Van Nuys High School A (we're not trying, unless you're a high school)</t>
  </si>
  <si>
    <t>54-100</t>
  </si>
  <si>
    <t>40-170</t>
  </si>
  <si>
    <t>202-32</t>
  </si>
  <si>
    <t>98-82</t>
  </si>
  <si>
    <t>0-0</t>
  </si>
  <si>
    <t>100-54</t>
  </si>
  <si>
    <t>50-76</t>
  </si>
  <si>
    <t>8-106</t>
  </si>
  <si>
    <t>20-130</t>
  </si>
  <si>
    <t>Ladue MS (didn't show up)</t>
  </si>
  <si>
    <t>Winston Churchill Middle School</t>
  </si>
  <si>
    <t>182-72</t>
  </si>
  <si>
    <t>124-18</t>
  </si>
  <si>
    <t>82-98</t>
  </si>
  <si>
    <t>130-20</t>
  </si>
  <si>
    <t>Timberline High School</t>
  </si>
  <si>
    <t>72-182</t>
  </si>
  <si>
    <t>76-50</t>
  </si>
  <si>
    <t>32-202</t>
  </si>
  <si>
    <t>64-46</t>
  </si>
  <si>
    <t xml:space="preserve">Bottimus Elementary </t>
  </si>
  <si>
    <t>170-40</t>
  </si>
  <si>
    <t>18-124</t>
  </si>
  <si>
    <t>106-8</t>
  </si>
  <si>
    <t>46-64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</si>
</sst>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b/>
      <sz val="14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4" fontId="2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1" fillId="3" fontId="1" numFmtId="0" xfId="0" applyBorder="1" applyFill="1" applyFont="1"/>
    <xf borderId="0" fillId="4" fontId="4" numFmtId="0" xfId="0" applyAlignment="1" applyFill="1" applyFont="1">
      <alignment horizontal="left" readingOrder="0"/>
    </xf>
    <xf borderId="0" fillId="4" fontId="5" numFmtId="0" xfId="0" applyAlignment="1" applyFill="1" applyFont="1">
      <alignment horizontal="left" readingOrder="0"/>
    </xf>
    <xf borderId="1" fillId="5" fontId="1" numFmtId="0" xfId="0" applyBorder="1" applyFill="1" applyFont="1"/>
    <xf borderId="1" fillId="6" fontId="1" numFmtId="0" xfId="0" applyBorder="1" applyFill="1" applyFont="1"/>
    <xf borderId="0" fillId="4" fontId="3" numFmtId="0" xfId="0" applyAlignment="1" applyFill="1" applyFont="1">
      <alignment readingOrder="0"/>
    </xf>
    <xf borderId="1" fillId="7" fontId="1" numFmtId="0" xfId="0" applyBorder="1" applyFill="1" applyFont="1"/>
    <xf borderId="0" fillId="4" fontId="1" numFmtId="0" xfId="0" applyAlignment="1" applyFill="1" applyFont="1">
      <alignment readingOrder="0"/>
    </xf>
    <xf borderId="1" fillId="5" fontId="1" numFmtId="0" xfId="0" applyAlignment="1" applyBorder="1" applyFill="1" applyFont="1">
      <alignment readingOrder="0"/>
    </xf>
    <xf borderId="0" fillId="4" fontId="1" numFmtId="0" xfId="0" applyFill="1" applyFont="1"/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8" fontId="1" numFmtId="0" xfId="0" applyFill="1" applyFont="1"/>
    <xf borderId="0" fillId="4" fontId="2" numFmtId="0" xfId="0" applyFill="1" applyFont="1"/>
    <xf borderId="1" fillId="6" fontId="4" numFmtId="0" xfId="0" applyAlignment="1" applyBorder="1" applyFill="1" applyFont="1">
      <alignment horizontal="right" readingOrder="0"/>
    </xf>
    <xf borderId="0" fillId="9" fontId="1" numFmtId="0" xfId="0" applyAlignment="1" applyFill="1" applyFont="1">
      <alignment readingOrder="0"/>
    </xf>
    <xf borderId="1" fillId="7" fontId="1" numFmtId="0" xfId="0" applyAlignment="1" applyBorder="1" applyFill="1" applyFont="1">
      <alignment readingOrder="0"/>
    </xf>
    <xf borderId="0" fillId="4" fontId="1" numFmtId="164" xfId="0" applyAlignment="1" applyFill="1" applyFont="1" applyNumberFormat="1">
      <alignment readingOrder="0"/>
    </xf>
    <xf borderId="0" fillId="6" fontId="4" numFmtId="0" xfId="0" applyAlignment="1" applyFill="1" applyFont="1">
      <alignment horizontal="left" readingOrder="0"/>
    </xf>
    <xf borderId="0" fillId="4" fontId="0" numFmtId="0" xfId="0" applyFill="1" applyFont="1"/>
    <xf borderId="0" fillId="10" fontId="6" numFmtId="0" xfId="0" applyAlignment="1" applyFill="1" applyFont="1">
      <alignment horizontal="center" readingOrder="0"/>
    </xf>
    <xf borderId="0" fillId="10" fontId="1" numFmtId="0" xfId="0" applyFill="1" applyFont="1"/>
    <xf borderId="0" fillId="5" fontId="1" numFmtId="0" xfId="0" applyAlignment="1" applyFill="1" applyFont="1">
      <alignment readingOrder="0"/>
    </xf>
    <xf borderId="0" fillId="4" fontId="1" numFmtId="0" xfId="0" applyAlignment="1" applyFill="1" applyFont="1">
      <alignment horizontal="right" readingOrder="0"/>
    </xf>
    <xf borderId="0" fillId="11" fontId="6" numFmtId="0" xfId="0" applyAlignment="1" applyFill="1" applyFont="1">
      <alignment horizontal="center" readingOrder="0"/>
    </xf>
    <xf borderId="0" fillId="11" fontId="1" numFmtId="0" xfId="0" applyFill="1" applyFont="1"/>
    <xf borderId="0" fillId="1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5.25"/>
  </cols>
  <sheetData>
    <row r="1">
      <c r="A1" s="1" t="s">
        <v>1</v>
      </c>
    </row>
    <row r="2">
      <c r="A2" s="4"/>
      <c r="B2" s="6" t="s">
        <v>14</v>
      </c>
      <c r="C2" s="1" t="s">
        <v>20</v>
      </c>
      <c r="D2" s="1" t="s">
        <v>22</v>
      </c>
      <c r="E2" s="9" t="s">
        <v>14</v>
      </c>
      <c r="F2" s="1" t="s">
        <v>20</v>
      </c>
      <c r="G2" s="1" t="s">
        <v>22</v>
      </c>
      <c r="H2" s="6" t="s">
        <v>14</v>
      </c>
      <c r="I2" s="1" t="s">
        <v>20</v>
      </c>
      <c r="J2" s="1" t="s">
        <v>22</v>
      </c>
      <c r="K2" s="6" t="s">
        <v>14</v>
      </c>
      <c r="L2" s="1" t="s">
        <v>20</v>
      </c>
      <c r="M2" s="1" t="s">
        <v>22</v>
      </c>
      <c r="N2" s="6" t="s">
        <v>14</v>
      </c>
      <c r="O2" s="1" t="s">
        <v>20</v>
      </c>
      <c r="P2" s="1" t="s">
        <v>22</v>
      </c>
      <c r="Q2" s="12" t="s">
        <v>34</v>
      </c>
      <c r="R2" s="14" t="s">
        <v>35</v>
      </c>
      <c r="S2" s="14" t="s">
        <v>36</v>
      </c>
      <c r="T2" s="14" t="s">
        <v>37</v>
      </c>
      <c r="U2" s="16"/>
      <c r="V2" s="16"/>
      <c r="W2" s="16"/>
      <c r="X2" s="16"/>
      <c r="Y2" s="16"/>
      <c r="Z2" s="16"/>
    </row>
    <row r="3">
      <c r="A3" s="19" t="s">
        <v>40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6"/>
      <c r="R3" s="21"/>
      <c r="S3" s="16"/>
      <c r="T3" s="16"/>
      <c r="U3" s="16"/>
      <c r="V3" s="16"/>
      <c r="W3" s="16"/>
      <c r="X3" s="16"/>
      <c r="Y3" s="16"/>
      <c r="Z3" s="16"/>
    </row>
    <row r="4">
      <c r="A4" s="23" t="s">
        <v>48</v>
      </c>
      <c r="B4" s="1" t="s">
        <v>50</v>
      </c>
      <c r="C4" s="1" t="s">
        <v>51</v>
      </c>
      <c r="D4" s="1">
        <v>60.0</v>
      </c>
      <c r="E4" s="1" t="s">
        <v>50</v>
      </c>
      <c r="F4" s="1" t="s">
        <v>52</v>
      </c>
      <c r="G4" s="1">
        <v>52.0</v>
      </c>
      <c r="H4" s="1" t="s">
        <v>53</v>
      </c>
      <c r="I4" s="1" t="s">
        <v>54</v>
      </c>
      <c r="J4" s="1">
        <v>188.0</v>
      </c>
      <c r="K4" s="1" t="s">
        <v>53</v>
      </c>
      <c r="L4" s="1" t="s">
        <v>56</v>
      </c>
      <c r="M4" s="1">
        <v>160.0</v>
      </c>
      <c r="N4" s="1" t="s">
        <v>53</v>
      </c>
      <c r="O4" s="1" t="s">
        <v>57</v>
      </c>
      <c r="P4" s="14">
        <v>174.0</v>
      </c>
      <c r="Q4" s="25">
        <v>44257.0</v>
      </c>
      <c r="R4" s="27">
        <f t="shared" ref="R4:R9" si="1">D4+G4+J4+M4+P4</f>
        <v>634</v>
      </c>
      <c r="S4" s="14">
        <v>4.0</v>
      </c>
      <c r="T4" s="16"/>
      <c r="U4" s="16"/>
      <c r="V4" s="16"/>
      <c r="W4" s="16"/>
      <c r="X4" s="16"/>
      <c r="Y4" s="16"/>
      <c r="Z4" s="16"/>
    </row>
    <row r="5">
      <c r="A5" s="23" t="s">
        <v>68</v>
      </c>
      <c r="B5" s="1" t="s">
        <v>53</v>
      </c>
      <c r="C5" s="1" t="s">
        <v>69</v>
      </c>
      <c r="D5" s="1">
        <v>218.0</v>
      </c>
      <c r="E5" s="1" t="s">
        <v>50</v>
      </c>
      <c r="F5" s="1" t="s">
        <v>70</v>
      </c>
      <c r="G5" s="1">
        <v>12.0</v>
      </c>
      <c r="H5" s="1" t="s">
        <v>50</v>
      </c>
      <c r="I5" s="1" t="s">
        <v>71</v>
      </c>
      <c r="J5" s="1">
        <v>58.0</v>
      </c>
      <c r="K5" s="1" t="s">
        <v>53</v>
      </c>
      <c r="L5" s="1" t="s">
        <v>72</v>
      </c>
      <c r="M5" s="1">
        <v>204.0</v>
      </c>
      <c r="N5" s="1" t="s">
        <v>53</v>
      </c>
      <c r="O5" s="1" t="s">
        <v>73</v>
      </c>
      <c r="P5" s="14">
        <v>176.0</v>
      </c>
      <c r="Q5" s="25">
        <v>44257.0</v>
      </c>
      <c r="R5" s="27">
        <f t="shared" si="1"/>
        <v>668</v>
      </c>
      <c r="S5" s="14">
        <v>3.0</v>
      </c>
      <c r="T5" s="16"/>
      <c r="U5" s="16"/>
      <c r="V5" s="16"/>
      <c r="W5" s="16"/>
      <c r="X5" s="16"/>
      <c r="Y5" s="16"/>
      <c r="Z5" s="16"/>
    </row>
    <row r="6">
      <c r="A6" s="23" t="s">
        <v>74</v>
      </c>
      <c r="B6" s="1" t="s">
        <v>50</v>
      </c>
      <c r="C6" s="1" t="s">
        <v>75</v>
      </c>
      <c r="D6" s="1">
        <v>94.0</v>
      </c>
      <c r="E6" s="1" t="s">
        <v>53</v>
      </c>
      <c r="F6" s="1" t="s">
        <v>76</v>
      </c>
      <c r="G6" s="1">
        <v>156.0</v>
      </c>
      <c r="H6" s="1" t="s">
        <v>53</v>
      </c>
      <c r="I6" s="1" t="s">
        <v>77</v>
      </c>
      <c r="J6" s="1">
        <v>300.0</v>
      </c>
      <c r="K6" s="1" t="s">
        <v>53</v>
      </c>
      <c r="L6" s="1" t="s">
        <v>78</v>
      </c>
      <c r="M6" s="1">
        <v>264.0</v>
      </c>
      <c r="N6" s="1" t="s">
        <v>50</v>
      </c>
      <c r="O6" s="1" t="s">
        <v>79</v>
      </c>
      <c r="P6" s="14">
        <v>58.0</v>
      </c>
      <c r="Q6" s="25">
        <v>44257.0</v>
      </c>
      <c r="R6" s="27">
        <f t="shared" si="1"/>
        <v>872</v>
      </c>
      <c r="S6" s="14">
        <v>2.0</v>
      </c>
      <c r="T6" s="16"/>
      <c r="U6" s="16"/>
      <c r="V6" s="16"/>
      <c r="W6" s="16"/>
      <c r="X6" s="16"/>
      <c r="Y6" s="16"/>
      <c r="Z6" s="16"/>
    </row>
    <row r="7">
      <c r="A7" s="23" t="s">
        <v>16</v>
      </c>
      <c r="B7" s="1" t="s">
        <v>50</v>
      </c>
      <c r="C7" s="1" t="s">
        <v>80</v>
      </c>
      <c r="D7" s="1">
        <v>70.0</v>
      </c>
      <c r="E7" s="1" t="s">
        <v>50</v>
      </c>
      <c r="F7" s="1" t="s">
        <v>76</v>
      </c>
      <c r="G7" s="1">
        <v>56.0</v>
      </c>
      <c r="H7" s="1" t="s">
        <v>53</v>
      </c>
      <c r="I7" s="1" t="s">
        <v>81</v>
      </c>
      <c r="J7" s="1">
        <v>202.0</v>
      </c>
      <c r="K7" s="1" t="s">
        <v>50</v>
      </c>
      <c r="L7" s="1" t="s">
        <v>82</v>
      </c>
      <c r="M7" s="1">
        <v>58.0</v>
      </c>
      <c r="N7" s="1" t="s">
        <v>50</v>
      </c>
      <c r="O7" s="1" t="s">
        <v>83</v>
      </c>
      <c r="P7" s="14">
        <v>62.0</v>
      </c>
      <c r="Q7" s="25">
        <v>44200.0</v>
      </c>
      <c r="R7" s="27">
        <f t="shared" si="1"/>
        <v>448</v>
      </c>
      <c r="S7" s="14">
        <v>6.0</v>
      </c>
      <c r="T7" s="16"/>
      <c r="U7" s="16"/>
      <c r="V7" s="16"/>
      <c r="W7" s="16"/>
      <c r="X7" s="16"/>
      <c r="Y7" s="16"/>
      <c r="Z7" s="16"/>
    </row>
    <row r="8">
      <c r="A8" s="23" t="s">
        <v>84</v>
      </c>
      <c r="B8" s="1" t="s">
        <v>53</v>
      </c>
      <c r="C8" s="1" t="s">
        <v>85</v>
      </c>
      <c r="D8" s="1">
        <v>292.0</v>
      </c>
      <c r="E8" s="1" t="s">
        <v>53</v>
      </c>
      <c r="F8" s="1" t="s">
        <v>86</v>
      </c>
      <c r="G8" s="1">
        <v>288.0</v>
      </c>
      <c r="H8" s="1" t="s">
        <v>50</v>
      </c>
      <c r="I8" s="1" t="s">
        <v>87</v>
      </c>
      <c r="J8" s="1">
        <v>86.0</v>
      </c>
      <c r="K8" s="1" t="s">
        <v>50</v>
      </c>
      <c r="L8" s="1" t="s">
        <v>88</v>
      </c>
      <c r="M8" s="1">
        <v>80.0</v>
      </c>
      <c r="N8" s="1" t="s">
        <v>53</v>
      </c>
      <c r="O8" s="1" t="s">
        <v>89</v>
      </c>
      <c r="P8" s="14">
        <v>220.0</v>
      </c>
      <c r="Q8" s="25">
        <v>44257.0</v>
      </c>
      <c r="R8" s="27">
        <f t="shared" si="1"/>
        <v>966</v>
      </c>
      <c r="S8" s="14">
        <v>1.0</v>
      </c>
      <c r="T8" s="16"/>
      <c r="U8" s="16"/>
      <c r="V8" s="16"/>
      <c r="W8" s="16"/>
      <c r="X8" s="16"/>
      <c r="Y8" s="16"/>
      <c r="Z8" s="16"/>
    </row>
    <row r="9">
      <c r="A9" s="23" t="s">
        <v>42</v>
      </c>
      <c r="B9" s="1" t="s">
        <v>53</v>
      </c>
      <c r="C9" s="1" t="s">
        <v>90</v>
      </c>
      <c r="D9" s="1">
        <v>218.0</v>
      </c>
      <c r="E9" s="1" t="s">
        <v>53</v>
      </c>
      <c r="F9" s="1" t="s">
        <v>91</v>
      </c>
      <c r="G9" s="1">
        <v>208.0</v>
      </c>
      <c r="H9" s="1" t="s">
        <v>50</v>
      </c>
      <c r="I9" s="1" t="s">
        <v>92</v>
      </c>
      <c r="J9" s="1">
        <v>56.0</v>
      </c>
      <c r="K9" s="1" t="s">
        <v>50</v>
      </c>
      <c r="L9" s="1" t="s">
        <v>93</v>
      </c>
      <c r="M9" s="1">
        <v>30.0</v>
      </c>
      <c r="N9" s="1" t="s">
        <v>50</v>
      </c>
      <c r="O9" s="1" t="s">
        <v>94</v>
      </c>
      <c r="P9" s="14">
        <v>34.0</v>
      </c>
      <c r="Q9" s="25">
        <v>44230.0</v>
      </c>
      <c r="R9" s="27">
        <f t="shared" si="1"/>
        <v>546</v>
      </c>
      <c r="S9" s="14">
        <v>5.0</v>
      </c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7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4"/>
      <c r="J11" s="16"/>
      <c r="K11" s="16"/>
      <c r="L11" s="16"/>
      <c r="M11" s="16"/>
      <c r="N11" s="16"/>
      <c r="O11" s="16"/>
      <c r="P11" s="16"/>
      <c r="Q11" s="16"/>
      <c r="R11" s="27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7"/>
      <c r="S12" s="16"/>
      <c r="T12" s="16"/>
      <c r="U12" s="16"/>
      <c r="V12" s="16"/>
      <c r="W12" s="16"/>
      <c r="X12" s="16"/>
      <c r="Y12" s="16"/>
      <c r="Z12" s="16"/>
    </row>
    <row r="13">
      <c r="A13" s="28" t="s">
        <v>95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16"/>
      <c r="R13" s="27"/>
      <c r="S13" s="16"/>
      <c r="T13" s="16"/>
      <c r="U13" s="16"/>
      <c r="V13" s="16"/>
      <c r="W13" s="16"/>
      <c r="X13" s="16"/>
      <c r="Y13" s="16"/>
      <c r="Z13" s="16"/>
    </row>
    <row r="14">
      <c r="A14" s="30" t="s">
        <v>3</v>
      </c>
      <c r="B14" s="1" t="s">
        <v>53</v>
      </c>
      <c r="C14" s="1" t="s">
        <v>96</v>
      </c>
      <c r="D14" s="1">
        <v>318.0</v>
      </c>
      <c r="E14" s="1" t="s">
        <v>53</v>
      </c>
      <c r="F14" s="1" t="s">
        <v>97</v>
      </c>
      <c r="G14" s="1">
        <v>294.0</v>
      </c>
      <c r="H14" s="1" t="s">
        <v>53</v>
      </c>
      <c r="I14" s="1" t="s">
        <v>98</v>
      </c>
      <c r="J14" s="1">
        <v>220.0</v>
      </c>
      <c r="K14" s="1" t="s">
        <v>53</v>
      </c>
      <c r="L14" s="1" t="s">
        <v>99</v>
      </c>
      <c r="M14" s="1">
        <v>242.0</v>
      </c>
      <c r="N14" s="1" t="s">
        <v>53</v>
      </c>
      <c r="O14" s="1" t="s">
        <v>100</v>
      </c>
      <c r="P14" s="14">
        <v>230.0</v>
      </c>
      <c r="Q14" s="31" t="s">
        <v>101</v>
      </c>
      <c r="R14" s="27">
        <f t="shared" ref="R14:R19" si="2">D14+G14+J14+M14+P14</f>
        <v>1304</v>
      </c>
      <c r="S14" s="14">
        <v>1.0</v>
      </c>
      <c r="T14" s="16"/>
      <c r="U14" s="16"/>
      <c r="V14" s="16"/>
      <c r="W14" s="16"/>
      <c r="X14" s="16"/>
      <c r="Y14" s="16"/>
      <c r="Z14" s="16"/>
    </row>
    <row r="15">
      <c r="A15" s="30" t="s">
        <v>102</v>
      </c>
      <c r="B15" s="1" t="s">
        <v>50</v>
      </c>
      <c r="C15" s="1" t="s">
        <v>103</v>
      </c>
      <c r="D15" s="1">
        <v>64.0</v>
      </c>
      <c r="E15" s="1" t="s">
        <v>53</v>
      </c>
      <c r="F15" s="1" t="s">
        <v>104</v>
      </c>
      <c r="G15" s="1">
        <v>240.0</v>
      </c>
      <c r="H15" s="1" t="s">
        <v>53</v>
      </c>
      <c r="I15" s="1" t="s">
        <v>105</v>
      </c>
      <c r="J15" s="1">
        <v>248.0</v>
      </c>
      <c r="K15" s="1" t="s">
        <v>53</v>
      </c>
      <c r="L15" s="1" t="s">
        <v>106</v>
      </c>
      <c r="M15" s="1">
        <v>230.0</v>
      </c>
      <c r="N15" s="1" t="s">
        <v>50</v>
      </c>
      <c r="O15" s="1" t="s">
        <v>107</v>
      </c>
      <c r="P15" s="14">
        <v>82.0</v>
      </c>
      <c r="Q15" s="25">
        <v>44257.0</v>
      </c>
      <c r="R15" s="27">
        <f t="shared" si="2"/>
        <v>864</v>
      </c>
      <c r="S15" s="14">
        <v>2.0</v>
      </c>
      <c r="T15" s="16"/>
      <c r="U15" s="16"/>
      <c r="V15" s="16"/>
      <c r="W15" s="16"/>
      <c r="X15" s="16"/>
      <c r="Y15" s="16"/>
      <c r="Z15" s="16"/>
    </row>
    <row r="16">
      <c r="A16" s="30" t="s">
        <v>108</v>
      </c>
      <c r="B16" s="1" t="s">
        <v>53</v>
      </c>
      <c r="C16" s="1" t="s">
        <v>109</v>
      </c>
      <c r="D16" s="1">
        <v>192.0</v>
      </c>
      <c r="E16" s="1" t="s">
        <v>50</v>
      </c>
      <c r="F16" s="1" t="s">
        <v>110</v>
      </c>
      <c r="G16" s="1">
        <v>108.0</v>
      </c>
      <c r="H16" s="1" t="s">
        <v>50</v>
      </c>
      <c r="I16" s="1" t="s">
        <v>111</v>
      </c>
      <c r="J16" s="1">
        <v>130.0</v>
      </c>
      <c r="K16" s="1" t="s">
        <v>53</v>
      </c>
      <c r="L16" s="1" t="s">
        <v>112</v>
      </c>
      <c r="M16" s="1">
        <v>204.0</v>
      </c>
      <c r="N16" s="1" t="s">
        <v>50</v>
      </c>
      <c r="O16" s="1" t="s">
        <v>113</v>
      </c>
      <c r="P16" s="14">
        <v>70.0</v>
      </c>
      <c r="Q16" s="25">
        <v>44230.0</v>
      </c>
      <c r="R16" s="27">
        <f t="shared" si="2"/>
        <v>704</v>
      </c>
      <c r="S16" s="14">
        <v>5.0</v>
      </c>
      <c r="T16" s="16"/>
      <c r="U16" s="16"/>
      <c r="V16" s="16"/>
      <c r="W16" s="16"/>
      <c r="X16" s="16"/>
      <c r="Y16" s="16"/>
      <c r="Z16" s="16"/>
    </row>
    <row r="17">
      <c r="A17" s="30" t="s">
        <v>114</v>
      </c>
      <c r="B17" s="1" t="s">
        <v>53</v>
      </c>
      <c r="C17" s="1" t="s">
        <v>115</v>
      </c>
      <c r="D17" s="1">
        <v>240.0</v>
      </c>
      <c r="E17" s="1" t="s">
        <v>53</v>
      </c>
      <c r="F17" s="1" t="s">
        <v>116</v>
      </c>
      <c r="G17" s="1">
        <v>252.0</v>
      </c>
      <c r="H17" s="1" t="s">
        <v>50</v>
      </c>
      <c r="I17" s="1" t="s">
        <v>117</v>
      </c>
      <c r="J17" s="1">
        <v>62.0</v>
      </c>
      <c r="K17" s="1" t="s">
        <v>50</v>
      </c>
      <c r="L17" s="1" t="s">
        <v>118</v>
      </c>
      <c r="M17" s="1">
        <v>52.0</v>
      </c>
      <c r="N17" s="1" t="s">
        <v>53</v>
      </c>
      <c r="O17" s="1" t="s">
        <v>119</v>
      </c>
      <c r="P17" s="14">
        <v>190.0</v>
      </c>
      <c r="Q17" s="25">
        <v>44257.0</v>
      </c>
      <c r="R17" s="27">
        <f t="shared" si="2"/>
        <v>796</v>
      </c>
      <c r="S17" s="14">
        <v>3.0</v>
      </c>
      <c r="T17" s="16"/>
      <c r="U17" s="16"/>
      <c r="V17" s="16"/>
      <c r="W17" s="16"/>
      <c r="X17" s="16"/>
      <c r="Y17" s="16"/>
      <c r="Z17" s="16"/>
    </row>
    <row r="18">
      <c r="A18" s="30" t="s">
        <v>120</v>
      </c>
      <c r="B18" s="1" t="s">
        <v>50</v>
      </c>
      <c r="C18" s="1" t="s">
        <v>121</v>
      </c>
      <c r="D18" s="1">
        <v>176.0</v>
      </c>
      <c r="E18" s="1" t="s">
        <v>50</v>
      </c>
      <c r="F18" s="1" t="s">
        <v>122</v>
      </c>
      <c r="G18" s="1">
        <v>106.0</v>
      </c>
      <c r="H18" s="1" t="s">
        <v>50</v>
      </c>
      <c r="I18" s="1" t="s">
        <v>123</v>
      </c>
      <c r="J18" s="1">
        <v>126.0</v>
      </c>
      <c r="K18" s="1" t="s">
        <v>50</v>
      </c>
      <c r="L18" s="1" t="s">
        <v>124</v>
      </c>
      <c r="M18" s="1">
        <v>42.0</v>
      </c>
      <c r="N18" s="1" t="s">
        <v>50</v>
      </c>
      <c r="O18" s="1" t="s">
        <v>125</v>
      </c>
      <c r="P18" s="14">
        <v>34.0</v>
      </c>
      <c r="Q18" s="31" t="s">
        <v>126</v>
      </c>
      <c r="R18" s="27">
        <f t="shared" si="2"/>
        <v>484</v>
      </c>
      <c r="S18" s="14">
        <v>6.0</v>
      </c>
      <c r="T18" s="16"/>
      <c r="U18" s="16"/>
      <c r="V18" s="16"/>
      <c r="W18" s="16"/>
      <c r="X18" s="16"/>
      <c r="Y18" s="16"/>
      <c r="Z18" s="16"/>
    </row>
    <row r="19">
      <c r="A19" s="30" t="s">
        <v>24</v>
      </c>
      <c r="B19" s="1" t="s">
        <v>50</v>
      </c>
      <c r="C19" s="1" t="s">
        <v>127</v>
      </c>
      <c r="D19" s="1">
        <v>72.0</v>
      </c>
      <c r="E19" s="1" t="s">
        <v>50</v>
      </c>
      <c r="F19" s="1" t="s">
        <v>128</v>
      </c>
      <c r="G19" s="1">
        <v>96.0</v>
      </c>
      <c r="H19" s="1" t="s">
        <v>53</v>
      </c>
      <c r="I19" s="1" t="s">
        <v>129</v>
      </c>
      <c r="J19" s="1">
        <v>272.0</v>
      </c>
      <c r="K19" s="1" t="s">
        <v>50</v>
      </c>
      <c r="L19" s="1" t="s">
        <v>106</v>
      </c>
      <c r="M19" s="1">
        <v>84.0</v>
      </c>
      <c r="N19" s="1" t="s">
        <v>53</v>
      </c>
      <c r="O19" s="1" t="s">
        <v>130</v>
      </c>
      <c r="P19" s="14">
        <v>208.0</v>
      </c>
      <c r="Q19" s="25">
        <v>44230.0</v>
      </c>
      <c r="R19" s="27">
        <f t="shared" si="2"/>
        <v>732</v>
      </c>
      <c r="S19" s="14">
        <v>4.0</v>
      </c>
      <c r="T19" s="16"/>
      <c r="U19" s="16"/>
      <c r="V19" s="16"/>
      <c r="W19" s="16"/>
      <c r="X19" s="16"/>
      <c r="Y19" s="16"/>
      <c r="Z19" s="16"/>
    </row>
    <row r="20">
      <c r="P20" s="16"/>
      <c r="Q20" s="16"/>
      <c r="R20" s="27"/>
      <c r="S20" s="16"/>
      <c r="T20" s="16"/>
      <c r="U20" s="16"/>
      <c r="V20" s="16"/>
      <c r="W20" s="16"/>
      <c r="X20" s="16"/>
      <c r="Y20" s="16"/>
      <c r="Z20" s="16"/>
    </row>
    <row r="21">
      <c r="P21" s="16"/>
      <c r="Q21" s="16"/>
      <c r="R21" s="27"/>
      <c r="S21" s="16"/>
      <c r="T21" s="16"/>
      <c r="U21" s="16"/>
      <c r="V21" s="16"/>
      <c r="W21" s="16"/>
      <c r="X21" s="16"/>
      <c r="Y21" s="16"/>
      <c r="Z21" s="16"/>
    </row>
    <row r="22">
      <c r="P22" s="16"/>
      <c r="Q22" s="16"/>
      <c r="R22" s="27"/>
      <c r="S22" s="16"/>
      <c r="T22" s="16"/>
      <c r="U22" s="16"/>
      <c r="V22" s="16"/>
      <c r="W22" s="16"/>
      <c r="X22" s="16"/>
      <c r="Y22" s="16"/>
      <c r="Z22" s="16"/>
    </row>
    <row r="23">
      <c r="A23" s="32" t="s">
        <v>131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16"/>
      <c r="R23" s="27"/>
      <c r="S23" s="16"/>
      <c r="T23" s="16"/>
      <c r="U23" s="16"/>
      <c r="V23" s="16"/>
      <c r="W23" s="16"/>
      <c r="X23" s="16"/>
      <c r="Y23" s="16"/>
      <c r="Z23" s="16"/>
    </row>
    <row r="24">
      <c r="A24" s="34" t="s">
        <v>132</v>
      </c>
      <c r="B24" s="1" t="s">
        <v>50</v>
      </c>
      <c r="C24" s="1" t="s">
        <v>133</v>
      </c>
      <c r="D24" s="1">
        <v>54.0</v>
      </c>
      <c r="E24" s="1" t="s">
        <v>50</v>
      </c>
      <c r="F24" s="1" t="s">
        <v>134</v>
      </c>
      <c r="G24" s="1">
        <v>40.0</v>
      </c>
      <c r="H24" s="1" t="s">
        <v>53</v>
      </c>
      <c r="I24" s="1" t="s">
        <v>135</v>
      </c>
      <c r="J24" s="1">
        <v>302.0</v>
      </c>
      <c r="K24" s="1" t="s">
        <v>53</v>
      </c>
      <c r="L24" s="1" t="s">
        <v>136</v>
      </c>
      <c r="M24" s="1">
        <v>198.0</v>
      </c>
      <c r="N24" s="1" t="s">
        <v>53</v>
      </c>
      <c r="O24" s="1" t="s">
        <v>137</v>
      </c>
      <c r="P24" s="14">
        <v>0.0</v>
      </c>
      <c r="Q24" s="25">
        <v>44257.0</v>
      </c>
      <c r="R24" s="27">
        <f t="shared" ref="R24:R27" si="3">D24+G24+J24+M24+P24</f>
        <v>594</v>
      </c>
      <c r="S24" s="14">
        <v>3.0</v>
      </c>
      <c r="T24" s="16"/>
      <c r="U24" s="16">
        <f t="shared" ref="U24:U29" si="4">R24*5/4</f>
        <v>742.5</v>
      </c>
      <c r="V24" s="16"/>
      <c r="W24" s="16"/>
      <c r="X24" s="16"/>
      <c r="Y24" s="16"/>
      <c r="Z24" s="16"/>
    </row>
    <row r="25">
      <c r="A25" s="34" t="s">
        <v>29</v>
      </c>
      <c r="B25" s="1" t="s">
        <v>53</v>
      </c>
      <c r="C25" s="1" t="s">
        <v>138</v>
      </c>
      <c r="D25" s="1">
        <v>200.0</v>
      </c>
      <c r="E25" s="1" t="s">
        <v>50</v>
      </c>
      <c r="F25" s="1" t="s">
        <v>139</v>
      </c>
      <c r="G25" s="1">
        <v>50.0</v>
      </c>
      <c r="H25" s="1" t="s">
        <v>53</v>
      </c>
      <c r="I25" s="1" t="s">
        <v>137</v>
      </c>
      <c r="J25" s="1">
        <v>0.0</v>
      </c>
      <c r="K25" s="1" t="s">
        <v>50</v>
      </c>
      <c r="L25" s="1" t="s">
        <v>140</v>
      </c>
      <c r="M25" s="1">
        <v>8.0</v>
      </c>
      <c r="N25" s="1" t="s">
        <v>50</v>
      </c>
      <c r="O25" s="1" t="s">
        <v>141</v>
      </c>
      <c r="P25" s="14">
        <v>20.0</v>
      </c>
      <c r="Q25" s="25">
        <v>44230.0</v>
      </c>
      <c r="R25" s="27">
        <f t="shared" si="3"/>
        <v>278</v>
      </c>
      <c r="S25" s="14">
        <v>5.0</v>
      </c>
      <c r="T25" s="16"/>
      <c r="U25" s="16">
        <f t="shared" si="4"/>
        <v>347.5</v>
      </c>
      <c r="V25" s="16"/>
      <c r="W25" s="16"/>
      <c r="X25" s="16"/>
      <c r="Y25" s="16"/>
      <c r="Z25" s="16"/>
    </row>
    <row r="26">
      <c r="A26" s="34" t="s">
        <v>142</v>
      </c>
      <c r="B26" s="1" t="s">
        <v>50</v>
      </c>
      <c r="C26" s="1" t="s">
        <v>137</v>
      </c>
      <c r="D26" s="1">
        <v>0.0</v>
      </c>
      <c r="E26" s="1" t="s">
        <v>50</v>
      </c>
      <c r="F26" s="1" t="s">
        <v>137</v>
      </c>
      <c r="G26" s="1">
        <v>0.0</v>
      </c>
      <c r="H26" s="1" t="s">
        <v>50</v>
      </c>
      <c r="I26" s="1" t="s">
        <v>137</v>
      </c>
      <c r="J26" s="1">
        <v>0.0</v>
      </c>
      <c r="K26" s="1" t="s">
        <v>50</v>
      </c>
      <c r="L26" s="1" t="s">
        <v>137</v>
      </c>
      <c r="M26" s="1">
        <v>0.0</v>
      </c>
      <c r="N26" s="1" t="s">
        <v>50</v>
      </c>
      <c r="O26" s="1" t="s">
        <v>137</v>
      </c>
      <c r="P26" s="14">
        <v>0.0</v>
      </c>
      <c r="Q26" s="31" t="s">
        <v>126</v>
      </c>
      <c r="R26" s="27">
        <f t="shared" si="3"/>
        <v>0</v>
      </c>
      <c r="S26" s="14">
        <v>6.0</v>
      </c>
      <c r="T26" s="16"/>
      <c r="U26" s="16">
        <f t="shared" si="4"/>
        <v>0</v>
      </c>
      <c r="V26" s="16"/>
      <c r="W26" s="16"/>
      <c r="X26" s="16"/>
      <c r="Y26" s="16"/>
      <c r="Z26" s="16"/>
    </row>
    <row r="27">
      <c r="A27" s="34" t="s">
        <v>143</v>
      </c>
      <c r="B27" s="1" t="s">
        <v>53</v>
      </c>
      <c r="C27" s="1" t="s">
        <v>144</v>
      </c>
      <c r="D27" s="1">
        <v>282.0</v>
      </c>
      <c r="E27" s="1" t="s">
        <v>53</v>
      </c>
      <c r="F27" s="1" t="s">
        <v>137</v>
      </c>
      <c r="G27" s="1">
        <v>0.0</v>
      </c>
      <c r="H27" s="1" t="s">
        <v>53</v>
      </c>
      <c r="I27" s="1" t="s">
        <v>145</v>
      </c>
      <c r="J27" s="1">
        <v>224.0</v>
      </c>
      <c r="K27" s="1" t="s">
        <v>50</v>
      </c>
      <c r="L27" s="1" t="s">
        <v>146</v>
      </c>
      <c r="M27" s="1">
        <v>82.0</v>
      </c>
      <c r="N27" s="1" t="s">
        <v>53</v>
      </c>
      <c r="O27" s="1" t="s">
        <v>147</v>
      </c>
      <c r="P27" s="14">
        <v>230.0</v>
      </c>
      <c r="Q27" s="25">
        <v>44287.0</v>
      </c>
      <c r="R27" s="27">
        <f t="shared" si="3"/>
        <v>818</v>
      </c>
      <c r="S27" s="14">
        <v>1.0</v>
      </c>
      <c r="T27" s="16"/>
      <c r="U27" s="16">
        <f t="shared" si="4"/>
        <v>1022.5</v>
      </c>
      <c r="V27" s="16"/>
      <c r="W27" s="16"/>
      <c r="X27" s="16"/>
      <c r="Y27" s="16"/>
      <c r="Z27" s="16"/>
    </row>
    <row r="28">
      <c r="A28" s="34" t="s">
        <v>148</v>
      </c>
      <c r="B28" s="1" t="s">
        <v>50</v>
      </c>
      <c r="C28" s="1" t="s">
        <v>149</v>
      </c>
      <c r="D28" s="1">
        <v>72.0</v>
      </c>
      <c r="E28" s="1" t="s">
        <v>53</v>
      </c>
      <c r="F28" s="1" t="s">
        <v>150</v>
      </c>
      <c r="G28" s="1">
        <v>176.0</v>
      </c>
      <c r="H28" s="1" t="s">
        <v>50</v>
      </c>
      <c r="I28" s="1" t="s">
        <v>151</v>
      </c>
      <c r="J28" s="1">
        <v>32.0</v>
      </c>
      <c r="K28" s="1" t="s">
        <v>53</v>
      </c>
      <c r="L28" s="1" t="s">
        <v>137</v>
      </c>
      <c r="M28" s="1">
        <v>0.0</v>
      </c>
      <c r="N28" s="1" t="s">
        <v>53</v>
      </c>
      <c r="O28" s="1" t="s">
        <v>152</v>
      </c>
      <c r="P28" s="14">
        <v>164.0</v>
      </c>
      <c r="Q28" s="25">
        <v>44257.0</v>
      </c>
      <c r="R28" s="27">
        <f>D27+G28+J28+M28+P28</f>
        <v>654</v>
      </c>
      <c r="S28" s="14">
        <v>2.0</v>
      </c>
      <c r="T28" s="14"/>
      <c r="U28" s="16">
        <f t="shared" si="4"/>
        <v>817.5</v>
      </c>
      <c r="V28" s="16"/>
      <c r="W28" s="16"/>
      <c r="X28" s="16"/>
      <c r="Y28" s="16"/>
      <c r="Z28" s="16"/>
    </row>
    <row r="29">
      <c r="A29" s="34" t="s">
        <v>153</v>
      </c>
      <c r="B29" s="1" t="s">
        <v>53</v>
      </c>
      <c r="C29" s="1" t="s">
        <v>137</v>
      </c>
      <c r="D29" s="1">
        <v>0.0</v>
      </c>
      <c r="E29" s="1" t="s">
        <v>53</v>
      </c>
      <c r="F29" s="1" t="s">
        <v>154</v>
      </c>
      <c r="G29" s="1">
        <v>270.0</v>
      </c>
      <c r="H29" s="1" t="s">
        <v>50</v>
      </c>
      <c r="I29" s="1" t="s">
        <v>155</v>
      </c>
      <c r="J29" s="1">
        <v>18.0</v>
      </c>
      <c r="K29" s="1" t="s">
        <v>53</v>
      </c>
      <c r="L29" s="1" t="s">
        <v>156</v>
      </c>
      <c r="M29" s="1">
        <v>206.0</v>
      </c>
      <c r="N29" s="1" t="s">
        <v>50</v>
      </c>
      <c r="O29" s="1" t="s">
        <v>157</v>
      </c>
      <c r="P29" s="1">
        <v>46.0</v>
      </c>
      <c r="Q29" s="25">
        <v>44257.0</v>
      </c>
      <c r="R29" s="27">
        <f>D29+G29+J29+M29+P29</f>
        <v>540</v>
      </c>
      <c r="S29" s="1">
        <v>4.0</v>
      </c>
      <c r="U29" s="16">
        <f t="shared" si="4"/>
        <v>675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3</v>
      </c>
      <c r="C1" s="1">
        <v>1304.0</v>
      </c>
    </row>
    <row r="2">
      <c r="A2" s="1">
        <v>2.0</v>
      </c>
      <c r="B2" s="1" t="s">
        <v>4</v>
      </c>
      <c r="C2" s="1">
        <v>1023.0</v>
      </c>
    </row>
    <row r="3">
      <c r="A3" s="1">
        <v>3.0</v>
      </c>
      <c r="B3" s="1" t="s">
        <v>5</v>
      </c>
      <c r="C3" s="1">
        <v>966.0</v>
      </c>
    </row>
    <row r="4">
      <c r="A4" s="1">
        <v>4.0</v>
      </c>
      <c r="B4" s="1" t="s">
        <v>7</v>
      </c>
      <c r="C4" s="1">
        <v>872.0</v>
      </c>
    </row>
    <row r="5">
      <c r="A5" s="1">
        <v>5.0</v>
      </c>
      <c r="B5" s="1" t="s">
        <v>9</v>
      </c>
      <c r="C5" s="1">
        <v>864.0</v>
      </c>
    </row>
    <row r="6">
      <c r="A6" s="1">
        <v>6.0</v>
      </c>
      <c r="B6" s="1" t="s">
        <v>15</v>
      </c>
      <c r="C6" s="1">
        <v>818.0</v>
      </c>
    </row>
    <row r="7">
      <c r="A7" s="1">
        <v>7.0</v>
      </c>
      <c r="B7" s="1" t="s">
        <v>17</v>
      </c>
      <c r="C7" s="1">
        <v>796.0</v>
      </c>
    </row>
    <row r="8">
      <c r="A8" s="1">
        <v>8.0</v>
      </c>
      <c r="B8" s="1" t="s">
        <v>18</v>
      </c>
      <c r="C8" s="1">
        <v>742.0</v>
      </c>
      <c r="D8" s="1" t="s">
        <v>21</v>
      </c>
    </row>
    <row r="9">
      <c r="A9" s="1">
        <v>9.0</v>
      </c>
      <c r="B9" s="1" t="s">
        <v>24</v>
      </c>
      <c r="C9" s="1">
        <v>732.0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5" t="s">
        <v>12</v>
      </c>
      <c r="C1" s="7"/>
      <c r="D1" s="5" t="s">
        <v>25</v>
      </c>
      <c r="E1" s="7"/>
      <c r="F1" s="5" t="s">
        <v>27</v>
      </c>
      <c r="G1" s="7"/>
      <c r="H1" s="5" t="s">
        <v>30</v>
      </c>
      <c r="I1" s="7"/>
      <c r="J1" s="5" t="s">
        <v>31</v>
      </c>
      <c r="K1" s="7"/>
    </row>
    <row r="2">
      <c r="A2" s="10"/>
      <c r="B2" s="11"/>
      <c r="C2" s="11"/>
      <c r="D2" s="13"/>
      <c r="E2" s="13"/>
      <c r="F2" s="11"/>
      <c r="G2" s="11"/>
      <c r="H2" s="13"/>
      <c r="I2" s="13"/>
      <c r="J2" s="11"/>
      <c r="K2" s="11"/>
    </row>
    <row r="3">
      <c r="A3" s="15" t="s">
        <v>38</v>
      </c>
      <c r="B3" s="17" t="s">
        <v>39</v>
      </c>
      <c r="C3" s="17" t="s">
        <v>8</v>
      </c>
      <c r="D3" s="18" t="s">
        <v>7</v>
      </c>
      <c r="E3" s="18" t="s">
        <v>16</v>
      </c>
      <c r="F3" s="17" t="s">
        <v>39</v>
      </c>
      <c r="G3" s="17" t="s">
        <v>5</v>
      </c>
      <c r="H3" s="18" t="s">
        <v>41</v>
      </c>
      <c r="I3" s="18" t="s">
        <v>42</v>
      </c>
      <c r="J3" s="17" t="s">
        <v>5</v>
      </c>
      <c r="K3" s="17" t="s">
        <v>42</v>
      </c>
    </row>
    <row r="4">
      <c r="A4" s="15" t="s">
        <v>43</v>
      </c>
      <c r="B4" s="17" t="s">
        <v>7</v>
      </c>
      <c r="C4" s="17" t="s">
        <v>42</v>
      </c>
      <c r="D4" s="18" t="s">
        <v>41</v>
      </c>
      <c r="E4" s="18" t="s">
        <v>5</v>
      </c>
      <c r="F4" s="17" t="s">
        <v>16</v>
      </c>
      <c r="G4" s="17" t="s">
        <v>42</v>
      </c>
      <c r="H4" s="18" t="s">
        <v>39</v>
      </c>
      <c r="I4" s="18" t="s">
        <v>16</v>
      </c>
      <c r="J4" s="17" t="s">
        <v>39</v>
      </c>
      <c r="K4" s="17" t="s">
        <v>7</v>
      </c>
    </row>
    <row r="5">
      <c r="A5" s="15" t="s">
        <v>44</v>
      </c>
      <c r="B5" s="17" t="s">
        <v>16</v>
      </c>
      <c r="C5" s="17" t="s">
        <v>5</v>
      </c>
      <c r="D5" s="18" t="s">
        <v>39</v>
      </c>
      <c r="E5" s="18" t="s">
        <v>42</v>
      </c>
      <c r="F5" s="17" t="s">
        <v>41</v>
      </c>
      <c r="G5" s="17" t="s">
        <v>7</v>
      </c>
      <c r="H5" s="18" t="s">
        <v>7</v>
      </c>
      <c r="I5" s="18" t="s">
        <v>5</v>
      </c>
      <c r="J5" s="17" t="s">
        <v>41</v>
      </c>
      <c r="K5" s="17" t="s">
        <v>16</v>
      </c>
    </row>
    <row r="6">
      <c r="A6" s="15" t="s">
        <v>45</v>
      </c>
      <c r="B6" s="17" t="s">
        <v>3</v>
      </c>
      <c r="C6" s="17" t="s">
        <v>9</v>
      </c>
      <c r="D6" s="18" t="s">
        <v>10</v>
      </c>
      <c r="E6" s="18" t="s">
        <v>46</v>
      </c>
      <c r="F6" s="17" t="s">
        <v>3</v>
      </c>
      <c r="G6" s="17" t="s">
        <v>47</v>
      </c>
      <c r="H6" s="18" t="s">
        <v>9</v>
      </c>
      <c r="I6" s="18" t="s">
        <v>24</v>
      </c>
      <c r="J6" s="17" t="s">
        <v>47</v>
      </c>
      <c r="K6" s="22" t="s">
        <v>24</v>
      </c>
    </row>
    <row r="7">
      <c r="A7" s="15" t="s">
        <v>49</v>
      </c>
      <c r="B7" s="17" t="s">
        <v>10</v>
      </c>
      <c r="C7" s="17" t="s">
        <v>24</v>
      </c>
      <c r="D7" s="18" t="s">
        <v>9</v>
      </c>
      <c r="E7" s="24" t="s">
        <v>47</v>
      </c>
      <c r="F7" s="17" t="s">
        <v>46</v>
      </c>
      <c r="G7" s="22" t="s">
        <v>24</v>
      </c>
      <c r="H7" s="18" t="s">
        <v>3</v>
      </c>
      <c r="I7" s="18" t="s">
        <v>46</v>
      </c>
      <c r="J7" s="17" t="s">
        <v>3</v>
      </c>
      <c r="K7" s="22" t="s">
        <v>10</v>
      </c>
    </row>
    <row r="8">
      <c r="A8" s="15" t="s">
        <v>55</v>
      </c>
      <c r="B8" s="17" t="s">
        <v>46</v>
      </c>
      <c r="C8" s="17" t="s">
        <v>47</v>
      </c>
      <c r="D8" s="18" t="s">
        <v>3</v>
      </c>
      <c r="E8" s="18" t="s">
        <v>24</v>
      </c>
      <c r="F8" s="17" t="s">
        <v>9</v>
      </c>
      <c r="G8" s="22" t="s">
        <v>10</v>
      </c>
      <c r="H8" s="18" t="s">
        <v>10</v>
      </c>
      <c r="I8" s="24" t="s">
        <v>47</v>
      </c>
      <c r="J8" s="17" t="s">
        <v>9</v>
      </c>
      <c r="K8" s="17" t="s">
        <v>46</v>
      </c>
    </row>
    <row r="9">
      <c r="A9" s="15" t="s">
        <v>58</v>
      </c>
      <c r="B9" s="17" t="s">
        <v>59</v>
      </c>
      <c r="C9" s="17" t="s">
        <v>60</v>
      </c>
      <c r="D9" s="18" t="s">
        <v>33</v>
      </c>
      <c r="E9" s="18" t="s">
        <v>4</v>
      </c>
      <c r="F9" s="22" t="s">
        <v>59</v>
      </c>
      <c r="G9" s="22" t="s">
        <v>61</v>
      </c>
      <c r="H9" s="18" t="s">
        <v>60</v>
      </c>
      <c r="I9" s="18" t="s">
        <v>62</v>
      </c>
      <c r="J9" s="22" t="s">
        <v>61</v>
      </c>
      <c r="K9" s="26" t="s">
        <v>62</v>
      </c>
    </row>
    <row r="10">
      <c r="A10" s="15" t="s">
        <v>63</v>
      </c>
      <c r="B10" s="17" t="s">
        <v>33</v>
      </c>
      <c r="C10" s="17" t="s">
        <v>62</v>
      </c>
      <c r="D10" s="18" t="s">
        <v>60</v>
      </c>
      <c r="E10" s="18" t="s">
        <v>61</v>
      </c>
      <c r="F10" s="17" t="s">
        <v>4</v>
      </c>
      <c r="G10" s="26" t="s">
        <v>62</v>
      </c>
      <c r="H10" s="18" t="s">
        <v>59</v>
      </c>
      <c r="I10" s="18" t="s">
        <v>4</v>
      </c>
      <c r="J10" s="22" t="s">
        <v>59</v>
      </c>
      <c r="K10" s="17" t="s">
        <v>33</v>
      </c>
    </row>
    <row r="11">
      <c r="A11" s="15" t="s">
        <v>64</v>
      </c>
      <c r="B11" s="17" t="s">
        <v>4</v>
      </c>
      <c r="C11" s="17" t="s">
        <v>61</v>
      </c>
      <c r="D11" s="18" t="s">
        <v>59</v>
      </c>
      <c r="E11" s="18" t="s">
        <v>62</v>
      </c>
      <c r="F11" s="22" t="s">
        <v>65</v>
      </c>
      <c r="G11" s="17" t="s">
        <v>33</v>
      </c>
      <c r="H11" s="18" t="s">
        <v>33</v>
      </c>
      <c r="I11" s="18" t="s">
        <v>66</v>
      </c>
      <c r="J11" s="22" t="s">
        <v>65</v>
      </c>
      <c r="K11" s="17" t="s">
        <v>4</v>
      </c>
    </row>
    <row r="15">
      <c r="A15" s="1" t="s">
        <v>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2" t="s">
        <v>0</v>
      </c>
      <c r="B1" s="2" t="s">
        <v>6</v>
      </c>
    </row>
    <row r="2">
      <c r="A2" s="2" t="s">
        <v>8</v>
      </c>
      <c r="B2" s="2" t="s">
        <v>6</v>
      </c>
    </row>
    <row r="3">
      <c r="A3" s="2" t="s">
        <v>10</v>
      </c>
      <c r="B3" s="2" t="s">
        <v>6</v>
      </c>
    </row>
    <row r="4">
      <c r="A4" s="2" t="s">
        <v>11</v>
      </c>
      <c r="B4" s="2" t="s">
        <v>6</v>
      </c>
    </row>
    <row r="5">
      <c r="A5" s="2" t="s">
        <v>13</v>
      </c>
      <c r="B5" s="2" t="s">
        <v>6</v>
      </c>
    </row>
    <row r="6">
      <c r="A6" s="2" t="s">
        <v>15</v>
      </c>
      <c r="B6" s="2" t="s">
        <v>6</v>
      </c>
    </row>
    <row r="7">
      <c r="A7" s="2" t="s">
        <v>16</v>
      </c>
      <c r="B7" s="2" t="s">
        <v>6</v>
      </c>
    </row>
    <row r="8">
      <c r="A8" s="2" t="s">
        <v>19</v>
      </c>
      <c r="B8" s="2" t="s">
        <v>6</v>
      </c>
    </row>
    <row r="9">
      <c r="A9" s="8" t="s">
        <v>23</v>
      </c>
      <c r="B9" s="2" t="s">
        <v>6</v>
      </c>
    </row>
    <row r="10">
      <c r="A10" s="2" t="s">
        <v>5</v>
      </c>
      <c r="B10" s="2" t="s">
        <v>6</v>
      </c>
    </row>
    <row r="11">
      <c r="A11" s="2" t="s">
        <v>26</v>
      </c>
      <c r="B11" s="2" t="s">
        <v>6</v>
      </c>
    </row>
    <row r="12">
      <c r="A12" s="2" t="s">
        <v>28</v>
      </c>
      <c r="B12" s="2" t="s">
        <v>6</v>
      </c>
    </row>
    <row r="13">
      <c r="A13" s="2" t="s">
        <v>29</v>
      </c>
      <c r="B13" s="2" t="s">
        <v>6</v>
      </c>
    </row>
    <row r="14">
      <c r="A14" s="2" t="s">
        <v>24</v>
      </c>
      <c r="B14" s="2" t="s">
        <v>6</v>
      </c>
    </row>
    <row r="15">
      <c r="A15" s="2" t="s">
        <v>17</v>
      </c>
      <c r="B15" s="2" t="s">
        <v>6</v>
      </c>
    </row>
    <row r="16">
      <c r="A16" s="2" t="s">
        <v>32</v>
      </c>
      <c r="B16" s="2" t="s">
        <v>6</v>
      </c>
    </row>
    <row r="17">
      <c r="A17" s="1" t="s">
        <v>3</v>
      </c>
      <c r="B17" s="2" t="s">
        <v>6</v>
      </c>
    </row>
    <row r="18">
      <c r="A18" s="2" t="s">
        <v>33</v>
      </c>
      <c r="B18" s="2" t="s">
        <v>6</v>
      </c>
    </row>
  </sheetData>
  <drawing r:id="rId1"/>
</worksheet>
</file>