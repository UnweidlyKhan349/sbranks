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 &amp; Schedule" sheetId="1" r:id="rId5"/>
    <sheet state="visible" name="RR Results &amp; Seeding" sheetId="2" r:id="rId6"/>
    <sheet state="visible" name="DE Bracket" sheetId="3" r:id="rId7"/>
    <sheet state="visible" name="Field" sheetId="4" r:id="rId8"/>
    <sheet state="visible" name="RR Overall" sheetId="5" r:id="rId9"/>
    <sheet state="visible" name="RR Energy" sheetId="6" r:id="rId10"/>
    <sheet state="visible" name="RR ESS" sheetId="7" r:id="rId11"/>
    <sheet state="visible" name="RR Math" sheetId="8" r:id="rId12"/>
    <sheet state="visible" name="RR Physics" sheetId="9" r:id="rId13"/>
    <sheet state="visible" name="RR Chemistry" sheetId="10" r:id="rId14"/>
    <sheet state="visible" name="RR Biology" sheetId="11" r:id="rId15"/>
    <sheet state="visible" name="overall" sheetId="12" r:id="rId16"/>
    <sheet state="visible" name="energy" sheetId="13" r:id="rId17"/>
    <sheet state="visible" name="ess" sheetId="14" r:id="rId18"/>
    <sheet state="visible" name="math" sheetId="15" r:id="rId19"/>
    <sheet state="visible" name="physics" sheetId="16" r:id="rId20"/>
    <sheet state="visible" name="chemistry" sheetId="17" r:id="rId21"/>
    <sheet state="visible" name="biology" sheetId="18" r:id="rId22"/>
  </sheets>
  <definedNames/>
  <calcPr/>
</workbook>
</file>

<file path=xl/sharedStrings.xml><?xml version="1.0" encoding="utf-8"?>
<sst xmlns="http://schemas.openxmlformats.org/spreadsheetml/2006/main" count="1265" uniqueCount="259">
  <si>
    <t>Schedule (4/20, all times CDT)</t>
  </si>
  <si>
    <t>Lenin</t>
  </si>
  <si>
    <t>Stalin</t>
  </si>
  <si>
    <t>L-1</t>
  </si>
  <si>
    <t>Shreyas</t>
  </si>
  <si>
    <t>Opening Ceremony</t>
  </si>
  <si>
    <t>9:00-9:10</t>
  </si>
  <si>
    <t>Interlake</t>
  </si>
  <si>
    <t>WWPS</t>
  </si>
  <si>
    <t>L-2</t>
  </si>
  <si>
    <t>Alex Jun/Stephen</t>
  </si>
  <si>
    <t>RR1</t>
  </si>
  <si>
    <t>9:10-9:50</t>
  </si>
  <si>
    <t>Dulles 1</t>
  </si>
  <si>
    <t>Basis Silicon Valley</t>
  </si>
  <si>
    <t>S-1</t>
  </si>
  <si>
    <t>Eric</t>
  </si>
  <si>
    <t>RR2</t>
  </si>
  <si>
    <t>9:50-10:30</t>
  </si>
  <si>
    <t>Collierville 1</t>
  </si>
  <si>
    <t>AIOB</t>
  </si>
  <si>
    <t>S-2</t>
  </si>
  <si>
    <t>Nikhil</t>
  </si>
  <si>
    <t>RR3</t>
  </si>
  <si>
    <t>10:30-11:10</t>
  </si>
  <si>
    <t>Amador Valley</t>
  </si>
  <si>
    <t>MSJ 2</t>
  </si>
  <si>
    <t>K-1</t>
  </si>
  <si>
    <t>Mia</t>
  </si>
  <si>
    <t>RR4</t>
  </si>
  <si>
    <t>11:10-11:50</t>
  </si>
  <si>
    <t>Thomas Jefferson 1</t>
  </si>
  <si>
    <t>Iolani 1</t>
  </si>
  <si>
    <t>K-2</t>
  </si>
  <si>
    <t>Matthew</t>
  </si>
  <si>
    <t>RR5</t>
  </si>
  <si>
    <t>11:50-12:30</t>
  </si>
  <si>
    <t>G-1</t>
  </si>
  <si>
    <t>Shriman</t>
  </si>
  <si>
    <t>Khrushchev</t>
  </si>
  <si>
    <t>Gorbachev</t>
  </si>
  <si>
    <t>G-2</t>
  </si>
  <si>
    <t>Alex Sun</t>
  </si>
  <si>
    <t>Lunch</t>
  </si>
  <si>
    <t>12:30-1:00</t>
  </si>
  <si>
    <t>MSJ 1</t>
  </si>
  <si>
    <t>Blair</t>
  </si>
  <si>
    <t>Halftime</t>
  </si>
  <si>
    <t>1:00-1:30</t>
  </si>
  <si>
    <t>Dulles 2</t>
  </si>
  <si>
    <t xml:space="preserve">North Hollywood </t>
  </si>
  <si>
    <t>R-1</t>
  </si>
  <si>
    <t>James Clemens</t>
  </si>
  <si>
    <t>Lexington</t>
  </si>
  <si>
    <t>R-2</t>
  </si>
  <si>
    <t>DE1</t>
  </si>
  <si>
    <t>2:00-2:30</t>
  </si>
  <si>
    <t>Evergreen 1</t>
  </si>
  <si>
    <t>Canyon Crest 1</t>
  </si>
  <si>
    <t>R-3</t>
  </si>
  <si>
    <t>DE2</t>
  </si>
  <si>
    <t>2:30-3:00</t>
  </si>
  <si>
    <t>Iolani 2</t>
  </si>
  <si>
    <t>Collierville 2</t>
  </si>
  <si>
    <t>R-4</t>
  </si>
  <si>
    <t>DE3</t>
  </si>
  <si>
    <t>3:15-3:45</t>
  </si>
  <si>
    <t>DE4</t>
  </si>
  <si>
    <t>3:45-4:15</t>
  </si>
  <si>
    <t>Round</t>
  </si>
  <si>
    <t>DE5</t>
  </si>
  <si>
    <t>4:15-4:45</t>
  </si>
  <si>
    <t>Room 1</t>
  </si>
  <si>
    <t>X-1 vs X-2</t>
  </si>
  <si>
    <t>X-2 vs X-3</t>
  </si>
  <si>
    <t>X-2 vs X-5</t>
  </si>
  <si>
    <t>X-4 vs X-5</t>
  </si>
  <si>
    <t>X-3 vs X-5</t>
  </si>
  <si>
    <t>DE6</t>
  </si>
  <si>
    <t>4:45-5:15</t>
  </si>
  <si>
    <t>Room 2</t>
  </si>
  <si>
    <t xml:space="preserve">X-3 vs X-4 </t>
  </si>
  <si>
    <t>X-1 vs X-5</t>
  </si>
  <si>
    <t>X-1 vs X-4</t>
  </si>
  <si>
    <t>X-1 vs X-3</t>
  </si>
  <si>
    <t>X-2 vs X-4</t>
  </si>
  <si>
    <t>DE7 (Potentially)</t>
  </si>
  <si>
    <t>5:15-6:00</t>
  </si>
  <si>
    <t>Bye</t>
  </si>
  <si>
    <t>X-5</t>
  </si>
  <si>
    <t>X-4</t>
  </si>
  <si>
    <t>X-3</t>
  </si>
  <si>
    <t>X-2</t>
  </si>
  <si>
    <t>X-1</t>
  </si>
  <si>
    <t>Closing Ceremony</t>
  </si>
  <si>
    <t>5:45-6:15</t>
  </si>
  <si>
    <t>DE Seeding</t>
  </si>
  <si>
    <t>Lost</t>
  </si>
  <si>
    <t>Team 1</t>
  </si>
  <si>
    <t>Team 2</t>
  </si>
  <si>
    <t>Kian</t>
  </si>
  <si>
    <t>Ronuk</t>
  </si>
  <si>
    <t>Ryan</t>
  </si>
  <si>
    <t>Akhil</t>
  </si>
  <si>
    <t>Theenash</t>
  </si>
  <si>
    <t>Rohan</t>
  </si>
  <si>
    <t>Lucas</t>
  </si>
  <si>
    <t>Saahil</t>
  </si>
  <si>
    <t>Win Points</t>
  </si>
  <si>
    <t>Score</t>
  </si>
  <si>
    <t>Points</t>
  </si>
  <si>
    <t>DE7</t>
  </si>
  <si>
    <t>2:15-2:45</t>
  </si>
  <si>
    <t>2:45-3:15</t>
  </si>
  <si>
    <t>5:15-5:45</t>
  </si>
  <si>
    <t>WINNER'S BRACKET</t>
  </si>
  <si>
    <t>Loser to A</t>
  </si>
  <si>
    <t>130-48</t>
  </si>
  <si>
    <t>Loser to E</t>
  </si>
  <si>
    <t>46-30</t>
  </si>
  <si>
    <t>Loser to B</t>
  </si>
  <si>
    <t>66-88</t>
  </si>
  <si>
    <t>Loser to G</t>
  </si>
  <si>
    <t>76-56</t>
  </si>
  <si>
    <t>Loser to C</t>
  </si>
  <si>
    <t>94-58</t>
  </si>
  <si>
    <t>Room 3</t>
  </si>
  <si>
    <t>Loser to F</t>
  </si>
  <si>
    <t>58-20</t>
  </si>
  <si>
    <t>Loser to D</t>
  </si>
  <si>
    <t>82-88</t>
  </si>
  <si>
    <t>Loser to H</t>
  </si>
  <si>
    <t>78-54</t>
  </si>
  <si>
    <t>Room 4</t>
  </si>
  <si>
    <t>If 1st loss</t>
  </si>
  <si>
    <t>Stage</t>
  </si>
  <si>
    <t>LOSER'S BRACKET</t>
  </si>
  <si>
    <t>8-80</t>
  </si>
  <si>
    <t>60-58</t>
  </si>
  <si>
    <t>Champions</t>
  </si>
  <si>
    <t>40-84</t>
  </si>
  <si>
    <t>56-52</t>
  </si>
  <si>
    <t>42-90</t>
  </si>
  <si>
    <t>96-84</t>
  </si>
  <si>
    <t>Loser (if necessary)</t>
  </si>
  <si>
    <t>Team</t>
  </si>
  <si>
    <t>Paid Fee</t>
  </si>
  <si>
    <t>All members in Discord</t>
  </si>
  <si>
    <t>Confirmed</t>
  </si>
  <si>
    <t>ASFA</t>
  </si>
  <si>
    <t>No</t>
  </si>
  <si>
    <t>Yes</t>
  </si>
  <si>
    <t>For all members column, once all members are in the discord one member should dm a mod with your school name</t>
  </si>
  <si>
    <t>Mission San Jose 1</t>
  </si>
  <si>
    <t>Mission San Jose 2</t>
  </si>
  <si>
    <t>North Hollywood</t>
  </si>
  <si>
    <t>games</t>
  </si>
  <si>
    <t>tuh</t>
  </si>
  <si>
    <t>buzzes</t>
  </si>
  <si>
    <t>correct</t>
  </si>
  <si>
    <t>negs</t>
  </si>
  <si>
    <t>ppg</t>
  </si>
  <si>
    <t>npg</t>
  </si>
  <si>
    <t>accuracy</t>
  </si>
  <si>
    <t>Kevin Q [AIOB]</t>
  </si>
  <si>
    <t>Kian D [Blair A]</t>
  </si>
  <si>
    <t>Rohan G [Blair A]</t>
  </si>
  <si>
    <t>Lucas Q [BASIS Silicon Valley]</t>
  </si>
  <si>
    <t>Ryan E [Iolani]</t>
  </si>
  <si>
    <t>Neyan S [James Clemens]</t>
  </si>
  <si>
    <t>Aaryan S [TJ A]</t>
  </si>
  <si>
    <t>Mahith G [Dulles 1]</t>
  </si>
  <si>
    <t>Roshan A [MSJ 1]</t>
  </si>
  <si>
    <t>Daniel Y [Iolani 2]</t>
  </si>
  <si>
    <t>Akhil B [Interlake]</t>
  </si>
  <si>
    <t>Daniel L [Interlake]</t>
  </si>
  <si>
    <t>Samarth J [Amador Valley]</t>
  </si>
  <si>
    <t>Sanjay O [WWPS]</t>
  </si>
  <si>
    <t>Parthiv N [Collierville A]</t>
  </si>
  <si>
    <t>Saahil D [Evergreen]</t>
  </si>
  <si>
    <t>Alex C [Dulles 2]</t>
  </si>
  <si>
    <t>Flora J [CCA]</t>
  </si>
  <si>
    <t>Owen [Lexington]</t>
  </si>
  <si>
    <t>Rishabh K [TJ A]</t>
  </si>
  <si>
    <t>Monish S [WWPS]</t>
  </si>
  <si>
    <t>Luyao Y [AIOB]</t>
  </si>
  <si>
    <t>Suzuko O [noho]</t>
  </si>
  <si>
    <t>Patrick S [TJ A]</t>
  </si>
  <si>
    <t>Ishan A [Collierville B]</t>
  </si>
  <si>
    <t>Ronuk G [Dulles 1]</t>
  </si>
  <si>
    <t>Shreyas E [Lexington]</t>
  </si>
  <si>
    <t>Sola M [Iolani]</t>
  </si>
  <si>
    <t>Allen [Lexington]</t>
  </si>
  <si>
    <t>William J [Lexington]</t>
  </si>
  <si>
    <t>Min S [Iolani]</t>
  </si>
  <si>
    <t>Praneel A [James Clemens]</t>
  </si>
  <si>
    <t>Cosmo W [Dulles 2]</t>
  </si>
  <si>
    <t>Colin L [Amador]</t>
  </si>
  <si>
    <t>Advaith M [MSJ A]</t>
  </si>
  <si>
    <t>Aastik B [Dulles 1]</t>
  </si>
  <si>
    <t>Minghao G [Noho]</t>
  </si>
  <si>
    <t>Maxwell Z [MSJ 2]</t>
  </si>
  <si>
    <t>Charles H [North Hollywood A]</t>
  </si>
  <si>
    <t>Connor Z [noho]</t>
  </si>
  <si>
    <t>Ruikang W [Amador]</t>
  </si>
  <si>
    <t>Krish P [Dulles 2]</t>
  </si>
  <si>
    <t>Dhairya M [WWPS]</t>
  </si>
  <si>
    <t>Cherry B [Collierville B]</t>
  </si>
  <si>
    <t>Yash N [Evergreen]</t>
  </si>
  <si>
    <t>andy</t>
  </si>
  <si>
    <t>Aarav J [Amador Valley]</t>
  </si>
  <si>
    <t>Larry Z [BASIS Silicon Valley]</t>
  </si>
  <si>
    <t>Dhruv S [Dulles 1]</t>
  </si>
  <si>
    <t>Lucas J [MSJ 2]</t>
  </si>
  <si>
    <t>Aditya P [Dulles 1]</t>
  </si>
  <si>
    <t>Austin X [CCA]</t>
  </si>
  <si>
    <t>Andy L [MSJ 2]</t>
  </si>
  <si>
    <t>Reyansh R [Evergreen]</t>
  </si>
  <si>
    <t>Daksh S [James Clemens]</t>
  </si>
  <si>
    <t>Sean Y [CCA]</t>
  </si>
  <si>
    <t>Anish A [MSJ 1]</t>
  </si>
  <si>
    <t>Ayden L [Interlake]</t>
  </si>
  <si>
    <t>Bethany C [Collierville A]</t>
  </si>
  <si>
    <t>Alexander Y [Interlake]</t>
  </si>
  <si>
    <t>Evan Z [Blair A]</t>
  </si>
  <si>
    <t>Haiyue M [CCA]</t>
  </si>
  <si>
    <t>Ishaan K [MSJ 2]</t>
  </si>
  <si>
    <t>Kate W [Collierville B]</t>
  </si>
  <si>
    <t>Abhinav A [WWPS]</t>
  </si>
  <si>
    <t>Aaron C [BASIS Silicon Valley]</t>
  </si>
  <si>
    <t>Theenash S [MSJ A]</t>
  </si>
  <si>
    <t>Owen B [Iolani]</t>
  </si>
  <si>
    <t>Amrutha G [Collierville A]</t>
  </si>
  <si>
    <t>Michelle L [BASIS Silicon Valley]</t>
  </si>
  <si>
    <t>Advai S [MSJ 2]</t>
  </si>
  <si>
    <t>Adeeb M [AIOB]</t>
  </si>
  <si>
    <t>___</t>
  </si>
  <si>
    <t>Rutvik Arora [MSJ A]</t>
  </si>
  <si>
    <t>Alex Z [Interlake]</t>
  </si>
  <si>
    <t>McNair S [Interlake]</t>
  </si>
  <si>
    <t>Keisuke K [Iolani 1]</t>
  </si>
  <si>
    <t>spec (not playing)</t>
  </si>
  <si>
    <t>Santhosh Balaji [Collierville B]</t>
  </si>
  <si>
    <t>Owen F [Collierville A]</t>
  </si>
  <si>
    <t>Saamik A [Evergreen]</t>
  </si>
  <si>
    <t>Rohan G [blair a]</t>
  </si>
  <si>
    <t>Dhruv S[Dulles 1]</t>
  </si>
  <si>
    <t>Theenash S [MSJ]</t>
  </si>
  <si>
    <t>Kevin Q [Evergreen]</t>
  </si>
  <si>
    <t>Ryan E [Iolani A]</t>
  </si>
  <si>
    <t>Keisuke K [Iolani A]</t>
  </si>
  <si>
    <t>ra9pzwk404</t>
  </si>
  <si>
    <t>Adavith M [MSJ A]</t>
  </si>
  <si>
    <t>Roshan A [MSJ A]</t>
  </si>
  <si>
    <t>Advai S [Interlake]</t>
  </si>
  <si>
    <t>not a spec</t>
  </si>
  <si>
    <t>andy [msj spectating]</t>
  </si>
  <si>
    <t>Theenash S [MSJ].1</t>
  </si>
  <si>
    <t>spec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</si>
</sst>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2.0"/>
      <color theme="1"/>
      <name val="Titillium Web"/>
    </font>
    <font>
      <b/>
      <sz val="14.0"/>
      <color theme="1"/>
      <name val="Titillium Web"/>
    </font>
    <font>
      <sz val="12.0"/>
      <color rgb="FFE8F0FE"/>
      <name val="Titillium Web"/>
    </font>
    <font>
      <color theme="1"/>
      <name val="Arial"/>
    </font>
    <font>
      <b/>
      <color theme="1"/>
      <name val="Arial"/>
    </font>
    <font>
      <strike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0D9D7"/>
        <bgColor rgb="FFE0D9D7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E5F3FF"/>
        <bgColor rgb="FFE5F3FF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</fills>
  <borders count="25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/>
    </xf>
    <xf borderId="2" fillId="2" fontId="3" numFmtId="0" xfId="0" applyBorder="1" applyFill="1" applyFont="1"/>
    <xf borderId="3" fillId="3" fontId="1" numFmtId="0" xfId="0" applyAlignment="1" applyBorder="1" applyFill="1" applyFont="1">
      <alignment horizontal="center" readingOrder="0"/>
    </xf>
    <xf borderId="4" fillId="0" fontId="3" numFmtId="0" xfId="0" applyBorder="1" applyFont="1"/>
    <xf borderId="3" fillId="4" fontId="1" numFmtId="0" xfId="0" applyAlignment="1" applyBorder="1" applyFill="1" applyFont="1">
      <alignment horizontal="center" readingOrder="0"/>
    </xf>
    <xf borderId="5" fillId="5" fontId="1" numFmtId="0" xfId="0" applyAlignment="1" applyBorder="1" applyFill="1" applyFont="1">
      <alignment readingOrder="0"/>
    </xf>
    <xf borderId="6" fillId="5" fontId="1" numFmtId="0" xfId="0" applyAlignment="1" applyBorder="1" applyFill="1" applyFont="1">
      <alignment readingOrder="0"/>
    </xf>
    <xf borderId="7" fillId="3" fontId="1" numFmtId="0" xfId="0" applyAlignment="1" applyBorder="1" applyFill="1" applyFont="1">
      <alignment readingOrder="0"/>
    </xf>
    <xf borderId="8" fillId="3" fontId="1" numFmtId="0" xfId="0" applyAlignment="1" applyBorder="1" applyFill="1" applyFont="1">
      <alignment readingOrder="0"/>
    </xf>
    <xf borderId="7" fillId="4" fontId="1" numFmtId="0" xfId="0" applyAlignment="1" applyBorder="1" applyFill="1" applyFont="1">
      <alignment readingOrder="0"/>
    </xf>
    <xf borderId="8" fillId="4" fontId="1" numFmtId="0" xfId="0" applyAlignment="1" applyBorder="1" applyFill="1" applyFont="1">
      <alignment readingOrder="0"/>
    </xf>
    <xf borderId="5" fillId="6" fontId="1" numFmtId="0" xfId="0" applyAlignment="1" applyBorder="1" applyFill="1" applyFont="1">
      <alignment readingOrder="0"/>
    </xf>
    <xf borderId="6" fillId="6" fontId="1" numFmtId="0" xfId="0" applyAlignment="1" applyBorder="1" applyFill="1" applyFont="1">
      <alignment readingOrder="0"/>
    </xf>
    <xf borderId="9" fillId="3" fontId="1" numFmtId="0" xfId="0" applyAlignment="1" applyBorder="1" applyFill="1" applyFont="1">
      <alignment readingOrder="0"/>
    </xf>
    <xf borderId="10" fillId="3" fontId="1" numFmtId="0" xfId="0" applyAlignment="1" applyBorder="1" applyFill="1" applyFont="1">
      <alignment readingOrder="0"/>
    </xf>
    <xf borderId="9" fillId="4" fontId="1" numFmtId="0" xfId="0" applyAlignment="1" applyBorder="1" applyFill="1" applyFont="1">
      <alignment readingOrder="0"/>
    </xf>
    <xf borderId="10" fillId="4" fontId="1" numFmtId="0" xfId="0" applyAlignment="1" applyBorder="1" applyFill="1" applyFont="1">
      <alignment readingOrder="0"/>
    </xf>
    <xf borderId="5" fillId="5" fontId="1" numFmtId="0" xfId="0" applyBorder="1" applyFill="1" applyFont="1"/>
    <xf borderId="6" fillId="5" fontId="1" numFmtId="0" xfId="0" applyBorder="1" applyFill="1" applyFont="1"/>
    <xf borderId="3" fillId="7" fontId="1" numFmtId="0" xfId="0" applyAlignment="1" applyBorder="1" applyFill="1" applyFont="1">
      <alignment horizontal="center" readingOrder="0"/>
    </xf>
    <xf borderId="3" fillId="8" fontId="1" numFmtId="0" xfId="0" applyAlignment="1" applyBorder="1" applyFill="1" applyFont="1">
      <alignment horizontal="center" readingOrder="0"/>
    </xf>
    <xf borderId="7" fillId="7" fontId="1" numFmtId="0" xfId="0" applyAlignment="1" applyBorder="1" applyFill="1" applyFont="1">
      <alignment readingOrder="0"/>
    </xf>
    <xf borderId="8" fillId="7" fontId="1" numFmtId="0" xfId="0" applyAlignment="1" applyBorder="1" applyFill="1" applyFont="1">
      <alignment readingOrder="0"/>
    </xf>
    <xf borderId="7" fillId="8" fontId="1" numFmtId="0" xfId="0" applyAlignment="1" applyBorder="1" applyFill="1" applyFont="1">
      <alignment readingOrder="0"/>
    </xf>
    <xf borderId="8" fillId="8" fontId="1" numFmtId="0" xfId="0" applyAlignment="1" applyBorder="1" applyFill="1" applyFont="1">
      <alignment readingOrder="0"/>
    </xf>
    <xf borderId="5" fillId="6" fontId="1" numFmtId="0" xfId="0" applyBorder="1" applyFill="1" applyFont="1"/>
    <xf borderId="6" fillId="6" fontId="1" numFmtId="0" xfId="0" applyBorder="1" applyFill="1" applyFont="1"/>
    <xf borderId="9" fillId="7" fontId="1" numFmtId="0" xfId="0" applyAlignment="1" applyBorder="1" applyFill="1" applyFont="1">
      <alignment readingOrder="0"/>
    </xf>
    <xf borderId="10" fillId="7" fontId="1" numFmtId="0" xfId="0" applyAlignment="1" applyBorder="1" applyFill="1" applyFont="1">
      <alignment readingOrder="0"/>
    </xf>
    <xf borderId="9" fillId="8" fontId="1" numFmtId="0" xfId="0" applyAlignment="1" applyBorder="1" applyFill="1" applyFont="1">
      <alignment readingOrder="0"/>
    </xf>
    <xf borderId="10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1" fillId="10" fontId="1" numFmtId="0" xfId="0" applyAlignment="1" applyBorder="1" applyFill="1" applyFont="1">
      <alignment readingOrder="0"/>
    </xf>
    <xf borderId="2" fillId="10" fontId="1" numFmtId="0" xfId="0" applyAlignment="1" applyBorder="1" applyFill="1" applyFont="1">
      <alignment readingOrder="0"/>
    </xf>
    <xf borderId="5" fillId="9" fontId="1" numFmtId="0" xfId="0" applyAlignment="1" applyBorder="1" applyFill="1" applyFont="1">
      <alignment readingOrder="0"/>
    </xf>
    <xf borderId="0" fillId="11" fontId="1" numFmtId="0" xfId="0" applyAlignment="1" applyFill="1" applyFont="1">
      <alignment readingOrder="0"/>
    </xf>
    <xf borderId="6" fillId="11" fontId="1" numFmtId="0" xfId="0" applyAlignment="1" applyBorder="1" applyFill="1" applyFont="1">
      <alignment readingOrder="0"/>
    </xf>
    <xf borderId="12" fillId="9" fontId="1" numFmtId="0" xfId="0" applyAlignment="1" applyBorder="1" applyFill="1" applyFont="1">
      <alignment readingOrder="0"/>
    </xf>
    <xf borderId="13" fillId="11" fontId="1" numFmtId="0" xfId="0" applyAlignment="1" applyBorder="1" applyFill="1" applyFont="1">
      <alignment readingOrder="0"/>
    </xf>
    <xf borderId="14" fillId="11" fontId="1" numFmtId="0" xfId="0" applyAlignment="1" applyBorder="1" applyFill="1" applyFont="1">
      <alignment readingOrder="0"/>
    </xf>
    <xf borderId="12" fillId="6" fontId="1" numFmtId="0" xfId="0" applyAlignment="1" applyBorder="1" applyFill="1" applyFont="1">
      <alignment readingOrder="0"/>
    </xf>
    <xf borderId="14" fillId="6" fontId="1" numFmtId="0" xfId="0" applyAlignment="1" applyBorder="1" applyFill="1" applyFont="1">
      <alignment readingOrder="0"/>
    </xf>
    <xf borderId="0" fillId="0" fontId="4" numFmtId="0" xfId="0" applyFont="1"/>
    <xf borderId="15" fillId="12" fontId="5" numFmtId="0" xfId="0" applyAlignment="1" applyBorder="1" applyFill="1" applyFont="1">
      <alignment horizontal="center" readingOrder="0" vertical="bottom"/>
    </xf>
    <xf borderId="16" fillId="0" fontId="3" numFmtId="0" xfId="0" applyBorder="1" applyFont="1"/>
    <xf borderId="17" fillId="0" fontId="3" numFmtId="0" xfId="0" applyBorder="1" applyFont="1"/>
    <xf borderId="15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6" fillId="0" fontId="4" numFmtId="0" xfId="0" applyAlignment="1" applyBorder="1" applyFont="1">
      <alignment horizontal="center" vertical="bottom"/>
    </xf>
    <xf borderId="16" fillId="0" fontId="4" numFmtId="0" xfId="0" applyAlignment="1" applyBorder="1" applyFont="1">
      <alignment horizontal="center" vertical="bottom"/>
    </xf>
    <xf borderId="18" fillId="0" fontId="4" numFmtId="0" xfId="0" applyAlignment="1" applyBorder="1" applyFont="1">
      <alignment horizontal="center" readingOrder="0" vertical="bottom"/>
    </xf>
    <xf borderId="15" fillId="0" fontId="4" numFmtId="0" xfId="0" applyAlignment="1" applyBorder="1" applyFont="1">
      <alignment horizontal="center" vertical="bottom"/>
    </xf>
    <xf borderId="18" fillId="10" fontId="4" numFmtId="0" xfId="0" applyBorder="1" applyFill="1" applyFont="1"/>
    <xf borderId="0" fillId="0" fontId="4" numFmtId="0" xfId="0" applyAlignment="1" applyFont="1">
      <alignment readingOrder="0"/>
    </xf>
    <xf borderId="7" fillId="0" fontId="4" numFmtId="0" xfId="0" applyAlignment="1" applyBorder="1" applyFont="1">
      <alignment horizontal="center" vertical="bottom"/>
    </xf>
    <xf borderId="7" fillId="13" fontId="4" numFmtId="0" xfId="0" applyAlignment="1" applyBorder="1" applyFill="1" applyFont="1">
      <alignment vertical="bottom"/>
    </xf>
    <xf borderId="0" fillId="14" fontId="4" numFmtId="0" xfId="0" applyAlignment="1" applyFill="1" applyFont="1">
      <alignment horizontal="left" readingOrder="0"/>
    </xf>
    <xf borderId="19" fillId="0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horizontal="center" vertical="bottom"/>
    </xf>
    <xf borderId="0" fillId="13" fontId="4" numFmtId="0" xfId="0" applyAlignment="1" applyFill="1" applyFont="1">
      <alignment vertical="bottom"/>
    </xf>
    <xf borderId="8" fillId="14" fontId="4" numFmtId="0" xfId="0" applyAlignment="1" applyBorder="1" applyFill="1" applyFont="1">
      <alignment horizontal="left" readingOrder="0"/>
    </xf>
    <xf borderId="8" fillId="15" fontId="4" numFmtId="0" xfId="0" applyAlignment="1" applyBorder="1" applyFill="1" applyFont="1">
      <alignment horizontal="center" vertical="bottom"/>
    </xf>
    <xf borderId="7" fillId="14" fontId="4" numFmtId="0" xfId="0" applyAlignment="1" applyBorder="1" applyFill="1" applyFont="1">
      <alignment horizontal="left" readingOrder="0"/>
    </xf>
    <xf borderId="0" fillId="13" fontId="4" numFmtId="0" xfId="0" applyAlignment="1" applyFill="1" applyFont="1">
      <alignment vertical="bottom"/>
    </xf>
    <xf borderId="19" fillId="15" fontId="4" numFmtId="0" xfId="0" applyAlignment="1" applyBorder="1" applyFill="1" applyFont="1">
      <alignment horizontal="center" vertical="bottom"/>
    </xf>
    <xf borderId="19" fillId="0" fontId="4" numFmtId="0" xfId="0" applyAlignment="1" applyBorder="1" applyFont="1">
      <alignment horizontal="center" readingOrder="0" vertical="bottom"/>
    </xf>
    <xf borderId="20" fillId="0" fontId="4" numFmtId="0" xfId="0" applyAlignment="1" applyBorder="1" applyFont="1">
      <alignment horizontal="center" vertical="bottom"/>
    </xf>
    <xf borderId="21" fillId="16" fontId="4" numFmtId="0" xfId="0" applyAlignment="1" applyBorder="1" applyFill="1" applyFont="1">
      <alignment vertical="bottom"/>
    </xf>
    <xf borderId="19" fillId="15" fontId="4" numFmtId="0" xfId="0" applyAlignment="1" applyBorder="1" applyFill="1" applyFont="1">
      <alignment horizontal="center" readingOrder="0" vertical="bottom"/>
    </xf>
    <xf borderId="20" fillId="4" fontId="4" numFmtId="0" xfId="0" applyAlignment="1" applyBorder="1" applyFill="1" applyFont="1">
      <alignment horizontal="center" vertical="bottom"/>
    </xf>
    <xf borderId="22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9" fillId="0" fontId="4" numFmtId="0" xfId="0" applyBorder="1" applyFont="1"/>
    <xf borderId="22" fillId="15" fontId="4" numFmtId="0" xfId="0" applyAlignment="1" applyBorder="1" applyFill="1" applyFont="1">
      <alignment horizontal="center" readingOrder="0"/>
    </xf>
    <xf borderId="22" fillId="0" fontId="4" numFmtId="0" xfId="0" applyBorder="1" applyFont="1"/>
    <xf borderId="23" fillId="0" fontId="4" numFmtId="0" xfId="0" applyAlignment="1" applyBorder="1" applyFont="1">
      <alignment horizontal="center"/>
    </xf>
    <xf borderId="10" fillId="0" fontId="4" numFmtId="0" xfId="0" applyBorder="1" applyFont="1"/>
    <xf borderId="18" fillId="0" fontId="4" numFmtId="0" xfId="0" applyBorder="1" applyFont="1"/>
    <xf borderId="16" fillId="0" fontId="4" numFmtId="0" xfId="0" applyAlignment="1" applyBorder="1" applyFont="1">
      <alignment horizontal="center" readingOrder="0" vertical="bottom"/>
    </xf>
    <xf borderId="21" fillId="16" fontId="6" numFmtId="0" xfId="0" applyAlignment="1" applyBorder="1" applyFill="1" applyFont="1">
      <alignment vertical="bottom"/>
    </xf>
    <xf borderId="20" fillId="17" fontId="4" numFmtId="0" xfId="0" applyAlignment="1" applyBorder="1" applyFill="1" applyFont="1">
      <alignment horizontal="center" vertical="bottom"/>
    </xf>
    <xf borderId="22" fillId="0" fontId="6" numFmtId="0" xfId="0" applyBorder="1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left" readingOrder="0" vertical="bottom"/>
    </xf>
    <xf borderId="23" fillId="0" fontId="1" numFmtId="0" xfId="0" applyAlignment="1" applyBorder="1" applyFont="1">
      <alignment horizontal="left" readingOrder="0"/>
    </xf>
    <xf borderId="23" fillId="0" fontId="1" numFmtId="0" xfId="0" applyBorder="1" applyFont="1"/>
    <xf borderId="8" fillId="0" fontId="1" numFmtId="0" xfId="0" applyAlignment="1" applyBorder="1" applyFont="1">
      <alignment horizontal="left"/>
    </xf>
    <xf borderId="8" fillId="14" fontId="1" numFmtId="0" xfId="0" applyAlignment="1" applyBorder="1" applyFill="1" applyFont="1">
      <alignment horizontal="left" readingOrder="0"/>
    </xf>
    <xf borderId="23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 readingOrder="0"/>
    </xf>
    <xf borderId="10" fillId="0" fontId="1" numFmtId="0" xfId="0" applyBorder="1" applyFont="1"/>
    <xf borderId="24" fillId="0" fontId="1" numFmtId="0" xfId="0" applyAlignment="1" applyBorder="1" applyFont="1">
      <alignment horizontal="left"/>
    </xf>
    <xf borderId="8" fillId="0" fontId="1" numFmtId="0" xfId="0" applyBorder="1" applyFont="1"/>
    <xf borderId="10" fillId="0" fontId="1" numFmtId="0" xfId="0" applyAlignment="1" applyBorder="1" applyFont="1">
      <alignment horizontal="left"/>
    </xf>
    <xf borderId="8" fillId="14" fontId="1" numFmtId="0" xfId="0" applyAlignment="1" applyBorder="1" applyFill="1" applyFont="1">
      <alignment readingOrder="0"/>
    </xf>
    <xf borderId="24" fillId="0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readingOrder="0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readingOrder="0"/>
    </xf>
    <xf borderId="0" fillId="18" fontId="9" numFmtId="0" xfId="0" applyAlignment="1" applyFill="1" applyFont="1">
      <alignment readingOrder="0"/>
    </xf>
    <xf borderId="0" fillId="19" fontId="9" numFmtId="0" xfId="0" applyAlignment="1" applyFill="1" applyFont="1">
      <alignment readingOrder="0"/>
    </xf>
    <xf borderId="0" fillId="19" fontId="1" numFmtId="0" xfId="0" applyAlignment="1" applyFill="1" applyFont="1">
      <alignment readingOrder="0"/>
    </xf>
    <xf borderId="0" fillId="18" fontId="1" numFmtId="0" xfId="0" applyAlignment="1" applyFill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9FF"/>
          <bgColor rgb="FFF3F9FF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DE Bracket-style">
      <tableStyleElement dxfId="2" type="headerRow"/>
      <tableStyleElement dxfId="3" type="firstRowStripe"/>
      <tableStyleElement dxfId="4" type="secondRowStripe"/>
    </tableStyle>
    <tableStyle count="3" pivot="0" name="Field-style">
      <tableStyleElement dxfId="5" type="headerRow"/>
      <tableStyleElement dxfId="3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918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E Brack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D22" displayName="Table_2" name="Table_2" id="2">
  <tableColumns count="4">
    <tableColumn name="Team" id="1"/>
    <tableColumn name="Paid Fee" id="2"/>
    <tableColumn name="All members in Discord" id="3"/>
    <tableColumn name="Confirmed" id="4"/>
  </tableColumns>
  <tableStyleInfo name="Fie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5.13"/>
    <col customWidth="1" min="6" max="6" width="15.25"/>
    <col customWidth="1" min="9" max="9" width="15.25"/>
  </cols>
  <sheetData>
    <row r="1">
      <c r="A1" s="1"/>
      <c r="J1" s="2"/>
    </row>
    <row r="2">
      <c r="B2" s="3" t="s">
        <v>0</v>
      </c>
      <c r="C2" s="4"/>
      <c r="E2" s="5" t="s">
        <v>1</v>
      </c>
      <c r="F2" s="6"/>
      <c r="H2" s="7" t="s">
        <v>2</v>
      </c>
      <c r="I2" s="6"/>
      <c r="J2" s="2"/>
      <c r="L2" s="1" t="s">
        <v>3</v>
      </c>
      <c r="M2" s="1" t="s">
        <v>4</v>
      </c>
    </row>
    <row r="3">
      <c r="B3" s="8" t="s">
        <v>5</v>
      </c>
      <c r="C3" s="9" t="s">
        <v>6</v>
      </c>
      <c r="E3" s="10">
        <v>1.0</v>
      </c>
      <c r="F3" s="11" t="s">
        <v>7</v>
      </c>
      <c r="H3" s="12">
        <v>1.0</v>
      </c>
      <c r="I3" s="13" t="s">
        <v>8</v>
      </c>
      <c r="L3" s="1" t="s">
        <v>9</v>
      </c>
      <c r="M3" s="1" t="s">
        <v>10</v>
      </c>
    </row>
    <row r="4">
      <c r="B4" s="14" t="s">
        <v>11</v>
      </c>
      <c r="C4" s="15" t="s">
        <v>12</v>
      </c>
      <c r="E4" s="10">
        <v>2.0</v>
      </c>
      <c r="F4" s="11" t="s">
        <v>13</v>
      </c>
      <c r="H4" s="12">
        <v>2.0</v>
      </c>
      <c r="I4" s="13" t="s">
        <v>14</v>
      </c>
      <c r="L4" s="1" t="s">
        <v>15</v>
      </c>
      <c r="M4" s="1" t="s">
        <v>16</v>
      </c>
    </row>
    <row r="5">
      <c r="B5" s="8" t="s">
        <v>17</v>
      </c>
      <c r="C5" s="9" t="s">
        <v>18</v>
      </c>
      <c r="E5" s="10">
        <v>3.0</v>
      </c>
      <c r="F5" s="11" t="s">
        <v>19</v>
      </c>
      <c r="H5" s="12">
        <v>3.0</v>
      </c>
      <c r="I5" s="13" t="s">
        <v>20</v>
      </c>
      <c r="L5" s="1" t="s">
        <v>21</v>
      </c>
      <c r="M5" s="1" t="s">
        <v>22</v>
      </c>
    </row>
    <row r="6">
      <c r="B6" s="14" t="s">
        <v>23</v>
      </c>
      <c r="C6" s="15" t="s">
        <v>24</v>
      </c>
      <c r="E6" s="10">
        <v>4.0</v>
      </c>
      <c r="F6" s="11" t="s">
        <v>25</v>
      </c>
      <c r="H6" s="12">
        <v>4.0</v>
      </c>
      <c r="I6" s="13" t="s">
        <v>26</v>
      </c>
      <c r="L6" s="1" t="s">
        <v>27</v>
      </c>
      <c r="M6" s="1" t="s">
        <v>28</v>
      </c>
    </row>
    <row r="7">
      <c r="B7" s="8" t="s">
        <v>29</v>
      </c>
      <c r="C7" s="9" t="s">
        <v>30</v>
      </c>
      <c r="E7" s="16">
        <v>5.0</v>
      </c>
      <c r="F7" s="17" t="s">
        <v>31</v>
      </c>
      <c r="H7" s="18">
        <v>5.0</v>
      </c>
      <c r="I7" s="19" t="s">
        <v>32</v>
      </c>
      <c r="L7" s="1" t="s">
        <v>33</v>
      </c>
      <c r="M7" s="1" t="s">
        <v>34</v>
      </c>
    </row>
    <row r="8">
      <c r="B8" s="14" t="s">
        <v>35</v>
      </c>
      <c r="C8" s="15" t="s">
        <v>36</v>
      </c>
      <c r="L8" s="1" t="s">
        <v>37</v>
      </c>
      <c r="M8" s="1" t="s">
        <v>38</v>
      </c>
    </row>
    <row r="9">
      <c r="B9" s="20"/>
      <c r="C9" s="21"/>
      <c r="E9" s="22" t="s">
        <v>39</v>
      </c>
      <c r="F9" s="6"/>
      <c r="H9" s="23" t="s">
        <v>40</v>
      </c>
      <c r="I9" s="6"/>
      <c r="L9" s="1" t="s">
        <v>41</v>
      </c>
      <c r="M9" s="1" t="s">
        <v>42</v>
      </c>
    </row>
    <row r="10">
      <c r="B10" s="14" t="s">
        <v>43</v>
      </c>
      <c r="C10" s="15" t="s">
        <v>44</v>
      </c>
      <c r="E10" s="24">
        <v>1.0</v>
      </c>
      <c r="F10" s="25" t="s">
        <v>45</v>
      </c>
      <c r="H10" s="26">
        <v>1.0</v>
      </c>
      <c r="I10" s="27" t="s">
        <v>46</v>
      </c>
    </row>
    <row r="11">
      <c r="B11" s="8" t="s">
        <v>47</v>
      </c>
      <c r="C11" s="9" t="s">
        <v>48</v>
      </c>
      <c r="E11" s="24">
        <v>2.0</v>
      </c>
      <c r="F11" s="25" t="s">
        <v>49</v>
      </c>
      <c r="H11" s="26">
        <v>2.0</v>
      </c>
      <c r="I11" s="27" t="s">
        <v>50</v>
      </c>
      <c r="L11" s="1" t="s">
        <v>51</v>
      </c>
      <c r="M11" s="1" t="s">
        <v>42</v>
      </c>
    </row>
    <row r="12">
      <c r="B12" s="28"/>
      <c r="C12" s="29"/>
      <c r="E12" s="24">
        <v>3.0</v>
      </c>
      <c r="F12" s="25" t="s">
        <v>52</v>
      </c>
      <c r="H12" s="26">
        <v>3.0</v>
      </c>
      <c r="I12" s="27" t="s">
        <v>53</v>
      </c>
      <c r="L12" s="1" t="s">
        <v>54</v>
      </c>
      <c r="M12" s="1" t="s">
        <v>16</v>
      </c>
    </row>
    <row r="13">
      <c r="B13" s="8" t="s">
        <v>55</v>
      </c>
      <c r="C13" s="9" t="s">
        <v>56</v>
      </c>
      <c r="E13" s="24">
        <v>4.0</v>
      </c>
      <c r="F13" s="25" t="s">
        <v>57</v>
      </c>
      <c r="H13" s="26">
        <v>4.0</v>
      </c>
      <c r="I13" s="27" t="s">
        <v>58</v>
      </c>
      <c r="L13" s="1" t="s">
        <v>59</v>
      </c>
      <c r="M13" s="1" t="s">
        <v>38</v>
      </c>
    </row>
    <row r="14">
      <c r="B14" s="14" t="s">
        <v>60</v>
      </c>
      <c r="C14" s="15" t="s">
        <v>61</v>
      </c>
      <c r="E14" s="30">
        <v>5.0</v>
      </c>
      <c r="F14" s="31" t="s">
        <v>62</v>
      </c>
      <c r="H14" s="32">
        <v>5.0</v>
      </c>
      <c r="I14" s="33" t="s">
        <v>63</v>
      </c>
      <c r="L14" s="1" t="s">
        <v>64</v>
      </c>
      <c r="M14" s="1" t="s">
        <v>4</v>
      </c>
    </row>
    <row r="15">
      <c r="B15" s="8" t="s">
        <v>65</v>
      </c>
      <c r="C15" s="9" t="s">
        <v>66</v>
      </c>
    </row>
    <row r="16">
      <c r="B16" s="14" t="s">
        <v>67</v>
      </c>
      <c r="C16" s="15" t="s">
        <v>68</v>
      </c>
      <c r="E16" s="34" t="s">
        <v>69</v>
      </c>
      <c r="F16" s="35" t="s">
        <v>11</v>
      </c>
      <c r="G16" s="35" t="s">
        <v>17</v>
      </c>
      <c r="H16" s="35" t="s">
        <v>23</v>
      </c>
      <c r="I16" s="35" t="s">
        <v>29</v>
      </c>
      <c r="J16" s="36" t="s">
        <v>35</v>
      </c>
    </row>
    <row r="17">
      <c r="B17" s="8" t="s">
        <v>70</v>
      </c>
      <c r="C17" s="9" t="s">
        <v>71</v>
      </c>
      <c r="E17" s="37" t="s">
        <v>72</v>
      </c>
      <c r="F17" s="38" t="s">
        <v>73</v>
      </c>
      <c r="G17" s="38" t="s">
        <v>74</v>
      </c>
      <c r="H17" s="38" t="s">
        <v>75</v>
      </c>
      <c r="I17" s="38" t="s">
        <v>76</v>
      </c>
      <c r="J17" s="39" t="s">
        <v>77</v>
      </c>
    </row>
    <row r="18">
      <c r="B18" s="14" t="s">
        <v>78</v>
      </c>
      <c r="C18" s="15" t="s">
        <v>79</v>
      </c>
      <c r="E18" s="37" t="s">
        <v>80</v>
      </c>
      <c r="F18" s="38" t="s">
        <v>81</v>
      </c>
      <c r="G18" s="38" t="s">
        <v>82</v>
      </c>
      <c r="H18" s="38" t="s">
        <v>83</v>
      </c>
      <c r="I18" s="38" t="s">
        <v>84</v>
      </c>
      <c r="J18" s="39" t="s">
        <v>85</v>
      </c>
    </row>
    <row r="19">
      <c r="B19" s="8" t="s">
        <v>86</v>
      </c>
      <c r="C19" s="9" t="s">
        <v>87</v>
      </c>
      <c r="E19" s="40" t="s">
        <v>88</v>
      </c>
      <c r="F19" s="41" t="s">
        <v>89</v>
      </c>
      <c r="G19" s="41" t="s">
        <v>90</v>
      </c>
      <c r="H19" s="41" t="s">
        <v>91</v>
      </c>
      <c r="I19" s="41" t="s">
        <v>92</v>
      </c>
      <c r="J19" s="42" t="s">
        <v>93</v>
      </c>
    </row>
    <row r="20">
      <c r="B20" s="43" t="s">
        <v>94</v>
      </c>
      <c r="C20" s="44" t="s">
        <v>95</v>
      </c>
    </row>
  </sheetData>
  <mergeCells count="5">
    <mergeCell ref="B2:C2"/>
    <mergeCell ref="E2:F2"/>
    <mergeCell ref="H2:I2"/>
    <mergeCell ref="E9:F9"/>
    <mergeCell ref="H9:I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8" max="8" width="6.38"/>
    <col customWidth="1" min="9" max="9" width="4.75"/>
    <col customWidth="1" min="16" max="16" width="6.38"/>
    <col customWidth="1" min="18" max="18" width="17.38"/>
  </cols>
  <sheetData>
    <row r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5"/>
      <c r="B2" s="46" t="s">
        <v>1</v>
      </c>
      <c r="C2" s="47"/>
      <c r="D2" s="47"/>
      <c r="E2" s="47"/>
      <c r="F2" s="47"/>
      <c r="G2" s="47"/>
      <c r="H2" s="48"/>
      <c r="I2" s="45"/>
      <c r="J2" s="46" t="s">
        <v>2</v>
      </c>
      <c r="K2" s="47"/>
      <c r="L2" s="47"/>
      <c r="M2" s="47"/>
      <c r="N2" s="47"/>
      <c r="O2" s="47"/>
      <c r="P2" s="48"/>
      <c r="Q2" s="45"/>
      <c r="R2" s="49" t="s">
        <v>96</v>
      </c>
      <c r="S2" s="48"/>
      <c r="T2" s="45"/>
      <c r="U2" s="45"/>
      <c r="V2" s="45"/>
      <c r="W2" s="45"/>
      <c r="X2" s="45"/>
      <c r="Y2" s="45"/>
      <c r="Z2" s="45"/>
    </row>
    <row r="3">
      <c r="A3" s="45"/>
      <c r="B3" s="50"/>
      <c r="C3" s="51" t="str">
        <f>B4</f>
        <v>Thomas Jefferson 1</v>
      </c>
      <c r="D3" s="52" t="str">
        <f>B5</f>
        <v>Interlake</v>
      </c>
      <c r="E3" s="52" t="str">
        <f>B6</f>
        <v>Collierville 1</v>
      </c>
      <c r="F3" s="53" t="str">
        <f>B7</f>
        <v>Amador Valley</v>
      </c>
      <c r="G3" s="52" t="str">
        <f>B8</f>
        <v>Dulles 1</v>
      </c>
      <c r="H3" s="54" t="s">
        <v>97</v>
      </c>
      <c r="I3" s="45"/>
      <c r="J3" s="55"/>
      <c r="K3" s="51" t="str">
        <f>J4</f>
        <v>WWPS</v>
      </c>
      <c r="L3" s="52" t="str">
        <f>J5</f>
        <v>Basis Silicon Valley</v>
      </c>
      <c r="M3" s="52" t="str">
        <f>J6</f>
        <v>AIOB</v>
      </c>
      <c r="N3" s="53" t="str">
        <f>J7</f>
        <v>MSJ 2</v>
      </c>
      <c r="O3" s="52" t="str">
        <f>J8</f>
        <v>Iolani 1</v>
      </c>
      <c r="P3" s="54" t="s">
        <v>97</v>
      </c>
      <c r="Q3" s="45"/>
      <c r="R3" s="56" t="str">
        <f>IFERROR(__xludf.DUMMYFUNCTION("SORTN(
  {FLATTEN({C3:G3, K3:O3, C15:G15, K15:O15}), 
   FLATTEN({C10:G10, K10:O10, C22:G22, K22:O22})},
  20, 0, 2, FALSE
)"),"Blair")</f>
        <v>Blair</v>
      </c>
      <c r="S3" s="56">
        <f>IFERROR(__xludf.DUMMYFUNCTION("""COMPUTED_VALUE"""),8.0622)</f>
        <v>8.0622</v>
      </c>
      <c r="T3" s="45"/>
      <c r="U3" s="57" t="s">
        <v>98</v>
      </c>
      <c r="V3" s="57" t="s">
        <v>99</v>
      </c>
      <c r="W3" s="45"/>
      <c r="X3" s="45"/>
      <c r="Y3" s="45"/>
      <c r="Z3" s="45"/>
    </row>
    <row r="4">
      <c r="A4" s="45"/>
      <c r="B4" s="58" t="str">
        <f>'RR &amp; Schedule'!F7</f>
        <v>Thomas Jefferson 1</v>
      </c>
      <c r="C4" s="59"/>
      <c r="D4" s="60">
        <v>100.0</v>
      </c>
      <c r="E4" s="60">
        <v>-4.0</v>
      </c>
      <c r="F4" s="60">
        <v>28.0</v>
      </c>
      <c r="G4" s="60">
        <v>84.0</v>
      </c>
      <c r="H4" s="61">
        <f t="shared" ref="H4:H8" si="1">sum(C4:G4)</f>
        <v>208</v>
      </c>
      <c r="I4" s="45"/>
      <c r="J4" s="62" t="str">
        <f>'RR &amp; Schedule'!I3</f>
        <v>WWPS</v>
      </c>
      <c r="K4" s="63"/>
      <c r="L4" s="60">
        <v>98.0</v>
      </c>
      <c r="M4" s="60">
        <v>110.0</v>
      </c>
      <c r="N4" s="60">
        <v>26.0</v>
      </c>
      <c r="O4" s="64">
        <v>50.0</v>
      </c>
      <c r="P4" s="65">
        <f t="shared" ref="P4:P8" si="2">sum(K4:O4)</f>
        <v>284</v>
      </c>
      <c r="Q4" s="45"/>
      <c r="R4" s="56" t="str">
        <f>IFERROR(__xludf.DUMMYFUNCTION("""COMPUTED_VALUE"""),"Dulles 1")</f>
        <v>Dulles 1</v>
      </c>
      <c r="S4" s="56">
        <f>IFERROR(__xludf.DUMMYFUNCTION("""COMPUTED_VALUE"""),8.047)</f>
        <v>8.047</v>
      </c>
      <c r="T4" s="45"/>
      <c r="U4" s="57" t="s">
        <v>100</v>
      </c>
      <c r="V4" s="57" t="s">
        <v>101</v>
      </c>
      <c r="W4" s="45"/>
      <c r="X4" s="45"/>
      <c r="Y4" s="45"/>
      <c r="Z4" s="45"/>
    </row>
    <row r="5">
      <c r="A5" s="45"/>
      <c r="B5" s="58" t="str">
        <f>'RR &amp; Schedule'!F3</f>
        <v>Interlake</v>
      </c>
      <c r="C5" s="66">
        <v>98.0</v>
      </c>
      <c r="D5" s="63"/>
      <c r="E5" s="60">
        <v>48.0</v>
      </c>
      <c r="F5" s="60">
        <v>30.0</v>
      </c>
      <c r="G5" s="60">
        <v>84.0</v>
      </c>
      <c r="H5" s="61">
        <f t="shared" si="1"/>
        <v>260</v>
      </c>
      <c r="I5" s="45"/>
      <c r="J5" s="62" t="str">
        <f>'RR &amp; Schedule'!I4</f>
        <v>Basis Silicon Valley</v>
      </c>
      <c r="K5" s="60">
        <v>84.0</v>
      </c>
      <c r="L5" s="63"/>
      <c r="M5" s="60">
        <v>122.0</v>
      </c>
      <c r="N5" s="60">
        <v>42.0</v>
      </c>
      <c r="O5" s="64">
        <v>96.0</v>
      </c>
      <c r="P5" s="65">
        <f t="shared" si="2"/>
        <v>344</v>
      </c>
      <c r="Q5" s="45"/>
      <c r="R5" s="56" t="str">
        <f>IFERROR(__xludf.DUMMYFUNCTION("""COMPUTED_VALUE"""),"MSJ 1")</f>
        <v>MSJ 1</v>
      </c>
      <c r="S5" s="56">
        <f>IFERROR(__xludf.DUMMYFUNCTION("""COMPUTED_VALUE"""),8.036)</f>
        <v>8.036</v>
      </c>
      <c r="T5" s="45"/>
      <c r="U5" s="57" t="s">
        <v>102</v>
      </c>
      <c r="V5" s="57" t="s">
        <v>4</v>
      </c>
      <c r="W5" s="45"/>
      <c r="X5" s="45"/>
      <c r="Y5" s="45"/>
      <c r="Z5" s="45"/>
    </row>
    <row r="6">
      <c r="A6" s="45"/>
      <c r="B6" s="58" t="str">
        <f>'RR &amp; Schedule'!F5</f>
        <v>Collierville 1</v>
      </c>
      <c r="C6" s="66">
        <v>114.0</v>
      </c>
      <c r="D6" s="60">
        <v>92.0</v>
      </c>
      <c r="E6" s="63"/>
      <c r="F6" s="60">
        <v>74.0</v>
      </c>
      <c r="G6" s="60">
        <v>184.0</v>
      </c>
      <c r="H6" s="61">
        <f t="shared" si="1"/>
        <v>464</v>
      </c>
      <c r="I6" s="45"/>
      <c r="J6" s="62" t="str">
        <f>'RR &amp; Schedule'!I5</f>
        <v>AIOB</v>
      </c>
      <c r="K6" s="60">
        <v>10.0</v>
      </c>
      <c r="L6" s="60">
        <v>76.0</v>
      </c>
      <c r="M6" s="63"/>
      <c r="N6" s="60">
        <v>102.0</v>
      </c>
      <c r="O6" s="64">
        <v>96.0</v>
      </c>
      <c r="P6" s="65">
        <f t="shared" si="2"/>
        <v>284</v>
      </c>
      <c r="Q6" s="45"/>
      <c r="R6" s="56" t="str">
        <f>IFERROR(__xludf.DUMMYFUNCTION("""COMPUTED_VALUE"""),"Lexington")</f>
        <v>Lexington</v>
      </c>
      <c r="S6" s="56">
        <f>IFERROR(__xludf.DUMMYFUNCTION("""COMPUTED_VALUE"""),6.0364)</f>
        <v>6.0364</v>
      </c>
      <c r="T6" s="45"/>
      <c r="U6" s="57" t="s">
        <v>103</v>
      </c>
      <c r="V6" s="57" t="s">
        <v>104</v>
      </c>
      <c r="W6" s="45"/>
      <c r="X6" s="45"/>
      <c r="Y6" s="45"/>
      <c r="Z6" s="45"/>
    </row>
    <row r="7">
      <c r="A7" s="45"/>
      <c r="B7" s="58" t="str">
        <f>'RR &amp; Schedule'!F6</f>
        <v>Amador Valley</v>
      </c>
      <c r="C7" s="66">
        <v>44.0</v>
      </c>
      <c r="D7" s="60">
        <v>80.0</v>
      </c>
      <c r="E7" s="60">
        <v>24.0</v>
      </c>
      <c r="F7" s="67"/>
      <c r="G7" s="60">
        <v>118.0</v>
      </c>
      <c r="H7" s="61">
        <f t="shared" si="1"/>
        <v>266</v>
      </c>
      <c r="I7" s="45"/>
      <c r="J7" s="62" t="str">
        <f>'RR &amp; Schedule'!I6</f>
        <v>MSJ 2</v>
      </c>
      <c r="K7" s="60">
        <v>58.0</v>
      </c>
      <c r="L7" s="60">
        <v>74.0</v>
      </c>
      <c r="M7" s="60">
        <v>32.0</v>
      </c>
      <c r="N7" s="67"/>
      <c r="O7" s="64">
        <v>114.0</v>
      </c>
      <c r="P7" s="65">
        <f t="shared" si="2"/>
        <v>278</v>
      </c>
      <c r="Q7" s="45"/>
      <c r="R7" s="56" t="str">
        <f>IFERROR(__xludf.DUMMYFUNCTION("""COMPUTED_VALUE"""),"Basis Silicon Valley")</f>
        <v>Basis Silicon Valley</v>
      </c>
      <c r="S7" s="56">
        <f>IFERROR(__xludf.DUMMYFUNCTION("""COMPUTED_VALUE"""),6.0346)</f>
        <v>6.0346</v>
      </c>
      <c r="T7" s="45"/>
      <c r="U7" s="57" t="s">
        <v>105</v>
      </c>
      <c r="V7" s="57" t="s">
        <v>106</v>
      </c>
      <c r="W7" s="45"/>
      <c r="X7" s="45"/>
      <c r="Y7" s="45"/>
      <c r="Z7" s="45"/>
    </row>
    <row r="8">
      <c r="A8" s="45"/>
      <c r="B8" s="62" t="str">
        <f>'RR &amp; Schedule'!F4</f>
        <v>Dulles 1</v>
      </c>
      <c r="C8" s="60">
        <v>52.0</v>
      </c>
      <c r="D8" s="60">
        <v>62.0</v>
      </c>
      <c r="E8" s="60">
        <v>50.0</v>
      </c>
      <c r="F8" s="60">
        <v>38.0</v>
      </c>
      <c r="G8" s="63"/>
      <c r="H8" s="61">
        <f t="shared" si="1"/>
        <v>202</v>
      </c>
      <c r="I8" s="45"/>
      <c r="J8" s="62" t="str">
        <f>'RR &amp; Schedule'!I7</f>
        <v>Iolani 1</v>
      </c>
      <c r="K8" s="60">
        <v>114.0</v>
      </c>
      <c r="L8" s="60">
        <v>98.0</v>
      </c>
      <c r="M8" s="60">
        <v>82.0</v>
      </c>
      <c r="N8" s="60">
        <v>24.0</v>
      </c>
      <c r="O8" s="63"/>
      <c r="P8" s="68">
        <f t="shared" si="2"/>
        <v>318</v>
      </c>
      <c r="Q8" s="45"/>
      <c r="R8" s="56" t="str">
        <f>IFERROR(__xludf.DUMMYFUNCTION("""COMPUTED_VALUE"""),"Interlake")</f>
        <v>Interlake</v>
      </c>
      <c r="S8" s="56">
        <f>IFERROR(__xludf.DUMMYFUNCTION("""COMPUTED_VALUE"""),6.0334)</f>
        <v>6.0334</v>
      </c>
      <c r="T8" s="45"/>
      <c r="U8" s="57" t="s">
        <v>107</v>
      </c>
      <c r="V8" s="45"/>
      <c r="W8" s="45"/>
      <c r="X8" s="45"/>
      <c r="Y8" s="45"/>
      <c r="Z8" s="45"/>
    </row>
    <row r="9">
      <c r="A9" s="45"/>
      <c r="B9" s="69" t="s">
        <v>108</v>
      </c>
      <c r="C9" s="70">
        <f t="array" ref="C9">SUMPRODUCT(
  (C4:G4 &lt;&gt; "") * TRANSPOSE(C4:C8 &lt;&gt; ""),
  (C4:G4 &lt; TRANSPOSE(C4:C8)) * 2 +
  (C4:G4 = TRANSPOSE(C4:C8)) * 1
)</f>
        <v>4</v>
      </c>
      <c r="D9" s="70">
        <f t="array" ref="D9">SUMPRODUCT(
  (C5:G5 &lt;&gt; "") * TRANSPOSE(D4:D8 &lt;&gt; ""),
  (C5:G5 &lt; TRANSPOSE(D4:D8)) * 2 +
  (C5:G5 = TRANSPOSE(D4:D8)) * 1
)</f>
        <v>6</v>
      </c>
      <c r="E9" s="70">
        <f t="array" ref="E9">SUMPRODUCT(
  (C6:G6 &lt;&gt; "") * TRANSPOSE(E4:E8 &lt;&gt; ""),
  (C6:G6 &lt; TRANSPOSE(E4:E8)) * 2 +
  (C6:G6 = TRANSPOSE(E4:E8)) * 1
)</f>
        <v>0</v>
      </c>
      <c r="F9" s="70">
        <f t="array" ref="F9">SUMPRODUCT(
  (C7:G7 &lt;&gt; "") * TRANSPOSE(F4:F8 &lt;&gt; ""),
  (C7:G7 &lt; TRANSPOSE(F4:F8)) * 2 +
  (C7:G7 = TRANSPOSE(F4:F8)) * 1
)</f>
        <v>2</v>
      </c>
      <c r="G9" s="70">
        <f t="array" ref="G9">SUMPRODUCT(
  (C8:G8 &lt;&gt; "") * TRANSPOSE(G4:G8 &lt;&gt; ""),
  (C8:G8 &lt; TRANSPOSE(G4:G8)) * 2 +
  (C8:G8 = TRANSPOSE(G4:G8)) * 1
)</f>
        <v>8</v>
      </c>
      <c r="H9" s="71"/>
      <c r="I9" s="45"/>
      <c r="J9" s="72" t="s">
        <v>108</v>
      </c>
      <c r="K9" s="73">
        <f t="array" ref="K9">SUMPRODUCT(
  (K4:O4 &lt;&gt; "") * TRANSPOSE(K4:K8 &lt;&gt; ""),
  (K4:O4 &lt; TRANSPOSE(K4:K8)) * 2 +
  (K4:O4 = TRANSPOSE(K4:K8)) * 1
)</f>
        <v>4</v>
      </c>
      <c r="L9" s="73">
        <f t="array" ref="L9">SUMPRODUCT(
  (K5:O5 &lt;&gt; "") * TRANSPOSE(L4:L8 &lt;&gt; ""),
  (K5:O5 &lt; TRANSPOSE(L4:L8)) * 2 +
  (K5:O5 = TRANSPOSE(L4:L8)) * 1
)</f>
        <v>6</v>
      </c>
      <c r="M9" s="73">
        <f t="array" ref="M9">SUMPRODUCT(
  (K6:O6 &lt;&gt; "") * TRANSPOSE(M4:M8 &lt;&gt; ""),
  (K6:O6 &lt; TRANSPOSE(M4:M8)) * 2 +
  (K6:O6 = TRANSPOSE(M4:M8)) * 1
)</f>
        <v>4</v>
      </c>
      <c r="N9" s="73">
        <f t="array" ref="N9">SUMPRODUCT(
  (K7:O7 &lt;&gt; "") * TRANSPOSE(N4:N8 &lt;&gt; ""),
  (K7:O7 &lt; TRANSPOSE(N4:N8)) * 2 +
  (K7:O7 = TRANSPOSE(N4:N8)) * 1
)</f>
        <v>2</v>
      </c>
      <c r="O9" s="73">
        <f t="array" ref="O9">SUMPRODUCT(
  (K8:O8 &lt;&gt; "") * TRANSPOSE(O4:O8 &lt;&gt; ""),
  (K8:O8 &lt; TRANSPOSE(O4:O8)) * 2 +
  (K8:O8 = TRANSPOSE(O4:O8)) * 1
)</f>
        <v>4</v>
      </c>
      <c r="P9" s="71"/>
      <c r="Q9" s="45"/>
      <c r="R9" s="56" t="str">
        <f>IFERROR(__xludf.DUMMYFUNCTION("""COMPUTED_VALUE"""),"Evergreen 1")</f>
        <v>Evergreen 1</v>
      </c>
      <c r="S9" s="56">
        <f>IFERROR(__xludf.DUMMYFUNCTION("""COMPUTED_VALUE"""),6.0138)</f>
        <v>6.0138</v>
      </c>
      <c r="T9" s="45"/>
      <c r="U9" s="45"/>
      <c r="V9" s="45"/>
      <c r="W9" s="45"/>
      <c r="X9" s="45"/>
      <c r="Y9" s="45"/>
      <c r="Z9" s="45"/>
    </row>
    <row r="10">
      <c r="A10" s="45"/>
      <c r="B10" s="74" t="s">
        <v>109</v>
      </c>
      <c r="C10" s="75">
        <f t="shared" ref="C10:G10" si="3">C9+C11/10000</f>
        <v>4.0308</v>
      </c>
      <c r="D10" s="75">
        <f t="shared" si="3"/>
        <v>6.0334</v>
      </c>
      <c r="E10" s="75">
        <f t="shared" si="3"/>
        <v>0.0118</v>
      </c>
      <c r="F10" s="75">
        <f t="shared" si="3"/>
        <v>2.017</v>
      </c>
      <c r="G10" s="75">
        <f t="shared" si="3"/>
        <v>8.047</v>
      </c>
      <c r="H10" s="76"/>
      <c r="I10" s="45"/>
      <c r="J10" s="77" t="s">
        <v>109</v>
      </c>
      <c r="K10" s="75">
        <f t="shared" ref="K10:O10" si="4">K9+K11/10000</f>
        <v>4.0266</v>
      </c>
      <c r="L10" s="75">
        <f t="shared" si="4"/>
        <v>6.0346</v>
      </c>
      <c r="M10" s="75">
        <f t="shared" si="4"/>
        <v>4.0346</v>
      </c>
      <c r="N10" s="75">
        <f t="shared" si="4"/>
        <v>2.0194</v>
      </c>
      <c r="O10" s="75">
        <f t="shared" si="4"/>
        <v>4.0356</v>
      </c>
      <c r="P10" s="78"/>
      <c r="Q10" s="45"/>
      <c r="R10" s="56" t="str">
        <f>IFERROR(__xludf.DUMMYFUNCTION("""COMPUTED_VALUE"""),"Iolani 1")</f>
        <v>Iolani 1</v>
      </c>
      <c r="S10" s="56">
        <f>IFERROR(__xludf.DUMMYFUNCTION("""COMPUTED_VALUE"""),4.0356)</f>
        <v>4.0356</v>
      </c>
      <c r="T10" s="45"/>
      <c r="U10" s="45"/>
      <c r="V10" s="45"/>
      <c r="W10" s="45"/>
      <c r="X10" s="45"/>
      <c r="Y10" s="45"/>
      <c r="Z10" s="45"/>
    </row>
    <row r="11">
      <c r="A11" s="45"/>
      <c r="B11" s="74" t="s">
        <v>110</v>
      </c>
      <c r="C11" s="79">
        <f t="shared" ref="C11:G11" si="5">SUM(C4:C8)</f>
        <v>308</v>
      </c>
      <c r="D11" s="79">
        <f t="shared" si="5"/>
        <v>334</v>
      </c>
      <c r="E11" s="79">
        <f t="shared" si="5"/>
        <v>118</v>
      </c>
      <c r="F11" s="79">
        <f t="shared" si="5"/>
        <v>170</v>
      </c>
      <c r="G11" s="79">
        <f t="shared" si="5"/>
        <v>470</v>
      </c>
      <c r="H11" s="80"/>
      <c r="I11" s="45"/>
      <c r="J11" s="74" t="s">
        <v>110</v>
      </c>
      <c r="K11" s="79">
        <f t="shared" ref="K11:O11" si="6">SUM(K4:K8)</f>
        <v>266</v>
      </c>
      <c r="L11" s="79">
        <f t="shared" si="6"/>
        <v>346</v>
      </c>
      <c r="M11" s="79">
        <f t="shared" si="6"/>
        <v>346</v>
      </c>
      <c r="N11" s="79">
        <f t="shared" si="6"/>
        <v>194</v>
      </c>
      <c r="O11" s="79">
        <f t="shared" si="6"/>
        <v>356</v>
      </c>
      <c r="P11" s="80"/>
      <c r="Q11" s="45"/>
      <c r="R11" s="81" t="str">
        <f>IFERROR(__xludf.DUMMYFUNCTION("""COMPUTED_VALUE"""),"AIOB")</f>
        <v>AIOB</v>
      </c>
      <c r="S11" s="81">
        <f>IFERROR(__xludf.DUMMYFUNCTION("""COMPUTED_VALUE"""),4.0346)</f>
        <v>4.0346</v>
      </c>
      <c r="T11" s="45"/>
      <c r="U11" s="45"/>
      <c r="V11" s="45"/>
      <c r="W11" s="45"/>
      <c r="X11" s="45"/>
      <c r="Y11" s="45"/>
      <c r="Z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81" t="str">
        <f>IFERROR(__xludf.DUMMYFUNCTION("""COMPUTED_VALUE"""),"Thomas Jefferson 1")</f>
        <v>Thomas Jefferson 1</v>
      </c>
      <c r="S12" s="81">
        <f>IFERROR(__xludf.DUMMYFUNCTION("""COMPUTED_VALUE"""),4.0308)</f>
        <v>4.0308</v>
      </c>
      <c r="T12" s="45"/>
      <c r="U12" s="45"/>
      <c r="V12" s="45"/>
      <c r="W12" s="45"/>
      <c r="X12" s="45"/>
      <c r="Y12" s="45"/>
      <c r="Z12" s="45"/>
    </row>
    <row r="13">
      <c r="A13" s="45"/>
      <c r="B13" s="57"/>
      <c r="C13" s="45"/>
      <c r="D13" s="45"/>
      <c r="E13" s="45"/>
      <c r="F13" s="57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81" t="str">
        <f>IFERROR(__xludf.DUMMYFUNCTION("""COMPUTED_VALUE"""),"North Hollywood ")</f>
        <v>North Hollywood </v>
      </c>
      <c r="S13" s="81">
        <f>IFERROR(__xludf.DUMMYFUNCTION("""COMPUTED_VALUE"""),4.0302)</f>
        <v>4.0302</v>
      </c>
      <c r="T13" s="45"/>
      <c r="U13" s="45"/>
      <c r="V13" s="45"/>
      <c r="W13" s="45"/>
      <c r="X13" s="45"/>
      <c r="Y13" s="45"/>
      <c r="Z13" s="45"/>
    </row>
    <row r="14">
      <c r="A14" s="45"/>
      <c r="B14" s="46" t="s">
        <v>39</v>
      </c>
      <c r="C14" s="47"/>
      <c r="D14" s="47"/>
      <c r="E14" s="47"/>
      <c r="F14" s="47"/>
      <c r="G14" s="47"/>
      <c r="H14" s="48"/>
      <c r="I14" s="45"/>
      <c r="J14" s="46" t="s">
        <v>40</v>
      </c>
      <c r="K14" s="47"/>
      <c r="L14" s="47"/>
      <c r="M14" s="47"/>
      <c r="N14" s="47"/>
      <c r="O14" s="47"/>
      <c r="P14" s="48"/>
      <c r="Q14" s="45"/>
      <c r="R14" s="81" t="str">
        <f>IFERROR(__xludf.DUMMYFUNCTION("""COMPUTED_VALUE"""),"WWPS")</f>
        <v>WWPS</v>
      </c>
      <c r="S14" s="81">
        <f>IFERROR(__xludf.DUMMYFUNCTION("""COMPUTED_VALUE"""),4.0266)</f>
        <v>4.0266</v>
      </c>
      <c r="T14" s="45"/>
      <c r="U14" s="45"/>
      <c r="V14" s="45"/>
      <c r="W14" s="45"/>
      <c r="X14" s="45"/>
      <c r="Y14" s="45"/>
      <c r="Z14" s="45"/>
    </row>
    <row r="15">
      <c r="A15" s="45"/>
      <c r="B15" s="55"/>
      <c r="C15" s="51" t="str">
        <f>B16</f>
        <v>MSJ 1</v>
      </c>
      <c r="D15" s="52" t="str">
        <f>B17</f>
        <v>Dulles 2</v>
      </c>
      <c r="E15" s="52" t="str">
        <f>B18</f>
        <v>James Clemens</v>
      </c>
      <c r="F15" s="53" t="str">
        <f>B19</f>
        <v>Evergreen 1</v>
      </c>
      <c r="G15" s="52" t="str">
        <f>B20</f>
        <v>Iolani 2</v>
      </c>
      <c r="H15" s="54" t="s">
        <v>97</v>
      </c>
      <c r="I15" s="45"/>
      <c r="J15" s="55"/>
      <c r="K15" s="51" t="str">
        <f>J16</f>
        <v>Blair</v>
      </c>
      <c r="L15" s="52" t="str">
        <f>J17</f>
        <v>North Hollywood </v>
      </c>
      <c r="M15" s="52" t="str">
        <f>J18</f>
        <v>Lexington</v>
      </c>
      <c r="N15" s="53" t="str">
        <f>J19</f>
        <v>Canyon Crest 1</v>
      </c>
      <c r="O15" s="82" t="s">
        <v>63</v>
      </c>
      <c r="P15" s="54" t="s">
        <v>97</v>
      </c>
      <c r="Q15" s="45"/>
      <c r="R15" s="81" t="str">
        <f>IFERROR(__xludf.DUMMYFUNCTION("""COMPUTED_VALUE"""),"James Clemens")</f>
        <v>James Clemens</v>
      </c>
      <c r="S15" s="81">
        <f>IFERROR(__xludf.DUMMYFUNCTION("""COMPUTED_VALUE"""),4.0222)</f>
        <v>4.0222</v>
      </c>
      <c r="T15" s="45"/>
      <c r="U15" s="45"/>
      <c r="V15" s="45"/>
      <c r="W15" s="45"/>
      <c r="X15" s="45"/>
      <c r="Y15" s="45"/>
      <c r="Z15" s="45"/>
    </row>
    <row r="16">
      <c r="A16" s="45"/>
      <c r="B16" s="62" t="str">
        <f>'RR &amp; Schedule'!F10</f>
        <v>MSJ 1</v>
      </c>
      <c r="C16" s="63"/>
      <c r="D16" s="60">
        <v>8.0</v>
      </c>
      <c r="E16" s="60">
        <v>36.0</v>
      </c>
      <c r="F16" s="60">
        <v>38.0</v>
      </c>
      <c r="G16" s="64">
        <v>14.0</v>
      </c>
      <c r="H16" s="65">
        <f t="shared" ref="H16:H20" si="7">sum(C16:G16)</f>
        <v>96</v>
      </c>
      <c r="I16" s="45"/>
      <c r="J16" s="62" t="str">
        <f>'RR &amp; Schedule'!I10</f>
        <v>Blair</v>
      </c>
      <c r="K16" s="63"/>
      <c r="L16" s="60">
        <v>8.0</v>
      </c>
      <c r="M16" s="60">
        <v>38.0</v>
      </c>
      <c r="N16" s="60">
        <v>52.0</v>
      </c>
      <c r="O16" s="64">
        <v>22.0</v>
      </c>
      <c r="P16" s="65">
        <f t="shared" ref="P16:P20" si="8">sum(K16:O16)</f>
        <v>120</v>
      </c>
      <c r="Q16" s="45"/>
      <c r="R16" s="81" t="str">
        <f>IFERROR(__xludf.DUMMYFUNCTION("""COMPUTED_VALUE"""),"MSJ 2")</f>
        <v>MSJ 2</v>
      </c>
      <c r="S16" s="81">
        <f>IFERROR(__xludf.DUMMYFUNCTION("""COMPUTED_VALUE"""),2.0194)</f>
        <v>2.0194</v>
      </c>
      <c r="T16" s="45"/>
      <c r="U16" s="45"/>
      <c r="V16" s="45"/>
      <c r="W16" s="45"/>
      <c r="X16" s="45"/>
      <c r="Y16" s="45"/>
      <c r="Z16" s="45"/>
    </row>
    <row r="17">
      <c r="A17" s="45"/>
      <c r="B17" s="62" t="str">
        <f>'RR &amp; Schedule'!F11</f>
        <v>Dulles 2</v>
      </c>
      <c r="C17" s="60">
        <v>106.0</v>
      </c>
      <c r="D17" s="63"/>
      <c r="E17" s="60">
        <v>134.0</v>
      </c>
      <c r="F17" s="60">
        <v>36.0</v>
      </c>
      <c r="G17" s="64">
        <v>6.0</v>
      </c>
      <c r="H17" s="65">
        <f t="shared" si="7"/>
        <v>282</v>
      </c>
      <c r="I17" s="45"/>
      <c r="J17" s="62" t="str">
        <f>'RR &amp; Schedule'!I11</f>
        <v>North Hollywood </v>
      </c>
      <c r="K17" s="60">
        <v>144.0</v>
      </c>
      <c r="L17" s="63"/>
      <c r="M17" s="60">
        <v>98.0</v>
      </c>
      <c r="N17" s="60">
        <v>8.0</v>
      </c>
      <c r="O17" s="64">
        <v>40.0</v>
      </c>
      <c r="P17" s="65">
        <f t="shared" si="8"/>
        <v>290</v>
      </c>
      <c r="Q17" s="45"/>
      <c r="R17" s="81" t="str">
        <f>IFERROR(__xludf.DUMMYFUNCTION("""COMPUTED_VALUE"""),"Canyon Crest 1")</f>
        <v>Canyon Crest 1</v>
      </c>
      <c r="S17" s="81">
        <f>IFERROR(__xludf.DUMMYFUNCTION("""COMPUTED_VALUE"""),2.0194)</f>
        <v>2.0194</v>
      </c>
      <c r="T17" s="45"/>
      <c r="U17" s="45"/>
      <c r="V17" s="45"/>
      <c r="W17" s="45"/>
      <c r="X17" s="45"/>
      <c r="Y17" s="45"/>
      <c r="Z17" s="45"/>
    </row>
    <row r="18">
      <c r="A18" s="45"/>
      <c r="B18" s="62" t="str">
        <f>'RR &amp; Schedule'!F12</f>
        <v>James Clemens</v>
      </c>
      <c r="C18" s="60">
        <v>90.0</v>
      </c>
      <c r="D18" s="60">
        <v>34.0</v>
      </c>
      <c r="E18" s="63"/>
      <c r="F18" s="60">
        <v>64.0</v>
      </c>
      <c r="G18" s="64">
        <v>-1.0</v>
      </c>
      <c r="H18" s="65">
        <f t="shared" si="7"/>
        <v>187</v>
      </c>
      <c r="I18" s="45"/>
      <c r="J18" s="62" t="str">
        <f>'RR &amp; Schedule'!I12</f>
        <v>Lexington</v>
      </c>
      <c r="K18" s="60">
        <v>148.0</v>
      </c>
      <c r="L18" s="60">
        <v>96.0</v>
      </c>
      <c r="M18" s="63"/>
      <c r="N18" s="60">
        <v>44.0</v>
      </c>
      <c r="O18" s="64">
        <v>18.0</v>
      </c>
      <c r="P18" s="65">
        <f t="shared" si="8"/>
        <v>306</v>
      </c>
      <c r="Q18" s="45"/>
      <c r="R18" s="81" t="str">
        <f>IFERROR(__xludf.DUMMYFUNCTION("""COMPUTED_VALUE"""),"Amador Valley")</f>
        <v>Amador Valley</v>
      </c>
      <c r="S18" s="81">
        <f>IFERROR(__xludf.DUMMYFUNCTION("""COMPUTED_VALUE"""),2.017)</f>
        <v>2.017</v>
      </c>
      <c r="T18" s="45"/>
      <c r="U18" s="45"/>
      <c r="V18" s="45"/>
      <c r="W18" s="45"/>
      <c r="X18" s="45"/>
      <c r="Y18" s="45"/>
      <c r="Z18" s="45"/>
    </row>
    <row r="19">
      <c r="A19" s="45"/>
      <c r="B19" s="62" t="str">
        <f>'RR &amp; Schedule'!F13</f>
        <v>Evergreen 1</v>
      </c>
      <c r="C19" s="60">
        <v>64.0</v>
      </c>
      <c r="D19" s="60">
        <v>24.0</v>
      </c>
      <c r="E19" s="60">
        <v>52.0</v>
      </c>
      <c r="F19" s="67"/>
      <c r="G19" s="64">
        <v>-1.0</v>
      </c>
      <c r="H19" s="65">
        <f t="shared" si="7"/>
        <v>139</v>
      </c>
      <c r="I19" s="45"/>
      <c r="J19" s="62" t="str">
        <f>'RR &amp; Schedule'!I13</f>
        <v>Canyon Crest 1</v>
      </c>
      <c r="K19" s="60">
        <v>144.0</v>
      </c>
      <c r="L19" s="60">
        <v>96.0</v>
      </c>
      <c r="M19" s="60">
        <v>132.0</v>
      </c>
      <c r="N19" s="67"/>
      <c r="O19" s="64">
        <v>22.0</v>
      </c>
      <c r="P19" s="65">
        <f t="shared" si="8"/>
        <v>394</v>
      </c>
      <c r="Q19" s="45"/>
      <c r="R19" s="81" t="str">
        <f>IFERROR(__xludf.DUMMYFUNCTION("""COMPUTED_VALUE"""),"Dulles 2")</f>
        <v>Dulles 2</v>
      </c>
      <c r="S19" s="81">
        <f>IFERROR(__xludf.DUMMYFUNCTION("""COMPUTED_VALUE"""),2.0084)</f>
        <v>2.0084</v>
      </c>
      <c r="T19" s="45"/>
      <c r="U19" s="45"/>
      <c r="V19" s="45"/>
      <c r="W19" s="45"/>
      <c r="X19" s="45"/>
      <c r="Y19" s="45"/>
      <c r="Z19" s="45"/>
    </row>
    <row r="20">
      <c r="A20" s="45"/>
      <c r="B20" s="62" t="str">
        <f>'RR &amp; Schedule'!F14</f>
        <v>Iolani 2</v>
      </c>
      <c r="C20" s="60">
        <v>100.0</v>
      </c>
      <c r="D20" s="60">
        <v>18.0</v>
      </c>
      <c r="E20" s="60">
        <v>0.0</v>
      </c>
      <c r="F20" s="60">
        <v>0.0</v>
      </c>
      <c r="G20" s="63"/>
      <c r="H20" s="68">
        <f t="shared" si="7"/>
        <v>118</v>
      </c>
      <c r="I20" s="45"/>
      <c r="J20" s="69" t="s">
        <v>63</v>
      </c>
      <c r="K20" s="60">
        <v>186.0</v>
      </c>
      <c r="L20" s="60">
        <v>102.0</v>
      </c>
      <c r="M20" s="60">
        <v>96.0</v>
      </c>
      <c r="N20" s="60">
        <v>90.0</v>
      </c>
      <c r="O20" s="63"/>
      <c r="P20" s="68">
        <f t="shared" si="8"/>
        <v>474</v>
      </c>
      <c r="Q20" s="45"/>
      <c r="R20" s="81" t="str">
        <f>IFERROR(__xludf.DUMMYFUNCTION("""COMPUTED_VALUE"""),"Collierville 1")</f>
        <v>Collierville 1</v>
      </c>
      <c r="S20" s="81">
        <f>IFERROR(__xludf.DUMMYFUNCTION("""COMPUTED_VALUE"""),0.0118)</f>
        <v>0.0118</v>
      </c>
      <c r="T20" s="45"/>
      <c r="U20" s="45"/>
      <c r="V20" s="45"/>
      <c r="W20" s="45"/>
      <c r="X20" s="45"/>
      <c r="Y20" s="45"/>
      <c r="Z20" s="45"/>
    </row>
    <row r="21">
      <c r="A21" s="45"/>
      <c r="B21" s="72" t="s">
        <v>108</v>
      </c>
      <c r="C21" s="73">
        <f t="array" ref="C21">SUMPRODUCT(
  (C16:G16 &lt;&gt; "") * TRANSPOSE(C16:C20 &lt;&gt; ""),
  (C16:G16 &lt; TRANSPOSE(C16:C20)) * 2 +
  (C16:G16 = TRANSPOSE(C16:C20)) * 1
)</f>
        <v>8</v>
      </c>
      <c r="D21" s="73">
        <f t="array" ref="D21">SUMPRODUCT(
  (C17:G17 &lt;&gt; "") * TRANSPOSE(D16:D20 &lt;&gt; ""),
  (C17:G17 &lt; TRANSPOSE(D16:D20)) * 2 +
  (C17:G17 = TRANSPOSE(D16:D20)) * 1
)</f>
        <v>2</v>
      </c>
      <c r="E21" s="73">
        <f t="array" ref="E21">SUMPRODUCT(
  (C18:G18 &lt;&gt; "") * TRANSPOSE(E16:E20 &lt;&gt; ""),
  (C18:G18 &lt; TRANSPOSE(E16:E20)) * 2 +
  (C18:G18 = TRANSPOSE(E16:E20)) * 1
)</f>
        <v>4</v>
      </c>
      <c r="F21" s="73">
        <f t="array" ref="F21">SUMPRODUCT(
  (C19:G19 &lt;&gt; "") * TRANSPOSE(F16:F20 &lt;&gt; ""),
  (C19:G19 &lt; TRANSPOSE(F16:F20)) * 2 +
  (C19:G19 = TRANSPOSE(F16:F20)) * 1
)</f>
        <v>6</v>
      </c>
      <c r="G21" s="73">
        <f t="array" ref="G21">SUMPRODUCT(
  (C20:G20 &lt;&gt; "") * TRANSPOSE(G16:G20 &lt;&gt; ""),
  (C20:G20 &lt; TRANSPOSE(G16:G20)) * 2 +
  (C20:G20 = TRANSPOSE(G16:G20)) * 1
)</f>
        <v>0</v>
      </c>
      <c r="H21" s="83"/>
      <c r="I21" s="45"/>
      <c r="J21" s="72" t="s">
        <v>108</v>
      </c>
      <c r="K21" s="84">
        <f t="array" ref="K21">SUMPRODUCT(
  (K16:O16 &lt;&gt; "") * TRANSPOSE(K16:K20 &lt;&gt; ""),
  (K16:O16 &lt; TRANSPOSE(K16:K20)) * 2 +
  (K16:O16 = TRANSPOSE(K16:K20)) * 1
)</f>
        <v>8</v>
      </c>
      <c r="L21" s="84">
        <f t="array" ref="L21">SUMPRODUCT(
  (K17:O17 &lt;&gt; "") * TRANSPOSE(L16:L20 &lt;&gt; ""),
  (K17:O17 &lt; TRANSPOSE(L16:L20)) * 2 +
  (K17:O17 = TRANSPOSE(L16:L20)) * 1
)</f>
        <v>4</v>
      </c>
      <c r="M21" s="84">
        <f t="array" ref="M21">SUMPRODUCT(
  (K18:O18 &lt;&gt; "") * TRANSPOSE(M16:M20 &lt;&gt; ""),
  (K18:O18 &lt; TRANSPOSE(M16:M20)) * 2 +
  (K18:O18 = TRANSPOSE(M16:M20)) * 1
)</f>
        <v>6</v>
      </c>
      <c r="N21" s="84">
        <f t="array" ref="N21">SUMPRODUCT(
  (K19:O19 &lt;&gt; "") * TRANSPOSE(N16:N20 &lt;&gt; ""),
  (K19:O19 &lt; TRANSPOSE(N16:N20)) * 2 +
  (K19:O19 = TRANSPOSE(N16:N20)) * 1
)</f>
        <v>2</v>
      </c>
      <c r="O21" s="84">
        <f t="array" ref="O21">SUMPRODUCT(
  (K20:O20 &lt;&gt; "") * TRANSPOSE(O16:O20 &lt;&gt; ""),
  (K20:O20 &lt; TRANSPOSE(O16:O20)) * 2 +
  (K20:O20 = TRANSPOSE(O16:O20)) * 1
)</f>
        <v>0</v>
      </c>
      <c r="P21" s="71"/>
      <c r="Q21" s="45"/>
      <c r="R21" s="81" t="str">
        <f>IFERROR(__xludf.DUMMYFUNCTION("""COMPUTED_VALUE"""),"Collierville 2")</f>
        <v>Collierville 2</v>
      </c>
      <c r="S21" s="81">
        <f>IFERROR(__xludf.DUMMYFUNCTION("""COMPUTED_VALUE"""),0.0102)</f>
        <v>0.0102</v>
      </c>
      <c r="T21" s="45"/>
      <c r="U21" s="45"/>
      <c r="V21" s="45"/>
      <c r="W21" s="45"/>
      <c r="X21" s="45"/>
      <c r="Y21" s="45"/>
      <c r="Z21" s="45"/>
    </row>
    <row r="22">
      <c r="A22" s="45"/>
      <c r="B22" s="77" t="s">
        <v>109</v>
      </c>
      <c r="C22" s="75">
        <f t="shared" ref="C22:G22" si="9">C21+C23/10000</f>
        <v>8.036</v>
      </c>
      <c r="D22" s="75">
        <f t="shared" si="9"/>
        <v>2.0084</v>
      </c>
      <c r="E22" s="75">
        <f t="shared" si="9"/>
        <v>4.0222</v>
      </c>
      <c r="F22" s="75">
        <f t="shared" si="9"/>
        <v>6.0138</v>
      </c>
      <c r="G22" s="75">
        <f t="shared" si="9"/>
        <v>0.0018</v>
      </c>
      <c r="H22" s="85"/>
      <c r="I22" s="45"/>
      <c r="J22" s="77" t="s">
        <v>109</v>
      </c>
      <c r="K22" s="75">
        <f t="shared" ref="K22:O22" si="10">K21+K23/10000</f>
        <v>8.0622</v>
      </c>
      <c r="L22" s="75">
        <f t="shared" si="10"/>
        <v>4.0302</v>
      </c>
      <c r="M22" s="75">
        <f t="shared" si="10"/>
        <v>6.0364</v>
      </c>
      <c r="N22" s="75">
        <f t="shared" si="10"/>
        <v>2.0194</v>
      </c>
      <c r="O22" s="75">
        <f t="shared" si="10"/>
        <v>0.0102</v>
      </c>
      <c r="P22" s="78"/>
      <c r="Q22" s="45"/>
      <c r="R22" s="81" t="str">
        <f>IFERROR(__xludf.DUMMYFUNCTION("""COMPUTED_VALUE"""),"Iolani 2")</f>
        <v>Iolani 2</v>
      </c>
      <c r="S22" s="81">
        <f>IFERROR(__xludf.DUMMYFUNCTION("""COMPUTED_VALUE"""),0.0018)</f>
        <v>0.0018</v>
      </c>
      <c r="T22" s="45"/>
      <c r="U22" s="45"/>
      <c r="V22" s="45"/>
      <c r="W22" s="45"/>
      <c r="X22" s="45"/>
      <c r="Y22" s="45"/>
      <c r="Z22" s="45"/>
    </row>
    <row r="23">
      <c r="A23" s="45"/>
      <c r="B23" s="74" t="s">
        <v>110</v>
      </c>
      <c r="C23" s="79">
        <f t="shared" ref="C23:G23" si="11">SUM(C16:C20)</f>
        <v>360</v>
      </c>
      <c r="D23" s="79">
        <f t="shared" si="11"/>
        <v>84</v>
      </c>
      <c r="E23" s="79">
        <f t="shared" si="11"/>
        <v>222</v>
      </c>
      <c r="F23" s="79">
        <f t="shared" si="11"/>
        <v>138</v>
      </c>
      <c r="G23" s="79">
        <f t="shared" si="11"/>
        <v>18</v>
      </c>
      <c r="H23" s="80"/>
      <c r="I23" s="45"/>
      <c r="J23" s="74" t="s">
        <v>110</v>
      </c>
      <c r="K23" s="79">
        <f t="shared" ref="K23:O23" si="12">SUM(K16:K20)</f>
        <v>622</v>
      </c>
      <c r="L23" s="79">
        <f t="shared" si="12"/>
        <v>302</v>
      </c>
      <c r="M23" s="79">
        <f t="shared" si="12"/>
        <v>364</v>
      </c>
      <c r="N23" s="79">
        <f t="shared" si="12"/>
        <v>194</v>
      </c>
      <c r="O23" s="79">
        <f t="shared" si="12"/>
        <v>102</v>
      </c>
      <c r="P23" s="80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5">
    <mergeCell ref="B2:H2"/>
    <mergeCell ref="J2:P2"/>
    <mergeCell ref="R2:S2"/>
    <mergeCell ref="B14:H14"/>
    <mergeCell ref="J14:P14"/>
  </mergeCells>
  <conditionalFormatting sqref="B3:B10 C3:C4 D3:G3 H3:H10 K3:K4 L3:P3 J4:J8 D5 L5 E6 M6 F7 N7 G8:G10 O8:O10 C9:F10 K9:N10 C15:C16 D15:H15 K15:K16 L15:P15 B16:B20 J16:J20 D17 L17 E18 M18 F19 N19 G20:G22 O20:O22 C21:F22 K21:N22">
    <cfRule type="notContainsBlanks" dxfId="1" priority="1">
      <formula>LEN(TRIM(B3))&gt;0</formula>
    </cfRule>
  </conditionalFormatting>
  <conditionalFormatting sqref="B3:B10 C3:C4 D3:G3 H3:H10 K3:K4 L3:P3 J4:J8 D5 L5 E6 M6 F7 N7 G8:G10 O8:O10 C9:F10 K9:N10 C15:C16 D15:H15 K15:K16 L15:P15 B16:B20 J16:J20 D17 L17 E18 M18 F19 N19 G20:G22 O20:O22 C21:F22 K21:N22">
    <cfRule type="notContainsBlanks" dxfId="1" priority="2">
      <formula>LEN(TRIM(B3))&gt;0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86"/>
      <c r="B1" s="87" t="s">
        <v>55</v>
      </c>
      <c r="C1" s="88"/>
      <c r="D1" s="87" t="s">
        <v>60</v>
      </c>
      <c r="E1" s="88"/>
      <c r="F1" s="87" t="s">
        <v>65</v>
      </c>
      <c r="G1" s="88"/>
      <c r="H1" s="87" t="s">
        <v>67</v>
      </c>
      <c r="I1" s="88"/>
      <c r="J1" s="87" t="s">
        <v>70</v>
      </c>
      <c r="K1" s="88"/>
      <c r="L1" s="87" t="s">
        <v>78</v>
      </c>
      <c r="M1" s="88"/>
      <c r="N1" s="87" t="s">
        <v>111</v>
      </c>
      <c r="O1" s="88"/>
      <c r="P1" s="88"/>
      <c r="Q1" s="88"/>
      <c r="R1" s="88"/>
      <c r="S1" s="88"/>
      <c r="T1" s="88"/>
      <c r="U1" s="88"/>
      <c r="V1" s="88"/>
      <c r="W1" s="88"/>
      <c r="X1" s="86"/>
      <c r="Y1" s="86"/>
      <c r="Z1" s="86"/>
    </row>
    <row r="2" ht="15.75" customHeight="1">
      <c r="A2" s="86"/>
      <c r="B2" s="89" t="s">
        <v>112</v>
      </c>
      <c r="C2" s="88"/>
      <c r="D2" s="89" t="s">
        <v>113</v>
      </c>
      <c r="E2" s="88"/>
      <c r="F2" s="89" t="s">
        <v>66</v>
      </c>
      <c r="G2" s="88"/>
      <c r="H2" s="89" t="s">
        <v>68</v>
      </c>
      <c r="I2" s="88"/>
      <c r="J2" s="89" t="s">
        <v>71</v>
      </c>
      <c r="K2" s="88"/>
      <c r="L2" s="89" t="s">
        <v>79</v>
      </c>
      <c r="M2" s="88"/>
      <c r="N2" s="89" t="s">
        <v>114</v>
      </c>
      <c r="O2" s="88"/>
      <c r="P2" s="88"/>
      <c r="Q2" s="88"/>
      <c r="R2" s="88"/>
      <c r="S2" s="88"/>
      <c r="T2" s="88"/>
      <c r="U2" s="88"/>
      <c r="V2" s="88"/>
      <c r="W2" s="88"/>
      <c r="X2" s="86"/>
      <c r="Y2" s="86"/>
      <c r="Z2" s="86"/>
    </row>
    <row r="3" ht="15.75" customHeight="1">
      <c r="A3" s="86"/>
      <c r="B3" s="89"/>
      <c r="C3" s="88"/>
      <c r="D3" s="89"/>
      <c r="E3" s="88"/>
      <c r="F3" s="89"/>
      <c r="G3" s="89"/>
      <c r="H3" s="89"/>
      <c r="I3" s="88"/>
      <c r="J3" s="89"/>
      <c r="K3" s="88"/>
      <c r="L3" s="89"/>
      <c r="M3" s="88"/>
      <c r="N3" s="89"/>
      <c r="O3" s="88"/>
      <c r="P3" s="88"/>
      <c r="Q3" s="88"/>
      <c r="R3" s="88"/>
      <c r="S3" s="88"/>
      <c r="T3" s="88"/>
      <c r="U3" s="88"/>
      <c r="V3" s="88"/>
      <c r="W3" s="88"/>
      <c r="X3" s="86"/>
      <c r="Y3" s="86"/>
      <c r="Z3" s="86"/>
    </row>
    <row r="4" ht="15.75" customHeight="1">
      <c r="A4" s="86"/>
      <c r="B4" s="88"/>
      <c r="C4" s="88"/>
      <c r="D4" s="88"/>
      <c r="E4" s="88"/>
      <c r="F4" s="88"/>
      <c r="G4" s="89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6"/>
      <c r="Y4" s="86"/>
      <c r="Z4" s="86"/>
    </row>
    <row r="5" ht="15.75" customHeight="1">
      <c r="A5" s="86"/>
      <c r="B5" s="90" t="s">
        <v>115</v>
      </c>
      <c r="C5" s="86"/>
      <c r="D5" s="86"/>
      <c r="E5" s="86"/>
      <c r="F5" s="86"/>
      <c r="G5" s="91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5.75" customHeight="1">
      <c r="A6" s="86"/>
      <c r="B6" s="86"/>
      <c r="C6" s="92"/>
      <c r="D6" s="92"/>
      <c r="E6" s="92"/>
      <c r="F6" s="92"/>
      <c r="G6" s="93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86"/>
      <c r="T6" s="86"/>
      <c r="U6" s="86"/>
      <c r="V6" s="86"/>
      <c r="W6" s="86"/>
      <c r="X6" s="86"/>
      <c r="Y6" s="86"/>
      <c r="Z6" s="86"/>
    </row>
    <row r="7" ht="15.75" customHeight="1">
      <c r="A7" s="86"/>
      <c r="B7" s="94" t="str">
        <f>'RR Results &amp; Seeding'!R3</f>
        <v>Blair</v>
      </c>
      <c r="C7" s="95"/>
      <c r="D7" s="86"/>
      <c r="E7" s="86"/>
      <c r="F7" s="86"/>
      <c r="G7" s="91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5.75" customHeight="1">
      <c r="A8" s="86"/>
      <c r="B8" s="86"/>
      <c r="C8" s="96"/>
      <c r="D8" s="86"/>
      <c r="E8" s="86"/>
      <c r="F8" s="86"/>
      <c r="G8" s="91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5.75" customHeight="1">
      <c r="A9" s="86"/>
      <c r="B9" s="91" t="s">
        <v>116</v>
      </c>
      <c r="C9" s="97" t="s">
        <v>117</v>
      </c>
      <c r="D9" s="94" t="str">
        <f>IF(C9="", "", 
   IF(LEFT(C9, FIND("-", C9)-1)*1 &gt; MID(C9, FIND("-", C9)+1, LEN(C9))*1, B7, B11))</f>
        <v>Blair</v>
      </c>
      <c r="E9" s="98"/>
      <c r="F9" s="86"/>
      <c r="G9" s="91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5.75" customHeight="1">
      <c r="A10" s="86"/>
      <c r="B10" s="86"/>
      <c r="C10" s="99" t="s">
        <v>72</v>
      </c>
      <c r="D10" s="86"/>
      <c r="E10" s="96"/>
      <c r="F10" s="86"/>
      <c r="G10" s="91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5.75" customHeight="1">
      <c r="A11" s="86"/>
      <c r="B11" s="94" t="str">
        <f>'RR Results &amp; Seeding'!R10</f>
        <v>Iolani 1</v>
      </c>
      <c r="C11" s="100"/>
      <c r="D11" s="86"/>
      <c r="E11" s="9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5.75" customHeight="1">
      <c r="A12" s="86"/>
      <c r="B12" s="86"/>
      <c r="C12" s="86"/>
      <c r="D12" s="86"/>
      <c r="E12" s="9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5.75" customHeight="1">
      <c r="A13" s="86"/>
      <c r="B13" s="86"/>
      <c r="C13" s="86"/>
      <c r="D13" s="91" t="s">
        <v>118</v>
      </c>
      <c r="E13" s="97" t="s">
        <v>119</v>
      </c>
      <c r="F13" s="101" t="str">
        <f>IF(E13="", "", 
   IF(LEFT(E13, FIND("-", E13)-1)*1 &gt; MID(E13, FIND("-", E13)+1, LEN(E13))*1, D9, D17))</f>
        <v>Blair</v>
      </c>
      <c r="G13" s="101"/>
      <c r="H13" s="98" t="str">
        <f>IF(E13="", "", 
   IF(LEFT(E13, FIND("-", E13)-1)*1 &gt; MID(E13, FIND("-", E13)+1, LEN(E13))*1, D9, D17))</f>
        <v>Blair</v>
      </c>
      <c r="I13" s="98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5.75" customHeight="1">
      <c r="A14" s="86"/>
      <c r="B14" s="86"/>
      <c r="C14" s="86"/>
      <c r="D14" s="86"/>
      <c r="E14" s="99" t="s">
        <v>72</v>
      </c>
      <c r="F14" s="91"/>
      <c r="G14" s="86"/>
      <c r="H14" s="88"/>
      <c r="I14" s="102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5.75" customHeight="1">
      <c r="A15" s="86"/>
      <c r="B15" s="94" t="str">
        <f>'RR Results &amp; Seeding'!R6</f>
        <v>Lexington</v>
      </c>
      <c r="C15" s="95"/>
      <c r="D15" s="86"/>
      <c r="E15" s="96"/>
      <c r="F15" s="86"/>
      <c r="G15" s="86"/>
      <c r="H15" s="88"/>
      <c r="I15" s="102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5.75" customHeight="1">
      <c r="A16" s="86"/>
      <c r="B16" s="86"/>
      <c r="C16" s="96"/>
      <c r="D16" s="86"/>
      <c r="E16" s="96"/>
      <c r="F16" s="86"/>
      <c r="G16" s="86"/>
      <c r="H16" s="88"/>
      <c r="I16" s="102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5.75" customHeight="1">
      <c r="A17" s="86"/>
      <c r="B17" s="91" t="s">
        <v>120</v>
      </c>
      <c r="C17" s="97" t="s">
        <v>121</v>
      </c>
      <c r="D17" s="94" t="str">
        <f>IF(C17="", "", 
   IF(LEFT(C17, FIND("-", C17)-1)*1 &gt; MID(C17, FIND("-", C17)+1, LEN(C17))*1, B15, B19))</f>
        <v>Basis Silicon Valley</v>
      </c>
      <c r="E17" s="103"/>
      <c r="F17" s="86"/>
      <c r="G17" s="86"/>
      <c r="H17" s="88"/>
      <c r="I17" s="102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5.75" customHeight="1">
      <c r="A18" s="86"/>
      <c r="B18" s="86"/>
      <c r="C18" s="99" t="s">
        <v>80</v>
      </c>
      <c r="D18" s="86"/>
      <c r="E18" s="86"/>
      <c r="F18" s="86"/>
      <c r="G18" s="86"/>
      <c r="H18" s="88"/>
      <c r="I18" s="102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5.75" customHeight="1">
      <c r="A19" s="86"/>
      <c r="B19" s="94" t="str">
        <f>'RR Results &amp; Seeding'!R7</f>
        <v>Basis Silicon Valley</v>
      </c>
      <c r="C19" s="100"/>
      <c r="D19" s="86"/>
      <c r="E19" s="86"/>
      <c r="F19" s="86"/>
      <c r="G19" s="86"/>
      <c r="H19" s="88"/>
      <c r="I19" s="102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5.75" customHeight="1">
      <c r="A20" s="86"/>
      <c r="B20" s="86"/>
      <c r="C20" s="86"/>
      <c r="D20" s="86"/>
      <c r="E20" s="86"/>
      <c r="F20" s="86"/>
      <c r="G20" s="86"/>
      <c r="H20" s="88"/>
      <c r="I20" s="102"/>
      <c r="J20" s="86"/>
      <c r="K20" s="86"/>
      <c r="L20" s="86"/>
      <c r="M20" s="91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5.75" customHeight="1">
      <c r="A21" s="86"/>
      <c r="B21" s="86"/>
      <c r="C21" s="86"/>
      <c r="D21" s="86"/>
      <c r="E21" s="86"/>
      <c r="F21" s="91" t="s">
        <v>88</v>
      </c>
      <c r="G21" s="86"/>
      <c r="H21" s="89" t="s">
        <v>122</v>
      </c>
      <c r="I21" s="104" t="s">
        <v>123</v>
      </c>
      <c r="J21" s="105" t="s">
        <v>88</v>
      </c>
      <c r="K21" s="101"/>
      <c r="L21" s="98" t="str">
        <f>IF(I21="", "", 
   IF(LEFT(I21, FIND("-", I21)-1)*1 &gt; MID(I21, FIND("-", I21)+1, LEN(I21))*1, H13, H29))</f>
        <v>Blair</v>
      </c>
      <c r="M21" s="94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5.75" customHeight="1">
      <c r="A22" s="86"/>
      <c r="B22" s="86"/>
      <c r="C22" s="86"/>
      <c r="D22" s="86"/>
      <c r="E22" s="86"/>
      <c r="F22" s="86"/>
      <c r="G22" s="86"/>
      <c r="H22" s="88"/>
      <c r="I22" s="106" t="s">
        <v>72</v>
      </c>
      <c r="J22" s="86"/>
      <c r="K22" s="86"/>
      <c r="L22" s="86"/>
      <c r="M22" s="99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5.75" customHeight="1">
      <c r="A23" s="86"/>
      <c r="B23" s="94" t="str">
        <f>'RR Results &amp; Seeding'!R5</f>
        <v>MSJ 1</v>
      </c>
      <c r="C23" s="95"/>
      <c r="D23" s="86"/>
      <c r="E23" s="86"/>
      <c r="F23" s="86"/>
      <c r="G23" s="86"/>
      <c r="H23" s="88"/>
      <c r="I23" s="102"/>
      <c r="J23" s="86"/>
      <c r="K23" s="86"/>
      <c r="L23" s="86"/>
      <c r="M23" s="9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5.75" customHeight="1">
      <c r="A24" s="86"/>
      <c r="B24" s="86"/>
      <c r="C24" s="96"/>
      <c r="D24" s="86"/>
      <c r="E24" s="86"/>
      <c r="F24" s="86"/>
      <c r="G24" s="86"/>
      <c r="H24" s="88"/>
      <c r="I24" s="102"/>
      <c r="J24" s="86"/>
      <c r="K24" s="86"/>
      <c r="L24" s="86"/>
      <c r="M24" s="9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5.75" customHeight="1">
      <c r="A25" s="86"/>
      <c r="B25" s="91" t="s">
        <v>124</v>
      </c>
      <c r="C25" s="97" t="s">
        <v>125</v>
      </c>
      <c r="D25" s="94" t="str">
        <f>IF(C25="", "", 
   IF(LEFT(C25, FIND("-", C25)-1)*1 &gt; MID(C25, FIND("-", C25)+1, LEN(C25))*1, B23, B27))</f>
        <v>MSJ 1</v>
      </c>
      <c r="E25" s="98"/>
      <c r="F25" s="86"/>
      <c r="G25" s="86"/>
      <c r="H25" s="88"/>
      <c r="I25" s="102"/>
      <c r="J25" s="86"/>
      <c r="K25" s="86"/>
      <c r="L25" s="86"/>
      <c r="M25" s="9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5.75" customHeight="1">
      <c r="A26" s="86"/>
      <c r="B26" s="86"/>
      <c r="C26" s="99" t="s">
        <v>126</v>
      </c>
      <c r="D26" s="86"/>
      <c r="E26" s="96"/>
      <c r="F26" s="86"/>
      <c r="G26" s="86"/>
      <c r="H26" s="88"/>
      <c r="I26" s="102"/>
      <c r="J26" s="86"/>
      <c r="K26" s="86"/>
      <c r="L26" s="86"/>
      <c r="M26" s="9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5.75" customHeight="1">
      <c r="A27" s="86"/>
      <c r="B27" s="94" t="str">
        <f>'RR Results &amp; Seeding'!R8</f>
        <v>Interlake</v>
      </c>
      <c r="C27" s="100"/>
      <c r="D27" s="86"/>
      <c r="E27" s="96"/>
      <c r="F27" s="86"/>
      <c r="G27" s="86"/>
      <c r="H27" s="88"/>
      <c r="I27" s="102"/>
      <c r="J27" s="86"/>
      <c r="K27" s="86"/>
      <c r="L27" s="86"/>
      <c r="M27" s="9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5.75" customHeight="1">
      <c r="A28" s="86"/>
      <c r="B28" s="86"/>
      <c r="C28" s="86"/>
      <c r="D28" s="86"/>
      <c r="E28" s="96"/>
      <c r="F28" s="86"/>
      <c r="G28" s="86"/>
      <c r="H28" s="88"/>
      <c r="I28" s="102"/>
      <c r="J28" s="86"/>
      <c r="K28" s="86"/>
      <c r="L28" s="86"/>
      <c r="M28" s="9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5.75" customHeight="1">
      <c r="A29" s="86"/>
      <c r="B29" s="86"/>
      <c r="C29" s="86"/>
      <c r="D29" s="91" t="s">
        <v>127</v>
      </c>
      <c r="E29" s="97" t="s">
        <v>128</v>
      </c>
      <c r="F29" s="101" t="str">
        <f>IF(E29="", "", 
   IF(LEFT(E29, FIND("-", E29)-1)*1 &gt; MID(E29, FIND("-", E29)+1, LEN(E29))*1, D25, D33))</f>
        <v>MSJ 1</v>
      </c>
      <c r="G29" s="101"/>
      <c r="H29" s="98" t="str">
        <f>IF(E29="", "", 
   IF(LEFT(E29, FIND("-", E29)-1)*1 &gt; MID(E29, FIND("-", E29)+1, LEN(E29))*1, D25, D33))</f>
        <v>MSJ 1</v>
      </c>
      <c r="I29" s="100"/>
      <c r="J29" s="86"/>
      <c r="K29" s="86"/>
      <c r="L29" s="86"/>
      <c r="M29" s="9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5.75" customHeight="1">
      <c r="A30" s="86"/>
      <c r="B30" s="86"/>
      <c r="C30" s="86"/>
      <c r="D30" s="86"/>
      <c r="E30" s="99" t="s">
        <v>80</v>
      </c>
      <c r="F30" s="86"/>
      <c r="G30" s="86"/>
      <c r="H30" s="86"/>
      <c r="I30" s="86"/>
      <c r="J30" s="86"/>
      <c r="K30" s="86"/>
      <c r="L30" s="86"/>
      <c r="M30" s="9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5.75" customHeight="1">
      <c r="A31" s="86"/>
      <c r="B31" s="94" t="str">
        <f>'RR Results &amp; Seeding'!R4</f>
        <v>Dulles 1</v>
      </c>
      <c r="C31" s="95"/>
      <c r="D31" s="86"/>
      <c r="E31" s="96"/>
      <c r="F31" s="86"/>
      <c r="G31" s="86"/>
      <c r="H31" s="86"/>
      <c r="I31" s="86"/>
      <c r="J31" s="86"/>
      <c r="K31" s="86"/>
      <c r="L31" s="86"/>
      <c r="M31" s="9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5.75" customHeight="1">
      <c r="A32" s="86"/>
      <c r="B32" s="86"/>
      <c r="C32" s="96"/>
      <c r="D32" s="86"/>
      <c r="E32" s="96"/>
      <c r="F32" s="86"/>
      <c r="G32" s="86"/>
      <c r="H32" s="86"/>
      <c r="I32" s="86"/>
      <c r="J32" s="86"/>
      <c r="K32" s="86"/>
      <c r="L32" s="86"/>
      <c r="M32" s="96"/>
      <c r="N32" s="88"/>
      <c r="O32" s="88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5.75" customHeight="1">
      <c r="A33" s="86"/>
      <c r="B33" s="91" t="s">
        <v>129</v>
      </c>
      <c r="C33" s="97" t="s">
        <v>130</v>
      </c>
      <c r="D33" s="94" t="str">
        <f>IF(C33="", "", 
   IF(LEFT(C33, FIND("-", C33)-1)*1 &gt; MID(C33, FIND("-", C33)+1, LEN(C33))*1, B31, B35))</f>
        <v>Evergreen 1</v>
      </c>
      <c r="E33" s="103"/>
      <c r="F33" s="86"/>
      <c r="G33" s="86"/>
      <c r="H33" s="86"/>
      <c r="I33" s="86"/>
      <c r="J33" s="86"/>
      <c r="K33" s="86"/>
      <c r="L33" s="91" t="s">
        <v>131</v>
      </c>
      <c r="M33" s="97" t="s">
        <v>132</v>
      </c>
      <c r="N33" s="98" t="str">
        <f>IF(M33="", "", 
   IF(LEFT(M33, FIND("-", M33)-1)*1 &gt; MID(M33, FIND("-", M33)+1, LEN(M33))*1, L21, L45))</f>
        <v>Blair</v>
      </c>
      <c r="O33" s="98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5.75" customHeight="1">
      <c r="A34" s="86"/>
      <c r="B34" s="86"/>
      <c r="C34" s="99" t="s">
        <v>133</v>
      </c>
      <c r="D34" s="86"/>
      <c r="E34" s="86"/>
      <c r="F34" s="86"/>
      <c r="G34" s="86"/>
      <c r="H34" s="86"/>
      <c r="I34" s="86"/>
      <c r="J34" s="86"/>
      <c r="K34" s="86"/>
      <c r="L34" s="91" t="s">
        <v>134</v>
      </c>
      <c r="M34" s="99" t="s">
        <v>135</v>
      </c>
      <c r="N34" s="86"/>
      <c r="O34" s="9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5.75" customHeight="1">
      <c r="A35" s="86"/>
      <c r="B35" s="94" t="str">
        <f>'RR Results &amp; Seeding'!R9</f>
        <v>Evergreen 1</v>
      </c>
      <c r="C35" s="100"/>
      <c r="D35" s="86"/>
      <c r="E35" s="86"/>
      <c r="F35" s="86"/>
      <c r="G35" s="86"/>
      <c r="H35" s="86"/>
      <c r="I35" s="86"/>
      <c r="J35" s="86"/>
      <c r="K35" s="86"/>
      <c r="L35" s="86"/>
      <c r="M35" s="96"/>
      <c r="N35" s="86"/>
      <c r="O35" s="9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5.7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96"/>
      <c r="N36" s="86"/>
      <c r="O36" s="9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5.7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96"/>
      <c r="N37" s="86"/>
      <c r="O37" s="9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5.75" customHeight="1">
      <c r="A38" s="86"/>
      <c r="B38" s="88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96"/>
      <c r="N38" s="86"/>
      <c r="O38" s="9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5.75" customHeight="1">
      <c r="A39" s="86"/>
      <c r="B39" s="88"/>
      <c r="C39" s="88"/>
      <c r="D39" s="107" t="s">
        <v>136</v>
      </c>
      <c r="E39" s="88"/>
      <c r="F39" s="88"/>
      <c r="G39" s="88"/>
      <c r="H39" s="88"/>
      <c r="I39" s="88"/>
      <c r="J39" s="86"/>
      <c r="K39" s="86"/>
      <c r="L39" s="86"/>
      <c r="M39" s="96"/>
      <c r="N39" s="86"/>
      <c r="O39" s="9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5.75" customHeight="1">
      <c r="A40" s="86"/>
      <c r="B40" s="88"/>
      <c r="C40" s="88"/>
      <c r="D40" s="88"/>
      <c r="E40" s="88"/>
      <c r="F40" s="88"/>
      <c r="G40" s="88"/>
      <c r="H40" s="88"/>
      <c r="I40" s="88"/>
      <c r="J40" s="86"/>
      <c r="K40" s="86"/>
      <c r="L40" s="86"/>
      <c r="M40" s="96"/>
      <c r="N40" s="86"/>
      <c r="O40" s="9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88"/>
      <c r="C41" s="88"/>
      <c r="D41" s="88"/>
      <c r="E41" s="88"/>
      <c r="F41" s="86"/>
      <c r="G41" s="86"/>
      <c r="H41" s="86"/>
      <c r="I41" s="86"/>
      <c r="J41" s="94" t="str">
        <f>IF(I21="", "", 
   IF(LEFT(I21, FIND("-", I21)-1)*1 &gt; MID(I21, FIND("-", I21)+1, LEN(I21))*1, H29, H13))</f>
        <v>MSJ 1</v>
      </c>
      <c r="K41" s="98"/>
      <c r="L41" s="86"/>
      <c r="M41" s="96"/>
      <c r="N41" s="86"/>
      <c r="O41" s="9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8"/>
      <c r="C42" s="88"/>
      <c r="D42" s="86"/>
      <c r="E42" s="86"/>
      <c r="F42" s="86"/>
      <c r="G42" s="86"/>
      <c r="H42" s="86"/>
      <c r="I42" s="86"/>
      <c r="J42" s="86"/>
      <c r="K42" s="96"/>
      <c r="L42" s="86"/>
      <c r="M42" s="96"/>
      <c r="N42" s="86"/>
      <c r="O42" s="9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8"/>
      <c r="C43" s="88"/>
      <c r="D43" s="91"/>
      <c r="E43" s="86"/>
      <c r="F43" s="94" t="str">
        <f>IF(E13="", "", 
   IF(LEFT(E13, FIND("-", E13)-1)*1 &gt; MID(E13, FIND("-", E13)+1, LEN(E13))*1, D17, D9))</f>
        <v>Basis Silicon Valley</v>
      </c>
      <c r="G43" s="98"/>
      <c r="H43" s="86"/>
      <c r="I43" s="86"/>
      <c r="J43" s="86"/>
      <c r="K43" s="96"/>
      <c r="L43" s="86"/>
      <c r="M43" s="96"/>
      <c r="N43" s="86"/>
      <c r="O43" s="9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8"/>
      <c r="C44" s="88"/>
      <c r="D44" s="86"/>
      <c r="E44" s="86"/>
      <c r="F44" s="86"/>
      <c r="G44" s="96"/>
      <c r="H44" s="86"/>
      <c r="I44" s="86"/>
      <c r="J44" s="86"/>
      <c r="K44" s="96"/>
      <c r="L44" s="86"/>
      <c r="M44" s="96"/>
      <c r="N44" s="86"/>
      <c r="O44" s="9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8"/>
      <c r="C45" s="88"/>
      <c r="D45" s="94" t="str">
        <f>IF(C9="", "", 
   IF(LEFT(C9, FIND("-", C9)-1)*1 &gt; MID(C9, FIND("-", C9)+1, LEN(C9))*1, B11, B7))</f>
        <v>Iolani 1</v>
      </c>
      <c r="E45" s="98"/>
      <c r="F45" s="86"/>
      <c r="G45" s="97" t="s">
        <v>137</v>
      </c>
      <c r="H45" s="94" t="str">
        <f>IF(G45="", "", 
   IF(LEFT(G45, FIND("-", G45)-1)*1 &gt; MID(G45, FIND("-", G45)+1, LEN(G45))*1, F43, F47))</f>
        <v>Lexington</v>
      </c>
      <c r="I45" s="98"/>
      <c r="J45" s="86"/>
      <c r="K45" s="97" t="s">
        <v>138</v>
      </c>
      <c r="L45" s="98" t="str">
        <f>IF(K45="", "", 
   IF(LEFT(K45, FIND("-", K45)-1)*1 &gt; MID(K45, FIND("-", K45)+1, LEN(K45))*1, J41, J49))</f>
        <v>MSJ 1</v>
      </c>
      <c r="M45" s="103"/>
      <c r="N45" s="86"/>
      <c r="O45" s="97"/>
      <c r="P45" s="98"/>
      <c r="Q45" s="98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88"/>
      <c r="C46" s="88"/>
      <c r="D46" s="91"/>
      <c r="E46" s="96"/>
      <c r="F46" s="86"/>
      <c r="G46" s="99" t="s">
        <v>126</v>
      </c>
      <c r="H46" s="86"/>
      <c r="I46" s="96"/>
      <c r="J46" s="86"/>
      <c r="K46" s="99" t="s">
        <v>135</v>
      </c>
      <c r="L46" s="86"/>
      <c r="M46" s="86"/>
      <c r="N46" s="86"/>
      <c r="O46" s="99" t="s">
        <v>135</v>
      </c>
      <c r="P46" s="91" t="s">
        <v>139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88"/>
      <c r="C47" s="88"/>
      <c r="D47" s="86"/>
      <c r="E47" s="97" t="s">
        <v>140</v>
      </c>
      <c r="F47" s="94" t="str">
        <f>IF(E47="", "", 
   IF(LEFT(E47, FIND("-", E47)-1)*1 &gt; MID(E47, FIND("-", E47)+1, LEN(E47))*1, D45, D49))</f>
        <v>Lexington</v>
      </c>
      <c r="G47" s="103"/>
      <c r="H47" s="86"/>
      <c r="I47" s="96"/>
      <c r="J47" s="86"/>
      <c r="K47" s="96"/>
      <c r="L47" s="86"/>
      <c r="M47" s="86"/>
      <c r="N47" s="86"/>
      <c r="O47" s="9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8"/>
      <c r="C48" s="88"/>
      <c r="D48" s="86"/>
      <c r="E48" s="99" t="s">
        <v>126</v>
      </c>
      <c r="F48" s="86"/>
      <c r="G48" s="86"/>
      <c r="H48" s="86"/>
      <c r="I48" s="96"/>
      <c r="J48" s="86"/>
      <c r="K48" s="96"/>
      <c r="L48" s="86"/>
      <c r="M48" s="86"/>
      <c r="N48" s="86"/>
      <c r="O48" s="9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88"/>
      <c r="C49" s="88"/>
      <c r="D49" s="94" t="str">
        <f>IF(C17="", "", 
   IF(LEFT(C17, FIND("-", C17)-1)*1 &gt; MID(C17, FIND("-", C17)+1, LEN(C17))*1, B19, B15))</f>
        <v>Lexington</v>
      </c>
      <c r="E49" s="103"/>
      <c r="F49" s="86"/>
      <c r="G49" s="86"/>
      <c r="H49" s="86"/>
      <c r="I49" s="97" t="s">
        <v>141</v>
      </c>
      <c r="J49" s="98" t="str">
        <f>IF(I49="", "", 
   IF(LEFT(I49, FIND("-", I49)-1)*1 &gt; MID(I49, FIND("-", I49)+1, LEN(I49))*1, H45, H53))</f>
        <v>Lexington</v>
      </c>
      <c r="K49" s="103"/>
      <c r="L49" s="86"/>
      <c r="M49" s="86"/>
      <c r="N49" s="86"/>
      <c r="O49" s="9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8"/>
      <c r="C50" s="88"/>
      <c r="D50" s="91"/>
      <c r="E50" s="86"/>
      <c r="F50" s="86"/>
      <c r="G50" s="86"/>
      <c r="H50" s="86"/>
      <c r="I50" s="99" t="s">
        <v>126</v>
      </c>
      <c r="J50" s="86"/>
      <c r="K50" s="86"/>
      <c r="L50" s="86"/>
      <c r="M50" s="86"/>
      <c r="N50" s="86"/>
      <c r="O50" s="9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8"/>
      <c r="C51" s="88"/>
      <c r="D51" s="86"/>
      <c r="E51" s="86"/>
      <c r="F51" s="94" t="str">
        <f>IF(E29="", "", 
   IF(LEFT(E29, FIND("-", E29)-1)*1 &gt; MID(E29, FIND("-", E29)+1, LEN(E29))*1, D33, D25))</f>
        <v>Evergreen 1</v>
      </c>
      <c r="G51" s="98"/>
      <c r="H51" s="86"/>
      <c r="I51" s="96"/>
      <c r="J51" s="86"/>
      <c r="K51" s="86"/>
      <c r="L51" s="86"/>
      <c r="M51" s="86"/>
      <c r="N51" s="86"/>
      <c r="O51" s="9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8"/>
      <c r="C52" s="88"/>
      <c r="D52" s="86"/>
      <c r="E52" s="86"/>
      <c r="F52" s="86"/>
      <c r="G52" s="96"/>
      <c r="H52" s="86"/>
      <c r="I52" s="96"/>
      <c r="J52" s="86"/>
      <c r="K52" s="86"/>
      <c r="L52" s="86"/>
      <c r="M52" s="86"/>
      <c r="N52" s="86"/>
      <c r="O52" s="9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8"/>
      <c r="C53" s="88"/>
      <c r="D53" s="94" t="str">
        <f>IF(C25="", "", 
   IF(LEFT(C25, FIND("-", C25)-1)*1 &gt; MID(C25, FIND("-", C25)+1, LEN(C25))*1, B27, B23))</f>
        <v>Interlake</v>
      </c>
      <c r="E53" s="98"/>
      <c r="F53" s="86"/>
      <c r="G53" s="97" t="s">
        <v>142</v>
      </c>
      <c r="H53" s="94" t="str">
        <f>IF(G53="", "", 
   IF(LEFT(G53, FIND("-", G53)-1)*1 &gt; MID(G53, FIND("-", G53)+1, LEN(G53))*1, F51, F55))</f>
        <v>Interlake</v>
      </c>
      <c r="I53" s="103"/>
      <c r="J53" s="86"/>
      <c r="K53" s="86"/>
      <c r="L53" s="86"/>
      <c r="M53" s="86"/>
      <c r="N53" s="86"/>
      <c r="O53" s="9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8"/>
      <c r="C54" s="88"/>
      <c r="D54" s="86"/>
      <c r="E54" s="96"/>
      <c r="F54" s="86"/>
      <c r="G54" s="99" t="s">
        <v>133</v>
      </c>
      <c r="H54" s="86"/>
      <c r="I54" s="86"/>
      <c r="J54" s="86"/>
      <c r="K54" s="86"/>
      <c r="L54" s="86"/>
      <c r="M54" s="86"/>
      <c r="N54" s="86"/>
      <c r="O54" s="9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8"/>
      <c r="C55" s="88"/>
      <c r="D55" s="86"/>
      <c r="E55" s="97" t="s">
        <v>143</v>
      </c>
      <c r="F55" s="94" t="str">
        <f>IF(E55="", "", 
   IF(LEFT(E55, FIND("-", E55)-1)*1 &gt; MID(E55, FIND("-", E55)+1, LEN(E55))*1, D53, D57))</f>
        <v>Interlake</v>
      </c>
      <c r="G55" s="103"/>
      <c r="H55" s="86"/>
      <c r="I55" s="86"/>
      <c r="J55" s="86"/>
      <c r="K55" s="86"/>
      <c r="L55" s="86"/>
      <c r="M55" s="86"/>
      <c r="N55" s="86"/>
      <c r="O55" s="9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6"/>
      <c r="D56" s="86"/>
      <c r="E56" s="99" t="s">
        <v>133</v>
      </c>
      <c r="F56" s="86"/>
      <c r="G56" s="86"/>
      <c r="H56" s="86"/>
      <c r="I56" s="86"/>
      <c r="J56" s="86"/>
      <c r="K56" s="86"/>
      <c r="L56" s="86"/>
      <c r="M56" s="86"/>
      <c r="N56" s="86"/>
      <c r="O56" s="9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94" t="str">
        <f>IF(C33="", "", 
   IF(LEFT(C33, FIND("-", C33)-1)*1 &gt; MID(C33, FIND("-", C33)+1, LEN(C33))*1, B35, B31))</f>
        <v>Dulles 1</v>
      </c>
      <c r="E57" s="103"/>
      <c r="F57" s="86"/>
      <c r="G57" s="86"/>
      <c r="H57" s="86"/>
      <c r="I57" s="86"/>
      <c r="J57" s="86"/>
      <c r="K57" s="86"/>
      <c r="L57" s="86"/>
      <c r="M57" s="86"/>
      <c r="N57" s="94" t="s">
        <v>144</v>
      </c>
      <c r="O57" s="103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20.38"/>
  </cols>
  <sheetData>
    <row r="1">
      <c r="A1" s="87" t="s">
        <v>145</v>
      </c>
      <c r="B1" s="87" t="s">
        <v>146</v>
      </c>
      <c r="C1" s="87" t="s">
        <v>147</v>
      </c>
      <c r="D1" s="87" t="s">
        <v>148</v>
      </c>
    </row>
    <row r="2">
      <c r="A2" s="108" t="s">
        <v>149</v>
      </c>
      <c r="B2" s="109" t="s">
        <v>150</v>
      </c>
      <c r="C2" s="109" t="s">
        <v>150</v>
      </c>
      <c r="D2" s="110" t="s">
        <v>151</v>
      </c>
      <c r="F2" s="1" t="s">
        <v>152</v>
      </c>
    </row>
    <row r="3">
      <c r="A3" s="89" t="s">
        <v>52</v>
      </c>
      <c r="B3" s="111" t="s">
        <v>151</v>
      </c>
      <c r="C3" s="112" t="s">
        <v>150</v>
      </c>
      <c r="D3" s="111" t="s">
        <v>151</v>
      </c>
    </row>
    <row r="4">
      <c r="A4" s="89" t="s">
        <v>32</v>
      </c>
      <c r="B4" s="111" t="s">
        <v>151</v>
      </c>
      <c r="C4" s="111" t="s">
        <v>151</v>
      </c>
      <c r="D4" s="111" t="s">
        <v>151</v>
      </c>
    </row>
    <row r="5">
      <c r="A5" s="1" t="s">
        <v>62</v>
      </c>
      <c r="B5" s="111" t="s">
        <v>151</v>
      </c>
      <c r="C5" s="111" t="s">
        <v>151</v>
      </c>
      <c r="D5" s="111" t="s">
        <v>151</v>
      </c>
    </row>
    <row r="6">
      <c r="A6" s="89" t="s">
        <v>31</v>
      </c>
      <c r="B6" s="111" t="s">
        <v>151</v>
      </c>
      <c r="C6" s="112" t="s">
        <v>150</v>
      </c>
      <c r="D6" s="111" t="s">
        <v>151</v>
      </c>
    </row>
    <row r="7">
      <c r="A7" s="89" t="s">
        <v>57</v>
      </c>
      <c r="B7" s="111" t="s">
        <v>151</v>
      </c>
      <c r="C7" s="112" t="s">
        <v>150</v>
      </c>
      <c r="D7" s="111" t="s">
        <v>151</v>
      </c>
    </row>
    <row r="8">
      <c r="A8" s="89" t="s">
        <v>13</v>
      </c>
      <c r="B8" s="111" t="s">
        <v>151</v>
      </c>
      <c r="C8" s="111" t="s">
        <v>151</v>
      </c>
      <c r="D8" s="111" t="s">
        <v>151</v>
      </c>
    </row>
    <row r="9">
      <c r="A9" s="89" t="s">
        <v>49</v>
      </c>
      <c r="B9" s="111" t="s">
        <v>151</v>
      </c>
      <c r="C9" s="111" t="s">
        <v>151</v>
      </c>
      <c r="D9" s="111" t="s">
        <v>151</v>
      </c>
    </row>
    <row r="10">
      <c r="A10" s="89" t="s">
        <v>58</v>
      </c>
      <c r="B10" s="111" t="s">
        <v>151</v>
      </c>
      <c r="C10" s="112" t="s">
        <v>150</v>
      </c>
      <c r="D10" s="111" t="s">
        <v>151</v>
      </c>
    </row>
    <row r="11">
      <c r="A11" s="89" t="s">
        <v>153</v>
      </c>
      <c r="B11" s="111" t="s">
        <v>151</v>
      </c>
      <c r="C11" s="112" t="s">
        <v>150</v>
      </c>
      <c r="D11" s="111" t="s">
        <v>151</v>
      </c>
    </row>
    <row r="12">
      <c r="A12" s="1" t="s">
        <v>154</v>
      </c>
      <c r="B12" s="111" t="s">
        <v>151</v>
      </c>
      <c r="C12" s="112" t="s">
        <v>150</v>
      </c>
      <c r="D12" s="111" t="s">
        <v>151</v>
      </c>
    </row>
    <row r="13">
      <c r="A13" s="89" t="s">
        <v>19</v>
      </c>
      <c r="B13" s="111" t="s">
        <v>151</v>
      </c>
      <c r="C13" s="111" t="s">
        <v>151</v>
      </c>
      <c r="D13" s="111" t="s">
        <v>151</v>
      </c>
    </row>
    <row r="14">
      <c r="A14" s="89" t="s">
        <v>63</v>
      </c>
      <c r="B14" s="111" t="s">
        <v>151</v>
      </c>
      <c r="C14" s="1" t="s">
        <v>150</v>
      </c>
      <c r="D14" s="111" t="s">
        <v>151</v>
      </c>
    </row>
    <row r="15">
      <c r="A15" s="89" t="s">
        <v>53</v>
      </c>
      <c r="B15" s="111" t="s">
        <v>151</v>
      </c>
      <c r="C15" s="111" t="s">
        <v>151</v>
      </c>
      <c r="D15" s="111" t="s">
        <v>151</v>
      </c>
    </row>
    <row r="16">
      <c r="A16" s="89" t="s">
        <v>14</v>
      </c>
      <c r="B16" s="111" t="s">
        <v>151</v>
      </c>
      <c r="C16" s="112" t="s">
        <v>150</v>
      </c>
      <c r="D16" s="111" t="s">
        <v>151</v>
      </c>
    </row>
    <row r="17">
      <c r="A17" s="89" t="s">
        <v>155</v>
      </c>
      <c r="B17" s="111" t="s">
        <v>151</v>
      </c>
      <c r="C17" s="112" t="s">
        <v>150</v>
      </c>
      <c r="D17" s="111" t="s">
        <v>151</v>
      </c>
    </row>
    <row r="18">
      <c r="A18" s="89" t="s">
        <v>46</v>
      </c>
      <c r="B18" s="111" t="s">
        <v>151</v>
      </c>
      <c r="C18" s="111" t="s">
        <v>151</v>
      </c>
      <c r="D18" s="111" t="s">
        <v>151</v>
      </c>
    </row>
    <row r="19">
      <c r="A19" s="89" t="s">
        <v>8</v>
      </c>
      <c r="B19" s="111" t="s">
        <v>151</v>
      </c>
      <c r="C19" s="112" t="s">
        <v>150</v>
      </c>
      <c r="D19" s="111" t="s">
        <v>151</v>
      </c>
    </row>
    <row r="20">
      <c r="A20" s="89" t="s">
        <v>25</v>
      </c>
      <c r="B20" s="111" t="s">
        <v>151</v>
      </c>
      <c r="C20" s="112" t="s">
        <v>150</v>
      </c>
      <c r="D20" s="111" t="s">
        <v>151</v>
      </c>
    </row>
    <row r="21">
      <c r="A21" s="89" t="s">
        <v>7</v>
      </c>
      <c r="B21" s="112" t="s">
        <v>150</v>
      </c>
      <c r="C21" s="112" t="s">
        <v>150</v>
      </c>
      <c r="D21" s="111" t="s">
        <v>151</v>
      </c>
    </row>
    <row r="22">
      <c r="A22" s="89" t="s">
        <v>20</v>
      </c>
      <c r="B22" s="112" t="s">
        <v>150</v>
      </c>
      <c r="C22" s="112" t="s">
        <v>150</v>
      </c>
      <c r="D22" s="111" t="s">
        <v>151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164</v>
      </c>
      <c r="B2" s="1">
        <v>3.0</v>
      </c>
      <c r="C2" s="1">
        <v>24.0</v>
      </c>
      <c r="D2" s="1">
        <v>44.0</v>
      </c>
      <c r="E2" s="1">
        <v>28.0</v>
      </c>
      <c r="F2" s="1">
        <v>7.0</v>
      </c>
      <c r="G2" s="1">
        <v>28.0</v>
      </c>
      <c r="H2" s="1">
        <v>2.33</v>
      </c>
      <c r="I2" s="1">
        <v>63.64</v>
      </c>
    </row>
    <row r="3">
      <c r="A3" s="1" t="s">
        <v>165</v>
      </c>
      <c r="B3" s="1">
        <v>4.0</v>
      </c>
      <c r="C3" s="1">
        <v>32.0</v>
      </c>
      <c r="D3" s="1">
        <v>33.0</v>
      </c>
      <c r="E3" s="1">
        <v>28.0</v>
      </c>
      <c r="F3" s="1">
        <v>3.0</v>
      </c>
      <c r="G3" s="1">
        <v>25.0</v>
      </c>
      <c r="H3" s="1">
        <v>0.75</v>
      </c>
      <c r="I3" s="1">
        <v>84.85</v>
      </c>
    </row>
    <row r="4">
      <c r="A4" s="1" t="s">
        <v>166</v>
      </c>
      <c r="B4" s="1">
        <v>4.0</v>
      </c>
      <c r="C4" s="1">
        <v>32.0</v>
      </c>
      <c r="D4" s="1">
        <v>50.0</v>
      </c>
      <c r="E4" s="1">
        <v>31.0</v>
      </c>
      <c r="F4" s="1">
        <v>9.0</v>
      </c>
      <c r="G4" s="1">
        <v>22.0</v>
      </c>
      <c r="H4" s="1">
        <v>2.25</v>
      </c>
      <c r="I4" s="1">
        <v>62.0</v>
      </c>
    </row>
    <row r="5">
      <c r="A5" s="1" t="s">
        <v>167</v>
      </c>
      <c r="B5" s="1">
        <v>4.0</v>
      </c>
      <c r="C5" s="1">
        <v>32.0</v>
      </c>
      <c r="D5" s="1">
        <v>43.0</v>
      </c>
      <c r="E5" s="1">
        <v>24.0</v>
      </c>
      <c r="F5" s="1">
        <v>5.0</v>
      </c>
      <c r="G5" s="1">
        <v>19.0</v>
      </c>
      <c r="H5" s="1">
        <v>1.25</v>
      </c>
      <c r="I5" s="1">
        <v>55.81</v>
      </c>
    </row>
    <row r="6">
      <c r="A6" s="1" t="s">
        <v>168</v>
      </c>
      <c r="B6" s="1">
        <v>4.0</v>
      </c>
      <c r="C6" s="1">
        <v>32.0</v>
      </c>
      <c r="D6" s="1">
        <v>36.0</v>
      </c>
      <c r="E6" s="1">
        <v>22.0</v>
      </c>
      <c r="F6" s="1">
        <v>4.0</v>
      </c>
      <c r="G6" s="1">
        <v>18.0</v>
      </c>
      <c r="H6" s="1">
        <v>1.0</v>
      </c>
      <c r="I6" s="1">
        <v>61.11</v>
      </c>
    </row>
    <row r="7">
      <c r="A7" s="1" t="s">
        <v>169</v>
      </c>
      <c r="B7" s="1">
        <v>3.0</v>
      </c>
      <c r="C7" s="1">
        <v>24.0</v>
      </c>
      <c r="D7" s="1">
        <v>23.0</v>
      </c>
      <c r="E7" s="1">
        <v>15.0</v>
      </c>
      <c r="F7" s="1">
        <v>3.0</v>
      </c>
      <c r="G7" s="1">
        <v>16.0</v>
      </c>
      <c r="H7" s="1">
        <v>1.0</v>
      </c>
      <c r="I7" s="1">
        <v>65.22</v>
      </c>
    </row>
    <row r="8">
      <c r="A8" s="1" t="s">
        <v>170</v>
      </c>
      <c r="B8" s="1">
        <v>4.0</v>
      </c>
      <c r="C8" s="1">
        <v>32.0</v>
      </c>
      <c r="D8" s="1">
        <v>47.0</v>
      </c>
      <c r="E8" s="1">
        <v>24.0</v>
      </c>
      <c r="F8" s="1">
        <v>9.0</v>
      </c>
      <c r="G8" s="1">
        <v>15.0</v>
      </c>
      <c r="H8" s="1">
        <v>2.25</v>
      </c>
      <c r="I8" s="1">
        <v>51.06</v>
      </c>
    </row>
    <row r="9">
      <c r="A9" s="1" t="s">
        <v>171</v>
      </c>
      <c r="B9" s="1">
        <v>4.0</v>
      </c>
      <c r="C9" s="1">
        <v>32.0</v>
      </c>
      <c r="D9" s="1">
        <v>32.0</v>
      </c>
      <c r="E9" s="1">
        <v>19.0</v>
      </c>
      <c r="F9" s="1">
        <v>4.0</v>
      </c>
      <c r="G9" s="1">
        <v>15.0</v>
      </c>
      <c r="H9" s="1">
        <v>1.0</v>
      </c>
      <c r="I9" s="1">
        <v>59.38</v>
      </c>
    </row>
    <row r="10">
      <c r="A10" s="1" t="s">
        <v>172</v>
      </c>
      <c r="B10" s="1">
        <v>3.0</v>
      </c>
      <c r="C10" s="1">
        <v>24.0</v>
      </c>
      <c r="D10" s="1">
        <v>14.0</v>
      </c>
      <c r="E10" s="1">
        <v>12.0</v>
      </c>
      <c r="F10" s="1">
        <v>1.0</v>
      </c>
      <c r="G10" s="1">
        <v>14.67</v>
      </c>
      <c r="H10" s="1">
        <v>0.33</v>
      </c>
      <c r="I10" s="1">
        <v>85.71</v>
      </c>
    </row>
    <row r="11">
      <c r="A11" s="1" t="s">
        <v>173</v>
      </c>
      <c r="B11" s="1">
        <v>2.0</v>
      </c>
      <c r="C11" s="1">
        <v>16.0</v>
      </c>
      <c r="D11" s="1">
        <v>28.0</v>
      </c>
      <c r="E11" s="1">
        <v>7.0</v>
      </c>
      <c r="F11" s="1">
        <v>0.0</v>
      </c>
      <c r="G11" s="1">
        <v>14.0</v>
      </c>
      <c r="H11" s="1">
        <v>0.0</v>
      </c>
      <c r="I11" s="1">
        <v>25.0</v>
      </c>
    </row>
    <row r="12">
      <c r="A12" s="1" t="s">
        <v>174</v>
      </c>
      <c r="B12" s="1">
        <v>4.0</v>
      </c>
      <c r="C12" s="1">
        <v>32.0</v>
      </c>
      <c r="D12" s="1">
        <v>27.0</v>
      </c>
      <c r="E12" s="1">
        <v>15.0</v>
      </c>
      <c r="F12" s="1">
        <v>4.0</v>
      </c>
      <c r="G12" s="1">
        <v>11.0</v>
      </c>
      <c r="H12" s="1">
        <v>1.0</v>
      </c>
      <c r="I12" s="1">
        <v>55.56</v>
      </c>
    </row>
    <row r="13">
      <c r="A13" s="1" t="s">
        <v>175</v>
      </c>
      <c r="B13" s="1">
        <v>4.0</v>
      </c>
      <c r="C13" s="1">
        <v>32.0</v>
      </c>
      <c r="D13" s="1">
        <v>34.0</v>
      </c>
      <c r="E13" s="1">
        <v>17.0</v>
      </c>
      <c r="F13" s="1">
        <v>6.0</v>
      </c>
      <c r="G13" s="1">
        <v>11.0</v>
      </c>
      <c r="H13" s="1">
        <v>1.5</v>
      </c>
      <c r="I13" s="1">
        <v>50.0</v>
      </c>
    </row>
    <row r="14">
      <c r="A14" s="1" t="s">
        <v>176</v>
      </c>
      <c r="B14" s="1">
        <v>4.0</v>
      </c>
      <c r="C14" s="1">
        <v>32.0</v>
      </c>
      <c r="D14" s="1">
        <v>15.0</v>
      </c>
      <c r="E14" s="1">
        <v>12.0</v>
      </c>
      <c r="F14" s="1">
        <v>1.0</v>
      </c>
      <c r="G14" s="1">
        <v>11.0</v>
      </c>
      <c r="H14" s="1">
        <v>0.25</v>
      </c>
      <c r="I14" s="1">
        <v>80.0</v>
      </c>
    </row>
    <row r="15">
      <c r="A15" s="1" t="s">
        <v>177</v>
      </c>
      <c r="B15" s="1">
        <v>4.0</v>
      </c>
      <c r="C15" s="1">
        <v>32.0</v>
      </c>
      <c r="D15" s="1">
        <v>27.0</v>
      </c>
      <c r="E15" s="1">
        <v>14.0</v>
      </c>
      <c r="F15" s="1">
        <v>4.0</v>
      </c>
      <c r="G15" s="1">
        <v>10.0</v>
      </c>
      <c r="H15" s="1">
        <v>1.0</v>
      </c>
      <c r="I15" s="1">
        <v>51.85</v>
      </c>
    </row>
    <row r="16">
      <c r="A16" s="1" t="s">
        <v>178</v>
      </c>
      <c r="B16" s="1">
        <v>4.0</v>
      </c>
      <c r="C16" s="1">
        <v>32.0</v>
      </c>
      <c r="D16" s="1">
        <v>16.0</v>
      </c>
      <c r="E16" s="1">
        <v>10.0</v>
      </c>
      <c r="F16" s="1">
        <v>0.0</v>
      </c>
      <c r="G16" s="1">
        <v>10.0</v>
      </c>
      <c r="H16" s="1">
        <v>0.0</v>
      </c>
      <c r="I16" s="1">
        <v>62.5</v>
      </c>
    </row>
    <row r="17">
      <c r="A17" s="1" t="s">
        <v>179</v>
      </c>
      <c r="B17" s="1">
        <v>3.0</v>
      </c>
      <c r="C17" s="1">
        <v>24.0</v>
      </c>
      <c r="D17" s="1">
        <v>22.0</v>
      </c>
      <c r="E17" s="1">
        <v>10.0</v>
      </c>
      <c r="F17" s="1">
        <v>3.0</v>
      </c>
      <c r="G17" s="1">
        <v>9.33</v>
      </c>
      <c r="H17" s="1">
        <v>1.0</v>
      </c>
      <c r="I17" s="1">
        <v>45.45</v>
      </c>
    </row>
    <row r="18">
      <c r="A18" s="1" t="s">
        <v>180</v>
      </c>
      <c r="B18" s="1">
        <v>3.0</v>
      </c>
      <c r="C18" s="1">
        <v>24.0</v>
      </c>
      <c r="D18" s="1">
        <v>20.0</v>
      </c>
      <c r="E18" s="1">
        <v>9.0</v>
      </c>
      <c r="F18" s="1">
        <v>2.0</v>
      </c>
      <c r="G18" s="1">
        <v>9.33</v>
      </c>
      <c r="H18" s="1">
        <v>0.67</v>
      </c>
      <c r="I18" s="1">
        <v>45.0</v>
      </c>
    </row>
    <row r="19">
      <c r="A19" s="1" t="s">
        <v>181</v>
      </c>
      <c r="B19" s="1">
        <v>4.0</v>
      </c>
      <c r="C19" s="1">
        <v>32.0</v>
      </c>
      <c r="D19" s="1">
        <v>14.0</v>
      </c>
      <c r="E19" s="1">
        <v>11.0</v>
      </c>
      <c r="F19" s="1">
        <v>2.0</v>
      </c>
      <c r="G19" s="1">
        <v>9.0</v>
      </c>
      <c r="H19" s="1">
        <v>0.5</v>
      </c>
      <c r="I19" s="1">
        <v>78.57</v>
      </c>
    </row>
    <row r="20">
      <c r="A20" s="1" t="s">
        <v>182</v>
      </c>
      <c r="B20" s="1">
        <v>4.0</v>
      </c>
      <c r="C20" s="1">
        <v>32.0</v>
      </c>
      <c r="D20" s="1">
        <v>15.0</v>
      </c>
      <c r="E20" s="1">
        <v>10.0</v>
      </c>
      <c r="F20" s="1">
        <v>1.0</v>
      </c>
      <c r="G20" s="1">
        <v>9.0</v>
      </c>
      <c r="H20" s="1">
        <v>0.25</v>
      </c>
      <c r="I20" s="1">
        <v>66.67</v>
      </c>
    </row>
    <row r="21">
      <c r="A21" s="1" t="s">
        <v>183</v>
      </c>
      <c r="B21" s="1">
        <v>4.0</v>
      </c>
      <c r="C21" s="1">
        <v>32.0</v>
      </c>
      <c r="D21" s="1">
        <v>16.0</v>
      </c>
      <c r="E21" s="1">
        <v>10.0</v>
      </c>
      <c r="F21" s="1">
        <v>1.0</v>
      </c>
      <c r="G21" s="1">
        <v>9.0</v>
      </c>
      <c r="H21" s="1">
        <v>0.25</v>
      </c>
      <c r="I21" s="1">
        <v>62.5</v>
      </c>
    </row>
    <row r="22">
      <c r="A22" s="1" t="s">
        <v>184</v>
      </c>
      <c r="B22" s="1">
        <v>4.0</v>
      </c>
      <c r="C22" s="1">
        <v>32.0</v>
      </c>
      <c r="D22" s="1">
        <v>18.0</v>
      </c>
      <c r="E22" s="1">
        <v>10.0</v>
      </c>
      <c r="F22" s="1">
        <v>2.0</v>
      </c>
      <c r="G22" s="1">
        <v>8.0</v>
      </c>
      <c r="H22" s="1">
        <v>0.5</v>
      </c>
      <c r="I22" s="1">
        <v>55.56</v>
      </c>
    </row>
    <row r="23">
      <c r="A23" s="1" t="s">
        <v>185</v>
      </c>
      <c r="B23" s="1">
        <v>4.0</v>
      </c>
      <c r="C23" s="1">
        <v>32.0</v>
      </c>
      <c r="D23" s="1">
        <v>16.0</v>
      </c>
      <c r="E23" s="1">
        <v>9.0</v>
      </c>
      <c r="F23" s="1">
        <v>1.0</v>
      </c>
      <c r="G23" s="1">
        <v>8.0</v>
      </c>
      <c r="H23" s="1">
        <v>0.25</v>
      </c>
      <c r="I23" s="1">
        <v>56.25</v>
      </c>
    </row>
    <row r="24">
      <c r="A24" s="1" t="s">
        <v>186</v>
      </c>
      <c r="B24" s="1">
        <v>4.0</v>
      </c>
      <c r="C24" s="1">
        <v>32.0</v>
      </c>
      <c r="D24" s="1">
        <v>26.0</v>
      </c>
      <c r="E24" s="1">
        <v>14.0</v>
      </c>
      <c r="F24" s="1">
        <v>6.0</v>
      </c>
      <c r="G24" s="1">
        <v>8.0</v>
      </c>
      <c r="H24" s="1">
        <v>1.5</v>
      </c>
      <c r="I24" s="1">
        <v>53.85</v>
      </c>
    </row>
    <row r="25">
      <c r="A25" s="1" t="s">
        <v>187</v>
      </c>
      <c r="B25" s="1">
        <v>4.0</v>
      </c>
      <c r="C25" s="1">
        <v>32.0</v>
      </c>
      <c r="D25" s="1">
        <v>15.0</v>
      </c>
      <c r="E25" s="1">
        <v>9.0</v>
      </c>
      <c r="F25" s="1">
        <v>1.0</v>
      </c>
      <c r="G25" s="1">
        <v>8.0</v>
      </c>
      <c r="H25" s="1">
        <v>0.25</v>
      </c>
      <c r="I25" s="1">
        <v>60.0</v>
      </c>
    </row>
    <row r="26">
      <c r="A26" s="1" t="s">
        <v>188</v>
      </c>
      <c r="B26" s="1">
        <v>4.0</v>
      </c>
      <c r="C26" s="1">
        <v>32.0</v>
      </c>
      <c r="D26" s="1">
        <v>8.0</v>
      </c>
      <c r="E26" s="1">
        <v>8.0</v>
      </c>
      <c r="F26" s="1">
        <v>0.0</v>
      </c>
      <c r="G26" s="1">
        <v>8.0</v>
      </c>
      <c r="H26" s="1">
        <v>0.0</v>
      </c>
      <c r="I26" s="1">
        <v>100.0</v>
      </c>
    </row>
    <row r="27">
      <c r="A27" s="1" t="s">
        <v>189</v>
      </c>
      <c r="B27" s="1">
        <v>4.0</v>
      </c>
      <c r="C27" s="1">
        <v>32.0</v>
      </c>
      <c r="D27" s="1">
        <v>9.0</v>
      </c>
      <c r="E27" s="1">
        <v>8.0</v>
      </c>
      <c r="F27" s="1">
        <v>0.0</v>
      </c>
      <c r="G27" s="1">
        <v>8.0</v>
      </c>
      <c r="H27" s="1">
        <v>0.0</v>
      </c>
      <c r="I27" s="1">
        <v>88.89</v>
      </c>
    </row>
    <row r="28">
      <c r="A28" s="1" t="s">
        <v>190</v>
      </c>
      <c r="B28" s="1">
        <v>4.0</v>
      </c>
      <c r="C28" s="1">
        <v>32.0</v>
      </c>
      <c r="D28" s="1">
        <v>25.0</v>
      </c>
      <c r="E28" s="1">
        <v>14.0</v>
      </c>
      <c r="F28" s="1">
        <v>6.0</v>
      </c>
      <c r="G28" s="1">
        <v>8.0</v>
      </c>
      <c r="H28" s="1">
        <v>1.5</v>
      </c>
      <c r="I28" s="1">
        <v>56.0</v>
      </c>
    </row>
    <row r="29">
      <c r="A29" s="1" t="s">
        <v>191</v>
      </c>
      <c r="B29" s="1">
        <v>4.0</v>
      </c>
      <c r="C29" s="1">
        <v>32.0</v>
      </c>
      <c r="D29" s="1">
        <v>13.0</v>
      </c>
      <c r="E29" s="1">
        <v>8.0</v>
      </c>
      <c r="F29" s="1">
        <v>0.0</v>
      </c>
      <c r="G29" s="1">
        <v>8.0</v>
      </c>
      <c r="H29" s="1">
        <v>0.0</v>
      </c>
      <c r="I29" s="1">
        <v>61.54</v>
      </c>
    </row>
    <row r="30">
      <c r="A30" s="1" t="s">
        <v>192</v>
      </c>
      <c r="B30" s="1">
        <v>4.0</v>
      </c>
      <c r="C30" s="1">
        <v>32.0</v>
      </c>
      <c r="D30" s="1">
        <v>12.0</v>
      </c>
      <c r="E30" s="1">
        <v>9.0</v>
      </c>
      <c r="F30" s="1">
        <v>2.0</v>
      </c>
      <c r="G30" s="1">
        <v>7.0</v>
      </c>
      <c r="H30" s="1">
        <v>0.5</v>
      </c>
      <c r="I30" s="1">
        <v>75.0</v>
      </c>
    </row>
    <row r="31">
      <c r="A31" s="1" t="s">
        <v>193</v>
      </c>
      <c r="B31" s="1">
        <v>4.0</v>
      </c>
      <c r="C31" s="1">
        <v>32.0</v>
      </c>
      <c r="D31" s="1">
        <v>11.0</v>
      </c>
      <c r="E31" s="1">
        <v>8.0</v>
      </c>
      <c r="F31" s="1">
        <v>1.0</v>
      </c>
      <c r="G31" s="1">
        <v>7.0</v>
      </c>
      <c r="H31" s="1">
        <v>0.25</v>
      </c>
      <c r="I31" s="1">
        <v>72.73</v>
      </c>
    </row>
    <row r="32">
      <c r="A32" s="1" t="s">
        <v>194</v>
      </c>
      <c r="B32" s="1">
        <v>4.0</v>
      </c>
      <c r="C32" s="1">
        <v>32.0</v>
      </c>
      <c r="D32" s="1">
        <v>12.0</v>
      </c>
      <c r="E32" s="1">
        <v>8.0</v>
      </c>
      <c r="F32" s="1">
        <v>1.0</v>
      </c>
      <c r="G32" s="1">
        <v>7.0</v>
      </c>
      <c r="H32" s="1">
        <v>0.25</v>
      </c>
      <c r="I32" s="1">
        <v>66.67</v>
      </c>
    </row>
    <row r="33">
      <c r="A33" s="1" t="s">
        <v>195</v>
      </c>
      <c r="B33" s="1">
        <v>3.0</v>
      </c>
      <c r="C33" s="1">
        <v>24.0</v>
      </c>
      <c r="D33" s="1">
        <v>25.0</v>
      </c>
      <c r="E33" s="1">
        <v>12.0</v>
      </c>
      <c r="F33" s="1">
        <v>7.0</v>
      </c>
      <c r="G33" s="1">
        <v>6.67</v>
      </c>
      <c r="H33" s="1">
        <v>2.33</v>
      </c>
      <c r="I33" s="1">
        <v>48.0</v>
      </c>
    </row>
    <row r="34">
      <c r="A34" s="1" t="s">
        <v>196</v>
      </c>
      <c r="B34" s="1">
        <v>3.0</v>
      </c>
      <c r="C34" s="1">
        <v>24.0</v>
      </c>
      <c r="D34" s="1">
        <v>17.0</v>
      </c>
      <c r="E34" s="1">
        <v>6.0</v>
      </c>
      <c r="F34" s="1">
        <v>1.0</v>
      </c>
      <c r="G34" s="1">
        <v>6.67</v>
      </c>
      <c r="H34" s="1">
        <v>0.33</v>
      </c>
      <c r="I34" s="1">
        <v>35.29</v>
      </c>
    </row>
    <row r="35">
      <c r="A35" s="1" t="s">
        <v>197</v>
      </c>
      <c r="B35" s="1">
        <v>3.0</v>
      </c>
      <c r="C35" s="1">
        <v>24.0</v>
      </c>
      <c r="D35" s="1">
        <v>14.0</v>
      </c>
      <c r="E35" s="1">
        <v>6.0</v>
      </c>
      <c r="F35" s="1">
        <v>1.0</v>
      </c>
      <c r="G35" s="1">
        <v>6.67</v>
      </c>
      <c r="H35" s="1">
        <v>0.33</v>
      </c>
      <c r="I35" s="1">
        <v>42.86</v>
      </c>
    </row>
    <row r="36">
      <c r="A36" s="1" t="s">
        <v>198</v>
      </c>
      <c r="B36" s="1">
        <v>2.0</v>
      </c>
      <c r="C36" s="1">
        <v>16.0</v>
      </c>
      <c r="D36" s="1">
        <v>10.0</v>
      </c>
      <c r="E36" s="1">
        <v>5.0</v>
      </c>
      <c r="F36" s="1">
        <v>2.0</v>
      </c>
      <c r="G36" s="1">
        <v>6.0</v>
      </c>
      <c r="H36" s="1">
        <v>1.0</v>
      </c>
      <c r="I36" s="1">
        <v>50.0</v>
      </c>
    </row>
    <row r="37">
      <c r="A37" s="1" t="s">
        <v>199</v>
      </c>
      <c r="B37" s="1">
        <v>4.0</v>
      </c>
      <c r="C37" s="1">
        <v>32.0</v>
      </c>
      <c r="D37" s="1">
        <v>14.0</v>
      </c>
      <c r="E37" s="1">
        <v>9.0</v>
      </c>
      <c r="F37" s="1">
        <v>3.0</v>
      </c>
      <c r="G37" s="1">
        <v>6.0</v>
      </c>
      <c r="H37" s="1">
        <v>0.75</v>
      </c>
      <c r="I37" s="1">
        <v>64.29</v>
      </c>
    </row>
    <row r="38">
      <c r="A38" s="1" t="s">
        <v>200</v>
      </c>
      <c r="B38" s="1">
        <v>4.0</v>
      </c>
      <c r="C38" s="1">
        <v>32.0</v>
      </c>
      <c r="D38" s="1">
        <v>13.0</v>
      </c>
      <c r="E38" s="1">
        <v>7.0</v>
      </c>
      <c r="F38" s="1">
        <v>1.0</v>
      </c>
      <c r="G38" s="1">
        <v>6.0</v>
      </c>
      <c r="H38" s="1">
        <v>0.25</v>
      </c>
      <c r="I38" s="1">
        <v>53.85</v>
      </c>
    </row>
    <row r="39">
      <c r="A39" s="1" t="s">
        <v>201</v>
      </c>
      <c r="B39" s="1">
        <v>3.0</v>
      </c>
      <c r="C39" s="1">
        <v>24.0</v>
      </c>
      <c r="D39" s="1">
        <v>7.0</v>
      </c>
      <c r="E39" s="1">
        <v>4.0</v>
      </c>
      <c r="F39" s="1">
        <v>0.0</v>
      </c>
      <c r="G39" s="1">
        <v>5.33</v>
      </c>
      <c r="H39" s="1">
        <v>0.0</v>
      </c>
      <c r="I39" s="1">
        <v>57.14</v>
      </c>
    </row>
    <row r="40">
      <c r="A40" s="1" t="s">
        <v>202</v>
      </c>
      <c r="B40" s="1">
        <v>3.0</v>
      </c>
      <c r="C40" s="1">
        <v>24.0</v>
      </c>
      <c r="D40" s="1">
        <v>4.0</v>
      </c>
      <c r="E40" s="1">
        <v>4.0</v>
      </c>
      <c r="F40" s="1">
        <v>0.0</v>
      </c>
      <c r="G40" s="1">
        <v>5.33</v>
      </c>
      <c r="H40" s="1">
        <v>0.0</v>
      </c>
      <c r="I40" s="1">
        <v>100.0</v>
      </c>
    </row>
    <row r="41">
      <c r="A41" s="1" t="s">
        <v>203</v>
      </c>
      <c r="B41" s="1">
        <v>4.0</v>
      </c>
      <c r="C41" s="1">
        <v>32.0</v>
      </c>
      <c r="D41" s="1">
        <v>35.0</v>
      </c>
      <c r="E41" s="1">
        <v>17.0</v>
      </c>
      <c r="F41" s="1">
        <v>12.0</v>
      </c>
      <c r="G41" s="1">
        <v>5.0</v>
      </c>
      <c r="H41" s="1">
        <v>3.0</v>
      </c>
      <c r="I41" s="1">
        <v>48.57</v>
      </c>
    </row>
    <row r="42">
      <c r="A42" s="1" t="s">
        <v>204</v>
      </c>
      <c r="B42" s="1">
        <v>4.0</v>
      </c>
      <c r="C42" s="1">
        <v>32.0</v>
      </c>
      <c r="D42" s="1">
        <v>18.0</v>
      </c>
      <c r="E42" s="1">
        <v>6.0</v>
      </c>
      <c r="F42" s="1">
        <v>1.0</v>
      </c>
      <c r="G42" s="1">
        <v>5.0</v>
      </c>
      <c r="H42" s="1">
        <v>0.25</v>
      </c>
      <c r="I42" s="1">
        <v>33.33</v>
      </c>
    </row>
    <row r="43">
      <c r="A43" s="1" t="s">
        <v>205</v>
      </c>
      <c r="B43" s="1">
        <v>2.0</v>
      </c>
      <c r="C43" s="1">
        <v>16.0</v>
      </c>
      <c r="D43" s="1">
        <v>7.0</v>
      </c>
      <c r="E43" s="1">
        <v>3.0</v>
      </c>
      <c r="F43" s="1">
        <v>1.0</v>
      </c>
      <c r="G43" s="1">
        <v>4.0</v>
      </c>
      <c r="H43" s="1">
        <v>0.5</v>
      </c>
      <c r="I43" s="1">
        <v>42.86</v>
      </c>
    </row>
    <row r="44">
      <c r="A44" s="1" t="s">
        <v>206</v>
      </c>
      <c r="B44" s="1">
        <v>4.0</v>
      </c>
      <c r="C44" s="1">
        <v>32.0</v>
      </c>
      <c r="D44" s="1">
        <v>9.0</v>
      </c>
      <c r="E44" s="1">
        <v>5.0</v>
      </c>
      <c r="F44" s="1">
        <v>1.0</v>
      </c>
      <c r="G44" s="1">
        <v>4.0</v>
      </c>
      <c r="H44" s="1">
        <v>0.25</v>
      </c>
      <c r="I44" s="1">
        <v>55.56</v>
      </c>
    </row>
    <row r="45">
      <c r="A45" s="1" t="s">
        <v>207</v>
      </c>
      <c r="B45" s="1">
        <v>4.0</v>
      </c>
      <c r="C45" s="1">
        <v>32.0</v>
      </c>
      <c r="D45" s="1">
        <v>15.0</v>
      </c>
      <c r="E45" s="1">
        <v>4.0</v>
      </c>
      <c r="F45" s="1">
        <v>0.0</v>
      </c>
      <c r="G45" s="1">
        <v>4.0</v>
      </c>
      <c r="H45" s="1">
        <v>0.0</v>
      </c>
      <c r="I45" s="1">
        <v>26.67</v>
      </c>
    </row>
    <row r="46">
      <c r="A46" s="1" t="s">
        <v>208</v>
      </c>
      <c r="B46" s="1">
        <v>3.0</v>
      </c>
      <c r="C46" s="1">
        <v>24.0</v>
      </c>
      <c r="D46" s="1">
        <v>15.0</v>
      </c>
      <c r="E46" s="1">
        <v>4.0</v>
      </c>
      <c r="F46" s="1">
        <v>1.0</v>
      </c>
      <c r="G46" s="1">
        <v>4.0</v>
      </c>
      <c r="H46" s="1">
        <v>0.33</v>
      </c>
      <c r="I46" s="1">
        <v>26.67</v>
      </c>
    </row>
    <row r="47">
      <c r="A47" s="1" t="s">
        <v>209</v>
      </c>
      <c r="B47" s="1">
        <v>1.0</v>
      </c>
      <c r="C47" s="1">
        <v>8.0</v>
      </c>
      <c r="D47" s="1">
        <v>4.0</v>
      </c>
      <c r="E47" s="1">
        <v>2.0</v>
      </c>
      <c r="F47" s="1">
        <v>1.0</v>
      </c>
      <c r="G47" s="1">
        <v>4.0</v>
      </c>
      <c r="H47" s="1">
        <v>1.0</v>
      </c>
      <c r="I47" s="1">
        <v>50.0</v>
      </c>
    </row>
    <row r="48">
      <c r="A48" s="1" t="s">
        <v>210</v>
      </c>
      <c r="B48" s="1">
        <v>4.0</v>
      </c>
      <c r="C48" s="1">
        <v>32.0</v>
      </c>
      <c r="D48" s="1">
        <v>12.0</v>
      </c>
      <c r="E48" s="1">
        <v>6.0</v>
      </c>
      <c r="F48" s="1">
        <v>2.0</v>
      </c>
      <c r="G48" s="1">
        <v>4.0</v>
      </c>
      <c r="H48" s="1">
        <v>0.5</v>
      </c>
      <c r="I48" s="1">
        <v>50.0</v>
      </c>
    </row>
    <row r="49">
      <c r="A49" s="1" t="s">
        <v>211</v>
      </c>
      <c r="B49" s="1">
        <v>4.0</v>
      </c>
      <c r="C49" s="1">
        <v>32.0</v>
      </c>
      <c r="D49" s="1">
        <v>12.0</v>
      </c>
      <c r="E49" s="1">
        <v>7.0</v>
      </c>
      <c r="F49" s="1">
        <v>4.0</v>
      </c>
      <c r="G49" s="1">
        <v>3.0</v>
      </c>
      <c r="H49" s="1">
        <v>1.0</v>
      </c>
      <c r="I49" s="1">
        <v>58.33</v>
      </c>
    </row>
    <row r="50">
      <c r="A50" s="1" t="s">
        <v>212</v>
      </c>
      <c r="B50" s="1">
        <v>4.0</v>
      </c>
      <c r="C50" s="1">
        <v>32.0</v>
      </c>
      <c r="D50" s="1">
        <v>12.0</v>
      </c>
      <c r="E50" s="1">
        <v>6.0</v>
      </c>
      <c r="F50" s="1">
        <v>3.0</v>
      </c>
      <c r="G50" s="1">
        <v>3.0</v>
      </c>
      <c r="H50" s="1">
        <v>0.75</v>
      </c>
      <c r="I50" s="1">
        <v>50.0</v>
      </c>
    </row>
    <row r="51">
      <c r="A51" s="1" t="s">
        <v>213</v>
      </c>
      <c r="B51" s="1">
        <v>4.0</v>
      </c>
      <c r="C51" s="1">
        <v>32.0</v>
      </c>
      <c r="D51" s="1">
        <v>13.0</v>
      </c>
      <c r="E51" s="1">
        <v>5.0</v>
      </c>
      <c r="F51" s="1">
        <v>2.0</v>
      </c>
      <c r="G51" s="1">
        <v>3.0</v>
      </c>
      <c r="H51" s="1">
        <v>0.5</v>
      </c>
      <c r="I51" s="1">
        <v>38.46</v>
      </c>
    </row>
    <row r="52">
      <c r="A52" s="1" t="s">
        <v>214</v>
      </c>
      <c r="B52" s="1">
        <v>4.0</v>
      </c>
      <c r="C52" s="1">
        <v>32.0</v>
      </c>
      <c r="D52" s="1">
        <v>12.0</v>
      </c>
      <c r="E52" s="1">
        <v>5.0</v>
      </c>
      <c r="F52" s="1">
        <v>2.0</v>
      </c>
      <c r="G52" s="1">
        <v>3.0</v>
      </c>
      <c r="H52" s="1">
        <v>0.5</v>
      </c>
      <c r="I52" s="1">
        <v>41.67</v>
      </c>
    </row>
    <row r="53">
      <c r="A53" s="1" t="s">
        <v>215</v>
      </c>
      <c r="B53" s="1">
        <v>4.0</v>
      </c>
      <c r="C53" s="1">
        <v>32.0</v>
      </c>
      <c r="D53" s="1">
        <v>19.0</v>
      </c>
      <c r="E53" s="1">
        <v>5.0</v>
      </c>
      <c r="F53" s="1">
        <v>2.0</v>
      </c>
      <c r="G53" s="1">
        <v>3.0</v>
      </c>
      <c r="H53" s="1">
        <v>0.5</v>
      </c>
      <c r="I53" s="1">
        <v>26.32</v>
      </c>
    </row>
    <row r="54">
      <c r="A54" s="1" t="s">
        <v>216</v>
      </c>
      <c r="B54" s="1">
        <v>3.0</v>
      </c>
      <c r="C54" s="1">
        <v>24.0</v>
      </c>
      <c r="D54" s="1">
        <v>14.0</v>
      </c>
      <c r="E54" s="1">
        <v>6.0</v>
      </c>
      <c r="F54" s="1">
        <v>4.0</v>
      </c>
      <c r="G54" s="1">
        <v>2.67</v>
      </c>
      <c r="H54" s="1">
        <v>1.33</v>
      </c>
      <c r="I54" s="1">
        <v>42.86</v>
      </c>
    </row>
    <row r="55">
      <c r="A55" s="1" t="s">
        <v>217</v>
      </c>
      <c r="B55" s="1">
        <v>3.0</v>
      </c>
      <c r="C55" s="1">
        <v>24.0</v>
      </c>
      <c r="D55" s="1">
        <v>8.0</v>
      </c>
      <c r="E55" s="1">
        <v>2.0</v>
      </c>
      <c r="F55" s="1">
        <v>0.0</v>
      </c>
      <c r="G55" s="1">
        <v>2.67</v>
      </c>
      <c r="H55" s="1">
        <v>0.0</v>
      </c>
      <c r="I55" s="1">
        <v>25.0</v>
      </c>
    </row>
    <row r="56">
      <c r="A56" s="1" t="s">
        <v>218</v>
      </c>
      <c r="B56" s="1">
        <v>2.0</v>
      </c>
      <c r="C56" s="1">
        <v>16.0</v>
      </c>
      <c r="D56" s="1">
        <v>1.0</v>
      </c>
      <c r="E56" s="1">
        <v>1.0</v>
      </c>
      <c r="F56" s="1">
        <v>0.0</v>
      </c>
      <c r="G56" s="1">
        <v>2.0</v>
      </c>
      <c r="H56" s="1">
        <v>0.0</v>
      </c>
      <c r="I56" s="1">
        <v>100.0</v>
      </c>
    </row>
    <row r="57">
      <c r="A57" s="1" t="s">
        <v>219</v>
      </c>
      <c r="B57" s="1">
        <v>4.0</v>
      </c>
      <c r="C57" s="1">
        <v>32.0</v>
      </c>
      <c r="D57" s="1">
        <v>20.0</v>
      </c>
      <c r="E57" s="1">
        <v>8.0</v>
      </c>
      <c r="F57" s="1">
        <v>6.0</v>
      </c>
      <c r="G57" s="1">
        <v>2.0</v>
      </c>
      <c r="H57" s="1">
        <v>1.5</v>
      </c>
      <c r="I57" s="1">
        <v>40.0</v>
      </c>
    </row>
    <row r="58">
      <c r="A58" s="1" t="s">
        <v>220</v>
      </c>
      <c r="B58" s="1">
        <v>2.0</v>
      </c>
      <c r="C58" s="1">
        <v>16.0</v>
      </c>
      <c r="D58" s="1">
        <v>7.0</v>
      </c>
      <c r="E58" s="1">
        <v>3.0</v>
      </c>
      <c r="F58" s="1">
        <v>2.0</v>
      </c>
      <c r="G58" s="1">
        <v>2.0</v>
      </c>
      <c r="H58" s="1">
        <v>1.0</v>
      </c>
      <c r="I58" s="1">
        <v>42.86</v>
      </c>
    </row>
    <row r="59">
      <c r="A59" s="1" t="s">
        <v>221</v>
      </c>
      <c r="B59" s="1">
        <v>4.0</v>
      </c>
      <c r="C59" s="1">
        <v>32.0</v>
      </c>
      <c r="D59" s="1">
        <v>6.0</v>
      </c>
      <c r="E59" s="1">
        <v>3.0</v>
      </c>
      <c r="F59" s="1">
        <v>1.0</v>
      </c>
      <c r="G59" s="1">
        <v>2.0</v>
      </c>
      <c r="H59" s="1">
        <v>0.25</v>
      </c>
      <c r="I59" s="1">
        <v>50.0</v>
      </c>
    </row>
    <row r="60">
      <c r="A60" s="1" t="s">
        <v>222</v>
      </c>
      <c r="B60" s="1">
        <v>4.0</v>
      </c>
      <c r="C60" s="1">
        <v>32.0</v>
      </c>
      <c r="D60" s="1">
        <v>8.0</v>
      </c>
      <c r="E60" s="1">
        <v>3.0</v>
      </c>
      <c r="F60" s="1">
        <v>1.0</v>
      </c>
      <c r="G60" s="1">
        <v>2.0</v>
      </c>
      <c r="H60" s="1">
        <v>0.25</v>
      </c>
      <c r="I60" s="1">
        <v>37.5</v>
      </c>
    </row>
    <row r="61">
      <c r="A61" s="1" t="s">
        <v>223</v>
      </c>
      <c r="B61" s="1">
        <v>4.0</v>
      </c>
      <c r="C61" s="1">
        <v>32.0</v>
      </c>
      <c r="D61" s="1">
        <v>2.0</v>
      </c>
      <c r="E61" s="1">
        <v>2.0</v>
      </c>
      <c r="F61" s="1">
        <v>0.0</v>
      </c>
      <c r="G61" s="1">
        <v>2.0</v>
      </c>
      <c r="H61" s="1">
        <v>0.0</v>
      </c>
      <c r="I61" s="1">
        <v>100.0</v>
      </c>
    </row>
    <row r="62">
      <c r="A62" s="1" t="s">
        <v>224</v>
      </c>
      <c r="B62" s="1">
        <v>2.0</v>
      </c>
      <c r="C62" s="1">
        <v>16.0</v>
      </c>
      <c r="D62" s="1">
        <v>3.0</v>
      </c>
      <c r="E62" s="1">
        <v>2.0</v>
      </c>
      <c r="F62" s="1">
        <v>1.0</v>
      </c>
      <c r="G62" s="1">
        <v>2.0</v>
      </c>
      <c r="H62" s="1">
        <v>0.5</v>
      </c>
      <c r="I62" s="1">
        <v>66.67</v>
      </c>
    </row>
    <row r="63">
      <c r="A63" s="1" t="s">
        <v>225</v>
      </c>
      <c r="B63" s="1">
        <v>4.0</v>
      </c>
      <c r="C63" s="1">
        <v>32.0</v>
      </c>
      <c r="D63" s="1">
        <v>6.0</v>
      </c>
      <c r="E63" s="1">
        <v>3.0</v>
      </c>
      <c r="F63" s="1">
        <v>1.0</v>
      </c>
      <c r="G63" s="1">
        <v>2.0</v>
      </c>
      <c r="H63" s="1">
        <v>0.25</v>
      </c>
      <c r="I63" s="1">
        <v>50.0</v>
      </c>
    </row>
    <row r="64">
      <c r="A64" s="1" t="s">
        <v>226</v>
      </c>
      <c r="B64" s="1">
        <v>2.0</v>
      </c>
      <c r="C64" s="1">
        <v>16.0</v>
      </c>
      <c r="D64" s="1">
        <v>5.0</v>
      </c>
      <c r="E64" s="1">
        <v>1.0</v>
      </c>
      <c r="F64" s="1">
        <v>0.0</v>
      </c>
      <c r="G64" s="1">
        <v>2.0</v>
      </c>
      <c r="H64" s="1">
        <v>0.0</v>
      </c>
      <c r="I64" s="1">
        <v>20.0</v>
      </c>
    </row>
    <row r="65">
      <c r="A65" s="1" t="s">
        <v>227</v>
      </c>
      <c r="B65" s="1">
        <v>4.0</v>
      </c>
      <c r="C65" s="1">
        <v>32.0</v>
      </c>
      <c r="D65" s="1">
        <v>9.0</v>
      </c>
      <c r="E65" s="1">
        <v>2.0</v>
      </c>
      <c r="F65" s="1">
        <v>0.0</v>
      </c>
      <c r="G65" s="1">
        <v>2.0</v>
      </c>
      <c r="H65" s="1">
        <v>0.0</v>
      </c>
      <c r="I65" s="1">
        <v>22.22</v>
      </c>
    </row>
    <row r="66">
      <c r="A66" s="1" t="s">
        <v>228</v>
      </c>
      <c r="B66" s="1">
        <v>4.0</v>
      </c>
      <c r="C66" s="1">
        <v>32.0</v>
      </c>
      <c r="D66" s="1">
        <v>9.0</v>
      </c>
      <c r="E66" s="1">
        <v>5.0</v>
      </c>
      <c r="F66" s="1">
        <v>3.0</v>
      </c>
      <c r="G66" s="1">
        <v>2.0</v>
      </c>
      <c r="H66" s="1">
        <v>0.75</v>
      </c>
      <c r="I66" s="1">
        <v>55.56</v>
      </c>
    </row>
    <row r="67">
      <c r="A67" s="1" t="s">
        <v>229</v>
      </c>
      <c r="B67" s="1">
        <v>4.0</v>
      </c>
      <c r="C67" s="1">
        <v>32.0</v>
      </c>
      <c r="D67" s="1">
        <v>8.0</v>
      </c>
      <c r="E67" s="1">
        <v>4.0</v>
      </c>
      <c r="F67" s="1">
        <v>2.0</v>
      </c>
      <c r="G67" s="1">
        <v>2.0</v>
      </c>
      <c r="H67" s="1">
        <v>0.5</v>
      </c>
      <c r="I67" s="1">
        <v>50.0</v>
      </c>
    </row>
    <row r="68">
      <c r="A68" s="1" t="s">
        <v>230</v>
      </c>
      <c r="B68" s="1">
        <v>3.0</v>
      </c>
      <c r="C68" s="1">
        <v>24.0</v>
      </c>
      <c r="D68" s="1">
        <v>24.0</v>
      </c>
      <c r="E68" s="1">
        <v>11.0</v>
      </c>
      <c r="F68" s="1">
        <v>10.0</v>
      </c>
      <c r="G68" s="1">
        <v>1.33</v>
      </c>
      <c r="H68" s="1">
        <v>3.33</v>
      </c>
      <c r="I68" s="1">
        <v>45.83</v>
      </c>
    </row>
    <row r="69">
      <c r="A69" s="1" t="s">
        <v>231</v>
      </c>
      <c r="B69" s="1">
        <v>4.0</v>
      </c>
      <c r="C69" s="1">
        <v>32.0</v>
      </c>
      <c r="D69" s="1">
        <v>4.0</v>
      </c>
      <c r="E69" s="1">
        <v>1.0</v>
      </c>
      <c r="F69" s="1">
        <v>0.0</v>
      </c>
      <c r="G69" s="1">
        <v>1.0</v>
      </c>
      <c r="H69" s="1">
        <v>0.0</v>
      </c>
      <c r="I69" s="1">
        <v>25.0</v>
      </c>
    </row>
    <row r="70">
      <c r="A70" s="1" t="s">
        <v>232</v>
      </c>
      <c r="B70" s="1">
        <v>4.0</v>
      </c>
      <c r="C70" s="1">
        <v>32.0</v>
      </c>
      <c r="D70" s="1">
        <v>4.0</v>
      </c>
      <c r="E70" s="1">
        <v>1.0</v>
      </c>
      <c r="F70" s="1">
        <v>0.0</v>
      </c>
      <c r="G70" s="1">
        <v>1.0</v>
      </c>
      <c r="H70" s="1">
        <v>0.0</v>
      </c>
      <c r="I70" s="1">
        <v>25.0</v>
      </c>
    </row>
    <row r="71">
      <c r="A71" s="1" t="s">
        <v>233</v>
      </c>
      <c r="B71" s="1">
        <v>4.0</v>
      </c>
      <c r="C71" s="1">
        <v>32.0</v>
      </c>
      <c r="D71" s="1">
        <v>1.0</v>
      </c>
      <c r="E71" s="1">
        <v>1.0</v>
      </c>
      <c r="F71" s="1">
        <v>0.0</v>
      </c>
      <c r="G71" s="1">
        <v>1.0</v>
      </c>
      <c r="H71" s="1">
        <v>0.0</v>
      </c>
      <c r="I71" s="1">
        <v>100.0</v>
      </c>
    </row>
    <row r="72">
      <c r="A72" s="1" t="s">
        <v>234</v>
      </c>
      <c r="B72" s="1">
        <v>4.0</v>
      </c>
      <c r="C72" s="1">
        <v>32.0</v>
      </c>
      <c r="D72" s="1">
        <v>21.0</v>
      </c>
      <c r="E72" s="1">
        <v>10.0</v>
      </c>
      <c r="F72" s="1">
        <v>10.0</v>
      </c>
      <c r="G72" s="1">
        <v>0.0</v>
      </c>
      <c r="H72" s="1">
        <v>2.5</v>
      </c>
      <c r="I72" s="1">
        <v>47.62</v>
      </c>
    </row>
    <row r="73">
      <c r="A73" s="1" t="s">
        <v>235</v>
      </c>
      <c r="B73" s="1">
        <v>4.0</v>
      </c>
      <c r="C73" s="1">
        <v>32.0</v>
      </c>
      <c r="D73" s="1">
        <v>8.0</v>
      </c>
      <c r="E73" s="1">
        <v>2.0</v>
      </c>
      <c r="F73" s="1">
        <v>2.0</v>
      </c>
      <c r="G73" s="1">
        <v>0.0</v>
      </c>
      <c r="H73" s="1">
        <v>0.5</v>
      </c>
      <c r="I73" s="1">
        <v>25.0</v>
      </c>
    </row>
    <row r="74">
      <c r="A74" s="1" t="s">
        <v>236</v>
      </c>
      <c r="B74" s="1">
        <v>1.0</v>
      </c>
      <c r="C74" s="1">
        <v>8.0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>
      <c r="A75" s="1" t="s">
        <v>237</v>
      </c>
      <c r="B75" s="1">
        <v>3.0</v>
      </c>
      <c r="C75" s="1">
        <v>24.0</v>
      </c>
      <c r="D75" s="1">
        <v>4.0</v>
      </c>
      <c r="E75" s="1">
        <v>2.0</v>
      </c>
      <c r="F75" s="1">
        <v>2.0</v>
      </c>
      <c r="G75" s="1">
        <v>0.0</v>
      </c>
      <c r="H75" s="1">
        <v>0.67</v>
      </c>
      <c r="I75" s="1">
        <v>50.0</v>
      </c>
    </row>
    <row r="76">
      <c r="A76" s="1" t="s">
        <v>238</v>
      </c>
      <c r="B76" s="1">
        <v>4.0</v>
      </c>
      <c r="C76" s="1">
        <v>32.0</v>
      </c>
      <c r="D76" s="1">
        <v>3.0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>
      <c r="A77" s="1" t="s">
        <v>239</v>
      </c>
      <c r="B77" s="1">
        <v>1.0</v>
      </c>
      <c r="C77" s="1">
        <v>8.0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>
      <c r="A78" s="1" t="s">
        <v>240</v>
      </c>
      <c r="B78" s="1">
        <v>2.0</v>
      </c>
      <c r="C78" s="1">
        <v>16.0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</row>
    <row r="79">
      <c r="A79" s="1" t="s">
        <v>241</v>
      </c>
      <c r="B79" s="1">
        <v>1.0</v>
      </c>
      <c r="C79" s="1">
        <v>8.0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</row>
    <row r="80">
      <c r="A80" s="1" t="s">
        <v>242</v>
      </c>
      <c r="B80" s="1">
        <v>4.0</v>
      </c>
      <c r="C80" s="1">
        <v>32.0</v>
      </c>
      <c r="D80" s="1">
        <v>5.0</v>
      </c>
      <c r="E80" s="1">
        <v>1.0</v>
      </c>
      <c r="F80" s="1">
        <v>2.0</v>
      </c>
      <c r="G80" s="1">
        <v>-1.0</v>
      </c>
      <c r="H80" s="1">
        <v>0.5</v>
      </c>
      <c r="I80" s="1">
        <v>20.0</v>
      </c>
    </row>
    <row r="81">
      <c r="A81" s="1" t="s">
        <v>243</v>
      </c>
      <c r="B81" s="1">
        <v>4.0</v>
      </c>
      <c r="C81" s="1">
        <v>32.0</v>
      </c>
      <c r="D81" s="1">
        <v>11.0</v>
      </c>
      <c r="E81" s="1">
        <v>3.0</v>
      </c>
      <c r="F81" s="1">
        <v>4.0</v>
      </c>
      <c r="G81" s="1">
        <v>-1.0</v>
      </c>
      <c r="H81" s="1">
        <v>1.0</v>
      </c>
      <c r="I81" s="1">
        <v>27.27</v>
      </c>
    </row>
    <row r="82">
      <c r="A82" s="1" t="s">
        <v>244</v>
      </c>
      <c r="B82" s="1">
        <v>3.0</v>
      </c>
      <c r="C82" s="1">
        <v>24.0</v>
      </c>
      <c r="D82" s="1">
        <v>9.0</v>
      </c>
      <c r="E82" s="1">
        <v>2.0</v>
      </c>
      <c r="F82" s="1">
        <v>3.0</v>
      </c>
      <c r="G82" s="1">
        <v>-1.33</v>
      </c>
      <c r="H82" s="1">
        <v>1.0</v>
      </c>
      <c r="I82" s="1">
        <v>22.22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164</v>
      </c>
      <c r="B2" s="1">
        <v>3.0</v>
      </c>
      <c r="C2" s="1">
        <v>12.0</v>
      </c>
      <c r="D2" s="1">
        <v>8.0</v>
      </c>
      <c r="E2" s="1">
        <v>5.0</v>
      </c>
      <c r="F2" s="1">
        <v>0.0</v>
      </c>
      <c r="G2" s="1">
        <v>6.67</v>
      </c>
      <c r="H2" s="1">
        <v>0.0</v>
      </c>
      <c r="I2" s="1">
        <v>62.5</v>
      </c>
    </row>
    <row r="3">
      <c r="A3" s="1" t="s">
        <v>171</v>
      </c>
      <c r="B3" s="1">
        <v>4.0</v>
      </c>
      <c r="C3" s="1">
        <v>16.0</v>
      </c>
      <c r="D3" s="1">
        <v>7.0</v>
      </c>
      <c r="E3" s="1">
        <v>5.0</v>
      </c>
      <c r="F3" s="1">
        <v>0.0</v>
      </c>
      <c r="G3" s="1">
        <v>5.0</v>
      </c>
      <c r="H3" s="1">
        <v>0.0</v>
      </c>
      <c r="I3" s="1">
        <v>71.43</v>
      </c>
    </row>
    <row r="4">
      <c r="A4" s="1" t="s">
        <v>165</v>
      </c>
      <c r="B4" s="1">
        <v>4.0</v>
      </c>
      <c r="C4" s="1">
        <v>16.0</v>
      </c>
      <c r="D4" s="1">
        <v>5.0</v>
      </c>
      <c r="E4" s="1">
        <v>5.0</v>
      </c>
      <c r="F4" s="1">
        <v>0.0</v>
      </c>
      <c r="G4" s="1">
        <v>5.0</v>
      </c>
      <c r="H4" s="1">
        <v>0.0</v>
      </c>
      <c r="I4" s="1">
        <v>100.0</v>
      </c>
    </row>
    <row r="5">
      <c r="A5" s="1" t="s">
        <v>169</v>
      </c>
      <c r="B5" s="1">
        <v>3.0</v>
      </c>
      <c r="C5" s="1">
        <v>12.0</v>
      </c>
      <c r="D5" s="1">
        <v>5.0</v>
      </c>
      <c r="E5" s="1">
        <v>3.0</v>
      </c>
      <c r="F5" s="1">
        <v>0.0</v>
      </c>
      <c r="G5" s="1">
        <v>4.0</v>
      </c>
      <c r="H5" s="1">
        <v>0.0</v>
      </c>
      <c r="I5" s="1">
        <v>60.0</v>
      </c>
    </row>
    <row r="6">
      <c r="A6" s="1" t="s">
        <v>184</v>
      </c>
      <c r="B6" s="1">
        <v>4.0</v>
      </c>
      <c r="C6" s="1">
        <v>16.0</v>
      </c>
      <c r="D6" s="1">
        <v>5.0</v>
      </c>
      <c r="E6" s="1">
        <v>4.0</v>
      </c>
      <c r="F6" s="1">
        <v>0.0</v>
      </c>
      <c r="G6" s="1">
        <v>4.0</v>
      </c>
      <c r="H6" s="1">
        <v>0.0</v>
      </c>
      <c r="I6" s="1">
        <v>80.0</v>
      </c>
    </row>
    <row r="7">
      <c r="A7" s="1" t="s">
        <v>173</v>
      </c>
      <c r="B7" s="1">
        <v>2.0</v>
      </c>
      <c r="C7" s="1">
        <v>8.0</v>
      </c>
      <c r="D7" s="1">
        <v>5.0</v>
      </c>
      <c r="E7" s="1">
        <v>2.0</v>
      </c>
      <c r="F7" s="1">
        <v>0.0</v>
      </c>
      <c r="G7" s="1">
        <v>4.0</v>
      </c>
      <c r="H7" s="1">
        <v>0.0</v>
      </c>
      <c r="I7" s="1">
        <v>40.0</v>
      </c>
    </row>
    <row r="8">
      <c r="A8" s="1" t="s">
        <v>219</v>
      </c>
      <c r="B8" s="1">
        <v>4.0</v>
      </c>
      <c r="C8" s="1">
        <v>16.0</v>
      </c>
      <c r="D8" s="1">
        <v>5.0</v>
      </c>
      <c r="E8" s="1">
        <v>3.0</v>
      </c>
      <c r="F8" s="1">
        <v>0.0</v>
      </c>
      <c r="G8" s="1">
        <v>3.0</v>
      </c>
      <c r="H8" s="1">
        <v>0.0</v>
      </c>
      <c r="I8" s="1">
        <v>60.0</v>
      </c>
    </row>
    <row r="9">
      <c r="A9" s="1" t="s">
        <v>170</v>
      </c>
      <c r="B9" s="1">
        <v>4.0</v>
      </c>
      <c r="C9" s="1">
        <v>16.0</v>
      </c>
      <c r="D9" s="1">
        <v>9.0</v>
      </c>
      <c r="E9" s="1">
        <v>6.0</v>
      </c>
      <c r="F9" s="1">
        <v>3.0</v>
      </c>
      <c r="G9" s="1">
        <v>3.0</v>
      </c>
      <c r="H9" s="1">
        <v>0.75</v>
      </c>
      <c r="I9" s="1">
        <v>66.67</v>
      </c>
    </row>
    <row r="10">
      <c r="A10" s="1" t="s">
        <v>178</v>
      </c>
      <c r="B10" s="1">
        <v>4.0</v>
      </c>
      <c r="C10" s="1">
        <v>16.0</v>
      </c>
      <c r="D10" s="1">
        <v>4.0</v>
      </c>
      <c r="E10" s="1">
        <v>3.0</v>
      </c>
      <c r="F10" s="1">
        <v>0.0</v>
      </c>
      <c r="G10" s="1">
        <v>3.0</v>
      </c>
      <c r="H10" s="1">
        <v>0.0</v>
      </c>
      <c r="I10" s="1">
        <v>75.0</v>
      </c>
    </row>
    <row r="11">
      <c r="A11" s="1" t="s">
        <v>167</v>
      </c>
      <c r="B11" s="1">
        <v>4.0</v>
      </c>
      <c r="C11" s="1">
        <v>16.0</v>
      </c>
      <c r="D11" s="1">
        <v>6.0</v>
      </c>
      <c r="E11" s="1">
        <v>4.0</v>
      </c>
      <c r="F11" s="1">
        <v>1.0</v>
      </c>
      <c r="G11" s="1">
        <v>3.0</v>
      </c>
      <c r="H11" s="1">
        <v>0.25</v>
      </c>
      <c r="I11" s="1">
        <v>66.67</v>
      </c>
    </row>
    <row r="12">
      <c r="A12" s="1" t="s">
        <v>197</v>
      </c>
      <c r="B12" s="1">
        <v>3.0</v>
      </c>
      <c r="C12" s="1">
        <v>12.0</v>
      </c>
      <c r="D12" s="1">
        <v>3.0</v>
      </c>
      <c r="E12" s="1">
        <v>2.0</v>
      </c>
      <c r="F12" s="1">
        <v>0.0</v>
      </c>
      <c r="G12" s="1">
        <v>2.67</v>
      </c>
      <c r="H12" s="1">
        <v>0.0</v>
      </c>
      <c r="I12" s="1">
        <v>66.67</v>
      </c>
    </row>
    <row r="13">
      <c r="A13" s="1" t="s">
        <v>180</v>
      </c>
      <c r="B13" s="1">
        <v>3.0</v>
      </c>
      <c r="C13" s="1">
        <v>12.0</v>
      </c>
      <c r="D13" s="1">
        <v>3.0</v>
      </c>
      <c r="E13" s="1">
        <v>2.0</v>
      </c>
      <c r="F13" s="1">
        <v>0.0</v>
      </c>
      <c r="G13" s="1">
        <v>2.67</v>
      </c>
      <c r="H13" s="1">
        <v>0.0</v>
      </c>
      <c r="I13" s="1">
        <v>66.67</v>
      </c>
    </row>
    <row r="14">
      <c r="A14" s="1" t="s">
        <v>188</v>
      </c>
      <c r="B14" s="1">
        <v>4.0</v>
      </c>
      <c r="C14" s="1">
        <v>16.0</v>
      </c>
      <c r="D14" s="1">
        <v>2.0</v>
      </c>
      <c r="E14" s="1">
        <v>2.0</v>
      </c>
      <c r="F14" s="1">
        <v>0.0</v>
      </c>
      <c r="G14" s="1">
        <v>2.0</v>
      </c>
      <c r="H14" s="1">
        <v>0.0</v>
      </c>
      <c r="I14" s="1">
        <v>100.0</v>
      </c>
    </row>
    <row r="15">
      <c r="A15" s="1" t="s">
        <v>177</v>
      </c>
      <c r="B15" s="1">
        <v>4.0</v>
      </c>
      <c r="C15" s="1">
        <v>16.0</v>
      </c>
      <c r="D15" s="1">
        <v>3.0</v>
      </c>
      <c r="E15" s="1">
        <v>2.0</v>
      </c>
      <c r="F15" s="1">
        <v>0.0</v>
      </c>
      <c r="G15" s="1">
        <v>2.0</v>
      </c>
      <c r="H15" s="1">
        <v>0.0</v>
      </c>
      <c r="I15" s="1">
        <v>66.67</v>
      </c>
    </row>
    <row r="16">
      <c r="A16" s="1" t="s">
        <v>210</v>
      </c>
      <c r="B16" s="1">
        <v>4.0</v>
      </c>
      <c r="C16" s="1">
        <v>16.0</v>
      </c>
      <c r="D16" s="1">
        <v>3.0</v>
      </c>
      <c r="E16" s="1">
        <v>2.0</v>
      </c>
      <c r="F16" s="1">
        <v>0.0</v>
      </c>
      <c r="G16" s="1">
        <v>2.0</v>
      </c>
      <c r="H16" s="1">
        <v>0.0</v>
      </c>
      <c r="I16" s="1">
        <v>66.67</v>
      </c>
    </row>
    <row r="17">
      <c r="A17" s="1" t="s">
        <v>190</v>
      </c>
      <c r="B17" s="1">
        <v>4.0</v>
      </c>
      <c r="C17" s="1">
        <v>16.0</v>
      </c>
      <c r="D17" s="1">
        <v>4.0</v>
      </c>
      <c r="E17" s="1">
        <v>3.0</v>
      </c>
      <c r="F17" s="1">
        <v>1.0</v>
      </c>
      <c r="G17" s="1">
        <v>2.0</v>
      </c>
      <c r="H17" s="1">
        <v>0.25</v>
      </c>
      <c r="I17" s="1">
        <v>75.0</v>
      </c>
    </row>
    <row r="18">
      <c r="A18" s="1" t="s">
        <v>191</v>
      </c>
      <c r="B18" s="1">
        <v>4.0</v>
      </c>
      <c r="C18" s="1">
        <v>16.0</v>
      </c>
      <c r="D18" s="1">
        <v>2.0</v>
      </c>
      <c r="E18" s="1">
        <v>2.0</v>
      </c>
      <c r="F18" s="1">
        <v>0.0</v>
      </c>
      <c r="G18" s="1">
        <v>2.0</v>
      </c>
      <c r="H18" s="1">
        <v>0.0</v>
      </c>
      <c r="I18" s="1">
        <v>100.0</v>
      </c>
    </row>
    <row r="19">
      <c r="A19" s="1" t="s">
        <v>193</v>
      </c>
      <c r="B19" s="1">
        <v>4.0</v>
      </c>
      <c r="C19" s="1">
        <v>16.0</v>
      </c>
      <c r="D19" s="1">
        <v>3.0</v>
      </c>
      <c r="E19" s="1">
        <v>2.0</v>
      </c>
      <c r="F19" s="1">
        <v>0.0</v>
      </c>
      <c r="G19" s="1">
        <v>2.0</v>
      </c>
      <c r="H19" s="1">
        <v>0.0</v>
      </c>
      <c r="I19" s="1">
        <v>66.67</v>
      </c>
    </row>
    <row r="20">
      <c r="A20" s="1" t="s">
        <v>185</v>
      </c>
      <c r="B20" s="1">
        <v>4.0</v>
      </c>
      <c r="C20" s="1">
        <v>16.0</v>
      </c>
      <c r="D20" s="1">
        <v>2.0</v>
      </c>
      <c r="E20" s="1">
        <v>2.0</v>
      </c>
      <c r="F20" s="1">
        <v>0.0</v>
      </c>
      <c r="G20" s="1">
        <v>2.0</v>
      </c>
      <c r="H20" s="1">
        <v>0.0</v>
      </c>
      <c r="I20" s="1">
        <v>100.0</v>
      </c>
    </row>
    <row r="21">
      <c r="A21" s="1" t="s">
        <v>216</v>
      </c>
      <c r="B21" s="1">
        <v>3.0</v>
      </c>
      <c r="C21" s="1">
        <v>12.0</v>
      </c>
      <c r="D21" s="1">
        <v>3.0</v>
      </c>
      <c r="E21" s="1">
        <v>1.0</v>
      </c>
      <c r="F21" s="1">
        <v>0.0</v>
      </c>
      <c r="G21" s="1">
        <v>1.33</v>
      </c>
      <c r="H21" s="1">
        <v>0.0</v>
      </c>
      <c r="I21" s="1">
        <v>33.33</v>
      </c>
    </row>
    <row r="22">
      <c r="A22" s="1" t="s">
        <v>208</v>
      </c>
      <c r="B22" s="1">
        <v>3.0</v>
      </c>
      <c r="C22" s="1">
        <v>12.0</v>
      </c>
      <c r="D22" s="1">
        <v>4.0</v>
      </c>
      <c r="E22" s="1">
        <v>1.0</v>
      </c>
      <c r="F22" s="1">
        <v>0.0</v>
      </c>
      <c r="G22" s="1">
        <v>1.33</v>
      </c>
      <c r="H22" s="1">
        <v>0.0</v>
      </c>
      <c r="I22" s="1">
        <v>25.0</v>
      </c>
    </row>
    <row r="23">
      <c r="A23" s="1" t="s">
        <v>237</v>
      </c>
      <c r="B23" s="1">
        <v>3.0</v>
      </c>
      <c r="C23" s="1">
        <v>12.0</v>
      </c>
      <c r="D23" s="1">
        <v>1.0</v>
      </c>
      <c r="E23" s="1">
        <v>1.0</v>
      </c>
      <c r="F23" s="1">
        <v>0.0</v>
      </c>
      <c r="G23" s="1">
        <v>1.33</v>
      </c>
      <c r="H23" s="1">
        <v>0.0</v>
      </c>
      <c r="I23" s="1">
        <v>100.0</v>
      </c>
    </row>
    <row r="24">
      <c r="A24" s="1" t="s">
        <v>196</v>
      </c>
      <c r="B24" s="1">
        <v>3.0</v>
      </c>
      <c r="C24" s="1">
        <v>12.0</v>
      </c>
      <c r="D24" s="1">
        <v>2.0</v>
      </c>
      <c r="E24" s="1">
        <v>1.0</v>
      </c>
      <c r="F24" s="1">
        <v>0.0</v>
      </c>
      <c r="G24" s="1">
        <v>1.33</v>
      </c>
      <c r="H24" s="1">
        <v>0.0</v>
      </c>
      <c r="I24" s="1">
        <v>50.0</v>
      </c>
    </row>
    <row r="25">
      <c r="A25" s="1" t="s">
        <v>213</v>
      </c>
      <c r="B25" s="1">
        <v>4.0</v>
      </c>
      <c r="C25" s="1">
        <v>16.0</v>
      </c>
      <c r="D25" s="1">
        <v>1.0</v>
      </c>
      <c r="E25" s="1">
        <v>1.0</v>
      </c>
      <c r="F25" s="1">
        <v>0.0</v>
      </c>
      <c r="G25" s="1">
        <v>1.0</v>
      </c>
      <c r="H25" s="1">
        <v>0.0</v>
      </c>
      <c r="I25" s="1">
        <v>100.0</v>
      </c>
    </row>
    <row r="26">
      <c r="A26" s="1" t="s">
        <v>183</v>
      </c>
      <c r="B26" s="1">
        <v>4.0</v>
      </c>
      <c r="C26" s="1">
        <v>16.0</v>
      </c>
      <c r="D26" s="1">
        <v>2.0</v>
      </c>
      <c r="E26" s="1">
        <v>1.0</v>
      </c>
      <c r="F26" s="1">
        <v>0.0</v>
      </c>
      <c r="G26" s="1">
        <v>1.0</v>
      </c>
      <c r="H26" s="1">
        <v>0.0</v>
      </c>
      <c r="I26" s="1">
        <v>50.0</v>
      </c>
    </row>
    <row r="27">
      <c r="A27" s="1" t="s">
        <v>189</v>
      </c>
      <c r="B27" s="1">
        <v>4.0</v>
      </c>
      <c r="C27" s="1">
        <v>16.0</v>
      </c>
      <c r="D27" s="1">
        <v>1.0</v>
      </c>
      <c r="E27" s="1">
        <v>1.0</v>
      </c>
      <c r="F27" s="1">
        <v>0.0</v>
      </c>
      <c r="G27" s="1">
        <v>1.0</v>
      </c>
      <c r="H27" s="1">
        <v>0.0</v>
      </c>
      <c r="I27" s="1">
        <v>100.0</v>
      </c>
    </row>
    <row r="28">
      <c r="A28" s="1" t="s">
        <v>203</v>
      </c>
      <c r="B28" s="1">
        <v>4.0</v>
      </c>
      <c r="C28" s="1">
        <v>16.0</v>
      </c>
      <c r="D28" s="1">
        <v>4.0</v>
      </c>
      <c r="E28" s="1">
        <v>2.0</v>
      </c>
      <c r="F28" s="1">
        <v>1.0</v>
      </c>
      <c r="G28" s="1">
        <v>1.0</v>
      </c>
      <c r="H28" s="1">
        <v>0.25</v>
      </c>
      <c r="I28" s="1">
        <v>50.0</v>
      </c>
    </row>
    <row r="29">
      <c r="A29" s="1" t="s">
        <v>175</v>
      </c>
      <c r="B29" s="1">
        <v>4.0</v>
      </c>
      <c r="C29" s="1">
        <v>16.0</v>
      </c>
      <c r="D29" s="1">
        <v>6.0</v>
      </c>
      <c r="E29" s="1">
        <v>2.0</v>
      </c>
      <c r="F29" s="1">
        <v>1.0</v>
      </c>
      <c r="G29" s="1">
        <v>1.0</v>
      </c>
      <c r="H29" s="1">
        <v>0.25</v>
      </c>
      <c r="I29" s="1">
        <v>33.33</v>
      </c>
    </row>
    <row r="30">
      <c r="A30" s="1" t="s">
        <v>199</v>
      </c>
      <c r="B30" s="1">
        <v>4.0</v>
      </c>
      <c r="C30" s="1">
        <v>16.0</v>
      </c>
      <c r="D30" s="1">
        <v>1.0</v>
      </c>
      <c r="E30" s="1">
        <v>1.0</v>
      </c>
      <c r="F30" s="1">
        <v>0.0</v>
      </c>
      <c r="G30" s="1">
        <v>1.0</v>
      </c>
      <c r="H30" s="1">
        <v>0.0</v>
      </c>
      <c r="I30" s="1">
        <v>100.0</v>
      </c>
    </row>
    <row r="31">
      <c r="A31" s="1" t="s">
        <v>186</v>
      </c>
      <c r="B31" s="1">
        <v>4.0</v>
      </c>
      <c r="C31" s="1">
        <v>16.0</v>
      </c>
      <c r="D31" s="1">
        <v>4.0</v>
      </c>
      <c r="E31" s="1">
        <v>1.0</v>
      </c>
      <c r="F31" s="1">
        <v>0.0</v>
      </c>
      <c r="G31" s="1">
        <v>1.0</v>
      </c>
      <c r="H31" s="1">
        <v>0.0</v>
      </c>
      <c r="I31" s="1">
        <v>25.0</v>
      </c>
    </row>
    <row r="32">
      <c r="A32" s="1" t="s">
        <v>174</v>
      </c>
      <c r="B32" s="1">
        <v>4.0</v>
      </c>
      <c r="C32" s="1">
        <v>16.0</v>
      </c>
      <c r="D32" s="1">
        <v>2.0</v>
      </c>
      <c r="E32" s="1">
        <v>1.0</v>
      </c>
      <c r="F32" s="1">
        <v>0.0</v>
      </c>
      <c r="G32" s="1">
        <v>1.0</v>
      </c>
      <c r="H32" s="1">
        <v>0.0</v>
      </c>
      <c r="I32" s="1">
        <v>50.0</v>
      </c>
    </row>
    <row r="33">
      <c r="A33" s="1" t="s">
        <v>172</v>
      </c>
      <c r="B33" s="1">
        <v>3.0</v>
      </c>
      <c r="C33" s="1">
        <v>12.0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209</v>
      </c>
      <c r="B34" s="1">
        <v>1.0</v>
      </c>
      <c r="C34" s="1">
        <v>4.0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>
      <c r="A35" s="1" t="s">
        <v>242</v>
      </c>
      <c r="B35" s="1">
        <v>4.0</v>
      </c>
      <c r="C35" s="1">
        <v>16.0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231</v>
      </c>
      <c r="B36" s="1">
        <v>4.0</v>
      </c>
      <c r="C36" s="1">
        <v>16.0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176</v>
      </c>
      <c r="B37" s="1">
        <v>4.0</v>
      </c>
      <c r="C37" s="1">
        <v>16.0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>
      <c r="A38" s="1" t="s">
        <v>244</v>
      </c>
      <c r="B38" s="1">
        <v>3.0</v>
      </c>
      <c r="C38" s="1">
        <v>12.0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182</v>
      </c>
      <c r="B39" s="1">
        <v>4.0</v>
      </c>
      <c r="C39" s="1">
        <v>16.0</v>
      </c>
      <c r="D39" s="1">
        <v>3.0</v>
      </c>
      <c r="E39" s="1">
        <v>1.0</v>
      </c>
      <c r="F39" s="1">
        <v>1.0</v>
      </c>
      <c r="G39" s="1">
        <v>0.0</v>
      </c>
      <c r="H39" s="1">
        <v>0.25</v>
      </c>
      <c r="I39" s="1">
        <v>33.33</v>
      </c>
    </row>
    <row r="40">
      <c r="A40" s="1" t="s">
        <v>179</v>
      </c>
      <c r="B40" s="1">
        <v>3.0</v>
      </c>
      <c r="C40" s="1">
        <v>12.0</v>
      </c>
      <c r="D40" s="1">
        <v>3.0</v>
      </c>
      <c r="E40" s="1">
        <v>1.0</v>
      </c>
      <c r="F40" s="1">
        <v>1.0</v>
      </c>
      <c r="G40" s="1">
        <v>0.0</v>
      </c>
      <c r="H40" s="1">
        <v>0.33</v>
      </c>
      <c r="I40" s="1">
        <v>33.33</v>
      </c>
    </row>
    <row r="41">
      <c r="A41" s="1" t="s">
        <v>168</v>
      </c>
      <c r="B41" s="1">
        <v>4.0</v>
      </c>
      <c r="C41" s="1">
        <v>16.0</v>
      </c>
      <c r="D41" s="1">
        <v>3.0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187</v>
      </c>
      <c r="B42" s="1">
        <v>4.0</v>
      </c>
      <c r="C42" s="1">
        <v>16.0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</row>
    <row r="43">
      <c r="A43" s="1" t="s">
        <v>195</v>
      </c>
      <c r="B43" s="1">
        <v>3.0</v>
      </c>
      <c r="C43" s="1">
        <v>12.0</v>
      </c>
      <c r="D43" s="1">
        <v>1.0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</row>
    <row r="44">
      <c r="A44" s="1" t="s">
        <v>217</v>
      </c>
      <c r="B44" s="1">
        <v>3.0</v>
      </c>
      <c r="C44" s="1">
        <v>12.0</v>
      </c>
      <c r="D44" s="1">
        <v>1.0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</row>
    <row r="45">
      <c r="A45" s="1" t="s">
        <v>233</v>
      </c>
      <c r="B45" s="1">
        <v>4.0</v>
      </c>
      <c r="C45" s="1">
        <v>16.0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</row>
    <row r="46">
      <c r="A46" s="1" t="s">
        <v>204</v>
      </c>
      <c r="B46" s="1">
        <v>4.0</v>
      </c>
      <c r="C46" s="1">
        <v>16.0</v>
      </c>
      <c r="D46" s="1">
        <v>1.0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</row>
    <row r="47">
      <c r="A47" s="1" t="s">
        <v>200</v>
      </c>
      <c r="B47" s="1">
        <v>4.0</v>
      </c>
      <c r="C47" s="1">
        <v>16.0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</row>
    <row r="48">
      <c r="A48" s="1" t="s">
        <v>211</v>
      </c>
      <c r="B48" s="1">
        <v>4.0</v>
      </c>
      <c r="C48" s="1">
        <v>16.0</v>
      </c>
      <c r="D48" s="1">
        <v>1.0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</row>
    <row r="49">
      <c r="A49" s="1" t="s">
        <v>207</v>
      </c>
      <c r="B49" s="1">
        <v>4.0</v>
      </c>
      <c r="C49" s="1">
        <v>16.0</v>
      </c>
      <c r="D49" s="1">
        <v>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</row>
    <row r="50">
      <c r="A50" s="1" t="s">
        <v>239</v>
      </c>
      <c r="B50" s="1">
        <v>1.0</v>
      </c>
      <c r="C50" s="1">
        <v>4.0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</row>
    <row r="51">
      <c r="A51" s="1" t="s">
        <v>228</v>
      </c>
      <c r="B51" s="1">
        <v>4.0</v>
      </c>
      <c r="C51" s="1">
        <v>16.0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</row>
    <row r="52">
      <c r="A52" s="1" t="s">
        <v>235</v>
      </c>
      <c r="B52" s="1">
        <v>4.0</v>
      </c>
      <c r="C52" s="1">
        <v>16.0</v>
      </c>
      <c r="D52" s="1">
        <v>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</row>
    <row r="53">
      <c r="A53" s="1" t="s">
        <v>214</v>
      </c>
      <c r="B53" s="1">
        <v>4.0</v>
      </c>
      <c r="C53" s="1">
        <v>16.0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</row>
    <row r="54">
      <c r="A54" s="1" t="s">
        <v>198</v>
      </c>
      <c r="B54" s="1">
        <v>2.0</v>
      </c>
      <c r="C54" s="1">
        <v>8.0</v>
      </c>
      <c r="D54" s="1">
        <v>2.0</v>
      </c>
      <c r="E54" s="1">
        <v>1.0</v>
      </c>
      <c r="F54" s="1">
        <v>1.0</v>
      </c>
      <c r="G54" s="1">
        <v>0.0</v>
      </c>
      <c r="H54" s="1">
        <v>0.5</v>
      </c>
      <c r="I54" s="1">
        <v>50.0</v>
      </c>
    </row>
    <row r="55">
      <c r="A55" s="1" t="s">
        <v>238</v>
      </c>
      <c r="B55" s="1">
        <v>4.0</v>
      </c>
      <c r="C55" s="1">
        <v>16.0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</row>
    <row r="56">
      <c r="A56" s="1" t="s">
        <v>223</v>
      </c>
      <c r="B56" s="1">
        <v>4.0</v>
      </c>
      <c r="C56" s="1">
        <v>16.0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</row>
    <row r="57">
      <c r="A57" s="1" t="s">
        <v>192</v>
      </c>
      <c r="B57" s="1">
        <v>4.0</v>
      </c>
      <c r="C57" s="1">
        <v>16.0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</row>
    <row r="58">
      <c r="A58" s="1" t="s">
        <v>232</v>
      </c>
      <c r="B58" s="1">
        <v>4.0</v>
      </c>
      <c r="C58" s="1">
        <v>16.0</v>
      </c>
      <c r="D58" s="1">
        <v>1.0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</row>
    <row r="59">
      <c r="A59" s="1" t="s">
        <v>220</v>
      </c>
      <c r="B59" s="1">
        <v>2.0</v>
      </c>
      <c r="C59" s="1">
        <v>8.0</v>
      </c>
      <c r="D59" s="1">
        <v>1.0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</row>
    <row r="60">
      <c r="A60" s="1" t="s">
        <v>215</v>
      </c>
      <c r="B60" s="1">
        <v>4.0</v>
      </c>
      <c r="C60" s="1">
        <v>16.0</v>
      </c>
      <c r="D60" s="1">
        <v>1.0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</row>
    <row r="61">
      <c r="A61" s="1" t="s">
        <v>221</v>
      </c>
      <c r="B61" s="1">
        <v>4.0</v>
      </c>
      <c r="C61" s="1">
        <v>16.0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</row>
    <row r="62">
      <c r="A62" s="1" t="s">
        <v>222</v>
      </c>
      <c r="B62" s="1">
        <v>4.0</v>
      </c>
      <c r="C62" s="1">
        <v>16.0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</row>
    <row r="63">
      <c r="A63" s="1" t="s">
        <v>202</v>
      </c>
      <c r="B63" s="1">
        <v>3.0</v>
      </c>
      <c r="C63" s="1">
        <v>12.0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</row>
    <row r="64">
      <c r="A64" s="1" t="s">
        <v>241</v>
      </c>
      <c r="B64" s="1">
        <v>1.0</v>
      </c>
      <c r="C64" s="1">
        <v>4.0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</row>
    <row r="65">
      <c r="A65" s="1" t="s">
        <v>218</v>
      </c>
      <c r="B65" s="1">
        <v>2.0</v>
      </c>
      <c r="C65" s="1">
        <v>8.0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</row>
    <row r="66">
      <c r="A66" s="1" t="s">
        <v>226</v>
      </c>
      <c r="B66" s="1">
        <v>2.0</v>
      </c>
      <c r="C66" s="1">
        <v>8.0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</row>
    <row r="67">
      <c r="A67" s="1" t="s">
        <v>201</v>
      </c>
      <c r="B67" s="1">
        <v>3.0</v>
      </c>
      <c r="C67" s="1">
        <v>12.0</v>
      </c>
      <c r="D67" s="1">
        <v>1.0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</row>
    <row r="68">
      <c r="A68" s="1" t="s">
        <v>229</v>
      </c>
      <c r="B68" s="1">
        <v>4.0</v>
      </c>
      <c r="C68" s="1">
        <v>16.0</v>
      </c>
      <c r="D68" s="1">
        <v>1.0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</row>
    <row r="69">
      <c r="A69" s="1" t="s">
        <v>205</v>
      </c>
      <c r="B69" s="1">
        <v>2.0</v>
      </c>
      <c r="C69" s="1">
        <v>8.0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</row>
    <row r="70">
      <c r="A70" s="1" t="s">
        <v>240</v>
      </c>
      <c r="B70" s="1">
        <v>2.0</v>
      </c>
      <c r="C70" s="1">
        <v>8.0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</row>
    <row r="71">
      <c r="A71" s="1" t="s">
        <v>206</v>
      </c>
      <c r="B71" s="1">
        <v>4.0</v>
      </c>
      <c r="C71" s="1">
        <v>16.0</v>
      </c>
      <c r="D71" s="1">
        <v>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>
      <c r="A72" s="1" t="s">
        <v>227</v>
      </c>
      <c r="B72" s="1">
        <v>4.0</v>
      </c>
      <c r="C72" s="1">
        <v>16.0</v>
      </c>
      <c r="D72" s="1">
        <v>1.0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>
      <c r="A73" s="1" t="s">
        <v>225</v>
      </c>
      <c r="B73" s="1">
        <v>4.0</v>
      </c>
      <c r="C73" s="1">
        <v>16.0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>
      <c r="A74" s="1" t="s">
        <v>181</v>
      </c>
      <c r="B74" s="1">
        <v>4.0</v>
      </c>
      <c r="C74" s="1">
        <v>16.0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>
      <c r="A75" s="1" t="s">
        <v>224</v>
      </c>
      <c r="B75" s="1">
        <v>2.0</v>
      </c>
      <c r="C75" s="1">
        <v>8.0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>
      <c r="A76" s="1" t="s">
        <v>212</v>
      </c>
      <c r="B76" s="1">
        <v>4.0</v>
      </c>
      <c r="C76" s="1">
        <v>16.0</v>
      </c>
      <c r="D76" s="1">
        <v>1.0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>
      <c r="A77" s="1" t="s">
        <v>243</v>
      </c>
      <c r="B77" s="1">
        <v>4.0</v>
      </c>
      <c r="C77" s="1">
        <v>16.0</v>
      </c>
      <c r="D77" s="1">
        <v>2.0</v>
      </c>
      <c r="E77" s="1">
        <v>0.0</v>
      </c>
      <c r="F77" s="1">
        <v>1.0</v>
      </c>
      <c r="G77" s="1">
        <v>-1.0</v>
      </c>
      <c r="H77" s="1">
        <v>0.25</v>
      </c>
      <c r="I77" s="1">
        <v>0.0</v>
      </c>
    </row>
    <row r="78">
      <c r="A78" s="1" t="s">
        <v>166</v>
      </c>
      <c r="B78" s="1">
        <v>4.0</v>
      </c>
      <c r="C78" s="1">
        <v>16.0</v>
      </c>
      <c r="D78" s="1">
        <v>7.0</v>
      </c>
      <c r="E78" s="1">
        <v>2.0</v>
      </c>
      <c r="F78" s="1">
        <v>3.0</v>
      </c>
      <c r="G78" s="1">
        <v>-1.0</v>
      </c>
      <c r="H78" s="1">
        <v>0.75</v>
      </c>
      <c r="I78" s="1">
        <v>28.57</v>
      </c>
    </row>
    <row r="79">
      <c r="A79" s="1" t="s">
        <v>194</v>
      </c>
      <c r="B79" s="1">
        <v>4.0</v>
      </c>
      <c r="C79" s="1">
        <v>16.0</v>
      </c>
      <c r="D79" s="1">
        <v>1.0</v>
      </c>
      <c r="E79" s="1">
        <v>0.0</v>
      </c>
      <c r="F79" s="1">
        <v>1.0</v>
      </c>
      <c r="G79" s="1">
        <v>-1.0</v>
      </c>
      <c r="H79" s="1">
        <v>0.25</v>
      </c>
      <c r="I79" s="1">
        <v>0.0</v>
      </c>
    </row>
    <row r="80">
      <c r="A80" s="1" t="s">
        <v>230</v>
      </c>
      <c r="B80" s="1">
        <v>3.0</v>
      </c>
      <c r="C80" s="1">
        <v>12.0</v>
      </c>
      <c r="D80" s="1">
        <v>3.0</v>
      </c>
      <c r="E80" s="1">
        <v>1.0</v>
      </c>
      <c r="F80" s="1">
        <v>2.0</v>
      </c>
      <c r="G80" s="1">
        <v>-1.33</v>
      </c>
      <c r="H80" s="1">
        <v>0.67</v>
      </c>
      <c r="I80" s="1">
        <v>33.33</v>
      </c>
    </row>
    <row r="81">
      <c r="A81" s="1" t="s">
        <v>234</v>
      </c>
      <c r="B81" s="1">
        <v>4.0</v>
      </c>
      <c r="C81" s="1">
        <v>16.0</v>
      </c>
      <c r="D81" s="1">
        <v>3.0</v>
      </c>
      <c r="E81" s="1">
        <v>0.0</v>
      </c>
      <c r="F81" s="1">
        <v>3.0</v>
      </c>
      <c r="G81" s="1">
        <v>-3.0</v>
      </c>
      <c r="H81" s="1">
        <v>0.75</v>
      </c>
      <c r="I81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172</v>
      </c>
      <c r="B2" s="1">
        <v>3.0</v>
      </c>
      <c r="C2" s="1">
        <v>12.0</v>
      </c>
      <c r="D2" s="1">
        <v>11.0</v>
      </c>
      <c r="E2" s="1">
        <v>10.0</v>
      </c>
      <c r="F2" s="1">
        <v>0.0</v>
      </c>
      <c r="G2" s="1">
        <v>13.33</v>
      </c>
      <c r="H2" s="1">
        <v>0.0</v>
      </c>
      <c r="I2" s="1">
        <v>90.91</v>
      </c>
    </row>
    <row r="3">
      <c r="A3" s="1" t="s">
        <v>168</v>
      </c>
      <c r="B3" s="1">
        <v>4.0</v>
      </c>
      <c r="C3" s="1">
        <v>16.0</v>
      </c>
      <c r="D3" s="1">
        <v>9.0</v>
      </c>
      <c r="E3" s="1">
        <v>9.0</v>
      </c>
      <c r="F3" s="1">
        <v>0.0</v>
      </c>
      <c r="G3" s="1">
        <v>9.0</v>
      </c>
      <c r="H3" s="1">
        <v>0.0</v>
      </c>
      <c r="I3" s="1">
        <v>100.0</v>
      </c>
    </row>
    <row r="4">
      <c r="A4" s="1" t="s">
        <v>181</v>
      </c>
      <c r="B4" s="1">
        <v>4.0</v>
      </c>
      <c r="C4" s="1">
        <v>16.0</v>
      </c>
      <c r="D4" s="1">
        <v>13.0</v>
      </c>
      <c r="E4" s="1">
        <v>10.0</v>
      </c>
      <c r="F4" s="1">
        <v>2.0</v>
      </c>
      <c r="G4" s="1">
        <v>8.0</v>
      </c>
      <c r="H4" s="1">
        <v>0.5</v>
      </c>
      <c r="I4" s="1">
        <v>76.92</v>
      </c>
    </row>
    <row r="5">
      <c r="A5" s="1" t="s">
        <v>176</v>
      </c>
      <c r="B5" s="1">
        <v>4.0</v>
      </c>
      <c r="C5" s="1">
        <v>16.0</v>
      </c>
      <c r="D5" s="1">
        <v>9.0</v>
      </c>
      <c r="E5" s="1">
        <v>7.0</v>
      </c>
      <c r="F5" s="1">
        <v>1.0</v>
      </c>
      <c r="G5" s="1">
        <v>6.0</v>
      </c>
      <c r="H5" s="1">
        <v>0.25</v>
      </c>
      <c r="I5" s="1">
        <v>77.78</v>
      </c>
    </row>
    <row r="6">
      <c r="A6" s="1" t="s">
        <v>199</v>
      </c>
      <c r="B6" s="1">
        <v>4.0</v>
      </c>
      <c r="C6" s="1">
        <v>16.0</v>
      </c>
      <c r="D6" s="1">
        <v>13.0</v>
      </c>
      <c r="E6" s="1">
        <v>8.0</v>
      </c>
      <c r="F6" s="1">
        <v>3.0</v>
      </c>
      <c r="G6" s="1">
        <v>5.0</v>
      </c>
      <c r="H6" s="1">
        <v>0.75</v>
      </c>
      <c r="I6" s="1">
        <v>61.54</v>
      </c>
    </row>
    <row r="7">
      <c r="A7" s="1" t="s">
        <v>180</v>
      </c>
      <c r="B7" s="1">
        <v>3.0</v>
      </c>
      <c r="C7" s="1">
        <v>12.0</v>
      </c>
      <c r="D7" s="1">
        <v>5.0</v>
      </c>
      <c r="E7" s="1">
        <v>3.0</v>
      </c>
      <c r="F7" s="1">
        <v>0.0</v>
      </c>
      <c r="G7" s="1">
        <v>4.0</v>
      </c>
      <c r="H7" s="1">
        <v>0.0</v>
      </c>
      <c r="I7" s="1">
        <v>60.0</v>
      </c>
    </row>
    <row r="8">
      <c r="A8" s="1" t="s">
        <v>205</v>
      </c>
      <c r="B8" s="1">
        <v>2.0</v>
      </c>
      <c r="C8" s="1">
        <v>8.0</v>
      </c>
      <c r="D8" s="1">
        <v>2.0</v>
      </c>
      <c r="E8" s="1">
        <v>2.0</v>
      </c>
      <c r="F8" s="1">
        <v>0.0</v>
      </c>
      <c r="G8" s="1">
        <v>4.0</v>
      </c>
      <c r="H8" s="1">
        <v>0.0</v>
      </c>
      <c r="I8" s="1">
        <v>100.0</v>
      </c>
    </row>
    <row r="9">
      <c r="A9" s="1" t="s">
        <v>190</v>
      </c>
      <c r="B9" s="1">
        <v>4.0</v>
      </c>
      <c r="C9" s="1">
        <v>16.0</v>
      </c>
      <c r="D9" s="1">
        <v>8.0</v>
      </c>
      <c r="E9" s="1">
        <v>6.0</v>
      </c>
      <c r="F9" s="1">
        <v>2.0</v>
      </c>
      <c r="G9" s="1">
        <v>4.0</v>
      </c>
      <c r="H9" s="1">
        <v>0.5</v>
      </c>
      <c r="I9" s="1">
        <v>75.0</v>
      </c>
    </row>
    <row r="10">
      <c r="A10" s="1" t="s">
        <v>186</v>
      </c>
      <c r="B10" s="1">
        <v>4.0</v>
      </c>
      <c r="C10" s="1">
        <v>16.0</v>
      </c>
      <c r="D10" s="1">
        <v>7.0</v>
      </c>
      <c r="E10" s="1">
        <v>5.0</v>
      </c>
      <c r="F10" s="1">
        <v>1.0</v>
      </c>
      <c r="G10" s="1">
        <v>4.0</v>
      </c>
      <c r="H10" s="1">
        <v>0.25</v>
      </c>
      <c r="I10" s="1">
        <v>71.43</v>
      </c>
    </row>
    <row r="11">
      <c r="A11" s="1" t="s">
        <v>185</v>
      </c>
      <c r="B11" s="1">
        <v>4.0</v>
      </c>
      <c r="C11" s="1">
        <v>16.0</v>
      </c>
      <c r="D11" s="1">
        <v>7.0</v>
      </c>
      <c r="E11" s="1">
        <v>5.0</v>
      </c>
      <c r="F11" s="1">
        <v>1.0</v>
      </c>
      <c r="G11" s="1">
        <v>4.0</v>
      </c>
      <c r="H11" s="1">
        <v>0.25</v>
      </c>
      <c r="I11" s="1">
        <v>71.43</v>
      </c>
    </row>
    <row r="12">
      <c r="A12" s="1" t="s">
        <v>174</v>
      </c>
      <c r="B12" s="1">
        <v>4.0</v>
      </c>
      <c r="C12" s="1">
        <v>16.0</v>
      </c>
      <c r="D12" s="1">
        <v>10.0</v>
      </c>
      <c r="E12" s="1">
        <v>6.0</v>
      </c>
      <c r="F12" s="1">
        <v>2.0</v>
      </c>
      <c r="G12" s="1">
        <v>4.0</v>
      </c>
      <c r="H12" s="1">
        <v>0.5</v>
      </c>
      <c r="I12" s="1">
        <v>60.0</v>
      </c>
    </row>
    <row r="13">
      <c r="A13" s="1" t="s">
        <v>209</v>
      </c>
      <c r="B13" s="1">
        <v>1.0</v>
      </c>
      <c r="C13" s="1">
        <v>4.0</v>
      </c>
      <c r="D13" s="1">
        <v>1.0</v>
      </c>
      <c r="E13" s="1">
        <v>1.0</v>
      </c>
      <c r="F13" s="1">
        <v>0.0</v>
      </c>
      <c r="G13" s="1">
        <v>4.0</v>
      </c>
      <c r="H13" s="1">
        <v>0.0</v>
      </c>
      <c r="I13" s="1">
        <v>100.0</v>
      </c>
    </row>
    <row r="14">
      <c r="A14" s="1" t="s">
        <v>234</v>
      </c>
      <c r="B14" s="1">
        <v>4.0</v>
      </c>
      <c r="C14" s="1">
        <v>16.0</v>
      </c>
      <c r="D14" s="1">
        <v>14.0</v>
      </c>
      <c r="E14" s="1">
        <v>9.0</v>
      </c>
      <c r="F14" s="1">
        <v>5.0</v>
      </c>
      <c r="G14" s="1">
        <v>4.0</v>
      </c>
      <c r="H14" s="1">
        <v>1.25</v>
      </c>
      <c r="I14" s="1">
        <v>64.29</v>
      </c>
    </row>
    <row r="15">
      <c r="A15" s="1" t="s">
        <v>166</v>
      </c>
      <c r="B15" s="1">
        <v>4.0</v>
      </c>
      <c r="C15" s="1">
        <v>16.0</v>
      </c>
      <c r="D15" s="1">
        <v>9.0</v>
      </c>
      <c r="E15" s="1">
        <v>6.0</v>
      </c>
      <c r="F15" s="1">
        <v>3.0</v>
      </c>
      <c r="G15" s="1">
        <v>3.0</v>
      </c>
      <c r="H15" s="1">
        <v>0.75</v>
      </c>
      <c r="I15" s="1">
        <v>66.67</v>
      </c>
    </row>
    <row r="16">
      <c r="A16" s="1" t="s">
        <v>187</v>
      </c>
      <c r="B16" s="1">
        <v>4.0</v>
      </c>
      <c r="C16" s="1">
        <v>16.0</v>
      </c>
      <c r="D16" s="1">
        <v>5.0</v>
      </c>
      <c r="E16" s="1">
        <v>3.0</v>
      </c>
      <c r="F16" s="1">
        <v>0.0</v>
      </c>
      <c r="G16" s="1">
        <v>3.0</v>
      </c>
      <c r="H16" s="1">
        <v>0.0</v>
      </c>
      <c r="I16" s="1">
        <v>60.0</v>
      </c>
    </row>
    <row r="17">
      <c r="A17" s="1" t="s">
        <v>195</v>
      </c>
      <c r="B17" s="1">
        <v>3.0</v>
      </c>
      <c r="C17" s="1">
        <v>12.0</v>
      </c>
      <c r="D17" s="1">
        <v>9.0</v>
      </c>
      <c r="E17" s="1">
        <v>5.0</v>
      </c>
      <c r="F17" s="1">
        <v>3.0</v>
      </c>
      <c r="G17" s="1">
        <v>2.67</v>
      </c>
      <c r="H17" s="1">
        <v>1.0</v>
      </c>
      <c r="I17" s="1">
        <v>55.56</v>
      </c>
    </row>
    <row r="18">
      <c r="A18" s="1" t="s">
        <v>167</v>
      </c>
      <c r="B18" s="1">
        <v>4.0</v>
      </c>
      <c r="C18" s="1">
        <v>16.0</v>
      </c>
      <c r="D18" s="1">
        <v>3.0</v>
      </c>
      <c r="E18" s="1">
        <v>2.0</v>
      </c>
      <c r="F18" s="1">
        <v>0.0</v>
      </c>
      <c r="G18" s="1">
        <v>2.0</v>
      </c>
      <c r="H18" s="1">
        <v>0.0</v>
      </c>
      <c r="I18" s="1">
        <v>66.67</v>
      </c>
    </row>
    <row r="19">
      <c r="A19" s="1" t="s">
        <v>177</v>
      </c>
      <c r="B19" s="1">
        <v>4.0</v>
      </c>
      <c r="C19" s="1">
        <v>16.0</v>
      </c>
      <c r="D19" s="1">
        <v>4.0</v>
      </c>
      <c r="E19" s="1">
        <v>2.0</v>
      </c>
      <c r="F19" s="1">
        <v>0.0</v>
      </c>
      <c r="G19" s="1">
        <v>2.0</v>
      </c>
      <c r="H19" s="1">
        <v>0.0</v>
      </c>
      <c r="I19" s="1">
        <v>50.0</v>
      </c>
    </row>
    <row r="20">
      <c r="A20" s="1" t="s">
        <v>165</v>
      </c>
      <c r="B20" s="1">
        <v>4.0</v>
      </c>
      <c r="C20" s="1">
        <v>16.0</v>
      </c>
      <c r="D20" s="1">
        <v>2.0</v>
      </c>
      <c r="E20" s="1">
        <v>2.0</v>
      </c>
      <c r="F20" s="1">
        <v>0.0</v>
      </c>
      <c r="G20" s="1">
        <v>2.0</v>
      </c>
      <c r="H20" s="1">
        <v>0.0</v>
      </c>
      <c r="I20" s="1">
        <v>100.0</v>
      </c>
    </row>
    <row r="21">
      <c r="A21" s="1" t="s">
        <v>229</v>
      </c>
      <c r="B21" s="1">
        <v>4.0</v>
      </c>
      <c r="C21" s="1">
        <v>16.0</v>
      </c>
      <c r="D21" s="1">
        <v>5.0</v>
      </c>
      <c r="E21" s="1">
        <v>3.0</v>
      </c>
      <c r="F21" s="1">
        <v>1.0</v>
      </c>
      <c r="G21" s="1">
        <v>2.0</v>
      </c>
      <c r="H21" s="1">
        <v>0.25</v>
      </c>
      <c r="I21" s="1">
        <v>60.0</v>
      </c>
    </row>
    <row r="22">
      <c r="A22" s="1" t="s">
        <v>164</v>
      </c>
      <c r="B22" s="1">
        <v>3.0</v>
      </c>
      <c r="C22" s="1">
        <v>12.0</v>
      </c>
      <c r="D22" s="1">
        <v>1.0</v>
      </c>
      <c r="E22" s="1">
        <v>1.0</v>
      </c>
      <c r="F22" s="1">
        <v>0.0</v>
      </c>
      <c r="G22" s="1">
        <v>1.33</v>
      </c>
      <c r="H22" s="1">
        <v>0.0</v>
      </c>
      <c r="I22" s="1">
        <v>100.0</v>
      </c>
    </row>
    <row r="23">
      <c r="A23" s="1" t="s">
        <v>179</v>
      </c>
      <c r="B23" s="1">
        <v>3.0</v>
      </c>
      <c r="C23" s="1">
        <v>12.0</v>
      </c>
      <c r="D23" s="1">
        <v>1.0</v>
      </c>
      <c r="E23" s="1">
        <v>1.0</v>
      </c>
      <c r="F23" s="1">
        <v>0.0</v>
      </c>
      <c r="G23" s="1">
        <v>1.33</v>
      </c>
      <c r="H23" s="1">
        <v>0.0</v>
      </c>
      <c r="I23" s="1">
        <v>100.0</v>
      </c>
    </row>
    <row r="24">
      <c r="A24" s="1" t="s">
        <v>183</v>
      </c>
      <c r="B24" s="1">
        <v>4.0</v>
      </c>
      <c r="C24" s="1">
        <v>16.0</v>
      </c>
      <c r="D24" s="1">
        <v>1.0</v>
      </c>
      <c r="E24" s="1">
        <v>1.0</v>
      </c>
      <c r="F24" s="1">
        <v>0.0</v>
      </c>
      <c r="G24" s="1">
        <v>1.0</v>
      </c>
      <c r="H24" s="1">
        <v>0.0</v>
      </c>
      <c r="I24" s="1">
        <v>100.0</v>
      </c>
    </row>
    <row r="25">
      <c r="A25" s="1" t="s">
        <v>170</v>
      </c>
      <c r="B25" s="1">
        <v>4.0</v>
      </c>
      <c r="C25" s="1">
        <v>16.0</v>
      </c>
      <c r="D25" s="1">
        <v>7.0</v>
      </c>
      <c r="E25" s="1">
        <v>3.0</v>
      </c>
      <c r="F25" s="1">
        <v>2.0</v>
      </c>
      <c r="G25" s="1">
        <v>1.0</v>
      </c>
      <c r="H25" s="1">
        <v>0.5</v>
      </c>
      <c r="I25" s="1">
        <v>42.86</v>
      </c>
    </row>
    <row r="26">
      <c r="A26" s="1" t="s">
        <v>212</v>
      </c>
      <c r="B26" s="1">
        <v>4.0</v>
      </c>
      <c r="C26" s="1">
        <v>16.0</v>
      </c>
      <c r="D26" s="1">
        <v>1.0</v>
      </c>
      <c r="E26" s="1">
        <v>1.0</v>
      </c>
      <c r="F26" s="1">
        <v>0.0</v>
      </c>
      <c r="G26" s="1">
        <v>1.0</v>
      </c>
      <c r="H26" s="1">
        <v>0.0</v>
      </c>
      <c r="I26" s="1">
        <v>100.0</v>
      </c>
    </row>
    <row r="27">
      <c r="A27" s="1" t="s">
        <v>228</v>
      </c>
      <c r="B27" s="1">
        <v>4.0</v>
      </c>
      <c r="C27" s="1">
        <v>16.0</v>
      </c>
      <c r="D27" s="1">
        <v>7.0</v>
      </c>
      <c r="E27" s="1">
        <v>4.0</v>
      </c>
      <c r="F27" s="1">
        <v>3.0</v>
      </c>
      <c r="G27" s="1">
        <v>1.0</v>
      </c>
      <c r="H27" s="1">
        <v>0.75</v>
      </c>
      <c r="I27" s="1">
        <v>57.14</v>
      </c>
    </row>
    <row r="28">
      <c r="A28" s="1" t="s">
        <v>188</v>
      </c>
      <c r="B28" s="1">
        <v>4.0</v>
      </c>
      <c r="C28" s="1">
        <v>16.0</v>
      </c>
      <c r="D28" s="1">
        <v>1.0</v>
      </c>
      <c r="E28" s="1">
        <v>1.0</v>
      </c>
      <c r="F28" s="1">
        <v>0.0</v>
      </c>
      <c r="G28" s="1">
        <v>1.0</v>
      </c>
      <c r="H28" s="1">
        <v>0.0</v>
      </c>
      <c r="I28" s="1">
        <v>100.0</v>
      </c>
    </row>
    <row r="29">
      <c r="A29" s="1" t="s">
        <v>207</v>
      </c>
      <c r="B29" s="1">
        <v>4.0</v>
      </c>
      <c r="C29" s="1">
        <v>16.0</v>
      </c>
      <c r="D29" s="1">
        <v>1.0</v>
      </c>
      <c r="E29" s="1">
        <v>1.0</v>
      </c>
      <c r="F29" s="1">
        <v>0.0</v>
      </c>
      <c r="G29" s="1">
        <v>1.0</v>
      </c>
      <c r="H29" s="1">
        <v>0.0</v>
      </c>
      <c r="I29" s="1">
        <v>100.0</v>
      </c>
    </row>
    <row r="30">
      <c r="A30" s="1" t="s">
        <v>221</v>
      </c>
      <c r="B30" s="1">
        <v>4.0</v>
      </c>
      <c r="C30" s="1">
        <v>16.0</v>
      </c>
      <c r="D30" s="1">
        <v>2.0</v>
      </c>
      <c r="E30" s="1">
        <v>1.0</v>
      </c>
      <c r="F30" s="1">
        <v>0.0</v>
      </c>
      <c r="G30" s="1">
        <v>1.0</v>
      </c>
      <c r="H30" s="1">
        <v>0.0</v>
      </c>
      <c r="I30" s="1">
        <v>50.0</v>
      </c>
    </row>
    <row r="31">
      <c r="A31" s="1" t="s">
        <v>171</v>
      </c>
      <c r="B31" s="1">
        <v>4.0</v>
      </c>
      <c r="C31" s="1">
        <v>16.0</v>
      </c>
      <c r="D31" s="1">
        <v>1.0</v>
      </c>
      <c r="E31" s="1">
        <v>1.0</v>
      </c>
      <c r="F31" s="1">
        <v>0.0</v>
      </c>
      <c r="G31" s="1">
        <v>1.0</v>
      </c>
      <c r="H31" s="1">
        <v>0.0</v>
      </c>
      <c r="I31" s="1">
        <v>100.0</v>
      </c>
    </row>
    <row r="32">
      <c r="A32" s="1" t="s">
        <v>192</v>
      </c>
      <c r="B32" s="1">
        <v>4.0</v>
      </c>
      <c r="C32" s="1">
        <v>16.0</v>
      </c>
      <c r="D32" s="1">
        <v>1.0</v>
      </c>
      <c r="E32" s="1">
        <v>1.0</v>
      </c>
      <c r="F32" s="1">
        <v>0.0</v>
      </c>
      <c r="G32" s="1">
        <v>1.0</v>
      </c>
      <c r="H32" s="1">
        <v>0.0</v>
      </c>
      <c r="I32" s="1">
        <v>100.0</v>
      </c>
    </row>
    <row r="33">
      <c r="A33" s="1" t="s">
        <v>178</v>
      </c>
      <c r="B33" s="1">
        <v>4.0</v>
      </c>
      <c r="C33" s="1">
        <v>16.0</v>
      </c>
      <c r="D33" s="1">
        <v>1.0</v>
      </c>
      <c r="E33" s="1">
        <v>1.0</v>
      </c>
      <c r="F33" s="1">
        <v>0.0</v>
      </c>
      <c r="G33" s="1">
        <v>1.0</v>
      </c>
      <c r="H33" s="1">
        <v>0.0</v>
      </c>
      <c r="I33" s="1">
        <v>100.0</v>
      </c>
    </row>
    <row r="34">
      <c r="A34" s="1" t="s">
        <v>182</v>
      </c>
      <c r="B34" s="1">
        <v>4.0</v>
      </c>
      <c r="C34" s="1">
        <v>16.0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>
      <c r="A35" s="1" t="s">
        <v>243</v>
      </c>
      <c r="B35" s="1">
        <v>4.0</v>
      </c>
      <c r="C35" s="1">
        <v>16.0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231</v>
      </c>
      <c r="B36" s="1">
        <v>4.0</v>
      </c>
      <c r="C36" s="1">
        <v>16.0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210</v>
      </c>
      <c r="B37" s="1">
        <v>4.0</v>
      </c>
      <c r="C37" s="1">
        <v>16.0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>
      <c r="A38" s="1" t="s">
        <v>217</v>
      </c>
      <c r="B38" s="1">
        <v>3.0</v>
      </c>
      <c r="C38" s="1">
        <v>12.0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189</v>
      </c>
      <c r="B39" s="1">
        <v>4.0</v>
      </c>
      <c r="C39" s="1">
        <v>16.0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204</v>
      </c>
      <c r="B40" s="1">
        <v>4.0</v>
      </c>
      <c r="C40" s="1">
        <v>16.0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</row>
    <row r="41">
      <c r="A41" s="1" t="s">
        <v>237</v>
      </c>
      <c r="B41" s="1">
        <v>3.0</v>
      </c>
      <c r="C41" s="1">
        <v>12.0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184</v>
      </c>
      <c r="B42" s="1">
        <v>4.0</v>
      </c>
      <c r="C42" s="1">
        <v>16.0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</row>
    <row r="43">
      <c r="A43" s="1" t="s">
        <v>244</v>
      </c>
      <c r="B43" s="1">
        <v>3.0</v>
      </c>
      <c r="C43" s="1">
        <v>12.0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</row>
    <row r="44">
      <c r="A44" s="1" t="s">
        <v>242</v>
      </c>
      <c r="B44" s="1">
        <v>4.0</v>
      </c>
      <c r="C44" s="1">
        <v>16.0</v>
      </c>
      <c r="D44" s="1">
        <v>1.0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</row>
    <row r="45">
      <c r="A45" s="1" t="s">
        <v>219</v>
      </c>
      <c r="B45" s="1">
        <v>4.0</v>
      </c>
      <c r="C45" s="1">
        <v>16.0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</row>
    <row r="46">
      <c r="A46" s="1" t="s">
        <v>191</v>
      </c>
      <c r="B46" s="1">
        <v>4.0</v>
      </c>
      <c r="C46" s="1">
        <v>16.0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</row>
    <row r="47">
      <c r="A47" s="1" t="s">
        <v>230</v>
      </c>
      <c r="B47" s="1">
        <v>3.0</v>
      </c>
      <c r="C47" s="1">
        <v>12.0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</row>
    <row r="48">
      <c r="A48" s="1" t="s">
        <v>193</v>
      </c>
      <c r="B48" s="1">
        <v>4.0</v>
      </c>
      <c r="C48" s="1">
        <v>16.0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</row>
    <row r="49">
      <c r="A49" s="1" t="s">
        <v>208</v>
      </c>
      <c r="B49" s="1">
        <v>3.0</v>
      </c>
      <c r="C49" s="1">
        <v>12.0</v>
      </c>
      <c r="D49" s="1">
        <v>6.0</v>
      </c>
      <c r="E49" s="1">
        <v>1.0</v>
      </c>
      <c r="F49" s="1">
        <v>1.0</v>
      </c>
      <c r="G49" s="1">
        <v>0.0</v>
      </c>
      <c r="H49" s="1">
        <v>0.33</v>
      </c>
      <c r="I49" s="1">
        <v>16.67</v>
      </c>
    </row>
    <row r="50">
      <c r="A50" s="1" t="s">
        <v>169</v>
      </c>
      <c r="B50" s="1">
        <v>3.0</v>
      </c>
      <c r="C50" s="1">
        <v>12.0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</row>
    <row r="51">
      <c r="A51" s="1" t="s">
        <v>211</v>
      </c>
      <c r="B51" s="1">
        <v>4.0</v>
      </c>
      <c r="C51" s="1">
        <v>16.0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</row>
    <row r="52">
      <c r="A52" s="1" t="s">
        <v>200</v>
      </c>
      <c r="B52" s="1">
        <v>4.0</v>
      </c>
      <c r="C52" s="1">
        <v>16.0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</row>
    <row r="53">
      <c r="A53" s="1" t="s">
        <v>194</v>
      </c>
      <c r="B53" s="1">
        <v>4.0</v>
      </c>
      <c r="C53" s="1">
        <v>16.0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</row>
    <row r="54">
      <c r="A54" s="1" t="s">
        <v>235</v>
      </c>
      <c r="B54" s="1">
        <v>4.0</v>
      </c>
      <c r="C54" s="1">
        <v>16.0</v>
      </c>
      <c r="D54" s="1">
        <v>4.0</v>
      </c>
      <c r="E54" s="1">
        <v>1.0</v>
      </c>
      <c r="F54" s="1">
        <v>1.0</v>
      </c>
      <c r="G54" s="1">
        <v>0.0</v>
      </c>
      <c r="H54" s="1">
        <v>0.25</v>
      </c>
      <c r="I54" s="1">
        <v>25.0</v>
      </c>
    </row>
    <row r="55">
      <c r="A55" s="1" t="s">
        <v>214</v>
      </c>
      <c r="B55" s="1">
        <v>4.0</v>
      </c>
      <c r="C55" s="1">
        <v>16.0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</row>
    <row r="56">
      <c r="A56" s="1" t="s">
        <v>198</v>
      </c>
      <c r="B56" s="1">
        <v>2.0</v>
      </c>
      <c r="C56" s="1">
        <v>8.0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</row>
    <row r="57">
      <c r="A57" s="1" t="s">
        <v>238</v>
      </c>
      <c r="B57" s="1">
        <v>4.0</v>
      </c>
      <c r="C57" s="1">
        <v>16.0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</row>
    <row r="58">
      <c r="A58" s="1" t="s">
        <v>223</v>
      </c>
      <c r="B58" s="1">
        <v>4.0</v>
      </c>
      <c r="C58" s="1">
        <v>16.0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</row>
    <row r="59">
      <c r="A59" s="1" t="s">
        <v>232</v>
      </c>
      <c r="B59" s="1">
        <v>4.0</v>
      </c>
      <c r="C59" s="1">
        <v>16.0</v>
      </c>
      <c r="D59" s="1">
        <v>1.0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</row>
    <row r="60">
      <c r="A60" s="1" t="s">
        <v>216</v>
      </c>
      <c r="B60" s="1">
        <v>3.0</v>
      </c>
      <c r="C60" s="1">
        <v>12.0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</row>
    <row r="61">
      <c r="A61" s="1" t="s">
        <v>220</v>
      </c>
      <c r="B61" s="1">
        <v>2.0</v>
      </c>
      <c r="C61" s="1">
        <v>8.0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</row>
    <row r="62">
      <c r="A62" s="1" t="s">
        <v>215</v>
      </c>
      <c r="B62" s="1">
        <v>4.0</v>
      </c>
      <c r="C62" s="1">
        <v>16.0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</row>
    <row r="63">
      <c r="A63" s="1" t="s">
        <v>222</v>
      </c>
      <c r="B63" s="1">
        <v>4.0</v>
      </c>
      <c r="C63" s="1">
        <v>16.0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</row>
    <row r="64">
      <c r="A64" s="1" t="s">
        <v>202</v>
      </c>
      <c r="B64" s="1">
        <v>3.0</v>
      </c>
      <c r="C64" s="1">
        <v>12.0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</row>
    <row r="65">
      <c r="A65" s="1" t="s">
        <v>197</v>
      </c>
      <c r="B65" s="1">
        <v>3.0</v>
      </c>
      <c r="C65" s="1">
        <v>12.0</v>
      </c>
      <c r="D65" s="1">
        <v>1.0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</row>
    <row r="66">
      <c r="A66" s="1" t="s">
        <v>203</v>
      </c>
      <c r="B66" s="1">
        <v>4.0</v>
      </c>
      <c r="C66" s="1">
        <v>16.0</v>
      </c>
      <c r="D66" s="1">
        <v>7.0</v>
      </c>
      <c r="E66" s="1">
        <v>3.0</v>
      </c>
      <c r="F66" s="1">
        <v>3.0</v>
      </c>
      <c r="G66" s="1">
        <v>0.0</v>
      </c>
      <c r="H66" s="1">
        <v>0.75</v>
      </c>
      <c r="I66" s="1">
        <v>42.86</v>
      </c>
    </row>
    <row r="67">
      <c r="A67" s="1" t="s">
        <v>196</v>
      </c>
      <c r="B67" s="1">
        <v>3.0</v>
      </c>
      <c r="C67" s="1">
        <v>12.0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</row>
    <row r="68">
      <c r="A68" s="1" t="s">
        <v>218</v>
      </c>
      <c r="B68" s="1">
        <v>2.0</v>
      </c>
      <c r="C68" s="1">
        <v>8.0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</row>
    <row r="69">
      <c r="A69" s="1" t="s">
        <v>175</v>
      </c>
      <c r="B69" s="1">
        <v>4.0</v>
      </c>
      <c r="C69" s="1">
        <v>16.0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</row>
    <row r="70">
      <c r="A70" s="1" t="s">
        <v>173</v>
      </c>
      <c r="B70" s="1">
        <v>2.0</v>
      </c>
      <c r="C70" s="1">
        <v>8.0</v>
      </c>
      <c r="D70" s="1">
        <v>3.0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</row>
    <row r="71">
      <c r="A71" s="1" t="s">
        <v>206</v>
      </c>
      <c r="B71" s="1">
        <v>4.0</v>
      </c>
      <c r="C71" s="1">
        <v>16.0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>
      <c r="A72" s="1" t="s">
        <v>224</v>
      </c>
      <c r="B72" s="1">
        <v>2.0</v>
      </c>
      <c r="C72" s="1">
        <v>8.0</v>
      </c>
      <c r="D72" s="1">
        <v>2.0</v>
      </c>
      <c r="E72" s="1">
        <v>1.0</v>
      </c>
      <c r="F72" s="1">
        <v>1.0</v>
      </c>
      <c r="G72" s="1">
        <v>0.0</v>
      </c>
      <c r="H72" s="1">
        <v>0.5</v>
      </c>
      <c r="I72" s="1">
        <v>50.0</v>
      </c>
    </row>
    <row r="73">
      <c r="A73" s="1" t="s">
        <v>225</v>
      </c>
      <c r="B73" s="1">
        <v>4.0</v>
      </c>
      <c r="C73" s="1">
        <v>16.0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>
      <c r="A74" s="1" t="s">
        <v>226</v>
      </c>
      <c r="B74" s="1">
        <v>2.0</v>
      </c>
      <c r="C74" s="1">
        <v>8.0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>
      <c r="A75" s="1" t="s">
        <v>227</v>
      </c>
      <c r="B75" s="1">
        <v>4.0</v>
      </c>
      <c r="C75" s="1">
        <v>16.0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>
      <c r="A76" s="1" t="s">
        <v>240</v>
      </c>
      <c r="B76" s="1">
        <v>2.0</v>
      </c>
      <c r="C76" s="1">
        <v>8.0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>
      <c r="A77" s="1" t="s">
        <v>213</v>
      </c>
      <c r="B77" s="1">
        <v>4.0</v>
      </c>
      <c r="C77" s="1">
        <v>16.0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>
      <c r="A78" s="1" t="s">
        <v>201</v>
      </c>
      <c r="B78" s="1">
        <v>3.0</v>
      </c>
      <c r="C78" s="1">
        <v>12.0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</row>
    <row r="79">
      <c r="A79" s="1" t="s">
        <v>239</v>
      </c>
      <c r="B79" s="1">
        <v>1.0</v>
      </c>
      <c r="C79" s="1">
        <v>4.0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</row>
    <row r="80">
      <c r="A80" s="1" t="s">
        <v>233</v>
      </c>
      <c r="B80" s="1">
        <v>4.0</v>
      </c>
      <c r="C80" s="1">
        <v>16.0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166</v>
      </c>
      <c r="B2" s="1">
        <v>4.0</v>
      </c>
      <c r="C2" s="1">
        <v>16.0</v>
      </c>
      <c r="D2" s="1">
        <v>15.0</v>
      </c>
      <c r="E2" s="1">
        <v>9.0</v>
      </c>
      <c r="F2" s="1">
        <v>2.0</v>
      </c>
      <c r="G2" s="1">
        <v>7.0</v>
      </c>
      <c r="H2" s="1">
        <v>0.5</v>
      </c>
      <c r="I2" s="1">
        <v>60.0</v>
      </c>
    </row>
    <row r="3">
      <c r="A3" s="1" t="s">
        <v>171</v>
      </c>
      <c r="B3" s="1">
        <v>4.0</v>
      </c>
      <c r="C3" s="1">
        <v>16.0</v>
      </c>
      <c r="D3" s="1">
        <v>11.0</v>
      </c>
      <c r="E3" s="1">
        <v>6.0</v>
      </c>
      <c r="F3" s="1">
        <v>0.0</v>
      </c>
      <c r="G3" s="1">
        <v>6.0</v>
      </c>
      <c r="H3" s="1">
        <v>0.0</v>
      </c>
      <c r="I3" s="1">
        <v>54.55</v>
      </c>
    </row>
    <row r="4">
      <c r="A4" s="1" t="s">
        <v>200</v>
      </c>
      <c r="B4" s="1">
        <v>4.0</v>
      </c>
      <c r="C4" s="1">
        <v>16.0</v>
      </c>
      <c r="D4" s="1">
        <v>13.0</v>
      </c>
      <c r="E4" s="1">
        <v>7.0</v>
      </c>
      <c r="F4" s="1">
        <v>1.0</v>
      </c>
      <c r="G4" s="1">
        <v>6.0</v>
      </c>
      <c r="H4" s="1">
        <v>0.25</v>
      </c>
      <c r="I4" s="1">
        <v>53.85</v>
      </c>
    </row>
    <row r="5">
      <c r="A5" s="1" t="s">
        <v>169</v>
      </c>
      <c r="B5" s="1">
        <v>3.0</v>
      </c>
      <c r="C5" s="1">
        <v>12.0</v>
      </c>
      <c r="D5" s="1">
        <v>8.0</v>
      </c>
      <c r="E5" s="1">
        <v>5.0</v>
      </c>
      <c r="F5" s="1">
        <v>1.0</v>
      </c>
      <c r="G5" s="1">
        <v>5.33</v>
      </c>
      <c r="H5" s="1">
        <v>0.33</v>
      </c>
      <c r="I5" s="1">
        <v>62.5</v>
      </c>
    </row>
    <row r="6">
      <c r="A6" s="1" t="s">
        <v>191</v>
      </c>
      <c r="B6" s="1">
        <v>4.0</v>
      </c>
      <c r="C6" s="1">
        <v>16.0</v>
      </c>
      <c r="D6" s="1">
        <v>10.0</v>
      </c>
      <c r="E6" s="1">
        <v>5.0</v>
      </c>
      <c r="F6" s="1">
        <v>0.0</v>
      </c>
      <c r="G6" s="1">
        <v>5.0</v>
      </c>
      <c r="H6" s="1">
        <v>0.0</v>
      </c>
      <c r="I6" s="1">
        <v>50.0</v>
      </c>
    </row>
    <row r="7">
      <c r="A7" s="1" t="s">
        <v>183</v>
      </c>
      <c r="B7" s="1">
        <v>4.0</v>
      </c>
      <c r="C7" s="1">
        <v>16.0</v>
      </c>
      <c r="D7" s="1">
        <v>9.0</v>
      </c>
      <c r="E7" s="1">
        <v>5.0</v>
      </c>
      <c r="F7" s="1">
        <v>0.0</v>
      </c>
      <c r="G7" s="1">
        <v>5.0</v>
      </c>
      <c r="H7" s="1">
        <v>0.0</v>
      </c>
      <c r="I7" s="1">
        <v>55.56</v>
      </c>
    </row>
    <row r="8">
      <c r="A8" s="1" t="s">
        <v>167</v>
      </c>
      <c r="B8" s="1">
        <v>4.0</v>
      </c>
      <c r="C8" s="1">
        <v>16.0</v>
      </c>
      <c r="D8" s="1">
        <v>11.0</v>
      </c>
      <c r="E8" s="1">
        <v>6.0</v>
      </c>
      <c r="F8" s="1">
        <v>1.0</v>
      </c>
      <c r="G8" s="1">
        <v>5.0</v>
      </c>
      <c r="H8" s="1">
        <v>0.25</v>
      </c>
      <c r="I8" s="1">
        <v>54.55</v>
      </c>
    </row>
    <row r="9">
      <c r="A9" s="1" t="s">
        <v>209</v>
      </c>
      <c r="B9" s="1">
        <v>1.0</v>
      </c>
      <c r="C9" s="1">
        <v>4.0</v>
      </c>
      <c r="D9" s="1">
        <v>2.0</v>
      </c>
      <c r="E9" s="1">
        <v>1.0</v>
      </c>
      <c r="F9" s="1">
        <v>0.0</v>
      </c>
      <c r="G9" s="1">
        <v>4.0</v>
      </c>
      <c r="H9" s="1">
        <v>0.0</v>
      </c>
      <c r="I9" s="1">
        <v>50.0</v>
      </c>
    </row>
    <row r="10">
      <c r="A10" s="1" t="s">
        <v>175</v>
      </c>
      <c r="B10" s="1">
        <v>4.0</v>
      </c>
      <c r="C10" s="1">
        <v>16.0</v>
      </c>
      <c r="D10" s="1">
        <v>6.0</v>
      </c>
      <c r="E10" s="1">
        <v>4.0</v>
      </c>
      <c r="F10" s="1">
        <v>0.0</v>
      </c>
      <c r="G10" s="1">
        <v>4.0</v>
      </c>
      <c r="H10" s="1">
        <v>0.0</v>
      </c>
      <c r="I10" s="1">
        <v>66.67</v>
      </c>
    </row>
    <row r="11">
      <c r="A11" s="1" t="s">
        <v>164</v>
      </c>
      <c r="B11" s="1">
        <v>3.0</v>
      </c>
      <c r="C11" s="1">
        <v>12.0</v>
      </c>
      <c r="D11" s="1">
        <v>10.0</v>
      </c>
      <c r="E11" s="1">
        <v>6.0</v>
      </c>
      <c r="F11" s="1">
        <v>3.0</v>
      </c>
      <c r="G11" s="1">
        <v>4.0</v>
      </c>
      <c r="H11" s="1">
        <v>1.0</v>
      </c>
      <c r="I11" s="1">
        <v>60.0</v>
      </c>
    </row>
    <row r="12">
      <c r="A12" s="1" t="s">
        <v>204</v>
      </c>
      <c r="B12" s="1">
        <v>4.0</v>
      </c>
      <c r="C12" s="1">
        <v>16.0</v>
      </c>
      <c r="D12" s="1">
        <v>10.0</v>
      </c>
      <c r="E12" s="1">
        <v>4.0</v>
      </c>
      <c r="F12" s="1">
        <v>1.0</v>
      </c>
      <c r="G12" s="1">
        <v>3.0</v>
      </c>
      <c r="H12" s="1">
        <v>0.25</v>
      </c>
      <c r="I12" s="1">
        <v>40.0</v>
      </c>
    </row>
    <row r="13">
      <c r="A13" s="1" t="s">
        <v>180</v>
      </c>
      <c r="B13" s="1">
        <v>3.0</v>
      </c>
      <c r="C13" s="1">
        <v>12.0</v>
      </c>
      <c r="D13" s="1">
        <v>4.0</v>
      </c>
      <c r="E13" s="1">
        <v>2.0</v>
      </c>
      <c r="F13" s="1">
        <v>0.0</v>
      </c>
      <c r="G13" s="1">
        <v>2.67</v>
      </c>
      <c r="H13" s="1">
        <v>0.0</v>
      </c>
      <c r="I13" s="1">
        <v>50.0</v>
      </c>
    </row>
    <row r="14">
      <c r="A14" s="1" t="s">
        <v>196</v>
      </c>
      <c r="B14" s="1">
        <v>3.0</v>
      </c>
      <c r="C14" s="1">
        <v>12.0</v>
      </c>
      <c r="D14" s="1">
        <v>7.0</v>
      </c>
      <c r="E14" s="1">
        <v>2.0</v>
      </c>
      <c r="F14" s="1">
        <v>0.0</v>
      </c>
      <c r="G14" s="1">
        <v>2.67</v>
      </c>
      <c r="H14" s="1">
        <v>0.0</v>
      </c>
      <c r="I14" s="1">
        <v>28.57</v>
      </c>
    </row>
    <row r="15">
      <c r="A15" s="1" t="s">
        <v>227</v>
      </c>
      <c r="B15" s="1">
        <v>4.0</v>
      </c>
      <c r="C15" s="1">
        <v>16.0</v>
      </c>
      <c r="D15" s="1">
        <v>7.0</v>
      </c>
      <c r="E15" s="1">
        <v>2.0</v>
      </c>
      <c r="F15" s="1">
        <v>0.0</v>
      </c>
      <c r="G15" s="1">
        <v>2.0</v>
      </c>
      <c r="H15" s="1">
        <v>0.0</v>
      </c>
      <c r="I15" s="1">
        <v>28.57</v>
      </c>
    </row>
    <row r="16">
      <c r="A16" s="1" t="s">
        <v>220</v>
      </c>
      <c r="B16" s="1">
        <v>2.0</v>
      </c>
      <c r="C16" s="1">
        <v>8.0</v>
      </c>
      <c r="D16" s="1">
        <v>2.0</v>
      </c>
      <c r="E16" s="1">
        <v>1.0</v>
      </c>
      <c r="F16" s="1">
        <v>0.0</v>
      </c>
      <c r="G16" s="1">
        <v>2.0</v>
      </c>
      <c r="H16" s="1">
        <v>0.0</v>
      </c>
      <c r="I16" s="1">
        <v>50.0</v>
      </c>
    </row>
    <row r="17">
      <c r="A17" s="1" t="s">
        <v>224</v>
      </c>
      <c r="B17" s="1">
        <v>2.0</v>
      </c>
      <c r="C17" s="1">
        <v>8.0</v>
      </c>
      <c r="D17" s="1">
        <v>1.0</v>
      </c>
      <c r="E17" s="1">
        <v>1.0</v>
      </c>
      <c r="F17" s="1">
        <v>0.0</v>
      </c>
      <c r="G17" s="1">
        <v>2.0</v>
      </c>
      <c r="H17" s="1">
        <v>0.0</v>
      </c>
      <c r="I17" s="1">
        <v>100.0</v>
      </c>
    </row>
    <row r="18">
      <c r="A18" s="1" t="s">
        <v>168</v>
      </c>
      <c r="B18" s="1">
        <v>4.0</v>
      </c>
      <c r="C18" s="1">
        <v>16.0</v>
      </c>
      <c r="D18" s="1">
        <v>2.0</v>
      </c>
      <c r="E18" s="1">
        <v>2.0</v>
      </c>
      <c r="F18" s="1">
        <v>0.0</v>
      </c>
      <c r="G18" s="1">
        <v>2.0</v>
      </c>
      <c r="H18" s="1">
        <v>0.0</v>
      </c>
      <c r="I18" s="1">
        <v>100.0</v>
      </c>
    </row>
    <row r="19">
      <c r="A19" s="1" t="s">
        <v>244</v>
      </c>
      <c r="B19" s="1">
        <v>3.0</v>
      </c>
      <c r="C19" s="1">
        <v>12.0</v>
      </c>
      <c r="D19" s="1">
        <v>6.0</v>
      </c>
      <c r="E19" s="1">
        <v>2.0</v>
      </c>
      <c r="F19" s="1">
        <v>1.0</v>
      </c>
      <c r="G19" s="1">
        <v>1.33</v>
      </c>
      <c r="H19" s="1">
        <v>0.33</v>
      </c>
      <c r="I19" s="1">
        <v>33.33</v>
      </c>
    </row>
    <row r="20">
      <c r="A20" s="1" t="s">
        <v>216</v>
      </c>
      <c r="B20" s="1">
        <v>3.0</v>
      </c>
      <c r="C20" s="1">
        <v>12.0</v>
      </c>
      <c r="D20" s="1">
        <v>4.0</v>
      </c>
      <c r="E20" s="1">
        <v>2.0</v>
      </c>
      <c r="F20" s="1">
        <v>1.0</v>
      </c>
      <c r="G20" s="1">
        <v>1.33</v>
      </c>
      <c r="H20" s="1">
        <v>0.33</v>
      </c>
      <c r="I20" s="1">
        <v>50.0</v>
      </c>
    </row>
    <row r="21">
      <c r="A21" s="1" t="s">
        <v>221</v>
      </c>
      <c r="B21" s="1">
        <v>4.0</v>
      </c>
      <c r="C21" s="1">
        <v>16.0</v>
      </c>
      <c r="D21" s="1">
        <v>4.0</v>
      </c>
      <c r="E21" s="1">
        <v>2.0</v>
      </c>
      <c r="F21" s="1">
        <v>1.0</v>
      </c>
      <c r="G21" s="1">
        <v>1.0</v>
      </c>
      <c r="H21" s="1">
        <v>0.25</v>
      </c>
      <c r="I21" s="1">
        <v>50.0</v>
      </c>
    </row>
    <row r="22">
      <c r="A22" s="1" t="s">
        <v>182</v>
      </c>
      <c r="B22" s="1">
        <v>4.0</v>
      </c>
      <c r="C22" s="1">
        <v>16.0</v>
      </c>
      <c r="D22" s="1">
        <v>1.0</v>
      </c>
      <c r="E22" s="1">
        <v>1.0</v>
      </c>
      <c r="F22" s="1">
        <v>0.0</v>
      </c>
      <c r="G22" s="1">
        <v>1.0</v>
      </c>
      <c r="H22" s="1">
        <v>0.0</v>
      </c>
      <c r="I22" s="1">
        <v>100.0</v>
      </c>
    </row>
    <row r="23">
      <c r="A23" s="1" t="s">
        <v>243</v>
      </c>
      <c r="B23" s="1">
        <v>4.0</v>
      </c>
      <c r="C23" s="1">
        <v>16.0</v>
      </c>
      <c r="D23" s="1">
        <v>7.0</v>
      </c>
      <c r="E23" s="1">
        <v>3.0</v>
      </c>
      <c r="F23" s="1">
        <v>2.0</v>
      </c>
      <c r="G23" s="1">
        <v>1.0</v>
      </c>
      <c r="H23" s="1">
        <v>0.5</v>
      </c>
      <c r="I23" s="1">
        <v>42.86</v>
      </c>
    </row>
    <row r="24">
      <c r="A24" s="1" t="s">
        <v>188</v>
      </c>
      <c r="B24" s="1">
        <v>4.0</v>
      </c>
      <c r="C24" s="1">
        <v>16.0</v>
      </c>
      <c r="D24" s="1">
        <v>1.0</v>
      </c>
      <c r="E24" s="1">
        <v>1.0</v>
      </c>
      <c r="F24" s="1">
        <v>0.0</v>
      </c>
      <c r="G24" s="1">
        <v>1.0</v>
      </c>
      <c r="H24" s="1">
        <v>0.0</v>
      </c>
      <c r="I24" s="1">
        <v>100.0</v>
      </c>
    </row>
    <row r="25">
      <c r="A25" s="1" t="s">
        <v>184</v>
      </c>
      <c r="B25" s="1">
        <v>4.0</v>
      </c>
      <c r="C25" s="1">
        <v>16.0</v>
      </c>
      <c r="D25" s="1">
        <v>9.0</v>
      </c>
      <c r="E25" s="1">
        <v>3.0</v>
      </c>
      <c r="F25" s="1">
        <v>2.0</v>
      </c>
      <c r="G25" s="1">
        <v>1.0</v>
      </c>
      <c r="H25" s="1">
        <v>0.5</v>
      </c>
      <c r="I25" s="1">
        <v>33.33</v>
      </c>
    </row>
    <row r="26">
      <c r="A26" s="1" t="s">
        <v>234</v>
      </c>
      <c r="B26" s="1">
        <v>4.0</v>
      </c>
      <c r="C26" s="1">
        <v>16.0</v>
      </c>
      <c r="D26" s="1">
        <v>1.0</v>
      </c>
      <c r="E26" s="1">
        <v>1.0</v>
      </c>
      <c r="F26" s="1">
        <v>0.0</v>
      </c>
      <c r="G26" s="1">
        <v>1.0</v>
      </c>
      <c r="H26" s="1">
        <v>0.0</v>
      </c>
      <c r="I26" s="1">
        <v>100.0</v>
      </c>
    </row>
    <row r="27">
      <c r="A27" s="1" t="s">
        <v>170</v>
      </c>
      <c r="B27" s="1">
        <v>4.0</v>
      </c>
      <c r="C27" s="1">
        <v>16.0</v>
      </c>
      <c r="D27" s="1">
        <v>1.0</v>
      </c>
      <c r="E27" s="1">
        <v>1.0</v>
      </c>
      <c r="F27" s="1">
        <v>0.0</v>
      </c>
      <c r="G27" s="1">
        <v>1.0</v>
      </c>
      <c r="H27" s="1">
        <v>0.0</v>
      </c>
      <c r="I27" s="1">
        <v>100.0</v>
      </c>
    </row>
    <row r="28">
      <c r="A28" s="1" t="s">
        <v>210</v>
      </c>
      <c r="B28" s="1">
        <v>4.0</v>
      </c>
      <c r="C28" s="1">
        <v>16.0</v>
      </c>
      <c r="D28" s="1">
        <v>1.0</v>
      </c>
      <c r="E28" s="1">
        <v>1.0</v>
      </c>
      <c r="F28" s="1">
        <v>0.0</v>
      </c>
      <c r="G28" s="1">
        <v>1.0</v>
      </c>
      <c r="H28" s="1">
        <v>0.0</v>
      </c>
      <c r="I28" s="1">
        <v>100.0</v>
      </c>
    </row>
    <row r="29">
      <c r="A29" s="1" t="s">
        <v>195</v>
      </c>
      <c r="B29" s="1">
        <v>3.0</v>
      </c>
      <c r="C29" s="1">
        <v>12.0</v>
      </c>
      <c r="D29" s="1">
        <v>2.0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</row>
    <row r="30">
      <c r="A30" s="1" t="s">
        <v>231</v>
      </c>
      <c r="B30" s="1">
        <v>4.0</v>
      </c>
      <c r="C30" s="1">
        <v>16.0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</row>
    <row r="31">
      <c r="A31" s="1" t="s">
        <v>178</v>
      </c>
      <c r="B31" s="1">
        <v>4.0</v>
      </c>
      <c r="C31" s="1">
        <v>16.0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</row>
    <row r="32">
      <c r="A32" s="1" t="s">
        <v>187</v>
      </c>
      <c r="B32" s="1">
        <v>4.0</v>
      </c>
      <c r="C32" s="1">
        <v>16.0</v>
      </c>
      <c r="D32" s="1">
        <v>2.0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>
      <c r="A33" s="1" t="s">
        <v>172</v>
      </c>
      <c r="B33" s="1">
        <v>3.0</v>
      </c>
      <c r="C33" s="1">
        <v>12.0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217</v>
      </c>
      <c r="B34" s="1">
        <v>3.0</v>
      </c>
      <c r="C34" s="1">
        <v>12.0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>
      <c r="A35" s="1" t="s">
        <v>189</v>
      </c>
      <c r="B35" s="1">
        <v>4.0</v>
      </c>
      <c r="C35" s="1">
        <v>16.0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233</v>
      </c>
      <c r="B36" s="1">
        <v>4.0</v>
      </c>
      <c r="C36" s="1">
        <v>16.0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237</v>
      </c>
      <c r="B37" s="1">
        <v>3.0</v>
      </c>
      <c r="C37" s="1">
        <v>12.0</v>
      </c>
      <c r="D37" s="1">
        <v>2.0</v>
      </c>
      <c r="E37" s="1">
        <v>1.0</v>
      </c>
      <c r="F37" s="1">
        <v>1.0</v>
      </c>
      <c r="G37" s="1">
        <v>0.0</v>
      </c>
      <c r="H37" s="1">
        <v>0.33</v>
      </c>
      <c r="I37" s="1">
        <v>50.0</v>
      </c>
    </row>
    <row r="38">
      <c r="A38" s="1" t="s">
        <v>176</v>
      </c>
      <c r="B38" s="1">
        <v>4.0</v>
      </c>
      <c r="C38" s="1">
        <v>16.0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177</v>
      </c>
      <c r="B39" s="1">
        <v>4.0</v>
      </c>
      <c r="C39" s="1">
        <v>16.0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242</v>
      </c>
      <c r="B40" s="1">
        <v>4.0</v>
      </c>
      <c r="C40" s="1">
        <v>16.0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</row>
    <row r="41">
      <c r="A41" s="1" t="s">
        <v>219</v>
      </c>
      <c r="B41" s="1">
        <v>4.0</v>
      </c>
      <c r="C41" s="1">
        <v>16.0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190</v>
      </c>
      <c r="B42" s="1">
        <v>4.0</v>
      </c>
      <c r="C42" s="1">
        <v>16.0</v>
      </c>
      <c r="D42" s="1">
        <v>11.0</v>
      </c>
      <c r="E42" s="1">
        <v>3.0</v>
      </c>
      <c r="F42" s="1">
        <v>3.0</v>
      </c>
      <c r="G42" s="1">
        <v>0.0</v>
      </c>
      <c r="H42" s="1">
        <v>0.75</v>
      </c>
      <c r="I42" s="1">
        <v>27.27</v>
      </c>
    </row>
    <row r="43">
      <c r="A43" s="1" t="s">
        <v>230</v>
      </c>
      <c r="B43" s="1">
        <v>3.0</v>
      </c>
      <c r="C43" s="1">
        <v>12.0</v>
      </c>
      <c r="D43" s="1">
        <v>1.0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</row>
    <row r="44">
      <c r="A44" s="1" t="s">
        <v>193</v>
      </c>
      <c r="B44" s="1">
        <v>4.0</v>
      </c>
      <c r="C44" s="1">
        <v>16.0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</row>
    <row r="45">
      <c r="A45" s="1" t="s">
        <v>208</v>
      </c>
      <c r="B45" s="1">
        <v>3.0</v>
      </c>
      <c r="C45" s="1">
        <v>12.0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</row>
    <row r="46">
      <c r="A46" s="1" t="s">
        <v>194</v>
      </c>
      <c r="B46" s="1">
        <v>4.0</v>
      </c>
      <c r="C46" s="1">
        <v>16.0</v>
      </c>
      <c r="D46" s="1">
        <v>2.0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</row>
    <row r="47">
      <c r="A47" s="1" t="s">
        <v>211</v>
      </c>
      <c r="B47" s="1">
        <v>4.0</v>
      </c>
      <c r="C47" s="1">
        <v>16.0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</row>
    <row r="48">
      <c r="A48" s="1" t="s">
        <v>239</v>
      </c>
      <c r="B48" s="1">
        <v>1.0</v>
      </c>
      <c r="C48" s="1">
        <v>4.0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</row>
    <row r="49">
      <c r="A49" s="1" t="s">
        <v>197</v>
      </c>
      <c r="B49" s="1">
        <v>3.0</v>
      </c>
      <c r="C49" s="1">
        <v>12.0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</row>
    <row r="50">
      <c r="A50" s="1" t="s">
        <v>199</v>
      </c>
      <c r="B50" s="1">
        <v>4.0</v>
      </c>
      <c r="C50" s="1">
        <v>16.0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</row>
    <row r="51">
      <c r="A51" s="1" t="s">
        <v>228</v>
      </c>
      <c r="B51" s="1">
        <v>4.0</v>
      </c>
      <c r="C51" s="1">
        <v>16.0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</row>
    <row r="52">
      <c r="A52" s="1" t="s">
        <v>235</v>
      </c>
      <c r="B52" s="1">
        <v>4.0</v>
      </c>
      <c r="C52" s="1">
        <v>16.0</v>
      </c>
      <c r="D52" s="1">
        <v>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</row>
    <row r="53">
      <c r="A53" s="1" t="s">
        <v>214</v>
      </c>
      <c r="B53" s="1">
        <v>4.0</v>
      </c>
      <c r="C53" s="1">
        <v>16.0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</row>
    <row r="54">
      <c r="A54" s="1" t="s">
        <v>198</v>
      </c>
      <c r="B54" s="1">
        <v>2.0</v>
      </c>
      <c r="C54" s="1">
        <v>8.0</v>
      </c>
      <c r="D54" s="1">
        <v>5.0</v>
      </c>
      <c r="E54" s="1">
        <v>1.0</v>
      </c>
      <c r="F54" s="1">
        <v>1.0</v>
      </c>
      <c r="G54" s="1">
        <v>0.0</v>
      </c>
      <c r="H54" s="1">
        <v>0.5</v>
      </c>
      <c r="I54" s="1">
        <v>20.0</v>
      </c>
    </row>
    <row r="55">
      <c r="A55" s="1" t="s">
        <v>174</v>
      </c>
      <c r="B55" s="1">
        <v>4.0</v>
      </c>
      <c r="C55" s="1">
        <v>16.0</v>
      </c>
      <c r="D55" s="1">
        <v>1.0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</row>
    <row r="56">
      <c r="A56" s="1" t="s">
        <v>238</v>
      </c>
      <c r="B56" s="1">
        <v>4.0</v>
      </c>
      <c r="C56" s="1">
        <v>16.0</v>
      </c>
      <c r="D56" s="1">
        <v>2.0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</row>
    <row r="57">
      <c r="A57" s="1" t="s">
        <v>223</v>
      </c>
      <c r="B57" s="1">
        <v>4.0</v>
      </c>
      <c r="C57" s="1">
        <v>16.0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</row>
    <row r="58">
      <c r="A58" s="1" t="s">
        <v>192</v>
      </c>
      <c r="B58" s="1">
        <v>4.0</v>
      </c>
      <c r="C58" s="1">
        <v>16.0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</row>
    <row r="59">
      <c r="A59" s="1" t="s">
        <v>232</v>
      </c>
      <c r="B59" s="1">
        <v>4.0</v>
      </c>
      <c r="C59" s="1">
        <v>16.0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</row>
    <row r="60">
      <c r="A60" s="1" t="s">
        <v>215</v>
      </c>
      <c r="B60" s="1">
        <v>4.0</v>
      </c>
      <c r="C60" s="1">
        <v>16.0</v>
      </c>
      <c r="D60" s="1">
        <v>10.0</v>
      </c>
      <c r="E60" s="1">
        <v>1.0</v>
      </c>
      <c r="F60" s="1">
        <v>1.0</v>
      </c>
      <c r="G60" s="1">
        <v>0.0</v>
      </c>
      <c r="H60" s="1">
        <v>0.25</v>
      </c>
      <c r="I60" s="1">
        <v>10.0</v>
      </c>
    </row>
    <row r="61">
      <c r="A61" s="1" t="s">
        <v>222</v>
      </c>
      <c r="B61" s="1">
        <v>4.0</v>
      </c>
      <c r="C61" s="1">
        <v>16.0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</row>
    <row r="62">
      <c r="A62" s="1" t="s">
        <v>202</v>
      </c>
      <c r="B62" s="1">
        <v>3.0</v>
      </c>
      <c r="C62" s="1">
        <v>12.0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</row>
    <row r="63">
      <c r="A63" s="1" t="s">
        <v>201</v>
      </c>
      <c r="B63" s="1">
        <v>3.0</v>
      </c>
      <c r="C63" s="1">
        <v>12.0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</row>
    <row r="64">
      <c r="A64" s="1" t="s">
        <v>207</v>
      </c>
      <c r="B64" s="1">
        <v>4.0</v>
      </c>
      <c r="C64" s="1">
        <v>16.0</v>
      </c>
      <c r="D64" s="1">
        <v>1.0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</row>
    <row r="65">
      <c r="A65" s="1" t="s">
        <v>203</v>
      </c>
      <c r="B65" s="1">
        <v>4.0</v>
      </c>
      <c r="C65" s="1">
        <v>16.0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</row>
    <row r="66">
      <c r="A66" s="1" t="s">
        <v>218</v>
      </c>
      <c r="B66" s="1">
        <v>2.0</v>
      </c>
      <c r="C66" s="1">
        <v>8.0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</row>
    <row r="67">
      <c r="A67" s="1" t="s">
        <v>185</v>
      </c>
      <c r="B67" s="1">
        <v>4.0</v>
      </c>
      <c r="C67" s="1">
        <v>16.0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</row>
    <row r="68">
      <c r="A68" s="1" t="s">
        <v>213</v>
      </c>
      <c r="B68" s="1">
        <v>4.0</v>
      </c>
      <c r="C68" s="1">
        <v>16.0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</row>
    <row r="69">
      <c r="A69" s="1" t="s">
        <v>205</v>
      </c>
      <c r="B69" s="1">
        <v>2.0</v>
      </c>
      <c r="C69" s="1">
        <v>8.0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</row>
    <row r="70">
      <c r="A70" s="1" t="s">
        <v>165</v>
      </c>
      <c r="B70" s="1">
        <v>4.0</v>
      </c>
      <c r="C70" s="1">
        <v>16.0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</row>
    <row r="71">
      <c r="A71" s="1" t="s">
        <v>240</v>
      </c>
      <c r="B71" s="1">
        <v>2.0</v>
      </c>
      <c r="C71" s="1">
        <v>8.0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>
      <c r="A72" s="1" t="s">
        <v>226</v>
      </c>
      <c r="B72" s="1">
        <v>2.0</v>
      </c>
      <c r="C72" s="1">
        <v>8.0</v>
      </c>
      <c r="D72" s="1">
        <v>3.0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>
      <c r="A73" s="1" t="s">
        <v>225</v>
      </c>
      <c r="B73" s="1">
        <v>4.0</v>
      </c>
      <c r="C73" s="1">
        <v>16.0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>
      <c r="A74" s="1" t="s">
        <v>181</v>
      </c>
      <c r="B74" s="1">
        <v>4.0</v>
      </c>
      <c r="C74" s="1">
        <v>16.0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>
      <c r="A75" s="1" t="s">
        <v>212</v>
      </c>
      <c r="B75" s="1">
        <v>4.0</v>
      </c>
      <c r="C75" s="1">
        <v>16.0</v>
      </c>
      <c r="D75" s="1">
        <v>3.0</v>
      </c>
      <c r="E75" s="1">
        <v>1.0</v>
      </c>
      <c r="F75" s="1">
        <v>1.0</v>
      </c>
      <c r="G75" s="1">
        <v>0.0</v>
      </c>
      <c r="H75" s="1">
        <v>0.25</v>
      </c>
      <c r="I75" s="1">
        <v>33.33</v>
      </c>
    </row>
    <row r="76">
      <c r="A76" s="1" t="s">
        <v>206</v>
      </c>
      <c r="B76" s="1">
        <v>4.0</v>
      </c>
      <c r="C76" s="1">
        <v>16.0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>
      <c r="A77" s="1" t="s">
        <v>173</v>
      </c>
      <c r="B77" s="1">
        <v>2.0</v>
      </c>
      <c r="C77" s="1">
        <v>8.0</v>
      </c>
      <c r="D77" s="1">
        <v>6.0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>
      <c r="A78" s="1" t="s">
        <v>186</v>
      </c>
      <c r="B78" s="1">
        <v>4.0</v>
      </c>
      <c r="C78" s="1">
        <v>16.0</v>
      </c>
      <c r="D78" s="1">
        <v>1.0</v>
      </c>
      <c r="E78" s="1">
        <v>0.0</v>
      </c>
      <c r="F78" s="1">
        <v>1.0</v>
      </c>
      <c r="G78" s="1">
        <v>-1.0</v>
      </c>
      <c r="H78" s="1">
        <v>0.25</v>
      </c>
      <c r="I78" s="1">
        <v>0.0</v>
      </c>
    </row>
    <row r="79">
      <c r="A79" s="1" t="s">
        <v>229</v>
      </c>
      <c r="B79" s="1">
        <v>4.0</v>
      </c>
      <c r="C79" s="1">
        <v>16.0</v>
      </c>
      <c r="D79" s="1">
        <v>1.0</v>
      </c>
      <c r="E79" s="1">
        <v>0.0</v>
      </c>
      <c r="F79" s="1">
        <v>1.0</v>
      </c>
      <c r="G79" s="1">
        <v>-1.0</v>
      </c>
      <c r="H79" s="1">
        <v>0.25</v>
      </c>
      <c r="I79" s="1">
        <v>0.0</v>
      </c>
    </row>
    <row r="80">
      <c r="A80" s="1" t="s">
        <v>179</v>
      </c>
      <c r="B80" s="1">
        <v>3.0</v>
      </c>
      <c r="C80" s="1">
        <v>12.0</v>
      </c>
      <c r="D80" s="1">
        <v>3.0</v>
      </c>
      <c r="E80" s="1">
        <v>0.0</v>
      </c>
      <c r="F80" s="1">
        <v>2.0</v>
      </c>
      <c r="G80" s="1">
        <v>-2.67</v>
      </c>
      <c r="H80" s="1">
        <v>0.67</v>
      </c>
      <c r="I80" s="1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167</v>
      </c>
      <c r="B2" s="1">
        <v>4.0</v>
      </c>
      <c r="C2" s="1">
        <v>16.0</v>
      </c>
      <c r="D2" s="1">
        <v>12.0</v>
      </c>
      <c r="E2" s="1">
        <v>8.0</v>
      </c>
      <c r="F2" s="1">
        <v>1.0</v>
      </c>
      <c r="G2" s="1">
        <v>7.0</v>
      </c>
      <c r="H2" s="1">
        <v>0.25</v>
      </c>
      <c r="I2" s="1">
        <v>66.67</v>
      </c>
    </row>
    <row r="3">
      <c r="A3" s="1" t="s">
        <v>182</v>
      </c>
      <c r="B3" s="1">
        <v>4.0</v>
      </c>
      <c r="C3" s="1">
        <v>16.0</v>
      </c>
      <c r="D3" s="1">
        <v>8.0</v>
      </c>
      <c r="E3" s="1">
        <v>6.0</v>
      </c>
      <c r="F3" s="1">
        <v>0.0</v>
      </c>
      <c r="G3" s="1">
        <v>6.0</v>
      </c>
      <c r="H3" s="1">
        <v>0.0</v>
      </c>
      <c r="I3" s="1">
        <v>75.0</v>
      </c>
    </row>
    <row r="4">
      <c r="A4" s="1" t="s">
        <v>175</v>
      </c>
      <c r="B4" s="1">
        <v>4.0</v>
      </c>
      <c r="C4" s="1">
        <v>16.0</v>
      </c>
      <c r="D4" s="1">
        <v>11.0</v>
      </c>
      <c r="E4" s="1">
        <v>7.0</v>
      </c>
      <c r="F4" s="1">
        <v>1.0</v>
      </c>
      <c r="G4" s="1">
        <v>6.0</v>
      </c>
      <c r="H4" s="1">
        <v>0.25</v>
      </c>
      <c r="I4" s="1">
        <v>63.64</v>
      </c>
    </row>
    <row r="5">
      <c r="A5" s="1" t="s">
        <v>198</v>
      </c>
      <c r="B5" s="1">
        <v>2.0</v>
      </c>
      <c r="C5" s="1">
        <v>8.0</v>
      </c>
      <c r="D5" s="1">
        <v>3.0</v>
      </c>
      <c r="E5" s="1">
        <v>3.0</v>
      </c>
      <c r="F5" s="1">
        <v>0.0</v>
      </c>
      <c r="G5" s="1">
        <v>6.0</v>
      </c>
      <c r="H5" s="1">
        <v>0.0</v>
      </c>
      <c r="I5" s="1">
        <v>100.0</v>
      </c>
    </row>
    <row r="6">
      <c r="A6" s="1" t="s">
        <v>202</v>
      </c>
      <c r="B6" s="1">
        <v>3.0</v>
      </c>
      <c r="C6" s="1">
        <v>12.0</v>
      </c>
      <c r="D6" s="1">
        <v>4.0</v>
      </c>
      <c r="E6" s="1">
        <v>4.0</v>
      </c>
      <c r="F6" s="1">
        <v>0.0</v>
      </c>
      <c r="G6" s="1">
        <v>5.33</v>
      </c>
      <c r="H6" s="1">
        <v>0.0</v>
      </c>
      <c r="I6" s="1">
        <v>100.0</v>
      </c>
    </row>
    <row r="7">
      <c r="A7" s="1" t="s">
        <v>166</v>
      </c>
      <c r="B7" s="1">
        <v>4.0</v>
      </c>
      <c r="C7" s="1">
        <v>16.0</v>
      </c>
      <c r="D7" s="1">
        <v>11.0</v>
      </c>
      <c r="E7" s="1">
        <v>6.0</v>
      </c>
      <c r="F7" s="1">
        <v>1.0</v>
      </c>
      <c r="G7" s="1">
        <v>5.0</v>
      </c>
      <c r="H7" s="1">
        <v>0.25</v>
      </c>
      <c r="I7" s="1">
        <v>54.55</v>
      </c>
    </row>
    <row r="8">
      <c r="A8" s="1" t="s">
        <v>197</v>
      </c>
      <c r="B8" s="1">
        <v>3.0</v>
      </c>
      <c r="C8" s="1">
        <v>12.0</v>
      </c>
      <c r="D8" s="1">
        <v>5.0</v>
      </c>
      <c r="E8" s="1">
        <v>3.0</v>
      </c>
      <c r="F8" s="1">
        <v>0.0</v>
      </c>
      <c r="G8" s="1">
        <v>4.0</v>
      </c>
      <c r="H8" s="1">
        <v>0.0</v>
      </c>
      <c r="I8" s="1">
        <v>60.0</v>
      </c>
    </row>
    <row r="9">
      <c r="A9" s="1" t="s">
        <v>168</v>
      </c>
      <c r="B9" s="1">
        <v>4.0</v>
      </c>
      <c r="C9" s="1">
        <v>16.0</v>
      </c>
      <c r="D9" s="1">
        <v>13.0</v>
      </c>
      <c r="E9" s="1">
        <v>7.0</v>
      </c>
      <c r="F9" s="1">
        <v>3.0</v>
      </c>
      <c r="G9" s="1">
        <v>4.0</v>
      </c>
      <c r="H9" s="1">
        <v>0.75</v>
      </c>
      <c r="I9" s="1">
        <v>53.85</v>
      </c>
    </row>
    <row r="10">
      <c r="A10" s="1" t="s">
        <v>164</v>
      </c>
      <c r="B10" s="1">
        <v>3.0</v>
      </c>
      <c r="C10" s="1">
        <v>12.0</v>
      </c>
      <c r="D10" s="1">
        <v>6.0</v>
      </c>
      <c r="E10" s="1">
        <v>4.0</v>
      </c>
      <c r="F10" s="1">
        <v>1.0</v>
      </c>
      <c r="G10" s="1">
        <v>4.0</v>
      </c>
      <c r="H10" s="1">
        <v>0.33</v>
      </c>
      <c r="I10" s="1">
        <v>66.67</v>
      </c>
    </row>
    <row r="11">
      <c r="A11" s="1" t="s">
        <v>184</v>
      </c>
      <c r="B11" s="1">
        <v>4.0</v>
      </c>
      <c r="C11" s="1">
        <v>16.0</v>
      </c>
      <c r="D11" s="1">
        <v>4.0</v>
      </c>
      <c r="E11" s="1">
        <v>3.0</v>
      </c>
      <c r="F11" s="1">
        <v>0.0</v>
      </c>
      <c r="G11" s="1">
        <v>3.0</v>
      </c>
      <c r="H11" s="1">
        <v>0.0</v>
      </c>
      <c r="I11" s="1">
        <v>75.0</v>
      </c>
    </row>
    <row r="12">
      <c r="A12" s="1" t="s">
        <v>178</v>
      </c>
      <c r="B12" s="1">
        <v>4.0</v>
      </c>
      <c r="C12" s="1">
        <v>16.0</v>
      </c>
      <c r="D12" s="1">
        <v>4.0</v>
      </c>
      <c r="E12" s="1">
        <v>3.0</v>
      </c>
      <c r="F12" s="1">
        <v>0.0</v>
      </c>
      <c r="G12" s="1">
        <v>3.0</v>
      </c>
      <c r="H12" s="1">
        <v>0.0</v>
      </c>
      <c r="I12" s="1">
        <v>75.0</v>
      </c>
    </row>
    <row r="13">
      <c r="A13" s="1" t="s">
        <v>195</v>
      </c>
      <c r="B13" s="1">
        <v>3.0</v>
      </c>
      <c r="C13" s="1">
        <v>12.0</v>
      </c>
      <c r="D13" s="1">
        <v>8.0</v>
      </c>
      <c r="E13" s="1">
        <v>4.0</v>
      </c>
      <c r="F13" s="1">
        <v>2.0</v>
      </c>
      <c r="G13" s="1">
        <v>2.67</v>
      </c>
      <c r="H13" s="1">
        <v>0.67</v>
      </c>
      <c r="I13" s="1">
        <v>50.0</v>
      </c>
    </row>
    <row r="14">
      <c r="A14" s="1" t="s">
        <v>208</v>
      </c>
      <c r="B14" s="1">
        <v>3.0</v>
      </c>
      <c r="C14" s="1">
        <v>12.0</v>
      </c>
      <c r="D14" s="1">
        <v>2.0</v>
      </c>
      <c r="E14" s="1">
        <v>2.0</v>
      </c>
      <c r="F14" s="1">
        <v>0.0</v>
      </c>
      <c r="G14" s="1">
        <v>2.67</v>
      </c>
      <c r="H14" s="1">
        <v>0.0</v>
      </c>
      <c r="I14" s="1">
        <v>100.0</v>
      </c>
    </row>
    <row r="15">
      <c r="A15" s="1" t="s">
        <v>226</v>
      </c>
      <c r="B15" s="1">
        <v>2.0</v>
      </c>
      <c r="C15" s="1">
        <v>8.0</v>
      </c>
      <c r="D15" s="1">
        <v>2.0</v>
      </c>
      <c r="E15" s="1">
        <v>1.0</v>
      </c>
      <c r="F15" s="1">
        <v>0.0</v>
      </c>
      <c r="G15" s="1">
        <v>2.0</v>
      </c>
      <c r="H15" s="1">
        <v>0.0</v>
      </c>
      <c r="I15" s="1">
        <v>50.0</v>
      </c>
    </row>
    <row r="16">
      <c r="A16" s="1" t="s">
        <v>225</v>
      </c>
      <c r="B16" s="1">
        <v>4.0</v>
      </c>
      <c r="C16" s="1">
        <v>16.0</v>
      </c>
      <c r="D16" s="1">
        <v>4.0</v>
      </c>
      <c r="E16" s="1">
        <v>2.0</v>
      </c>
      <c r="F16" s="1">
        <v>0.0</v>
      </c>
      <c r="G16" s="1">
        <v>2.0</v>
      </c>
      <c r="H16" s="1">
        <v>0.0</v>
      </c>
      <c r="I16" s="1">
        <v>50.0</v>
      </c>
    </row>
    <row r="17">
      <c r="A17" s="1" t="s">
        <v>177</v>
      </c>
      <c r="B17" s="1">
        <v>4.0</v>
      </c>
      <c r="C17" s="1">
        <v>16.0</v>
      </c>
      <c r="D17" s="1">
        <v>5.0</v>
      </c>
      <c r="E17" s="1">
        <v>2.0</v>
      </c>
      <c r="F17" s="1">
        <v>0.0</v>
      </c>
      <c r="G17" s="1">
        <v>2.0</v>
      </c>
      <c r="H17" s="1">
        <v>0.0</v>
      </c>
      <c r="I17" s="1">
        <v>40.0</v>
      </c>
    </row>
    <row r="18">
      <c r="A18" s="1" t="s">
        <v>176</v>
      </c>
      <c r="B18" s="1">
        <v>4.0</v>
      </c>
      <c r="C18" s="1">
        <v>16.0</v>
      </c>
      <c r="D18" s="1">
        <v>2.0</v>
      </c>
      <c r="E18" s="1">
        <v>2.0</v>
      </c>
      <c r="F18" s="1">
        <v>0.0</v>
      </c>
      <c r="G18" s="1">
        <v>2.0</v>
      </c>
      <c r="H18" s="1">
        <v>0.0</v>
      </c>
      <c r="I18" s="1">
        <v>100.0</v>
      </c>
    </row>
    <row r="19">
      <c r="A19" s="1" t="s">
        <v>173</v>
      </c>
      <c r="B19" s="1">
        <v>2.0</v>
      </c>
      <c r="C19" s="1">
        <v>8.0</v>
      </c>
      <c r="D19" s="1">
        <v>3.0</v>
      </c>
      <c r="E19" s="1">
        <v>1.0</v>
      </c>
      <c r="F19" s="1">
        <v>0.0</v>
      </c>
      <c r="G19" s="1">
        <v>2.0</v>
      </c>
      <c r="H19" s="1">
        <v>0.0</v>
      </c>
      <c r="I19" s="1">
        <v>33.33</v>
      </c>
    </row>
    <row r="20">
      <c r="A20" s="1" t="s">
        <v>187</v>
      </c>
      <c r="B20" s="1">
        <v>4.0</v>
      </c>
      <c r="C20" s="1">
        <v>16.0</v>
      </c>
      <c r="D20" s="1">
        <v>2.0</v>
      </c>
      <c r="E20" s="1">
        <v>2.0</v>
      </c>
      <c r="F20" s="1">
        <v>0.0</v>
      </c>
      <c r="G20" s="1">
        <v>2.0</v>
      </c>
      <c r="H20" s="1">
        <v>0.0</v>
      </c>
      <c r="I20" s="1">
        <v>100.0</v>
      </c>
    </row>
    <row r="21">
      <c r="A21" s="1" t="s">
        <v>207</v>
      </c>
      <c r="B21" s="1">
        <v>4.0</v>
      </c>
      <c r="C21" s="1">
        <v>16.0</v>
      </c>
      <c r="D21" s="1">
        <v>4.0</v>
      </c>
      <c r="E21" s="1">
        <v>2.0</v>
      </c>
      <c r="F21" s="1">
        <v>0.0</v>
      </c>
      <c r="G21" s="1">
        <v>2.0</v>
      </c>
      <c r="H21" s="1">
        <v>0.0</v>
      </c>
      <c r="I21" s="1">
        <v>50.0</v>
      </c>
    </row>
    <row r="22">
      <c r="A22" s="1" t="s">
        <v>190</v>
      </c>
      <c r="B22" s="1">
        <v>4.0</v>
      </c>
      <c r="C22" s="1">
        <v>16.0</v>
      </c>
      <c r="D22" s="1">
        <v>2.0</v>
      </c>
      <c r="E22" s="1">
        <v>2.0</v>
      </c>
      <c r="F22" s="1">
        <v>0.0</v>
      </c>
      <c r="G22" s="1">
        <v>2.0</v>
      </c>
      <c r="H22" s="1">
        <v>0.0</v>
      </c>
      <c r="I22" s="1">
        <v>100.0</v>
      </c>
    </row>
    <row r="23">
      <c r="A23" s="1" t="s">
        <v>217</v>
      </c>
      <c r="B23" s="1">
        <v>3.0</v>
      </c>
      <c r="C23" s="1">
        <v>12.0</v>
      </c>
      <c r="D23" s="1">
        <v>2.0</v>
      </c>
      <c r="E23" s="1">
        <v>1.0</v>
      </c>
      <c r="F23" s="1">
        <v>0.0</v>
      </c>
      <c r="G23" s="1">
        <v>1.33</v>
      </c>
      <c r="H23" s="1">
        <v>0.0</v>
      </c>
      <c r="I23" s="1">
        <v>50.0</v>
      </c>
    </row>
    <row r="24">
      <c r="A24" s="1" t="s">
        <v>172</v>
      </c>
      <c r="B24" s="1">
        <v>3.0</v>
      </c>
      <c r="C24" s="1">
        <v>12.0</v>
      </c>
      <c r="D24" s="1">
        <v>3.0</v>
      </c>
      <c r="E24" s="1">
        <v>2.0</v>
      </c>
      <c r="F24" s="1">
        <v>1.0</v>
      </c>
      <c r="G24" s="1">
        <v>1.33</v>
      </c>
      <c r="H24" s="1">
        <v>0.33</v>
      </c>
      <c r="I24" s="1">
        <v>66.67</v>
      </c>
    </row>
    <row r="25">
      <c r="A25" s="1" t="s">
        <v>196</v>
      </c>
      <c r="B25" s="1">
        <v>3.0</v>
      </c>
      <c r="C25" s="1">
        <v>12.0</v>
      </c>
      <c r="D25" s="1">
        <v>2.0</v>
      </c>
      <c r="E25" s="1">
        <v>1.0</v>
      </c>
      <c r="F25" s="1">
        <v>0.0</v>
      </c>
      <c r="G25" s="1">
        <v>1.33</v>
      </c>
      <c r="H25" s="1">
        <v>0.0</v>
      </c>
      <c r="I25" s="1">
        <v>50.0</v>
      </c>
    </row>
    <row r="26">
      <c r="A26" s="1" t="s">
        <v>174</v>
      </c>
      <c r="B26" s="1">
        <v>4.0</v>
      </c>
      <c r="C26" s="1">
        <v>16.0</v>
      </c>
      <c r="D26" s="1">
        <v>2.0</v>
      </c>
      <c r="E26" s="1">
        <v>1.0</v>
      </c>
      <c r="F26" s="1">
        <v>0.0</v>
      </c>
      <c r="G26" s="1">
        <v>1.0</v>
      </c>
      <c r="H26" s="1">
        <v>0.0</v>
      </c>
      <c r="I26" s="1">
        <v>50.0</v>
      </c>
    </row>
    <row r="27">
      <c r="A27" s="1" t="s">
        <v>193</v>
      </c>
      <c r="B27" s="1">
        <v>4.0</v>
      </c>
      <c r="C27" s="1">
        <v>16.0</v>
      </c>
      <c r="D27" s="1">
        <v>1.0</v>
      </c>
      <c r="E27" s="1">
        <v>1.0</v>
      </c>
      <c r="F27" s="1">
        <v>0.0</v>
      </c>
      <c r="G27" s="1">
        <v>1.0</v>
      </c>
      <c r="H27" s="1">
        <v>0.0</v>
      </c>
      <c r="I27" s="1">
        <v>100.0</v>
      </c>
    </row>
    <row r="28">
      <c r="A28" s="1" t="s">
        <v>229</v>
      </c>
      <c r="B28" s="1">
        <v>4.0</v>
      </c>
      <c r="C28" s="1">
        <v>16.0</v>
      </c>
      <c r="D28" s="1">
        <v>1.0</v>
      </c>
      <c r="E28" s="1">
        <v>1.0</v>
      </c>
      <c r="F28" s="1">
        <v>0.0</v>
      </c>
      <c r="G28" s="1">
        <v>1.0</v>
      </c>
      <c r="H28" s="1">
        <v>0.0</v>
      </c>
      <c r="I28" s="1">
        <v>100.0</v>
      </c>
    </row>
    <row r="29">
      <c r="A29" s="1" t="s">
        <v>214</v>
      </c>
      <c r="B29" s="1">
        <v>4.0</v>
      </c>
      <c r="C29" s="1">
        <v>16.0</v>
      </c>
      <c r="D29" s="1">
        <v>1.0</v>
      </c>
      <c r="E29" s="1">
        <v>1.0</v>
      </c>
      <c r="F29" s="1">
        <v>0.0</v>
      </c>
      <c r="G29" s="1">
        <v>1.0</v>
      </c>
      <c r="H29" s="1">
        <v>0.0</v>
      </c>
      <c r="I29" s="1">
        <v>100.0</v>
      </c>
    </row>
    <row r="30">
      <c r="A30" s="1" t="s">
        <v>165</v>
      </c>
      <c r="B30" s="1">
        <v>4.0</v>
      </c>
      <c r="C30" s="1">
        <v>16.0</v>
      </c>
      <c r="D30" s="1">
        <v>4.0</v>
      </c>
      <c r="E30" s="1">
        <v>2.0</v>
      </c>
      <c r="F30" s="1">
        <v>1.0</v>
      </c>
      <c r="G30" s="1">
        <v>1.0</v>
      </c>
      <c r="H30" s="1">
        <v>0.25</v>
      </c>
      <c r="I30" s="1">
        <v>50.0</v>
      </c>
    </row>
    <row r="31">
      <c r="A31" s="1" t="s">
        <v>204</v>
      </c>
      <c r="B31" s="1">
        <v>4.0</v>
      </c>
      <c r="C31" s="1">
        <v>16.0</v>
      </c>
      <c r="D31" s="1">
        <v>2.0</v>
      </c>
      <c r="E31" s="1">
        <v>1.0</v>
      </c>
      <c r="F31" s="1">
        <v>0.0</v>
      </c>
      <c r="G31" s="1">
        <v>1.0</v>
      </c>
      <c r="H31" s="1">
        <v>0.0</v>
      </c>
      <c r="I31" s="1">
        <v>50.0</v>
      </c>
    </row>
    <row r="32">
      <c r="A32" s="1" t="s">
        <v>171</v>
      </c>
      <c r="B32" s="1">
        <v>4.0</v>
      </c>
      <c r="C32" s="1">
        <v>16.0</v>
      </c>
      <c r="D32" s="1">
        <v>11.0</v>
      </c>
      <c r="E32" s="1">
        <v>5.0</v>
      </c>
      <c r="F32" s="1">
        <v>4.0</v>
      </c>
      <c r="G32" s="1">
        <v>1.0</v>
      </c>
      <c r="H32" s="1">
        <v>1.0</v>
      </c>
      <c r="I32" s="1">
        <v>45.45</v>
      </c>
    </row>
    <row r="33">
      <c r="A33" s="1" t="s">
        <v>188</v>
      </c>
      <c r="B33" s="1">
        <v>4.0</v>
      </c>
      <c r="C33" s="1">
        <v>16.0</v>
      </c>
      <c r="D33" s="1">
        <v>1.0</v>
      </c>
      <c r="E33" s="1">
        <v>1.0</v>
      </c>
      <c r="F33" s="1">
        <v>0.0</v>
      </c>
      <c r="G33" s="1">
        <v>1.0</v>
      </c>
      <c r="H33" s="1">
        <v>0.0</v>
      </c>
      <c r="I33" s="1">
        <v>100.0</v>
      </c>
    </row>
    <row r="34">
      <c r="A34" s="1" t="s">
        <v>170</v>
      </c>
      <c r="B34" s="1">
        <v>4.0</v>
      </c>
      <c r="C34" s="1">
        <v>16.0</v>
      </c>
      <c r="D34" s="1">
        <v>10.0</v>
      </c>
      <c r="E34" s="1">
        <v>4.0</v>
      </c>
      <c r="F34" s="1">
        <v>3.0</v>
      </c>
      <c r="G34" s="1">
        <v>1.0</v>
      </c>
      <c r="H34" s="1">
        <v>0.75</v>
      </c>
      <c r="I34" s="1">
        <v>40.0</v>
      </c>
    </row>
    <row r="35">
      <c r="A35" s="1" t="s">
        <v>192</v>
      </c>
      <c r="B35" s="1">
        <v>4.0</v>
      </c>
      <c r="C35" s="1">
        <v>16.0</v>
      </c>
      <c r="D35" s="1">
        <v>1.0</v>
      </c>
      <c r="E35" s="1">
        <v>1.0</v>
      </c>
      <c r="F35" s="1">
        <v>0.0</v>
      </c>
      <c r="G35" s="1">
        <v>1.0</v>
      </c>
      <c r="H35" s="1">
        <v>0.0</v>
      </c>
      <c r="I35" s="1">
        <v>100.0</v>
      </c>
    </row>
    <row r="36">
      <c r="A36" s="1" t="s">
        <v>181</v>
      </c>
      <c r="B36" s="1">
        <v>4.0</v>
      </c>
      <c r="C36" s="1">
        <v>16.0</v>
      </c>
      <c r="D36" s="1">
        <v>1.0</v>
      </c>
      <c r="E36" s="1">
        <v>1.0</v>
      </c>
      <c r="F36" s="1">
        <v>0.0</v>
      </c>
      <c r="G36" s="1">
        <v>1.0</v>
      </c>
      <c r="H36" s="1">
        <v>0.0</v>
      </c>
      <c r="I36" s="1">
        <v>100.0</v>
      </c>
    </row>
    <row r="37">
      <c r="A37" s="1" t="s">
        <v>183</v>
      </c>
      <c r="B37" s="1">
        <v>4.0</v>
      </c>
      <c r="C37" s="1">
        <v>16.0</v>
      </c>
      <c r="D37" s="1">
        <v>3.0</v>
      </c>
      <c r="E37" s="1">
        <v>2.0</v>
      </c>
      <c r="F37" s="1">
        <v>1.0</v>
      </c>
      <c r="G37" s="1">
        <v>1.0</v>
      </c>
      <c r="H37" s="1">
        <v>0.25</v>
      </c>
      <c r="I37" s="1">
        <v>66.67</v>
      </c>
    </row>
    <row r="38">
      <c r="A38" s="1" t="s">
        <v>232</v>
      </c>
      <c r="B38" s="1">
        <v>4.0</v>
      </c>
      <c r="C38" s="1">
        <v>16.0</v>
      </c>
      <c r="D38" s="1">
        <v>2.0</v>
      </c>
      <c r="E38" s="1">
        <v>1.0</v>
      </c>
      <c r="F38" s="1">
        <v>0.0</v>
      </c>
      <c r="G38" s="1">
        <v>1.0</v>
      </c>
      <c r="H38" s="1">
        <v>0.0</v>
      </c>
      <c r="I38" s="1">
        <v>50.0</v>
      </c>
    </row>
    <row r="39">
      <c r="A39" s="1" t="s">
        <v>215</v>
      </c>
      <c r="B39" s="1">
        <v>4.0</v>
      </c>
      <c r="C39" s="1">
        <v>16.0</v>
      </c>
      <c r="D39" s="1">
        <v>6.0</v>
      </c>
      <c r="E39" s="1">
        <v>2.0</v>
      </c>
      <c r="F39" s="1">
        <v>1.0</v>
      </c>
      <c r="G39" s="1">
        <v>1.0</v>
      </c>
      <c r="H39" s="1">
        <v>0.25</v>
      </c>
      <c r="I39" s="1">
        <v>33.33</v>
      </c>
    </row>
    <row r="40">
      <c r="A40" s="1" t="s">
        <v>213</v>
      </c>
      <c r="B40" s="1">
        <v>4.0</v>
      </c>
      <c r="C40" s="1">
        <v>16.0</v>
      </c>
      <c r="D40" s="1">
        <v>2.0</v>
      </c>
      <c r="E40" s="1">
        <v>1.0</v>
      </c>
      <c r="F40" s="1">
        <v>0.0</v>
      </c>
      <c r="G40" s="1">
        <v>1.0</v>
      </c>
      <c r="H40" s="1">
        <v>0.0</v>
      </c>
      <c r="I40" s="1">
        <v>50.0</v>
      </c>
    </row>
    <row r="41">
      <c r="A41" s="1" t="s">
        <v>231</v>
      </c>
      <c r="B41" s="1">
        <v>4.0</v>
      </c>
      <c r="C41" s="1">
        <v>16.0</v>
      </c>
      <c r="D41" s="1">
        <v>1.0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169</v>
      </c>
      <c r="B42" s="1">
        <v>3.0</v>
      </c>
      <c r="C42" s="1">
        <v>12.0</v>
      </c>
      <c r="D42" s="1">
        <v>2.0</v>
      </c>
      <c r="E42" s="1">
        <v>1.0</v>
      </c>
      <c r="F42" s="1">
        <v>1.0</v>
      </c>
      <c r="G42" s="1">
        <v>0.0</v>
      </c>
      <c r="H42" s="1">
        <v>0.33</v>
      </c>
      <c r="I42" s="1">
        <v>50.0</v>
      </c>
    </row>
    <row r="43">
      <c r="A43" s="1" t="s">
        <v>200</v>
      </c>
      <c r="B43" s="1">
        <v>4.0</v>
      </c>
      <c r="C43" s="1">
        <v>16.0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</row>
    <row r="44">
      <c r="A44" s="1" t="s">
        <v>230</v>
      </c>
      <c r="B44" s="1">
        <v>3.0</v>
      </c>
      <c r="C44" s="1">
        <v>12.0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</row>
    <row r="45">
      <c r="A45" s="1" t="s">
        <v>191</v>
      </c>
      <c r="B45" s="1">
        <v>4.0</v>
      </c>
      <c r="C45" s="1">
        <v>16.0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</row>
    <row r="46">
      <c r="A46" s="1" t="s">
        <v>242</v>
      </c>
      <c r="B46" s="1">
        <v>4.0</v>
      </c>
      <c r="C46" s="1">
        <v>16.0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</row>
    <row r="47">
      <c r="A47" s="1" t="s">
        <v>189</v>
      </c>
      <c r="B47" s="1">
        <v>4.0</v>
      </c>
      <c r="C47" s="1">
        <v>16.0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</row>
    <row r="48">
      <c r="A48" s="1" t="s">
        <v>179</v>
      </c>
      <c r="B48" s="1">
        <v>3.0</v>
      </c>
      <c r="C48" s="1">
        <v>12.0</v>
      </c>
      <c r="D48" s="1">
        <v>4.0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</row>
    <row r="49">
      <c r="A49" s="1" t="s">
        <v>210</v>
      </c>
      <c r="B49" s="1">
        <v>4.0</v>
      </c>
      <c r="C49" s="1">
        <v>16.0</v>
      </c>
      <c r="D49" s="1">
        <v>4.0</v>
      </c>
      <c r="E49" s="1">
        <v>1.0</v>
      </c>
      <c r="F49" s="1">
        <v>1.0</v>
      </c>
      <c r="G49" s="1">
        <v>0.0</v>
      </c>
      <c r="H49" s="1">
        <v>0.25</v>
      </c>
      <c r="I49" s="1">
        <v>25.0</v>
      </c>
    </row>
    <row r="50">
      <c r="A50" s="1" t="s">
        <v>211</v>
      </c>
      <c r="B50" s="1">
        <v>4.0</v>
      </c>
      <c r="C50" s="1">
        <v>16.0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</row>
    <row r="51">
      <c r="A51" s="1" t="s">
        <v>194</v>
      </c>
      <c r="B51" s="1">
        <v>4.0</v>
      </c>
      <c r="C51" s="1">
        <v>16.0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</row>
    <row r="52">
      <c r="A52" s="1" t="s">
        <v>218</v>
      </c>
      <c r="B52" s="1">
        <v>2.0</v>
      </c>
      <c r="C52" s="1">
        <v>8.0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</row>
    <row r="53">
      <c r="A53" s="1" t="s">
        <v>199</v>
      </c>
      <c r="B53" s="1">
        <v>4.0</v>
      </c>
      <c r="C53" s="1">
        <v>16.0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</row>
    <row r="54">
      <c r="A54" s="1" t="s">
        <v>228</v>
      </c>
      <c r="B54" s="1">
        <v>4.0</v>
      </c>
      <c r="C54" s="1">
        <v>16.0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</row>
    <row r="55">
      <c r="A55" s="1" t="s">
        <v>235</v>
      </c>
      <c r="B55" s="1">
        <v>4.0</v>
      </c>
      <c r="C55" s="1">
        <v>16.0</v>
      </c>
      <c r="D55" s="1">
        <v>2.0</v>
      </c>
      <c r="E55" s="1">
        <v>1.0</v>
      </c>
      <c r="F55" s="1">
        <v>1.0</v>
      </c>
      <c r="G55" s="1">
        <v>0.0</v>
      </c>
      <c r="H55" s="1">
        <v>0.25</v>
      </c>
      <c r="I55" s="1">
        <v>50.0</v>
      </c>
    </row>
    <row r="56">
      <c r="A56" s="1" t="s">
        <v>234</v>
      </c>
      <c r="B56" s="1">
        <v>4.0</v>
      </c>
      <c r="C56" s="1">
        <v>16.0</v>
      </c>
      <c r="D56" s="1">
        <v>1.0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</row>
    <row r="57">
      <c r="A57" s="1" t="s">
        <v>180</v>
      </c>
      <c r="B57" s="1">
        <v>3.0</v>
      </c>
      <c r="C57" s="1">
        <v>12.0</v>
      </c>
      <c r="D57" s="1">
        <v>4.0</v>
      </c>
      <c r="E57" s="1">
        <v>2.0</v>
      </c>
      <c r="F57" s="1">
        <v>2.0</v>
      </c>
      <c r="G57" s="1">
        <v>0.0</v>
      </c>
      <c r="H57" s="1">
        <v>0.67</v>
      </c>
      <c r="I57" s="1">
        <v>50.0</v>
      </c>
    </row>
    <row r="58">
      <c r="A58" s="1" t="s">
        <v>238</v>
      </c>
      <c r="B58" s="1">
        <v>4.0</v>
      </c>
      <c r="C58" s="1">
        <v>16.0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</row>
    <row r="59">
      <c r="A59" s="1" t="s">
        <v>223</v>
      </c>
      <c r="B59" s="1">
        <v>4.0</v>
      </c>
      <c r="C59" s="1">
        <v>16.0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</row>
    <row r="60">
      <c r="A60" s="1" t="s">
        <v>221</v>
      </c>
      <c r="B60" s="1">
        <v>4.0</v>
      </c>
      <c r="C60" s="1">
        <v>16.0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</row>
    <row r="61">
      <c r="A61" s="1" t="s">
        <v>233</v>
      </c>
      <c r="B61" s="1">
        <v>4.0</v>
      </c>
      <c r="C61" s="1">
        <v>16.0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</row>
    <row r="62">
      <c r="A62" s="1" t="s">
        <v>222</v>
      </c>
      <c r="B62" s="1">
        <v>4.0</v>
      </c>
      <c r="C62" s="1">
        <v>16.0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</row>
    <row r="63">
      <c r="A63" s="1" t="s">
        <v>206</v>
      </c>
      <c r="B63" s="1">
        <v>4.0</v>
      </c>
      <c r="C63" s="1">
        <v>16.0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</row>
    <row r="64">
      <c r="A64" s="1" t="s">
        <v>227</v>
      </c>
      <c r="B64" s="1">
        <v>4.0</v>
      </c>
      <c r="C64" s="1">
        <v>16.0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</row>
    <row r="65">
      <c r="A65" s="1" t="s">
        <v>239</v>
      </c>
      <c r="B65" s="1">
        <v>1.0</v>
      </c>
      <c r="C65" s="1">
        <v>4.0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</row>
    <row r="66">
      <c r="A66" s="1" t="s">
        <v>201</v>
      </c>
      <c r="B66" s="1">
        <v>3.0</v>
      </c>
      <c r="C66" s="1">
        <v>12.0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</row>
    <row r="67">
      <c r="A67" s="1" t="s">
        <v>185</v>
      </c>
      <c r="B67" s="1">
        <v>4.0</v>
      </c>
      <c r="C67" s="1">
        <v>16.0</v>
      </c>
      <c r="D67" s="1">
        <v>3.0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</row>
    <row r="68">
      <c r="A68" s="1" t="s">
        <v>205</v>
      </c>
      <c r="B68" s="1">
        <v>2.0</v>
      </c>
      <c r="C68" s="1">
        <v>8.0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</row>
    <row r="69">
      <c r="A69" s="1" t="s">
        <v>240</v>
      </c>
      <c r="B69" s="1">
        <v>2.0</v>
      </c>
      <c r="C69" s="1">
        <v>8.0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</row>
    <row r="70">
      <c r="A70" s="1" t="s">
        <v>224</v>
      </c>
      <c r="B70" s="1">
        <v>2.0</v>
      </c>
      <c r="C70" s="1">
        <v>8.0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</row>
    <row r="71">
      <c r="A71" s="1" t="s">
        <v>212</v>
      </c>
      <c r="B71" s="1">
        <v>4.0</v>
      </c>
      <c r="C71" s="1">
        <v>16.0</v>
      </c>
      <c r="D71" s="1">
        <v>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>
      <c r="A72" s="1" t="s">
        <v>203</v>
      </c>
      <c r="B72" s="1">
        <v>4.0</v>
      </c>
      <c r="C72" s="1">
        <v>16.0</v>
      </c>
      <c r="D72" s="1">
        <v>5.0</v>
      </c>
      <c r="E72" s="1">
        <v>1.0</v>
      </c>
      <c r="F72" s="1">
        <v>2.0</v>
      </c>
      <c r="G72" s="1">
        <v>-1.0</v>
      </c>
      <c r="H72" s="1">
        <v>0.5</v>
      </c>
      <c r="I72" s="1">
        <v>20.0</v>
      </c>
    </row>
    <row r="73">
      <c r="A73" s="1" t="s">
        <v>186</v>
      </c>
      <c r="B73" s="1">
        <v>4.0</v>
      </c>
      <c r="C73" s="1">
        <v>16.0</v>
      </c>
      <c r="D73" s="1">
        <v>4.0</v>
      </c>
      <c r="E73" s="1">
        <v>1.0</v>
      </c>
      <c r="F73" s="1">
        <v>2.0</v>
      </c>
      <c r="G73" s="1">
        <v>-1.0</v>
      </c>
      <c r="H73" s="1">
        <v>0.5</v>
      </c>
      <c r="I73" s="1">
        <v>25.0</v>
      </c>
    </row>
    <row r="74">
      <c r="A74" s="1" t="s">
        <v>243</v>
      </c>
      <c r="B74" s="1">
        <v>4.0</v>
      </c>
      <c r="C74" s="1">
        <v>16.0</v>
      </c>
      <c r="D74" s="1">
        <v>2.0</v>
      </c>
      <c r="E74" s="1">
        <v>0.0</v>
      </c>
      <c r="F74" s="1">
        <v>1.0</v>
      </c>
      <c r="G74" s="1">
        <v>-1.0</v>
      </c>
      <c r="H74" s="1">
        <v>0.25</v>
      </c>
      <c r="I74" s="1">
        <v>0.0</v>
      </c>
    </row>
    <row r="75">
      <c r="A75" s="1" t="s">
        <v>219</v>
      </c>
      <c r="B75" s="1">
        <v>4.0</v>
      </c>
      <c r="C75" s="1">
        <v>16.0</v>
      </c>
      <c r="D75" s="1">
        <v>1.0</v>
      </c>
      <c r="E75" s="1">
        <v>0.0</v>
      </c>
      <c r="F75" s="1">
        <v>1.0</v>
      </c>
      <c r="G75" s="1">
        <v>-1.0</v>
      </c>
      <c r="H75" s="1">
        <v>0.25</v>
      </c>
      <c r="I75" s="1">
        <v>0.0</v>
      </c>
    </row>
    <row r="76">
      <c r="A76" s="1" t="s">
        <v>237</v>
      </c>
      <c r="B76" s="1">
        <v>3.0</v>
      </c>
      <c r="C76" s="1">
        <v>12.0</v>
      </c>
      <c r="D76" s="1">
        <v>1.0</v>
      </c>
      <c r="E76" s="1">
        <v>0.0</v>
      </c>
      <c r="F76" s="1">
        <v>1.0</v>
      </c>
      <c r="G76" s="1">
        <v>-1.33</v>
      </c>
      <c r="H76" s="1">
        <v>0.33</v>
      </c>
      <c r="I76" s="1">
        <v>0.0</v>
      </c>
    </row>
    <row r="77">
      <c r="A77" s="1" t="s">
        <v>220</v>
      </c>
      <c r="B77" s="1">
        <v>2.0</v>
      </c>
      <c r="C77" s="1">
        <v>8.0</v>
      </c>
      <c r="D77" s="1">
        <v>3.0</v>
      </c>
      <c r="E77" s="1">
        <v>1.0</v>
      </c>
      <c r="F77" s="1">
        <v>2.0</v>
      </c>
      <c r="G77" s="1">
        <v>-2.0</v>
      </c>
      <c r="H77" s="1">
        <v>1.0</v>
      </c>
      <c r="I77" s="1">
        <v>33.33</v>
      </c>
    </row>
    <row r="78">
      <c r="A78" s="1" t="s">
        <v>216</v>
      </c>
      <c r="B78" s="1">
        <v>3.0</v>
      </c>
      <c r="C78" s="1">
        <v>12.0</v>
      </c>
      <c r="D78" s="1">
        <v>4.0</v>
      </c>
      <c r="E78" s="1">
        <v>1.0</v>
      </c>
      <c r="F78" s="1">
        <v>3.0</v>
      </c>
      <c r="G78" s="1">
        <v>-2.67</v>
      </c>
      <c r="H78" s="1">
        <v>1.0</v>
      </c>
      <c r="I78" s="1">
        <v>25.0</v>
      </c>
    </row>
    <row r="79">
      <c r="A79" s="1" t="s">
        <v>244</v>
      </c>
      <c r="B79" s="1">
        <v>3.0</v>
      </c>
      <c r="C79" s="1">
        <v>12.0</v>
      </c>
      <c r="D79" s="1">
        <v>3.0</v>
      </c>
      <c r="E79" s="1">
        <v>0.0</v>
      </c>
      <c r="F79" s="1">
        <v>2.0</v>
      </c>
      <c r="G79" s="1">
        <v>-2.67</v>
      </c>
      <c r="H79" s="1">
        <v>0.67</v>
      </c>
      <c r="I79" s="1">
        <v>0.0</v>
      </c>
    </row>
    <row r="80">
      <c r="A80" s="1" t="s">
        <v>209</v>
      </c>
      <c r="B80" s="1">
        <v>1.0</v>
      </c>
      <c r="C80" s="1">
        <v>4.0</v>
      </c>
      <c r="D80" s="1">
        <v>1.0</v>
      </c>
      <c r="E80" s="1">
        <v>0.0</v>
      </c>
      <c r="F80" s="1">
        <v>1.0</v>
      </c>
      <c r="G80" s="1">
        <v>-4.0</v>
      </c>
      <c r="H80" s="1">
        <v>1.0</v>
      </c>
      <c r="I80" s="1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165</v>
      </c>
      <c r="B2" s="1">
        <v>4.0</v>
      </c>
      <c r="C2" s="1">
        <v>16.0</v>
      </c>
      <c r="D2" s="1">
        <v>13.0</v>
      </c>
      <c r="E2" s="1">
        <v>11.0</v>
      </c>
      <c r="F2" s="1">
        <v>1.0</v>
      </c>
      <c r="G2" s="1">
        <v>10.0</v>
      </c>
      <c r="H2" s="1">
        <v>0.25</v>
      </c>
      <c r="I2" s="1">
        <v>84.62</v>
      </c>
    </row>
    <row r="3">
      <c r="A3" s="1" t="s">
        <v>164</v>
      </c>
      <c r="B3" s="1">
        <v>3.0</v>
      </c>
      <c r="C3" s="1">
        <v>12.0</v>
      </c>
      <c r="D3" s="1">
        <v>10.0</v>
      </c>
      <c r="E3" s="1">
        <v>7.0</v>
      </c>
      <c r="F3" s="1">
        <v>1.0</v>
      </c>
      <c r="G3" s="1">
        <v>8.0</v>
      </c>
      <c r="H3" s="1">
        <v>0.33</v>
      </c>
      <c r="I3" s="1">
        <v>70.0</v>
      </c>
    </row>
    <row r="4">
      <c r="A4" s="1" t="s">
        <v>194</v>
      </c>
      <c r="B4" s="1">
        <v>4.0</v>
      </c>
      <c r="C4" s="1">
        <v>16.0</v>
      </c>
      <c r="D4" s="1">
        <v>7.0</v>
      </c>
      <c r="E4" s="1">
        <v>7.0</v>
      </c>
      <c r="F4" s="1">
        <v>0.0</v>
      </c>
      <c r="G4" s="1">
        <v>7.0</v>
      </c>
      <c r="H4" s="1">
        <v>0.0</v>
      </c>
      <c r="I4" s="1">
        <v>100.0</v>
      </c>
    </row>
    <row r="5">
      <c r="A5" s="1" t="s">
        <v>170</v>
      </c>
      <c r="B5" s="1">
        <v>4.0</v>
      </c>
      <c r="C5" s="1">
        <v>16.0</v>
      </c>
      <c r="D5" s="1">
        <v>15.0</v>
      </c>
      <c r="E5" s="1">
        <v>7.0</v>
      </c>
      <c r="F5" s="1">
        <v>1.0</v>
      </c>
      <c r="G5" s="1">
        <v>6.0</v>
      </c>
      <c r="H5" s="1">
        <v>0.25</v>
      </c>
      <c r="I5" s="1">
        <v>46.67</v>
      </c>
    </row>
    <row r="6">
      <c r="A6" s="1" t="s">
        <v>169</v>
      </c>
      <c r="B6" s="1">
        <v>3.0</v>
      </c>
      <c r="C6" s="1">
        <v>12.0</v>
      </c>
      <c r="D6" s="1">
        <v>7.0</v>
      </c>
      <c r="E6" s="1">
        <v>5.0</v>
      </c>
      <c r="F6" s="1">
        <v>1.0</v>
      </c>
      <c r="G6" s="1">
        <v>5.33</v>
      </c>
      <c r="H6" s="1">
        <v>0.33</v>
      </c>
      <c r="I6" s="1">
        <v>71.43</v>
      </c>
    </row>
    <row r="7">
      <c r="A7" s="1" t="s">
        <v>173</v>
      </c>
      <c r="B7" s="1">
        <v>2.0</v>
      </c>
      <c r="C7" s="1">
        <v>8.0</v>
      </c>
      <c r="D7" s="1">
        <v>5.0</v>
      </c>
      <c r="E7" s="1">
        <v>2.0</v>
      </c>
      <c r="F7" s="1">
        <v>0.0</v>
      </c>
      <c r="G7" s="1">
        <v>4.0</v>
      </c>
      <c r="H7" s="1">
        <v>0.0</v>
      </c>
      <c r="I7" s="1">
        <v>40.0</v>
      </c>
    </row>
    <row r="8">
      <c r="A8" s="1" t="s">
        <v>193</v>
      </c>
      <c r="B8" s="1">
        <v>4.0</v>
      </c>
      <c r="C8" s="1">
        <v>16.0</v>
      </c>
      <c r="D8" s="1">
        <v>7.0</v>
      </c>
      <c r="E8" s="1">
        <v>5.0</v>
      </c>
      <c r="F8" s="1">
        <v>1.0</v>
      </c>
      <c r="G8" s="1">
        <v>4.0</v>
      </c>
      <c r="H8" s="1">
        <v>0.25</v>
      </c>
      <c r="I8" s="1">
        <v>71.43</v>
      </c>
    </row>
    <row r="9">
      <c r="A9" s="1" t="s">
        <v>177</v>
      </c>
      <c r="B9" s="1">
        <v>4.0</v>
      </c>
      <c r="C9" s="1">
        <v>16.0</v>
      </c>
      <c r="D9" s="1">
        <v>14.0</v>
      </c>
      <c r="E9" s="1">
        <v>7.0</v>
      </c>
      <c r="F9" s="1">
        <v>4.0</v>
      </c>
      <c r="G9" s="1">
        <v>3.0</v>
      </c>
      <c r="H9" s="1">
        <v>1.0</v>
      </c>
      <c r="I9" s="1">
        <v>50.0</v>
      </c>
    </row>
    <row r="10">
      <c r="A10" s="1" t="s">
        <v>178</v>
      </c>
      <c r="B10" s="1">
        <v>4.0</v>
      </c>
      <c r="C10" s="1">
        <v>16.0</v>
      </c>
      <c r="D10" s="1">
        <v>7.0</v>
      </c>
      <c r="E10" s="1">
        <v>3.0</v>
      </c>
      <c r="F10" s="1">
        <v>0.0</v>
      </c>
      <c r="G10" s="1">
        <v>3.0</v>
      </c>
      <c r="H10" s="1">
        <v>0.0</v>
      </c>
      <c r="I10" s="1">
        <v>42.86</v>
      </c>
    </row>
    <row r="11">
      <c r="A11" s="1" t="s">
        <v>203</v>
      </c>
      <c r="B11" s="1">
        <v>4.0</v>
      </c>
      <c r="C11" s="1">
        <v>16.0</v>
      </c>
      <c r="D11" s="1">
        <v>16.0</v>
      </c>
      <c r="E11" s="1">
        <v>8.0</v>
      </c>
      <c r="F11" s="1">
        <v>6.0</v>
      </c>
      <c r="G11" s="1">
        <v>2.0</v>
      </c>
      <c r="H11" s="1">
        <v>1.5</v>
      </c>
      <c r="I11" s="1">
        <v>50.0</v>
      </c>
    </row>
    <row r="12">
      <c r="A12" s="1" t="s">
        <v>166</v>
      </c>
      <c r="B12" s="1">
        <v>4.0</v>
      </c>
      <c r="C12" s="1">
        <v>16.0</v>
      </c>
      <c r="D12" s="1">
        <v>2.0</v>
      </c>
      <c r="E12" s="1">
        <v>2.0</v>
      </c>
      <c r="F12" s="1">
        <v>0.0</v>
      </c>
      <c r="G12" s="1">
        <v>2.0</v>
      </c>
      <c r="H12" s="1">
        <v>0.0</v>
      </c>
      <c r="I12" s="1">
        <v>100.0</v>
      </c>
    </row>
    <row r="13">
      <c r="A13" s="1" t="s">
        <v>182</v>
      </c>
      <c r="B13" s="1">
        <v>4.0</v>
      </c>
      <c r="C13" s="1">
        <v>16.0</v>
      </c>
      <c r="D13" s="1">
        <v>3.0</v>
      </c>
      <c r="E13" s="1">
        <v>2.0</v>
      </c>
      <c r="F13" s="1">
        <v>0.0</v>
      </c>
      <c r="G13" s="1">
        <v>2.0</v>
      </c>
      <c r="H13" s="1">
        <v>0.0</v>
      </c>
      <c r="I13" s="1">
        <v>66.67</v>
      </c>
    </row>
    <row r="14">
      <c r="A14" s="1" t="s">
        <v>205</v>
      </c>
      <c r="B14" s="1">
        <v>2.0</v>
      </c>
      <c r="C14" s="1">
        <v>8.0</v>
      </c>
      <c r="D14" s="1">
        <v>2.0</v>
      </c>
      <c r="E14" s="1">
        <v>1.0</v>
      </c>
      <c r="F14" s="1">
        <v>0.0</v>
      </c>
      <c r="G14" s="1">
        <v>2.0</v>
      </c>
      <c r="H14" s="1">
        <v>0.0</v>
      </c>
      <c r="I14" s="1">
        <v>50.0</v>
      </c>
    </row>
    <row r="15">
      <c r="A15" s="1" t="s">
        <v>220</v>
      </c>
      <c r="B15" s="1">
        <v>2.0</v>
      </c>
      <c r="C15" s="1">
        <v>8.0</v>
      </c>
      <c r="D15" s="1">
        <v>1.0</v>
      </c>
      <c r="E15" s="1">
        <v>1.0</v>
      </c>
      <c r="F15" s="1">
        <v>0.0</v>
      </c>
      <c r="G15" s="1">
        <v>2.0</v>
      </c>
      <c r="H15" s="1">
        <v>0.0</v>
      </c>
      <c r="I15" s="1">
        <v>100.0</v>
      </c>
    </row>
    <row r="16">
      <c r="A16" s="1" t="s">
        <v>214</v>
      </c>
      <c r="B16" s="1">
        <v>4.0</v>
      </c>
      <c r="C16" s="1">
        <v>16.0</v>
      </c>
      <c r="D16" s="1">
        <v>11.0</v>
      </c>
      <c r="E16" s="1">
        <v>4.0</v>
      </c>
      <c r="F16" s="1">
        <v>2.0</v>
      </c>
      <c r="G16" s="1">
        <v>2.0</v>
      </c>
      <c r="H16" s="1">
        <v>0.5</v>
      </c>
      <c r="I16" s="1">
        <v>36.36</v>
      </c>
    </row>
    <row r="17">
      <c r="A17" s="1" t="s">
        <v>167</v>
      </c>
      <c r="B17" s="1">
        <v>4.0</v>
      </c>
      <c r="C17" s="1">
        <v>16.0</v>
      </c>
      <c r="D17" s="1">
        <v>11.0</v>
      </c>
      <c r="E17" s="1">
        <v>4.0</v>
      </c>
      <c r="F17" s="1">
        <v>2.0</v>
      </c>
      <c r="G17" s="1">
        <v>2.0</v>
      </c>
      <c r="H17" s="1">
        <v>0.5</v>
      </c>
      <c r="I17" s="1">
        <v>36.36</v>
      </c>
    </row>
    <row r="18">
      <c r="A18" s="1" t="s">
        <v>171</v>
      </c>
      <c r="B18" s="1">
        <v>4.0</v>
      </c>
      <c r="C18" s="1">
        <v>16.0</v>
      </c>
      <c r="D18" s="1">
        <v>2.0</v>
      </c>
      <c r="E18" s="1">
        <v>2.0</v>
      </c>
      <c r="F18" s="1">
        <v>0.0</v>
      </c>
      <c r="G18" s="1">
        <v>2.0</v>
      </c>
      <c r="H18" s="1">
        <v>0.0</v>
      </c>
      <c r="I18" s="1">
        <v>100.0</v>
      </c>
    </row>
    <row r="19">
      <c r="A19" s="1" t="s">
        <v>185</v>
      </c>
      <c r="B19" s="1">
        <v>4.0</v>
      </c>
      <c r="C19" s="1">
        <v>16.0</v>
      </c>
      <c r="D19" s="1">
        <v>3.0</v>
      </c>
      <c r="E19" s="1">
        <v>2.0</v>
      </c>
      <c r="F19" s="1">
        <v>0.0</v>
      </c>
      <c r="G19" s="1">
        <v>2.0</v>
      </c>
      <c r="H19" s="1">
        <v>0.0</v>
      </c>
      <c r="I19" s="1">
        <v>66.67</v>
      </c>
    </row>
    <row r="20">
      <c r="A20" s="1" t="s">
        <v>196</v>
      </c>
      <c r="B20" s="1">
        <v>3.0</v>
      </c>
      <c r="C20" s="1">
        <v>12.0</v>
      </c>
      <c r="D20" s="1">
        <v>6.0</v>
      </c>
      <c r="E20" s="1">
        <v>2.0</v>
      </c>
      <c r="F20" s="1">
        <v>1.0</v>
      </c>
      <c r="G20" s="1">
        <v>1.33</v>
      </c>
      <c r="H20" s="1">
        <v>0.33</v>
      </c>
      <c r="I20" s="1">
        <v>33.33</v>
      </c>
    </row>
    <row r="21">
      <c r="A21" s="1" t="s">
        <v>216</v>
      </c>
      <c r="B21" s="1">
        <v>3.0</v>
      </c>
      <c r="C21" s="1">
        <v>12.0</v>
      </c>
      <c r="D21" s="1">
        <v>1.0</v>
      </c>
      <c r="E21" s="1">
        <v>1.0</v>
      </c>
      <c r="F21" s="1">
        <v>0.0</v>
      </c>
      <c r="G21" s="1">
        <v>1.33</v>
      </c>
      <c r="H21" s="1">
        <v>0.0</v>
      </c>
      <c r="I21" s="1">
        <v>100.0</v>
      </c>
    </row>
    <row r="22">
      <c r="A22" s="1" t="s">
        <v>195</v>
      </c>
      <c r="B22" s="1">
        <v>3.0</v>
      </c>
      <c r="C22" s="1">
        <v>12.0</v>
      </c>
      <c r="D22" s="1">
        <v>3.0</v>
      </c>
      <c r="E22" s="1">
        <v>2.0</v>
      </c>
      <c r="F22" s="1">
        <v>1.0</v>
      </c>
      <c r="G22" s="1">
        <v>1.33</v>
      </c>
      <c r="H22" s="1">
        <v>0.33</v>
      </c>
      <c r="I22" s="1">
        <v>66.67</v>
      </c>
    </row>
    <row r="23">
      <c r="A23" s="1" t="s">
        <v>179</v>
      </c>
      <c r="B23" s="1">
        <v>3.0</v>
      </c>
      <c r="C23" s="1">
        <v>12.0</v>
      </c>
      <c r="D23" s="1">
        <v>3.0</v>
      </c>
      <c r="E23" s="1">
        <v>1.0</v>
      </c>
      <c r="F23" s="1">
        <v>0.0</v>
      </c>
      <c r="G23" s="1">
        <v>1.33</v>
      </c>
      <c r="H23" s="1">
        <v>0.0</v>
      </c>
      <c r="I23" s="1">
        <v>33.33</v>
      </c>
    </row>
    <row r="24">
      <c r="A24" s="1" t="s">
        <v>207</v>
      </c>
      <c r="B24" s="1">
        <v>4.0</v>
      </c>
      <c r="C24" s="1">
        <v>16.0</v>
      </c>
      <c r="D24" s="1">
        <v>6.0</v>
      </c>
      <c r="E24" s="1">
        <v>1.0</v>
      </c>
      <c r="F24" s="1">
        <v>0.0</v>
      </c>
      <c r="G24" s="1">
        <v>1.0</v>
      </c>
      <c r="H24" s="1">
        <v>0.0</v>
      </c>
      <c r="I24" s="1">
        <v>16.67</v>
      </c>
    </row>
    <row r="25">
      <c r="A25" s="1" t="s">
        <v>174</v>
      </c>
      <c r="B25" s="1">
        <v>4.0</v>
      </c>
      <c r="C25" s="1">
        <v>16.0</v>
      </c>
      <c r="D25" s="1">
        <v>5.0</v>
      </c>
      <c r="E25" s="1">
        <v>2.0</v>
      </c>
      <c r="F25" s="1">
        <v>1.0</v>
      </c>
      <c r="G25" s="1">
        <v>1.0</v>
      </c>
      <c r="H25" s="1">
        <v>0.25</v>
      </c>
      <c r="I25" s="1">
        <v>40.0</v>
      </c>
    </row>
    <row r="26">
      <c r="A26" s="1" t="s">
        <v>191</v>
      </c>
      <c r="B26" s="1">
        <v>4.0</v>
      </c>
      <c r="C26" s="1">
        <v>16.0</v>
      </c>
      <c r="D26" s="1">
        <v>1.0</v>
      </c>
      <c r="E26" s="1">
        <v>1.0</v>
      </c>
      <c r="F26" s="1">
        <v>0.0</v>
      </c>
      <c r="G26" s="1">
        <v>1.0</v>
      </c>
      <c r="H26" s="1">
        <v>0.0</v>
      </c>
      <c r="I26" s="1">
        <v>100.0</v>
      </c>
    </row>
    <row r="27">
      <c r="A27" s="1" t="s">
        <v>231</v>
      </c>
      <c r="B27" s="1">
        <v>4.0</v>
      </c>
      <c r="C27" s="1">
        <v>16.0</v>
      </c>
      <c r="D27" s="1">
        <v>2.0</v>
      </c>
      <c r="E27" s="1">
        <v>1.0</v>
      </c>
      <c r="F27" s="1">
        <v>0.0</v>
      </c>
      <c r="G27" s="1">
        <v>1.0</v>
      </c>
      <c r="H27" s="1">
        <v>0.0</v>
      </c>
      <c r="I27" s="1">
        <v>50.0</v>
      </c>
    </row>
    <row r="28">
      <c r="A28" s="1" t="s">
        <v>242</v>
      </c>
      <c r="B28" s="1">
        <v>4.0</v>
      </c>
      <c r="C28" s="1">
        <v>16.0</v>
      </c>
      <c r="D28" s="1">
        <v>1.0</v>
      </c>
      <c r="E28" s="1">
        <v>1.0</v>
      </c>
      <c r="F28" s="1">
        <v>0.0</v>
      </c>
      <c r="G28" s="1">
        <v>1.0</v>
      </c>
      <c r="H28" s="1">
        <v>0.0</v>
      </c>
      <c r="I28" s="1">
        <v>100.0</v>
      </c>
    </row>
    <row r="29">
      <c r="A29" s="1" t="s">
        <v>183</v>
      </c>
      <c r="B29" s="1">
        <v>4.0</v>
      </c>
      <c r="C29" s="1">
        <v>16.0</v>
      </c>
      <c r="D29" s="1">
        <v>1.0</v>
      </c>
      <c r="E29" s="1">
        <v>1.0</v>
      </c>
      <c r="F29" s="1">
        <v>0.0</v>
      </c>
      <c r="G29" s="1">
        <v>1.0</v>
      </c>
      <c r="H29" s="1">
        <v>0.0</v>
      </c>
      <c r="I29" s="1">
        <v>100.0</v>
      </c>
    </row>
    <row r="30">
      <c r="A30" s="1" t="s">
        <v>188</v>
      </c>
      <c r="B30" s="1">
        <v>4.0</v>
      </c>
      <c r="C30" s="1">
        <v>16.0</v>
      </c>
      <c r="D30" s="1">
        <v>1.0</v>
      </c>
      <c r="E30" s="1">
        <v>1.0</v>
      </c>
      <c r="F30" s="1">
        <v>0.0</v>
      </c>
      <c r="G30" s="1">
        <v>1.0</v>
      </c>
      <c r="H30" s="1">
        <v>0.0</v>
      </c>
      <c r="I30" s="1">
        <v>100.0</v>
      </c>
    </row>
    <row r="31">
      <c r="A31" s="1" t="s">
        <v>176</v>
      </c>
      <c r="B31" s="1">
        <v>4.0</v>
      </c>
      <c r="C31" s="1">
        <v>16.0</v>
      </c>
      <c r="D31" s="1">
        <v>1.0</v>
      </c>
      <c r="E31" s="1">
        <v>1.0</v>
      </c>
      <c r="F31" s="1">
        <v>0.0</v>
      </c>
      <c r="G31" s="1">
        <v>1.0</v>
      </c>
      <c r="H31" s="1">
        <v>0.0</v>
      </c>
      <c r="I31" s="1">
        <v>100.0</v>
      </c>
    </row>
    <row r="32">
      <c r="A32" s="1" t="s">
        <v>243</v>
      </c>
      <c r="B32" s="1">
        <v>4.0</v>
      </c>
      <c r="C32" s="1">
        <v>16.0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>
      <c r="A33" s="1" t="s">
        <v>184</v>
      </c>
      <c r="B33" s="1">
        <v>4.0</v>
      </c>
      <c r="C33" s="1">
        <v>16.0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210</v>
      </c>
      <c r="B34" s="1">
        <v>4.0</v>
      </c>
      <c r="C34" s="1">
        <v>16.0</v>
      </c>
      <c r="D34" s="1">
        <v>3.0</v>
      </c>
      <c r="E34" s="1">
        <v>1.0</v>
      </c>
      <c r="F34" s="1">
        <v>1.0</v>
      </c>
      <c r="G34" s="1">
        <v>0.0</v>
      </c>
      <c r="H34" s="1">
        <v>0.25</v>
      </c>
      <c r="I34" s="1">
        <v>33.33</v>
      </c>
    </row>
    <row r="35">
      <c r="A35" s="1" t="s">
        <v>187</v>
      </c>
      <c r="B35" s="1">
        <v>4.0</v>
      </c>
      <c r="C35" s="1">
        <v>16.0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217</v>
      </c>
      <c r="B36" s="1">
        <v>3.0</v>
      </c>
      <c r="C36" s="1">
        <v>12.0</v>
      </c>
      <c r="D36" s="1">
        <v>4.0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189</v>
      </c>
      <c r="B37" s="1">
        <v>4.0</v>
      </c>
      <c r="C37" s="1">
        <v>16.0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>
      <c r="A38" s="1" t="s">
        <v>172</v>
      </c>
      <c r="B38" s="1">
        <v>3.0</v>
      </c>
      <c r="C38" s="1">
        <v>12.0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204</v>
      </c>
      <c r="B39" s="1">
        <v>4.0</v>
      </c>
      <c r="C39" s="1">
        <v>16.0</v>
      </c>
      <c r="D39" s="1">
        <v>3.0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237</v>
      </c>
      <c r="B40" s="1">
        <v>3.0</v>
      </c>
      <c r="C40" s="1">
        <v>12.0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</row>
    <row r="41">
      <c r="A41" s="1" t="s">
        <v>168</v>
      </c>
      <c r="B41" s="1">
        <v>4.0</v>
      </c>
      <c r="C41" s="1">
        <v>16.0</v>
      </c>
      <c r="D41" s="1">
        <v>1.0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244</v>
      </c>
      <c r="B42" s="1">
        <v>3.0</v>
      </c>
      <c r="C42" s="1">
        <v>12.0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</row>
    <row r="43">
      <c r="A43" s="1" t="s">
        <v>190</v>
      </c>
      <c r="B43" s="1">
        <v>4.0</v>
      </c>
      <c r="C43" s="1">
        <v>16.0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</row>
    <row r="44">
      <c r="A44" s="1" t="s">
        <v>186</v>
      </c>
      <c r="B44" s="1">
        <v>4.0</v>
      </c>
      <c r="C44" s="1">
        <v>16.0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</row>
    <row r="45">
      <c r="A45" s="1" t="s">
        <v>208</v>
      </c>
      <c r="B45" s="1">
        <v>3.0</v>
      </c>
      <c r="C45" s="1">
        <v>12.0</v>
      </c>
      <c r="D45" s="1">
        <v>2.0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</row>
    <row r="46">
      <c r="A46" s="1" t="s">
        <v>236</v>
      </c>
      <c r="B46" s="1">
        <v>1.0</v>
      </c>
      <c r="C46" s="1">
        <v>4.0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</row>
    <row r="47">
      <c r="A47" s="1" t="s">
        <v>209</v>
      </c>
      <c r="B47" s="1">
        <v>1.0</v>
      </c>
      <c r="C47" s="1">
        <v>4.0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</row>
    <row r="48">
      <c r="A48" s="1" t="s">
        <v>200</v>
      </c>
      <c r="B48" s="1">
        <v>4.0</v>
      </c>
      <c r="C48" s="1">
        <v>16.0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</row>
    <row r="49">
      <c r="A49" s="1" t="s">
        <v>211</v>
      </c>
      <c r="B49" s="1">
        <v>4.0</v>
      </c>
      <c r="C49" s="1">
        <v>16.0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</row>
    <row r="50">
      <c r="A50" s="1" t="s">
        <v>233</v>
      </c>
      <c r="B50" s="1">
        <v>4.0</v>
      </c>
      <c r="C50" s="1">
        <v>16.0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</row>
    <row r="51">
      <c r="A51" s="1" t="s">
        <v>197</v>
      </c>
      <c r="B51" s="1">
        <v>3.0</v>
      </c>
      <c r="C51" s="1">
        <v>12.0</v>
      </c>
      <c r="D51" s="1">
        <v>5.0</v>
      </c>
      <c r="E51" s="1">
        <v>1.0</v>
      </c>
      <c r="F51" s="1">
        <v>1.0</v>
      </c>
      <c r="G51" s="1">
        <v>0.0</v>
      </c>
      <c r="H51" s="1">
        <v>0.33</v>
      </c>
      <c r="I51" s="1">
        <v>20.0</v>
      </c>
    </row>
    <row r="52">
      <c r="A52" s="1" t="s">
        <v>199</v>
      </c>
      <c r="B52" s="1">
        <v>4.0</v>
      </c>
      <c r="C52" s="1">
        <v>16.0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</row>
    <row r="53">
      <c r="A53" s="1" t="s">
        <v>228</v>
      </c>
      <c r="B53" s="1">
        <v>4.0</v>
      </c>
      <c r="C53" s="1">
        <v>16.0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</row>
    <row r="54">
      <c r="A54" s="1" t="s">
        <v>235</v>
      </c>
      <c r="B54" s="1">
        <v>4.0</v>
      </c>
      <c r="C54" s="1">
        <v>16.0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</row>
    <row r="55">
      <c r="A55" s="1" t="s">
        <v>198</v>
      </c>
      <c r="B55" s="1">
        <v>2.0</v>
      </c>
      <c r="C55" s="1">
        <v>8.0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</row>
    <row r="56">
      <c r="A56" s="1" t="s">
        <v>180</v>
      </c>
      <c r="B56" s="1">
        <v>3.0</v>
      </c>
      <c r="C56" s="1">
        <v>12.0</v>
      </c>
      <c r="D56" s="1">
        <v>1.0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</row>
    <row r="57">
      <c r="A57" s="1" t="s">
        <v>238</v>
      </c>
      <c r="B57" s="1">
        <v>4.0</v>
      </c>
      <c r="C57" s="1">
        <v>16.0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</row>
    <row r="58">
      <c r="A58" s="1" t="s">
        <v>223</v>
      </c>
      <c r="B58" s="1">
        <v>4.0</v>
      </c>
      <c r="C58" s="1">
        <v>16.0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</row>
    <row r="59">
      <c r="A59" s="1" t="s">
        <v>192</v>
      </c>
      <c r="B59" s="1">
        <v>4.0</v>
      </c>
      <c r="C59" s="1">
        <v>16.0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</row>
    <row r="60">
      <c r="A60" s="1" t="s">
        <v>232</v>
      </c>
      <c r="B60" s="1">
        <v>4.0</v>
      </c>
      <c r="C60" s="1">
        <v>16.0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</row>
    <row r="61">
      <c r="A61" s="1" t="s">
        <v>215</v>
      </c>
      <c r="B61" s="1">
        <v>4.0</v>
      </c>
      <c r="C61" s="1">
        <v>16.0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</row>
    <row r="62">
      <c r="A62" s="1" t="s">
        <v>221</v>
      </c>
      <c r="B62" s="1">
        <v>4.0</v>
      </c>
      <c r="C62" s="1">
        <v>16.0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</row>
    <row r="63">
      <c r="A63" s="1" t="s">
        <v>222</v>
      </c>
      <c r="B63" s="1">
        <v>4.0</v>
      </c>
      <c r="C63" s="1">
        <v>16.0</v>
      </c>
      <c r="D63" s="1">
        <v>1.0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</row>
    <row r="64">
      <c r="A64" s="1" t="s">
        <v>239</v>
      </c>
      <c r="B64" s="1">
        <v>1.0</v>
      </c>
      <c r="C64" s="1">
        <v>4.0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</row>
    <row r="65">
      <c r="A65" s="1" t="s">
        <v>202</v>
      </c>
      <c r="B65" s="1">
        <v>3.0</v>
      </c>
      <c r="C65" s="1">
        <v>12.0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</row>
    <row r="66">
      <c r="A66" s="1" t="s">
        <v>218</v>
      </c>
      <c r="B66" s="1">
        <v>2.0</v>
      </c>
      <c r="C66" s="1">
        <v>8.0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</row>
    <row r="67">
      <c r="A67" s="1" t="s">
        <v>227</v>
      </c>
      <c r="B67" s="1">
        <v>4.0</v>
      </c>
      <c r="C67" s="1">
        <v>16.0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</row>
    <row r="68">
      <c r="A68" s="1" t="s">
        <v>201</v>
      </c>
      <c r="B68" s="1">
        <v>3.0</v>
      </c>
      <c r="C68" s="1">
        <v>12.0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</row>
    <row r="69">
      <c r="A69" s="1" t="s">
        <v>213</v>
      </c>
      <c r="B69" s="1">
        <v>4.0</v>
      </c>
      <c r="C69" s="1">
        <v>16.0</v>
      </c>
      <c r="D69" s="1">
        <v>7.0</v>
      </c>
      <c r="E69" s="1">
        <v>2.0</v>
      </c>
      <c r="F69" s="1">
        <v>2.0</v>
      </c>
      <c r="G69" s="1">
        <v>0.0</v>
      </c>
      <c r="H69" s="1">
        <v>0.5</v>
      </c>
      <c r="I69" s="1">
        <v>28.57</v>
      </c>
    </row>
    <row r="70">
      <c r="A70" s="1" t="s">
        <v>229</v>
      </c>
      <c r="B70" s="1">
        <v>4.0</v>
      </c>
      <c r="C70" s="1">
        <v>16.0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</row>
    <row r="71">
      <c r="A71" s="1" t="s">
        <v>240</v>
      </c>
      <c r="B71" s="1">
        <v>2.0</v>
      </c>
      <c r="C71" s="1">
        <v>8.0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>
      <c r="A72" s="1" t="s">
        <v>226</v>
      </c>
      <c r="B72" s="1">
        <v>2.0</v>
      </c>
      <c r="C72" s="1">
        <v>8.0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>
      <c r="A73" s="1" t="s">
        <v>225</v>
      </c>
      <c r="B73" s="1">
        <v>4.0</v>
      </c>
      <c r="C73" s="1">
        <v>16.0</v>
      </c>
      <c r="D73" s="1">
        <v>2.0</v>
      </c>
      <c r="E73" s="1">
        <v>1.0</v>
      </c>
      <c r="F73" s="1">
        <v>1.0</v>
      </c>
      <c r="G73" s="1">
        <v>0.0</v>
      </c>
      <c r="H73" s="1">
        <v>0.25</v>
      </c>
      <c r="I73" s="1">
        <v>50.0</v>
      </c>
    </row>
    <row r="74">
      <c r="A74" s="1" t="s">
        <v>181</v>
      </c>
      <c r="B74" s="1">
        <v>4.0</v>
      </c>
      <c r="C74" s="1">
        <v>16.0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>
      <c r="A75" s="1" t="s">
        <v>224</v>
      </c>
      <c r="B75" s="1">
        <v>2.0</v>
      </c>
      <c r="C75" s="1">
        <v>8.0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>
      <c r="A76" s="1" t="s">
        <v>212</v>
      </c>
      <c r="B76" s="1">
        <v>4.0</v>
      </c>
      <c r="C76" s="1">
        <v>16.0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>
      <c r="A77" s="1" t="s">
        <v>206</v>
      </c>
      <c r="B77" s="1">
        <v>4.0</v>
      </c>
      <c r="C77" s="1">
        <v>16.0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>
      <c r="A78" s="1" t="s">
        <v>241</v>
      </c>
      <c r="B78" s="1">
        <v>1.0</v>
      </c>
      <c r="C78" s="1">
        <v>4.0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</row>
    <row r="79">
      <c r="A79" s="1" t="s">
        <v>219</v>
      </c>
      <c r="B79" s="1">
        <v>4.0</v>
      </c>
      <c r="C79" s="1">
        <v>16.0</v>
      </c>
      <c r="D79" s="1">
        <v>6.0</v>
      </c>
      <c r="E79" s="1">
        <v>1.0</v>
      </c>
      <c r="F79" s="1">
        <v>2.0</v>
      </c>
      <c r="G79" s="1">
        <v>-1.0</v>
      </c>
      <c r="H79" s="1">
        <v>0.5</v>
      </c>
      <c r="I79" s="1">
        <v>16.67</v>
      </c>
    </row>
    <row r="80">
      <c r="A80" s="1" t="s">
        <v>175</v>
      </c>
      <c r="B80" s="1">
        <v>4.0</v>
      </c>
      <c r="C80" s="1">
        <v>16.0</v>
      </c>
      <c r="D80" s="1">
        <v>9.0</v>
      </c>
      <c r="E80" s="1">
        <v>3.0</v>
      </c>
      <c r="F80" s="1">
        <v>4.0</v>
      </c>
      <c r="G80" s="1">
        <v>-1.0</v>
      </c>
      <c r="H80" s="1">
        <v>1.0</v>
      </c>
      <c r="I80" s="1">
        <v>33.33</v>
      </c>
    </row>
    <row r="81">
      <c r="A81" s="1" t="s">
        <v>234</v>
      </c>
      <c r="B81" s="1">
        <v>4.0</v>
      </c>
      <c r="C81" s="1">
        <v>16.0</v>
      </c>
      <c r="D81" s="1">
        <v>1.0</v>
      </c>
      <c r="E81" s="1">
        <v>0.0</v>
      </c>
      <c r="F81" s="1">
        <v>1.0</v>
      </c>
      <c r="G81" s="1">
        <v>-1.0</v>
      </c>
      <c r="H81" s="1">
        <v>0.25</v>
      </c>
      <c r="I81" s="1">
        <v>0.0</v>
      </c>
    </row>
    <row r="82">
      <c r="A82" s="1" t="s">
        <v>230</v>
      </c>
      <c r="B82" s="1">
        <v>3.0</v>
      </c>
      <c r="C82" s="1">
        <v>12.0</v>
      </c>
      <c r="D82" s="1">
        <v>10.0</v>
      </c>
      <c r="E82" s="1">
        <v>3.0</v>
      </c>
      <c r="F82" s="1">
        <v>6.0</v>
      </c>
      <c r="G82" s="1">
        <v>-4.0</v>
      </c>
      <c r="H82" s="1">
        <v>2.0</v>
      </c>
      <c r="I82" s="1">
        <v>30.0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179</v>
      </c>
      <c r="B2" s="1">
        <v>3.0</v>
      </c>
      <c r="C2" s="1">
        <v>12.0</v>
      </c>
      <c r="D2" s="1">
        <v>8.0</v>
      </c>
      <c r="E2" s="1">
        <v>7.0</v>
      </c>
      <c r="F2" s="1">
        <v>0.0</v>
      </c>
      <c r="G2" s="1">
        <v>9.33</v>
      </c>
      <c r="H2" s="1">
        <v>0.0</v>
      </c>
      <c r="I2" s="1">
        <v>87.5</v>
      </c>
    </row>
    <row r="3">
      <c r="A3" s="1" t="s">
        <v>165</v>
      </c>
      <c r="B3" s="1">
        <v>4.0</v>
      </c>
      <c r="C3" s="1">
        <v>16.0</v>
      </c>
      <c r="D3" s="1">
        <v>9.0</v>
      </c>
      <c r="E3" s="1">
        <v>8.0</v>
      </c>
      <c r="F3" s="1">
        <v>1.0</v>
      </c>
      <c r="G3" s="1">
        <v>7.0</v>
      </c>
      <c r="H3" s="1">
        <v>0.25</v>
      </c>
      <c r="I3" s="1">
        <v>88.89</v>
      </c>
    </row>
    <row r="4">
      <c r="A4" s="1" t="s">
        <v>189</v>
      </c>
      <c r="B4" s="1">
        <v>4.0</v>
      </c>
      <c r="C4" s="1">
        <v>16.0</v>
      </c>
      <c r="D4" s="1">
        <v>8.0</v>
      </c>
      <c r="E4" s="1">
        <v>7.0</v>
      </c>
      <c r="F4" s="1">
        <v>0.0</v>
      </c>
      <c r="G4" s="1">
        <v>7.0</v>
      </c>
      <c r="H4" s="1">
        <v>0.0</v>
      </c>
      <c r="I4" s="1">
        <v>87.5</v>
      </c>
    </row>
    <row r="5">
      <c r="A5" s="1" t="s">
        <v>230</v>
      </c>
      <c r="B5" s="1">
        <v>3.0</v>
      </c>
      <c r="C5" s="1">
        <v>12.0</v>
      </c>
      <c r="D5" s="1">
        <v>10.0</v>
      </c>
      <c r="E5" s="1">
        <v>7.0</v>
      </c>
      <c r="F5" s="1">
        <v>2.0</v>
      </c>
      <c r="G5" s="1">
        <v>6.67</v>
      </c>
      <c r="H5" s="1">
        <v>0.67</v>
      </c>
      <c r="I5" s="1">
        <v>70.0</v>
      </c>
    </row>
    <row r="6">
      <c r="A6" s="1" t="s">
        <v>166</v>
      </c>
      <c r="B6" s="1">
        <v>4.0</v>
      </c>
      <c r="C6" s="1">
        <v>16.0</v>
      </c>
      <c r="D6" s="1">
        <v>6.0</v>
      </c>
      <c r="E6" s="1">
        <v>6.0</v>
      </c>
      <c r="F6" s="1">
        <v>0.0</v>
      </c>
      <c r="G6" s="1">
        <v>6.0</v>
      </c>
      <c r="H6" s="1">
        <v>0.0</v>
      </c>
      <c r="I6" s="1">
        <v>100.0</v>
      </c>
    </row>
    <row r="7">
      <c r="A7" s="1" t="s">
        <v>201</v>
      </c>
      <c r="B7" s="1">
        <v>3.0</v>
      </c>
      <c r="C7" s="1">
        <v>12.0</v>
      </c>
      <c r="D7" s="1">
        <v>6.0</v>
      </c>
      <c r="E7" s="1">
        <v>4.0</v>
      </c>
      <c r="F7" s="1">
        <v>0.0</v>
      </c>
      <c r="G7" s="1">
        <v>5.33</v>
      </c>
      <c r="H7" s="1">
        <v>0.0</v>
      </c>
      <c r="I7" s="1">
        <v>66.67</v>
      </c>
    </row>
    <row r="8">
      <c r="A8" s="1" t="s">
        <v>192</v>
      </c>
      <c r="B8" s="1">
        <v>4.0</v>
      </c>
      <c r="C8" s="1">
        <v>16.0</v>
      </c>
      <c r="D8" s="1">
        <v>9.0</v>
      </c>
      <c r="E8" s="1">
        <v>7.0</v>
      </c>
      <c r="F8" s="1">
        <v>2.0</v>
      </c>
      <c r="G8" s="1">
        <v>5.0</v>
      </c>
      <c r="H8" s="1">
        <v>0.5</v>
      </c>
      <c r="I8" s="1">
        <v>77.78</v>
      </c>
    </row>
    <row r="9">
      <c r="A9" s="1" t="s">
        <v>186</v>
      </c>
      <c r="B9" s="1">
        <v>4.0</v>
      </c>
      <c r="C9" s="1">
        <v>16.0</v>
      </c>
      <c r="D9" s="1">
        <v>10.0</v>
      </c>
      <c r="E9" s="1">
        <v>7.0</v>
      </c>
      <c r="F9" s="1">
        <v>2.0</v>
      </c>
      <c r="G9" s="1">
        <v>5.0</v>
      </c>
      <c r="H9" s="1">
        <v>0.5</v>
      </c>
      <c r="I9" s="1">
        <v>70.0</v>
      </c>
    </row>
    <row r="10">
      <c r="A10" s="1" t="s">
        <v>206</v>
      </c>
      <c r="B10" s="1">
        <v>4.0</v>
      </c>
      <c r="C10" s="1">
        <v>16.0</v>
      </c>
      <c r="D10" s="1">
        <v>8.0</v>
      </c>
      <c r="E10" s="1">
        <v>5.0</v>
      </c>
      <c r="F10" s="1">
        <v>1.0</v>
      </c>
      <c r="G10" s="1">
        <v>4.0</v>
      </c>
      <c r="H10" s="1">
        <v>0.25</v>
      </c>
      <c r="I10" s="1">
        <v>62.5</v>
      </c>
    </row>
    <row r="11">
      <c r="A11" s="1" t="s">
        <v>173</v>
      </c>
      <c r="B11" s="1">
        <v>2.0</v>
      </c>
      <c r="C11" s="1">
        <v>8.0</v>
      </c>
      <c r="D11" s="1">
        <v>6.0</v>
      </c>
      <c r="E11" s="1">
        <v>2.0</v>
      </c>
      <c r="F11" s="1">
        <v>0.0</v>
      </c>
      <c r="G11" s="1">
        <v>4.0</v>
      </c>
      <c r="H11" s="1">
        <v>0.0</v>
      </c>
      <c r="I11" s="1">
        <v>33.33</v>
      </c>
    </row>
    <row r="12">
      <c r="A12" s="1" t="s">
        <v>164</v>
      </c>
      <c r="B12" s="1">
        <v>3.0</v>
      </c>
      <c r="C12" s="1">
        <v>12.0</v>
      </c>
      <c r="D12" s="1">
        <v>9.0</v>
      </c>
      <c r="E12" s="1">
        <v>5.0</v>
      </c>
      <c r="F12" s="1">
        <v>2.0</v>
      </c>
      <c r="G12" s="1">
        <v>4.0</v>
      </c>
      <c r="H12" s="1">
        <v>0.67</v>
      </c>
      <c r="I12" s="1">
        <v>55.56</v>
      </c>
    </row>
    <row r="13">
      <c r="A13" s="1" t="s">
        <v>174</v>
      </c>
      <c r="B13" s="1">
        <v>4.0</v>
      </c>
      <c r="C13" s="1">
        <v>16.0</v>
      </c>
      <c r="D13" s="1">
        <v>7.0</v>
      </c>
      <c r="E13" s="1">
        <v>5.0</v>
      </c>
      <c r="F13" s="1">
        <v>1.0</v>
      </c>
      <c r="G13" s="1">
        <v>4.0</v>
      </c>
      <c r="H13" s="1">
        <v>0.25</v>
      </c>
      <c r="I13" s="1">
        <v>71.43</v>
      </c>
    </row>
    <row r="14">
      <c r="A14" s="1" t="s">
        <v>211</v>
      </c>
      <c r="B14" s="1">
        <v>4.0</v>
      </c>
      <c r="C14" s="1">
        <v>16.0</v>
      </c>
      <c r="D14" s="1">
        <v>11.0</v>
      </c>
      <c r="E14" s="1">
        <v>7.0</v>
      </c>
      <c r="F14" s="1">
        <v>4.0</v>
      </c>
      <c r="G14" s="1">
        <v>3.0</v>
      </c>
      <c r="H14" s="1">
        <v>1.0</v>
      </c>
      <c r="I14" s="1">
        <v>63.64</v>
      </c>
    </row>
    <row r="15">
      <c r="A15" s="1" t="s">
        <v>187</v>
      </c>
      <c r="B15" s="1">
        <v>4.0</v>
      </c>
      <c r="C15" s="1">
        <v>16.0</v>
      </c>
      <c r="D15" s="1">
        <v>6.0</v>
      </c>
      <c r="E15" s="1">
        <v>4.0</v>
      </c>
      <c r="F15" s="1">
        <v>1.0</v>
      </c>
      <c r="G15" s="1">
        <v>3.0</v>
      </c>
      <c r="H15" s="1">
        <v>0.25</v>
      </c>
      <c r="I15" s="1">
        <v>66.67</v>
      </c>
    </row>
    <row r="16">
      <c r="A16" s="1" t="s">
        <v>168</v>
      </c>
      <c r="B16" s="1">
        <v>4.0</v>
      </c>
      <c r="C16" s="1">
        <v>16.0</v>
      </c>
      <c r="D16" s="1">
        <v>8.0</v>
      </c>
      <c r="E16" s="1">
        <v>4.0</v>
      </c>
      <c r="F16" s="1">
        <v>1.0</v>
      </c>
      <c r="G16" s="1">
        <v>3.0</v>
      </c>
      <c r="H16" s="1">
        <v>0.25</v>
      </c>
      <c r="I16" s="1">
        <v>50.0</v>
      </c>
    </row>
    <row r="17">
      <c r="A17" s="1" t="s">
        <v>170</v>
      </c>
      <c r="B17" s="1">
        <v>4.0</v>
      </c>
      <c r="C17" s="1">
        <v>16.0</v>
      </c>
      <c r="D17" s="1">
        <v>5.0</v>
      </c>
      <c r="E17" s="1">
        <v>3.0</v>
      </c>
      <c r="F17" s="1">
        <v>0.0</v>
      </c>
      <c r="G17" s="1">
        <v>3.0</v>
      </c>
      <c r="H17" s="1">
        <v>0.0</v>
      </c>
      <c r="I17" s="1">
        <v>60.0</v>
      </c>
    </row>
    <row r="18">
      <c r="A18" s="1" t="s">
        <v>203</v>
      </c>
      <c r="B18" s="1">
        <v>4.0</v>
      </c>
      <c r="C18" s="1">
        <v>16.0</v>
      </c>
      <c r="D18" s="1">
        <v>3.0</v>
      </c>
      <c r="E18" s="1">
        <v>3.0</v>
      </c>
      <c r="F18" s="1">
        <v>0.0</v>
      </c>
      <c r="G18" s="1">
        <v>3.0</v>
      </c>
      <c r="H18" s="1">
        <v>0.0</v>
      </c>
      <c r="I18" s="1">
        <v>100.0</v>
      </c>
    </row>
    <row r="19">
      <c r="A19" s="1" t="s">
        <v>176</v>
      </c>
      <c r="B19" s="1">
        <v>4.0</v>
      </c>
      <c r="C19" s="1">
        <v>16.0</v>
      </c>
      <c r="D19" s="1">
        <v>3.0</v>
      </c>
      <c r="E19" s="1">
        <v>2.0</v>
      </c>
      <c r="F19" s="1">
        <v>0.0</v>
      </c>
      <c r="G19" s="1">
        <v>2.0</v>
      </c>
      <c r="H19" s="1">
        <v>0.0</v>
      </c>
      <c r="I19" s="1">
        <v>66.67</v>
      </c>
    </row>
    <row r="20">
      <c r="A20" s="1" t="s">
        <v>218</v>
      </c>
      <c r="B20" s="1">
        <v>2.0</v>
      </c>
      <c r="C20" s="1">
        <v>8.0</v>
      </c>
      <c r="D20" s="1">
        <v>1.0</v>
      </c>
      <c r="E20" s="1">
        <v>1.0</v>
      </c>
      <c r="F20" s="1">
        <v>0.0</v>
      </c>
      <c r="G20" s="1">
        <v>2.0</v>
      </c>
      <c r="H20" s="1">
        <v>0.0</v>
      </c>
      <c r="I20" s="1">
        <v>100.0</v>
      </c>
    </row>
    <row r="21">
      <c r="A21" s="1" t="s">
        <v>223</v>
      </c>
      <c r="B21" s="1">
        <v>4.0</v>
      </c>
      <c r="C21" s="1">
        <v>16.0</v>
      </c>
      <c r="D21" s="1">
        <v>2.0</v>
      </c>
      <c r="E21" s="1">
        <v>2.0</v>
      </c>
      <c r="F21" s="1">
        <v>0.0</v>
      </c>
      <c r="G21" s="1">
        <v>2.0</v>
      </c>
      <c r="H21" s="1">
        <v>0.0</v>
      </c>
      <c r="I21" s="1">
        <v>100.0</v>
      </c>
    </row>
    <row r="22">
      <c r="A22" s="1" t="s">
        <v>222</v>
      </c>
      <c r="B22" s="1">
        <v>4.0</v>
      </c>
      <c r="C22" s="1">
        <v>16.0</v>
      </c>
      <c r="D22" s="1">
        <v>7.0</v>
      </c>
      <c r="E22" s="1">
        <v>3.0</v>
      </c>
      <c r="F22" s="1">
        <v>1.0</v>
      </c>
      <c r="G22" s="1">
        <v>2.0</v>
      </c>
      <c r="H22" s="1">
        <v>0.25</v>
      </c>
      <c r="I22" s="1">
        <v>42.86</v>
      </c>
    </row>
    <row r="23">
      <c r="A23" s="1" t="s">
        <v>212</v>
      </c>
      <c r="B23" s="1">
        <v>4.0</v>
      </c>
      <c r="C23" s="1">
        <v>16.0</v>
      </c>
      <c r="D23" s="1">
        <v>6.0</v>
      </c>
      <c r="E23" s="1">
        <v>4.0</v>
      </c>
      <c r="F23" s="1">
        <v>2.0</v>
      </c>
      <c r="G23" s="1">
        <v>2.0</v>
      </c>
      <c r="H23" s="1">
        <v>0.5</v>
      </c>
      <c r="I23" s="1">
        <v>66.67</v>
      </c>
    </row>
    <row r="24">
      <c r="A24" s="1" t="s">
        <v>215</v>
      </c>
      <c r="B24" s="1">
        <v>4.0</v>
      </c>
      <c r="C24" s="1">
        <v>16.0</v>
      </c>
      <c r="D24" s="1">
        <v>2.0</v>
      </c>
      <c r="E24" s="1">
        <v>2.0</v>
      </c>
      <c r="F24" s="1">
        <v>0.0</v>
      </c>
      <c r="G24" s="1">
        <v>2.0</v>
      </c>
      <c r="H24" s="1">
        <v>0.0</v>
      </c>
      <c r="I24" s="1">
        <v>100.0</v>
      </c>
    </row>
    <row r="25">
      <c r="A25" s="1" t="s">
        <v>188</v>
      </c>
      <c r="B25" s="1">
        <v>4.0</v>
      </c>
      <c r="C25" s="1">
        <v>16.0</v>
      </c>
      <c r="D25" s="1">
        <v>2.0</v>
      </c>
      <c r="E25" s="1">
        <v>2.0</v>
      </c>
      <c r="F25" s="1">
        <v>0.0</v>
      </c>
      <c r="G25" s="1">
        <v>2.0</v>
      </c>
      <c r="H25" s="1">
        <v>0.0</v>
      </c>
      <c r="I25" s="1">
        <v>100.0</v>
      </c>
    </row>
    <row r="26">
      <c r="A26" s="1" t="s">
        <v>169</v>
      </c>
      <c r="B26" s="1">
        <v>3.0</v>
      </c>
      <c r="C26" s="1">
        <v>12.0</v>
      </c>
      <c r="D26" s="1">
        <v>1.0</v>
      </c>
      <c r="E26" s="1">
        <v>1.0</v>
      </c>
      <c r="F26" s="1">
        <v>0.0</v>
      </c>
      <c r="G26" s="1">
        <v>1.33</v>
      </c>
      <c r="H26" s="1">
        <v>0.0</v>
      </c>
      <c r="I26" s="1">
        <v>100.0</v>
      </c>
    </row>
    <row r="27">
      <c r="A27" s="1" t="s">
        <v>217</v>
      </c>
      <c r="B27" s="1">
        <v>3.0</v>
      </c>
      <c r="C27" s="1">
        <v>12.0</v>
      </c>
      <c r="D27" s="1">
        <v>1.0</v>
      </c>
      <c r="E27" s="1">
        <v>1.0</v>
      </c>
      <c r="F27" s="1">
        <v>0.0</v>
      </c>
      <c r="G27" s="1">
        <v>1.33</v>
      </c>
      <c r="H27" s="1">
        <v>0.0</v>
      </c>
      <c r="I27" s="1">
        <v>100.0</v>
      </c>
    </row>
    <row r="28">
      <c r="A28" s="1" t="s">
        <v>216</v>
      </c>
      <c r="B28" s="1">
        <v>3.0</v>
      </c>
      <c r="C28" s="1">
        <v>12.0</v>
      </c>
      <c r="D28" s="1">
        <v>2.0</v>
      </c>
      <c r="E28" s="1">
        <v>1.0</v>
      </c>
      <c r="F28" s="1">
        <v>0.0</v>
      </c>
      <c r="G28" s="1">
        <v>1.33</v>
      </c>
      <c r="H28" s="1">
        <v>0.0</v>
      </c>
      <c r="I28" s="1">
        <v>50.0</v>
      </c>
    </row>
    <row r="29">
      <c r="A29" s="1" t="s">
        <v>213</v>
      </c>
      <c r="B29" s="1">
        <v>4.0</v>
      </c>
      <c r="C29" s="1">
        <v>16.0</v>
      </c>
      <c r="D29" s="1">
        <v>3.0</v>
      </c>
      <c r="E29" s="1">
        <v>1.0</v>
      </c>
      <c r="F29" s="1">
        <v>0.0</v>
      </c>
      <c r="G29" s="1">
        <v>1.0</v>
      </c>
      <c r="H29" s="1">
        <v>0.0</v>
      </c>
      <c r="I29" s="1">
        <v>33.33</v>
      </c>
    </row>
    <row r="30">
      <c r="A30" s="1" t="s">
        <v>204</v>
      </c>
      <c r="B30" s="1">
        <v>4.0</v>
      </c>
      <c r="C30" s="1">
        <v>16.0</v>
      </c>
      <c r="D30" s="1">
        <v>2.0</v>
      </c>
      <c r="E30" s="1">
        <v>1.0</v>
      </c>
      <c r="F30" s="1">
        <v>0.0</v>
      </c>
      <c r="G30" s="1">
        <v>1.0</v>
      </c>
      <c r="H30" s="1">
        <v>0.0</v>
      </c>
      <c r="I30" s="1">
        <v>50.0</v>
      </c>
    </row>
    <row r="31">
      <c r="A31" s="1" t="s">
        <v>219</v>
      </c>
      <c r="B31" s="1">
        <v>4.0</v>
      </c>
      <c r="C31" s="1">
        <v>16.0</v>
      </c>
      <c r="D31" s="1">
        <v>8.0</v>
      </c>
      <c r="E31" s="1">
        <v>4.0</v>
      </c>
      <c r="F31" s="1">
        <v>3.0</v>
      </c>
      <c r="G31" s="1">
        <v>1.0</v>
      </c>
      <c r="H31" s="1">
        <v>0.75</v>
      </c>
      <c r="I31" s="1">
        <v>50.0</v>
      </c>
    </row>
    <row r="32">
      <c r="A32" s="1" t="s">
        <v>177</v>
      </c>
      <c r="B32" s="1">
        <v>4.0</v>
      </c>
      <c r="C32" s="1">
        <v>16.0</v>
      </c>
      <c r="D32" s="1">
        <v>1.0</v>
      </c>
      <c r="E32" s="1">
        <v>1.0</v>
      </c>
      <c r="F32" s="1">
        <v>0.0</v>
      </c>
      <c r="G32" s="1">
        <v>1.0</v>
      </c>
      <c r="H32" s="1">
        <v>0.0</v>
      </c>
      <c r="I32" s="1">
        <v>100.0</v>
      </c>
    </row>
    <row r="33">
      <c r="A33" s="1" t="s">
        <v>233</v>
      </c>
      <c r="B33" s="1">
        <v>4.0</v>
      </c>
      <c r="C33" s="1">
        <v>16.0</v>
      </c>
      <c r="D33" s="1">
        <v>1.0</v>
      </c>
      <c r="E33" s="1">
        <v>1.0</v>
      </c>
      <c r="F33" s="1">
        <v>0.0</v>
      </c>
      <c r="G33" s="1">
        <v>1.0</v>
      </c>
      <c r="H33" s="1">
        <v>0.0</v>
      </c>
      <c r="I33" s="1">
        <v>100.0</v>
      </c>
    </row>
    <row r="34">
      <c r="A34" s="1" t="s">
        <v>194</v>
      </c>
      <c r="B34" s="1">
        <v>4.0</v>
      </c>
      <c r="C34" s="1">
        <v>16.0</v>
      </c>
      <c r="D34" s="1">
        <v>2.0</v>
      </c>
      <c r="E34" s="1">
        <v>1.0</v>
      </c>
      <c r="F34" s="1">
        <v>0.0</v>
      </c>
      <c r="G34" s="1">
        <v>1.0</v>
      </c>
      <c r="H34" s="1">
        <v>0.0</v>
      </c>
      <c r="I34" s="1">
        <v>50.0</v>
      </c>
    </row>
    <row r="35">
      <c r="A35" s="1" t="s">
        <v>210</v>
      </c>
      <c r="B35" s="1">
        <v>4.0</v>
      </c>
      <c r="C35" s="1">
        <v>16.0</v>
      </c>
      <c r="D35" s="1">
        <v>1.0</v>
      </c>
      <c r="E35" s="1">
        <v>1.0</v>
      </c>
      <c r="F35" s="1">
        <v>0.0</v>
      </c>
      <c r="G35" s="1">
        <v>1.0</v>
      </c>
      <c r="H35" s="1">
        <v>0.0</v>
      </c>
      <c r="I35" s="1">
        <v>100.0</v>
      </c>
    </row>
    <row r="36">
      <c r="A36" s="1" t="s">
        <v>175</v>
      </c>
      <c r="B36" s="1">
        <v>4.0</v>
      </c>
      <c r="C36" s="1">
        <v>16.0</v>
      </c>
      <c r="D36" s="1">
        <v>2.0</v>
      </c>
      <c r="E36" s="1">
        <v>1.0</v>
      </c>
      <c r="F36" s="1">
        <v>0.0</v>
      </c>
      <c r="G36" s="1">
        <v>1.0</v>
      </c>
      <c r="H36" s="1">
        <v>0.0</v>
      </c>
      <c r="I36" s="1">
        <v>50.0</v>
      </c>
    </row>
    <row r="37">
      <c r="A37" s="1" t="s">
        <v>228</v>
      </c>
      <c r="B37" s="1">
        <v>4.0</v>
      </c>
      <c r="C37" s="1">
        <v>16.0</v>
      </c>
      <c r="D37" s="1">
        <v>2.0</v>
      </c>
      <c r="E37" s="1">
        <v>1.0</v>
      </c>
      <c r="F37" s="1">
        <v>0.0</v>
      </c>
      <c r="G37" s="1">
        <v>1.0</v>
      </c>
      <c r="H37" s="1">
        <v>0.0</v>
      </c>
      <c r="I37" s="1">
        <v>50.0</v>
      </c>
    </row>
    <row r="38">
      <c r="A38" s="1" t="s">
        <v>214</v>
      </c>
      <c r="B38" s="1">
        <v>4.0</v>
      </c>
      <c r="C38" s="1">
        <v>16.0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183</v>
      </c>
      <c r="B39" s="1">
        <v>4.0</v>
      </c>
      <c r="C39" s="1">
        <v>16.0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220</v>
      </c>
      <c r="B40" s="1">
        <v>2.0</v>
      </c>
      <c r="C40" s="1">
        <v>8.0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</row>
    <row r="41">
      <c r="A41" s="1" t="s">
        <v>232</v>
      </c>
      <c r="B41" s="1">
        <v>4.0</v>
      </c>
      <c r="C41" s="1">
        <v>16.0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172</v>
      </c>
      <c r="B42" s="1">
        <v>3.0</v>
      </c>
      <c r="C42" s="1">
        <v>12.0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</row>
    <row r="43">
      <c r="A43" s="1" t="s">
        <v>238</v>
      </c>
      <c r="B43" s="1">
        <v>4.0</v>
      </c>
      <c r="C43" s="1">
        <v>16.0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</row>
    <row r="44">
      <c r="A44" s="1" t="s">
        <v>237</v>
      </c>
      <c r="B44" s="1">
        <v>3.0</v>
      </c>
      <c r="C44" s="1">
        <v>12.0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</row>
    <row r="45">
      <c r="A45" s="1" t="s">
        <v>180</v>
      </c>
      <c r="B45" s="1">
        <v>3.0</v>
      </c>
      <c r="C45" s="1">
        <v>12.0</v>
      </c>
      <c r="D45" s="1">
        <v>3.0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</row>
    <row r="46">
      <c r="A46" s="1" t="s">
        <v>198</v>
      </c>
      <c r="B46" s="1">
        <v>2.0</v>
      </c>
      <c r="C46" s="1">
        <v>8.0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</row>
    <row r="47">
      <c r="A47" s="1" t="s">
        <v>244</v>
      </c>
      <c r="B47" s="1">
        <v>3.0</v>
      </c>
      <c r="C47" s="1">
        <v>12.0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</row>
    <row r="48">
      <c r="A48" s="1" t="s">
        <v>226</v>
      </c>
      <c r="B48" s="1">
        <v>2.0</v>
      </c>
      <c r="C48" s="1">
        <v>8.0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</row>
    <row r="49">
      <c r="A49" s="1" t="s">
        <v>227</v>
      </c>
      <c r="B49" s="1">
        <v>4.0</v>
      </c>
      <c r="C49" s="1">
        <v>16.0</v>
      </c>
      <c r="D49" s="1">
        <v>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</row>
    <row r="50">
      <c r="A50" s="1" t="s">
        <v>235</v>
      </c>
      <c r="B50" s="1">
        <v>4.0</v>
      </c>
      <c r="C50" s="1">
        <v>16.0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</row>
    <row r="51">
      <c r="A51" s="1" t="s">
        <v>190</v>
      </c>
      <c r="B51" s="1">
        <v>4.0</v>
      </c>
      <c r="C51" s="1">
        <v>16.0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</row>
    <row r="52">
      <c r="A52" s="1" t="s">
        <v>191</v>
      </c>
      <c r="B52" s="1">
        <v>4.0</v>
      </c>
      <c r="C52" s="1">
        <v>16.0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</row>
    <row r="53">
      <c r="A53" s="1" t="s">
        <v>199</v>
      </c>
      <c r="B53" s="1">
        <v>4.0</v>
      </c>
      <c r="C53" s="1">
        <v>16.0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</row>
    <row r="54">
      <c r="A54" s="1" t="s">
        <v>193</v>
      </c>
      <c r="B54" s="1">
        <v>4.0</v>
      </c>
      <c r="C54" s="1">
        <v>16.0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</row>
    <row r="55">
      <c r="A55" s="1" t="s">
        <v>208</v>
      </c>
      <c r="B55" s="1">
        <v>3.0</v>
      </c>
      <c r="C55" s="1">
        <v>12.0</v>
      </c>
      <c r="D55" s="1">
        <v>1.0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</row>
    <row r="56">
      <c r="A56" s="1" t="s">
        <v>209</v>
      </c>
      <c r="B56" s="1">
        <v>1.0</v>
      </c>
      <c r="C56" s="1">
        <v>4.0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</row>
    <row r="57">
      <c r="A57" s="1" t="s">
        <v>221</v>
      </c>
      <c r="B57" s="1">
        <v>4.0</v>
      </c>
      <c r="C57" s="1">
        <v>16.0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</row>
    <row r="58">
      <c r="A58" s="1" t="s">
        <v>195</v>
      </c>
      <c r="B58" s="1">
        <v>3.0</v>
      </c>
      <c r="C58" s="1">
        <v>12.0</v>
      </c>
      <c r="D58" s="1">
        <v>2.0</v>
      </c>
      <c r="E58" s="1">
        <v>1.0</v>
      </c>
      <c r="F58" s="1">
        <v>1.0</v>
      </c>
      <c r="G58" s="1">
        <v>0.0</v>
      </c>
      <c r="H58" s="1">
        <v>0.33</v>
      </c>
      <c r="I58" s="1">
        <v>50.0</v>
      </c>
    </row>
    <row r="59">
      <c r="A59" s="1" t="s">
        <v>202</v>
      </c>
      <c r="B59" s="1">
        <v>3.0</v>
      </c>
      <c r="C59" s="1">
        <v>12.0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</row>
    <row r="60">
      <c r="A60" s="1" t="s">
        <v>178</v>
      </c>
      <c r="B60" s="1">
        <v>4.0</v>
      </c>
      <c r="C60" s="1">
        <v>16.0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</row>
    <row r="61">
      <c r="A61" s="1" t="s">
        <v>240</v>
      </c>
      <c r="B61" s="1">
        <v>2.0</v>
      </c>
      <c r="C61" s="1">
        <v>8.0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</row>
    <row r="62">
      <c r="A62" s="1" t="s">
        <v>225</v>
      </c>
      <c r="B62" s="1">
        <v>4.0</v>
      </c>
      <c r="C62" s="1">
        <v>16.0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</row>
    <row r="63">
      <c r="A63" s="1" t="s">
        <v>181</v>
      </c>
      <c r="B63" s="1">
        <v>4.0</v>
      </c>
      <c r="C63" s="1">
        <v>16.0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</row>
    <row r="64">
      <c r="A64" s="1" t="s">
        <v>229</v>
      </c>
      <c r="B64" s="1">
        <v>4.0</v>
      </c>
      <c r="C64" s="1">
        <v>16.0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</row>
    <row r="65">
      <c r="A65" s="1" t="s">
        <v>224</v>
      </c>
      <c r="B65" s="1">
        <v>2.0</v>
      </c>
      <c r="C65" s="1">
        <v>8.0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</row>
    <row r="66">
      <c r="A66" s="1" t="s">
        <v>167</v>
      </c>
      <c r="B66" s="1">
        <v>4.0</v>
      </c>
      <c r="C66" s="1">
        <v>16.0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</row>
    <row r="67">
      <c r="A67" s="1" t="s">
        <v>185</v>
      </c>
      <c r="B67" s="1">
        <v>4.0</v>
      </c>
      <c r="C67" s="1">
        <v>16.0</v>
      </c>
      <c r="D67" s="1">
        <v>1.0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</row>
    <row r="68">
      <c r="A68" s="1" t="s">
        <v>171</v>
      </c>
      <c r="B68" s="1">
        <v>4.0</v>
      </c>
      <c r="C68" s="1">
        <v>16.0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</row>
    <row r="69">
      <c r="A69" s="1" t="s">
        <v>239</v>
      </c>
      <c r="B69" s="1">
        <v>1.0</v>
      </c>
      <c r="C69" s="1">
        <v>4.0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</row>
    <row r="70">
      <c r="A70" s="1" t="s">
        <v>196</v>
      </c>
      <c r="B70" s="1">
        <v>3.0</v>
      </c>
      <c r="C70" s="1">
        <v>12.0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</row>
    <row r="71">
      <c r="A71" s="1" t="s">
        <v>197</v>
      </c>
      <c r="B71" s="1">
        <v>3.0</v>
      </c>
      <c r="C71" s="1">
        <v>12.0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>
      <c r="A72" s="1" t="s">
        <v>200</v>
      </c>
      <c r="B72" s="1">
        <v>4.0</v>
      </c>
      <c r="C72" s="1">
        <v>16.0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>
      <c r="A73" s="1" t="s">
        <v>184</v>
      </c>
      <c r="B73" s="1">
        <v>4.0</v>
      </c>
      <c r="C73" s="1">
        <v>16.0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>
      <c r="A74" s="1" t="s">
        <v>207</v>
      </c>
      <c r="B74" s="1">
        <v>4.0</v>
      </c>
      <c r="C74" s="1">
        <v>16.0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>
      <c r="A75" s="1" t="s">
        <v>231</v>
      </c>
      <c r="B75" s="1">
        <v>4.0</v>
      </c>
      <c r="C75" s="1">
        <v>16.0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>
      <c r="A76" s="1" t="s">
        <v>243</v>
      </c>
      <c r="B76" s="1">
        <v>4.0</v>
      </c>
      <c r="C76" s="1">
        <v>16.0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>
      <c r="A77" s="1" t="s">
        <v>182</v>
      </c>
      <c r="B77" s="1">
        <v>4.0</v>
      </c>
      <c r="C77" s="1">
        <v>16.0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>
      <c r="A78" s="1" t="s">
        <v>241</v>
      </c>
      <c r="B78" s="1">
        <v>1.0</v>
      </c>
      <c r="C78" s="1">
        <v>4.0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</row>
    <row r="79">
      <c r="A79" s="1" t="s">
        <v>234</v>
      </c>
      <c r="B79" s="1">
        <v>4.0</v>
      </c>
      <c r="C79" s="1">
        <v>16.0</v>
      </c>
      <c r="D79" s="1">
        <v>1.0</v>
      </c>
      <c r="E79" s="1">
        <v>0.0</v>
      </c>
      <c r="F79" s="1">
        <v>1.0</v>
      </c>
      <c r="G79" s="1">
        <v>-1.0</v>
      </c>
      <c r="H79" s="1">
        <v>0.25</v>
      </c>
      <c r="I79" s="1">
        <v>0.0</v>
      </c>
    </row>
    <row r="80">
      <c r="A80" s="1" t="s">
        <v>242</v>
      </c>
      <c r="B80" s="1">
        <v>4.0</v>
      </c>
      <c r="C80" s="1">
        <v>16.0</v>
      </c>
      <c r="D80" s="1">
        <v>3.0</v>
      </c>
      <c r="E80" s="1">
        <v>0.0</v>
      </c>
      <c r="F80" s="1">
        <v>2.0</v>
      </c>
      <c r="G80" s="1">
        <v>-2.0</v>
      </c>
      <c r="H80" s="1">
        <v>0.5</v>
      </c>
      <c r="I80" s="1">
        <v>0.0</v>
      </c>
    </row>
    <row r="81">
      <c r="A81" s="1" t="s">
        <v>205</v>
      </c>
      <c r="B81" s="1">
        <v>2.0</v>
      </c>
      <c r="C81" s="1">
        <v>8.0</v>
      </c>
      <c r="D81" s="1">
        <v>3.0</v>
      </c>
      <c r="E81" s="1">
        <v>0.0</v>
      </c>
      <c r="F81" s="1">
        <v>1.0</v>
      </c>
      <c r="G81" s="1">
        <v>-2.0</v>
      </c>
      <c r="H81" s="1">
        <v>0.5</v>
      </c>
      <c r="I81" s="1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174</v>
      </c>
      <c r="B2" s="1">
        <v>4.0</v>
      </c>
      <c r="C2" s="1">
        <v>32.0</v>
      </c>
      <c r="D2" s="1">
        <v>34.0</v>
      </c>
      <c r="E2" s="1">
        <v>25.0</v>
      </c>
      <c r="F2" s="1">
        <v>0.0</v>
      </c>
      <c r="G2" s="1">
        <v>25.0</v>
      </c>
      <c r="H2" s="1">
        <v>0.0</v>
      </c>
      <c r="I2" s="1">
        <v>73.53</v>
      </c>
    </row>
    <row r="3">
      <c r="A3" s="1" t="s">
        <v>245</v>
      </c>
      <c r="B3" s="1">
        <v>3.0</v>
      </c>
      <c r="C3" s="1">
        <v>24.0</v>
      </c>
      <c r="D3" s="1">
        <v>31.0</v>
      </c>
      <c r="E3" s="1">
        <v>19.0</v>
      </c>
      <c r="F3" s="1">
        <v>6.0</v>
      </c>
      <c r="G3" s="1">
        <v>17.33</v>
      </c>
      <c r="H3" s="1">
        <v>2.0</v>
      </c>
      <c r="I3" s="1">
        <v>61.29</v>
      </c>
    </row>
    <row r="4">
      <c r="A4" s="1" t="s">
        <v>165</v>
      </c>
      <c r="B4" s="1">
        <v>4.0</v>
      </c>
      <c r="C4" s="1">
        <v>32.0</v>
      </c>
      <c r="D4" s="1">
        <v>45.0</v>
      </c>
      <c r="E4" s="1">
        <v>24.0</v>
      </c>
      <c r="F4" s="1">
        <v>7.0</v>
      </c>
      <c r="G4" s="1">
        <v>17.0</v>
      </c>
      <c r="H4" s="1">
        <v>1.75</v>
      </c>
      <c r="I4" s="1">
        <v>53.33</v>
      </c>
    </row>
    <row r="5">
      <c r="A5" s="1" t="s">
        <v>214</v>
      </c>
      <c r="B5" s="1">
        <v>2.0</v>
      </c>
      <c r="C5" s="1">
        <v>16.0</v>
      </c>
      <c r="D5" s="1">
        <v>16.0</v>
      </c>
      <c r="E5" s="1">
        <v>10.0</v>
      </c>
      <c r="F5" s="1">
        <v>2.0</v>
      </c>
      <c r="G5" s="1">
        <v>16.0</v>
      </c>
      <c r="H5" s="1">
        <v>1.0</v>
      </c>
      <c r="I5" s="1">
        <v>62.5</v>
      </c>
    </row>
    <row r="6">
      <c r="A6" s="1" t="s">
        <v>239</v>
      </c>
      <c r="B6" s="1">
        <v>3.0</v>
      </c>
      <c r="C6" s="1">
        <v>24.0</v>
      </c>
      <c r="D6" s="1">
        <v>22.0</v>
      </c>
      <c r="E6" s="1">
        <v>12.0</v>
      </c>
      <c r="F6" s="1">
        <v>3.0</v>
      </c>
      <c r="G6" s="1">
        <v>12.0</v>
      </c>
      <c r="H6" s="1">
        <v>1.0</v>
      </c>
      <c r="I6" s="1">
        <v>54.55</v>
      </c>
    </row>
    <row r="7">
      <c r="A7" s="1" t="s">
        <v>193</v>
      </c>
      <c r="B7" s="1">
        <v>5.0</v>
      </c>
      <c r="C7" s="1">
        <v>40.0</v>
      </c>
      <c r="D7" s="1">
        <v>26.0</v>
      </c>
      <c r="E7" s="1">
        <v>16.0</v>
      </c>
      <c r="F7" s="1">
        <v>4.0</v>
      </c>
      <c r="G7" s="1">
        <v>9.6</v>
      </c>
      <c r="H7" s="1">
        <v>0.8</v>
      </c>
      <c r="I7" s="1">
        <v>61.54</v>
      </c>
    </row>
    <row r="8">
      <c r="A8" s="1" t="s">
        <v>167</v>
      </c>
      <c r="B8" s="1">
        <v>3.0</v>
      </c>
      <c r="C8" s="1">
        <v>24.0</v>
      </c>
      <c r="D8" s="1">
        <v>30.0</v>
      </c>
      <c r="E8" s="1">
        <v>10.0</v>
      </c>
      <c r="F8" s="1">
        <v>3.0</v>
      </c>
      <c r="G8" s="1">
        <v>9.33</v>
      </c>
      <c r="H8" s="1">
        <v>1.0</v>
      </c>
      <c r="I8" s="1">
        <v>33.33</v>
      </c>
    </row>
    <row r="9">
      <c r="A9" s="1" t="s">
        <v>246</v>
      </c>
      <c r="B9" s="1">
        <v>1.0</v>
      </c>
      <c r="C9" s="1">
        <v>8.0</v>
      </c>
      <c r="D9" s="1">
        <v>3.0</v>
      </c>
      <c r="E9" s="1">
        <v>2.0</v>
      </c>
      <c r="F9" s="1">
        <v>0.0</v>
      </c>
      <c r="G9" s="1">
        <v>8.0</v>
      </c>
      <c r="H9" s="1">
        <v>0.0</v>
      </c>
      <c r="I9" s="1">
        <v>66.67</v>
      </c>
    </row>
    <row r="10">
      <c r="A10" s="1" t="s">
        <v>247</v>
      </c>
      <c r="B10" s="1">
        <v>4.0</v>
      </c>
      <c r="C10" s="1">
        <v>32.0</v>
      </c>
      <c r="D10" s="1">
        <v>36.0</v>
      </c>
      <c r="E10" s="1">
        <v>19.0</v>
      </c>
      <c r="F10" s="1">
        <v>11.0</v>
      </c>
      <c r="G10" s="1">
        <v>8.0</v>
      </c>
      <c r="H10" s="1">
        <v>2.75</v>
      </c>
      <c r="I10" s="1">
        <v>52.78</v>
      </c>
    </row>
    <row r="11">
      <c r="A11" s="1" t="s">
        <v>248</v>
      </c>
      <c r="B11" s="1">
        <v>2.0</v>
      </c>
      <c r="C11" s="1">
        <v>16.0</v>
      </c>
      <c r="D11" s="1">
        <v>10.0</v>
      </c>
      <c r="E11" s="1">
        <v>6.0</v>
      </c>
      <c r="F11" s="1">
        <v>2.0</v>
      </c>
      <c r="G11" s="1">
        <v>8.0</v>
      </c>
      <c r="H11" s="1">
        <v>1.0</v>
      </c>
      <c r="I11" s="1">
        <v>60.0</v>
      </c>
    </row>
    <row r="12">
      <c r="A12" s="1" t="s">
        <v>190</v>
      </c>
      <c r="B12" s="1">
        <v>5.0</v>
      </c>
      <c r="C12" s="1">
        <v>40.0</v>
      </c>
      <c r="D12" s="1">
        <v>32.0</v>
      </c>
      <c r="E12" s="1">
        <v>16.0</v>
      </c>
      <c r="F12" s="1">
        <v>7.0</v>
      </c>
      <c r="G12" s="1">
        <v>7.2</v>
      </c>
      <c r="H12" s="1">
        <v>1.4</v>
      </c>
      <c r="I12" s="1">
        <v>50.0</v>
      </c>
    </row>
    <row r="13">
      <c r="A13" s="1" t="s">
        <v>211</v>
      </c>
      <c r="B13" s="1">
        <v>3.0</v>
      </c>
      <c r="C13" s="1">
        <v>24.0</v>
      </c>
      <c r="D13" s="1">
        <v>6.0</v>
      </c>
      <c r="E13" s="1">
        <v>5.0</v>
      </c>
      <c r="F13" s="1">
        <v>0.0</v>
      </c>
      <c r="G13" s="1">
        <v>6.67</v>
      </c>
      <c r="H13" s="1">
        <v>0.0</v>
      </c>
      <c r="I13" s="1">
        <v>83.33</v>
      </c>
    </row>
    <row r="14">
      <c r="A14" s="1" t="s">
        <v>179</v>
      </c>
      <c r="B14" s="1">
        <v>3.0</v>
      </c>
      <c r="C14" s="1">
        <v>24.0</v>
      </c>
      <c r="D14" s="1">
        <v>16.0</v>
      </c>
      <c r="E14" s="1">
        <v>7.0</v>
      </c>
      <c r="F14" s="1">
        <v>2.0</v>
      </c>
      <c r="G14" s="1">
        <v>6.67</v>
      </c>
      <c r="H14" s="1">
        <v>0.67</v>
      </c>
      <c r="I14" s="1">
        <v>43.75</v>
      </c>
    </row>
    <row r="15">
      <c r="A15" s="1" t="s">
        <v>189</v>
      </c>
      <c r="B15" s="1">
        <v>2.0</v>
      </c>
      <c r="C15" s="1">
        <v>16.0</v>
      </c>
      <c r="D15" s="1">
        <v>3.0</v>
      </c>
      <c r="E15" s="1">
        <v>3.0</v>
      </c>
      <c r="F15" s="1">
        <v>0.0</v>
      </c>
      <c r="G15" s="1">
        <v>6.0</v>
      </c>
      <c r="H15" s="1">
        <v>0.0</v>
      </c>
      <c r="I15" s="1">
        <v>100.0</v>
      </c>
    </row>
    <row r="16">
      <c r="A16" s="1" t="s">
        <v>220</v>
      </c>
      <c r="B16" s="1">
        <v>3.0</v>
      </c>
      <c r="C16" s="1">
        <v>24.0</v>
      </c>
      <c r="D16" s="1">
        <v>4.0</v>
      </c>
      <c r="E16" s="1">
        <v>4.0</v>
      </c>
      <c r="F16" s="1">
        <v>0.0</v>
      </c>
      <c r="G16" s="1">
        <v>5.33</v>
      </c>
      <c r="H16" s="1">
        <v>0.0</v>
      </c>
      <c r="I16" s="1">
        <v>100.0</v>
      </c>
    </row>
    <row r="17">
      <c r="A17" s="1" t="s">
        <v>249</v>
      </c>
      <c r="B17" s="1">
        <v>2.0</v>
      </c>
      <c r="C17" s="1">
        <v>16.0</v>
      </c>
      <c r="D17" s="1">
        <v>13.0</v>
      </c>
      <c r="E17" s="1">
        <v>4.0</v>
      </c>
      <c r="F17" s="1">
        <v>2.0</v>
      </c>
      <c r="G17" s="1">
        <v>4.0</v>
      </c>
      <c r="H17" s="1">
        <v>1.0</v>
      </c>
      <c r="I17" s="1">
        <v>30.77</v>
      </c>
    </row>
    <row r="18">
      <c r="A18" s="1" t="s">
        <v>182</v>
      </c>
      <c r="B18" s="1">
        <v>5.0</v>
      </c>
      <c r="C18" s="1">
        <v>40.0</v>
      </c>
      <c r="D18" s="1">
        <v>23.0</v>
      </c>
      <c r="E18" s="1">
        <v>10.0</v>
      </c>
      <c r="F18" s="1">
        <v>5.0</v>
      </c>
      <c r="G18" s="1">
        <v>4.0</v>
      </c>
      <c r="H18" s="1">
        <v>1.0</v>
      </c>
      <c r="I18" s="1">
        <v>43.48</v>
      </c>
    </row>
    <row r="19">
      <c r="A19" s="1" t="s">
        <v>250</v>
      </c>
      <c r="B19" s="1">
        <v>1.0</v>
      </c>
      <c r="C19" s="1">
        <v>8.0</v>
      </c>
      <c r="D19" s="1">
        <v>1.0</v>
      </c>
      <c r="E19" s="1">
        <v>1.0</v>
      </c>
      <c r="F19" s="1">
        <v>0.0</v>
      </c>
      <c r="G19" s="1">
        <v>4.0</v>
      </c>
      <c r="H19" s="1">
        <v>0.0</v>
      </c>
      <c r="I19" s="1">
        <v>100.0</v>
      </c>
    </row>
    <row r="20">
      <c r="A20" s="1" t="s">
        <v>244</v>
      </c>
      <c r="B20" s="1">
        <v>1.0</v>
      </c>
      <c r="C20" s="1">
        <v>8.0</v>
      </c>
      <c r="D20" s="1">
        <v>5.0</v>
      </c>
      <c r="E20" s="1">
        <v>1.0</v>
      </c>
      <c r="F20" s="1">
        <v>0.0</v>
      </c>
      <c r="G20" s="1">
        <v>4.0</v>
      </c>
      <c r="H20" s="1">
        <v>0.0</v>
      </c>
      <c r="I20" s="1">
        <v>20.0</v>
      </c>
    </row>
    <row r="21">
      <c r="A21" s="1" t="s">
        <v>191</v>
      </c>
      <c r="B21" s="1">
        <v>2.0</v>
      </c>
      <c r="C21" s="1">
        <v>16.0</v>
      </c>
      <c r="D21" s="1">
        <v>4.0</v>
      </c>
      <c r="E21" s="1">
        <v>3.0</v>
      </c>
      <c r="F21" s="1">
        <v>1.0</v>
      </c>
      <c r="G21" s="1">
        <v>4.0</v>
      </c>
      <c r="H21" s="1">
        <v>0.5</v>
      </c>
      <c r="I21" s="1">
        <v>75.0</v>
      </c>
    </row>
    <row r="22">
      <c r="A22" s="1" t="s">
        <v>251</v>
      </c>
      <c r="B22" s="1">
        <v>1.0</v>
      </c>
      <c r="C22" s="1">
        <v>8.0</v>
      </c>
      <c r="D22" s="1">
        <v>3.0</v>
      </c>
      <c r="E22" s="1">
        <v>1.0</v>
      </c>
      <c r="F22" s="1">
        <v>0.0</v>
      </c>
      <c r="G22" s="1">
        <v>4.0</v>
      </c>
      <c r="H22" s="1">
        <v>0.0</v>
      </c>
      <c r="I22" s="1">
        <v>33.33</v>
      </c>
    </row>
    <row r="23">
      <c r="A23" s="1" t="s">
        <v>252</v>
      </c>
      <c r="B23" s="1">
        <v>1.0</v>
      </c>
      <c r="C23" s="1">
        <v>8.0</v>
      </c>
      <c r="D23" s="1">
        <v>5.0</v>
      </c>
      <c r="E23" s="1">
        <v>2.0</v>
      </c>
      <c r="F23" s="1">
        <v>1.0</v>
      </c>
      <c r="G23" s="1">
        <v>4.0</v>
      </c>
      <c r="H23" s="1">
        <v>1.0</v>
      </c>
      <c r="I23" s="1">
        <v>40.0</v>
      </c>
    </row>
    <row r="24">
      <c r="A24" s="1" t="s">
        <v>229</v>
      </c>
      <c r="B24" s="1">
        <v>3.0</v>
      </c>
      <c r="C24" s="1">
        <v>24.0</v>
      </c>
      <c r="D24" s="1">
        <v>9.0</v>
      </c>
      <c r="E24" s="1">
        <v>4.0</v>
      </c>
      <c r="F24" s="1">
        <v>1.0</v>
      </c>
      <c r="G24" s="1">
        <v>4.0</v>
      </c>
      <c r="H24" s="1">
        <v>0.33</v>
      </c>
      <c r="I24" s="1">
        <v>44.44</v>
      </c>
    </row>
    <row r="25">
      <c r="A25" s="1" t="s">
        <v>253</v>
      </c>
      <c r="B25" s="1">
        <v>5.0</v>
      </c>
      <c r="C25" s="1">
        <v>40.0</v>
      </c>
      <c r="D25" s="1">
        <v>30.0</v>
      </c>
      <c r="E25" s="1">
        <v>14.0</v>
      </c>
      <c r="F25" s="1">
        <v>10.0</v>
      </c>
      <c r="G25" s="1">
        <v>3.2</v>
      </c>
      <c r="H25" s="1">
        <v>2.0</v>
      </c>
      <c r="I25" s="1">
        <v>46.67</v>
      </c>
    </row>
    <row r="26">
      <c r="A26" s="1" t="s">
        <v>194</v>
      </c>
      <c r="B26" s="1">
        <v>2.0</v>
      </c>
      <c r="C26" s="1">
        <v>16.0</v>
      </c>
      <c r="D26" s="1">
        <v>4.0</v>
      </c>
      <c r="E26" s="1">
        <v>2.0</v>
      </c>
      <c r="F26" s="1">
        <v>1.0</v>
      </c>
      <c r="G26" s="1">
        <v>2.0</v>
      </c>
      <c r="H26" s="1">
        <v>0.5</v>
      </c>
      <c r="I26" s="1">
        <v>50.0</v>
      </c>
    </row>
    <row r="27">
      <c r="A27" s="1" t="s">
        <v>231</v>
      </c>
      <c r="B27" s="1">
        <v>2.0</v>
      </c>
      <c r="C27" s="1">
        <v>16.0</v>
      </c>
      <c r="D27" s="1">
        <v>2.0</v>
      </c>
      <c r="E27" s="1">
        <v>1.0</v>
      </c>
      <c r="F27" s="1">
        <v>0.0</v>
      </c>
      <c r="G27" s="1">
        <v>2.0</v>
      </c>
      <c r="H27" s="1">
        <v>0.0</v>
      </c>
      <c r="I27" s="1">
        <v>50.0</v>
      </c>
    </row>
    <row r="28">
      <c r="A28" s="1" t="s">
        <v>199</v>
      </c>
      <c r="B28" s="1">
        <v>2.0</v>
      </c>
      <c r="C28" s="1">
        <v>16.0</v>
      </c>
      <c r="D28" s="1">
        <v>5.0</v>
      </c>
      <c r="E28" s="1">
        <v>2.0</v>
      </c>
      <c r="F28" s="1">
        <v>1.0</v>
      </c>
      <c r="G28" s="1">
        <v>2.0</v>
      </c>
      <c r="H28" s="1">
        <v>0.5</v>
      </c>
      <c r="I28" s="1">
        <v>40.0</v>
      </c>
    </row>
    <row r="29">
      <c r="A29" s="1" t="s">
        <v>217</v>
      </c>
      <c r="B29" s="1">
        <v>3.0</v>
      </c>
      <c r="C29" s="1">
        <v>24.0</v>
      </c>
      <c r="D29" s="1">
        <v>8.0</v>
      </c>
      <c r="E29" s="1">
        <v>3.0</v>
      </c>
      <c r="F29" s="1">
        <v>2.0</v>
      </c>
      <c r="G29" s="1">
        <v>1.33</v>
      </c>
      <c r="H29" s="1">
        <v>0.67</v>
      </c>
      <c r="I29" s="1">
        <v>37.5</v>
      </c>
    </row>
    <row r="30">
      <c r="A30" s="1" t="s">
        <v>254</v>
      </c>
      <c r="B30" s="1">
        <v>4.0</v>
      </c>
      <c r="C30" s="1">
        <v>32.0</v>
      </c>
      <c r="D30" s="1">
        <v>6.0</v>
      </c>
      <c r="E30" s="1">
        <v>3.0</v>
      </c>
      <c r="F30" s="1">
        <v>2.0</v>
      </c>
      <c r="G30" s="1">
        <v>1.0</v>
      </c>
      <c r="H30" s="1">
        <v>0.5</v>
      </c>
      <c r="I30" s="1">
        <v>50.0</v>
      </c>
    </row>
    <row r="31">
      <c r="A31" s="1" t="s">
        <v>166</v>
      </c>
      <c r="B31" s="1">
        <v>1.0</v>
      </c>
      <c r="C31" s="1">
        <v>8.0</v>
      </c>
      <c r="D31" s="1">
        <v>5.0</v>
      </c>
      <c r="E31" s="1">
        <v>2.0</v>
      </c>
      <c r="F31" s="1">
        <v>2.0</v>
      </c>
      <c r="G31" s="1">
        <v>0.0</v>
      </c>
      <c r="H31" s="1">
        <v>2.0</v>
      </c>
      <c r="I31" s="1">
        <v>40.0</v>
      </c>
    </row>
    <row r="32">
      <c r="A32" s="1" t="s">
        <v>255</v>
      </c>
      <c r="B32" s="1">
        <v>1.0</v>
      </c>
      <c r="C32" s="1">
        <v>8.0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>
      <c r="A33" s="1" t="s">
        <v>256</v>
      </c>
      <c r="B33" s="1">
        <v>1.0</v>
      </c>
      <c r="C33" s="1">
        <v>8.0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234</v>
      </c>
      <c r="B34" s="1">
        <v>1.0</v>
      </c>
      <c r="C34" s="1">
        <v>8.0</v>
      </c>
      <c r="D34" s="1">
        <v>2.0</v>
      </c>
      <c r="E34" s="1">
        <v>1.0</v>
      </c>
      <c r="F34" s="1">
        <v>1.0</v>
      </c>
      <c r="G34" s="1">
        <v>0.0</v>
      </c>
      <c r="H34" s="1">
        <v>1.0</v>
      </c>
      <c r="I34" s="1">
        <v>50.0</v>
      </c>
    </row>
    <row r="35">
      <c r="A35" s="1" t="s">
        <v>257</v>
      </c>
      <c r="B35" s="1">
        <v>1.0</v>
      </c>
      <c r="C35" s="1">
        <v>8.0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223</v>
      </c>
      <c r="B36" s="1">
        <v>3.0</v>
      </c>
      <c r="C36" s="1">
        <v>24.0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192</v>
      </c>
      <c r="B37" s="1">
        <v>3.0</v>
      </c>
      <c r="C37" s="1">
        <v>24.0</v>
      </c>
      <c r="D37" s="1">
        <v>8.0</v>
      </c>
      <c r="E37" s="1">
        <v>2.0</v>
      </c>
      <c r="F37" s="1">
        <v>2.0</v>
      </c>
      <c r="G37" s="1">
        <v>0.0</v>
      </c>
      <c r="H37" s="1">
        <v>0.67</v>
      </c>
      <c r="I37" s="1">
        <v>25.0</v>
      </c>
    </row>
    <row r="38">
      <c r="A38" s="1" t="s">
        <v>212</v>
      </c>
      <c r="B38" s="1">
        <v>1.0</v>
      </c>
      <c r="C38" s="1">
        <v>8.0</v>
      </c>
      <c r="D38" s="1">
        <v>2.0</v>
      </c>
      <c r="E38" s="1">
        <v>1.0</v>
      </c>
      <c r="F38" s="1">
        <v>1.0</v>
      </c>
      <c r="G38" s="1">
        <v>0.0</v>
      </c>
      <c r="H38" s="1">
        <v>1.0</v>
      </c>
      <c r="I38" s="1">
        <v>50.0</v>
      </c>
    </row>
    <row r="39">
      <c r="A39" s="1" t="s">
        <v>258</v>
      </c>
      <c r="B39" s="1">
        <v>3.0</v>
      </c>
      <c r="C39" s="1">
        <v>24.0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221</v>
      </c>
      <c r="B40" s="1">
        <v>3.0</v>
      </c>
      <c r="C40" s="1">
        <v>24.0</v>
      </c>
      <c r="D40" s="1">
        <v>5.0</v>
      </c>
      <c r="E40" s="1">
        <v>1.0</v>
      </c>
      <c r="F40" s="1">
        <v>2.0</v>
      </c>
      <c r="G40" s="1">
        <v>-1.33</v>
      </c>
      <c r="H40" s="1">
        <v>0.67</v>
      </c>
      <c r="I40" s="1">
        <v>20.0</v>
      </c>
    </row>
    <row r="41">
      <c r="A41" s="1" t="s">
        <v>208</v>
      </c>
      <c r="B41" s="1">
        <v>3.0</v>
      </c>
      <c r="C41" s="1">
        <v>24.0</v>
      </c>
      <c r="D41" s="1">
        <v>7.0</v>
      </c>
      <c r="E41" s="1">
        <v>1.0</v>
      </c>
      <c r="F41" s="1">
        <v>2.0</v>
      </c>
      <c r="G41" s="1">
        <v>-1.33</v>
      </c>
      <c r="H41" s="1">
        <v>0.67</v>
      </c>
      <c r="I41" s="1">
        <v>14.29</v>
      </c>
    </row>
    <row r="42">
      <c r="A42" s="1" t="s">
        <v>233</v>
      </c>
      <c r="B42" s="1">
        <v>3.0</v>
      </c>
      <c r="C42" s="1">
        <v>24.0</v>
      </c>
      <c r="D42" s="1">
        <v>1.0</v>
      </c>
      <c r="E42" s="1">
        <v>0.0</v>
      </c>
      <c r="F42" s="1">
        <v>1.0</v>
      </c>
      <c r="G42" s="1">
        <v>-1.33</v>
      </c>
      <c r="H42" s="1">
        <v>0.33</v>
      </c>
      <c r="I42" s="1">
        <v>0.0</v>
      </c>
    </row>
    <row r="43">
      <c r="A43" s="1" t="s">
        <v>237</v>
      </c>
      <c r="B43" s="1">
        <v>4.0</v>
      </c>
      <c r="C43" s="1">
        <v>32.0</v>
      </c>
      <c r="D43" s="1">
        <v>11.0</v>
      </c>
      <c r="E43" s="1">
        <v>3.0</v>
      </c>
      <c r="F43" s="1">
        <v>5.0</v>
      </c>
      <c r="G43" s="1">
        <v>-2.0</v>
      </c>
      <c r="H43" s="1">
        <v>1.25</v>
      </c>
      <c r="I43" s="1">
        <v>27.27</v>
      </c>
    </row>
    <row r="44">
      <c r="A44" s="1" t="s">
        <v>198</v>
      </c>
      <c r="B44" s="1">
        <v>3.0</v>
      </c>
      <c r="C44" s="1">
        <v>24.0</v>
      </c>
      <c r="D44" s="1">
        <v>9.0</v>
      </c>
      <c r="E44" s="1">
        <v>2.0</v>
      </c>
      <c r="F44" s="1">
        <v>4.0</v>
      </c>
      <c r="G44" s="1">
        <v>-2.67</v>
      </c>
      <c r="H44" s="1">
        <v>1.33</v>
      </c>
      <c r="I44" s="1">
        <v>22.22</v>
      </c>
    </row>
    <row r="45">
      <c r="A45" s="1" t="s">
        <v>238</v>
      </c>
      <c r="B45" s="1">
        <v>1.0</v>
      </c>
      <c r="C45" s="1">
        <v>8.0</v>
      </c>
      <c r="D45" s="1">
        <v>1.0</v>
      </c>
      <c r="E45" s="1">
        <v>0.0</v>
      </c>
      <c r="F45" s="1">
        <v>1.0</v>
      </c>
      <c r="G45" s="1">
        <v>-4.0</v>
      </c>
      <c r="H45" s="1">
        <v>1.0</v>
      </c>
      <c r="I45" s="1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239</v>
      </c>
      <c r="B2" s="1">
        <v>3.0</v>
      </c>
      <c r="C2" s="1">
        <v>12.0</v>
      </c>
      <c r="D2" s="1">
        <v>4.0</v>
      </c>
      <c r="E2" s="1">
        <v>3.0</v>
      </c>
      <c r="F2" s="1">
        <v>0.0</v>
      </c>
      <c r="G2" s="1">
        <v>4.0</v>
      </c>
      <c r="H2" s="1">
        <v>0.0</v>
      </c>
      <c r="I2" s="1">
        <v>75.0</v>
      </c>
    </row>
    <row r="3">
      <c r="A3" s="1" t="s">
        <v>174</v>
      </c>
      <c r="B3" s="1">
        <v>4.0</v>
      </c>
      <c r="C3" s="1">
        <v>16.0</v>
      </c>
      <c r="D3" s="1">
        <v>4.0</v>
      </c>
      <c r="E3" s="1">
        <v>4.0</v>
      </c>
      <c r="F3" s="1">
        <v>0.0</v>
      </c>
      <c r="G3" s="1">
        <v>4.0</v>
      </c>
      <c r="H3" s="1">
        <v>0.0</v>
      </c>
      <c r="I3" s="1">
        <v>100.0</v>
      </c>
    </row>
    <row r="4">
      <c r="A4" s="1" t="s">
        <v>249</v>
      </c>
      <c r="B4" s="1">
        <v>2.0</v>
      </c>
      <c r="C4" s="1">
        <v>8.0</v>
      </c>
      <c r="D4" s="1">
        <v>3.0</v>
      </c>
      <c r="E4" s="1">
        <v>2.0</v>
      </c>
      <c r="F4" s="1">
        <v>0.0</v>
      </c>
      <c r="G4" s="1">
        <v>4.0</v>
      </c>
      <c r="H4" s="1">
        <v>0.0</v>
      </c>
      <c r="I4" s="1">
        <v>66.67</v>
      </c>
    </row>
    <row r="5">
      <c r="A5" s="1" t="s">
        <v>179</v>
      </c>
      <c r="B5" s="1">
        <v>3.0</v>
      </c>
      <c r="C5" s="1">
        <v>12.0</v>
      </c>
      <c r="D5" s="1">
        <v>3.0</v>
      </c>
      <c r="E5" s="1">
        <v>2.0</v>
      </c>
      <c r="F5" s="1">
        <v>0.0</v>
      </c>
      <c r="G5" s="1">
        <v>2.67</v>
      </c>
      <c r="H5" s="1">
        <v>0.0</v>
      </c>
      <c r="I5" s="1">
        <v>66.67</v>
      </c>
    </row>
    <row r="6">
      <c r="A6" s="1" t="s">
        <v>214</v>
      </c>
      <c r="B6" s="1">
        <v>2.0</v>
      </c>
      <c r="C6" s="1">
        <v>8.0</v>
      </c>
      <c r="D6" s="1">
        <v>3.0</v>
      </c>
      <c r="E6" s="1">
        <v>2.0</v>
      </c>
      <c r="F6" s="1">
        <v>1.0</v>
      </c>
      <c r="G6" s="1">
        <v>2.0</v>
      </c>
      <c r="H6" s="1">
        <v>0.5</v>
      </c>
      <c r="I6" s="1">
        <v>66.67</v>
      </c>
    </row>
    <row r="7">
      <c r="A7" s="1" t="s">
        <v>248</v>
      </c>
      <c r="B7" s="1">
        <v>2.0</v>
      </c>
      <c r="C7" s="1">
        <v>8.0</v>
      </c>
      <c r="D7" s="1">
        <v>1.0</v>
      </c>
      <c r="E7" s="1">
        <v>1.0</v>
      </c>
      <c r="F7" s="1">
        <v>0.0</v>
      </c>
      <c r="G7" s="1">
        <v>2.0</v>
      </c>
      <c r="H7" s="1">
        <v>0.0</v>
      </c>
      <c r="I7" s="1">
        <v>100.0</v>
      </c>
    </row>
    <row r="8">
      <c r="A8" s="1" t="s">
        <v>229</v>
      </c>
      <c r="B8" s="1">
        <v>3.0</v>
      </c>
      <c r="C8" s="1">
        <v>12.0</v>
      </c>
      <c r="D8" s="1">
        <v>1.0</v>
      </c>
      <c r="E8" s="1">
        <v>1.0</v>
      </c>
      <c r="F8" s="1">
        <v>0.0</v>
      </c>
      <c r="G8" s="1">
        <v>1.33</v>
      </c>
      <c r="H8" s="1">
        <v>0.0</v>
      </c>
      <c r="I8" s="1">
        <v>100.0</v>
      </c>
    </row>
    <row r="9">
      <c r="A9" s="1" t="s">
        <v>167</v>
      </c>
      <c r="B9" s="1">
        <v>3.0</v>
      </c>
      <c r="C9" s="1">
        <v>12.0</v>
      </c>
      <c r="D9" s="1">
        <v>6.0</v>
      </c>
      <c r="E9" s="1">
        <v>2.0</v>
      </c>
      <c r="F9" s="1">
        <v>1.0</v>
      </c>
      <c r="G9" s="1">
        <v>1.33</v>
      </c>
      <c r="H9" s="1">
        <v>0.33</v>
      </c>
      <c r="I9" s="1">
        <v>33.33</v>
      </c>
    </row>
    <row r="10">
      <c r="A10" s="1" t="s">
        <v>208</v>
      </c>
      <c r="B10" s="1">
        <v>3.0</v>
      </c>
      <c r="C10" s="1">
        <v>12.0</v>
      </c>
      <c r="D10" s="1">
        <v>2.0</v>
      </c>
      <c r="E10" s="1">
        <v>1.0</v>
      </c>
      <c r="F10" s="1">
        <v>0.0</v>
      </c>
      <c r="G10" s="1">
        <v>1.33</v>
      </c>
      <c r="H10" s="1">
        <v>0.0</v>
      </c>
      <c r="I10" s="1">
        <v>50.0</v>
      </c>
    </row>
    <row r="11">
      <c r="A11" s="1" t="s">
        <v>245</v>
      </c>
      <c r="B11" s="1">
        <v>3.0</v>
      </c>
      <c r="C11" s="1">
        <v>12.0</v>
      </c>
      <c r="D11" s="1">
        <v>4.0</v>
      </c>
      <c r="E11" s="1">
        <v>2.0</v>
      </c>
      <c r="F11" s="1">
        <v>1.0</v>
      </c>
      <c r="G11" s="1">
        <v>1.33</v>
      </c>
      <c r="H11" s="1">
        <v>0.33</v>
      </c>
      <c r="I11" s="1">
        <v>50.0</v>
      </c>
    </row>
    <row r="12">
      <c r="A12" s="1" t="s">
        <v>165</v>
      </c>
      <c r="B12" s="1">
        <v>4.0</v>
      </c>
      <c r="C12" s="1">
        <v>16.0</v>
      </c>
      <c r="D12" s="1">
        <v>5.0</v>
      </c>
      <c r="E12" s="1">
        <v>2.0</v>
      </c>
      <c r="F12" s="1">
        <v>1.0</v>
      </c>
      <c r="G12" s="1">
        <v>1.0</v>
      </c>
      <c r="H12" s="1">
        <v>0.25</v>
      </c>
      <c r="I12" s="1">
        <v>40.0</v>
      </c>
    </row>
    <row r="13">
      <c r="A13" s="1" t="s">
        <v>166</v>
      </c>
      <c r="B13" s="1">
        <v>1.0</v>
      </c>
      <c r="C13" s="1">
        <v>4.0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</row>
    <row r="14">
      <c r="A14" s="1" t="s">
        <v>189</v>
      </c>
      <c r="B14" s="1">
        <v>2.0</v>
      </c>
      <c r="C14" s="1">
        <v>8.0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</row>
    <row r="15">
      <c r="A15" s="1" t="s">
        <v>190</v>
      </c>
      <c r="B15" s="1">
        <v>5.0</v>
      </c>
      <c r="C15" s="1">
        <v>20.0</v>
      </c>
      <c r="D15" s="1">
        <v>2.0</v>
      </c>
      <c r="E15" s="1">
        <v>1.0</v>
      </c>
      <c r="F15" s="1">
        <v>1.0</v>
      </c>
      <c r="G15" s="1">
        <v>0.0</v>
      </c>
      <c r="H15" s="1">
        <v>0.2</v>
      </c>
      <c r="I15" s="1">
        <v>50.0</v>
      </c>
    </row>
    <row r="16">
      <c r="A16" s="1" t="s">
        <v>244</v>
      </c>
      <c r="B16" s="1">
        <v>1.0</v>
      </c>
      <c r="C16" s="1">
        <v>4.0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</row>
    <row r="17">
      <c r="A17" s="1" t="s">
        <v>231</v>
      </c>
      <c r="B17" s="1">
        <v>2.0</v>
      </c>
      <c r="C17" s="1">
        <v>8.0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</row>
    <row r="18">
      <c r="A18" s="1" t="s">
        <v>191</v>
      </c>
      <c r="B18" s="1">
        <v>2.0</v>
      </c>
      <c r="C18" s="1">
        <v>8.0</v>
      </c>
      <c r="D18" s="1">
        <v>2.0</v>
      </c>
      <c r="E18" s="1">
        <v>1.0</v>
      </c>
      <c r="F18" s="1">
        <v>1.0</v>
      </c>
      <c r="G18" s="1">
        <v>0.0</v>
      </c>
      <c r="H18" s="1">
        <v>0.5</v>
      </c>
      <c r="I18" s="1">
        <v>50.0</v>
      </c>
    </row>
    <row r="19">
      <c r="A19" s="1" t="s">
        <v>257</v>
      </c>
      <c r="B19" s="1">
        <v>1.0</v>
      </c>
      <c r="C19" s="1">
        <v>4.0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</row>
    <row r="20">
      <c r="A20" s="1" t="s">
        <v>193</v>
      </c>
      <c r="B20" s="1">
        <v>5.0</v>
      </c>
      <c r="C20" s="1">
        <v>20.0</v>
      </c>
      <c r="D20" s="1">
        <v>3.0</v>
      </c>
      <c r="E20" s="1">
        <v>1.0</v>
      </c>
      <c r="F20" s="1">
        <v>1.0</v>
      </c>
      <c r="G20" s="1">
        <v>0.0</v>
      </c>
      <c r="H20" s="1">
        <v>0.2</v>
      </c>
      <c r="I20" s="1">
        <v>33.33</v>
      </c>
    </row>
    <row r="21">
      <c r="A21" s="1" t="s">
        <v>256</v>
      </c>
      <c r="B21" s="1">
        <v>1.0</v>
      </c>
      <c r="C21" s="1">
        <v>4.0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</row>
    <row r="22">
      <c r="A22" s="1" t="s">
        <v>255</v>
      </c>
      <c r="B22" s="1">
        <v>1.0</v>
      </c>
      <c r="C22" s="1">
        <v>4.0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</row>
    <row r="23">
      <c r="A23" s="1" t="s">
        <v>251</v>
      </c>
      <c r="B23" s="1">
        <v>1.0</v>
      </c>
      <c r="C23" s="1">
        <v>4.0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</row>
    <row r="24">
      <c r="A24" s="1" t="s">
        <v>217</v>
      </c>
      <c r="B24" s="1">
        <v>3.0</v>
      </c>
      <c r="C24" s="1">
        <v>12.0</v>
      </c>
      <c r="D24" s="1">
        <v>1.0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</row>
    <row r="25">
      <c r="A25" s="1" t="s">
        <v>194</v>
      </c>
      <c r="B25" s="1">
        <v>2.0</v>
      </c>
      <c r="C25" s="1">
        <v>8.0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</row>
    <row r="26">
      <c r="A26" s="1" t="s">
        <v>220</v>
      </c>
      <c r="B26" s="1">
        <v>3.0</v>
      </c>
      <c r="C26" s="1">
        <v>12.0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</row>
    <row r="27">
      <c r="A27" s="1" t="s">
        <v>199</v>
      </c>
      <c r="B27" s="1">
        <v>2.0</v>
      </c>
      <c r="C27" s="1">
        <v>8.0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</row>
    <row r="28">
      <c r="A28" s="1" t="s">
        <v>252</v>
      </c>
      <c r="B28" s="1">
        <v>1.0</v>
      </c>
      <c r="C28" s="1">
        <v>4.0</v>
      </c>
      <c r="D28" s="1">
        <v>1.0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</row>
    <row r="29">
      <c r="A29" s="1" t="s">
        <v>254</v>
      </c>
      <c r="B29" s="1">
        <v>4.0</v>
      </c>
      <c r="C29" s="1">
        <v>16.0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</row>
    <row r="30">
      <c r="A30" s="1" t="s">
        <v>234</v>
      </c>
      <c r="B30" s="1">
        <v>1.0</v>
      </c>
      <c r="C30" s="1">
        <v>4.0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</row>
    <row r="31">
      <c r="A31" s="1" t="s">
        <v>198</v>
      </c>
      <c r="B31" s="1">
        <v>3.0</v>
      </c>
      <c r="C31" s="1">
        <v>12.0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</row>
    <row r="32">
      <c r="A32" s="1" t="s">
        <v>223</v>
      </c>
      <c r="B32" s="1">
        <v>3.0</v>
      </c>
      <c r="C32" s="1">
        <v>12.0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>
      <c r="A33" s="1" t="s">
        <v>192</v>
      </c>
      <c r="B33" s="1">
        <v>3.0</v>
      </c>
      <c r="C33" s="1">
        <v>12.0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258</v>
      </c>
      <c r="B34" s="1">
        <v>3.0</v>
      </c>
      <c r="C34" s="1">
        <v>12.0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>
      <c r="A35" s="1" t="s">
        <v>212</v>
      </c>
      <c r="B35" s="1">
        <v>1.0</v>
      </c>
      <c r="C35" s="1">
        <v>4.0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246</v>
      </c>
      <c r="B36" s="1">
        <v>1.0</v>
      </c>
      <c r="C36" s="1">
        <v>4.0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250</v>
      </c>
      <c r="B37" s="1">
        <v>1.0</v>
      </c>
      <c r="C37" s="1">
        <v>4.0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>
      <c r="A38" s="1" t="s">
        <v>211</v>
      </c>
      <c r="B38" s="1">
        <v>3.0</v>
      </c>
      <c r="C38" s="1">
        <v>12.0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233</v>
      </c>
      <c r="B39" s="1">
        <v>3.0</v>
      </c>
      <c r="C39" s="1">
        <v>12.0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237</v>
      </c>
      <c r="B40" s="1">
        <v>4.0</v>
      </c>
      <c r="C40" s="1">
        <v>16.0</v>
      </c>
      <c r="D40" s="1">
        <v>1.0</v>
      </c>
      <c r="E40" s="1">
        <v>0.0</v>
      </c>
      <c r="F40" s="1">
        <v>1.0</v>
      </c>
      <c r="G40" s="1">
        <v>-1.0</v>
      </c>
      <c r="H40" s="1">
        <v>0.25</v>
      </c>
      <c r="I40" s="1">
        <v>0.0</v>
      </c>
    </row>
    <row r="41">
      <c r="A41" s="1" t="s">
        <v>221</v>
      </c>
      <c r="B41" s="1">
        <v>3.0</v>
      </c>
      <c r="C41" s="1">
        <v>12.0</v>
      </c>
      <c r="D41" s="1">
        <v>2.0</v>
      </c>
      <c r="E41" s="1">
        <v>0.0</v>
      </c>
      <c r="F41" s="1">
        <v>1.0</v>
      </c>
      <c r="G41" s="1">
        <v>-1.33</v>
      </c>
      <c r="H41" s="1">
        <v>0.33</v>
      </c>
      <c r="I41" s="1">
        <v>0.0</v>
      </c>
    </row>
    <row r="42">
      <c r="A42" s="1" t="s">
        <v>182</v>
      </c>
      <c r="B42" s="1">
        <v>5.0</v>
      </c>
      <c r="C42" s="1">
        <v>20.0</v>
      </c>
      <c r="D42" s="1">
        <v>9.0</v>
      </c>
      <c r="E42" s="1">
        <v>2.0</v>
      </c>
      <c r="F42" s="1">
        <v>4.0</v>
      </c>
      <c r="G42" s="1">
        <v>-1.6</v>
      </c>
      <c r="H42" s="1">
        <v>0.8</v>
      </c>
      <c r="I42" s="1">
        <v>22.22</v>
      </c>
    </row>
    <row r="43">
      <c r="A43" s="1" t="s">
        <v>247</v>
      </c>
      <c r="B43" s="1">
        <v>4.0</v>
      </c>
      <c r="C43" s="1">
        <v>16.0</v>
      </c>
      <c r="D43" s="1">
        <v>3.0</v>
      </c>
      <c r="E43" s="1">
        <v>0.0</v>
      </c>
      <c r="F43" s="1">
        <v>2.0</v>
      </c>
      <c r="G43" s="1">
        <v>-2.0</v>
      </c>
      <c r="H43" s="1">
        <v>0.5</v>
      </c>
      <c r="I43" s="1">
        <v>0.0</v>
      </c>
    </row>
    <row r="44">
      <c r="A44" s="1" t="s">
        <v>253</v>
      </c>
      <c r="B44" s="1">
        <v>5.0</v>
      </c>
      <c r="C44" s="1">
        <v>20.0</v>
      </c>
      <c r="D44" s="1">
        <v>5.0</v>
      </c>
      <c r="E44" s="1">
        <v>0.0</v>
      </c>
      <c r="F44" s="1">
        <v>3.0</v>
      </c>
      <c r="G44" s="1">
        <v>-2.4</v>
      </c>
      <c r="H44" s="1">
        <v>0.6</v>
      </c>
      <c r="I44" s="1">
        <v>0.0</v>
      </c>
    </row>
    <row r="45">
      <c r="A45" s="1" t="s">
        <v>238</v>
      </c>
      <c r="B45" s="1">
        <v>1.0</v>
      </c>
      <c r="C45" s="1">
        <v>4.0</v>
      </c>
      <c r="D45" s="1">
        <v>1.0</v>
      </c>
      <c r="E45" s="1">
        <v>0.0</v>
      </c>
      <c r="F45" s="1">
        <v>1.0</v>
      </c>
      <c r="G45" s="1">
        <v>-4.0</v>
      </c>
      <c r="H45" s="1">
        <v>1.0</v>
      </c>
      <c r="I45" s="1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253</v>
      </c>
      <c r="B2" s="1">
        <v>5.0</v>
      </c>
      <c r="C2" s="1">
        <v>20.0</v>
      </c>
      <c r="D2" s="1">
        <v>18.0</v>
      </c>
      <c r="E2" s="1">
        <v>12.0</v>
      </c>
      <c r="F2" s="1">
        <v>4.0</v>
      </c>
      <c r="G2" s="1">
        <v>6.4</v>
      </c>
      <c r="H2" s="1">
        <v>0.8</v>
      </c>
      <c r="I2" s="1">
        <v>66.67</v>
      </c>
    </row>
    <row r="3">
      <c r="A3" s="1" t="s">
        <v>245</v>
      </c>
      <c r="B3" s="1">
        <v>3.0</v>
      </c>
      <c r="C3" s="1">
        <v>12.0</v>
      </c>
      <c r="D3" s="1">
        <v>6.0</v>
      </c>
      <c r="E3" s="1">
        <v>5.0</v>
      </c>
      <c r="F3" s="1">
        <v>1.0</v>
      </c>
      <c r="G3" s="1">
        <v>5.33</v>
      </c>
      <c r="H3" s="1">
        <v>0.33</v>
      </c>
      <c r="I3" s="1">
        <v>83.33</v>
      </c>
    </row>
    <row r="4">
      <c r="A4" s="1" t="s">
        <v>174</v>
      </c>
      <c r="B4" s="1">
        <v>4.0</v>
      </c>
      <c r="C4" s="1">
        <v>16.0</v>
      </c>
      <c r="D4" s="1">
        <v>5.0</v>
      </c>
      <c r="E4" s="1">
        <v>5.0</v>
      </c>
      <c r="F4" s="1">
        <v>0.0</v>
      </c>
      <c r="G4" s="1">
        <v>5.0</v>
      </c>
      <c r="H4" s="1">
        <v>0.0</v>
      </c>
      <c r="I4" s="1">
        <v>100.0</v>
      </c>
    </row>
    <row r="5">
      <c r="A5" s="1" t="s">
        <v>190</v>
      </c>
      <c r="B5" s="1">
        <v>5.0</v>
      </c>
      <c r="C5" s="1">
        <v>20.0</v>
      </c>
      <c r="D5" s="1">
        <v>15.0</v>
      </c>
      <c r="E5" s="1">
        <v>8.0</v>
      </c>
      <c r="F5" s="1">
        <v>4.0</v>
      </c>
      <c r="G5" s="1">
        <v>3.2</v>
      </c>
      <c r="H5" s="1">
        <v>0.8</v>
      </c>
      <c r="I5" s="1">
        <v>53.33</v>
      </c>
    </row>
    <row r="6">
      <c r="A6" s="1" t="s">
        <v>229</v>
      </c>
      <c r="B6" s="1">
        <v>3.0</v>
      </c>
      <c r="C6" s="1">
        <v>12.0</v>
      </c>
      <c r="D6" s="1">
        <v>8.0</v>
      </c>
      <c r="E6" s="1">
        <v>3.0</v>
      </c>
      <c r="F6" s="1">
        <v>1.0</v>
      </c>
      <c r="G6" s="1">
        <v>2.67</v>
      </c>
      <c r="H6" s="1">
        <v>0.33</v>
      </c>
      <c r="I6" s="1">
        <v>37.5</v>
      </c>
    </row>
    <row r="7">
      <c r="A7" s="1" t="s">
        <v>217</v>
      </c>
      <c r="B7" s="1">
        <v>3.0</v>
      </c>
      <c r="C7" s="1">
        <v>12.0</v>
      </c>
      <c r="D7" s="1">
        <v>2.0</v>
      </c>
      <c r="E7" s="1">
        <v>2.0</v>
      </c>
      <c r="F7" s="1">
        <v>0.0</v>
      </c>
      <c r="G7" s="1">
        <v>2.67</v>
      </c>
      <c r="H7" s="1">
        <v>0.0</v>
      </c>
      <c r="I7" s="1">
        <v>100.0</v>
      </c>
    </row>
    <row r="8">
      <c r="A8" s="1" t="s">
        <v>199</v>
      </c>
      <c r="B8" s="1">
        <v>2.0</v>
      </c>
      <c r="C8" s="1">
        <v>8.0</v>
      </c>
      <c r="D8" s="1">
        <v>5.0</v>
      </c>
      <c r="E8" s="1">
        <v>2.0</v>
      </c>
      <c r="F8" s="1">
        <v>1.0</v>
      </c>
      <c r="G8" s="1">
        <v>2.0</v>
      </c>
      <c r="H8" s="1">
        <v>0.5</v>
      </c>
      <c r="I8" s="1">
        <v>40.0</v>
      </c>
    </row>
    <row r="9">
      <c r="A9" s="1" t="s">
        <v>165</v>
      </c>
      <c r="B9" s="1">
        <v>4.0</v>
      </c>
      <c r="C9" s="1">
        <v>16.0</v>
      </c>
      <c r="D9" s="1">
        <v>7.0</v>
      </c>
      <c r="E9" s="1">
        <v>3.0</v>
      </c>
      <c r="F9" s="1">
        <v>1.0</v>
      </c>
      <c r="G9" s="1">
        <v>2.0</v>
      </c>
      <c r="H9" s="1">
        <v>0.25</v>
      </c>
      <c r="I9" s="1">
        <v>42.86</v>
      </c>
    </row>
    <row r="10">
      <c r="A10" s="1" t="s">
        <v>248</v>
      </c>
      <c r="B10" s="1">
        <v>2.0</v>
      </c>
      <c r="C10" s="1">
        <v>8.0</v>
      </c>
      <c r="D10" s="1">
        <v>1.0</v>
      </c>
      <c r="E10" s="1">
        <v>1.0</v>
      </c>
      <c r="F10" s="1">
        <v>0.0</v>
      </c>
      <c r="G10" s="1">
        <v>2.0</v>
      </c>
      <c r="H10" s="1">
        <v>0.0</v>
      </c>
      <c r="I10" s="1">
        <v>100.0</v>
      </c>
    </row>
    <row r="11">
      <c r="A11" s="1" t="s">
        <v>221</v>
      </c>
      <c r="B11" s="1">
        <v>3.0</v>
      </c>
      <c r="C11" s="1">
        <v>12.0</v>
      </c>
      <c r="D11" s="1">
        <v>1.0</v>
      </c>
      <c r="E11" s="1">
        <v>1.0</v>
      </c>
      <c r="F11" s="1">
        <v>0.0</v>
      </c>
      <c r="G11" s="1">
        <v>1.33</v>
      </c>
      <c r="H11" s="1">
        <v>0.0</v>
      </c>
      <c r="I11" s="1">
        <v>100.0</v>
      </c>
    </row>
    <row r="12">
      <c r="A12" s="1" t="s">
        <v>179</v>
      </c>
      <c r="B12" s="1">
        <v>3.0</v>
      </c>
      <c r="C12" s="1">
        <v>12.0</v>
      </c>
      <c r="D12" s="1">
        <v>2.0</v>
      </c>
      <c r="E12" s="1">
        <v>1.0</v>
      </c>
      <c r="F12" s="1">
        <v>0.0</v>
      </c>
      <c r="G12" s="1">
        <v>1.33</v>
      </c>
      <c r="H12" s="1">
        <v>0.0</v>
      </c>
      <c r="I12" s="1">
        <v>50.0</v>
      </c>
    </row>
    <row r="13">
      <c r="A13" s="1" t="s">
        <v>254</v>
      </c>
      <c r="B13" s="1">
        <v>4.0</v>
      </c>
      <c r="C13" s="1">
        <v>16.0</v>
      </c>
      <c r="D13" s="1">
        <v>5.0</v>
      </c>
      <c r="E13" s="1">
        <v>3.0</v>
      </c>
      <c r="F13" s="1">
        <v>2.0</v>
      </c>
      <c r="G13" s="1">
        <v>1.0</v>
      </c>
      <c r="H13" s="1">
        <v>0.5</v>
      </c>
      <c r="I13" s="1">
        <v>60.0</v>
      </c>
    </row>
    <row r="14">
      <c r="A14" s="1" t="s">
        <v>193</v>
      </c>
      <c r="B14" s="1">
        <v>5.0</v>
      </c>
      <c r="C14" s="1">
        <v>20.0</v>
      </c>
      <c r="D14" s="1">
        <v>1.0</v>
      </c>
      <c r="E14" s="1">
        <v>1.0</v>
      </c>
      <c r="F14" s="1">
        <v>0.0</v>
      </c>
      <c r="G14" s="1">
        <v>0.8</v>
      </c>
      <c r="H14" s="1">
        <v>0.0</v>
      </c>
      <c r="I14" s="1">
        <v>100.0</v>
      </c>
    </row>
    <row r="15">
      <c r="A15" s="1" t="s">
        <v>182</v>
      </c>
      <c r="B15" s="1">
        <v>5.0</v>
      </c>
      <c r="C15" s="1">
        <v>20.0</v>
      </c>
      <c r="D15" s="1">
        <v>1.0</v>
      </c>
      <c r="E15" s="1">
        <v>1.0</v>
      </c>
      <c r="F15" s="1">
        <v>0.0</v>
      </c>
      <c r="G15" s="1">
        <v>0.8</v>
      </c>
      <c r="H15" s="1">
        <v>0.0</v>
      </c>
      <c r="I15" s="1">
        <v>100.0</v>
      </c>
    </row>
    <row r="16">
      <c r="A16" s="1" t="s">
        <v>244</v>
      </c>
      <c r="B16" s="1">
        <v>1.0</v>
      </c>
      <c r="C16" s="1">
        <v>4.0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</row>
    <row r="17">
      <c r="A17" s="1" t="s">
        <v>256</v>
      </c>
      <c r="B17" s="1">
        <v>1.0</v>
      </c>
      <c r="C17" s="1">
        <v>4.0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</row>
    <row r="18">
      <c r="A18" s="1" t="s">
        <v>191</v>
      </c>
      <c r="B18" s="1">
        <v>2.0</v>
      </c>
      <c r="C18" s="1">
        <v>8.0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</row>
    <row r="19">
      <c r="A19" s="1" t="s">
        <v>247</v>
      </c>
      <c r="B19" s="1">
        <v>4.0</v>
      </c>
      <c r="C19" s="1">
        <v>16.0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</row>
    <row r="20">
      <c r="A20" s="1" t="s">
        <v>255</v>
      </c>
      <c r="B20" s="1">
        <v>1.0</v>
      </c>
      <c r="C20" s="1">
        <v>4.0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</row>
    <row r="21">
      <c r="A21" s="1" t="s">
        <v>189</v>
      </c>
      <c r="B21" s="1">
        <v>2.0</v>
      </c>
      <c r="C21" s="1">
        <v>8.0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</row>
    <row r="22">
      <c r="A22" s="1" t="s">
        <v>251</v>
      </c>
      <c r="B22" s="1">
        <v>1.0</v>
      </c>
      <c r="C22" s="1">
        <v>4.0</v>
      </c>
      <c r="D22" s="1">
        <v>1.0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</row>
    <row r="23">
      <c r="A23" s="1" t="s">
        <v>166</v>
      </c>
      <c r="B23" s="1">
        <v>1.0</v>
      </c>
      <c r="C23" s="1">
        <v>4.0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</row>
    <row r="24">
      <c r="A24" s="1" t="s">
        <v>257</v>
      </c>
      <c r="B24" s="1">
        <v>1.0</v>
      </c>
      <c r="C24" s="1">
        <v>4.0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</row>
    <row r="25">
      <c r="A25" s="1" t="s">
        <v>237</v>
      </c>
      <c r="B25" s="1">
        <v>4.0</v>
      </c>
      <c r="C25" s="1">
        <v>16.0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</row>
    <row r="26">
      <c r="A26" s="1" t="s">
        <v>194</v>
      </c>
      <c r="B26" s="1">
        <v>2.0</v>
      </c>
      <c r="C26" s="1">
        <v>8.0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</row>
    <row r="27">
      <c r="A27" s="1" t="s">
        <v>231</v>
      </c>
      <c r="B27" s="1">
        <v>2.0</v>
      </c>
      <c r="C27" s="1">
        <v>8.0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</row>
    <row r="28">
      <c r="A28" s="1" t="s">
        <v>233</v>
      </c>
      <c r="B28" s="1">
        <v>3.0</v>
      </c>
      <c r="C28" s="1">
        <v>12.0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</row>
    <row r="29">
      <c r="A29" s="1" t="s">
        <v>252</v>
      </c>
      <c r="B29" s="1">
        <v>1.0</v>
      </c>
      <c r="C29" s="1">
        <v>4.0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</row>
    <row r="30">
      <c r="A30" s="1" t="s">
        <v>214</v>
      </c>
      <c r="B30" s="1">
        <v>2.0</v>
      </c>
      <c r="C30" s="1">
        <v>8.0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</row>
    <row r="31">
      <c r="A31" s="1" t="s">
        <v>234</v>
      </c>
      <c r="B31" s="1">
        <v>1.0</v>
      </c>
      <c r="C31" s="1">
        <v>4.0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</row>
    <row r="32">
      <c r="A32" s="1" t="s">
        <v>198</v>
      </c>
      <c r="B32" s="1">
        <v>3.0</v>
      </c>
      <c r="C32" s="1">
        <v>12.0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>
      <c r="A33" s="1" t="s">
        <v>238</v>
      </c>
      <c r="B33" s="1">
        <v>1.0</v>
      </c>
      <c r="C33" s="1">
        <v>4.0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223</v>
      </c>
      <c r="B34" s="1">
        <v>3.0</v>
      </c>
      <c r="C34" s="1">
        <v>12.0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>
      <c r="A35" s="1" t="s">
        <v>192</v>
      </c>
      <c r="B35" s="1">
        <v>3.0</v>
      </c>
      <c r="C35" s="1">
        <v>12.0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220</v>
      </c>
      <c r="B36" s="1">
        <v>3.0</v>
      </c>
      <c r="C36" s="1">
        <v>12.0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212</v>
      </c>
      <c r="B37" s="1">
        <v>1.0</v>
      </c>
      <c r="C37" s="1">
        <v>4.0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>
      <c r="A38" s="1" t="s">
        <v>246</v>
      </c>
      <c r="B38" s="1">
        <v>1.0</v>
      </c>
      <c r="C38" s="1">
        <v>4.0</v>
      </c>
      <c r="D38" s="1">
        <v>1.0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250</v>
      </c>
      <c r="B39" s="1">
        <v>1.0</v>
      </c>
      <c r="C39" s="1">
        <v>4.0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211</v>
      </c>
      <c r="B40" s="1">
        <v>3.0</v>
      </c>
      <c r="C40" s="1">
        <v>12.0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</row>
    <row r="41">
      <c r="A41" s="1" t="s">
        <v>167</v>
      </c>
      <c r="B41" s="1">
        <v>3.0</v>
      </c>
      <c r="C41" s="1">
        <v>12.0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239</v>
      </c>
      <c r="B42" s="1">
        <v>3.0</v>
      </c>
      <c r="C42" s="1">
        <v>12.0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</row>
    <row r="43">
      <c r="A43" s="1" t="s">
        <v>258</v>
      </c>
      <c r="B43" s="1">
        <v>3.0</v>
      </c>
      <c r="C43" s="1">
        <v>12.0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</row>
    <row r="44">
      <c r="A44" s="1" t="s">
        <v>249</v>
      </c>
      <c r="B44" s="1">
        <v>2.0</v>
      </c>
      <c r="C44" s="1">
        <v>8.0</v>
      </c>
      <c r="D44" s="1">
        <v>4.0</v>
      </c>
      <c r="E44" s="1">
        <v>1.0</v>
      </c>
      <c r="F44" s="1">
        <v>2.0</v>
      </c>
      <c r="G44" s="1">
        <v>-2.0</v>
      </c>
      <c r="H44" s="1">
        <v>1.0</v>
      </c>
      <c r="I44" s="1">
        <v>25.0</v>
      </c>
    </row>
    <row r="45">
      <c r="A45" s="1" t="s">
        <v>208</v>
      </c>
      <c r="B45" s="1">
        <v>3.0</v>
      </c>
      <c r="C45" s="1">
        <v>12.0</v>
      </c>
      <c r="D45" s="1">
        <v>3.0</v>
      </c>
      <c r="E45" s="1">
        <v>0.0</v>
      </c>
      <c r="F45" s="1">
        <v>2.0</v>
      </c>
      <c r="G45" s="1">
        <v>-2.67</v>
      </c>
      <c r="H45" s="1">
        <v>0.67</v>
      </c>
      <c r="I45" s="1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245</v>
      </c>
      <c r="B2" s="1">
        <v>3.0</v>
      </c>
      <c r="C2" s="1">
        <v>12.0</v>
      </c>
      <c r="D2" s="1">
        <v>12.0</v>
      </c>
      <c r="E2" s="1">
        <v>10.0</v>
      </c>
      <c r="F2" s="1">
        <v>1.0</v>
      </c>
      <c r="G2" s="1">
        <v>12.0</v>
      </c>
      <c r="H2" s="1">
        <v>0.33</v>
      </c>
      <c r="I2" s="1">
        <v>83.33</v>
      </c>
    </row>
    <row r="3">
      <c r="A3" s="1" t="s">
        <v>191</v>
      </c>
      <c r="B3" s="1">
        <v>2.0</v>
      </c>
      <c r="C3" s="1">
        <v>8.0</v>
      </c>
      <c r="D3" s="1">
        <v>2.0</v>
      </c>
      <c r="E3" s="1">
        <v>2.0</v>
      </c>
      <c r="F3" s="1">
        <v>0.0</v>
      </c>
      <c r="G3" s="1">
        <v>4.0</v>
      </c>
      <c r="H3" s="1">
        <v>0.0</v>
      </c>
      <c r="I3" s="1">
        <v>100.0</v>
      </c>
    </row>
    <row r="4">
      <c r="A4" s="1" t="s">
        <v>239</v>
      </c>
      <c r="B4" s="1">
        <v>3.0</v>
      </c>
      <c r="C4" s="1">
        <v>12.0</v>
      </c>
      <c r="D4" s="1">
        <v>7.0</v>
      </c>
      <c r="E4" s="1">
        <v>5.0</v>
      </c>
      <c r="F4" s="1">
        <v>2.0</v>
      </c>
      <c r="G4" s="1">
        <v>4.0</v>
      </c>
      <c r="H4" s="1">
        <v>0.67</v>
      </c>
      <c r="I4" s="1">
        <v>71.43</v>
      </c>
    </row>
    <row r="5">
      <c r="A5" s="1" t="s">
        <v>244</v>
      </c>
      <c r="B5" s="1">
        <v>1.0</v>
      </c>
      <c r="C5" s="1">
        <v>4.0</v>
      </c>
      <c r="D5" s="1">
        <v>3.0</v>
      </c>
      <c r="E5" s="1">
        <v>1.0</v>
      </c>
      <c r="F5" s="1">
        <v>0.0</v>
      </c>
      <c r="G5" s="1">
        <v>4.0</v>
      </c>
      <c r="H5" s="1">
        <v>0.0</v>
      </c>
      <c r="I5" s="1">
        <v>33.33</v>
      </c>
    </row>
    <row r="6">
      <c r="A6" s="1" t="s">
        <v>248</v>
      </c>
      <c r="B6" s="1">
        <v>2.0</v>
      </c>
      <c r="C6" s="1">
        <v>8.0</v>
      </c>
      <c r="D6" s="1">
        <v>3.0</v>
      </c>
      <c r="E6" s="1">
        <v>2.0</v>
      </c>
      <c r="F6" s="1">
        <v>0.0</v>
      </c>
      <c r="G6" s="1">
        <v>4.0</v>
      </c>
      <c r="H6" s="1">
        <v>0.0</v>
      </c>
      <c r="I6" s="1">
        <v>66.67</v>
      </c>
    </row>
    <row r="7">
      <c r="A7" s="1" t="s">
        <v>250</v>
      </c>
      <c r="B7" s="1">
        <v>1.0</v>
      </c>
      <c r="C7" s="1">
        <v>4.0</v>
      </c>
      <c r="D7" s="1">
        <v>1.0</v>
      </c>
      <c r="E7" s="1">
        <v>1.0</v>
      </c>
      <c r="F7" s="1">
        <v>0.0</v>
      </c>
      <c r="G7" s="1">
        <v>4.0</v>
      </c>
      <c r="H7" s="1">
        <v>0.0</v>
      </c>
      <c r="I7" s="1">
        <v>100.0</v>
      </c>
    </row>
    <row r="8">
      <c r="A8" s="1" t="s">
        <v>246</v>
      </c>
      <c r="B8" s="1">
        <v>1.0</v>
      </c>
      <c r="C8" s="1">
        <v>4.0</v>
      </c>
      <c r="D8" s="1">
        <v>1.0</v>
      </c>
      <c r="E8" s="1">
        <v>1.0</v>
      </c>
      <c r="F8" s="1">
        <v>0.0</v>
      </c>
      <c r="G8" s="1">
        <v>4.0</v>
      </c>
      <c r="H8" s="1">
        <v>0.0</v>
      </c>
      <c r="I8" s="1">
        <v>100.0</v>
      </c>
    </row>
    <row r="9">
      <c r="A9" s="1" t="s">
        <v>190</v>
      </c>
      <c r="B9" s="1">
        <v>5.0</v>
      </c>
      <c r="C9" s="1">
        <v>20.0</v>
      </c>
      <c r="D9" s="1">
        <v>12.0</v>
      </c>
      <c r="E9" s="1">
        <v>6.0</v>
      </c>
      <c r="F9" s="1">
        <v>1.0</v>
      </c>
      <c r="G9" s="1">
        <v>4.0</v>
      </c>
      <c r="H9" s="1">
        <v>0.2</v>
      </c>
      <c r="I9" s="1">
        <v>50.0</v>
      </c>
    </row>
    <row r="10">
      <c r="A10" s="1" t="s">
        <v>251</v>
      </c>
      <c r="B10" s="1">
        <v>1.0</v>
      </c>
      <c r="C10" s="1">
        <v>4.0</v>
      </c>
      <c r="D10" s="1">
        <v>1.0</v>
      </c>
      <c r="E10" s="1">
        <v>1.0</v>
      </c>
      <c r="F10" s="1">
        <v>0.0</v>
      </c>
      <c r="G10" s="1">
        <v>4.0</v>
      </c>
      <c r="H10" s="1">
        <v>0.0</v>
      </c>
      <c r="I10" s="1">
        <v>100.0</v>
      </c>
    </row>
    <row r="11">
      <c r="A11" s="1" t="s">
        <v>252</v>
      </c>
      <c r="B11" s="1">
        <v>1.0</v>
      </c>
      <c r="C11" s="1">
        <v>4.0</v>
      </c>
      <c r="D11" s="1">
        <v>3.0</v>
      </c>
      <c r="E11" s="1">
        <v>2.0</v>
      </c>
      <c r="F11" s="1">
        <v>1.0</v>
      </c>
      <c r="G11" s="1">
        <v>4.0</v>
      </c>
      <c r="H11" s="1">
        <v>1.0</v>
      </c>
      <c r="I11" s="1">
        <v>66.67</v>
      </c>
    </row>
    <row r="12">
      <c r="A12" s="1" t="s">
        <v>167</v>
      </c>
      <c r="B12" s="1">
        <v>3.0</v>
      </c>
      <c r="C12" s="1">
        <v>12.0</v>
      </c>
      <c r="D12" s="1">
        <v>6.0</v>
      </c>
      <c r="E12" s="1">
        <v>2.0</v>
      </c>
      <c r="F12" s="1">
        <v>0.0</v>
      </c>
      <c r="G12" s="1">
        <v>2.67</v>
      </c>
      <c r="H12" s="1">
        <v>0.0</v>
      </c>
      <c r="I12" s="1">
        <v>33.33</v>
      </c>
    </row>
    <row r="13">
      <c r="A13" s="1" t="s">
        <v>165</v>
      </c>
      <c r="B13" s="1">
        <v>4.0</v>
      </c>
      <c r="C13" s="1">
        <v>16.0</v>
      </c>
      <c r="D13" s="1">
        <v>5.0</v>
      </c>
      <c r="E13" s="1">
        <v>3.0</v>
      </c>
      <c r="F13" s="1">
        <v>1.0</v>
      </c>
      <c r="G13" s="1">
        <v>2.0</v>
      </c>
      <c r="H13" s="1">
        <v>0.25</v>
      </c>
      <c r="I13" s="1">
        <v>60.0</v>
      </c>
    </row>
    <row r="14">
      <c r="A14" s="1" t="s">
        <v>214</v>
      </c>
      <c r="B14" s="1">
        <v>2.0</v>
      </c>
      <c r="C14" s="1">
        <v>8.0</v>
      </c>
      <c r="D14" s="1">
        <v>4.0</v>
      </c>
      <c r="E14" s="1">
        <v>2.0</v>
      </c>
      <c r="F14" s="1">
        <v>1.0</v>
      </c>
      <c r="G14" s="1">
        <v>2.0</v>
      </c>
      <c r="H14" s="1">
        <v>0.5</v>
      </c>
      <c r="I14" s="1">
        <v>50.0</v>
      </c>
    </row>
    <row r="15">
      <c r="A15" s="1" t="s">
        <v>179</v>
      </c>
      <c r="B15" s="1">
        <v>3.0</v>
      </c>
      <c r="C15" s="1">
        <v>12.0</v>
      </c>
      <c r="D15" s="1">
        <v>1.0</v>
      </c>
      <c r="E15" s="1">
        <v>1.0</v>
      </c>
      <c r="F15" s="1">
        <v>0.0</v>
      </c>
      <c r="G15" s="1">
        <v>1.33</v>
      </c>
      <c r="H15" s="1">
        <v>0.0</v>
      </c>
      <c r="I15" s="1">
        <v>100.0</v>
      </c>
    </row>
    <row r="16">
      <c r="A16" s="1" t="s">
        <v>247</v>
      </c>
      <c r="B16" s="1">
        <v>4.0</v>
      </c>
      <c r="C16" s="1">
        <v>16.0</v>
      </c>
      <c r="D16" s="1">
        <v>2.0</v>
      </c>
      <c r="E16" s="1">
        <v>1.0</v>
      </c>
      <c r="F16" s="1">
        <v>0.0</v>
      </c>
      <c r="G16" s="1">
        <v>1.0</v>
      </c>
      <c r="H16" s="1">
        <v>0.0</v>
      </c>
      <c r="I16" s="1">
        <v>50.0</v>
      </c>
    </row>
    <row r="17">
      <c r="A17" s="1" t="s">
        <v>174</v>
      </c>
      <c r="B17" s="1">
        <v>4.0</v>
      </c>
      <c r="C17" s="1">
        <v>16.0</v>
      </c>
      <c r="D17" s="1">
        <v>1.0</v>
      </c>
      <c r="E17" s="1">
        <v>1.0</v>
      </c>
      <c r="F17" s="1">
        <v>0.0</v>
      </c>
      <c r="G17" s="1">
        <v>1.0</v>
      </c>
      <c r="H17" s="1">
        <v>0.0</v>
      </c>
      <c r="I17" s="1">
        <v>100.0</v>
      </c>
    </row>
    <row r="18">
      <c r="A18" s="1" t="s">
        <v>253</v>
      </c>
      <c r="B18" s="1">
        <v>5.0</v>
      </c>
      <c r="C18" s="1">
        <v>20.0</v>
      </c>
      <c r="D18" s="1">
        <v>1.0</v>
      </c>
      <c r="E18" s="1">
        <v>1.0</v>
      </c>
      <c r="F18" s="1">
        <v>0.0</v>
      </c>
      <c r="G18" s="1">
        <v>0.8</v>
      </c>
      <c r="H18" s="1">
        <v>0.0</v>
      </c>
      <c r="I18" s="1">
        <v>100.0</v>
      </c>
    </row>
    <row r="19">
      <c r="A19" s="1" t="s">
        <v>189</v>
      </c>
      <c r="B19" s="1">
        <v>2.0</v>
      </c>
      <c r="C19" s="1">
        <v>8.0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</row>
    <row r="20">
      <c r="A20" s="1" t="s">
        <v>249</v>
      </c>
      <c r="B20" s="1">
        <v>2.0</v>
      </c>
      <c r="C20" s="1">
        <v>8.0</v>
      </c>
      <c r="D20" s="1">
        <v>1.0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</row>
    <row r="21">
      <c r="A21" s="1" t="s">
        <v>208</v>
      </c>
      <c r="B21" s="1">
        <v>3.0</v>
      </c>
      <c r="C21" s="1">
        <v>12.0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</row>
    <row r="22">
      <c r="A22" s="1" t="s">
        <v>193</v>
      </c>
      <c r="B22" s="1">
        <v>5.0</v>
      </c>
      <c r="C22" s="1">
        <v>20.0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</row>
    <row r="23">
      <c r="A23" s="1" t="s">
        <v>255</v>
      </c>
      <c r="B23" s="1">
        <v>1.0</v>
      </c>
      <c r="C23" s="1">
        <v>4.0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</row>
    <row r="24">
      <c r="A24" s="1" t="s">
        <v>256</v>
      </c>
      <c r="B24" s="1">
        <v>1.0</v>
      </c>
      <c r="C24" s="1">
        <v>4.0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</row>
    <row r="25">
      <c r="A25" s="1" t="s">
        <v>166</v>
      </c>
      <c r="B25" s="1">
        <v>1.0</v>
      </c>
      <c r="C25" s="1">
        <v>4.0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</row>
    <row r="26">
      <c r="A26" s="1" t="s">
        <v>257</v>
      </c>
      <c r="B26" s="1">
        <v>1.0</v>
      </c>
      <c r="C26" s="1">
        <v>4.0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</row>
    <row r="27">
      <c r="A27" s="1" t="s">
        <v>229</v>
      </c>
      <c r="B27" s="1">
        <v>3.0</v>
      </c>
      <c r="C27" s="1">
        <v>12.0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</row>
    <row r="28">
      <c r="A28" s="1" t="s">
        <v>194</v>
      </c>
      <c r="B28" s="1">
        <v>2.0</v>
      </c>
      <c r="C28" s="1">
        <v>8.0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</row>
    <row r="29">
      <c r="A29" s="1" t="s">
        <v>258</v>
      </c>
      <c r="B29" s="1">
        <v>3.0</v>
      </c>
      <c r="C29" s="1">
        <v>12.0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</row>
    <row r="30">
      <c r="A30" s="1" t="s">
        <v>234</v>
      </c>
      <c r="B30" s="1">
        <v>1.0</v>
      </c>
      <c r="C30" s="1">
        <v>4.0</v>
      </c>
      <c r="D30" s="1">
        <v>2.0</v>
      </c>
      <c r="E30" s="1">
        <v>1.0</v>
      </c>
      <c r="F30" s="1">
        <v>1.0</v>
      </c>
      <c r="G30" s="1">
        <v>0.0</v>
      </c>
      <c r="H30" s="1">
        <v>1.0</v>
      </c>
      <c r="I30" s="1">
        <v>50.0</v>
      </c>
    </row>
    <row r="31">
      <c r="A31" s="1" t="s">
        <v>231</v>
      </c>
      <c r="B31" s="1">
        <v>2.0</v>
      </c>
      <c r="C31" s="1">
        <v>8.0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</row>
    <row r="32">
      <c r="A32" s="1" t="s">
        <v>199</v>
      </c>
      <c r="B32" s="1">
        <v>2.0</v>
      </c>
      <c r="C32" s="1">
        <v>8.0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>
      <c r="A33" s="1" t="s">
        <v>233</v>
      </c>
      <c r="B33" s="1">
        <v>3.0</v>
      </c>
      <c r="C33" s="1">
        <v>12.0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211</v>
      </c>
      <c r="B34" s="1">
        <v>3.0</v>
      </c>
      <c r="C34" s="1">
        <v>12.0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>
      <c r="A35" s="1" t="s">
        <v>254</v>
      </c>
      <c r="B35" s="1">
        <v>4.0</v>
      </c>
      <c r="C35" s="1">
        <v>16.0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182</v>
      </c>
      <c r="B36" s="1">
        <v>5.0</v>
      </c>
      <c r="C36" s="1">
        <v>20.0</v>
      </c>
      <c r="D36" s="1">
        <v>1.0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220</v>
      </c>
      <c r="B37" s="1">
        <v>3.0</v>
      </c>
      <c r="C37" s="1">
        <v>12.0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>
      <c r="A38" s="1" t="s">
        <v>192</v>
      </c>
      <c r="B38" s="1">
        <v>3.0</v>
      </c>
      <c r="C38" s="1">
        <v>12.0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223</v>
      </c>
      <c r="B39" s="1">
        <v>3.0</v>
      </c>
      <c r="C39" s="1">
        <v>12.0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238</v>
      </c>
      <c r="B40" s="1">
        <v>1.0</v>
      </c>
      <c r="C40" s="1">
        <v>4.0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</row>
    <row r="41">
      <c r="A41" s="1" t="s">
        <v>198</v>
      </c>
      <c r="B41" s="1">
        <v>3.0</v>
      </c>
      <c r="C41" s="1">
        <v>12.0</v>
      </c>
      <c r="D41" s="1">
        <v>2.0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237</v>
      </c>
      <c r="B42" s="1">
        <v>4.0</v>
      </c>
      <c r="C42" s="1">
        <v>16.0</v>
      </c>
      <c r="D42" s="1">
        <v>2.0</v>
      </c>
      <c r="E42" s="1">
        <v>0.0</v>
      </c>
      <c r="F42" s="1">
        <v>1.0</v>
      </c>
      <c r="G42" s="1">
        <v>-1.0</v>
      </c>
      <c r="H42" s="1">
        <v>0.25</v>
      </c>
      <c r="I42" s="1">
        <v>0.0</v>
      </c>
    </row>
    <row r="43">
      <c r="A43" s="1" t="s">
        <v>221</v>
      </c>
      <c r="B43" s="1">
        <v>3.0</v>
      </c>
      <c r="C43" s="1">
        <v>12.0</v>
      </c>
      <c r="D43" s="1">
        <v>2.0</v>
      </c>
      <c r="E43" s="1">
        <v>0.0</v>
      </c>
      <c r="F43" s="1">
        <v>1.0</v>
      </c>
      <c r="G43" s="1">
        <v>-1.33</v>
      </c>
      <c r="H43" s="1">
        <v>0.33</v>
      </c>
      <c r="I43" s="1">
        <v>0.0</v>
      </c>
    </row>
    <row r="44">
      <c r="A44" s="1" t="s">
        <v>217</v>
      </c>
      <c r="B44" s="1">
        <v>3.0</v>
      </c>
      <c r="C44" s="1">
        <v>12.0</v>
      </c>
      <c r="D44" s="1">
        <v>2.0</v>
      </c>
      <c r="E44" s="1">
        <v>0.0</v>
      </c>
      <c r="F44" s="1">
        <v>2.0</v>
      </c>
      <c r="G44" s="1">
        <v>-2.67</v>
      </c>
      <c r="H44" s="1">
        <v>0.67</v>
      </c>
      <c r="I44" s="1">
        <v>0.0</v>
      </c>
    </row>
    <row r="45">
      <c r="A45" s="1" t="s">
        <v>212</v>
      </c>
      <c r="B45" s="1">
        <v>1.0</v>
      </c>
      <c r="C45" s="1">
        <v>4.0</v>
      </c>
      <c r="D45" s="1">
        <v>1.0</v>
      </c>
      <c r="E45" s="1">
        <v>0.0</v>
      </c>
      <c r="F45" s="1">
        <v>1.0</v>
      </c>
      <c r="G45" s="1">
        <v>-4.0</v>
      </c>
      <c r="H45" s="1">
        <v>1.0</v>
      </c>
      <c r="I45" s="1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167</v>
      </c>
      <c r="B2" s="1">
        <v>3.0</v>
      </c>
      <c r="C2" s="1">
        <v>12.0</v>
      </c>
      <c r="D2" s="1">
        <v>10.0</v>
      </c>
      <c r="E2" s="1">
        <v>4.0</v>
      </c>
      <c r="F2" s="1">
        <v>1.0</v>
      </c>
      <c r="G2" s="1">
        <v>4.0</v>
      </c>
      <c r="H2" s="1">
        <v>0.33</v>
      </c>
      <c r="I2" s="1">
        <v>40.0</v>
      </c>
    </row>
    <row r="3">
      <c r="A3" s="1" t="s">
        <v>182</v>
      </c>
      <c r="B3" s="1">
        <v>5.0</v>
      </c>
      <c r="C3" s="1">
        <v>20.0</v>
      </c>
      <c r="D3" s="1">
        <v>10.0</v>
      </c>
      <c r="E3" s="1">
        <v>5.0</v>
      </c>
      <c r="F3" s="1">
        <v>1.0</v>
      </c>
      <c r="G3" s="1">
        <v>3.2</v>
      </c>
      <c r="H3" s="1">
        <v>0.2</v>
      </c>
      <c r="I3" s="1">
        <v>50.0</v>
      </c>
    </row>
    <row r="4">
      <c r="A4" s="1" t="s">
        <v>174</v>
      </c>
      <c r="B4" s="1">
        <v>4.0</v>
      </c>
      <c r="C4" s="1">
        <v>16.0</v>
      </c>
      <c r="D4" s="1">
        <v>7.0</v>
      </c>
      <c r="E4" s="1">
        <v>3.0</v>
      </c>
      <c r="F4" s="1">
        <v>0.0</v>
      </c>
      <c r="G4" s="1">
        <v>3.0</v>
      </c>
      <c r="H4" s="1">
        <v>0.0</v>
      </c>
      <c r="I4" s="1">
        <v>42.86</v>
      </c>
    </row>
    <row r="5">
      <c r="A5" s="1" t="s">
        <v>239</v>
      </c>
      <c r="B5" s="1">
        <v>3.0</v>
      </c>
      <c r="C5" s="1">
        <v>12.0</v>
      </c>
      <c r="D5" s="1">
        <v>7.0</v>
      </c>
      <c r="E5" s="1">
        <v>3.0</v>
      </c>
      <c r="F5" s="1">
        <v>1.0</v>
      </c>
      <c r="G5" s="1">
        <v>2.67</v>
      </c>
      <c r="H5" s="1">
        <v>0.33</v>
      </c>
      <c r="I5" s="1">
        <v>42.86</v>
      </c>
    </row>
    <row r="6">
      <c r="A6" s="1" t="s">
        <v>249</v>
      </c>
      <c r="B6" s="1">
        <v>2.0</v>
      </c>
      <c r="C6" s="1">
        <v>8.0</v>
      </c>
      <c r="D6" s="1">
        <v>4.0</v>
      </c>
      <c r="E6" s="1">
        <v>1.0</v>
      </c>
      <c r="F6" s="1">
        <v>0.0</v>
      </c>
      <c r="G6" s="1">
        <v>2.0</v>
      </c>
      <c r="H6" s="1">
        <v>0.0</v>
      </c>
      <c r="I6" s="1">
        <v>25.0</v>
      </c>
    </row>
    <row r="7">
      <c r="A7" s="1" t="s">
        <v>214</v>
      </c>
      <c r="B7" s="1">
        <v>2.0</v>
      </c>
      <c r="C7" s="1">
        <v>8.0</v>
      </c>
      <c r="D7" s="1">
        <v>4.0</v>
      </c>
      <c r="E7" s="1">
        <v>1.0</v>
      </c>
      <c r="F7" s="1">
        <v>0.0</v>
      </c>
      <c r="G7" s="1">
        <v>2.0</v>
      </c>
      <c r="H7" s="1">
        <v>0.0</v>
      </c>
      <c r="I7" s="1">
        <v>25.0</v>
      </c>
    </row>
    <row r="8">
      <c r="A8" s="1" t="s">
        <v>245</v>
      </c>
      <c r="B8" s="1">
        <v>3.0</v>
      </c>
      <c r="C8" s="1">
        <v>12.0</v>
      </c>
      <c r="D8" s="1">
        <v>5.0</v>
      </c>
      <c r="E8" s="1">
        <v>1.0</v>
      </c>
      <c r="F8" s="1">
        <v>0.0</v>
      </c>
      <c r="G8" s="1">
        <v>1.33</v>
      </c>
      <c r="H8" s="1">
        <v>0.0</v>
      </c>
      <c r="I8" s="1">
        <v>20.0</v>
      </c>
    </row>
    <row r="9">
      <c r="A9" s="1" t="s">
        <v>179</v>
      </c>
      <c r="B9" s="1">
        <v>3.0</v>
      </c>
      <c r="C9" s="1">
        <v>12.0</v>
      </c>
      <c r="D9" s="1">
        <v>5.0</v>
      </c>
      <c r="E9" s="1">
        <v>2.0</v>
      </c>
      <c r="F9" s="1">
        <v>1.0</v>
      </c>
      <c r="G9" s="1">
        <v>1.33</v>
      </c>
      <c r="H9" s="1">
        <v>0.33</v>
      </c>
      <c r="I9" s="1">
        <v>40.0</v>
      </c>
    </row>
    <row r="10">
      <c r="A10" s="1" t="s">
        <v>165</v>
      </c>
      <c r="B10" s="1">
        <v>4.0</v>
      </c>
      <c r="C10" s="1">
        <v>16.0</v>
      </c>
      <c r="D10" s="1">
        <v>7.0</v>
      </c>
      <c r="E10" s="1">
        <v>2.0</v>
      </c>
      <c r="F10" s="1">
        <v>1.0</v>
      </c>
      <c r="G10" s="1">
        <v>1.0</v>
      </c>
      <c r="H10" s="1">
        <v>0.25</v>
      </c>
      <c r="I10" s="1">
        <v>28.57</v>
      </c>
    </row>
    <row r="11">
      <c r="A11" s="1" t="s">
        <v>237</v>
      </c>
      <c r="B11" s="1">
        <v>4.0</v>
      </c>
      <c r="C11" s="1">
        <v>16.0</v>
      </c>
      <c r="D11" s="1">
        <v>7.0</v>
      </c>
      <c r="E11" s="1">
        <v>3.0</v>
      </c>
      <c r="F11" s="1">
        <v>2.0</v>
      </c>
      <c r="G11" s="1">
        <v>1.0</v>
      </c>
      <c r="H11" s="1">
        <v>0.5</v>
      </c>
      <c r="I11" s="1">
        <v>42.86</v>
      </c>
    </row>
    <row r="12">
      <c r="A12" s="1" t="s">
        <v>193</v>
      </c>
      <c r="B12" s="1">
        <v>5.0</v>
      </c>
      <c r="C12" s="1">
        <v>20.0</v>
      </c>
      <c r="D12" s="1">
        <v>2.0</v>
      </c>
      <c r="E12" s="1">
        <v>1.0</v>
      </c>
      <c r="F12" s="1">
        <v>0.0</v>
      </c>
      <c r="G12" s="1">
        <v>0.8</v>
      </c>
      <c r="H12" s="1">
        <v>0.0</v>
      </c>
      <c r="I12" s="1">
        <v>50.0</v>
      </c>
    </row>
    <row r="13">
      <c r="A13" s="1" t="s">
        <v>229</v>
      </c>
      <c r="B13" s="1">
        <v>3.0</v>
      </c>
      <c r="C13" s="1">
        <v>12.0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</row>
    <row r="14">
      <c r="A14" s="1" t="s">
        <v>166</v>
      </c>
      <c r="B14" s="1">
        <v>1.0</v>
      </c>
      <c r="C14" s="1">
        <v>4.0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</row>
    <row r="15">
      <c r="A15" s="1" t="s">
        <v>189</v>
      </c>
      <c r="B15" s="1">
        <v>2.0</v>
      </c>
      <c r="C15" s="1">
        <v>8.0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</row>
    <row r="16">
      <c r="A16" s="1" t="s">
        <v>191</v>
      </c>
      <c r="B16" s="1">
        <v>2.0</v>
      </c>
      <c r="C16" s="1">
        <v>8.0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</row>
    <row r="17">
      <c r="A17" s="1" t="s">
        <v>244</v>
      </c>
      <c r="B17" s="1">
        <v>1.0</v>
      </c>
      <c r="C17" s="1">
        <v>4.0</v>
      </c>
      <c r="D17" s="1">
        <v>2.0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</row>
    <row r="18">
      <c r="A18" s="1" t="s">
        <v>247</v>
      </c>
      <c r="B18" s="1">
        <v>4.0</v>
      </c>
      <c r="C18" s="1">
        <v>16.0</v>
      </c>
      <c r="D18" s="1">
        <v>1.0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</row>
    <row r="19">
      <c r="A19" s="1" t="s">
        <v>257</v>
      </c>
      <c r="B19" s="1">
        <v>1.0</v>
      </c>
      <c r="C19" s="1">
        <v>4.0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</row>
    <row r="20">
      <c r="A20" s="1" t="s">
        <v>208</v>
      </c>
      <c r="B20" s="1">
        <v>3.0</v>
      </c>
      <c r="C20" s="1">
        <v>12.0</v>
      </c>
      <c r="D20" s="1">
        <v>1.0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</row>
    <row r="21">
      <c r="A21" s="1" t="s">
        <v>256</v>
      </c>
      <c r="B21" s="1">
        <v>1.0</v>
      </c>
      <c r="C21" s="1">
        <v>4.0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</row>
    <row r="22">
      <c r="A22" s="1" t="s">
        <v>255</v>
      </c>
      <c r="B22" s="1">
        <v>1.0</v>
      </c>
      <c r="C22" s="1">
        <v>4.0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</row>
    <row r="23">
      <c r="A23" s="1" t="s">
        <v>251</v>
      </c>
      <c r="B23" s="1">
        <v>1.0</v>
      </c>
      <c r="C23" s="1">
        <v>4.0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</row>
    <row r="24">
      <c r="A24" s="1" t="s">
        <v>217</v>
      </c>
      <c r="B24" s="1">
        <v>3.0</v>
      </c>
      <c r="C24" s="1">
        <v>12.0</v>
      </c>
      <c r="D24" s="1">
        <v>1.0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</row>
    <row r="25">
      <c r="A25" s="1" t="s">
        <v>194</v>
      </c>
      <c r="B25" s="1">
        <v>2.0</v>
      </c>
      <c r="C25" s="1">
        <v>8.0</v>
      </c>
      <c r="D25" s="1">
        <v>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</row>
    <row r="26">
      <c r="A26" s="1" t="s">
        <v>231</v>
      </c>
      <c r="B26" s="1">
        <v>2.0</v>
      </c>
      <c r="C26" s="1">
        <v>8.0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</row>
    <row r="27">
      <c r="A27" s="1" t="s">
        <v>199</v>
      </c>
      <c r="B27" s="1">
        <v>2.0</v>
      </c>
      <c r="C27" s="1">
        <v>8.0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</row>
    <row r="28">
      <c r="A28" s="1" t="s">
        <v>252</v>
      </c>
      <c r="B28" s="1">
        <v>1.0</v>
      </c>
      <c r="C28" s="1">
        <v>4.0</v>
      </c>
      <c r="D28" s="1">
        <v>1.0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</row>
    <row r="29">
      <c r="A29" s="1" t="s">
        <v>254</v>
      </c>
      <c r="B29" s="1">
        <v>4.0</v>
      </c>
      <c r="C29" s="1">
        <v>16.0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</row>
    <row r="30">
      <c r="A30" s="1" t="s">
        <v>234</v>
      </c>
      <c r="B30" s="1">
        <v>1.0</v>
      </c>
      <c r="C30" s="1">
        <v>4.0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</row>
    <row r="31">
      <c r="A31" s="1" t="s">
        <v>198</v>
      </c>
      <c r="B31" s="1">
        <v>3.0</v>
      </c>
      <c r="C31" s="1">
        <v>12.0</v>
      </c>
      <c r="D31" s="1">
        <v>3.0</v>
      </c>
      <c r="E31" s="1">
        <v>1.0</v>
      </c>
      <c r="F31" s="1">
        <v>1.0</v>
      </c>
      <c r="G31" s="1">
        <v>0.0</v>
      </c>
      <c r="H31" s="1">
        <v>0.33</v>
      </c>
      <c r="I31" s="1">
        <v>33.33</v>
      </c>
    </row>
    <row r="32">
      <c r="A32" s="1" t="s">
        <v>238</v>
      </c>
      <c r="B32" s="1">
        <v>1.0</v>
      </c>
      <c r="C32" s="1">
        <v>4.0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>
      <c r="A33" s="1" t="s">
        <v>223</v>
      </c>
      <c r="B33" s="1">
        <v>3.0</v>
      </c>
      <c r="C33" s="1">
        <v>12.0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192</v>
      </c>
      <c r="B34" s="1">
        <v>3.0</v>
      </c>
      <c r="C34" s="1">
        <v>12.0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>
      <c r="A35" s="1" t="s">
        <v>220</v>
      </c>
      <c r="B35" s="1">
        <v>3.0</v>
      </c>
      <c r="C35" s="1">
        <v>12.0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258</v>
      </c>
      <c r="B36" s="1">
        <v>3.0</v>
      </c>
      <c r="C36" s="1">
        <v>12.0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221</v>
      </c>
      <c r="B37" s="1">
        <v>3.0</v>
      </c>
      <c r="C37" s="1">
        <v>12.0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>
      <c r="A38" s="1" t="s">
        <v>212</v>
      </c>
      <c r="B38" s="1">
        <v>1.0</v>
      </c>
      <c r="C38" s="1">
        <v>4.0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246</v>
      </c>
      <c r="B39" s="1">
        <v>1.0</v>
      </c>
      <c r="C39" s="1">
        <v>4.0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250</v>
      </c>
      <c r="B40" s="1">
        <v>1.0</v>
      </c>
      <c r="C40" s="1">
        <v>4.0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</row>
    <row r="41">
      <c r="A41" s="1" t="s">
        <v>248</v>
      </c>
      <c r="B41" s="1">
        <v>2.0</v>
      </c>
      <c r="C41" s="1">
        <v>8.0</v>
      </c>
      <c r="D41" s="1">
        <v>2.0</v>
      </c>
      <c r="E41" s="1">
        <v>1.0</v>
      </c>
      <c r="F41" s="1">
        <v>1.0</v>
      </c>
      <c r="G41" s="1">
        <v>0.0</v>
      </c>
      <c r="H41" s="1">
        <v>0.5</v>
      </c>
      <c r="I41" s="1">
        <v>50.0</v>
      </c>
    </row>
    <row r="42">
      <c r="A42" s="1" t="s">
        <v>211</v>
      </c>
      <c r="B42" s="1">
        <v>3.0</v>
      </c>
      <c r="C42" s="1">
        <v>12.0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</row>
    <row r="43">
      <c r="A43" s="1" t="s">
        <v>233</v>
      </c>
      <c r="B43" s="1">
        <v>3.0</v>
      </c>
      <c r="C43" s="1">
        <v>12.0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</row>
    <row r="44">
      <c r="A44" s="1" t="s">
        <v>190</v>
      </c>
      <c r="B44" s="1">
        <v>5.0</v>
      </c>
      <c r="C44" s="1">
        <v>20.0</v>
      </c>
      <c r="D44" s="1">
        <v>2.0</v>
      </c>
      <c r="E44" s="1">
        <v>0.0</v>
      </c>
      <c r="F44" s="1">
        <v>1.0</v>
      </c>
      <c r="G44" s="1">
        <v>-0.8</v>
      </c>
      <c r="H44" s="1">
        <v>0.2</v>
      </c>
      <c r="I44" s="1">
        <v>0.0</v>
      </c>
    </row>
    <row r="45">
      <c r="A45" s="1" t="s">
        <v>253</v>
      </c>
      <c r="B45" s="1">
        <v>5.0</v>
      </c>
      <c r="C45" s="1">
        <v>20.0</v>
      </c>
      <c r="D45" s="1">
        <v>6.0</v>
      </c>
      <c r="E45" s="1">
        <v>1.0</v>
      </c>
      <c r="F45" s="1">
        <v>3.0</v>
      </c>
      <c r="G45" s="1">
        <v>-1.6</v>
      </c>
      <c r="H45" s="1">
        <v>0.6</v>
      </c>
      <c r="I45" s="1">
        <v>16.67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214</v>
      </c>
      <c r="B2" s="1">
        <v>2.0</v>
      </c>
      <c r="C2" s="1">
        <v>8.0</v>
      </c>
      <c r="D2" s="1">
        <v>5.0</v>
      </c>
      <c r="E2" s="1">
        <v>5.0</v>
      </c>
      <c r="F2" s="1">
        <v>0.0</v>
      </c>
      <c r="G2" s="1">
        <v>10.0</v>
      </c>
      <c r="H2" s="1">
        <v>0.0</v>
      </c>
      <c r="I2" s="1">
        <v>100.0</v>
      </c>
    </row>
    <row r="3">
      <c r="A3" s="1" t="s">
        <v>193</v>
      </c>
      <c r="B3" s="1">
        <v>5.0</v>
      </c>
      <c r="C3" s="1">
        <v>20.0</v>
      </c>
      <c r="D3" s="1">
        <v>13.0</v>
      </c>
      <c r="E3" s="1">
        <v>10.0</v>
      </c>
      <c r="F3" s="1">
        <v>1.0</v>
      </c>
      <c r="G3" s="1">
        <v>7.2</v>
      </c>
      <c r="H3" s="1">
        <v>0.2</v>
      </c>
      <c r="I3" s="1">
        <v>76.92</v>
      </c>
    </row>
    <row r="4">
      <c r="A4" s="1" t="s">
        <v>165</v>
      </c>
      <c r="B4" s="1">
        <v>4.0</v>
      </c>
      <c r="C4" s="1">
        <v>16.0</v>
      </c>
      <c r="D4" s="1">
        <v>10.0</v>
      </c>
      <c r="E4" s="1">
        <v>8.0</v>
      </c>
      <c r="F4" s="1">
        <v>1.0</v>
      </c>
      <c r="G4" s="1">
        <v>7.0</v>
      </c>
      <c r="H4" s="1">
        <v>0.25</v>
      </c>
      <c r="I4" s="1">
        <v>80.0</v>
      </c>
    </row>
    <row r="5">
      <c r="A5" s="1" t="s">
        <v>174</v>
      </c>
      <c r="B5" s="1">
        <v>4.0</v>
      </c>
      <c r="C5" s="1">
        <v>16.0</v>
      </c>
      <c r="D5" s="1">
        <v>10.0</v>
      </c>
      <c r="E5" s="1">
        <v>5.0</v>
      </c>
      <c r="F5" s="1">
        <v>0.0</v>
      </c>
      <c r="G5" s="1">
        <v>5.0</v>
      </c>
      <c r="H5" s="1">
        <v>0.0</v>
      </c>
      <c r="I5" s="1">
        <v>50.0</v>
      </c>
    </row>
    <row r="6">
      <c r="A6" s="1" t="s">
        <v>247</v>
      </c>
      <c r="B6" s="1">
        <v>4.0</v>
      </c>
      <c r="C6" s="1">
        <v>16.0</v>
      </c>
      <c r="D6" s="1">
        <v>15.0</v>
      </c>
      <c r="E6" s="1">
        <v>9.0</v>
      </c>
      <c r="F6" s="1">
        <v>5.0</v>
      </c>
      <c r="G6" s="1">
        <v>4.0</v>
      </c>
      <c r="H6" s="1">
        <v>1.25</v>
      </c>
      <c r="I6" s="1">
        <v>60.0</v>
      </c>
    </row>
    <row r="7">
      <c r="A7" s="1" t="s">
        <v>220</v>
      </c>
      <c r="B7" s="1">
        <v>3.0</v>
      </c>
      <c r="C7" s="1">
        <v>12.0</v>
      </c>
      <c r="D7" s="1">
        <v>3.0</v>
      </c>
      <c r="E7" s="1">
        <v>3.0</v>
      </c>
      <c r="F7" s="1">
        <v>0.0</v>
      </c>
      <c r="G7" s="1">
        <v>4.0</v>
      </c>
      <c r="H7" s="1">
        <v>0.0</v>
      </c>
      <c r="I7" s="1">
        <v>100.0</v>
      </c>
    </row>
    <row r="8">
      <c r="A8" s="1" t="s">
        <v>182</v>
      </c>
      <c r="B8" s="1">
        <v>5.0</v>
      </c>
      <c r="C8" s="1">
        <v>20.0</v>
      </c>
      <c r="D8" s="1">
        <v>2.0</v>
      </c>
      <c r="E8" s="1">
        <v>2.0</v>
      </c>
      <c r="F8" s="1">
        <v>0.0</v>
      </c>
      <c r="G8" s="1">
        <v>1.6</v>
      </c>
      <c r="H8" s="1">
        <v>0.0</v>
      </c>
      <c r="I8" s="1">
        <v>100.0</v>
      </c>
    </row>
    <row r="9">
      <c r="A9" s="1" t="s">
        <v>217</v>
      </c>
      <c r="B9" s="1">
        <v>3.0</v>
      </c>
      <c r="C9" s="1">
        <v>12.0</v>
      </c>
      <c r="D9" s="1">
        <v>1.0</v>
      </c>
      <c r="E9" s="1">
        <v>1.0</v>
      </c>
      <c r="F9" s="1">
        <v>0.0</v>
      </c>
      <c r="G9" s="1">
        <v>1.33</v>
      </c>
      <c r="H9" s="1">
        <v>0.0</v>
      </c>
      <c r="I9" s="1">
        <v>100.0</v>
      </c>
    </row>
    <row r="10">
      <c r="A10" s="1" t="s">
        <v>167</v>
      </c>
      <c r="B10" s="1">
        <v>3.0</v>
      </c>
      <c r="C10" s="1">
        <v>12.0</v>
      </c>
      <c r="D10" s="1">
        <v>7.0</v>
      </c>
      <c r="E10" s="1">
        <v>2.0</v>
      </c>
      <c r="F10" s="1">
        <v>1.0</v>
      </c>
      <c r="G10" s="1">
        <v>1.33</v>
      </c>
      <c r="H10" s="1">
        <v>0.33</v>
      </c>
      <c r="I10" s="1">
        <v>28.57</v>
      </c>
    </row>
    <row r="11">
      <c r="A11" s="1" t="s">
        <v>190</v>
      </c>
      <c r="B11" s="1">
        <v>5.0</v>
      </c>
      <c r="C11" s="1">
        <v>20.0</v>
      </c>
      <c r="D11" s="1">
        <v>1.0</v>
      </c>
      <c r="E11" s="1">
        <v>1.0</v>
      </c>
      <c r="F11" s="1">
        <v>0.0</v>
      </c>
      <c r="G11" s="1">
        <v>0.8</v>
      </c>
      <c r="H11" s="1">
        <v>0.0</v>
      </c>
      <c r="I11" s="1">
        <v>100.0</v>
      </c>
    </row>
    <row r="12">
      <c r="A12" s="1" t="s">
        <v>249</v>
      </c>
      <c r="B12" s="1">
        <v>2.0</v>
      </c>
      <c r="C12" s="1">
        <v>8.0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</row>
    <row r="13">
      <c r="A13" s="1" t="s">
        <v>166</v>
      </c>
      <c r="B13" s="1">
        <v>1.0</v>
      </c>
      <c r="C13" s="1">
        <v>4.0</v>
      </c>
      <c r="D13" s="1">
        <v>2.0</v>
      </c>
      <c r="E13" s="1">
        <v>1.0</v>
      </c>
      <c r="F13" s="1">
        <v>1.0</v>
      </c>
      <c r="G13" s="1">
        <v>0.0</v>
      </c>
      <c r="H13" s="1">
        <v>1.0</v>
      </c>
      <c r="I13" s="1">
        <v>50.0</v>
      </c>
    </row>
    <row r="14">
      <c r="A14" s="1" t="s">
        <v>245</v>
      </c>
      <c r="B14" s="1">
        <v>3.0</v>
      </c>
      <c r="C14" s="1">
        <v>12.0</v>
      </c>
      <c r="D14" s="1">
        <v>2.0</v>
      </c>
      <c r="E14" s="1">
        <v>1.0</v>
      </c>
      <c r="F14" s="1">
        <v>1.0</v>
      </c>
      <c r="G14" s="1">
        <v>0.0</v>
      </c>
      <c r="H14" s="1">
        <v>0.33</v>
      </c>
      <c r="I14" s="1">
        <v>50.0</v>
      </c>
    </row>
    <row r="15">
      <c r="A15" s="1" t="s">
        <v>189</v>
      </c>
      <c r="B15" s="1">
        <v>2.0</v>
      </c>
      <c r="C15" s="1">
        <v>8.0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</row>
    <row r="16">
      <c r="A16" s="1" t="s">
        <v>253</v>
      </c>
      <c r="B16" s="1">
        <v>5.0</v>
      </c>
      <c r="C16" s="1">
        <v>20.0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</row>
    <row r="17">
      <c r="A17" s="1" t="s">
        <v>229</v>
      </c>
      <c r="B17" s="1">
        <v>3.0</v>
      </c>
      <c r="C17" s="1">
        <v>12.0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</row>
    <row r="18">
      <c r="A18" s="1" t="s">
        <v>179</v>
      </c>
      <c r="B18" s="1">
        <v>3.0</v>
      </c>
      <c r="C18" s="1">
        <v>12.0</v>
      </c>
      <c r="D18" s="1">
        <v>3.0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</row>
    <row r="19">
      <c r="A19" s="1" t="s">
        <v>244</v>
      </c>
      <c r="B19" s="1">
        <v>1.0</v>
      </c>
      <c r="C19" s="1">
        <v>4.0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</row>
    <row r="20">
      <c r="A20" s="1" t="s">
        <v>257</v>
      </c>
      <c r="B20" s="1">
        <v>1.0</v>
      </c>
      <c r="C20" s="1">
        <v>4.0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</row>
    <row r="21">
      <c r="A21" s="1" t="s">
        <v>208</v>
      </c>
      <c r="B21" s="1">
        <v>3.0</v>
      </c>
      <c r="C21" s="1">
        <v>12.0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</row>
    <row r="22">
      <c r="A22" s="1" t="s">
        <v>256</v>
      </c>
      <c r="B22" s="1">
        <v>1.0</v>
      </c>
      <c r="C22" s="1">
        <v>4.0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</row>
    <row r="23">
      <c r="A23" s="1" t="s">
        <v>255</v>
      </c>
      <c r="B23" s="1">
        <v>1.0</v>
      </c>
      <c r="C23" s="1">
        <v>4.0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</row>
    <row r="24">
      <c r="A24" s="1" t="s">
        <v>251</v>
      </c>
      <c r="B24" s="1">
        <v>1.0</v>
      </c>
      <c r="C24" s="1">
        <v>4.0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</row>
    <row r="25">
      <c r="A25" s="1" t="s">
        <v>191</v>
      </c>
      <c r="B25" s="1">
        <v>2.0</v>
      </c>
      <c r="C25" s="1">
        <v>8.0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</row>
    <row r="26">
      <c r="A26" s="1" t="s">
        <v>258</v>
      </c>
      <c r="B26" s="1">
        <v>3.0</v>
      </c>
      <c r="C26" s="1">
        <v>12.0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</row>
    <row r="27">
      <c r="A27" s="1" t="s">
        <v>231</v>
      </c>
      <c r="B27" s="1">
        <v>2.0</v>
      </c>
      <c r="C27" s="1">
        <v>8.0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</row>
    <row r="28">
      <c r="A28" s="1" t="s">
        <v>199</v>
      </c>
      <c r="B28" s="1">
        <v>2.0</v>
      </c>
      <c r="C28" s="1">
        <v>8.0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</row>
    <row r="29">
      <c r="A29" s="1" t="s">
        <v>252</v>
      </c>
      <c r="B29" s="1">
        <v>1.0</v>
      </c>
      <c r="C29" s="1">
        <v>4.0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</row>
    <row r="30">
      <c r="A30" s="1" t="s">
        <v>254</v>
      </c>
      <c r="B30" s="1">
        <v>4.0</v>
      </c>
      <c r="C30" s="1">
        <v>16.0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</row>
    <row r="31">
      <c r="A31" s="1" t="s">
        <v>234</v>
      </c>
      <c r="B31" s="1">
        <v>1.0</v>
      </c>
      <c r="C31" s="1">
        <v>4.0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</row>
    <row r="32">
      <c r="A32" s="1" t="s">
        <v>238</v>
      </c>
      <c r="B32" s="1">
        <v>1.0</v>
      </c>
      <c r="C32" s="1">
        <v>4.0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>
      <c r="A33" s="1" t="s">
        <v>223</v>
      </c>
      <c r="B33" s="1">
        <v>3.0</v>
      </c>
      <c r="C33" s="1">
        <v>12.0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192</v>
      </c>
      <c r="B34" s="1">
        <v>3.0</v>
      </c>
      <c r="C34" s="1">
        <v>12.0</v>
      </c>
      <c r="D34" s="1">
        <v>1.0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>
      <c r="A35" s="1" t="s">
        <v>221</v>
      </c>
      <c r="B35" s="1">
        <v>3.0</v>
      </c>
      <c r="C35" s="1">
        <v>12.0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212</v>
      </c>
      <c r="B36" s="1">
        <v>1.0</v>
      </c>
      <c r="C36" s="1">
        <v>4.0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</row>
    <row r="37">
      <c r="A37" s="1" t="s">
        <v>246</v>
      </c>
      <c r="B37" s="1">
        <v>1.0</v>
      </c>
      <c r="C37" s="1">
        <v>4.0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>
      <c r="A38" s="1" t="s">
        <v>250</v>
      </c>
      <c r="B38" s="1">
        <v>1.0</v>
      </c>
      <c r="C38" s="1">
        <v>4.0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</row>
    <row r="39">
      <c r="A39" s="1" t="s">
        <v>248</v>
      </c>
      <c r="B39" s="1">
        <v>2.0</v>
      </c>
      <c r="C39" s="1">
        <v>8.0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211</v>
      </c>
      <c r="B40" s="1">
        <v>3.0</v>
      </c>
      <c r="C40" s="1">
        <v>12.0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</row>
    <row r="41">
      <c r="A41" s="1" t="s">
        <v>239</v>
      </c>
      <c r="B41" s="1">
        <v>3.0</v>
      </c>
      <c r="C41" s="1">
        <v>12.0</v>
      </c>
      <c r="D41" s="1">
        <v>1.0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233</v>
      </c>
      <c r="B42" s="1">
        <v>3.0</v>
      </c>
      <c r="C42" s="1">
        <v>12.0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</row>
    <row r="43">
      <c r="A43" s="1" t="s">
        <v>237</v>
      </c>
      <c r="B43" s="1">
        <v>4.0</v>
      </c>
      <c r="C43" s="1">
        <v>16.0</v>
      </c>
      <c r="D43" s="1">
        <v>1.0</v>
      </c>
      <c r="E43" s="1">
        <v>0.0</v>
      </c>
      <c r="F43" s="1">
        <v>1.0</v>
      </c>
      <c r="G43" s="1">
        <v>-1.0</v>
      </c>
      <c r="H43" s="1">
        <v>0.25</v>
      </c>
      <c r="I43" s="1">
        <v>0.0</v>
      </c>
    </row>
    <row r="44">
      <c r="A44" s="1" t="s">
        <v>198</v>
      </c>
      <c r="B44" s="1">
        <v>3.0</v>
      </c>
      <c r="C44" s="1">
        <v>12.0</v>
      </c>
      <c r="D44" s="1">
        <v>1.0</v>
      </c>
      <c r="E44" s="1">
        <v>0.0</v>
      </c>
      <c r="F44" s="1">
        <v>1.0</v>
      </c>
      <c r="G44" s="1">
        <v>-1.33</v>
      </c>
      <c r="H44" s="1">
        <v>0.33</v>
      </c>
      <c r="I44" s="1">
        <v>0.0</v>
      </c>
    </row>
    <row r="45">
      <c r="A45" s="1" t="s">
        <v>194</v>
      </c>
      <c r="B45" s="1">
        <v>2.0</v>
      </c>
      <c r="C45" s="1">
        <v>8.0</v>
      </c>
      <c r="D45" s="1">
        <v>1.0</v>
      </c>
      <c r="E45" s="1">
        <v>0.0</v>
      </c>
      <c r="F45" s="1">
        <v>1.0</v>
      </c>
      <c r="G45" s="1">
        <v>-2.0</v>
      </c>
      <c r="H45" s="1">
        <v>0.5</v>
      </c>
      <c r="I45" s="1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>
      <c r="A2" s="1" t="s">
        <v>174</v>
      </c>
      <c r="B2" s="1">
        <v>4.0</v>
      </c>
      <c r="C2" s="1">
        <v>16.0</v>
      </c>
      <c r="D2" s="1">
        <v>7.0</v>
      </c>
      <c r="E2" s="1">
        <v>7.0</v>
      </c>
      <c r="F2" s="1">
        <v>0.0</v>
      </c>
      <c r="G2" s="1">
        <v>7.0</v>
      </c>
      <c r="H2" s="1">
        <v>0.0</v>
      </c>
      <c r="I2" s="1">
        <v>100.0</v>
      </c>
    </row>
    <row r="3">
      <c r="A3" s="1" t="s">
        <v>211</v>
      </c>
      <c r="B3" s="1">
        <v>3.0</v>
      </c>
      <c r="C3" s="1">
        <v>12.0</v>
      </c>
      <c r="D3" s="1">
        <v>6.0</v>
      </c>
      <c r="E3" s="1">
        <v>5.0</v>
      </c>
      <c r="F3" s="1">
        <v>0.0</v>
      </c>
      <c r="G3" s="1">
        <v>6.67</v>
      </c>
      <c r="H3" s="1">
        <v>0.0</v>
      </c>
      <c r="I3" s="1">
        <v>83.33</v>
      </c>
    </row>
    <row r="4">
      <c r="A4" s="1" t="s">
        <v>189</v>
      </c>
      <c r="B4" s="1">
        <v>2.0</v>
      </c>
      <c r="C4" s="1">
        <v>8.0</v>
      </c>
      <c r="D4" s="1">
        <v>3.0</v>
      </c>
      <c r="E4" s="1">
        <v>3.0</v>
      </c>
      <c r="F4" s="1">
        <v>0.0</v>
      </c>
      <c r="G4" s="1">
        <v>6.0</v>
      </c>
      <c r="H4" s="1">
        <v>0.0</v>
      </c>
      <c r="I4" s="1">
        <v>100.0</v>
      </c>
    </row>
    <row r="5">
      <c r="A5" s="1" t="s">
        <v>247</v>
      </c>
      <c r="B5" s="1">
        <v>4.0</v>
      </c>
      <c r="C5" s="1">
        <v>16.0</v>
      </c>
      <c r="D5" s="1">
        <v>15.0</v>
      </c>
      <c r="E5" s="1">
        <v>9.0</v>
      </c>
      <c r="F5" s="1">
        <v>4.0</v>
      </c>
      <c r="G5" s="1">
        <v>5.0</v>
      </c>
      <c r="H5" s="1">
        <v>1.0</v>
      </c>
      <c r="I5" s="1">
        <v>60.0</v>
      </c>
    </row>
    <row r="6">
      <c r="A6" s="1" t="s">
        <v>165</v>
      </c>
      <c r="B6" s="1">
        <v>4.0</v>
      </c>
      <c r="C6" s="1">
        <v>16.0</v>
      </c>
      <c r="D6" s="1">
        <v>11.0</v>
      </c>
      <c r="E6" s="1">
        <v>6.0</v>
      </c>
      <c r="F6" s="1">
        <v>2.0</v>
      </c>
      <c r="G6" s="1">
        <v>4.0</v>
      </c>
      <c r="H6" s="1">
        <v>0.5</v>
      </c>
      <c r="I6" s="1">
        <v>54.55</v>
      </c>
    </row>
    <row r="7">
      <c r="A7" s="1" t="s">
        <v>246</v>
      </c>
      <c r="B7" s="1">
        <v>1.0</v>
      </c>
      <c r="C7" s="1">
        <v>4.0</v>
      </c>
      <c r="D7" s="1">
        <v>1.0</v>
      </c>
      <c r="E7" s="1">
        <v>1.0</v>
      </c>
      <c r="F7" s="1">
        <v>0.0</v>
      </c>
      <c r="G7" s="1">
        <v>4.0</v>
      </c>
      <c r="H7" s="1">
        <v>0.0</v>
      </c>
      <c r="I7" s="1">
        <v>100.0</v>
      </c>
    </row>
    <row r="8">
      <c r="A8" s="1" t="s">
        <v>212</v>
      </c>
      <c r="B8" s="1">
        <v>1.0</v>
      </c>
      <c r="C8" s="1">
        <v>4.0</v>
      </c>
      <c r="D8" s="1">
        <v>1.0</v>
      </c>
      <c r="E8" s="1">
        <v>1.0</v>
      </c>
      <c r="F8" s="1">
        <v>0.0</v>
      </c>
      <c r="G8" s="1">
        <v>4.0</v>
      </c>
      <c r="H8" s="1">
        <v>0.0</v>
      </c>
      <c r="I8" s="1">
        <v>100.0</v>
      </c>
    </row>
    <row r="9">
      <c r="A9" s="1" t="s">
        <v>194</v>
      </c>
      <c r="B9" s="1">
        <v>2.0</v>
      </c>
      <c r="C9" s="1">
        <v>8.0</v>
      </c>
      <c r="D9" s="1">
        <v>2.0</v>
      </c>
      <c r="E9" s="1">
        <v>2.0</v>
      </c>
      <c r="F9" s="1">
        <v>0.0</v>
      </c>
      <c r="G9" s="1">
        <v>4.0</v>
      </c>
      <c r="H9" s="1">
        <v>0.0</v>
      </c>
      <c r="I9" s="1">
        <v>100.0</v>
      </c>
    </row>
    <row r="10">
      <c r="A10" s="1" t="s">
        <v>231</v>
      </c>
      <c r="B10" s="1">
        <v>2.0</v>
      </c>
      <c r="C10" s="1">
        <v>8.0</v>
      </c>
      <c r="D10" s="1">
        <v>2.0</v>
      </c>
      <c r="E10" s="1">
        <v>1.0</v>
      </c>
      <c r="F10" s="1">
        <v>0.0</v>
      </c>
      <c r="G10" s="1">
        <v>2.0</v>
      </c>
      <c r="H10" s="1">
        <v>0.0</v>
      </c>
      <c r="I10" s="1">
        <v>50.0</v>
      </c>
    </row>
    <row r="11">
      <c r="A11" s="1" t="s">
        <v>220</v>
      </c>
      <c r="B11" s="1">
        <v>3.0</v>
      </c>
      <c r="C11" s="1">
        <v>12.0</v>
      </c>
      <c r="D11" s="1">
        <v>1.0</v>
      </c>
      <c r="E11" s="1">
        <v>1.0</v>
      </c>
      <c r="F11" s="1">
        <v>0.0</v>
      </c>
      <c r="G11" s="1">
        <v>1.33</v>
      </c>
      <c r="H11" s="1">
        <v>0.0</v>
      </c>
      <c r="I11" s="1">
        <v>100.0</v>
      </c>
    </row>
    <row r="12">
      <c r="A12" s="1" t="s">
        <v>239</v>
      </c>
      <c r="B12" s="1">
        <v>3.0</v>
      </c>
      <c r="C12" s="1">
        <v>12.0</v>
      </c>
      <c r="D12" s="1">
        <v>3.0</v>
      </c>
      <c r="E12" s="1">
        <v>1.0</v>
      </c>
      <c r="F12" s="1">
        <v>0.0</v>
      </c>
      <c r="G12" s="1">
        <v>1.33</v>
      </c>
      <c r="H12" s="1">
        <v>0.0</v>
      </c>
      <c r="I12" s="1">
        <v>33.33</v>
      </c>
    </row>
    <row r="13">
      <c r="A13" s="1" t="s">
        <v>193</v>
      </c>
      <c r="B13" s="1">
        <v>5.0</v>
      </c>
      <c r="C13" s="1">
        <v>20.0</v>
      </c>
      <c r="D13" s="1">
        <v>7.0</v>
      </c>
      <c r="E13" s="1">
        <v>3.0</v>
      </c>
      <c r="F13" s="1">
        <v>2.0</v>
      </c>
      <c r="G13" s="1">
        <v>0.8</v>
      </c>
      <c r="H13" s="1">
        <v>0.4</v>
      </c>
      <c r="I13" s="1">
        <v>42.86</v>
      </c>
    </row>
    <row r="14">
      <c r="A14" s="1" t="s">
        <v>257</v>
      </c>
      <c r="B14" s="1">
        <v>1.0</v>
      </c>
      <c r="C14" s="1">
        <v>4.0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</row>
    <row r="15">
      <c r="A15" s="1" t="s">
        <v>251</v>
      </c>
      <c r="B15" s="1">
        <v>1.0</v>
      </c>
      <c r="C15" s="1">
        <v>4.0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</row>
    <row r="16">
      <c r="A16" s="1" t="s">
        <v>253</v>
      </c>
      <c r="B16" s="1">
        <v>5.0</v>
      </c>
      <c r="C16" s="1">
        <v>20.0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</row>
    <row r="17">
      <c r="A17" s="1" t="s">
        <v>237</v>
      </c>
      <c r="B17" s="1">
        <v>4.0</v>
      </c>
      <c r="C17" s="1">
        <v>16.0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</row>
    <row r="18">
      <c r="A18" s="1" t="s">
        <v>249</v>
      </c>
      <c r="B18" s="1">
        <v>2.0</v>
      </c>
      <c r="C18" s="1">
        <v>8.0</v>
      </c>
      <c r="D18" s="1">
        <v>1.0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</row>
    <row r="19">
      <c r="A19" s="1" t="s">
        <v>179</v>
      </c>
      <c r="B19" s="1">
        <v>3.0</v>
      </c>
      <c r="C19" s="1">
        <v>12.0</v>
      </c>
      <c r="D19" s="1">
        <v>2.0</v>
      </c>
      <c r="E19" s="1">
        <v>1.0</v>
      </c>
      <c r="F19" s="1">
        <v>1.0</v>
      </c>
      <c r="G19" s="1">
        <v>0.0</v>
      </c>
      <c r="H19" s="1">
        <v>0.33</v>
      </c>
      <c r="I19" s="1">
        <v>50.0</v>
      </c>
    </row>
    <row r="20">
      <c r="A20" s="1" t="s">
        <v>255</v>
      </c>
      <c r="B20" s="1">
        <v>1.0</v>
      </c>
      <c r="C20" s="1">
        <v>4.0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</row>
    <row r="21">
      <c r="A21" s="1" t="s">
        <v>244</v>
      </c>
      <c r="B21" s="1">
        <v>1.0</v>
      </c>
      <c r="C21" s="1">
        <v>4.0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</row>
    <row r="22">
      <c r="A22" s="1" t="s">
        <v>256</v>
      </c>
      <c r="B22" s="1">
        <v>1.0</v>
      </c>
      <c r="C22" s="1">
        <v>4.0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</row>
    <row r="23">
      <c r="A23" s="1" t="s">
        <v>208</v>
      </c>
      <c r="B23" s="1">
        <v>3.0</v>
      </c>
      <c r="C23" s="1">
        <v>12.0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</row>
    <row r="24">
      <c r="A24" s="1" t="s">
        <v>166</v>
      </c>
      <c r="B24" s="1">
        <v>1.0</v>
      </c>
      <c r="C24" s="1">
        <v>4.0</v>
      </c>
      <c r="D24" s="1">
        <v>3.0</v>
      </c>
      <c r="E24" s="1">
        <v>1.0</v>
      </c>
      <c r="F24" s="1">
        <v>1.0</v>
      </c>
      <c r="G24" s="1">
        <v>0.0</v>
      </c>
      <c r="H24" s="1">
        <v>1.0</v>
      </c>
      <c r="I24" s="1">
        <v>33.33</v>
      </c>
    </row>
    <row r="25">
      <c r="A25" s="1" t="s">
        <v>191</v>
      </c>
      <c r="B25" s="1">
        <v>2.0</v>
      </c>
      <c r="C25" s="1">
        <v>8.0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</row>
    <row r="26">
      <c r="A26" s="1" t="s">
        <v>190</v>
      </c>
      <c r="B26" s="1">
        <v>5.0</v>
      </c>
      <c r="C26" s="1">
        <v>20.0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</row>
    <row r="27">
      <c r="A27" s="1" t="s">
        <v>229</v>
      </c>
      <c r="B27" s="1">
        <v>3.0</v>
      </c>
      <c r="C27" s="1">
        <v>12.0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</row>
    <row r="28">
      <c r="A28" s="1" t="s">
        <v>217</v>
      </c>
      <c r="B28" s="1">
        <v>3.0</v>
      </c>
      <c r="C28" s="1">
        <v>12.0</v>
      </c>
      <c r="D28" s="1">
        <v>1.0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</row>
    <row r="29">
      <c r="A29" s="1" t="s">
        <v>221</v>
      </c>
      <c r="B29" s="1">
        <v>3.0</v>
      </c>
      <c r="C29" s="1">
        <v>12.0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</row>
    <row r="30">
      <c r="A30" s="1" t="s">
        <v>252</v>
      </c>
      <c r="B30" s="1">
        <v>1.0</v>
      </c>
      <c r="C30" s="1">
        <v>4.0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</row>
    <row r="31">
      <c r="A31" s="1" t="s">
        <v>214</v>
      </c>
      <c r="B31" s="1">
        <v>2.0</v>
      </c>
      <c r="C31" s="1">
        <v>8.0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</row>
    <row r="32">
      <c r="A32" s="1" t="s">
        <v>254</v>
      </c>
      <c r="B32" s="1">
        <v>4.0</v>
      </c>
      <c r="C32" s="1">
        <v>16.0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</row>
    <row r="33">
      <c r="A33" s="1" t="s">
        <v>234</v>
      </c>
      <c r="B33" s="1">
        <v>1.0</v>
      </c>
      <c r="C33" s="1">
        <v>4.0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</row>
    <row r="34">
      <c r="A34" s="1" t="s">
        <v>238</v>
      </c>
      <c r="B34" s="1">
        <v>1.0</v>
      </c>
      <c r="C34" s="1">
        <v>4.0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</row>
    <row r="35">
      <c r="A35" s="1" t="s">
        <v>223</v>
      </c>
      <c r="B35" s="1">
        <v>3.0</v>
      </c>
      <c r="C35" s="1">
        <v>12.0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</row>
    <row r="36">
      <c r="A36" s="1" t="s">
        <v>192</v>
      </c>
      <c r="B36" s="1">
        <v>3.0</v>
      </c>
      <c r="C36" s="1">
        <v>12.0</v>
      </c>
      <c r="D36" s="1">
        <v>7.0</v>
      </c>
      <c r="E36" s="1">
        <v>2.0</v>
      </c>
      <c r="F36" s="1">
        <v>2.0</v>
      </c>
      <c r="G36" s="1">
        <v>0.0</v>
      </c>
      <c r="H36" s="1">
        <v>0.67</v>
      </c>
      <c r="I36" s="1">
        <v>28.57</v>
      </c>
    </row>
    <row r="37">
      <c r="A37" s="1" t="s">
        <v>250</v>
      </c>
      <c r="B37" s="1">
        <v>1.0</v>
      </c>
      <c r="C37" s="1">
        <v>4.0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</row>
    <row r="38">
      <c r="A38" s="1" t="s">
        <v>248</v>
      </c>
      <c r="B38" s="1">
        <v>2.0</v>
      </c>
      <c r="C38" s="1">
        <v>8.0</v>
      </c>
      <c r="D38" s="1">
        <v>2.0</v>
      </c>
      <c r="E38" s="1">
        <v>1.0</v>
      </c>
      <c r="F38" s="1">
        <v>1.0</v>
      </c>
      <c r="G38" s="1">
        <v>0.0</v>
      </c>
      <c r="H38" s="1">
        <v>0.5</v>
      </c>
      <c r="I38" s="1">
        <v>50.0</v>
      </c>
    </row>
    <row r="39">
      <c r="A39" s="1" t="s">
        <v>167</v>
      </c>
      <c r="B39" s="1">
        <v>3.0</v>
      </c>
      <c r="C39" s="1">
        <v>12.0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</row>
    <row r="40">
      <c r="A40" s="1" t="s">
        <v>199</v>
      </c>
      <c r="B40" s="1">
        <v>2.0</v>
      </c>
      <c r="C40" s="1">
        <v>8.0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</row>
    <row r="41">
      <c r="A41" s="1" t="s">
        <v>182</v>
      </c>
      <c r="B41" s="1">
        <v>5.0</v>
      </c>
      <c r="C41" s="1">
        <v>20.0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</row>
    <row r="42">
      <c r="A42" s="1" t="s">
        <v>258</v>
      </c>
      <c r="B42" s="1">
        <v>3.0</v>
      </c>
      <c r="C42" s="1">
        <v>12.0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</row>
    <row r="43">
      <c r="A43" s="1" t="s">
        <v>198</v>
      </c>
      <c r="B43" s="1">
        <v>3.0</v>
      </c>
      <c r="C43" s="1">
        <v>12.0</v>
      </c>
      <c r="D43" s="1">
        <v>3.0</v>
      </c>
      <c r="E43" s="1">
        <v>1.0</v>
      </c>
      <c r="F43" s="1">
        <v>2.0</v>
      </c>
      <c r="G43" s="1">
        <v>-1.33</v>
      </c>
      <c r="H43" s="1">
        <v>0.67</v>
      </c>
      <c r="I43" s="1">
        <v>33.33</v>
      </c>
    </row>
    <row r="44">
      <c r="A44" s="1" t="s">
        <v>233</v>
      </c>
      <c r="B44" s="1">
        <v>3.0</v>
      </c>
      <c r="C44" s="1">
        <v>12.0</v>
      </c>
      <c r="D44" s="1">
        <v>1.0</v>
      </c>
      <c r="E44" s="1">
        <v>0.0</v>
      </c>
      <c r="F44" s="1">
        <v>1.0</v>
      </c>
      <c r="G44" s="1">
        <v>-1.33</v>
      </c>
      <c r="H44" s="1">
        <v>0.33</v>
      </c>
      <c r="I44" s="1">
        <v>0.0</v>
      </c>
    </row>
    <row r="45">
      <c r="A45" s="1" t="s">
        <v>245</v>
      </c>
      <c r="B45" s="1">
        <v>3.0</v>
      </c>
      <c r="C45" s="1">
        <v>12.0</v>
      </c>
      <c r="D45" s="1">
        <v>2.0</v>
      </c>
      <c r="E45" s="1">
        <v>0.0</v>
      </c>
      <c r="F45" s="1">
        <v>2.0</v>
      </c>
      <c r="G45" s="1">
        <v>-2.67</v>
      </c>
      <c r="H45" s="1">
        <v>0.67</v>
      </c>
      <c r="I45" s="1">
        <v>0.0</v>
      </c>
    </row>
  </sheetData>
  <drawing r:id="rId1"/>
</worksheet>
</file>