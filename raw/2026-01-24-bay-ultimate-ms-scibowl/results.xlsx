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Information" sheetId="1" r:id="rId5"/>
    <sheet state="visible" name="RR Rooms" sheetId="2" r:id="rId6"/>
    <sheet state="visible" name="RR Scoring" sheetId="3" r:id="rId7"/>
    <sheet state="visible" name="RR Rankings (DE Seeds)" sheetId="4" r:id="rId8"/>
    <sheet state="visible" name="DE Bracket" sheetId="5" r:id="rId9"/>
  </sheets>
  <definedNames/>
  <calcPr/>
</workbook>
</file>

<file path=xl/sharedStrings.xml><?xml version="1.0" encoding="utf-8"?>
<sst xmlns="http://schemas.openxmlformats.org/spreadsheetml/2006/main" count="382" uniqueCount="217">
  <si>
    <t>BUMS 2026 Tournament Information</t>
  </si>
  <si>
    <t>RR Rankings</t>
  </si>
  <si>
    <t>Hosted on January 24, 2026</t>
  </si>
  <si>
    <t>Ranking</t>
  </si>
  <si>
    <t>Time (All in PST)</t>
  </si>
  <si>
    <t>Team</t>
  </si>
  <si>
    <t>Round</t>
  </si>
  <si>
    <t>Total Points</t>
  </si>
  <si>
    <t>All Participating Teams</t>
  </si>
  <si>
    <t>Divisional Bonus</t>
  </si>
  <si>
    <t>Final RR Score</t>
  </si>
  <si>
    <t>RR Scoring</t>
  </si>
  <si>
    <t>RR Rooms</t>
  </si>
  <si>
    <t>Evergreen</t>
  </si>
  <si>
    <t>8:00 - 8:30 AM</t>
  </si>
  <si>
    <t>Opening Ceremony</t>
  </si>
  <si>
    <t>A1</t>
  </si>
  <si>
    <t>Room</t>
  </si>
  <si>
    <t>RR1</t>
  </si>
  <si>
    <t>RR2</t>
  </si>
  <si>
    <t>RR3</t>
  </si>
  <si>
    <t>8:30 - 9:05 AM</t>
  </si>
  <si>
    <t>A2</t>
  </si>
  <si>
    <t>Alzheimer's</t>
  </si>
  <si>
    <t>9:05 - 9:40 AM</t>
  </si>
  <si>
    <t>RR4</t>
  </si>
  <si>
    <t>A3</t>
  </si>
  <si>
    <t>RR5</t>
  </si>
  <si>
    <t>9:40 - 10:15 AM</t>
  </si>
  <si>
    <t>A4</t>
  </si>
  <si>
    <t>10:15 - 10:50 AM</t>
  </si>
  <si>
    <t>A5</t>
  </si>
  <si>
    <t>Scores</t>
  </si>
  <si>
    <t>10:50 - 11:25 AM</t>
  </si>
  <si>
    <t>A6</t>
  </si>
  <si>
    <t>11:25 AM - 12:30 PM</t>
  </si>
  <si>
    <t>Ampere</t>
  </si>
  <si>
    <t>A1 vs. A2</t>
  </si>
  <si>
    <t>Total</t>
  </si>
  <si>
    <t>Hopkins A</t>
  </si>
  <si>
    <t>A1 vs. A3</t>
  </si>
  <si>
    <t>A1 vs. A4</t>
  </si>
  <si>
    <t>A1 vs. A5</t>
  </si>
  <si>
    <r>
      <rPr>
        <rFont val="Calibri"/>
        <color theme="1"/>
      </rPr>
      <t xml:space="preserve">A1 - </t>
    </r>
    <r>
      <rPr>
        <rFont val="Calibri"/>
        <b/>
        <color theme="1"/>
      </rPr>
      <t>BYE</t>
    </r>
  </si>
  <si>
    <t>Boltzmann</t>
  </si>
  <si>
    <t>A3 vs. A4</t>
  </si>
  <si>
    <r>
      <rPr>
        <rFont val="Calibri"/>
        <color theme="1"/>
      </rPr>
      <t xml:space="preserve">A4 - </t>
    </r>
    <r>
      <rPr>
        <rFont val="Calibri"/>
        <b/>
        <color theme="1"/>
      </rPr>
      <t>BYE</t>
    </r>
  </si>
  <si>
    <r>
      <rPr>
        <rFont val="Calibri"/>
        <color theme="1"/>
      </rPr>
      <t xml:space="preserve">A2 - </t>
    </r>
    <r>
      <rPr>
        <rFont val="Calibri"/>
        <b/>
        <color theme="1"/>
      </rPr>
      <t>BYE</t>
    </r>
  </si>
  <si>
    <t>A2 vs. A4</t>
  </si>
  <si>
    <t>A2 vs. A3</t>
  </si>
  <si>
    <t>Liberty A</t>
  </si>
  <si>
    <t>Curie</t>
  </si>
  <si>
    <r>
      <rPr>
        <rFont val="Calibri"/>
        <color theme="1"/>
      </rPr>
      <t xml:space="preserve">A5 - </t>
    </r>
    <r>
      <rPr>
        <rFont val="Calibri"/>
        <b/>
        <color theme="1"/>
      </rPr>
      <t>BYE</t>
    </r>
  </si>
  <si>
    <t>Lunch Break</t>
  </si>
  <si>
    <t>A2 vs. A5</t>
  </si>
  <si>
    <t>A3 vs. A5</t>
  </si>
  <si>
    <r>
      <rPr>
        <rFont val="Calibri"/>
        <color theme="1"/>
      </rPr>
      <t xml:space="preserve">A3 - </t>
    </r>
    <r>
      <rPr>
        <rFont val="Calibri"/>
        <b/>
        <color theme="1"/>
      </rPr>
      <t>BYE</t>
    </r>
  </si>
  <si>
    <t>A4 vs. A5</t>
  </si>
  <si>
    <t>B1</t>
  </si>
  <si>
    <t>Bronchitis</t>
  </si>
  <si>
    <t>Quail Valley</t>
  </si>
  <si>
    <t>Dirac</t>
  </si>
  <si>
    <t>B1 vs. B2</t>
  </si>
  <si>
    <t>12:30 - 1:05 PM</t>
  </si>
  <si>
    <t>DE1</t>
  </si>
  <si>
    <t>B2</t>
  </si>
  <si>
    <t>B1 vs. B3</t>
  </si>
  <si>
    <t>B1 vs. B4</t>
  </si>
  <si>
    <t>1:05 - 1:40 PM</t>
  </si>
  <si>
    <t>B1 vs. B5</t>
  </si>
  <si>
    <t>DE2</t>
  </si>
  <si>
    <t>B1 vs. B6</t>
  </si>
  <si>
    <t>B3</t>
  </si>
  <si>
    <t>1:40 - 2:15 PM</t>
  </si>
  <si>
    <t>DE3</t>
  </si>
  <si>
    <t>B4</t>
  </si>
  <si>
    <t>2:15 - 2:50 PM</t>
  </si>
  <si>
    <t>Einstein</t>
  </si>
  <si>
    <t>DE4</t>
  </si>
  <si>
    <t>B3 vs. B4</t>
  </si>
  <si>
    <t>B5</t>
  </si>
  <si>
    <r>
      <rPr>
        <rFont val="Calibri"/>
        <color theme="1"/>
      </rPr>
      <t xml:space="preserve">B4 vs. </t>
    </r>
    <r>
      <rPr>
        <rFont val="Calibri"/>
        <color theme="1"/>
      </rPr>
      <t>B6</t>
    </r>
  </si>
  <si>
    <t>2:50 - 3:25 PM</t>
  </si>
  <si>
    <t>DE5</t>
  </si>
  <si>
    <r>
      <rPr>
        <rFont val="Calibri"/>
        <color theme="1"/>
      </rPr>
      <t xml:space="preserve">B2 vs. </t>
    </r>
    <r>
      <rPr>
        <rFont val="Calibri"/>
        <color theme="1"/>
      </rPr>
      <t>B6</t>
    </r>
  </si>
  <si>
    <t>B6</t>
  </si>
  <si>
    <t>B2 vs. B4</t>
  </si>
  <si>
    <t>B2 vs. B3</t>
  </si>
  <si>
    <t>3:25 - 4:00 PM</t>
  </si>
  <si>
    <t>DE6</t>
  </si>
  <si>
    <t>C1</t>
  </si>
  <si>
    <t>Feynman</t>
  </si>
  <si>
    <t>B5 vs. B6</t>
  </si>
  <si>
    <t>B2 vs. B5</t>
  </si>
  <si>
    <t>B3 vs. B5</t>
  </si>
  <si>
    <t>4:00 - 4:35 PM</t>
  </si>
  <si>
    <t>DE7</t>
  </si>
  <si>
    <r>
      <rPr>
        <rFont val="Calibri"/>
        <color theme="1"/>
      </rPr>
      <t xml:space="preserve">B3 vs. </t>
    </r>
    <r>
      <rPr>
        <rFont val="Calibri"/>
        <color theme="1"/>
      </rPr>
      <t>B6</t>
    </r>
  </si>
  <si>
    <t>C2</t>
  </si>
  <si>
    <t>BISV</t>
  </si>
  <si>
    <t>B4 vs. B5</t>
  </si>
  <si>
    <t>4:35 - 5:10 PM</t>
  </si>
  <si>
    <t>Finals 1</t>
  </si>
  <si>
    <t>C3</t>
  </si>
  <si>
    <t>5:10 - 5:45 PM</t>
  </si>
  <si>
    <t>Finals 2* (if needed)</t>
  </si>
  <si>
    <t>C4</t>
  </si>
  <si>
    <t>5:45 - 6:05 PM (or 5:10 - 5:30 PM)</t>
  </si>
  <si>
    <t>Creutzfeldt-Jakob</t>
  </si>
  <si>
    <t>Closing and Award Ceremony</t>
  </si>
  <si>
    <t>Galileo</t>
  </si>
  <si>
    <t>C5</t>
  </si>
  <si>
    <t>C1 vs. C2</t>
  </si>
  <si>
    <t>C6</t>
  </si>
  <si>
    <t>C1 vs. C3</t>
  </si>
  <si>
    <t>C1 vs. C4</t>
  </si>
  <si>
    <t>C1 vs. C5</t>
  </si>
  <si>
    <r>
      <rPr>
        <rFont val="Calibri"/>
        <color theme="1"/>
      </rPr>
      <t xml:space="preserve">C1 - </t>
    </r>
    <r>
      <rPr>
        <rFont val="Calibri"/>
        <b/>
        <color theme="1"/>
      </rPr>
      <t>BYE</t>
    </r>
  </si>
  <si>
    <t>Heisenberg</t>
  </si>
  <si>
    <t>Oak Ave A</t>
  </si>
  <si>
    <t>C3 vs. C4</t>
  </si>
  <si>
    <r>
      <rPr>
        <rFont val="Calibri"/>
        <color theme="1"/>
      </rPr>
      <t xml:space="preserve">C4 - </t>
    </r>
    <r>
      <rPr>
        <rFont val="Calibri"/>
        <b/>
        <color theme="1"/>
      </rPr>
      <t>BYE</t>
    </r>
  </si>
  <si>
    <t>Important Links</t>
  </si>
  <si>
    <r>
      <rPr>
        <rFont val="Calibri"/>
        <color theme="1"/>
      </rPr>
      <t xml:space="preserve">C2 - </t>
    </r>
    <r>
      <rPr>
        <rFont val="Calibri"/>
        <b/>
        <color theme="1"/>
      </rPr>
      <t>BYE</t>
    </r>
  </si>
  <si>
    <t>C2 vs. C4</t>
  </si>
  <si>
    <t>C2 vs. C3</t>
  </si>
  <si>
    <t>Ising</t>
  </si>
  <si>
    <r>
      <rPr>
        <rFont val="Calibri"/>
        <color theme="1"/>
      </rPr>
      <t xml:space="preserve">C5 - </t>
    </r>
    <r>
      <rPr>
        <rFont val="Calibri"/>
        <b/>
        <color theme="1"/>
      </rPr>
      <t>BYE</t>
    </r>
  </si>
  <si>
    <t>C2 vs. C5</t>
  </si>
  <si>
    <t>C3 vs. C5</t>
  </si>
  <si>
    <r>
      <rPr>
        <rFont val="Calibri"/>
        <color theme="1"/>
      </rPr>
      <t xml:space="preserve">C3 - </t>
    </r>
    <r>
      <rPr>
        <rFont val="Calibri"/>
        <b/>
        <color theme="1"/>
      </rPr>
      <t>BYE</t>
    </r>
  </si>
  <si>
    <t>D1</t>
  </si>
  <si>
    <t>C4 vs. C5</t>
  </si>
  <si>
    <t>Diabetes</t>
  </si>
  <si>
    <t>Discovery</t>
  </si>
  <si>
    <t>Tournament Hub</t>
  </si>
  <si>
    <t>Joule</t>
  </si>
  <si>
    <t>D1 vs. D2</t>
  </si>
  <si>
    <t>D1 vs. D3</t>
  </si>
  <si>
    <t>D1 vs. D4</t>
  </si>
  <si>
    <t>D1 vs. D5</t>
  </si>
  <si>
    <t>Horner</t>
  </si>
  <si>
    <r>
      <rPr>
        <rFont val="Calibri"/>
        <color theme="1"/>
      </rPr>
      <t xml:space="preserve">D1 - </t>
    </r>
    <r>
      <rPr>
        <rFont val="Calibri"/>
        <b/>
        <color theme="1"/>
      </rPr>
      <t>BYE</t>
    </r>
  </si>
  <si>
    <t>Kirchhoff</t>
  </si>
  <si>
    <t>D3 vs. D4</t>
  </si>
  <si>
    <r>
      <rPr>
        <rFont val="Calibri"/>
        <color theme="1"/>
      </rPr>
      <t xml:space="preserve">D4 - </t>
    </r>
    <r>
      <rPr>
        <rFont val="Calibri"/>
        <b/>
        <color theme="1"/>
      </rPr>
      <t>BYE</t>
    </r>
  </si>
  <si>
    <r>
      <rPr>
        <rFont val="Calibri"/>
        <color theme="1"/>
      </rPr>
      <t xml:space="preserve">D2 - </t>
    </r>
    <r>
      <rPr>
        <rFont val="Calibri"/>
        <b/>
        <color theme="1"/>
      </rPr>
      <t>BYE</t>
    </r>
  </si>
  <si>
    <t>D2 vs. D4</t>
  </si>
  <si>
    <t>D2 vs. D3</t>
  </si>
  <si>
    <t>Leibniz</t>
  </si>
  <si>
    <r>
      <rPr>
        <rFont val="Calibri"/>
        <color theme="1"/>
      </rPr>
      <t xml:space="preserve">D5 - </t>
    </r>
    <r>
      <rPr>
        <rFont val="Calibri"/>
        <b/>
        <color theme="1"/>
      </rPr>
      <t>BYE</t>
    </r>
  </si>
  <si>
    <t>D2 vs. D5</t>
  </si>
  <si>
    <t>Hopkins B</t>
  </si>
  <si>
    <t>D3 vs. D5</t>
  </si>
  <si>
    <r>
      <rPr>
        <rFont val="Calibri"/>
        <color theme="1"/>
      </rPr>
      <t xml:space="preserve">D3 - </t>
    </r>
    <r>
      <rPr>
        <rFont val="Calibri"/>
        <b/>
        <color theme="1"/>
      </rPr>
      <t>BYE</t>
    </r>
  </si>
  <si>
    <t>D4 vs. D5</t>
  </si>
  <si>
    <t>ASFA</t>
  </si>
  <si>
    <t>D2</t>
  </si>
  <si>
    <t>Rules and Info Document</t>
  </si>
  <si>
    <t>Davidson</t>
  </si>
  <si>
    <t>Wayzata</t>
  </si>
  <si>
    <t>Hunter A</t>
  </si>
  <si>
    <t>Robert Frost</t>
  </si>
  <si>
    <t>Jeffrey Trail A</t>
  </si>
  <si>
    <t>DE Bracket</t>
  </si>
  <si>
    <t>Liberty B</t>
  </si>
  <si>
    <t>D3</t>
  </si>
  <si>
    <t>Discord Server</t>
  </si>
  <si>
    <t>Telra</t>
  </si>
  <si>
    <t>Division bonus:</t>
  </si>
  <si>
    <t>Oak Ave B</t>
  </si>
  <si>
    <t>Frazer</t>
  </si>
  <si>
    <t>D4</t>
  </si>
  <si>
    <t>Final Packets</t>
  </si>
  <si>
    <t>Hunter B</t>
  </si>
  <si>
    <t>DE8/9</t>
  </si>
  <si>
    <t>1st place:</t>
  </si>
  <si>
    <t>D5</t>
  </si>
  <si>
    <t>Packet Errata Form</t>
  </si>
  <si>
    <t>2nd place:</t>
  </si>
  <si>
    <t>D6</t>
  </si>
  <si>
    <t>3rd place:</t>
  </si>
  <si>
    <t>G1 (Ampere)</t>
  </si>
  <si>
    <t>4th place:</t>
  </si>
  <si>
    <t>G9 (Ampere)</t>
  </si>
  <si>
    <t>G2 (Boltzmann)</t>
  </si>
  <si>
    <t xml:space="preserve">  </t>
  </si>
  <si>
    <t>G21 (Ampere)</t>
  </si>
  <si>
    <t>G3 (Curie)</t>
  </si>
  <si>
    <t>G10 (Boltzmann)</t>
  </si>
  <si>
    <t>G4 (Dirac)</t>
  </si>
  <si>
    <t>G27 (Ampere)</t>
  </si>
  <si>
    <t>G5 (Einstein)</t>
  </si>
  <si>
    <t>G11 (Curie)</t>
  </si>
  <si>
    <t>G6 (Feynman)</t>
  </si>
  <si>
    <t>G22 (Boltzmann)</t>
  </si>
  <si>
    <t>G30/31 (Solvay)</t>
  </si>
  <si>
    <t>Winner:</t>
  </si>
  <si>
    <t>G7 (Galileo)</t>
  </si>
  <si>
    <t>G12 (Dirac)</t>
  </si>
  <si>
    <t>G8 (Heisenberg)</t>
  </si>
  <si>
    <t>G17 (Ampere)</t>
  </si>
  <si>
    <t>G25 (Ampere)</t>
  </si>
  <si>
    <t>G13 (Einstein)</t>
  </si>
  <si>
    <t>G29 (Solvay)</t>
  </si>
  <si>
    <t>G23 (Curie)</t>
  </si>
  <si>
    <t>BISV A</t>
  </si>
  <si>
    <t>G18 (Boltzmann)</t>
  </si>
  <si>
    <t>G28 (Boltzmann)</t>
  </si>
  <si>
    <t>G14 (Feynman)</t>
  </si>
  <si>
    <t xml:space="preserve">Quail Valley </t>
  </si>
  <si>
    <t>G19 (Curie)</t>
  </si>
  <si>
    <t>G26 (Boltzmann)</t>
  </si>
  <si>
    <t>G15 (Galileo)</t>
  </si>
  <si>
    <t>G24 (Dirac)</t>
  </si>
  <si>
    <t>G20 (Dirac)</t>
  </si>
  <si>
    <t>G16 (Heisenberg)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</si>
</sst>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Calibri"/>
    </font>
    <font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30.0"/>
      <color rgb="FF000000"/>
      <name val="Calibri"/>
    </font>
    <font>
      <b/>
      <sz val="30.0"/>
      <color theme="1"/>
      <name val="Calibri"/>
    </font>
    <font>
      <b/>
      <color theme="1"/>
      <name val="Calibri"/>
    </font>
    <font/>
    <font>
      <sz val="10.0"/>
      <color rgb="FF000000"/>
      <name val="Calibri"/>
    </font>
    <font>
      <color theme="1"/>
      <name val="Arial"/>
      <scheme val="minor"/>
    </font>
    <font>
      <color theme="1"/>
      <name val="Arial"/>
    </font>
    <font>
      <u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25B5D3"/>
        <bgColor rgb="FF25B5D3"/>
      </patternFill>
    </fill>
    <fill>
      <patternFill patternType="solid">
        <fgColor rgb="FFC7F5FF"/>
        <bgColor rgb="FFC7F5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A5C7"/>
        <bgColor rgb="FF00A5C7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Fill="1" applyFont="1"/>
    <xf borderId="0" fillId="2" fontId="3" numFmtId="0" xfId="0" applyFill="1" applyFont="1"/>
    <xf borderId="0" fillId="2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3" fontId="2" numFmtId="0" xfId="0" applyFill="1" applyFont="1"/>
    <xf borderId="0" fillId="3" fontId="1" numFmtId="0" xfId="0" applyAlignment="1" applyFill="1" applyFont="1">
      <alignment horizontal="left" readingOrder="0" shrinkToFit="0" wrapText="1"/>
    </xf>
    <xf borderId="0" fillId="3" fontId="3" numFmtId="0" xfId="0" applyFill="1" applyFont="1"/>
    <xf borderId="0" fillId="3" fontId="4" numFmtId="0" xfId="0" applyAlignment="1" applyFill="1" applyFont="1">
      <alignment horizontal="center" readingOrder="0"/>
    </xf>
    <xf borderId="1" fillId="3" fontId="7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horizontal="left" readingOrder="0" shrinkToFit="0" wrapText="1"/>
    </xf>
    <xf borderId="2" fillId="3" fontId="7" numFmtId="0" xfId="0" applyBorder="1" applyFill="1" applyFont="1"/>
    <xf borderId="0" fillId="2" fontId="2" numFmtId="0" xfId="0" applyAlignment="1" applyFill="1" applyFont="1">
      <alignment vertical="bottom"/>
    </xf>
    <xf borderId="0" fillId="2" fontId="7" numFmtId="0" xfId="0" applyAlignment="1" applyFill="1" applyFont="1">
      <alignment readingOrder="0"/>
    </xf>
    <xf borderId="3" fillId="3" fontId="1" numFmtId="0" xfId="0" applyAlignment="1" applyBorder="1" applyFill="1" applyFont="1">
      <alignment horizontal="left" readingOrder="0" shrinkToFit="0" wrapText="1"/>
    </xf>
    <xf borderId="4" fillId="3" fontId="7" numFmtId="0" xfId="0" applyBorder="1" applyFill="1" applyFont="1"/>
    <xf borderId="2" fillId="3" fontId="4" numFmtId="0" xfId="0" applyAlignment="1" applyBorder="1" applyFill="1" applyFont="1">
      <alignment horizontal="center" readingOrder="0"/>
    </xf>
    <xf borderId="3" fillId="3" fontId="7" numFmtId="0" xfId="0" applyBorder="1" applyFill="1" applyFont="1"/>
    <xf borderId="3" fillId="0" fontId="8" numFmtId="0" xfId="0" applyBorder="1" applyFont="1"/>
    <xf borderId="0" fillId="0" fontId="6" numFmtId="0" xfId="0" applyAlignment="1" applyFont="1">
      <alignment horizontal="center" readingOrder="0" vertical="bottom"/>
    </xf>
    <xf borderId="0" fillId="3" fontId="2" numFmtId="0" xfId="0" applyAlignment="1" applyFill="1" applyFont="1">
      <alignment readingOrder="0"/>
    </xf>
    <xf borderId="0" fillId="2" fontId="9" numFmtId="0" xfId="0" applyAlignment="1" applyFill="1" applyFont="1">
      <alignment horizontal="left" readingOrder="0" shrinkToFit="0" wrapText="1"/>
    </xf>
    <xf borderId="1" fillId="3" fontId="2" numFmtId="0" xfId="0" applyAlignment="1" applyBorder="1" applyFill="1" applyFont="1">
      <alignment readingOrder="0"/>
    </xf>
    <xf borderId="0" fillId="3" fontId="9" numFmtId="0" xfId="0" applyAlignment="1" applyFill="1" applyFont="1">
      <alignment horizontal="left" readingOrder="0" shrinkToFit="0" wrapText="1"/>
    </xf>
    <xf borderId="0" fillId="2" fontId="2" numFmtId="0" xfId="0" applyAlignment="1" applyFill="1" applyFont="1">
      <alignment readingOrder="0" vertical="bottom"/>
    </xf>
    <xf borderId="5" fillId="3" fontId="2" numFmtId="0" xfId="0" applyBorder="1" applyFill="1" applyFont="1"/>
    <xf borderId="5" fillId="3" fontId="9" numFmtId="0" xfId="0" applyAlignment="1" applyBorder="1" applyFill="1" applyFont="1">
      <alignment horizontal="left" readingOrder="0" shrinkToFit="0" wrapText="1"/>
    </xf>
    <xf borderId="0" fillId="3" fontId="7" numFmtId="0" xfId="0" applyAlignment="1" applyFill="1" applyFont="1">
      <alignment readingOrder="0"/>
    </xf>
    <xf borderId="6" fillId="3" fontId="9" numFmtId="0" xfId="0" applyAlignment="1" applyBorder="1" applyFill="1" applyFont="1">
      <alignment horizontal="left" readingOrder="0" shrinkToFit="0" wrapText="1"/>
    </xf>
    <xf borderId="0" fillId="3" fontId="2" numFmtId="0" xfId="0" applyAlignment="1" applyFill="1" applyFont="1">
      <alignment vertical="bottom"/>
    </xf>
    <xf borderId="5" fillId="4" fontId="3" numFmtId="0" xfId="0" applyAlignment="1" applyBorder="1" applyFill="1" applyFont="1">
      <alignment readingOrder="0"/>
    </xf>
    <xf borderId="6" fillId="3" fontId="3" numFmtId="0" xfId="0" applyAlignment="1" applyBorder="1" applyFill="1" applyFont="1">
      <alignment readingOrder="0"/>
    </xf>
    <xf borderId="0" fillId="3" fontId="10" numFmtId="0" xfId="0" applyFill="1" applyFont="1"/>
    <xf borderId="0" fillId="2" fontId="10" numFmtId="0" xfId="0" applyFill="1" applyFont="1"/>
    <xf borderId="2" fillId="3" fontId="7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7" fillId="3" fontId="2" numFmtId="0" xfId="0" applyAlignment="1" applyBorder="1" applyFill="1" applyFont="1">
      <alignment horizontal="center" vertical="bottom"/>
    </xf>
    <xf borderId="5" fillId="3" fontId="2" numFmtId="0" xfId="0" applyAlignment="1" applyBorder="1" applyFill="1" applyFont="1">
      <alignment readingOrder="0" shrinkToFit="0" vertical="bottom" wrapText="1"/>
    </xf>
    <xf borderId="6" fillId="3" fontId="2" numFmtId="0" xfId="0" applyBorder="1" applyFill="1" applyFont="1"/>
    <xf borderId="6" fillId="3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ill="1" applyFont="1">
      <alignment horizontal="center" readingOrder="0" vertical="bottom"/>
    </xf>
    <xf borderId="6" fillId="3" fontId="4" numFmtId="0" xfId="0" applyAlignment="1" applyBorder="1" applyFill="1" applyFont="1">
      <alignment readingOrder="0"/>
    </xf>
    <xf borderId="0" fillId="4" fontId="7" numFmtId="0" xfId="0" applyAlignment="1" applyFill="1" applyFont="1">
      <alignment horizontal="center" vertical="bottom"/>
    </xf>
    <xf borderId="4" fillId="3" fontId="2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readingOrder="0"/>
    </xf>
    <xf borderId="3" fillId="3" fontId="2" numFmtId="0" xfId="0" applyAlignment="1" applyBorder="1" applyFill="1" applyFont="1">
      <alignment horizontal="center" readingOrder="0" vertical="bottom"/>
    </xf>
    <xf borderId="8" fillId="3" fontId="2" numFmtId="0" xfId="0" applyBorder="1" applyFill="1" applyFont="1"/>
    <xf borderId="0" fillId="4" fontId="2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horizontal="center" readingOrder="0" vertical="bottom"/>
    </xf>
    <xf borderId="5" fillId="3" fontId="2" numFmtId="0" xfId="0" applyAlignment="1" applyBorder="1" applyFill="1" applyFont="1">
      <alignment shrinkToFit="0" vertical="bottom" wrapText="1"/>
    </xf>
    <xf borderId="0" fillId="3" fontId="2" numFmtId="0" xfId="0" applyFill="1" applyFont="1"/>
    <xf borderId="0" fillId="3" fontId="11" numFmtId="0" xfId="0" applyAlignment="1" applyFill="1" applyFont="1">
      <alignment vertical="bottom"/>
    </xf>
    <xf borderId="5" fillId="5" fontId="3" numFmtId="0" xfId="0" applyAlignment="1" applyBorder="1" applyFill="1" applyFont="1">
      <alignment readingOrder="0"/>
    </xf>
    <xf borderId="0" fillId="5" fontId="7" numFmtId="0" xfId="0" applyAlignment="1" applyFill="1" applyFont="1">
      <alignment horizontal="center" vertical="bottom"/>
    </xf>
    <xf borderId="0" fillId="5" fontId="2" numFmtId="0" xfId="0" applyAlignment="1" applyFill="1" applyFont="1">
      <alignment readingOrder="0" vertical="bottom"/>
    </xf>
    <xf borderId="6" fillId="3" fontId="2" numFmtId="0" xfId="0" applyAlignment="1" applyBorder="1" applyFill="1" applyFont="1">
      <alignment readingOrder="0" vertical="bottom"/>
    </xf>
    <xf borderId="0" fillId="6" fontId="2" numFmtId="0" xfId="0" applyAlignment="1" applyFill="1" applyFont="1">
      <alignment vertical="bottom"/>
    </xf>
    <xf borderId="0" fillId="3" fontId="2" numFmtId="0" xfId="0" applyAlignment="1" applyFill="1" applyFont="1">
      <alignment horizontal="right" readingOrder="0" vertical="bottom"/>
    </xf>
    <xf borderId="0" fillId="7" fontId="2" numFmtId="0" xfId="0" applyAlignment="1" applyFill="1" applyFont="1">
      <alignment horizontal="right" readingOrder="0" vertical="bottom"/>
    </xf>
    <xf borderId="0" fillId="3" fontId="2" numFmtId="0" xfId="0" applyAlignment="1" applyFill="1" applyFont="1">
      <alignment readingOrder="0" vertical="bottom"/>
    </xf>
    <xf borderId="5" fillId="8" fontId="3" numFmtId="0" xfId="0" applyAlignment="1" applyBorder="1" applyFill="1" applyFont="1">
      <alignment readingOrder="0"/>
    </xf>
    <xf borderId="0" fillId="6" fontId="2" numFmtId="0" xfId="0" applyAlignment="1" applyFill="1" applyFont="1">
      <alignment horizontal="right" readingOrder="0" vertical="bottom"/>
    </xf>
    <xf borderId="9" fillId="3" fontId="9" numFmtId="0" xfId="0" applyAlignment="1" applyBorder="1" applyFill="1" applyFont="1">
      <alignment horizontal="left" readingOrder="0" shrinkToFit="0" wrapText="1"/>
    </xf>
    <xf borderId="8" fillId="3" fontId="2" numFmtId="0" xfId="0" applyAlignment="1" applyBorder="1" applyFill="1" applyFont="1">
      <alignment horizontal="center" vertical="bottom"/>
    </xf>
    <xf borderId="0" fillId="8" fontId="7" numFmtId="0" xfId="0" applyAlignment="1" applyFill="1" applyFont="1">
      <alignment horizontal="center" vertical="bottom"/>
    </xf>
    <xf borderId="10" fillId="3" fontId="9" numFmtId="0" xfId="0" applyAlignment="1" applyBorder="1" applyFill="1" applyFont="1">
      <alignment horizontal="left" readingOrder="0" shrinkToFit="0" wrapText="1"/>
    </xf>
    <xf borderId="8" fillId="3" fontId="2" numFmtId="0" xfId="0" applyAlignment="1" applyBorder="1" applyFill="1" applyFont="1">
      <alignment horizontal="center" readingOrder="0" vertical="bottom"/>
    </xf>
    <xf borderId="0" fillId="8" fontId="2" numFmtId="0" xfId="0" applyAlignment="1" applyFill="1" applyFont="1">
      <alignment readingOrder="0" vertical="bottom"/>
    </xf>
    <xf borderId="7" fillId="3" fontId="7" numFmtId="0" xfId="0" applyAlignment="1" applyBorder="1" applyFill="1" applyFont="1">
      <alignment readingOrder="0"/>
    </xf>
    <xf borderId="5" fillId="9" fontId="3" numFmtId="0" xfId="0" applyAlignment="1" applyBorder="1" applyFill="1" applyFont="1">
      <alignment readingOrder="0"/>
    </xf>
    <xf borderId="0" fillId="6" fontId="2" numFmtId="0" xfId="0" applyAlignment="1" applyFill="1" applyFont="1">
      <alignment horizontal="right" vertical="bottom"/>
    </xf>
    <xf borderId="0" fillId="9" fontId="7" numFmtId="0" xfId="0" applyAlignment="1" applyFill="1" applyFont="1">
      <alignment horizontal="center" vertical="bottom"/>
    </xf>
    <xf borderId="0" fillId="9" fontId="2" numFmtId="0" xfId="0" applyAlignment="1" applyFill="1" applyFont="1">
      <alignment readingOrder="0" vertical="bottom"/>
    </xf>
    <xf borderId="0" fillId="9" fontId="2" numFmtId="0" xfId="0" applyAlignment="1" applyFill="1" applyFont="1">
      <alignment vertical="bottom"/>
    </xf>
    <xf borderId="8" fillId="3" fontId="12" numFmtId="0" xfId="0" applyAlignment="1" applyBorder="1" applyFill="1" applyFont="1">
      <alignment readingOrder="0"/>
    </xf>
    <xf borderId="0" fillId="7" fontId="2" numFmtId="0" xfId="0" applyAlignment="1" applyFill="1" applyFont="1">
      <alignment readingOrder="0" vertical="bottom"/>
    </xf>
    <xf borderId="11" fillId="3" fontId="2" numFmtId="0" xfId="0" applyAlignment="1" applyBorder="1" applyFill="1" applyFont="1">
      <alignment horizontal="center" readingOrder="0" vertical="bottom"/>
    </xf>
    <xf borderId="10" fillId="3" fontId="2" numFmtId="0" xfId="0" applyAlignment="1" applyBorder="1" applyFill="1" applyFont="1">
      <alignment readingOrder="0" vertical="bottom"/>
    </xf>
    <xf borderId="11" fillId="3" fontId="2" numFmtId="0" xfId="0" applyBorder="1" applyFill="1" applyFont="1"/>
    <xf borderId="8" fillId="3" fontId="13" numFmtId="0" xfId="0" applyAlignment="1" applyBorder="1" applyFill="1" applyFont="1">
      <alignment readingOrder="0"/>
    </xf>
    <xf borderId="9" fillId="3" fontId="2" numFmtId="0" xfId="0" applyBorder="1" applyFill="1" applyFont="1"/>
    <xf borderId="12" fillId="6" fontId="2" numFmtId="0" xfId="0" applyAlignment="1" applyBorder="1" applyFill="1" applyFont="1">
      <alignment horizontal="right" vertical="bottom"/>
    </xf>
    <xf borderId="12" fillId="3" fontId="2" numFmtId="0" xfId="0" applyBorder="1" applyFill="1" applyFont="1"/>
    <xf borderId="5" fillId="9" fontId="2" numFmtId="0" xfId="0" applyAlignment="1" applyBorder="1" applyFill="1" applyFont="1">
      <alignment readingOrder="0"/>
    </xf>
    <xf borderId="12" fillId="6" fontId="2" numFmtId="0" xfId="0" applyAlignment="1" applyBorder="1" applyFill="1" applyFont="1">
      <alignment vertical="bottom"/>
    </xf>
    <xf borderId="10" fillId="3" fontId="2" numFmtId="0" xfId="0" applyBorder="1" applyFill="1" applyFont="1"/>
    <xf borderId="11" fillId="3" fontId="2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right" readingOrder="0" vertical="bottom"/>
    </xf>
    <xf borderId="0" fillId="0" fontId="2" numFmtId="0" xfId="0" applyFont="1"/>
    <xf borderId="0" fillId="0" fontId="7" numFmtId="0" xfId="0" applyAlignment="1" applyFont="1">
      <alignment horizontal="center" readingOrder="0"/>
    </xf>
    <xf borderId="12" fillId="3" fontId="2" numFmtId="0" xfId="0" applyBorder="1" applyFill="1" applyFont="1"/>
    <xf borderId="3" fillId="3" fontId="2" numFmtId="0" xfId="0" applyAlignment="1" applyBorder="1" applyFill="1" applyFont="1">
      <alignment vertical="bottom"/>
    </xf>
    <xf borderId="0" fillId="0" fontId="7" numFmtId="0" xfId="0" applyAlignment="1" applyFont="1">
      <alignment horizontal="right" readingOrder="0"/>
    </xf>
    <xf borderId="0" fillId="10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1" fillId="3" fontId="14" numFmtId="0" xfId="0" applyAlignment="1" applyBorder="1" applyFill="1" applyFont="1">
      <alignment readingOrder="0"/>
    </xf>
    <xf borderId="12" fillId="11" fontId="2" numFmtId="0" xfId="0" applyAlignment="1" applyBorder="1" applyFill="1" applyFont="1">
      <alignment readingOrder="0"/>
    </xf>
    <xf borderId="9" fillId="9" fontId="2" numFmtId="0" xfId="0" applyAlignment="1" applyBorder="1" applyFill="1" applyFont="1">
      <alignment readingOrder="0"/>
    </xf>
    <xf borderId="10" fillId="3" fontId="4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  <xf borderId="5" fillId="0" fontId="2" numFmtId="0" xfId="0" applyBorder="1" applyFont="1"/>
    <xf borderId="12" fillId="11" fontId="2" numFmtId="0" xfId="0" applyAlignment="1" applyBorder="1" applyFill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horizontal="right"/>
    </xf>
    <xf borderId="9" fillId="0" fontId="2" numFmtId="0" xfId="0" applyBorder="1" applyFont="1"/>
    <xf borderId="12" fillId="0" fontId="2" numFmtId="0" xfId="0" applyBorder="1" applyFont="1"/>
    <xf borderId="12" fillId="3" fontId="2" numFmtId="0" xfId="0" applyAlignment="1" applyBorder="1" applyFill="1" applyFont="1">
      <alignment readingOrder="0" vertical="bottom"/>
    </xf>
    <xf borderId="12" fillId="0" fontId="2" numFmtId="0" xfId="0" applyAlignment="1" applyBorder="1" applyFont="1">
      <alignment horizontal="right" readingOrder="0"/>
    </xf>
    <xf borderId="0" fillId="0" fontId="7" numFmtId="0" xfId="0" applyAlignment="1" applyFont="1">
      <alignment horizontal="left" readingOrder="0"/>
    </xf>
    <xf borderId="6" fillId="0" fontId="2" numFmtId="0" xfId="0" applyBorder="1" applyFont="1"/>
    <xf borderId="5" fillId="0" fontId="10" numFmtId="0" xfId="0" applyBorder="1" applyFont="1"/>
    <xf borderId="12" fillId="0" fontId="2" numFmtId="0" xfId="0" applyAlignment="1" applyBorder="1" applyFont="1">
      <alignment readingOrder="0"/>
    </xf>
    <xf borderId="0" fillId="3" fontId="2" numFmtId="0" xfId="0" applyAlignment="1" applyFill="1" applyFont="1">
      <alignment horizontal="center" readingOrder="0" vertical="bottom"/>
    </xf>
    <xf borderId="10" fillId="11" fontId="2" numFmtId="0" xfId="0" applyAlignment="1" applyBorder="1" applyFill="1" applyFont="1">
      <alignment readingOrder="0"/>
    </xf>
    <xf borderId="9" fillId="0" fontId="10" numFmtId="0" xfId="0" applyBorder="1" applyFont="1"/>
    <xf borderId="12" fillId="10" fontId="2" numFmtId="0" xfId="0" applyAlignment="1" applyBorder="1" applyFill="1" applyFont="1">
      <alignment horizontal="right" readingOrder="0"/>
    </xf>
    <xf borderId="12" fillId="10" fontId="2" numFmtId="0" xfId="0" applyAlignment="1" applyBorder="1" applyFill="1" applyFont="1">
      <alignment readingOrder="0"/>
    </xf>
    <xf borderId="0" fillId="3" fontId="2" numFmtId="0" xfId="0" applyAlignment="1" applyFill="1" applyFont="1">
      <alignment horizontal="center" vertical="bottom"/>
    </xf>
    <xf borderId="12" fillId="12" fontId="2" numFmtId="0" xfId="0" applyAlignment="1" applyBorder="1" applyFill="1" applyFont="1">
      <alignment horizontal="right" readingOrder="0"/>
    </xf>
    <xf borderId="12" fillId="12" fontId="2" numFmtId="0" xfId="0" applyAlignment="1" applyBorder="1" applyFill="1" applyFont="1">
      <alignment readingOrder="0"/>
    </xf>
    <xf borderId="13" fillId="0" fontId="2" numFmtId="0" xfId="0" applyBorder="1" applyFont="1"/>
    <xf borderId="0" fillId="12" fontId="2" numFmtId="0" xfId="0" applyAlignment="1" applyFill="1" applyFont="1">
      <alignment readingOrder="0"/>
    </xf>
    <xf borderId="14" fillId="0" fontId="2" numFmtId="0" xfId="0" applyBorder="1" applyFont="1"/>
    <xf borderId="10" fillId="12" fontId="2" numFmtId="0" xfId="0" applyAlignment="1" applyBorder="1" applyFill="1" applyFont="1">
      <alignment readingOrder="0"/>
    </xf>
    <xf borderId="13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3sOw62K5F8r5V7CRcWu_LVcc4V17KoJ7a_A6cBHdaU/edit?usp=sharing" TargetMode="External"/><Relationship Id="rId2" Type="http://schemas.openxmlformats.org/officeDocument/2006/relationships/hyperlink" Target="https://discord.gg/zpg26dZTYP" TargetMode="External"/><Relationship Id="rId3" Type="http://schemas.openxmlformats.org/officeDocument/2006/relationships/hyperlink" Target="https://drive.google.com/drive/folders/1HDMEgswmUXrrlmNEmn5zommGRd8Wijg1?usp=sharing" TargetMode="External"/><Relationship Id="rId4" Type="http://schemas.openxmlformats.org/officeDocument/2006/relationships/hyperlink" Target="https://forms.gle/rPiVvicdRmS4dHBSA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30.0"/>
    <col customWidth="1" min="4" max="4" width="27.0"/>
    <col customWidth="1" min="7" max="7" width="12.63"/>
    <col customWidth="1" min="8" max="9" width="3.13"/>
  </cols>
  <sheetData>
    <row r="1">
      <c r="A1" s="1"/>
      <c r="B1" s="1"/>
      <c r="C1" s="1"/>
      <c r="D1" s="1"/>
      <c r="E1" s="3"/>
      <c r="F1" s="4"/>
      <c r="G1" s="4"/>
      <c r="H1" s="3"/>
      <c r="I1" s="3"/>
    </row>
    <row r="2">
      <c r="A2" s="1"/>
      <c r="B2" s="5" t="s">
        <v>0</v>
      </c>
      <c r="I2" s="3"/>
    </row>
    <row r="3">
      <c r="A3" s="1"/>
      <c r="B3" s="7" t="s">
        <v>2</v>
      </c>
      <c r="I3" s="3"/>
    </row>
    <row r="4">
      <c r="A4" s="1"/>
      <c r="B4" s="1"/>
      <c r="C4" s="1"/>
      <c r="D4" s="1"/>
      <c r="E4" s="3"/>
      <c r="F4" s="4"/>
      <c r="G4" s="4"/>
      <c r="H4" s="3"/>
      <c r="I4" s="3"/>
    </row>
    <row r="5">
      <c r="A5" s="1"/>
      <c r="B5" s="9"/>
      <c r="C5" s="9"/>
      <c r="D5" s="9"/>
      <c r="E5" s="10"/>
      <c r="F5" s="11"/>
      <c r="G5" s="11"/>
      <c r="H5" s="10"/>
      <c r="I5" s="3"/>
    </row>
    <row r="6">
      <c r="A6" s="1"/>
      <c r="B6" s="9"/>
      <c r="C6" s="13" t="s">
        <v>4</v>
      </c>
      <c r="D6" s="17" t="s">
        <v>6</v>
      </c>
      <c r="E6" s="10"/>
      <c r="F6" s="19" t="s">
        <v>8</v>
      </c>
      <c r="G6" s="21"/>
      <c r="H6" s="10"/>
      <c r="I6" s="3"/>
    </row>
    <row r="7">
      <c r="A7" s="24"/>
      <c r="B7" s="26"/>
      <c r="C7" s="29" t="s">
        <v>14</v>
      </c>
      <c r="D7" s="31" t="s">
        <v>15</v>
      </c>
      <c r="E7" s="10"/>
      <c r="F7" s="33" t="s">
        <v>16</v>
      </c>
      <c r="G7" s="34"/>
      <c r="H7" s="35"/>
      <c r="I7" s="36"/>
    </row>
    <row r="8">
      <c r="A8" s="24"/>
      <c r="B8" s="26"/>
      <c r="C8" s="29" t="s">
        <v>21</v>
      </c>
      <c r="D8" s="31" t="s">
        <v>18</v>
      </c>
      <c r="E8" s="10"/>
      <c r="F8" s="33" t="s">
        <v>22</v>
      </c>
      <c r="G8" s="34"/>
      <c r="H8" s="35"/>
      <c r="I8" s="36"/>
    </row>
    <row r="9">
      <c r="A9" s="24"/>
      <c r="B9" s="26"/>
      <c r="C9" s="29" t="s">
        <v>24</v>
      </c>
      <c r="D9" s="31" t="s">
        <v>19</v>
      </c>
      <c r="E9" s="10"/>
      <c r="F9" s="33" t="s">
        <v>26</v>
      </c>
      <c r="G9" s="34"/>
      <c r="H9" s="35"/>
      <c r="I9" s="36"/>
    </row>
    <row r="10">
      <c r="A10" s="24"/>
      <c r="B10" s="26"/>
      <c r="C10" s="29" t="s">
        <v>28</v>
      </c>
      <c r="D10" s="31" t="s">
        <v>20</v>
      </c>
      <c r="E10" s="10"/>
      <c r="F10" s="33" t="s">
        <v>29</v>
      </c>
      <c r="G10" s="34"/>
      <c r="H10" s="35"/>
      <c r="I10" s="36"/>
    </row>
    <row r="11">
      <c r="A11" s="24"/>
      <c r="B11" s="26"/>
      <c r="C11" s="29" t="s">
        <v>30</v>
      </c>
      <c r="D11" s="31" t="s">
        <v>25</v>
      </c>
      <c r="E11" s="10"/>
      <c r="F11" s="33" t="s">
        <v>31</v>
      </c>
      <c r="G11" s="34"/>
      <c r="H11" s="35"/>
      <c r="I11" s="36"/>
    </row>
    <row r="12">
      <c r="A12" s="38"/>
      <c r="B12" s="39"/>
      <c r="C12" s="41" t="s">
        <v>33</v>
      </c>
      <c r="D12" s="43" t="s">
        <v>27</v>
      </c>
      <c r="E12" s="10"/>
      <c r="F12" s="33" t="s">
        <v>34</v>
      </c>
      <c r="G12" s="45"/>
      <c r="H12" s="35"/>
      <c r="I12" s="36"/>
    </row>
    <row r="13">
      <c r="A13" s="38"/>
      <c r="B13" s="39"/>
      <c r="C13" s="53" t="s">
        <v>35</v>
      </c>
      <c r="D13" s="43" t="s">
        <v>53</v>
      </c>
      <c r="E13" s="10"/>
      <c r="F13" s="56" t="s">
        <v>58</v>
      </c>
      <c r="G13" s="34"/>
      <c r="H13" s="35"/>
      <c r="I13" s="36"/>
    </row>
    <row r="14">
      <c r="A14" s="38"/>
      <c r="B14" s="39"/>
      <c r="C14" s="53" t="s">
        <v>63</v>
      </c>
      <c r="D14" s="43" t="s">
        <v>64</v>
      </c>
      <c r="E14" s="10"/>
      <c r="F14" s="56" t="s">
        <v>65</v>
      </c>
      <c r="G14" s="34"/>
      <c r="H14" s="35"/>
      <c r="I14" s="36"/>
    </row>
    <row r="15">
      <c r="A15" s="38"/>
      <c r="B15" s="39"/>
      <c r="C15" s="53" t="s">
        <v>68</v>
      </c>
      <c r="D15" s="43" t="s">
        <v>70</v>
      </c>
      <c r="E15" s="10"/>
      <c r="F15" s="56" t="s">
        <v>72</v>
      </c>
      <c r="G15" s="34"/>
      <c r="H15" s="35"/>
      <c r="I15" s="36"/>
    </row>
    <row r="16">
      <c r="A16" s="38"/>
      <c r="B16" s="39"/>
      <c r="C16" s="53" t="s">
        <v>73</v>
      </c>
      <c r="D16" s="43" t="s">
        <v>74</v>
      </c>
      <c r="E16" s="10"/>
      <c r="F16" s="56" t="s">
        <v>75</v>
      </c>
      <c r="G16" s="34"/>
      <c r="H16" s="35"/>
      <c r="I16" s="36"/>
    </row>
    <row r="17">
      <c r="A17" s="24"/>
      <c r="B17" s="26"/>
      <c r="C17" s="29" t="s">
        <v>76</v>
      </c>
      <c r="D17" s="31" t="s">
        <v>78</v>
      </c>
      <c r="E17" s="10"/>
      <c r="F17" s="56" t="s">
        <v>80</v>
      </c>
      <c r="G17" s="34"/>
      <c r="H17" s="35"/>
      <c r="I17" s="36"/>
    </row>
    <row r="18">
      <c r="A18" s="24"/>
      <c r="B18" s="26"/>
      <c r="C18" s="29" t="s">
        <v>82</v>
      </c>
      <c r="D18" s="31" t="s">
        <v>83</v>
      </c>
      <c r="E18" s="10"/>
      <c r="F18" s="56" t="s">
        <v>85</v>
      </c>
      <c r="G18" s="34"/>
      <c r="H18" s="35"/>
      <c r="I18" s="36"/>
    </row>
    <row r="19">
      <c r="A19" s="24"/>
      <c r="B19" s="26"/>
      <c r="C19" s="29" t="s">
        <v>88</v>
      </c>
      <c r="D19" s="31" t="s">
        <v>89</v>
      </c>
      <c r="E19" s="10"/>
      <c r="F19" s="64" t="s">
        <v>90</v>
      </c>
      <c r="G19" s="34"/>
      <c r="H19" s="35"/>
      <c r="I19" s="36"/>
    </row>
    <row r="20">
      <c r="A20" s="24"/>
      <c r="B20" s="26"/>
      <c r="C20" s="29" t="s">
        <v>95</v>
      </c>
      <c r="D20" s="31" t="s">
        <v>96</v>
      </c>
      <c r="E20" s="10"/>
      <c r="F20" s="64" t="s">
        <v>98</v>
      </c>
      <c r="G20" s="34"/>
      <c r="H20" s="35"/>
      <c r="I20" s="36"/>
    </row>
    <row r="21">
      <c r="A21" s="24"/>
      <c r="B21" s="26"/>
      <c r="C21" s="29" t="s">
        <v>101</v>
      </c>
      <c r="D21" s="31" t="s">
        <v>102</v>
      </c>
      <c r="E21" s="10"/>
      <c r="F21" s="64" t="s">
        <v>103</v>
      </c>
      <c r="G21" s="34"/>
      <c r="H21" s="35"/>
      <c r="I21" s="36"/>
    </row>
    <row r="22">
      <c r="A22" s="24"/>
      <c r="B22" s="26"/>
      <c r="C22" s="29" t="s">
        <v>104</v>
      </c>
      <c r="D22" s="31" t="s">
        <v>105</v>
      </c>
      <c r="E22" s="10"/>
      <c r="F22" s="64" t="s">
        <v>106</v>
      </c>
      <c r="G22" s="34"/>
      <c r="H22" s="35"/>
      <c r="I22" s="36"/>
    </row>
    <row r="23">
      <c r="A23" s="24"/>
      <c r="B23" s="26"/>
      <c r="C23" s="66" t="s">
        <v>107</v>
      </c>
      <c r="D23" s="69" t="s">
        <v>109</v>
      </c>
      <c r="E23" s="10"/>
      <c r="F23" s="64" t="s">
        <v>111</v>
      </c>
      <c r="G23" s="34"/>
      <c r="H23" s="35"/>
      <c r="I23" s="36"/>
    </row>
    <row r="24">
      <c r="A24" s="24"/>
      <c r="B24" s="26"/>
      <c r="C24" s="26"/>
      <c r="D24" s="26"/>
      <c r="E24" s="10"/>
      <c r="F24" s="64" t="s">
        <v>113</v>
      </c>
      <c r="G24" s="45"/>
      <c r="H24" s="35"/>
      <c r="I24" s="36"/>
    </row>
    <row r="25">
      <c r="A25" s="2"/>
      <c r="B25" s="8"/>
      <c r="C25" s="72" t="s">
        <v>122</v>
      </c>
      <c r="D25" s="8"/>
      <c r="E25" s="10"/>
      <c r="F25" s="73" t="s">
        <v>131</v>
      </c>
      <c r="G25" s="34"/>
      <c r="H25" s="35"/>
      <c r="I25" s="36"/>
    </row>
    <row r="26">
      <c r="A26" s="2"/>
      <c r="B26" s="8"/>
      <c r="C26" s="78" t="s">
        <v>135</v>
      </c>
      <c r="D26" s="8"/>
      <c r="E26" s="10"/>
      <c r="F26" s="73" t="s">
        <v>157</v>
      </c>
      <c r="G26" s="34"/>
      <c r="H26" s="35"/>
      <c r="I26" s="36"/>
    </row>
    <row r="27">
      <c r="A27" s="3"/>
      <c r="B27" s="10"/>
      <c r="C27" s="83" t="s">
        <v>158</v>
      </c>
      <c r="D27" s="10"/>
      <c r="E27" s="10"/>
      <c r="F27" s="87" t="s">
        <v>166</v>
      </c>
      <c r="G27" s="34"/>
      <c r="H27" s="35"/>
      <c r="I27" s="36"/>
    </row>
    <row r="28">
      <c r="A28" s="3"/>
      <c r="B28" s="10"/>
      <c r="C28" s="83" t="s">
        <v>167</v>
      </c>
      <c r="D28" s="10"/>
      <c r="E28" s="10"/>
      <c r="F28" s="87" t="s">
        <v>172</v>
      </c>
      <c r="G28" s="34"/>
      <c r="H28" s="35"/>
      <c r="I28" s="36"/>
    </row>
    <row r="29">
      <c r="A29" s="3"/>
      <c r="B29" s="10"/>
      <c r="C29" s="83" t="s">
        <v>173</v>
      </c>
      <c r="D29" s="10"/>
      <c r="E29" s="10"/>
      <c r="F29" s="87" t="s">
        <v>177</v>
      </c>
      <c r="G29" s="34"/>
      <c r="H29" s="35"/>
      <c r="I29" s="36"/>
    </row>
    <row r="30">
      <c r="A30" s="3"/>
      <c r="B30" s="10"/>
      <c r="C30" s="99" t="s">
        <v>178</v>
      </c>
      <c r="D30" s="10"/>
      <c r="E30" s="10"/>
      <c r="F30" s="101" t="s">
        <v>180</v>
      </c>
      <c r="G30" s="102"/>
      <c r="H30" s="10"/>
      <c r="I30" s="3"/>
    </row>
    <row r="31">
      <c r="A31" s="3"/>
      <c r="B31" s="10"/>
      <c r="C31" s="10"/>
      <c r="D31" s="10"/>
      <c r="E31" s="10"/>
      <c r="F31" s="8"/>
      <c r="G31" s="10"/>
      <c r="H31" s="10"/>
      <c r="I31" s="3"/>
    </row>
    <row r="32">
      <c r="A32" s="3"/>
      <c r="B32" s="3"/>
      <c r="C32" s="3"/>
      <c r="D32" s="3"/>
      <c r="E32" s="3"/>
      <c r="F32" s="2"/>
      <c r="G32" s="3"/>
      <c r="H32" s="3"/>
      <c r="I32" s="3"/>
    </row>
  </sheetData>
  <mergeCells count="3">
    <mergeCell ref="B2:H2"/>
    <mergeCell ref="B3:H3"/>
    <mergeCell ref="F6:G6"/>
  </mergeCells>
  <hyperlinks>
    <hyperlink display="Tournament Hub" location="'Tournament Information'!A1" ref="C26"/>
    <hyperlink r:id="rId1" ref="C27"/>
    <hyperlink r:id="rId2" ref="C28"/>
    <hyperlink r:id="rId3" ref="C29"/>
    <hyperlink r:id="rId4" ref="C3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9" max="10" width="3.13"/>
  </cols>
  <sheetData>
    <row r="1">
      <c r="A1" s="16"/>
      <c r="B1" s="16"/>
      <c r="C1" s="16"/>
      <c r="D1" s="16"/>
      <c r="E1" s="16"/>
      <c r="F1" s="16"/>
      <c r="G1" s="16"/>
      <c r="H1" s="16"/>
      <c r="I1" s="2"/>
      <c r="J1" s="2"/>
    </row>
    <row r="2">
      <c r="A2" s="16"/>
      <c r="B2" s="6" t="s">
        <v>12</v>
      </c>
      <c r="J2" s="2"/>
    </row>
    <row r="3">
      <c r="A3" s="16"/>
      <c r="B3" s="16"/>
      <c r="C3" s="16"/>
      <c r="D3" s="16"/>
      <c r="E3" s="16"/>
      <c r="F3" s="16"/>
      <c r="G3" s="16"/>
      <c r="H3" s="16"/>
      <c r="I3" s="2"/>
      <c r="J3" s="2"/>
    </row>
    <row r="4">
      <c r="A4" s="16"/>
      <c r="B4" s="30"/>
      <c r="C4" s="30"/>
      <c r="D4" s="30"/>
      <c r="E4" s="30"/>
      <c r="F4" s="30"/>
      <c r="G4" s="30"/>
      <c r="H4" s="30"/>
      <c r="I4" s="8"/>
      <c r="J4" s="2"/>
    </row>
    <row r="5">
      <c r="A5" s="16"/>
      <c r="B5" s="30"/>
      <c r="C5" s="30" t="s">
        <v>17</v>
      </c>
      <c r="D5" s="30" t="s">
        <v>18</v>
      </c>
      <c r="E5" s="30" t="s">
        <v>19</v>
      </c>
      <c r="F5" s="30" t="s">
        <v>20</v>
      </c>
      <c r="G5" s="30" t="s">
        <v>25</v>
      </c>
      <c r="H5" s="30" t="s">
        <v>27</v>
      </c>
      <c r="I5" s="8"/>
      <c r="J5" s="2"/>
    </row>
    <row r="6">
      <c r="A6" s="2"/>
      <c r="B6" s="8"/>
      <c r="C6" s="30"/>
      <c r="D6" s="23" t="s">
        <v>21</v>
      </c>
      <c r="E6" s="23" t="s">
        <v>24</v>
      </c>
      <c r="F6" s="23" t="s">
        <v>28</v>
      </c>
      <c r="G6" s="23" t="s">
        <v>30</v>
      </c>
      <c r="H6" s="23" t="s">
        <v>33</v>
      </c>
      <c r="I6" s="8"/>
      <c r="J6" s="2"/>
    </row>
    <row r="7">
      <c r="A7" s="2"/>
      <c r="B7" s="8"/>
      <c r="C7" s="8"/>
      <c r="D7" s="8"/>
      <c r="E7" s="8"/>
      <c r="F7" s="8"/>
      <c r="G7" s="8"/>
      <c r="H7" s="8"/>
      <c r="I7" s="8"/>
      <c r="J7" s="2"/>
    </row>
    <row r="8">
      <c r="A8" s="2"/>
      <c r="B8" s="8"/>
      <c r="C8" s="8"/>
      <c r="D8" s="46" t="s">
        <v>23</v>
      </c>
      <c r="I8" s="8"/>
      <c r="J8" s="2"/>
    </row>
    <row r="9">
      <c r="A9" s="48"/>
      <c r="B9" s="23"/>
      <c r="C9" s="23" t="s">
        <v>36</v>
      </c>
      <c r="D9" s="51" t="s">
        <v>37</v>
      </c>
      <c r="E9" s="51" t="s">
        <v>40</v>
      </c>
      <c r="F9" s="51" t="s">
        <v>41</v>
      </c>
      <c r="G9" s="51" t="s">
        <v>42</v>
      </c>
      <c r="H9" s="51" t="s">
        <v>43</v>
      </c>
      <c r="I9" s="8"/>
      <c r="J9" s="2"/>
    </row>
    <row r="10">
      <c r="A10" s="48"/>
      <c r="B10" s="23"/>
      <c r="C10" s="23" t="s">
        <v>44</v>
      </c>
      <c r="D10" s="51" t="s">
        <v>45</v>
      </c>
      <c r="E10" s="51" t="s">
        <v>46</v>
      </c>
      <c r="F10" s="51" t="s">
        <v>47</v>
      </c>
      <c r="G10" s="51" t="s">
        <v>48</v>
      </c>
      <c r="H10" s="51" t="s">
        <v>49</v>
      </c>
      <c r="I10" s="8"/>
      <c r="J10" s="2"/>
    </row>
    <row r="11">
      <c r="A11" s="48"/>
      <c r="B11" s="23"/>
      <c r="C11" s="23" t="s">
        <v>51</v>
      </c>
      <c r="D11" s="51" t="s">
        <v>52</v>
      </c>
      <c r="E11" s="51" t="s">
        <v>54</v>
      </c>
      <c r="F11" s="51" t="s">
        <v>55</v>
      </c>
      <c r="G11" s="51" t="s">
        <v>56</v>
      </c>
      <c r="H11" s="51" t="s">
        <v>57</v>
      </c>
      <c r="I11" s="8"/>
      <c r="J11" s="2"/>
    </row>
    <row r="12">
      <c r="A12" s="2"/>
      <c r="B12" s="8"/>
      <c r="C12" s="8"/>
      <c r="D12" s="55"/>
      <c r="E12" s="55"/>
      <c r="F12" s="55"/>
      <c r="G12" s="55"/>
      <c r="H12" s="55"/>
      <c r="I12" s="8"/>
      <c r="J12" s="2"/>
    </row>
    <row r="13">
      <c r="A13" s="2"/>
      <c r="B13" s="8"/>
      <c r="C13" s="8"/>
      <c r="D13" s="57" t="s">
        <v>59</v>
      </c>
      <c r="I13" s="8"/>
      <c r="J13" s="2"/>
    </row>
    <row r="14">
      <c r="A14" s="48"/>
      <c r="B14" s="23"/>
      <c r="C14" s="23" t="s">
        <v>61</v>
      </c>
      <c r="D14" s="58" t="s">
        <v>62</v>
      </c>
      <c r="E14" s="58" t="s">
        <v>66</v>
      </c>
      <c r="F14" s="58" t="s">
        <v>67</v>
      </c>
      <c r="G14" s="58" t="s">
        <v>69</v>
      </c>
      <c r="H14" s="58" t="s">
        <v>71</v>
      </c>
      <c r="I14" s="35"/>
      <c r="J14" s="36"/>
    </row>
    <row r="15">
      <c r="A15" s="48"/>
      <c r="B15" s="23"/>
      <c r="C15" s="23" t="s">
        <v>77</v>
      </c>
      <c r="D15" s="58" t="s">
        <v>79</v>
      </c>
      <c r="E15" s="58" t="s">
        <v>81</v>
      </c>
      <c r="F15" s="58" t="s">
        <v>84</v>
      </c>
      <c r="G15" s="58" t="s">
        <v>86</v>
      </c>
      <c r="H15" s="58" t="s">
        <v>87</v>
      </c>
      <c r="I15" s="35"/>
      <c r="J15" s="36"/>
    </row>
    <row r="16">
      <c r="A16" s="48"/>
      <c r="B16" s="23"/>
      <c r="C16" s="23" t="s">
        <v>91</v>
      </c>
      <c r="D16" s="58" t="s">
        <v>92</v>
      </c>
      <c r="E16" s="58" t="s">
        <v>93</v>
      </c>
      <c r="F16" s="58" t="s">
        <v>94</v>
      </c>
      <c r="G16" s="58" t="s">
        <v>97</v>
      </c>
      <c r="H16" s="58" t="s">
        <v>100</v>
      </c>
      <c r="I16" s="35"/>
      <c r="J16" s="36"/>
    </row>
    <row r="17">
      <c r="A17" s="2"/>
      <c r="B17" s="8"/>
      <c r="C17" s="8"/>
      <c r="D17" s="55"/>
      <c r="E17" s="55"/>
      <c r="F17" s="55"/>
      <c r="G17" s="55"/>
      <c r="H17" s="55"/>
      <c r="I17" s="35"/>
      <c r="J17" s="36"/>
    </row>
    <row r="18">
      <c r="A18" s="2"/>
      <c r="B18" s="8"/>
      <c r="C18" s="8"/>
      <c r="D18" s="68" t="s">
        <v>108</v>
      </c>
      <c r="I18" s="35"/>
      <c r="J18" s="36"/>
    </row>
    <row r="19">
      <c r="A19" s="48"/>
      <c r="B19" s="23"/>
      <c r="C19" s="23" t="s">
        <v>110</v>
      </c>
      <c r="D19" s="71" t="s">
        <v>112</v>
      </c>
      <c r="E19" s="71" t="s">
        <v>114</v>
      </c>
      <c r="F19" s="71" t="s">
        <v>115</v>
      </c>
      <c r="G19" s="71" t="s">
        <v>116</v>
      </c>
      <c r="H19" s="71" t="s">
        <v>117</v>
      </c>
      <c r="I19" s="35"/>
      <c r="J19" s="36"/>
    </row>
    <row r="20">
      <c r="A20" s="48"/>
      <c r="B20" s="23"/>
      <c r="C20" s="23" t="s">
        <v>118</v>
      </c>
      <c r="D20" s="71" t="s">
        <v>120</v>
      </c>
      <c r="E20" s="71" t="s">
        <v>121</v>
      </c>
      <c r="F20" s="71" t="s">
        <v>123</v>
      </c>
      <c r="G20" s="71" t="s">
        <v>124</v>
      </c>
      <c r="H20" s="71" t="s">
        <v>125</v>
      </c>
      <c r="I20" s="35"/>
      <c r="J20" s="36"/>
    </row>
    <row r="21">
      <c r="A21" s="48"/>
      <c r="B21" s="23"/>
      <c r="C21" s="23" t="s">
        <v>126</v>
      </c>
      <c r="D21" s="71" t="s">
        <v>127</v>
      </c>
      <c r="E21" s="71" t="s">
        <v>128</v>
      </c>
      <c r="F21" s="71" t="s">
        <v>129</v>
      </c>
      <c r="G21" s="71" t="s">
        <v>130</v>
      </c>
      <c r="H21" s="71" t="s">
        <v>132</v>
      </c>
      <c r="I21" s="35"/>
      <c r="J21" s="36"/>
    </row>
    <row r="22">
      <c r="A22" s="2"/>
      <c r="B22" s="8"/>
      <c r="C22" s="8"/>
      <c r="D22" s="55"/>
      <c r="E22" s="55"/>
      <c r="F22" s="55"/>
      <c r="G22" s="55"/>
      <c r="H22" s="55"/>
      <c r="I22" s="35"/>
      <c r="J22" s="36"/>
    </row>
    <row r="23">
      <c r="A23" s="48"/>
      <c r="B23" s="23"/>
      <c r="C23" s="23"/>
      <c r="D23" s="75" t="s">
        <v>133</v>
      </c>
      <c r="I23" s="35"/>
      <c r="J23" s="36"/>
    </row>
    <row r="24">
      <c r="A24" s="48"/>
      <c r="B24" s="23"/>
      <c r="C24" s="23" t="s">
        <v>136</v>
      </c>
      <c r="D24" s="76" t="s">
        <v>137</v>
      </c>
      <c r="E24" s="76" t="s">
        <v>138</v>
      </c>
      <c r="F24" s="77" t="s">
        <v>139</v>
      </c>
      <c r="G24" s="77" t="s">
        <v>140</v>
      </c>
      <c r="H24" s="76" t="s">
        <v>142</v>
      </c>
      <c r="I24" s="35"/>
      <c r="J24" s="36"/>
    </row>
    <row r="25">
      <c r="A25" s="48"/>
      <c r="B25" s="23"/>
      <c r="C25" s="23" t="s">
        <v>143</v>
      </c>
      <c r="D25" s="77" t="s">
        <v>144</v>
      </c>
      <c r="E25" s="76" t="s">
        <v>145</v>
      </c>
      <c r="F25" s="76" t="s">
        <v>146</v>
      </c>
      <c r="G25" s="77" t="s">
        <v>147</v>
      </c>
      <c r="H25" s="77" t="s">
        <v>148</v>
      </c>
      <c r="I25" s="35"/>
      <c r="J25" s="36"/>
    </row>
    <row r="26">
      <c r="A26" s="48"/>
      <c r="B26" s="23"/>
      <c r="C26" s="23" t="s">
        <v>149</v>
      </c>
      <c r="D26" s="76" t="s">
        <v>150</v>
      </c>
      <c r="E26" s="77" t="s">
        <v>151</v>
      </c>
      <c r="F26" s="77" t="s">
        <v>153</v>
      </c>
      <c r="G26" s="76" t="s">
        <v>154</v>
      </c>
      <c r="H26" s="77" t="s">
        <v>155</v>
      </c>
      <c r="I26" s="35"/>
      <c r="J26" s="36"/>
    </row>
    <row r="27">
      <c r="A27" s="2"/>
      <c r="B27" s="8"/>
      <c r="C27" s="8"/>
      <c r="D27" s="8"/>
      <c r="E27" s="35"/>
      <c r="F27" s="35"/>
      <c r="G27" s="35"/>
      <c r="H27" s="35"/>
      <c r="I27" s="35"/>
      <c r="J27" s="36"/>
    </row>
    <row r="28">
      <c r="A28" s="2"/>
      <c r="B28" s="2"/>
      <c r="C28" s="2"/>
      <c r="D28" s="2"/>
      <c r="E28" s="36"/>
      <c r="F28" s="36"/>
      <c r="G28" s="36"/>
      <c r="H28" s="36"/>
      <c r="I28" s="36"/>
      <c r="J28" s="36"/>
    </row>
  </sheetData>
  <mergeCells count="5">
    <mergeCell ref="B2:I2"/>
    <mergeCell ref="D8:H8"/>
    <mergeCell ref="D13:H13"/>
    <mergeCell ref="D18:H18"/>
    <mergeCell ref="D23:H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.38"/>
    <col customWidth="1" min="4" max="4" width="21.88"/>
    <col customWidth="1" min="14" max="14" width="3.13"/>
    <col customWidth="1" min="15" max="15" width="3.0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>
      <c r="A2" s="15"/>
      <c r="B2" s="22" t="s">
        <v>11</v>
      </c>
      <c r="O2" s="15"/>
    </row>
    <row r="3">
      <c r="A3" s="15"/>
      <c r="B3" s="15"/>
      <c r="C3" s="15"/>
      <c r="D3" s="15"/>
      <c r="E3" s="15"/>
      <c r="F3" s="15"/>
      <c r="G3" s="15"/>
      <c r="H3" s="27"/>
      <c r="I3" s="15"/>
      <c r="J3" s="15"/>
      <c r="K3" s="15"/>
      <c r="L3" s="15"/>
      <c r="M3" s="15"/>
      <c r="N3" s="15"/>
      <c r="O3" s="15"/>
    </row>
    <row r="4">
      <c r="A4" s="15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15"/>
    </row>
    <row r="5">
      <c r="A5" s="15"/>
      <c r="B5" s="32"/>
      <c r="C5" s="37" t="s">
        <v>23</v>
      </c>
      <c r="D5" s="21"/>
      <c r="E5" s="32"/>
      <c r="F5" s="40" t="s">
        <v>32</v>
      </c>
      <c r="G5" s="44" t="s">
        <v>16</v>
      </c>
      <c r="H5" s="47" t="s">
        <v>22</v>
      </c>
      <c r="I5" s="47" t="s">
        <v>26</v>
      </c>
      <c r="J5" s="47" t="s">
        <v>29</v>
      </c>
      <c r="K5" s="47" t="s">
        <v>31</v>
      </c>
      <c r="L5" s="49" t="s">
        <v>34</v>
      </c>
      <c r="M5" s="40" t="s">
        <v>38</v>
      </c>
      <c r="N5" s="32"/>
      <c r="O5" s="15"/>
    </row>
    <row r="6">
      <c r="A6" s="15"/>
      <c r="B6" s="32"/>
      <c r="C6" s="52" t="s">
        <v>16</v>
      </c>
      <c r="D6" s="59" t="str">
        <f>VLOOKUP(C6,'Tournament Information'!$F$7:$G$30,2)</f>
        <v/>
      </c>
      <c r="E6" s="32"/>
      <c r="F6" s="52" t="s">
        <v>16</v>
      </c>
      <c r="G6" s="60"/>
      <c r="H6" s="61"/>
      <c r="I6" s="61"/>
      <c r="J6" s="62"/>
      <c r="K6" s="63"/>
      <c r="L6" s="65"/>
      <c r="M6" s="67">
        <f t="shared" ref="M6:M11" si="1">SUM(G6:L6)</f>
        <v>0</v>
      </c>
      <c r="N6" s="32"/>
      <c r="O6" s="15"/>
    </row>
    <row r="7">
      <c r="A7" s="15"/>
      <c r="B7" s="32"/>
      <c r="C7" s="70" t="s">
        <v>22</v>
      </c>
      <c r="D7" s="59" t="str">
        <f>VLOOKUP(C7,'Tournament Information'!$F$7:$G$30,2)</f>
        <v/>
      </c>
      <c r="E7" s="32"/>
      <c r="F7" s="70" t="s">
        <v>22</v>
      </c>
      <c r="G7" s="61"/>
      <c r="H7" s="60"/>
      <c r="I7" s="61"/>
      <c r="J7" s="62"/>
      <c r="K7" s="63"/>
      <c r="L7" s="74"/>
      <c r="M7" s="67">
        <f t="shared" si="1"/>
        <v>0</v>
      </c>
      <c r="N7" s="32"/>
      <c r="O7" s="15"/>
    </row>
    <row r="8">
      <c r="A8" s="15"/>
      <c r="B8" s="32"/>
      <c r="C8" s="70" t="s">
        <v>26</v>
      </c>
      <c r="D8" s="59" t="str">
        <f>VLOOKUP(C8,'Tournament Information'!$F$7:$G$30,2)</f>
        <v/>
      </c>
      <c r="E8" s="32"/>
      <c r="F8" s="70" t="s">
        <v>26</v>
      </c>
      <c r="G8" s="61"/>
      <c r="H8" s="61"/>
      <c r="I8" s="60"/>
      <c r="J8" s="62"/>
      <c r="K8" s="63"/>
      <c r="L8" s="74"/>
      <c r="M8" s="67">
        <f t="shared" si="1"/>
        <v>0</v>
      </c>
      <c r="N8" s="32"/>
      <c r="O8" s="15"/>
    </row>
    <row r="9">
      <c r="A9" s="15"/>
      <c r="B9" s="32"/>
      <c r="C9" s="70" t="s">
        <v>29</v>
      </c>
      <c r="D9" s="59" t="str">
        <f>VLOOKUP(C9,'Tournament Information'!$F$7:$G$30,2)</f>
        <v/>
      </c>
      <c r="E9" s="32"/>
      <c r="F9" s="70" t="s">
        <v>29</v>
      </c>
      <c r="G9" s="62"/>
      <c r="H9" s="62"/>
      <c r="I9" s="62"/>
      <c r="J9" s="60"/>
      <c r="K9" s="79"/>
      <c r="L9" s="74"/>
      <c r="M9" s="67">
        <f t="shared" si="1"/>
        <v>0</v>
      </c>
      <c r="N9" s="32"/>
      <c r="O9" s="15"/>
    </row>
    <row r="10">
      <c r="A10" s="15"/>
      <c r="B10" s="32"/>
      <c r="C10" s="70" t="s">
        <v>31</v>
      </c>
      <c r="D10" s="59" t="str">
        <f>VLOOKUP(C10,'Tournament Information'!$F$7:$G$30,2)</f>
        <v/>
      </c>
      <c r="E10" s="32"/>
      <c r="F10" s="70" t="s">
        <v>31</v>
      </c>
      <c r="G10" s="63"/>
      <c r="H10" s="63"/>
      <c r="I10" s="63"/>
      <c r="J10" s="62"/>
      <c r="K10" s="60"/>
      <c r="L10" s="60"/>
      <c r="M10" s="67">
        <f t="shared" si="1"/>
        <v>0</v>
      </c>
      <c r="N10" s="32"/>
      <c r="O10" s="15"/>
    </row>
    <row r="11">
      <c r="A11" s="15"/>
      <c r="B11" s="32"/>
      <c r="C11" s="80" t="s">
        <v>34</v>
      </c>
      <c r="D11" s="81" t="str">
        <f>VLOOKUP(C11,'Tournament Information'!$F$7:$G$30,2)</f>
        <v/>
      </c>
      <c r="E11" s="32"/>
      <c r="F11" s="80" t="s">
        <v>34</v>
      </c>
      <c r="G11" s="85"/>
      <c r="H11" s="85"/>
      <c r="I11" s="85"/>
      <c r="J11" s="85"/>
      <c r="K11" s="88"/>
      <c r="L11" s="88"/>
      <c r="M11" s="90">
        <f t="shared" si="1"/>
        <v>0</v>
      </c>
      <c r="N11" s="32"/>
      <c r="O11" s="15"/>
    </row>
    <row r="12">
      <c r="A12" s="15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91" t="s">
        <v>169</v>
      </c>
      <c r="M12" s="95">
        <f>0.0211*SUM(M6:M11)</f>
        <v>0</v>
      </c>
      <c r="N12" s="32"/>
      <c r="O12" s="15"/>
    </row>
    <row r="13">
      <c r="A13" s="15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15"/>
    </row>
    <row r="14">
      <c r="A14" s="15"/>
      <c r="B14" s="32"/>
      <c r="C14" s="37" t="s">
        <v>59</v>
      </c>
      <c r="D14" s="21"/>
      <c r="E14" s="32"/>
      <c r="F14" s="40" t="s">
        <v>32</v>
      </c>
      <c r="G14" s="44" t="s">
        <v>58</v>
      </c>
      <c r="H14" s="47" t="s">
        <v>65</v>
      </c>
      <c r="I14" s="47" t="s">
        <v>72</v>
      </c>
      <c r="J14" s="47" t="s">
        <v>75</v>
      </c>
      <c r="K14" s="47" t="s">
        <v>80</v>
      </c>
      <c r="L14" s="49" t="s">
        <v>85</v>
      </c>
      <c r="M14" s="40" t="s">
        <v>38</v>
      </c>
      <c r="N14" s="32"/>
      <c r="O14" s="15"/>
    </row>
    <row r="15">
      <c r="A15" s="15"/>
      <c r="B15" s="32"/>
      <c r="C15" s="52" t="s">
        <v>58</v>
      </c>
      <c r="D15" s="59" t="str">
        <f>VLOOKUP(C15,'Tournament Information'!$F$7:$G$30,2)</f>
        <v/>
      </c>
      <c r="E15" s="32"/>
      <c r="F15" s="52" t="s">
        <v>58</v>
      </c>
      <c r="G15" s="60"/>
      <c r="H15" s="61"/>
      <c r="I15" s="61"/>
      <c r="J15" s="61"/>
      <c r="K15" s="63"/>
      <c r="L15" s="63"/>
      <c r="M15" s="67">
        <f t="shared" ref="M15:M20" si="2">SUM(G15:L15)</f>
        <v>0</v>
      </c>
      <c r="N15" s="32"/>
      <c r="O15" s="15"/>
    </row>
    <row r="16">
      <c r="A16" s="15"/>
      <c r="B16" s="32"/>
      <c r="C16" s="70" t="s">
        <v>65</v>
      </c>
      <c r="D16" s="59" t="str">
        <f>VLOOKUP(C16,'Tournament Information'!$F$7:$G$30,2)</f>
        <v/>
      </c>
      <c r="E16" s="32"/>
      <c r="F16" s="70" t="s">
        <v>65</v>
      </c>
      <c r="G16" s="61"/>
      <c r="H16" s="60"/>
      <c r="I16" s="61"/>
      <c r="J16" s="61"/>
      <c r="K16" s="63"/>
      <c r="L16" s="63"/>
      <c r="M16" s="67">
        <f t="shared" si="2"/>
        <v>0</v>
      </c>
      <c r="N16" s="32"/>
      <c r="O16" s="15"/>
    </row>
    <row r="17">
      <c r="A17" s="15"/>
      <c r="B17" s="32"/>
      <c r="C17" s="70" t="s">
        <v>72</v>
      </c>
      <c r="D17" s="59" t="str">
        <f>VLOOKUP(C17,'Tournament Information'!$F$7:$G$30,2)</f>
        <v/>
      </c>
      <c r="E17" s="32"/>
      <c r="F17" s="70" t="s">
        <v>72</v>
      </c>
      <c r="G17" s="61"/>
      <c r="H17" s="61"/>
      <c r="I17" s="60"/>
      <c r="J17" s="61"/>
      <c r="K17" s="63"/>
      <c r="L17" s="63"/>
      <c r="M17" s="67">
        <f t="shared" si="2"/>
        <v>0</v>
      </c>
      <c r="N17" s="32"/>
      <c r="O17" s="15"/>
    </row>
    <row r="18">
      <c r="A18" s="15"/>
      <c r="B18" s="32"/>
      <c r="C18" s="70" t="s">
        <v>75</v>
      </c>
      <c r="D18" s="59" t="str">
        <f>VLOOKUP(C18,'Tournament Information'!$F$7:$G$30,2)</f>
        <v/>
      </c>
      <c r="E18" s="32"/>
      <c r="F18" s="70" t="s">
        <v>75</v>
      </c>
      <c r="G18" s="61"/>
      <c r="H18" s="61"/>
      <c r="I18" s="61"/>
      <c r="J18" s="60"/>
      <c r="K18" s="63"/>
      <c r="L18" s="63"/>
      <c r="M18" s="67">
        <f t="shared" si="2"/>
        <v>0</v>
      </c>
      <c r="N18" s="32"/>
      <c r="O18" s="15"/>
    </row>
    <row r="19">
      <c r="A19" s="15"/>
      <c r="B19" s="32"/>
      <c r="C19" s="70" t="s">
        <v>80</v>
      </c>
      <c r="D19" s="59" t="str">
        <f>VLOOKUP(C19,'Tournament Information'!$F$7:$G$30,2)</f>
        <v/>
      </c>
      <c r="E19" s="32"/>
      <c r="F19" s="70" t="s">
        <v>80</v>
      </c>
      <c r="G19" s="63"/>
      <c r="H19" s="63"/>
      <c r="I19" s="63"/>
      <c r="J19" s="63"/>
      <c r="K19" s="60"/>
      <c r="L19" s="63"/>
      <c r="M19" s="67">
        <f t="shared" si="2"/>
        <v>0</v>
      </c>
      <c r="N19" s="32"/>
      <c r="O19" s="15"/>
    </row>
    <row r="20">
      <c r="A20" s="15"/>
      <c r="B20" s="32"/>
      <c r="C20" s="80" t="s">
        <v>85</v>
      </c>
      <c r="D20" s="81" t="str">
        <f>VLOOKUP(C20,'Tournament Information'!$F$7:$G$30,2)</f>
        <v/>
      </c>
      <c r="E20" s="32"/>
      <c r="F20" s="80" t="s">
        <v>85</v>
      </c>
      <c r="G20" s="112"/>
      <c r="H20" s="112"/>
      <c r="I20" s="112"/>
      <c r="J20" s="112"/>
      <c r="K20" s="112"/>
      <c r="L20" s="88"/>
      <c r="M20" s="90">
        <f t="shared" si="2"/>
        <v>0</v>
      </c>
      <c r="N20" s="32"/>
      <c r="O20" s="15"/>
    </row>
    <row r="21">
      <c r="A21" s="15"/>
      <c r="B21" s="32"/>
      <c r="C21" s="32"/>
      <c r="D21" s="32"/>
      <c r="E21" s="32"/>
      <c r="F21" s="32"/>
      <c r="G21" s="32"/>
      <c r="H21" s="63"/>
      <c r="I21" s="32"/>
      <c r="J21" s="63"/>
      <c r="K21" s="63"/>
      <c r="L21" s="91" t="s">
        <v>169</v>
      </c>
      <c r="M21" s="95">
        <f>0.0211*SUM(M15:M20)</f>
        <v>0</v>
      </c>
      <c r="N21" s="32"/>
      <c r="O21" s="15"/>
    </row>
    <row r="22">
      <c r="A22" s="15"/>
      <c r="B22" s="32"/>
      <c r="C22" s="32"/>
      <c r="D22" s="32"/>
      <c r="E22" s="32"/>
      <c r="F22" s="32"/>
      <c r="G22" s="32"/>
      <c r="H22" s="63"/>
      <c r="I22" s="63"/>
      <c r="J22" s="63"/>
      <c r="K22" s="32"/>
      <c r="L22" s="32"/>
      <c r="M22" s="32"/>
      <c r="N22" s="32"/>
      <c r="O22" s="15"/>
    </row>
    <row r="23">
      <c r="A23" s="15"/>
      <c r="B23" s="32"/>
      <c r="C23" s="37" t="s">
        <v>108</v>
      </c>
      <c r="D23" s="21"/>
      <c r="E23" s="32"/>
      <c r="F23" s="40" t="s">
        <v>32</v>
      </c>
      <c r="G23" s="44" t="s">
        <v>90</v>
      </c>
      <c r="H23" s="47" t="s">
        <v>98</v>
      </c>
      <c r="I23" s="47" t="s">
        <v>103</v>
      </c>
      <c r="J23" s="47" t="s">
        <v>106</v>
      </c>
      <c r="K23" s="47" t="s">
        <v>111</v>
      </c>
      <c r="L23" s="49" t="s">
        <v>113</v>
      </c>
      <c r="M23" s="40" t="s">
        <v>38</v>
      </c>
      <c r="N23" s="32"/>
      <c r="O23" s="15"/>
    </row>
    <row r="24">
      <c r="A24" s="15"/>
      <c r="B24" s="32"/>
      <c r="C24" s="52" t="s">
        <v>90</v>
      </c>
      <c r="D24" s="59" t="str">
        <f>VLOOKUP(C24,'Tournament Information'!$F$7:$G$30,2)</f>
        <v/>
      </c>
      <c r="E24" s="32"/>
      <c r="F24" s="52" t="s">
        <v>90</v>
      </c>
      <c r="G24" s="60"/>
      <c r="H24" s="61"/>
      <c r="I24" s="61"/>
      <c r="J24" s="61"/>
      <c r="K24" s="63"/>
      <c r="L24" s="60"/>
      <c r="M24" s="67">
        <f t="shared" ref="M24:M29" si="3">SUM(G24:L24)</f>
        <v>0</v>
      </c>
      <c r="N24" s="32"/>
      <c r="O24" s="15"/>
    </row>
    <row r="25">
      <c r="A25" s="15"/>
      <c r="B25" s="32"/>
      <c r="C25" s="70" t="s">
        <v>98</v>
      </c>
      <c r="D25" s="59" t="str">
        <f>VLOOKUP(C25,'Tournament Information'!$F$7:$G$30,2)</f>
        <v/>
      </c>
      <c r="E25" s="32"/>
      <c r="F25" s="70" t="s">
        <v>98</v>
      </c>
      <c r="G25" s="61"/>
      <c r="H25" s="60"/>
      <c r="I25" s="61"/>
      <c r="J25" s="61"/>
      <c r="K25" s="63"/>
      <c r="L25" s="60"/>
      <c r="M25" s="67">
        <f t="shared" si="3"/>
        <v>0</v>
      </c>
      <c r="N25" s="32"/>
      <c r="O25" s="15"/>
    </row>
    <row r="26">
      <c r="A26" s="15"/>
      <c r="B26" s="32"/>
      <c r="C26" s="70" t="s">
        <v>103</v>
      </c>
      <c r="D26" s="59" t="str">
        <f>VLOOKUP(C26,'Tournament Information'!$F$7:$G$30,2)</f>
        <v/>
      </c>
      <c r="E26" s="32"/>
      <c r="F26" s="70" t="s">
        <v>103</v>
      </c>
      <c r="G26" s="61"/>
      <c r="H26" s="61"/>
      <c r="I26" s="60"/>
      <c r="J26" s="61"/>
      <c r="K26" s="63"/>
      <c r="L26" s="60"/>
      <c r="M26" s="67">
        <f t="shared" si="3"/>
        <v>0</v>
      </c>
      <c r="N26" s="32"/>
      <c r="O26" s="15"/>
    </row>
    <row r="27">
      <c r="A27" s="15"/>
      <c r="B27" s="32"/>
      <c r="C27" s="70" t="s">
        <v>106</v>
      </c>
      <c r="D27" s="59" t="str">
        <f>VLOOKUP(C27,'Tournament Information'!$F$7:$G$30,2)</f>
        <v/>
      </c>
      <c r="E27" s="32"/>
      <c r="F27" s="70" t="s">
        <v>106</v>
      </c>
      <c r="G27" s="61"/>
      <c r="H27" s="61"/>
      <c r="I27" s="61"/>
      <c r="J27" s="60"/>
      <c r="K27" s="63"/>
      <c r="L27" s="60"/>
      <c r="M27" s="67">
        <f t="shared" si="3"/>
        <v>0</v>
      </c>
      <c r="N27" s="32"/>
      <c r="O27" s="15"/>
    </row>
    <row r="28">
      <c r="A28" s="15"/>
      <c r="B28" s="32"/>
      <c r="C28" s="70" t="s">
        <v>111</v>
      </c>
      <c r="D28" s="59" t="str">
        <f>VLOOKUP(C28,'Tournament Information'!$F$7:$G$30,2)</f>
        <v/>
      </c>
      <c r="E28" s="32"/>
      <c r="F28" s="70" t="s">
        <v>111</v>
      </c>
      <c r="G28" s="63"/>
      <c r="H28" s="63"/>
      <c r="I28" s="63"/>
      <c r="J28" s="63"/>
      <c r="K28" s="60"/>
      <c r="L28" s="60"/>
      <c r="M28" s="67">
        <f t="shared" si="3"/>
        <v>0</v>
      </c>
      <c r="N28" s="32"/>
      <c r="O28" s="15"/>
    </row>
    <row r="29">
      <c r="A29" s="15"/>
      <c r="B29" s="32"/>
      <c r="C29" s="80" t="s">
        <v>113</v>
      </c>
      <c r="D29" s="81" t="str">
        <f>VLOOKUP(C29,'Tournament Information'!$F$7:$G$30,2)</f>
        <v/>
      </c>
      <c r="E29" s="32"/>
      <c r="F29" s="80" t="s">
        <v>113</v>
      </c>
      <c r="G29" s="88"/>
      <c r="H29" s="88"/>
      <c r="I29" s="88"/>
      <c r="J29" s="88"/>
      <c r="K29" s="88"/>
      <c r="L29" s="88"/>
      <c r="M29" s="90">
        <f t="shared" si="3"/>
        <v>0</v>
      </c>
      <c r="N29" s="32"/>
      <c r="O29" s="15"/>
    </row>
    <row r="30">
      <c r="A30" s="15"/>
      <c r="B30" s="32"/>
      <c r="C30" s="118"/>
      <c r="D30" s="63"/>
      <c r="E30" s="32"/>
      <c r="F30" s="118"/>
      <c r="G30" s="32"/>
      <c r="H30" s="32"/>
      <c r="I30" s="32"/>
      <c r="J30" s="32"/>
      <c r="K30" s="32"/>
      <c r="L30" s="91" t="s">
        <v>169</v>
      </c>
      <c r="M30" s="95">
        <f>0.0211*SUM(M24:M29)</f>
        <v>0</v>
      </c>
      <c r="N30" s="32"/>
      <c r="O30" s="15"/>
    </row>
    <row r="31">
      <c r="A31" s="15"/>
      <c r="B31" s="32"/>
      <c r="C31" s="118"/>
      <c r="D31" s="63"/>
      <c r="E31" s="32"/>
      <c r="F31" s="118"/>
      <c r="G31" s="32"/>
      <c r="H31" s="32"/>
      <c r="I31" s="32"/>
      <c r="J31" s="32"/>
      <c r="K31" s="32"/>
      <c r="L31" s="32"/>
      <c r="M31" s="123"/>
      <c r="N31" s="32"/>
      <c r="O31" s="15"/>
    </row>
    <row r="32">
      <c r="A32" s="15"/>
      <c r="B32" s="32"/>
      <c r="C32" s="37" t="s">
        <v>133</v>
      </c>
      <c r="D32" s="21"/>
      <c r="E32" s="32"/>
      <c r="F32" s="40" t="s">
        <v>32</v>
      </c>
      <c r="G32" s="44" t="s">
        <v>131</v>
      </c>
      <c r="H32" s="47" t="s">
        <v>157</v>
      </c>
      <c r="I32" s="47" t="s">
        <v>166</v>
      </c>
      <c r="J32" s="47" t="s">
        <v>172</v>
      </c>
      <c r="K32" s="47" t="s">
        <v>177</v>
      </c>
      <c r="L32" s="49" t="s">
        <v>180</v>
      </c>
      <c r="M32" s="40" t="s">
        <v>38</v>
      </c>
      <c r="N32" s="32"/>
      <c r="O32" s="15"/>
    </row>
    <row r="33">
      <c r="A33" s="15"/>
      <c r="B33" s="32"/>
      <c r="C33" s="52" t="s">
        <v>131</v>
      </c>
      <c r="D33" s="59" t="str">
        <f>VLOOKUP(C33,'Tournament Information'!$F$7:$G$30,2)</f>
        <v/>
      </c>
      <c r="E33" s="32"/>
      <c r="F33" s="70" t="s">
        <v>131</v>
      </c>
      <c r="G33" s="60"/>
      <c r="H33" s="61"/>
      <c r="I33" s="61"/>
      <c r="J33" s="61"/>
      <c r="K33" s="63"/>
      <c r="L33" s="60"/>
      <c r="M33" s="67">
        <f t="shared" ref="M33:M38" si="4">SUM(G33:L33)</f>
        <v>0</v>
      </c>
      <c r="N33" s="32"/>
      <c r="O33" s="15"/>
    </row>
    <row r="34">
      <c r="A34" s="15"/>
      <c r="B34" s="32"/>
      <c r="C34" s="70" t="s">
        <v>157</v>
      </c>
      <c r="D34" s="59" t="str">
        <f>VLOOKUP(C34,'Tournament Information'!$F$7:$G$30,2)</f>
        <v/>
      </c>
      <c r="E34" s="32"/>
      <c r="F34" s="70" t="s">
        <v>157</v>
      </c>
      <c r="G34" s="61"/>
      <c r="H34" s="60"/>
      <c r="I34" s="61"/>
      <c r="J34" s="61"/>
      <c r="K34" s="63"/>
      <c r="L34" s="60"/>
      <c r="M34" s="67">
        <f t="shared" si="4"/>
        <v>0</v>
      </c>
      <c r="N34" s="32"/>
      <c r="O34" s="15"/>
    </row>
    <row r="35">
      <c r="A35" s="15"/>
      <c r="B35" s="32"/>
      <c r="C35" s="70" t="s">
        <v>166</v>
      </c>
      <c r="D35" s="59" t="str">
        <f>VLOOKUP(C35,'Tournament Information'!$F$7:$G$30,2)</f>
        <v/>
      </c>
      <c r="E35" s="32"/>
      <c r="F35" s="70" t="s">
        <v>166</v>
      </c>
      <c r="G35" s="61"/>
      <c r="H35" s="61"/>
      <c r="I35" s="60"/>
      <c r="J35" s="61"/>
      <c r="K35" s="63"/>
      <c r="L35" s="60"/>
      <c r="M35" s="67">
        <f t="shared" si="4"/>
        <v>0</v>
      </c>
      <c r="N35" s="32"/>
      <c r="O35" s="15"/>
    </row>
    <row r="36">
      <c r="A36" s="15"/>
      <c r="B36" s="32"/>
      <c r="C36" s="70" t="s">
        <v>172</v>
      </c>
      <c r="D36" s="59" t="str">
        <f>VLOOKUP(C36,'Tournament Information'!$F$7:$G$30,2)</f>
        <v/>
      </c>
      <c r="E36" s="32"/>
      <c r="F36" s="70" t="s">
        <v>172</v>
      </c>
      <c r="G36" s="61"/>
      <c r="H36" s="61"/>
      <c r="I36" s="61"/>
      <c r="J36" s="60"/>
      <c r="K36" s="63"/>
      <c r="L36" s="60"/>
      <c r="M36" s="67">
        <f t="shared" si="4"/>
        <v>0</v>
      </c>
      <c r="N36" s="32"/>
      <c r="O36" s="15"/>
    </row>
    <row r="37">
      <c r="A37" s="15"/>
      <c r="B37" s="32"/>
      <c r="C37" s="70" t="s">
        <v>177</v>
      </c>
      <c r="D37" s="59" t="str">
        <f>VLOOKUP(C37,'Tournament Information'!$F$7:$G$30,2)</f>
        <v/>
      </c>
      <c r="E37" s="32"/>
      <c r="F37" s="70" t="s">
        <v>177</v>
      </c>
      <c r="G37" s="63"/>
      <c r="H37" s="63"/>
      <c r="I37" s="63"/>
      <c r="J37" s="63"/>
      <c r="K37" s="60"/>
      <c r="L37" s="60"/>
      <c r="M37" s="67">
        <f t="shared" si="4"/>
        <v>0</v>
      </c>
      <c r="N37" s="32"/>
      <c r="O37" s="15"/>
    </row>
    <row r="38">
      <c r="A38" s="15"/>
      <c r="B38" s="32"/>
      <c r="C38" s="80" t="s">
        <v>180</v>
      </c>
      <c r="D38" s="81" t="str">
        <f>VLOOKUP(C38,'Tournament Information'!$F$7:$G$30,2)</f>
        <v/>
      </c>
      <c r="E38" s="32"/>
      <c r="F38" s="80" t="s">
        <v>180</v>
      </c>
      <c r="G38" s="88"/>
      <c r="H38" s="88"/>
      <c r="I38" s="88"/>
      <c r="J38" s="88"/>
      <c r="K38" s="88"/>
      <c r="L38" s="88"/>
      <c r="M38" s="90">
        <f t="shared" si="4"/>
        <v>0</v>
      </c>
      <c r="N38" s="32"/>
      <c r="O38" s="15"/>
    </row>
    <row r="39">
      <c r="A39" s="15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91" t="s">
        <v>169</v>
      </c>
      <c r="M39" s="95">
        <f>0.0211*SUM(M33:M38)</f>
        <v>0</v>
      </c>
      <c r="N39" s="32"/>
      <c r="O39" s="15"/>
    </row>
    <row r="40">
      <c r="A40" s="1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</sheetData>
  <mergeCells count="5">
    <mergeCell ref="B2:N2"/>
    <mergeCell ref="C5:D5"/>
    <mergeCell ref="C14:D14"/>
    <mergeCell ref="C23:D23"/>
    <mergeCell ref="C32:D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6.5"/>
    <col customWidth="1" min="4" max="4" width="23.75"/>
    <col customWidth="1" min="5" max="5" width="21.38"/>
    <col customWidth="1" min="6" max="6" width="15.0"/>
    <col customWidth="1" min="8" max="9" width="3.13"/>
  </cols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2"/>
      <c r="B2" s="6" t="s">
        <v>1</v>
      </c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8"/>
      <c r="C4" s="8"/>
      <c r="D4" s="8"/>
      <c r="E4" s="8"/>
      <c r="F4" s="8"/>
      <c r="G4" s="8"/>
      <c r="H4" s="8"/>
      <c r="I4" s="2"/>
    </row>
    <row r="5">
      <c r="A5" s="2"/>
      <c r="B5" s="8"/>
      <c r="C5" s="12" t="s">
        <v>3</v>
      </c>
      <c r="D5" s="14" t="s">
        <v>5</v>
      </c>
      <c r="E5" s="18" t="s">
        <v>7</v>
      </c>
      <c r="F5" s="18" t="s">
        <v>9</v>
      </c>
      <c r="G5" s="20" t="s">
        <v>10</v>
      </c>
      <c r="H5" s="8"/>
      <c r="I5" s="2"/>
    </row>
    <row r="6">
      <c r="A6" s="2"/>
      <c r="B6" s="23"/>
      <c r="C6" s="25">
        <v>1.0</v>
      </c>
      <c r="D6" s="28" t="s">
        <v>13</v>
      </c>
      <c r="E6" s="8">
        <f>500+758</f>
        <v>1258</v>
      </c>
      <c r="F6" s="23">
        <v>51.906</v>
      </c>
      <c r="G6" s="42">
        <f>SUM(E6:F6)</f>
        <v>1309.906</v>
      </c>
      <c r="H6" s="8"/>
      <c r="I6" s="2"/>
    </row>
    <row r="7">
      <c r="A7" s="2"/>
      <c r="B7" s="23"/>
      <c r="C7" s="50">
        <f t="shared" ref="C7:C25" si="1">C6+1</f>
        <v>2</v>
      </c>
      <c r="D7" s="28" t="s">
        <v>39</v>
      </c>
      <c r="E7" s="8">
        <f>400+588</f>
        <v>988</v>
      </c>
      <c r="F7" s="23">
        <v>40.2166</v>
      </c>
      <c r="G7" s="42">
        <f>5/4*SUM(E7:F7)</f>
        <v>1285.27075</v>
      </c>
      <c r="H7" s="8"/>
      <c r="I7" s="2"/>
    </row>
    <row r="8">
      <c r="A8" s="2"/>
      <c r="B8" s="23"/>
      <c r="C8" s="50">
        <f t="shared" si="1"/>
        <v>3</v>
      </c>
      <c r="D8" s="28" t="s">
        <v>50</v>
      </c>
      <c r="E8" s="54">
        <f>300+428</f>
        <v>728</v>
      </c>
      <c r="F8" s="8">
        <v>20.2982</v>
      </c>
      <c r="G8" s="42">
        <f>5/3*SUM(E8:F8)</f>
        <v>1247.163667</v>
      </c>
      <c r="H8" s="8"/>
      <c r="I8" s="2"/>
    </row>
    <row r="9">
      <c r="A9" s="2"/>
      <c r="B9" s="23"/>
      <c r="C9" s="50">
        <f t="shared" si="1"/>
        <v>4</v>
      </c>
      <c r="D9" s="28" t="s">
        <v>60</v>
      </c>
      <c r="E9" s="8">
        <f>400+160+154+148+122+(50-28)</f>
        <v>1006</v>
      </c>
      <c r="F9" s="23">
        <v>51.906</v>
      </c>
      <c r="G9" s="42">
        <f>SUM(E9:F9)</f>
        <v>1057.906</v>
      </c>
      <c r="H9" s="8"/>
      <c r="I9" s="2"/>
    </row>
    <row r="10">
      <c r="A10" s="2"/>
      <c r="B10" s="23"/>
      <c r="C10" s="50">
        <f t="shared" si="1"/>
        <v>5</v>
      </c>
      <c r="D10" s="28" t="s">
        <v>99</v>
      </c>
      <c r="E10" s="8">
        <f>400+100+172+104</f>
        <v>776</v>
      </c>
      <c r="F10" s="23">
        <v>40.2166</v>
      </c>
      <c r="G10" s="42">
        <f t="shared" ref="G10:G12" si="2">5/4*SUM(E10:F10)</f>
        <v>1020.27075</v>
      </c>
      <c r="H10" s="8"/>
      <c r="I10" s="2"/>
    </row>
    <row r="11">
      <c r="A11" s="2"/>
      <c r="B11" s="23"/>
      <c r="C11" s="50">
        <f t="shared" si="1"/>
        <v>6</v>
      </c>
      <c r="D11" s="28" t="s">
        <v>119</v>
      </c>
      <c r="E11" s="8">
        <f>300+98+120+128+(50-48)</f>
        <v>648</v>
      </c>
      <c r="F11" s="8">
        <v>42.3266</v>
      </c>
      <c r="G11" s="42">
        <f t="shared" si="2"/>
        <v>862.90825</v>
      </c>
      <c r="H11" s="8"/>
      <c r="I11" s="2"/>
    </row>
    <row r="12">
      <c r="A12" s="2"/>
      <c r="B12" s="23"/>
      <c r="C12" s="50">
        <f t="shared" si="1"/>
        <v>7</v>
      </c>
      <c r="D12" s="28" t="s">
        <v>134</v>
      </c>
      <c r="E12" s="8">
        <f>300+94+150+96</f>
        <v>640</v>
      </c>
      <c r="F12" s="8">
        <v>42.3266</v>
      </c>
      <c r="G12" s="42">
        <f t="shared" si="2"/>
        <v>852.90825</v>
      </c>
      <c r="H12" s="8"/>
      <c r="I12" s="2"/>
    </row>
    <row r="13">
      <c r="A13" s="2"/>
      <c r="B13" s="23"/>
      <c r="C13" s="50">
        <f t="shared" si="1"/>
        <v>8</v>
      </c>
      <c r="D13" s="28" t="s">
        <v>141</v>
      </c>
      <c r="E13" s="8">
        <v>432.0</v>
      </c>
      <c r="F13" s="8">
        <v>20.2982</v>
      </c>
      <c r="G13" s="42">
        <f>5/3*SUM(E13:F13)</f>
        <v>753.8303333</v>
      </c>
      <c r="H13" s="8"/>
      <c r="I13" s="2"/>
    </row>
    <row r="14">
      <c r="A14" s="2"/>
      <c r="B14" s="23"/>
      <c r="C14" s="50">
        <f t="shared" si="1"/>
        <v>9</v>
      </c>
      <c r="D14" s="28" t="s">
        <v>152</v>
      </c>
      <c r="E14" s="8">
        <v>510.0</v>
      </c>
      <c r="F14" s="8">
        <v>42.3266</v>
      </c>
      <c r="G14" s="42">
        <f>5/4*SUM(E14:F14)</f>
        <v>690.40825</v>
      </c>
      <c r="H14" s="8"/>
      <c r="I14" s="2"/>
    </row>
    <row r="15">
      <c r="A15" s="2"/>
      <c r="B15" s="8"/>
      <c r="C15" s="50">
        <f t="shared" si="1"/>
        <v>10</v>
      </c>
      <c r="D15" s="28" t="s">
        <v>156</v>
      </c>
      <c r="E15" s="8">
        <v>634.0</v>
      </c>
      <c r="F15" s="23">
        <v>51.906</v>
      </c>
      <c r="G15" s="42">
        <f>SUM(E15:F15)</f>
        <v>685.906</v>
      </c>
      <c r="H15" s="8"/>
      <c r="I15" s="2"/>
    </row>
    <row r="16">
      <c r="A16" s="2"/>
      <c r="B16" s="8"/>
      <c r="C16" s="50">
        <f t="shared" si="1"/>
        <v>11</v>
      </c>
      <c r="D16" s="28" t="s">
        <v>159</v>
      </c>
      <c r="E16" s="23">
        <v>496.0</v>
      </c>
      <c r="F16" s="8">
        <v>40.2166</v>
      </c>
      <c r="G16" s="42">
        <f t="shared" ref="G16:G17" si="3">5/4*SUM(E16:F16)</f>
        <v>670.27075</v>
      </c>
      <c r="H16" s="8"/>
      <c r="I16" s="2"/>
    </row>
    <row r="17">
      <c r="A17" s="2"/>
      <c r="B17" s="8"/>
      <c r="C17" s="50">
        <f t="shared" si="1"/>
        <v>12</v>
      </c>
      <c r="D17" s="28" t="s">
        <v>160</v>
      </c>
      <c r="E17" s="8">
        <v>338.0</v>
      </c>
      <c r="F17" s="8">
        <v>42.3266</v>
      </c>
      <c r="G17" s="42">
        <f t="shared" si="3"/>
        <v>475.40825</v>
      </c>
      <c r="H17" s="8"/>
      <c r="I17" s="2"/>
    </row>
    <row r="18">
      <c r="A18" s="2"/>
      <c r="B18" s="8"/>
      <c r="C18" s="50">
        <f t="shared" si="1"/>
        <v>13</v>
      </c>
      <c r="D18" s="28" t="s">
        <v>161</v>
      </c>
      <c r="E18" s="8">
        <v>346.0</v>
      </c>
      <c r="F18" s="23">
        <v>51.906</v>
      </c>
      <c r="G18" s="42">
        <f>SUM(E18:F18)</f>
        <v>397.906</v>
      </c>
      <c r="H18" s="8"/>
      <c r="I18" s="2"/>
    </row>
    <row r="19">
      <c r="A19" s="2"/>
      <c r="B19" s="8"/>
      <c r="C19" s="50">
        <f t="shared" si="1"/>
        <v>14</v>
      </c>
      <c r="D19" s="28" t="s">
        <v>162</v>
      </c>
      <c r="E19" s="8">
        <v>216.0</v>
      </c>
      <c r="F19" s="8">
        <v>20.2982</v>
      </c>
      <c r="G19" s="42">
        <f>5/3*SUM(E19:F19)</f>
        <v>393.8303333</v>
      </c>
      <c r="H19" s="8"/>
      <c r="I19" s="2"/>
    </row>
    <row r="20">
      <c r="A20" s="2"/>
      <c r="B20" s="8"/>
      <c r="C20" s="50">
        <f t="shared" si="1"/>
        <v>15</v>
      </c>
      <c r="D20" s="28" t="s">
        <v>163</v>
      </c>
      <c r="E20" s="8">
        <v>254.0</v>
      </c>
      <c r="F20" s="8">
        <v>42.3266</v>
      </c>
      <c r="G20" s="42">
        <f t="shared" ref="G20:G21" si="4">5/4*SUM(E20:F20)</f>
        <v>370.40825</v>
      </c>
      <c r="H20" s="8"/>
      <c r="I20" s="2"/>
    </row>
    <row r="21">
      <c r="A21" s="2"/>
      <c r="B21" s="8"/>
      <c r="C21" s="82">
        <f t="shared" si="1"/>
        <v>16</v>
      </c>
      <c r="D21" s="84" t="s">
        <v>165</v>
      </c>
      <c r="E21" s="86">
        <v>172.0</v>
      </c>
      <c r="F21" s="86">
        <v>40.2166</v>
      </c>
      <c r="G21" s="89">
        <f t="shared" si="4"/>
        <v>265.27075</v>
      </c>
      <c r="H21" s="8"/>
      <c r="I21" s="2"/>
    </row>
    <row r="22">
      <c r="A22" s="2"/>
      <c r="B22" s="8"/>
      <c r="C22" s="50">
        <f t="shared" si="1"/>
        <v>17</v>
      </c>
      <c r="D22" s="28" t="s">
        <v>168</v>
      </c>
      <c r="E22" s="8">
        <v>202.0</v>
      </c>
      <c r="F22" s="8">
        <v>51.906</v>
      </c>
      <c r="G22" s="42">
        <f t="shared" ref="G22:G23" si="5">SUM(E22:F22)</f>
        <v>253.906</v>
      </c>
      <c r="H22" s="8"/>
      <c r="I22" s="2"/>
    </row>
    <row r="23">
      <c r="A23" s="2"/>
      <c r="B23" s="8"/>
      <c r="C23" s="50">
        <f t="shared" si="1"/>
        <v>18</v>
      </c>
      <c r="D23" s="28" t="s">
        <v>170</v>
      </c>
      <c r="E23" s="8">
        <v>48.0</v>
      </c>
      <c r="F23" s="8">
        <v>51.906</v>
      </c>
      <c r="G23" s="42">
        <f t="shared" si="5"/>
        <v>99.906</v>
      </c>
      <c r="H23" s="8"/>
      <c r="I23" s="2"/>
    </row>
    <row r="24">
      <c r="A24" s="2"/>
      <c r="B24" s="8"/>
      <c r="C24" s="50">
        <f t="shared" si="1"/>
        <v>19</v>
      </c>
      <c r="D24" s="28" t="s">
        <v>171</v>
      </c>
      <c r="E24" s="8">
        <v>36.0</v>
      </c>
      <c r="F24" s="23">
        <v>40.2166</v>
      </c>
      <c r="G24" s="42">
        <f>5/4*SUM(E24:F24)</f>
        <v>95.27075</v>
      </c>
      <c r="H24" s="8"/>
      <c r="I24" s="2"/>
    </row>
    <row r="25">
      <c r="A25" s="2"/>
      <c r="B25" s="8"/>
      <c r="C25" s="82">
        <f t="shared" si="1"/>
        <v>20</v>
      </c>
      <c r="D25" s="84" t="s">
        <v>174</v>
      </c>
      <c r="E25" s="94">
        <v>0.0</v>
      </c>
      <c r="F25" s="86">
        <v>20.2982</v>
      </c>
      <c r="G25" s="89">
        <f>5/3*SUM(E25:F25)</f>
        <v>33.83033333</v>
      </c>
      <c r="H25" s="8"/>
      <c r="I25" s="2"/>
    </row>
    <row r="26">
      <c r="A26" s="2"/>
      <c r="B26" s="8"/>
      <c r="C26" s="23"/>
      <c r="D26" s="23"/>
      <c r="E26" s="8"/>
      <c r="F26" s="8"/>
      <c r="G26" s="8"/>
      <c r="H26" s="8"/>
      <c r="I26" s="2"/>
    </row>
    <row r="27">
      <c r="A27" s="2"/>
      <c r="B27" s="2"/>
      <c r="C27" s="48"/>
      <c r="D27" s="48"/>
      <c r="E27" s="2"/>
      <c r="F27" s="2"/>
      <c r="G27" s="2"/>
      <c r="H27" s="2"/>
      <c r="I27" s="2"/>
    </row>
  </sheetData>
  <mergeCells count="1">
    <mergeCell ref="B2: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88"/>
    <col customWidth="1" min="7" max="7" width="9.63"/>
    <col customWidth="1" min="8" max="8" width="12.63"/>
    <col customWidth="1" min="10" max="10" width="9.38"/>
    <col customWidth="1" min="13" max="13" width="12.5"/>
    <col customWidth="1" min="16" max="16" width="6.38"/>
    <col customWidth="1" min="19" max="19" width="6.38"/>
    <col customWidth="1" min="22" max="22" width="6.38"/>
    <col customWidth="1" min="25" max="26" width="6.38"/>
    <col customWidth="1" min="27" max="29" width="12.63"/>
  </cols>
  <sheetData>
    <row r="1">
      <c r="A1" s="6" t="s">
        <v>164</v>
      </c>
      <c r="AA1" s="6"/>
      <c r="AB1" s="6"/>
      <c r="AC1" s="6"/>
    </row>
    <row r="2">
      <c r="A2" s="92"/>
      <c r="B2" s="93" t="s">
        <v>64</v>
      </c>
      <c r="E2" s="92"/>
      <c r="F2" s="93" t="s">
        <v>70</v>
      </c>
      <c r="H2" s="92"/>
      <c r="I2" s="93" t="s">
        <v>74</v>
      </c>
      <c r="K2" s="92"/>
      <c r="L2" s="93" t="s">
        <v>78</v>
      </c>
      <c r="N2" s="92"/>
      <c r="O2" s="93" t="s">
        <v>83</v>
      </c>
      <c r="Q2" s="92"/>
      <c r="R2" s="93" t="s">
        <v>89</v>
      </c>
      <c r="T2" s="92"/>
      <c r="U2" s="93" t="s">
        <v>96</v>
      </c>
      <c r="W2" s="92"/>
      <c r="X2" s="93" t="s">
        <v>175</v>
      </c>
      <c r="Z2" s="93"/>
      <c r="AA2" s="96" t="s">
        <v>176</v>
      </c>
      <c r="AB2" s="97" t="s">
        <v>13</v>
      </c>
    </row>
    <row r="3">
      <c r="A3" s="92"/>
      <c r="B3" s="92"/>
      <c r="C3" s="92"/>
      <c r="D3" s="92"/>
      <c r="E3" s="98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6" t="s">
        <v>179</v>
      </c>
      <c r="AB3" s="98" t="s">
        <v>152</v>
      </c>
    </row>
    <row r="4">
      <c r="A4" s="92"/>
      <c r="B4" s="100">
        <v>1.0</v>
      </c>
      <c r="C4" s="100" t="s">
        <v>13</v>
      </c>
      <c r="D4" s="100">
        <v>122.0</v>
      </c>
      <c r="E4" s="98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6" t="s">
        <v>181</v>
      </c>
      <c r="AB4" s="98" t="s">
        <v>39</v>
      </c>
    </row>
    <row r="5">
      <c r="A5" s="92"/>
      <c r="B5" s="103" t="s">
        <v>182</v>
      </c>
      <c r="C5" s="103"/>
      <c r="D5" s="92"/>
      <c r="E5" s="104"/>
      <c r="F5" s="105" t="s">
        <v>13</v>
      </c>
      <c r="G5" s="100">
        <v>132.0</v>
      </c>
      <c r="H5" s="98"/>
      <c r="I5" s="92"/>
      <c r="J5" s="92"/>
      <c r="K5" s="92"/>
      <c r="L5" s="106"/>
      <c r="M5" s="98"/>
      <c r="N5" s="92"/>
      <c r="O5" s="92"/>
      <c r="P5" s="98"/>
      <c r="Q5" s="92"/>
      <c r="R5" s="92"/>
      <c r="S5" s="92"/>
      <c r="T5" s="92"/>
      <c r="U5" s="107"/>
      <c r="V5" s="92"/>
      <c r="W5" s="92"/>
      <c r="X5" s="92"/>
      <c r="Y5" s="92"/>
      <c r="Z5" s="92"/>
      <c r="AA5" s="96" t="s">
        <v>183</v>
      </c>
      <c r="AB5" s="98" t="s">
        <v>159</v>
      </c>
    </row>
    <row r="6">
      <c r="A6" s="92"/>
      <c r="B6" s="100">
        <v>16.0</v>
      </c>
      <c r="C6" s="100" t="s">
        <v>165</v>
      </c>
      <c r="D6" s="100">
        <v>36.0</v>
      </c>
      <c r="E6" s="108"/>
      <c r="F6" s="92"/>
      <c r="G6" s="92"/>
      <c r="H6" s="104"/>
      <c r="I6" s="92"/>
      <c r="J6" s="92"/>
      <c r="K6" s="92"/>
      <c r="L6" s="92"/>
      <c r="M6" s="92"/>
      <c r="N6" s="92"/>
      <c r="O6" s="109"/>
      <c r="P6" s="92"/>
      <c r="Q6" s="92"/>
      <c r="R6" s="92"/>
      <c r="S6" s="92"/>
      <c r="T6" s="92"/>
      <c r="U6" s="98"/>
      <c r="V6" s="92"/>
      <c r="W6" s="92"/>
      <c r="X6" s="92"/>
      <c r="Y6" s="92"/>
      <c r="Z6" s="92"/>
      <c r="AA6" s="92"/>
      <c r="AB6" s="92"/>
      <c r="AC6" s="92"/>
    </row>
    <row r="7">
      <c r="A7" s="92"/>
      <c r="B7" s="92"/>
      <c r="C7" s="92"/>
      <c r="D7" s="92"/>
      <c r="E7" s="92"/>
      <c r="F7" s="103" t="s">
        <v>184</v>
      </c>
      <c r="G7" s="92"/>
      <c r="H7" s="110"/>
      <c r="I7" s="111"/>
      <c r="J7" s="111"/>
      <c r="K7" s="111"/>
      <c r="L7" s="105" t="s">
        <v>13</v>
      </c>
      <c r="M7" s="100">
        <v>102.0</v>
      </c>
      <c r="N7" s="92"/>
      <c r="O7" s="106"/>
      <c r="P7" s="92"/>
      <c r="Q7" s="92"/>
      <c r="R7" s="106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</row>
    <row r="8">
      <c r="A8" s="92"/>
      <c r="B8" s="100">
        <v>4.0</v>
      </c>
      <c r="C8" s="100" t="s">
        <v>60</v>
      </c>
      <c r="D8" s="100">
        <v>112.0</v>
      </c>
      <c r="E8" s="98"/>
      <c r="F8" s="92"/>
      <c r="G8" s="92"/>
      <c r="H8" s="104"/>
      <c r="I8" s="92"/>
      <c r="J8" s="92"/>
      <c r="K8" s="92"/>
      <c r="L8" s="92"/>
      <c r="M8" s="92"/>
      <c r="N8" s="104"/>
      <c r="O8" s="10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</row>
    <row r="9">
      <c r="A9" s="92"/>
      <c r="B9" s="103" t="s">
        <v>185</v>
      </c>
      <c r="C9" s="103"/>
      <c r="D9" s="92"/>
      <c r="E9" s="104"/>
      <c r="F9" s="105" t="s">
        <v>152</v>
      </c>
      <c r="G9" s="100">
        <v>62.0</v>
      </c>
      <c r="H9" s="108"/>
      <c r="I9" s="92"/>
      <c r="J9" s="92"/>
      <c r="K9" s="92"/>
      <c r="L9" s="106"/>
      <c r="M9" s="98"/>
      <c r="N9" s="104"/>
      <c r="O9" s="109"/>
      <c r="P9" s="92"/>
      <c r="Q9" s="92"/>
      <c r="R9" s="109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</row>
    <row r="10">
      <c r="A10" s="92"/>
      <c r="B10" s="100">
        <v>13.0</v>
      </c>
      <c r="C10" s="100" t="s">
        <v>161</v>
      </c>
      <c r="D10" s="100">
        <v>24.0</v>
      </c>
      <c r="E10" s="108"/>
      <c r="F10" s="92"/>
      <c r="G10" s="92"/>
      <c r="H10" s="92"/>
      <c r="I10" s="92"/>
      <c r="J10" s="92"/>
      <c r="K10" s="92"/>
      <c r="L10" s="92"/>
      <c r="M10" s="92"/>
      <c r="N10" s="110"/>
      <c r="O10" s="113"/>
      <c r="P10" s="111"/>
      <c r="Q10" s="111"/>
      <c r="R10" s="105" t="s">
        <v>13</v>
      </c>
      <c r="S10" s="100">
        <v>50.0</v>
      </c>
      <c r="T10" s="92"/>
      <c r="U10" s="92"/>
      <c r="V10" s="92"/>
      <c r="W10" s="92"/>
      <c r="X10" s="92"/>
      <c r="Y10" s="92"/>
      <c r="Z10" s="92"/>
      <c r="AA10" s="92"/>
      <c r="AB10" s="92"/>
      <c r="AC10" s="92"/>
    </row>
    <row r="11">
      <c r="A11" s="92"/>
      <c r="B11" s="92"/>
      <c r="C11" s="92"/>
      <c r="D11" s="92"/>
      <c r="E11" s="98" t="s">
        <v>186</v>
      </c>
      <c r="F11" s="92"/>
      <c r="G11" s="92"/>
      <c r="H11" s="92"/>
      <c r="I11" s="92"/>
      <c r="J11" s="92"/>
      <c r="K11" s="92"/>
      <c r="L11" s="103" t="s">
        <v>187</v>
      </c>
      <c r="M11" s="92"/>
      <c r="N11" s="104"/>
      <c r="O11" s="114"/>
      <c r="P11" s="92"/>
      <c r="Q11" s="92"/>
      <c r="R11" s="114"/>
      <c r="S11" s="115"/>
      <c r="T11" s="92"/>
      <c r="U11" s="92"/>
      <c r="V11" s="92"/>
      <c r="W11" s="92"/>
      <c r="X11" s="98"/>
      <c r="Y11" s="98"/>
      <c r="Z11" s="98"/>
      <c r="AA11" s="92"/>
      <c r="AB11" s="92"/>
      <c r="AC11" s="92"/>
    </row>
    <row r="12">
      <c r="A12" s="92"/>
      <c r="B12" s="100">
        <v>5.0</v>
      </c>
      <c r="C12" s="100" t="s">
        <v>99</v>
      </c>
      <c r="D12" s="100">
        <v>64.0</v>
      </c>
      <c r="E12" s="92"/>
      <c r="F12" s="92"/>
      <c r="G12" s="92"/>
      <c r="H12" s="92"/>
      <c r="I12" s="92"/>
      <c r="J12" s="92"/>
      <c r="K12" s="92"/>
      <c r="L12" s="92"/>
      <c r="M12" s="92"/>
      <c r="N12" s="104"/>
      <c r="O12" s="109"/>
      <c r="P12" s="92"/>
      <c r="Q12" s="92"/>
      <c r="R12" s="109"/>
      <c r="S12" s="115"/>
      <c r="T12" s="92"/>
      <c r="U12" s="92"/>
      <c r="V12" s="92"/>
      <c r="W12" s="92"/>
      <c r="X12" s="92"/>
      <c r="Y12" s="92"/>
      <c r="Z12" s="92"/>
      <c r="AA12" s="92"/>
      <c r="AB12" s="92"/>
      <c r="AC12" s="92"/>
    </row>
    <row r="13">
      <c r="A13" s="92"/>
      <c r="B13" s="103" t="s">
        <v>188</v>
      </c>
      <c r="C13" s="103"/>
      <c r="D13" s="92"/>
      <c r="E13" s="104"/>
      <c r="F13" s="105" t="s">
        <v>60</v>
      </c>
      <c r="G13" s="100">
        <v>38.0</v>
      </c>
      <c r="H13" s="98"/>
      <c r="I13" s="92"/>
      <c r="J13" s="92"/>
      <c r="K13" s="92"/>
      <c r="L13" s="106"/>
      <c r="M13" s="98"/>
      <c r="N13" s="104"/>
      <c r="O13" s="109"/>
      <c r="P13" s="92"/>
      <c r="Q13" s="92"/>
      <c r="R13" s="109"/>
      <c r="S13" s="115"/>
      <c r="T13" s="92"/>
      <c r="U13" s="92"/>
      <c r="V13" s="92"/>
      <c r="W13" s="92"/>
      <c r="X13" s="92"/>
      <c r="Y13" s="92"/>
      <c r="Z13" s="92"/>
      <c r="AA13" s="92"/>
      <c r="AB13" s="92"/>
      <c r="AC13" s="92"/>
    </row>
    <row r="14">
      <c r="A14" s="92"/>
      <c r="B14" s="100">
        <v>12.0</v>
      </c>
      <c r="C14" s="100" t="s">
        <v>160</v>
      </c>
      <c r="D14" s="100">
        <v>102.0</v>
      </c>
      <c r="E14" s="108"/>
      <c r="F14" s="92"/>
      <c r="G14" s="92"/>
      <c r="H14" s="104"/>
      <c r="I14" s="92"/>
      <c r="J14" s="92"/>
      <c r="K14" s="92"/>
      <c r="L14" s="92"/>
      <c r="M14" s="92"/>
      <c r="N14" s="104"/>
      <c r="O14" s="109"/>
      <c r="P14" s="92"/>
      <c r="Q14" s="92"/>
      <c r="R14" s="109"/>
      <c r="S14" s="115"/>
      <c r="T14" s="92"/>
      <c r="U14" s="92"/>
      <c r="V14" s="92"/>
      <c r="W14" s="92"/>
      <c r="X14" s="92"/>
      <c r="Y14" s="92"/>
      <c r="Z14" s="92"/>
      <c r="AA14" s="92"/>
      <c r="AB14" s="92"/>
      <c r="AC14" s="92"/>
    </row>
    <row r="15">
      <c r="A15" s="92"/>
      <c r="B15" s="92"/>
      <c r="C15" s="92"/>
      <c r="D15" s="92"/>
      <c r="E15" s="92"/>
      <c r="F15" s="103" t="s">
        <v>189</v>
      </c>
      <c r="G15" s="92"/>
      <c r="H15" s="110"/>
      <c r="I15" s="111"/>
      <c r="J15" s="111"/>
      <c r="K15" s="111"/>
      <c r="L15" s="105" t="s">
        <v>160</v>
      </c>
      <c r="M15" s="100">
        <v>76.0</v>
      </c>
      <c r="N15" s="104"/>
      <c r="O15" s="106"/>
      <c r="P15" s="92"/>
      <c r="Q15" s="92"/>
      <c r="R15" s="106"/>
      <c r="S15" s="115"/>
      <c r="T15" s="92"/>
      <c r="U15" s="92"/>
      <c r="V15" s="92"/>
      <c r="W15" s="92"/>
      <c r="X15" s="92"/>
      <c r="Y15" s="92"/>
      <c r="Z15" s="92"/>
      <c r="AA15" s="92"/>
      <c r="AB15" s="92"/>
      <c r="AC15" s="92"/>
    </row>
    <row r="16">
      <c r="A16" s="92"/>
      <c r="B16" s="100">
        <v>8.0</v>
      </c>
      <c r="C16" s="100" t="s">
        <v>141</v>
      </c>
      <c r="D16" s="100">
        <v>34.0</v>
      </c>
      <c r="E16" s="98"/>
      <c r="F16" s="92"/>
      <c r="G16" s="92"/>
      <c r="H16" s="104"/>
      <c r="I16" s="92"/>
      <c r="J16" s="92"/>
      <c r="K16" s="92"/>
      <c r="L16" s="92"/>
      <c r="M16" s="92"/>
      <c r="N16" s="92"/>
      <c r="O16" s="109"/>
      <c r="P16" s="92"/>
      <c r="Q16" s="92"/>
      <c r="R16" s="109"/>
      <c r="S16" s="115"/>
      <c r="T16" s="92"/>
      <c r="U16" s="92"/>
      <c r="V16" s="92"/>
      <c r="W16" s="92"/>
      <c r="X16" s="92"/>
      <c r="Y16" s="92"/>
      <c r="Z16" s="92"/>
      <c r="AA16" s="92"/>
      <c r="AB16" s="92"/>
      <c r="AC16" s="92"/>
    </row>
    <row r="17">
      <c r="A17" s="92"/>
      <c r="B17" s="103" t="s">
        <v>190</v>
      </c>
      <c r="C17" s="103"/>
      <c r="D17" s="92"/>
      <c r="E17" s="104"/>
      <c r="F17" s="105" t="s">
        <v>160</v>
      </c>
      <c r="G17" s="100">
        <v>140.0</v>
      </c>
      <c r="H17" s="108"/>
      <c r="I17" s="92"/>
      <c r="J17" s="92"/>
      <c r="K17" s="92"/>
      <c r="L17" s="106"/>
      <c r="M17" s="98"/>
      <c r="N17" s="92"/>
      <c r="O17" s="109"/>
      <c r="P17" s="92"/>
      <c r="Q17" s="92"/>
      <c r="R17" s="109"/>
      <c r="S17" s="115"/>
      <c r="T17" s="92"/>
      <c r="U17" s="92"/>
      <c r="V17" s="92"/>
      <c r="W17" s="92"/>
      <c r="X17" s="103"/>
      <c r="Y17" s="103"/>
      <c r="Z17" s="103"/>
      <c r="AA17" s="92"/>
      <c r="AB17" s="92"/>
      <c r="AC17" s="92"/>
    </row>
    <row r="18">
      <c r="A18" s="92"/>
      <c r="B18" s="100">
        <v>9.0</v>
      </c>
      <c r="C18" s="100" t="s">
        <v>152</v>
      </c>
      <c r="D18" s="100">
        <v>60.0</v>
      </c>
      <c r="E18" s="108"/>
      <c r="F18" s="92"/>
      <c r="G18" s="92"/>
      <c r="H18" s="92"/>
      <c r="I18" s="92"/>
      <c r="J18" s="92"/>
      <c r="K18" s="92"/>
      <c r="L18" s="92"/>
      <c r="M18" s="92"/>
      <c r="N18" s="92"/>
      <c r="O18" s="103"/>
      <c r="P18" s="92"/>
      <c r="Q18" s="92"/>
      <c r="R18" s="103" t="s">
        <v>191</v>
      </c>
      <c r="S18" s="115"/>
      <c r="T18" s="111"/>
      <c r="U18" s="111"/>
      <c r="V18" s="111"/>
      <c r="W18" s="111"/>
      <c r="X18" s="105" t="s">
        <v>13</v>
      </c>
      <c r="Y18" s="105">
        <v>8.0</v>
      </c>
      <c r="Z18" s="105">
        <v>64.0</v>
      </c>
      <c r="AB18" s="92"/>
      <c r="AC18" s="92"/>
    </row>
    <row r="19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115"/>
      <c r="T19" s="92"/>
      <c r="U19" s="98"/>
      <c r="V19" s="92"/>
      <c r="W19" s="92"/>
      <c r="X19" s="92"/>
      <c r="Y19" s="92"/>
      <c r="Z19" s="92"/>
      <c r="AA19" s="116"/>
      <c r="AB19" s="92"/>
      <c r="AC19" s="92"/>
    </row>
    <row r="20">
      <c r="A20" s="92"/>
      <c r="B20" s="100">
        <v>7.0</v>
      </c>
      <c r="C20" s="100" t="s">
        <v>134</v>
      </c>
      <c r="D20" s="100">
        <v>96.0</v>
      </c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115"/>
      <c r="T20" s="92"/>
      <c r="U20" s="92"/>
      <c r="V20" s="92"/>
      <c r="W20" s="92"/>
      <c r="X20" s="92"/>
      <c r="Y20" s="92"/>
      <c r="Z20" s="92"/>
      <c r="AA20" s="116"/>
      <c r="AB20" s="92"/>
      <c r="AC20" s="92"/>
    </row>
    <row r="21">
      <c r="A21" s="92"/>
      <c r="B21" s="103" t="s">
        <v>192</v>
      </c>
      <c r="C21" s="103"/>
      <c r="D21" s="92"/>
      <c r="E21" s="108"/>
      <c r="F21" s="105" t="s">
        <v>159</v>
      </c>
      <c r="G21" s="100">
        <v>116.0</v>
      </c>
      <c r="H21" s="92"/>
      <c r="I21" s="92"/>
      <c r="J21" s="92"/>
      <c r="K21" s="92"/>
      <c r="L21" s="92"/>
      <c r="M21" s="92"/>
      <c r="N21" s="92"/>
      <c r="O21" s="106"/>
      <c r="P21" s="92"/>
      <c r="Q21" s="92"/>
      <c r="R21" s="106"/>
      <c r="S21" s="115"/>
      <c r="T21" s="92"/>
      <c r="U21" s="92"/>
      <c r="V21" s="92"/>
      <c r="W21" s="92"/>
      <c r="X21" s="92"/>
      <c r="Y21" s="92"/>
      <c r="Z21" s="92"/>
      <c r="AA21" s="116"/>
      <c r="AB21" s="92"/>
      <c r="AC21" s="92"/>
    </row>
    <row r="22">
      <c r="A22" s="92"/>
      <c r="B22" s="100">
        <v>10.0</v>
      </c>
      <c r="C22" s="100" t="s">
        <v>156</v>
      </c>
      <c r="D22" s="100">
        <v>24.0</v>
      </c>
      <c r="E22" s="104"/>
      <c r="F22" s="92"/>
      <c r="G22" s="92"/>
      <c r="H22" s="104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115"/>
      <c r="T22" s="92"/>
      <c r="U22" s="92"/>
      <c r="V22" s="92"/>
      <c r="AA22" s="116"/>
      <c r="AB22" s="92"/>
      <c r="AC22" s="92"/>
    </row>
    <row r="23">
      <c r="A23" s="92"/>
      <c r="B23" s="92"/>
      <c r="C23" s="92"/>
      <c r="D23" s="92"/>
      <c r="E23" s="92"/>
      <c r="F23" s="103" t="s">
        <v>193</v>
      </c>
      <c r="G23" s="92"/>
      <c r="H23" s="110"/>
      <c r="I23" s="111"/>
      <c r="J23" s="111"/>
      <c r="K23" s="117"/>
      <c r="L23" s="100" t="s">
        <v>159</v>
      </c>
      <c r="M23" s="100">
        <v>84.0</v>
      </c>
      <c r="N23" s="92"/>
      <c r="O23" s="114"/>
      <c r="P23" s="92"/>
      <c r="Q23" s="92"/>
      <c r="R23" s="114"/>
      <c r="S23" s="115"/>
      <c r="T23" s="92"/>
      <c r="U23" s="103"/>
      <c r="V23" s="92"/>
      <c r="W23" s="92"/>
      <c r="X23" s="98"/>
      <c r="Y23" s="98"/>
      <c r="Z23" s="98"/>
      <c r="AA23" s="116"/>
      <c r="AB23" s="92"/>
      <c r="AC23" s="92"/>
    </row>
    <row r="24">
      <c r="A24" s="92"/>
      <c r="B24" s="100">
        <v>6.0</v>
      </c>
      <c r="C24" s="100" t="s">
        <v>119</v>
      </c>
      <c r="D24" s="100">
        <v>46.0</v>
      </c>
      <c r="E24" s="92"/>
      <c r="F24" s="92"/>
      <c r="G24" s="92"/>
      <c r="H24" s="104"/>
      <c r="I24" s="92"/>
      <c r="J24" s="92"/>
      <c r="K24" s="92"/>
      <c r="L24" s="92"/>
      <c r="M24" s="92"/>
      <c r="N24" s="104"/>
      <c r="O24" s="92"/>
      <c r="P24" s="92"/>
      <c r="Q24" s="92"/>
      <c r="R24" s="92"/>
      <c r="S24" s="115"/>
      <c r="T24" s="92"/>
      <c r="U24" s="92"/>
      <c r="V24" s="92"/>
      <c r="W24" s="92"/>
      <c r="X24" s="92"/>
      <c r="Y24" s="92"/>
      <c r="Z24" s="92"/>
      <c r="AA24" s="116"/>
      <c r="AB24" s="92"/>
      <c r="AC24" s="92"/>
    </row>
    <row r="25">
      <c r="A25" s="92"/>
      <c r="B25" s="103" t="s">
        <v>194</v>
      </c>
      <c r="C25" s="103"/>
      <c r="D25" s="92"/>
      <c r="E25" s="108"/>
      <c r="F25" s="105" t="s">
        <v>50</v>
      </c>
      <c r="G25" s="100">
        <v>46.0</v>
      </c>
      <c r="H25" s="104"/>
      <c r="I25" s="92"/>
      <c r="J25" s="92"/>
      <c r="K25" s="92"/>
      <c r="L25" s="103"/>
      <c r="M25" s="92"/>
      <c r="N25" s="104"/>
      <c r="O25" s="106"/>
      <c r="P25" s="92"/>
      <c r="Q25" s="92"/>
      <c r="R25" s="106"/>
      <c r="S25" s="115"/>
      <c r="T25" s="92"/>
      <c r="U25" s="92"/>
      <c r="V25" s="92"/>
      <c r="W25" s="92"/>
      <c r="X25" s="92"/>
      <c r="Y25" s="92"/>
      <c r="Z25" s="92"/>
      <c r="AA25" s="116"/>
      <c r="AB25" s="92"/>
      <c r="AC25" s="92"/>
    </row>
    <row r="26">
      <c r="A26" s="92"/>
      <c r="B26" s="100">
        <v>11.0</v>
      </c>
      <c r="C26" s="100" t="s">
        <v>159</v>
      </c>
      <c r="D26" s="100">
        <v>92.0</v>
      </c>
      <c r="E26" s="104"/>
      <c r="F26" s="92"/>
      <c r="G26" s="92"/>
      <c r="H26" s="92"/>
      <c r="I26" s="92"/>
      <c r="J26" s="92"/>
      <c r="K26" s="92"/>
      <c r="L26" s="92"/>
      <c r="M26" s="92"/>
      <c r="N26" s="104"/>
      <c r="O26" s="92"/>
      <c r="P26" s="92"/>
      <c r="Q26" s="92"/>
      <c r="R26" s="92"/>
      <c r="S26" s="115"/>
      <c r="T26" s="92"/>
      <c r="U26" s="92"/>
      <c r="V26" s="92"/>
      <c r="W26" s="92"/>
      <c r="X26" s="92"/>
      <c r="Y26" s="92"/>
      <c r="Z26" s="92"/>
      <c r="AA26" s="116"/>
      <c r="AB26" s="92"/>
      <c r="AC26" s="92"/>
    </row>
    <row r="27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114" t="s">
        <v>195</v>
      </c>
      <c r="M27" s="92"/>
      <c r="N27" s="110"/>
      <c r="O27" s="113"/>
      <c r="P27" s="111"/>
      <c r="Q27" s="111"/>
      <c r="R27" s="105" t="s">
        <v>39</v>
      </c>
      <c r="S27" s="119">
        <v>44.0</v>
      </c>
      <c r="T27" s="92"/>
      <c r="U27" s="98"/>
      <c r="V27" s="92"/>
      <c r="W27" s="98"/>
      <c r="X27" s="103" t="s">
        <v>196</v>
      </c>
      <c r="Y27" s="103"/>
      <c r="Z27" s="103"/>
      <c r="AA27" s="120"/>
      <c r="AB27" s="121" t="s">
        <v>197</v>
      </c>
      <c r="AC27" s="122" t="s">
        <v>13</v>
      </c>
    </row>
    <row r="28">
      <c r="A28" s="92"/>
      <c r="B28" s="100">
        <v>14.0</v>
      </c>
      <c r="C28" s="100" t="s">
        <v>162</v>
      </c>
      <c r="D28" s="100">
        <v>28.0</v>
      </c>
      <c r="E28" s="98"/>
      <c r="F28" s="92"/>
      <c r="G28" s="92"/>
      <c r="H28" s="92"/>
      <c r="I28" s="92"/>
      <c r="J28" s="92"/>
      <c r="K28" s="92"/>
      <c r="L28" s="92"/>
      <c r="M28" s="92"/>
      <c r="N28" s="104"/>
      <c r="O28" s="114"/>
      <c r="P28" s="92"/>
      <c r="Q28" s="92"/>
      <c r="R28" s="92"/>
      <c r="S28" s="92"/>
      <c r="T28" s="92"/>
      <c r="U28" s="92"/>
      <c r="V28" s="92"/>
      <c r="W28" s="92"/>
      <c r="X28" s="103"/>
      <c r="Y28" s="103"/>
      <c r="Z28" s="103"/>
      <c r="AA28" s="116"/>
      <c r="AB28" s="106"/>
      <c r="AC28" s="98"/>
    </row>
    <row r="29">
      <c r="A29" s="92"/>
      <c r="B29" s="103" t="s">
        <v>198</v>
      </c>
      <c r="C29" s="103"/>
      <c r="D29" s="92"/>
      <c r="E29" s="104"/>
      <c r="F29" s="105" t="s">
        <v>134</v>
      </c>
      <c r="G29" s="100">
        <v>76.0</v>
      </c>
      <c r="H29" s="98"/>
      <c r="I29" s="92"/>
      <c r="J29" s="92"/>
      <c r="K29" s="92"/>
      <c r="L29" s="92"/>
      <c r="M29" s="92"/>
      <c r="N29" s="104"/>
      <c r="O29" s="106"/>
      <c r="P29" s="92"/>
      <c r="Q29" s="92"/>
      <c r="R29" s="92"/>
      <c r="S29" s="92"/>
      <c r="T29" s="92"/>
      <c r="U29" s="92"/>
      <c r="V29" s="92"/>
      <c r="W29" s="92"/>
      <c r="AA29" s="116"/>
      <c r="AB29" s="92"/>
      <c r="AC29" s="92"/>
    </row>
    <row r="30">
      <c r="A30" s="92"/>
      <c r="B30" s="100">
        <v>3.0</v>
      </c>
      <c r="C30" s="100" t="s">
        <v>50</v>
      </c>
      <c r="D30" s="100">
        <v>102.0</v>
      </c>
      <c r="E30" s="108"/>
      <c r="F30" s="92"/>
      <c r="G30" s="92"/>
      <c r="H30" s="104"/>
      <c r="I30" s="92"/>
      <c r="J30" s="92"/>
      <c r="K30" s="92"/>
      <c r="L30" s="92"/>
      <c r="M30" s="92"/>
      <c r="N30" s="104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116"/>
      <c r="AB30" s="92"/>
      <c r="AC30" s="92"/>
    </row>
    <row r="31">
      <c r="A31" s="92"/>
      <c r="B31" s="92"/>
      <c r="C31" s="92"/>
      <c r="D31" s="92"/>
      <c r="E31" s="92"/>
      <c r="F31" s="103" t="s">
        <v>199</v>
      </c>
      <c r="G31" s="92"/>
      <c r="H31" s="110"/>
      <c r="I31" s="111"/>
      <c r="J31" s="111"/>
      <c r="K31" s="117"/>
      <c r="L31" s="100" t="s">
        <v>39</v>
      </c>
      <c r="M31" s="100">
        <v>88.0</v>
      </c>
      <c r="N31" s="104"/>
      <c r="O31" s="103"/>
      <c r="P31" s="92"/>
      <c r="Q31" s="92"/>
      <c r="R31" s="106"/>
      <c r="S31" s="92"/>
      <c r="T31" s="92"/>
      <c r="U31" s="92"/>
      <c r="V31" s="92"/>
      <c r="W31" s="92"/>
      <c r="X31" s="92"/>
      <c r="Y31" s="92"/>
      <c r="Z31" s="92"/>
      <c r="AA31" s="116"/>
      <c r="AB31" s="92"/>
      <c r="AC31" s="92"/>
    </row>
    <row r="32">
      <c r="A32" s="92"/>
      <c r="B32" s="100">
        <v>15.0</v>
      </c>
      <c r="C32" s="100" t="s">
        <v>163</v>
      </c>
      <c r="D32" s="100">
        <v>-14.0</v>
      </c>
      <c r="E32" s="98"/>
      <c r="F32" s="92"/>
      <c r="G32" s="92"/>
      <c r="H32" s="104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116"/>
      <c r="AB32" s="92"/>
      <c r="AC32" s="92"/>
    </row>
    <row r="33">
      <c r="A33" s="92"/>
      <c r="B33" s="103" t="s">
        <v>200</v>
      </c>
      <c r="C33" s="103"/>
      <c r="D33" s="92"/>
      <c r="E33" s="108"/>
      <c r="F33" s="105" t="s">
        <v>39</v>
      </c>
      <c r="G33" s="100">
        <v>108.0</v>
      </c>
      <c r="H33" s="104"/>
      <c r="I33" s="92"/>
      <c r="J33" s="92"/>
      <c r="K33" s="92"/>
      <c r="L33" s="103"/>
      <c r="M33" s="92"/>
      <c r="N33" s="92"/>
      <c r="O33" s="106"/>
      <c r="P33" s="92"/>
      <c r="Q33" s="92"/>
      <c r="R33" s="106"/>
      <c r="S33" s="92"/>
      <c r="T33" s="92"/>
      <c r="U33" s="92"/>
      <c r="V33" s="92"/>
      <c r="W33" s="92"/>
      <c r="X33" s="92"/>
      <c r="Y33" s="92"/>
      <c r="Z33" s="92"/>
      <c r="AA33" s="116"/>
      <c r="AB33" s="92"/>
      <c r="AC33" s="92"/>
    </row>
    <row r="34">
      <c r="A34" s="92"/>
      <c r="B34" s="100">
        <v>2.0</v>
      </c>
      <c r="C34" s="100" t="s">
        <v>39</v>
      </c>
      <c r="D34" s="100">
        <v>162.0</v>
      </c>
      <c r="E34" s="108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116"/>
      <c r="AB34" s="92"/>
      <c r="AC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106"/>
      <c r="M35" s="92"/>
      <c r="N35" s="92"/>
      <c r="O35" s="124" t="s">
        <v>159</v>
      </c>
      <c r="P35" s="125">
        <v>60.0</v>
      </c>
      <c r="Q35" s="92"/>
      <c r="R35" s="103"/>
      <c r="S35" s="92"/>
      <c r="T35" s="92"/>
      <c r="U35" s="124" t="s">
        <v>39</v>
      </c>
      <c r="V35" s="125">
        <v>58.0</v>
      </c>
      <c r="W35" s="92"/>
      <c r="X35" s="92"/>
      <c r="Y35" s="92"/>
      <c r="Z35" s="92"/>
      <c r="AA35" s="116"/>
      <c r="AB35" s="92"/>
      <c r="AC35" s="92"/>
    </row>
    <row r="36">
      <c r="A36" s="92"/>
      <c r="B36" s="92"/>
      <c r="C36" s="92"/>
      <c r="D36" s="92"/>
      <c r="E36" s="92"/>
      <c r="F36" s="92"/>
      <c r="G36" s="92"/>
      <c r="H36" s="92"/>
      <c r="I36" s="125" t="s">
        <v>134</v>
      </c>
      <c r="J36" s="125">
        <v>110.0</v>
      </c>
      <c r="K36" s="92"/>
      <c r="L36" s="92"/>
      <c r="M36" s="92"/>
      <c r="N36" s="92"/>
      <c r="O36" s="92"/>
      <c r="P36" s="92"/>
      <c r="Q36" s="104"/>
      <c r="R36" s="92"/>
      <c r="S36" s="92"/>
      <c r="T36" s="92"/>
      <c r="U36" s="92"/>
      <c r="V36" s="92"/>
      <c r="W36" s="104"/>
      <c r="X36" s="92"/>
      <c r="Y36" s="92"/>
      <c r="Z36" s="92"/>
      <c r="AA36" s="116"/>
      <c r="AB36" s="92"/>
      <c r="AC36" s="92"/>
    </row>
    <row r="37">
      <c r="A37" s="92"/>
      <c r="B37" s="92"/>
      <c r="C37" s="92"/>
      <c r="D37" s="92"/>
      <c r="E37" s="92"/>
      <c r="F37" s="124" t="s">
        <v>165</v>
      </c>
      <c r="G37" s="125">
        <v>48.0</v>
      </c>
      <c r="H37" s="98"/>
      <c r="I37" s="103" t="s">
        <v>201</v>
      </c>
      <c r="J37" s="92"/>
      <c r="K37" s="110"/>
      <c r="L37" s="124" t="s">
        <v>134</v>
      </c>
      <c r="M37" s="125">
        <v>20.0</v>
      </c>
      <c r="N37" s="92"/>
      <c r="O37" s="103" t="s">
        <v>202</v>
      </c>
      <c r="P37" s="92"/>
      <c r="Q37" s="110"/>
      <c r="R37" s="124" t="s">
        <v>159</v>
      </c>
      <c r="S37" s="125">
        <v>40.0</v>
      </c>
      <c r="T37" s="92"/>
      <c r="U37" s="92"/>
      <c r="V37" s="92"/>
      <c r="W37" s="104"/>
      <c r="X37" s="92"/>
      <c r="Y37" s="92"/>
      <c r="Z37" s="92"/>
      <c r="AA37" s="116"/>
      <c r="AB37" s="92"/>
      <c r="AC37" s="92"/>
    </row>
    <row r="38">
      <c r="A38" s="92"/>
      <c r="B38" s="92"/>
      <c r="C38" s="92"/>
      <c r="D38" s="92"/>
      <c r="E38" s="92"/>
      <c r="F38" s="103" t="s">
        <v>203</v>
      </c>
      <c r="G38" s="92"/>
      <c r="H38" s="110"/>
      <c r="I38" s="125" t="s">
        <v>141</v>
      </c>
      <c r="J38" s="125">
        <v>36.0</v>
      </c>
      <c r="K38" s="126"/>
      <c r="L38" s="92"/>
      <c r="M38" s="92"/>
      <c r="N38" s="104"/>
      <c r="O38" s="92"/>
      <c r="P38" s="92"/>
      <c r="Q38" s="104"/>
      <c r="R38" s="92"/>
      <c r="S38" s="115"/>
      <c r="T38" s="92"/>
      <c r="U38" s="103" t="s">
        <v>204</v>
      </c>
      <c r="V38" s="92"/>
      <c r="W38" s="110"/>
      <c r="X38" s="124" t="s">
        <v>152</v>
      </c>
      <c r="Y38" s="124">
        <v>26.0</v>
      </c>
      <c r="Z38" s="124">
        <v>26.0</v>
      </c>
      <c r="AA38" s="116"/>
      <c r="AB38" s="92"/>
      <c r="AC38" s="92"/>
    </row>
    <row r="39">
      <c r="A39" s="92"/>
      <c r="B39" s="92"/>
      <c r="C39" s="92"/>
      <c r="D39" s="92"/>
      <c r="E39" s="92"/>
      <c r="F39" s="124" t="s">
        <v>141</v>
      </c>
      <c r="G39" s="125">
        <v>52.0</v>
      </c>
      <c r="H39" s="126"/>
      <c r="I39" s="98"/>
      <c r="J39" s="92"/>
      <c r="K39" s="92"/>
      <c r="L39" s="103" t="s">
        <v>205</v>
      </c>
      <c r="M39" s="92"/>
      <c r="N39" s="110"/>
      <c r="O39" s="124" t="s">
        <v>206</v>
      </c>
      <c r="P39" s="125">
        <v>16.0</v>
      </c>
      <c r="Q39" s="104"/>
      <c r="R39" s="92"/>
      <c r="S39" s="115"/>
      <c r="T39" s="92"/>
      <c r="U39" s="92"/>
      <c r="V39" s="92"/>
      <c r="W39" s="104"/>
      <c r="X39" s="92"/>
      <c r="Y39" s="92"/>
      <c r="Z39" s="92"/>
      <c r="AA39" s="92"/>
      <c r="AB39" s="92"/>
      <c r="AC39" s="92"/>
    </row>
    <row r="40">
      <c r="A40" s="92"/>
      <c r="B40" s="92"/>
      <c r="C40" s="92"/>
      <c r="D40" s="92"/>
      <c r="E40" s="92"/>
      <c r="F40" s="92"/>
      <c r="G40" s="92"/>
      <c r="H40" s="92"/>
      <c r="I40" s="125" t="s">
        <v>50</v>
      </c>
      <c r="J40" s="125">
        <v>72.0</v>
      </c>
      <c r="K40" s="92"/>
      <c r="L40" s="92"/>
      <c r="M40" s="92"/>
      <c r="N40" s="104"/>
      <c r="O40" s="92"/>
      <c r="P40" s="92"/>
      <c r="Q40" s="92"/>
      <c r="R40" s="92"/>
      <c r="S40" s="115"/>
      <c r="T40" s="92"/>
      <c r="U40" s="103"/>
      <c r="V40" s="92"/>
      <c r="W40" s="104"/>
      <c r="X40" s="106"/>
      <c r="Y40" s="106"/>
      <c r="Z40" s="106"/>
      <c r="AA40" s="92"/>
      <c r="AB40" s="92"/>
      <c r="AC40" s="92"/>
    </row>
    <row r="41">
      <c r="A41" s="92"/>
      <c r="B41" s="92"/>
      <c r="C41" s="92"/>
      <c r="D41" s="92"/>
      <c r="E41" s="92"/>
      <c r="F41" s="124" t="s">
        <v>161</v>
      </c>
      <c r="G41" s="125">
        <v>24.0</v>
      </c>
      <c r="H41" s="92"/>
      <c r="I41" s="103" t="s">
        <v>207</v>
      </c>
      <c r="J41" s="92"/>
      <c r="K41" s="110"/>
      <c r="L41" s="124" t="s">
        <v>206</v>
      </c>
      <c r="M41" s="125">
        <v>56.0</v>
      </c>
      <c r="N41" s="104"/>
      <c r="O41" s="92"/>
      <c r="P41" s="92"/>
      <c r="Q41" s="92"/>
      <c r="R41" s="103" t="s">
        <v>208</v>
      </c>
      <c r="S41" s="115"/>
      <c r="T41" s="111"/>
      <c r="U41" s="124" t="s">
        <v>152</v>
      </c>
      <c r="V41" s="127">
        <v>66.0</v>
      </c>
      <c r="W41" s="104"/>
      <c r="X41" s="92"/>
      <c r="Y41" s="92"/>
      <c r="Z41" s="92"/>
      <c r="AA41" s="92"/>
      <c r="AB41" s="92"/>
      <c r="AC41" s="92"/>
    </row>
    <row r="42">
      <c r="A42" s="92"/>
      <c r="B42" s="92"/>
      <c r="C42" s="92"/>
      <c r="D42" s="92"/>
      <c r="E42" s="92"/>
      <c r="F42" s="103" t="s">
        <v>209</v>
      </c>
      <c r="G42" s="92"/>
      <c r="H42" s="110"/>
      <c r="I42" s="125" t="s">
        <v>99</v>
      </c>
      <c r="J42" s="125">
        <v>102.0</v>
      </c>
      <c r="K42" s="126"/>
      <c r="L42" s="92"/>
      <c r="M42" s="92"/>
      <c r="N42" s="92"/>
      <c r="O42" s="92"/>
      <c r="P42" s="92"/>
      <c r="Q42" s="92"/>
      <c r="R42" s="92"/>
      <c r="S42" s="115"/>
      <c r="T42" s="92"/>
      <c r="U42" s="92"/>
      <c r="V42" s="128"/>
      <c r="W42" s="92"/>
      <c r="X42" s="92"/>
      <c r="Y42" s="92"/>
      <c r="Z42" s="92"/>
      <c r="AA42" s="92"/>
      <c r="AB42" s="92"/>
      <c r="AC42" s="92"/>
    </row>
    <row r="43">
      <c r="A43" s="92"/>
      <c r="B43" s="92"/>
      <c r="C43" s="92"/>
      <c r="D43" s="92"/>
      <c r="E43" s="92"/>
      <c r="F43" s="124" t="s">
        <v>99</v>
      </c>
      <c r="G43" s="125">
        <v>92.0</v>
      </c>
      <c r="H43" s="126"/>
      <c r="I43" s="92"/>
      <c r="J43" s="92"/>
      <c r="K43" s="92"/>
      <c r="L43" s="92"/>
      <c r="M43" s="92"/>
      <c r="N43" s="92"/>
      <c r="O43" s="124" t="s">
        <v>160</v>
      </c>
      <c r="P43" s="125">
        <v>40.0</v>
      </c>
      <c r="Q43" s="92"/>
      <c r="R43" s="92"/>
      <c r="S43" s="115"/>
      <c r="T43" s="92"/>
      <c r="U43" s="92"/>
      <c r="V43" s="92"/>
      <c r="W43" s="92"/>
      <c r="X43" s="92"/>
      <c r="Y43" s="92"/>
      <c r="Z43" s="92"/>
      <c r="AA43" s="92"/>
      <c r="AB43" s="92"/>
      <c r="AC43" s="92"/>
    </row>
    <row r="44">
      <c r="A44" s="92"/>
      <c r="B44" s="92"/>
      <c r="C44" s="92"/>
      <c r="D44" s="92"/>
      <c r="E44" s="92"/>
      <c r="F44" s="92"/>
      <c r="G44" s="92"/>
      <c r="H44" s="92"/>
      <c r="I44" s="125" t="s">
        <v>210</v>
      </c>
      <c r="J44" s="125">
        <v>88.0</v>
      </c>
      <c r="K44" s="92"/>
      <c r="L44" s="92"/>
      <c r="M44" s="92"/>
      <c r="N44" s="92"/>
      <c r="O44" s="92"/>
      <c r="P44" s="92"/>
      <c r="Q44" s="104"/>
      <c r="R44" s="92"/>
      <c r="S44" s="115"/>
      <c r="T44" s="92"/>
      <c r="U44" s="92"/>
      <c r="V44" s="92"/>
      <c r="W44" s="92"/>
      <c r="X44" s="92"/>
      <c r="Y44" s="92"/>
      <c r="Z44" s="92"/>
      <c r="AA44" s="92"/>
      <c r="AB44" s="92"/>
      <c r="AC44" s="92"/>
    </row>
    <row r="45">
      <c r="A45" s="92"/>
      <c r="B45" s="92"/>
      <c r="C45" s="92"/>
      <c r="D45" s="92"/>
      <c r="E45" s="92"/>
      <c r="F45" s="124" t="s">
        <v>119</v>
      </c>
      <c r="G45" s="125">
        <v>122.0</v>
      </c>
      <c r="H45" s="98"/>
      <c r="I45" s="103" t="s">
        <v>211</v>
      </c>
      <c r="J45" s="92"/>
      <c r="K45" s="110"/>
      <c r="L45" s="124" t="s">
        <v>60</v>
      </c>
      <c r="M45" s="125">
        <v>52.0</v>
      </c>
      <c r="N45" s="92"/>
      <c r="O45" s="103" t="s">
        <v>212</v>
      </c>
      <c r="P45" s="92"/>
      <c r="Q45" s="110"/>
      <c r="R45" s="124" t="s">
        <v>152</v>
      </c>
      <c r="S45" s="129">
        <v>82.0</v>
      </c>
      <c r="T45" s="92"/>
      <c r="U45" s="106"/>
      <c r="V45" s="92"/>
      <c r="W45" s="92"/>
      <c r="X45" s="92"/>
      <c r="Y45" s="92"/>
      <c r="Z45" s="92"/>
      <c r="AA45" s="92"/>
      <c r="AB45" s="92"/>
      <c r="AC45" s="92"/>
    </row>
    <row r="46">
      <c r="A46" s="92"/>
      <c r="B46" s="92"/>
      <c r="C46" s="92"/>
      <c r="D46" s="92"/>
      <c r="E46" s="92"/>
      <c r="F46" s="103" t="s">
        <v>213</v>
      </c>
      <c r="G46" s="92"/>
      <c r="H46" s="110"/>
      <c r="I46" s="125" t="s">
        <v>119</v>
      </c>
      <c r="J46" s="125">
        <v>68.0</v>
      </c>
      <c r="K46" s="126"/>
      <c r="L46" s="92"/>
      <c r="M46" s="92"/>
      <c r="N46" s="104"/>
      <c r="O46" s="92"/>
      <c r="P46" s="92"/>
      <c r="Q46" s="104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</row>
    <row r="47">
      <c r="A47" s="92"/>
      <c r="B47" s="92"/>
      <c r="C47" s="92"/>
      <c r="D47" s="92"/>
      <c r="E47" s="92"/>
      <c r="F47" s="124" t="s">
        <v>162</v>
      </c>
      <c r="G47" s="125">
        <v>18.0</v>
      </c>
      <c r="H47" s="130"/>
      <c r="I47" s="92"/>
      <c r="J47" s="92"/>
      <c r="K47" s="92"/>
      <c r="L47" s="103" t="s">
        <v>214</v>
      </c>
      <c r="M47" s="92"/>
      <c r="N47" s="110"/>
      <c r="O47" s="124" t="s">
        <v>152</v>
      </c>
      <c r="P47" s="125">
        <v>96.0</v>
      </c>
      <c r="Q47" s="104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</row>
    <row r="48">
      <c r="A48" s="92"/>
      <c r="B48" s="92"/>
      <c r="C48" s="92"/>
      <c r="D48" s="92"/>
      <c r="E48" s="92"/>
      <c r="F48" s="92"/>
      <c r="G48" s="92"/>
      <c r="H48" s="92"/>
      <c r="I48" s="125" t="s">
        <v>152</v>
      </c>
      <c r="J48" s="125">
        <v>122.0</v>
      </c>
      <c r="K48" s="92"/>
      <c r="L48" s="92"/>
      <c r="M48" s="92"/>
      <c r="N48" s="104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</row>
    <row r="49">
      <c r="A49" s="92"/>
      <c r="B49" s="92"/>
      <c r="C49" s="92"/>
      <c r="D49" s="92"/>
      <c r="E49" s="92"/>
      <c r="F49" s="124" t="s">
        <v>156</v>
      </c>
      <c r="G49" s="125">
        <v>70.0</v>
      </c>
      <c r="H49" s="92"/>
      <c r="I49" s="103" t="s">
        <v>215</v>
      </c>
      <c r="J49" s="92"/>
      <c r="K49" s="110"/>
      <c r="L49" s="124" t="s">
        <v>152</v>
      </c>
      <c r="M49" s="125">
        <v>86.0</v>
      </c>
      <c r="N49" s="104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</row>
    <row r="50">
      <c r="A50" s="92"/>
      <c r="B50" s="92"/>
      <c r="C50" s="92"/>
      <c r="D50" s="92"/>
      <c r="E50" s="92"/>
      <c r="F50" s="103" t="s">
        <v>216</v>
      </c>
      <c r="G50" s="92"/>
      <c r="H50" s="110"/>
      <c r="I50" s="125" t="s">
        <v>156</v>
      </c>
      <c r="J50" s="125">
        <v>50.0</v>
      </c>
      <c r="K50" s="126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</row>
    <row r="51">
      <c r="A51" s="92"/>
      <c r="B51" s="92"/>
      <c r="C51" s="92"/>
      <c r="D51" s="92"/>
      <c r="E51" s="92"/>
      <c r="F51" s="124" t="s">
        <v>163</v>
      </c>
      <c r="G51" s="125">
        <v>12.0</v>
      </c>
      <c r="H51" s="126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</row>
    <row r="52">
      <c r="A52" s="92"/>
      <c r="B52" s="92"/>
      <c r="C52" s="92"/>
      <c r="D52" s="92"/>
      <c r="E52" s="92"/>
      <c r="F52" s="92"/>
      <c r="G52" s="98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</row>
  </sheetData>
  <mergeCells count="9">
    <mergeCell ref="U2:V2"/>
    <mergeCell ref="X2:Y2"/>
    <mergeCell ref="A1:Z1"/>
    <mergeCell ref="B2:D2"/>
    <mergeCell ref="F2:G2"/>
    <mergeCell ref="I2:J2"/>
    <mergeCell ref="L2:M2"/>
    <mergeCell ref="O2:P2"/>
    <mergeCell ref="R2:S2"/>
  </mergeCells>
  <drawing r:id="rId1"/>
</worksheet>
</file>