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 Elimination" sheetId="1" r:id="rId5"/>
    <sheet state="visible" name="Round Robin" sheetId="2" r:id="rId6"/>
  </sheets>
  <definedNames/>
  <calcPr/>
</workbook>
</file>

<file path=xl/sharedStrings.xml><?xml version="1.0" encoding="utf-8"?>
<sst xmlns="http://schemas.openxmlformats.org/spreadsheetml/2006/main" count="157" uniqueCount="104">
  <si>
    <t>DE Round 1</t>
  </si>
  <si>
    <t>DE Round 2</t>
  </si>
  <si>
    <t>DE Round 3</t>
  </si>
  <si>
    <t>DE Round 4</t>
  </si>
  <si>
    <t>DE Round 5</t>
  </si>
  <si>
    <t>DE Round 6</t>
  </si>
  <si>
    <t>1:30-2:00PM</t>
  </si>
  <si>
    <t>2:00-2:30PM</t>
  </si>
  <si>
    <t>2:30-3:00PM</t>
  </si>
  <si>
    <t>3:00-3:30PM</t>
  </si>
  <si>
    <t>3:30-4:00PM</t>
  </si>
  <si>
    <t>4:00-4:30PM</t>
  </si>
  <si>
    <t>(repeat DE6 if necessary)</t>
  </si>
  <si>
    <t>1A</t>
  </si>
  <si>
    <t>EHS 1</t>
  </si>
  <si>
    <t>1AB Winner</t>
  </si>
  <si>
    <t>1B</t>
  </si>
  <si>
    <t>University</t>
  </si>
  <si>
    <t>S1 Winner EHS 1</t>
  </si>
  <si>
    <t>1E</t>
  </si>
  <si>
    <t>Westminster</t>
  </si>
  <si>
    <t>F1 EHS 1</t>
  </si>
  <si>
    <t>1C</t>
  </si>
  <si>
    <t>Davidson Academy</t>
  </si>
  <si>
    <t>1CD Winner</t>
  </si>
  <si>
    <t>1D</t>
  </si>
  <si>
    <t>Lexington 1</t>
  </si>
  <si>
    <t>2A</t>
  </si>
  <si>
    <t>BASIS 2</t>
  </si>
  <si>
    <t>2AB</t>
  </si>
  <si>
    <t>Basis 2</t>
  </si>
  <si>
    <t>2B</t>
  </si>
  <si>
    <t>Greenwich 1</t>
  </si>
  <si>
    <t>S2 West Windsor 1</t>
  </si>
  <si>
    <t>Champion!</t>
  </si>
  <si>
    <t>2E</t>
  </si>
  <si>
    <t>West Windsor 1</t>
  </si>
  <si>
    <t>S23 West Windsor 1</t>
  </si>
  <si>
    <t>2C</t>
  </si>
  <si>
    <t>Lexington 2</t>
  </si>
  <si>
    <t>2CD</t>
  </si>
  <si>
    <t>Centennial</t>
  </si>
  <si>
    <t>2D</t>
  </si>
  <si>
    <t>S3 University</t>
  </si>
  <si>
    <t>L1 Lexington 1</t>
  </si>
  <si>
    <t>1AB Loser</t>
  </si>
  <si>
    <t>1CD Loser</t>
  </si>
  <si>
    <t>L2 Davidson Academy</t>
  </si>
  <si>
    <t>F2 Lexington 1</t>
  </si>
  <si>
    <t>S1 Loser Westminster</t>
  </si>
  <si>
    <t>F1 Loser Davidson Academy</t>
  </si>
  <si>
    <t>Note: A score of "2" means that the team to the left of the "2" won that round; A score of "1" means that the team to the left of the "1" tied in that round; A score of "0" means that the team to the left of the "0" lost that round.</t>
  </si>
  <si>
    <t>Scroll down to see more divisions</t>
  </si>
  <si>
    <t>Group A</t>
  </si>
  <si>
    <t>Opponent</t>
  </si>
  <si>
    <t>Team Name</t>
  </si>
  <si>
    <t>A1</t>
  </si>
  <si>
    <t>A2</t>
  </si>
  <si>
    <t>A3</t>
  </si>
  <si>
    <t>A4</t>
  </si>
  <si>
    <t>A5</t>
  </si>
  <si>
    <t>Total</t>
  </si>
  <si>
    <t>Hopkinton 1</t>
  </si>
  <si>
    <t>Greenwich 3</t>
  </si>
  <si>
    <t>West Windsor 3</t>
  </si>
  <si>
    <t>Group B</t>
  </si>
  <si>
    <t>B1</t>
  </si>
  <si>
    <t>B2</t>
  </si>
  <si>
    <t>B3</t>
  </si>
  <si>
    <t>B4</t>
  </si>
  <si>
    <t>B5</t>
  </si>
  <si>
    <t>Shenendehowa</t>
  </si>
  <si>
    <t>Nashua 3</t>
  </si>
  <si>
    <t>BASIS 3</t>
  </si>
  <si>
    <t>Group C</t>
  </si>
  <si>
    <t>C1</t>
  </si>
  <si>
    <t>C2</t>
  </si>
  <si>
    <t>C3</t>
  </si>
  <si>
    <t>C4</t>
  </si>
  <si>
    <t>C5</t>
  </si>
  <si>
    <t>Greenwich 2</t>
  </si>
  <si>
    <t>John P. Stevens</t>
  </si>
  <si>
    <t>Hopkinton 2</t>
  </si>
  <si>
    <t>Group D</t>
  </si>
  <si>
    <t>D1</t>
  </si>
  <si>
    <t>D2</t>
  </si>
  <si>
    <t>D3</t>
  </si>
  <si>
    <t>D4</t>
  </si>
  <si>
    <t>D5</t>
  </si>
  <si>
    <t>West Windsor 2</t>
  </si>
  <si>
    <t>Nashua 1</t>
  </si>
  <si>
    <t xml:space="preserve">Centennial </t>
  </si>
  <si>
    <t>EHS 2</t>
  </si>
  <si>
    <t>Group E</t>
  </si>
  <si>
    <t>E1</t>
  </si>
  <si>
    <t>E2</t>
  </si>
  <si>
    <t>E3</t>
  </si>
  <si>
    <t>E4</t>
  </si>
  <si>
    <t>E5</t>
  </si>
  <si>
    <t>E6</t>
  </si>
  <si>
    <t>Nashua 2</t>
  </si>
  <si>
    <t>BASIS 1</t>
  </si>
  <si>
    <t>Hunter College</t>
  </si>
  <si>
    <t>Sharon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</si>
</sst>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</font>
    <font/>
  </fonts>
  <fills count="1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FAE5E3"/>
        <bgColor rgb="FFFAE5E3"/>
      </patternFill>
    </fill>
    <fill>
      <patternFill patternType="solid">
        <fgColor rgb="FFD9EAD3"/>
        <bgColor rgb="FFD9EAD3"/>
      </patternFill>
    </fill>
    <fill>
      <patternFill patternType="solid">
        <fgColor rgb="FF8FD2B1"/>
        <bgColor rgb="FF8FD2B1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1C18E"/>
        <bgColor rgb="FFF1C18E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thin">
        <color rgb="FFEA9999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bottom style="thin">
        <color rgb="FFB6D7A8"/>
      </bottom>
    </border>
    <border>
      <bottom style="thin">
        <color rgb="FF6D9EEB"/>
      </bottom>
    </border>
    <border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</border>
    <border>
      <bottom style="thin">
        <color rgb="FFF6B26B"/>
      </bottom>
    </border>
    <border>
      <left style="thin">
        <color rgb="FFF6B26B"/>
      </left>
      <right style="thin">
        <color rgb="FFF6B26B"/>
      </right>
      <top style="thin">
        <color rgb="FFF6B26B"/>
      </top>
      <bottom style="thin">
        <color rgb="FFF6B26B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top style="thin">
        <color rgb="FFEAD1DC"/>
      </top>
      <bottom style="thin">
        <color rgb="FFEAD1DC"/>
      </bottom>
    </border>
    <border>
      <top style="thin">
        <color rgb="FFEAD1DC"/>
      </top>
      <bottom style="thin">
        <color rgb="FFEAD1DC"/>
      </bottom>
    </border>
    <border>
      <right style="thin">
        <color rgb="FFEAD1DC"/>
      </right>
      <top style="thin">
        <color rgb="FFEAD1DC"/>
      </top>
      <bottom style="thin">
        <color rgb="FFEAD1DC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left" readingOrder="0"/>
    </xf>
    <xf borderId="2" fillId="0" fontId="1" numFmtId="0" xfId="0" applyBorder="1" applyFont="1"/>
    <xf borderId="4" fillId="0" fontId="2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1" fillId="0" fontId="1" numFmtId="0" xfId="0" applyBorder="1" applyFont="1"/>
    <xf borderId="5" fillId="0" fontId="1" numFmtId="0" xfId="0" applyBorder="1" applyFont="1"/>
    <xf borderId="5" fillId="0" fontId="3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0" fontId="3" numFmtId="0" xfId="0" applyBorder="1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6" fillId="2" fontId="2" numFmtId="0" xfId="0" applyAlignment="1" applyBorder="1" applyFill="1" applyFont="1">
      <alignment horizontal="center" vertical="bottom"/>
    </xf>
    <xf borderId="6" fillId="0" fontId="6" numFmtId="0" xfId="0" applyBorder="1" applyFont="1"/>
    <xf borderId="6" fillId="0" fontId="2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readingOrder="0" vertical="bottom"/>
    </xf>
    <xf borderId="6" fillId="3" fontId="1" numFmtId="0" xfId="0" applyAlignment="1" applyBorder="1" applyFill="1" applyFont="1">
      <alignment vertical="bottom"/>
    </xf>
    <xf borderId="6" fillId="0" fontId="1" numFmtId="0" xfId="0" applyAlignment="1" applyBorder="1" applyFont="1">
      <alignment horizontal="center" readingOrder="0" vertical="bottom"/>
    </xf>
    <xf borderId="6" fillId="4" fontId="1" numFmtId="0" xfId="0" applyAlignment="1" applyBorder="1" applyFill="1" applyFont="1">
      <alignment horizontal="right" vertical="bottom"/>
    </xf>
    <xf borderId="0" fillId="0" fontId="3" numFmtId="0" xfId="0" applyAlignment="1" applyFont="1">
      <alignment readingOrder="0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5" fontId="2" numFmtId="0" xfId="0" applyAlignment="1" applyBorder="1" applyFill="1" applyFont="1">
      <alignment horizontal="center" vertical="bottom"/>
    </xf>
    <xf borderId="8" fillId="0" fontId="6" numFmtId="0" xfId="0" applyBorder="1" applyFont="1"/>
    <xf borderId="8" fillId="0" fontId="2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8" fillId="3" fontId="1" numFmtId="0" xfId="0" applyAlignment="1" applyBorder="1" applyFill="1" applyFont="1">
      <alignment vertical="bottom"/>
    </xf>
    <xf borderId="8" fillId="0" fontId="1" numFmtId="0" xfId="0" applyAlignment="1" applyBorder="1" applyFont="1">
      <alignment horizontal="center" readingOrder="0" vertical="bottom"/>
    </xf>
    <xf borderId="8" fillId="6" fontId="1" numFmtId="0" xfId="0" applyAlignment="1" applyBorder="1" applyFill="1" applyFont="1">
      <alignment horizontal="right" vertical="bottom"/>
    </xf>
    <xf borderId="9" fillId="0" fontId="1" numFmtId="0" xfId="0" applyAlignment="1" applyBorder="1" applyFont="1">
      <alignment vertical="bottom"/>
    </xf>
    <xf borderId="9" fillId="7" fontId="2" numFmtId="0" xfId="0" applyAlignment="1" applyBorder="1" applyFill="1" applyFont="1">
      <alignment horizontal="center" vertical="bottom"/>
    </xf>
    <xf borderId="9" fillId="0" fontId="6" numFmtId="0" xfId="0" applyBorder="1" applyFont="1"/>
    <xf borderId="9" fillId="0" fontId="2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readingOrder="0" vertical="bottom"/>
    </xf>
    <xf borderId="9" fillId="3" fontId="1" numFmtId="0" xfId="0" applyAlignment="1" applyBorder="1" applyFill="1" applyFont="1">
      <alignment vertical="bottom"/>
    </xf>
    <xf borderId="9" fillId="0" fontId="1" numFmtId="0" xfId="0" applyAlignment="1" applyBorder="1" applyFont="1">
      <alignment horizontal="center" readingOrder="0" vertical="bottom"/>
    </xf>
    <xf borderId="9" fillId="8" fontId="1" numFmtId="0" xfId="0" applyAlignment="1" applyBorder="1" applyFill="1" applyFont="1">
      <alignment horizontal="right" vertical="bottom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1" fillId="9" fontId="2" numFmtId="0" xfId="0" applyAlignment="1" applyBorder="1" applyFill="1" applyFont="1">
      <alignment horizontal="center" vertical="bottom"/>
    </xf>
    <xf borderId="11" fillId="0" fontId="6" numFmtId="0" xfId="0" applyBorder="1" applyFont="1"/>
    <xf borderId="11" fillId="0" fontId="2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2" fillId="0" fontId="1" numFmtId="0" xfId="0" applyAlignment="1" applyBorder="1" applyFont="1">
      <alignment vertical="bottom"/>
    </xf>
    <xf borderId="11" fillId="3" fontId="1" numFmtId="0" xfId="0" applyAlignment="1" applyBorder="1" applyFill="1" applyFont="1">
      <alignment vertical="bottom"/>
    </xf>
    <xf borderId="11" fillId="0" fontId="1" numFmtId="0" xfId="0" applyAlignment="1" applyBorder="1" applyFont="1">
      <alignment horizontal="center" readingOrder="0" vertical="bottom"/>
    </xf>
    <xf borderId="11" fillId="10" fontId="1" numFmtId="0" xfId="0" applyAlignment="1" applyBorder="1" applyFill="1" applyFont="1">
      <alignment horizontal="right" vertical="bottom"/>
    </xf>
    <xf borderId="12" fillId="0" fontId="1" numFmtId="0" xfId="0" applyAlignment="1" applyBorder="1" applyFont="1">
      <alignment readingOrder="0" vertical="bottom"/>
    </xf>
    <xf borderId="0" fillId="11" fontId="2" numFmtId="0" xfId="0" applyAlignment="1" applyFill="1" applyFont="1">
      <alignment horizontal="center" readingOrder="0" vertical="bottom"/>
    </xf>
    <xf borderId="13" fillId="0" fontId="1" numFmtId="0" xfId="0" applyAlignment="1" applyBorder="1" applyFont="1">
      <alignment vertical="bottom"/>
    </xf>
    <xf borderId="14" fillId="0" fontId="2" numFmtId="0" xfId="0" applyAlignment="1" applyBorder="1" applyFont="1">
      <alignment horizontal="center" vertical="bottom"/>
    </xf>
    <xf borderId="15" fillId="0" fontId="6" numFmtId="0" xfId="0" applyBorder="1" applyFont="1"/>
    <xf borderId="16" fillId="0" fontId="6" numFmtId="0" xfId="0" applyBorder="1" applyFont="1"/>
    <xf borderId="13" fillId="0" fontId="2" numFmtId="0" xfId="0" applyAlignment="1" applyBorder="1" applyFont="1">
      <alignment horizontal="center" vertical="bottom"/>
    </xf>
    <xf borderId="13" fillId="0" fontId="3" numFmtId="0" xfId="0" applyBorder="1" applyFont="1"/>
    <xf borderId="13" fillId="0" fontId="1" numFmtId="0" xfId="0" applyAlignment="1" applyBorder="1" applyFont="1">
      <alignment horizontal="center" readingOrder="0" vertical="bottom"/>
    </xf>
    <xf borderId="13" fillId="0" fontId="1" numFmtId="0" xfId="0" applyAlignment="1" applyBorder="1" applyFont="1">
      <alignment horizontal="center" readingOrder="0" vertical="bottom"/>
    </xf>
    <xf borderId="13" fillId="0" fontId="1" numFmtId="0" xfId="0" applyAlignment="1" applyBorder="1" applyFont="1">
      <alignment readingOrder="0" vertical="bottom"/>
    </xf>
    <xf borderId="13" fillId="0" fontId="1" numFmtId="0" xfId="0" applyAlignment="1" applyBorder="1" applyFont="1">
      <alignment readingOrder="0" vertical="bottom"/>
    </xf>
    <xf borderId="13" fillId="3" fontId="1" numFmtId="0" xfId="0" applyAlignment="1" applyBorder="1" applyFill="1" applyFont="1">
      <alignment horizontal="center" vertical="bottom"/>
    </xf>
    <xf borderId="13" fillId="12" fontId="1" numFmtId="0" xfId="0" applyAlignment="1" applyBorder="1" applyFill="1" applyFont="1">
      <alignment horizontal="right" vertical="bottom"/>
    </xf>
    <xf borderId="13" fillId="0" fontId="1" numFmtId="0" xfId="0" applyAlignment="1" applyBorder="1" applyFont="1">
      <alignment vertical="bottom"/>
    </xf>
    <xf borderId="13" fillId="0" fontId="3" numFmtId="0" xfId="0" applyAlignment="1" applyBorder="1" applyFont="1">
      <alignment readingOrder="0"/>
    </xf>
    <xf borderId="13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8.38"/>
    <col customWidth="1" min="6" max="6" width="18.0"/>
  </cols>
  <sheetData>
    <row r="2">
      <c r="C2" s="1"/>
      <c r="D2" s="2" t="s">
        <v>0</v>
      </c>
      <c r="F2" s="3" t="s">
        <v>1</v>
      </c>
      <c r="G2" s="3" t="s">
        <v>2</v>
      </c>
      <c r="H2" s="3"/>
      <c r="I2" s="3" t="s">
        <v>3</v>
      </c>
      <c r="J2" s="3"/>
      <c r="K2" s="3" t="s">
        <v>4</v>
      </c>
      <c r="L2" s="3"/>
      <c r="M2" s="3" t="s">
        <v>5</v>
      </c>
      <c r="N2" s="3"/>
      <c r="O2" s="1"/>
      <c r="P2" s="3"/>
    </row>
    <row r="3">
      <c r="C3" s="1"/>
      <c r="D3" s="2" t="s">
        <v>6</v>
      </c>
      <c r="F3" s="2" t="s">
        <v>7</v>
      </c>
      <c r="G3" s="2" t="s">
        <v>8</v>
      </c>
      <c r="H3" s="3"/>
      <c r="I3" s="2" t="s">
        <v>9</v>
      </c>
      <c r="J3" s="3"/>
      <c r="K3" s="2" t="s">
        <v>10</v>
      </c>
      <c r="L3" s="3"/>
      <c r="M3" s="2" t="s">
        <v>11</v>
      </c>
      <c r="N3" s="3"/>
      <c r="O3" s="1"/>
      <c r="P3" s="1"/>
    </row>
    <row r="4">
      <c r="B4" s="1"/>
      <c r="C4" s="1"/>
      <c r="D4" s="1"/>
      <c r="F4" s="1"/>
      <c r="G4" s="1"/>
      <c r="H4" s="1"/>
      <c r="I4" s="1"/>
      <c r="J4" s="1"/>
      <c r="K4" s="1"/>
      <c r="L4" s="1"/>
      <c r="M4" s="1"/>
      <c r="N4" s="2" t="s">
        <v>12</v>
      </c>
      <c r="O4" s="1"/>
      <c r="P4" s="1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B6" s="4" t="s">
        <v>13</v>
      </c>
      <c r="C6" s="5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B7" s="1"/>
      <c r="C7" s="6"/>
      <c r="D7" s="5" t="s">
        <v>15</v>
      </c>
      <c r="E7" s="7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B8" s="5" t="s">
        <v>16</v>
      </c>
      <c r="C8" s="8" t="s">
        <v>17</v>
      </c>
      <c r="D8" s="1"/>
      <c r="E8" s="9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B9" s="1"/>
      <c r="C9" s="1"/>
      <c r="D9" s="1"/>
      <c r="E9" s="1"/>
      <c r="F9" s="10" t="s">
        <v>18</v>
      </c>
      <c r="G9" s="1"/>
      <c r="H9" s="1"/>
      <c r="I9" s="1"/>
      <c r="J9" s="1"/>
      <c r="K9" s="11"/>
      <c r="L9" s="1"/>
      <c r="M9" s="1"/>
      <c r="N9" s="1"/>
      <c r="O9" s="1"/>
    </row>
    <row r="10">
      <c r="B10" s="5" t="s">
        <v>19</v>
      </c>
      <c r="C10" s="5" t="s">
        <v>20</v>
      </c>
      <c r="D10" s="12"/>
      <c r="E10" s="12"/>
      <c r="F10" s="13"/>
      <c r="G10" s="13"/>
      <c r="H10" s="1"/>
      <c r="I10" s="1"/>
      <c r="J10" s="1"/>
      <c r="K10" s="1"/>
      <c r="L10" s="1"/>
      <c r="M10" s="1"/>
      <c r="N10" s="1"/>
      <c r="O10" s="1"/>
    </row>
    <row r="11" customHeight="1">
      <c r="B11" s="1"/>
      <c r="C11" s="1"/>
      <c r="D11" s="1"/>
      <c r="E11" s="1"/>
      <c r="F11" s="1"/>
      <c r="G11" s="13"/>
      <c r="H11" s="1"/>
      <c r="I11" s="1"/>
      <c r="J11" s="1"/>
      <c r="K11" s="1"/>
      <c r="L11" s="1"/>
      <c r="M11" s="1"/>
      <c r="N11" s="1"/>
      <c r="O11" s="1"/>
    </row>
    <row r="12">
      <c r="B12" s="1"/>
      <c r="C12" s="1"/>
      <c r="D12" s="1"/>
      <c r="E12" s="1"/>
      <c r="F12" s="1"/>
      <c r="G12" s="10" t="s">
        <v>21</v>
      </c>
      <c r="H12" s="12"/>
      <c r="I12" s="12"/>
      <c r="J12" s="12"/>
      <c r="K12" s="12"/>
      <c r="L12" s="12"/>
      <c r="M12" s="1"/>
      <c r="N12" s="1"/>
      <c r="O12" s="1"/>
    </row>
    <row r="13">
      <c r="B13" s="1"/>
      <c r="C13" s="1"/>
      <c r="D13" s="1"/>
      <c r="E13" s="1"/>
      <c r="F13" s="1"/>
      <c r="G13" s="13"/>
      <c r="H13" s="1"/>
      <c r="I13" s="1"/>
      <c r="J13" s="1"/>
      <c r="K13" s="1"/>
      <c r="L13" s="1"/>
      <c r="M13" s="13"/>
      <c r="N13" s="1"/>
      <c r="O13" s="1"/>
    </row>
    <row r="14">
      <c r="B14" s="5" t="s">
        <v>22</v>
      </c>
      <c r="C14" s="5" t="s">
        <v>23</v>
      </c>
      <c r="D14" s="1"/>
      <c r="E14" s="1"/>
      <c r="F14" s="1"/>
      <c r="G14" s="13"/>
      <c r="M14" s="14"/>
    </row>
    <row r="15">
      <c r="B15" s="1"/>
      <c r="D15" s="10" t="s">
        <v>24</v>
      </c>
      <c r="E15" s="5" t="s">
        <v>23</v>
      </c>
      <c r="F15" s="12"/>
      <c r="G15" s="14"/>
      <c r="M15" s="14"/>
    </row>
    <row r="16">
      <c r="B16" s="5" t="s">
        <v>25</v>
      </c>
      <c r="C16" s="5" t="s">
        <v>26</v>
      </c>
      <c r="D16" s="13"/>
      <c r="E16" s="1"/>
      <c r="F16" s="1"/>
      <c r="G16" s="1"/>
      <c r="M16" s="14"/>
    </row>
    <row r="17">
      <c r="B17" s="1"/>
      <c r="M17" s="14"/>
    </row>
    <row r="18">
      <c r="M18" s="14"/>
    </row>
    <row r="19">
      <c r="M19" s="14"/>
    </row>
    <row r="20">
      <c r="M20" s="14"/>
    </row>
    <row r="21">
      <c r="B21" s="5" t="s">
        <v>27</v>
      </c>
      <c r="C21" s="5" t="s">
        <v>28</v>
      </c>
      <c r="D21" s="1"/>
      <c r="E21" s="1"/>
      <c r="F21" s="1"/>
      <c r="G21" s="1"/>
      <c r="M21" s="14"/>
    </row>
    <row r="22">
      <c r="B22" s="1"/>
      <c r="C22" s="6"/>
      <c r="D22" s="5" t="s">
        <v>29</v>
      </c>
      <c r="E22" s="7" t="s">
        <v>30</v>
      </c>
      <c r="F22" s="1"/>
      <c r="G22" s="1"/>
      <c r="M22" s="14"/>
    </row>
    <row r="23">
      <c r="B23" s="5" t="s">
        <v>31</v>
      </c>
      <c r="C23" s="8" t="s">
        <v>32</v>
      </c>
      <c r="D23" s="1"/>
      <c r="E23" s="9"/>
      <c r="F23" s="1"/>
      <c r="G23" s="1"/>
      <c r="M23" s="14"/>
    </row>
    <row r="24">
      <c r="B24" s="1"/>
      <c r="C24" s="1"/>
      <c r="D24" s="1"/>
      <c r="E24" s="1"/>
      <c r="F24" s="10" t="s">
        <v>33</v>
      </c>
      <c r="G24" s="1"/>
      <c r="M24" s="15"/>
      <c r="N24" s="5" t="s">
        <v>14</v>
      </c>
      <c r="O24" s="16" t="s">
        <v>34</v>
      </c>
    </row>
    <row r="25">
      <c r="B25" s="5" t="s">
        <v>35</v>
      </c>
      <c r="C25" s="5" t="s">
        <v>36</v>
      </c>
      <c r="D25" s="12"/>
      <c r="E25" s="12"/>
      <c r="F25" s="13"/>
      <c r="G25" s="13"/>
      <c r="M25" s="14"/>
    </row>
    <row r="26">
      <c r="B26" s="1"/>
      <c r="C26" s="1"/>
      <c r="D26" s="1"/>
      <c r="E26" s="1"/>
      <c r="F26" s="1"/>
      <c r="G26" s="13"/>
      <c r="M26" s="14"/>
    </row>
    <row r="27">
      <c r="B27" s="1"/>
      <c r="C27" s="1"/>
      <c r="D27" s="1"/>
      <c r="E27" s="1"/>
      <c r="F27" s="1"/>
      <c r="G27" s="13"/>
      <c r="M27" s="14"/>
    </row>
    <row r="28">
      <c r="B28" s="1"/>
      <c r="C28" s="1"/>
      <c r="D28" s="1"/>
      <c r="E28" s="1"/>
      <c r="F28" s="1"/>
      <c r="G28" s="10" t="s">
        <v>37</v>
      </c>
      <c r="H28" s="17"/>
      <c r="M28" s="14"/>
    </row>
    <row r="29">
      <c r="B29" s="5" t="s">
        <v>38</v>
      </c>
      <c r="C29" s="5" t="s">
        <v>39</v>
      </c>
      <c r="D29" s="1"/>
      <c r="E29" s="1"/>
      <c r="F29" s="1"/>
      <c r="G29" s="13"/>
      <c r="I29" s="14"/>
      <c r="M29" s="14"/>
    </row>
    <row r="30">
      <c r="B30" s="1"/>
      <c r="D30" s="10" t="s">
        <v>40</v>
      </c>
      <c r="E30" s="5" t="s">
        <v>41</v>
      </c>
      <c r="F30" s="1"/>
      <c r="G30" s="13"/>
      <c r="I30" s="14"/>
      <c r="M30" s="14"/>
    </row>
    <row r="31">
      <c r="B31" s="5" t="s">
        <v>42</v>
      </c>
      <c r="C31" s="5" t="s">
        <v>41</v>
      </c>
      <c r="D31" s="13"/>
      <c r="E31" s="1"/>
      <c r="F31" s="13"/>
      <c r="G31" s="13"/>
      <c r="I31" s="14"/>
      <c r="M31" s="14"/>
    </row>
    <row r="32">
      <c r="F32" s="18" t="s">
        <v>43</v>
      </c>
      <c r="G32" s="13"/>
      <c r="I32" s="14"/>
      <c r="M32" s="14"/>
    </row>
    <row r="33">
      <c r="F33" s="14"/>
      <c r="I33" s="18" t="s">
        <v>44</v>
      </c>
      <c r="J33" s="17"/>
      <c r="M33" s="14"/>
    </row>
    <row r="34">
      <c r="D34" s="19" t="s">
        <v>45</v>
      </c>
      <c r="E34" s="19" t="s">
        <v>17</v>
      </c>
      <c r="F34" s="14"/>
      <c r="I34" s="14"/>
      <c r="K34" s="14"/>
      <c r="M34" s="14"/>
    </row>
    <row r="35">
      <c r="I35" s="14"/>
      <c r="K35" s="14"/>
      <c r="M35" s="14"/>
    </row>
    <row r="36">
      <c r="I36" s="14"/>
      <c r="K36" s="14"/>
      <c r="M36" s="14"/>
    </row>
    <row r="37">
      <c r="D37" s="19" t="s">
        <v>46</v>
      </c>
      <c r="E37" s="19" t="s">
        <v>26</v>
      </c>
      <c r="F37" s="17"/>
      <c r="I37" s="14"/>
      <c r="K37" s="14"/>
      <c r="M37" s="14"/>
    </row>
    <row r="38">
      <c r="G38" s="14"/>
      <c r="I38" s="14"/>
      <c r="K38" s="18" t="s">
        <v>47</v>
      </c>
      <c r="L38" s="17"/>
      <c r="M38" s="14"/>
    </row>
    <row r="39">
      <c r="G39" s="18" t="s">
        <v>48</v>
      </c>
      <c r="H39" s="17"/>
      <c r="I39" s="14"/>
      <c r="K39" s="14"/>
    </row>
    <row r="40">
      <c r="G40" s="14"/>
      <c r="K40" s="14"/>
    </row>
    <row r="41">
      <c r="F41" s="19" t="s">
        <v>49</v>
      </c>
      <c r="G41" s="14"/>
      <c r="K41" s="14"/>
    </row>
    <row r="42">
      <c r="K42" s="14"/>
    </row>
    <row r="43">
      <c r="G43" s="19" t="s">
        <v>50</v>
      </c>
      <c r="H43" s="17"/>
      <c r="I43" s="17"/>
      <c r="J43" s="17"/>
      <c r="K43" s="1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8.63"/>
  </cols>
  <sheetData>
    <row r="1">
      <c r="A1" s="20" t="s">
        <v>51</v>
      </c>
    </row>
    <row r="2">
      <c r="A2" s="21" t="s">
        <v>52</v>
      </c>
    </row>
    <row r="3">
      <c r="A3" s="22"/>
      <c r="B3" s="21"/>
      <c r="C3" s="21"/>
      <c r="D3" s="21"/>
      <c r="E3" s="21"/>
      <c r="F3" s="21"/>
      <c r="G3" s="21"/>
      <c r="H3" s="21"/>
    </row>
    <row r="4">
      <c r="A4" s="23"/>
      <c r="B4" s="23"/>
      <c r="C4" s="23"/>
      <c r="D4" s="23"/>
      <c r="E4" s="23"/>
      <c r="F4" s="23"/>
      <c r="G4" s="23"/>
      <c r="H4" s="23"/>
    </row>
    <row r="5">
      <c r="A5" s="24" t="s">
        <v>53</v>
      </c>
      <c r="B5" s="25"/>
      <c r="C5" s="25"/>
      <c r="D5" s="25"/>
      <c r="E5" s="25"/>
      <c r="F5" s="25"/>
      <c r="G5" s="25"/>
      <c r="H5" s="25"/>
    </row>
    <row r="6">
      <c r="A6" s="23"/>
      <c r="B6" s="23"/>
      <c r="C6" s="26" t="s">
        <v>54</v>
      </c>
      <c r="D6" s="25"/>
      <c r="E6" s="25"/>
      <c r="F6" s="25"/>
      <c r="G6" s="25"/>
      <c r="H6" s="25"/>
    </row>
    <row r="7">
      <c r="A7" s="23"/>
      <c r="B7" s="22" t="s">
        <v>55</v>
      </c>
      <c r="C7" s="27" t="s">
        <v>56</v>
      </c>
      <c r="D7" s="27" t="s">
        <v>57</v>
      </c>
      <c r="E7" s="27" t="s">
        <v>58</v>
      </c>
      <c r="F7" s="27" t="s">
        <v>59</v>
      </c>
      <c r="G7" s="27" t="s">
        <v>60</v>
      </c>
      <c r="H7" s="26" t="s">
        <v>61</v>
      </c>
    </row>
    <row r="8">
      <c r="A8" s="23" t="s">
        <v>56</v>
      </c>
      <c r="B8" s="28" t="s">
        <v>62</v>
      </c>
      <c r="C8" s="29"/>
      <c r="D8" s="30">
        <v>2.0</v>
      </c>
      <c r="E8" s="30">
        <v>0.0</v>
      </c>
      <c r="F8" s="30">
        <v>0.0</v>
      </c>
      <c r="G8" s="30">
        <v>0.0</v>
      </c>
      <c r="H8" s="31">
        <f t="shared" ref="H8:H12" si="1">SUM(C8:G8)</f>
        <v>2</v>
      </c>
    </row>
    <row r="9">
      <c r="A9" s="23" t="s">
        <v>57</v>
      </c>
      <c r="B9" s="28" t="s">
        <v>63</v>
      </c>
      <c r="C9" s="30">
        <v>0.0</v>
      </c>
      <c r="D9" s="29"/>
      <c r="E9" s="30">
        <v>0.0</v>
      </c>
      <c r="F9" s="30">
        <v>0.0</v>
      </c>
      <c r="G9" s="30">
        <v>0.0</v>
      </c>
      <c r="H9" s="31">
        <f t="shared" si="1"/>
        <v>0</v>
      </c>
    </row>
    <row r="10">
      <c r="A10" s="23" t="s">
        <v>58</v>
      </c>
      <c r="B10" s="28" t="s">
        <v>28</v>
      </c>
      <c r="C10" s="30">
        <v>2.0</v>
      </c>
      <c r="D10" s="30">
        <v>2.0</v>
      </c>
      <c r="E10" s="29"/>
      <c r="F10" s="30">
        <v>2.0</v>
      </c>
      <c r="G10" s="30">
        <v>0.0</v>
      </c>
      <c r="H10" s="31">
        <f t="shared" si="1"/>
        <v>6</v>
      </c>
      <c r="I10" s="32">
        <v>2.0</v>
      </c>
    </row>
    <row r="11">
      <c r="A11" s="23" t="s">
        <v>59</v>
      </c>
      <c r="B11" s="33" t="s">
        <v>64</v>
      </c>
      <c r="C11" s="30">
        <v>2.0</v>
      </c>
      <c r="D11" s="30">
        <v>2.0</v>
      </c>
      <c r="E11" s="30">
        <v>0.0</v>
      </c>
      <c r="F11" s="29"/>
      <c r="G11" s="30">
        <v>0.0</v>
      </c>
      <c r="H11" s="31">
        <f t="shared" si="1"/>
        <v>4</v>
      </c>
    </row>
    <row r="12">
      <c r="A12" s="23" t="s">
        <v>60</v>
      </c>
      <c r="B12" s="28" t="s">
        <v>14</v>
      </c>
      <c r="C12" s="30">
        <v>2.0</v>
      </c>
      <c r="D12" s="30">
        <v>2.0</v>
      </c>
      <c r="E12" s="30">
        <v>2.0</v>
      </c>
      <c r="F12" s="30">
        <v>2.0</v>
      </c>
      <c r="G12" s="29"/>
      <c r="H12" s="31">
        <f t="shared" si="1"/>
        <v>8</v>
      </c>
      <c r="I12" s="32">
        <v>1.0</v>
      </c>
    </row>
    <row r="13">
      <c r="A13" s="34"/>
      <c r="B13" s="34"/>
      <c r="C13" s="34"/>
      <c r="D13" s="34"/>
      <c r="E13" s="34"/>
      <c r="F13" s="34"/>
      <c r="G13" s="34"/>
      <c r="H13" s="22"/>
    </row>
    <row r="14">
      <c r="A14" s="34"/>
      <c r="B14" s="34"/>
      <c r="C14" s="34"/>
      <c r="D14" s="34"/>
      <c r="E14" s="34"/>
      <c r="F14" s="34"/>
      <c r="G14" s="34"/>
      <c r="H14" s="34"/>
    </row>
    <row r="15">
      <c r="A15" s="35" t="s">
        <v>65</v>
      </c>
      <c r="B15" s="36"/>
      <c r="C15" s="36"/>
      <c r="D15" s="36"/>
      <c r="E15" s="36"/>
      <c r="F15" s="36"/>
      <c r="G15" s="36"/>
      <c r="H15" s="36"/>
    </row>
    <row r="16">
      <c r="A16" s="34"/>
      <c r="B16" s="34"/>
      <c r="C16" s="37" t="s">
        <v>54</v>
      </c>
      <c r="D16" s="36"/>
      <c r="E16" s="36"/>
      <c r="F16" s="36"/>
      <c r="G16" s="36"/>
      <c r="H16" s="36"/>
    </row>
    <row r="17">
      <c r="A17" s="34"/>
      <c r="B17" s="34" t="s">
        <v>55</v>
      </c>
      <c r="C17" s="38" t="s">
        <v>66</v>
      </c>
      <c r="D17" s="38" t="s">
        <v>67</v>
      </c>
      <c r="E17" s="38" t="s">
        <v>68</v>
      </c>
      <c r="F17" s="38" t="s">
        <v>69</v>
      </c>
      <c r="G17" s="38" t="s">
        <v>70</v>
      </c>
      <c r="H17" s="37" t="s">
        <v>61</v>
      </c>
    </row>
    <row r="18">
      <c r="A18" s="39" t="s">
        <v>66</v>
      </c>
      <c r="B18" s="40" t="s">
        <v>32</v>
      </c>
      <c r="C18" s="41"/>
      <c r="D18" s="42">
        <v>2.0</v>
      </c>
      <c r="E18" s="42">
        <v>0.0</v>
      </c>
      <c r="F18" s="42">
        <v>2.0</v>
      </c>
      <c r="G18" s="42">
        <v>2.0</v>
      </c>
      <c r="H18" s="43">
        <f t="shared" ref="H18:H22" si="2">sum(C18:G18)</f>
        <v>6</v>
      </c>
      <c r="I18" s="32">
        <v>2.0</v>
      </c>
    </row>
    <row r="19">
      <c r="A19" s="39" t="s">
        <v>67</v>
      </c>
      <c r="B19" s="40" t="s">
        <v>71</v>
      </c>
      <c r="C19" s="42">
        <v>0.0</v>
      </c>
      <c r="D19" s="41"/>
      <c r="E19" s="42">
        <v>0.0</v>
      </c>
      <c r="F19" s="42">
        <v>2.0</v>
      </c>
      <c r="G19" s="42">
        <v>2.0</v>
      </c>
      <c r="H19" s="43">
        <f t="shared" si="2"/>
        <v>4</v>
      </c>
    </row>
    <row r="20">
      <c r="A20" s="39" t="s">
        <v>68</v>
      </c>
      <c r="B20" s="40" t="s">
        <v>17</v>
      </c>
      <c r="C20" s="42">
        <v>2.0</v>
      </c>
      <c r="D20" s="42">
        <v>2.0</v>
      </c>
      <c r="E20" s="41"/>
      <c r="F20" s="42">
        <v>2.0</v>
      </c>
      <c r="G20" s="42">
        <v>2.0</v>
      </c>
      <c r="H20" s="43">
        <f t="shared" si="2"/>
        <v>8</v>
      </c>
      <c r="I20" s="32">
        <v>1.0</v>
      </c>
    </row>
    <row r="21">
      <c r="A21" s="39" t="s">
        <v>69</v>
      </c>
      <c r="B21" s="40" t="s">
        <v>72</v>
      </c>
      <c r="C21" s="42">
        <v>0.0</v>
      </c>
      <c r="D21" s="42">
        <v>0.0</v>
      </c>
      <c r="E21" s="42">
        <v>0.0</v>
      </c>
      <c r="F21" s="41"/>
      <c r="G21" s="42">
        <v>2.0</v>
      </c>
      <c r="H21" s="43">
        <f t="shared" si="2"/>
        <v>2</v>
      </c>
    </row>
    <row r="22">
      <c r="A22" s="39" t="s">
        <v>70</v>
      </c>
      <c r="B22" s="40" t="s">
        <v>73</v>
      </c>
      <c r="C22" s="42">
        <v>0.0</v>
      </c>
      <c r="D22" s="42">
        <v>0.0</v>
      </c>
      <c r="E22" s="42">
        <v>0.0</v>
      </c>
      <c r="F22" s="42">
        <v>0.0</v>
      </c>
      <c r="G22" s="41"/>
      <c r="H22" s="43">
        <f t="shared" si="2"/>
        <v>0</v>
      </c>
    </row>
    <row r="23">
      <c r="A23" s="22"/>
      <c r="B23" s="22"/>
      <c r="C23" s="22"/>
      <c r="D23" s="22"/>
      <c r="E23" s="22"/>
      <c r="F23" s="22"/>
      <c r="G23" s="22"/>
      <c r="H23" s="22"/>
    </row>
    <row r="24">
      <c r="A24" s="44"/>
      <c r="B24" s="44"/>
      <c r="C24" s="44"/>
      <c r="D24" s="44"/>
      <c r="E24" s="44"/>
      <c r="F24" s="44"/>
      <c r="G24" s="44"/>
      <c r="H24" s="44"/>
    </row>
    <row r="25">
      <c r="A25" s="45" t="s">
        <v>74</v>
      </c>
      <c r="B25" s="46"/>
      <c r="C25" s="46"/>
      <c r="D25" s="46"/>
      <c r="E25" s="46"/>
      <c r="F25" s="46"/>
      <c r="G25" s="46"/>
      <c r="H25" s="46"/>
    </row>
    <row r="26">
      <c r="A26" s="44"/>
      <c r="B26" s="44"/>
      <c r="C26" s="47" t="s">
        <v>54</v>
      </c>
      <c r="D26" s="46"/>
      <c r="E26" s="46"/>
      <c r="F26" s="46"/>
      <c r="G26" s="46"/>
      <c r="H26" s="46"/>
    </row>
    <row r="27">
      <c r="A27" s="44"/>
      <c r="B27" s="22" t="s">
        <v>55</v>
      </c>
      <c r="C27" s="48" t="s">
        <v>75</v>
      </c>
      <c r="D27" s="48" t="s">
        <v>76</v>
      </c>
      <c r="E27" s="48" t="s">
        <v>77</v>
      </c>
      <c r="F27" s="48" t="s">
        <v>78</v>
      </c>
      <c r="G27" s="48" t="s">
        <v>79</v>
      </c>
      <c r="H27" s="47" t="s">
        <v>61</v>
      </c>
    </row>
    <row r="28">
      <c r="A28" s="49" t="s">
        <v>75</v>
      </c>
      <c r="B28" s="50" t="s">
        <v>80</v>
      </c>
      <c r="C28" s="51"/>
      <c r="D28" s="52">
        <v>0.0</v>
      </c>
      <c r="E28" s="52">
        <v>2.0</v>
      </c>
      <c r="F28" s="52">
        <v>0.0</v>
      </c>
      <c r="G28" s="52">
        <v>0.0</v>
      </c>
      <c r="H28" s="53">
        <f t="shared" ref="H28:H32" si="3">sum(C28:G28)</f>
        <v>2</v>
      </c>
    </row>
    <row r="29">
      <c r="A29" s="49" t="s">
        <v>76</v>
      </c>
      <c r="B29" s="54" t="s">
        <v>81</v>
      </c>
      <c r="C29" s="52">
        <v>2.0</v>
      </c>
      <c r="D29" s="51"/>
      <c r="E29" s="52">
        <v>2.0</v>
      </c>
      <c r="F29" s="52">
        <v>0.0</v>
      </c>
      <c r="G29" s="52">
        <v>0.0</v>
      </c>
      <c r="H29" s="53">
        <f t="shared" si="3"/>
        <v>4</v>
      </c>
    </row>
    <row r="30">
      <c r="A30" s="49" t="s">
        <v>77</v>
      </c>
      <c r="B30" s="50" t="s">
        <v>82</v>
      </c>
      <c r="C30" s="52">
        <v>0.0</v>
      </c>
      <c r="D30" s="52">
        <v>0.0</v>
      </c>
      <c r="E30" s="51"/>
      <c r="F30" s="52">
        <v>0.0</v>
      </c>
      <c r="G30" s="52">
        <v>0.0</v>
      </c>
      <c r="H30" s="53">
        <f t="shared" si="3"/>
        <v>0</v>
      </c>
    </row>
    <row r="31">
      <c r="A31" s="49" t="s">
        <v>78</v>
      </c>
      <c r="B31" s="54" t="s">
        <v>23</v>
      </c>
      <c r="C31" s="52">
        <v>2.0</v>
      </c>
      <c r="D31" s="52">
        <v>2.0</v>
      </c>
      <c r="E31" s="52">
        <v>2.0</v>
      </c>
      <c r="F31" s="51"/>
      <c r="G31" s="52">
        <v>2.0</v>
      </c>
      <c r="H31" s="53">
        <f t="shared" si="3"/>
        <v>8</v>
      </c>
      <c r="I31" s="32">
        <v>1.0</v>
      </c>
    </row>
    <row r="32">
      <c r="A32" s="49" t="s">
        <v>79</v>
      </c>
      <c r="B32" s="50" t="s">
        <v>39</v>
      </c>
      <c r="C32" s="52">
        <v>2.0</v>
      </c>
      <c r="D32" s="52">
        <v>2.0</v>
      </c>
      <c r="E32" s="52">
        <v>2.0</v>
      </c>
      <c r="F32" s="52">
        <v>0.0</v>
      </c>
      <c r="G32" s="51"/>
      <c r="H32" s="53">
        <f t="shared" si="3"/>
        <v>6</v>
      </c>
      <c r="I32" s="32">
        <v>2.0</v>
      </c>
    </row>
    <row r="33">
      <c r="A33" s="22"/>
      <c r="B33" s="22"/>
      <c r="C33" s="22"/>
      <c r="D33" s="22"/>
      <c r="E33" s="22"/>
      <c r="F33" s="22"/>
      <c r="G33" s="22"/>
      <c r="H33" s="22"/>
    </row>
    <row r="34">
      <c r="A34" s="55"/>
      <c r="B34" s="55"/>
      <c r="C34" s="55"/>
      <c r="D34" s="55"/>
      <c r="E34" s="55"/>
      <c r="F34" s="55"/>
      <c r="G34" s="55"/>
      <c r="H34" s="55"/>
    </row>
    <row r="35">
      <c r="A35" s="56" t="s">
        <v>83</v>
      </c>
      <c r="B35" s="57"/>
      <c r="C35" s="57"/>
      <c r="D35" s="57"/>
      <c r="E35" s="57"/>
      <c r="F35" s="57"/>
      <c r="G35" s="57"/>
      <c r="H35" s="57"/>
    </row>
    <row r="36">
      <c r="A36" s="55"/>
      <c r="B36" s="55"/>
      <c r="C36" s="58" t="s">
        <v>54</v>
      </c>
      <c r="D36" s="57"/>
      <c r="E36" s="57"/>
      <c r="F36" s="57"/>
      <c r="G36" s="57"/>
      <c r="H36" s="58"/>
    </row>
    <row r="37">
      <c r="A37" s="55"/>
      <c r="B37" s="55" t="s">
        <v>55</v>
      </c>
      <c r="C37" s="59" t="s">
        <v>84</v>
      </c>
      <c r="D37" s="59" t="s">
        <v>85</v>
      </c>
      <c r="E37" s="59" t="s">
        <v>86</v>
      </c>
      <c r="F37" s="59" t="s">
        <v>87</v>
      </c>
      <c r="G37" s="59" t="s">
        <v>88</v>
      </c>
      <c r="H37" s="58" t="s">
        <v>61</v>
      </c>
    </row>
    <row r="38">
      <c r="A38" s="55" t="s">
        <v>84</v>
      </c>
      <c r="B38" s="60" t="s">
        <v>89</v>
      </c>
      <c r="C38" s="61"/>
      <c r="D38" s="62">
        <v>2.0</v>
      </c>
      <c r="E38" s="62">
        <v>0.0</v>
      </c>
      <c r="F38" s="62">
        <v>0.0</v>
      </c>
      <c r="G38" s="62">
        <v>2.0</v>
      </c>
      <c r="H38" s="63">
        <f t="shared" ref="H38:H42" si="4">sum(C38:G38)</f>
        <v>4</v>
      </c>
    </row>
    <row r="39">
      <c r="A39" s="55" t="s">
        <v>85</v>
      </c>
      <c r="B39" s="64" t="s">
        <v>90</v>
      </c>
      <c r="C39" s="62">
        <v>0.0</v>
      </c>
      <c r="D39" s="61"/>
      <c r="E39" s="62">
        <v>0.0</v>
      </c>
      <c r="F39" s="62">
        <v>0.0</v>
      </c>
      <c r="G39" s="62">
        <v>0.0</v>
      </c>
      <c r="H39" s="63">
        <f t="shared" si="4"/>
        <v>0</v>
      </c>
    </row>
    <row r="40">
      <c r="A40" s="55" t="s">
        <v>86</v>
      </c>
      <c r="B40" s="64" t="s">
        <v>26</v>
      </c>
      <c r="C40" s="62">
        <v>2.0</v>
      </c>
      <c r="D40" s="62">
        <v>2.0</v>
      </c>
      <c r="E40" s="61"/>
      <c r="F40" s="62">
        <v>2.0</v>
      </c>
      <c r="G40" s="62">
        <v>2.0</v>
      </c>
      <c r="H40" s="63">
        <f t="shared" si="4"/>
        <v>8</v>
      </c>
      <c r="I40" s="32">
        <v>1.0</v>
      </c>
    </row>
    <row r="41">
      <c r="A41" s="55" t="s">
        <v>87</v>
      </c>
      <c r="B41" s="64" t="s">
        <v>91</v>
      </c>
      <c r="C41" s="62">
        <v>2.0</v>
      </c>
      <c r="D41" s="62">
        <v>2.0</v>
      </c>
      <c r="E41" s="62">
        <v>0.0</v>
      </c>
      <c r="F41" s="61"/>
      <c r="G41" s="62">
        <v>2.0</v>
      </c>
      <c r="H41" s="63">
        <f t="shared" si="4"/>
        <v>6</v>
      </c>
      <c r="I41" s="32">
        <v>2.0</v>
      </c>
    </row>
    <row r="42">
      <c r="A42" s="55" t="s">
        <v>88</v>
      </c>
      <c r="B42" s="64" t="s">
        <v>92</v>
      </c>
      <c r="C42" s="62">
        <v>0.0</v>
      </c>
      <c r="D42" s="62">
        <v>2.0</v>
      </c>
      <c r="E42" s="62">
        <v>0.0</v>
      </c>
      <c r="F42" s="62">
        <v>0.0</v>
      </c>
      <c r="G42" s="61"/>
      <c r="H42" s="63">
        <f t="shared" si="4"/>
        <v>2</v>
      </c>
    </row>
    <row r="45">
      <c r="A45" s="65" t="s">
        <v>93</v>
      </c>
    </row>
    <row r="46">
      <c r="A46" s="66"/>
      <c r="B46" s="66"/>
      <c r="C46" s="67" t="s">
        <v>54</v>
      </c>
      <c r="D46" s="68"/>
      <c r="E46" s="68"/>
      <c r="F46" s="68"/>
      <c r="G46" s="69"/>
      <c r="H46" s="70"/>
      <c r="I46" s="71"/>
    </row>
    <row r="47">
      <c r="A47" s="66"/>
      <c r="B47" s="66" t="s">
        <v>55</v>
      </c>
      <c r="C47" s="72" t="s">
        <v>94</v>
      </c>
      <c r="D47" s="72" t="s">
        <v>95</v>
      </c>
      <c r="E47" s="72" t="s">
        <v>96</v>
      </c>
      <c r="F47" s="72" t="s">
        <v>97</v>
      </c>
      <c r="G47" s="72" t="s">
        <v>98</v>
      </c>
      <c r="H47" s="73" t="s">
        <v>99</v>
      </c>
      <c r="I47" s="70" t="s">
        <v>61</v>
      </c>
    </row>
    <row r="48">
      <c r="A48" s="74" t="s">
        <v>94</v>
      </c>
      <c r="B48" s="75" t="s">
        <v>20</v>
      </c>
      <c r="C48" s="76"/>
      <c r="D48" s="72">
        <v>2.0</v>
      </c>
      <c r="E48" s="72">
        <v>2.0</v>
      </c>
      <c r="F48" s="72">
        <v>2.0</v>
      </c>
      <c r="G48" s="72">
        <v>2.0</v>
      </c>
      <c r="H48" s="72">
        <v>2.0</v>
      </c>
      <c r="I48" s="77">
        <f t="shared" ref="I48:I53" si="5">sum(C48:H48)</f>
        <v>10</v>
      </c>
      <c r="J48" s="32">
        <v>1.0</v>
      </c>
    </row>
    <row r="49">
      <c r="A49" s="74" t="s">
        <v>95</v>
      </c>
      <c r="B49" s="75" t="s">
        <v>100</v>
      </c>
      <c r="C49" s="72">
        <v>0.0</v>
      </c>
      <c r="D49" s="76"/>
      <c r="E49" s="72">
        <v>0.0</v>
      </c>
      <c r="F49" s="72">
        <v>0.0</v>
      </c>
      <c r="G49" s="72">
        <v>0.0</v>
      </c>
      <c r="H49" s="72">
        <v>2.0</v>
      </c>
      <c r="I49" s="77">
        <f t="shared" si="5"/>
        <v>2</v>
      </c>
    </row>
    <row r="50">
      <c r="A50" s="74" t="s">
        <v>96</v>
      </c>
      <c r="B50" s="78" t="s">
        <v>36</v>
      </c>
      <c r="C50" s="72">
        <v>0.0</v>
      </c>
      <c r="D50" s="72">
        <v>2.0</v>
      </c>
      <c r="E50" s="76"/>
      <c r="F50" s="72">
        <v>2.0</v>
      </c>
      <c r="G50" s="72">
        <v>2.0</v>
      </c>
      <c r="H50" s="72">
        <v>2.0</v>
      </c>
      <c r="I50" s="77">
        <f t="shared" si="5"/>
        <v>8</v>
      </c>
      <c r="J50" s="32">
        <v>2.0</v>
      </c>
    </row>
    <row r="51">
      <c r="A51" s="74" t="s">
        <v>97</v>
      </c>
      <c r="B51" s="75" t="s">
        <v>101</v>
      </c>
      <c r="C51" s="72">
        <v>0.0</v>
      </c>
      <c r="D51" s="72">
        <v>2.0</v>
      </c>
      <c r="E51" s="72">
        <v>0.0</v>
      </c>
      <c r="F51" s="76"/>
      <c r="G51" s="72">
        <v>0.0</v>
      </c>
      <c r="H51" s="72">
        <v>2.0</v>
      </c>
      <c r="I51" s="77">
        <f t="shared" si="5"/>
        <v>4</v>
      </c>
    </row>
    <row r="52">
      <c r="A52" s="74" t="s">
        <v>98</v>
      </c>
      <c r="B52" s="75" t="s">
        <v>102</v>
      </c>
      <c r="C52" s="72">
        <v>0.0</v>
      </c>
      <c r="D52" s="72">
        <v>2.0</v>
      </c>
      <c r="E52" s="72">
        <v>0.0</v>
      </c>
      <c r="F52" s="72">
        <v>2.0</v>
      </c>
      <c r="G52" s="76"/>
      <c r="H52" s="72">
        <v>2.0</v>
      </c>
      <c r="I52" s="77">
        <f t="shared" si="5"/>
        <v>6</v>
      </c>
    </row>
    <row r="53">
      <c r="A53" s="79" t="s">
        <v>99</v>
      </c>
      <c r="B53" s="75" t="s">
        <v>103</v>
      </c>
      <c r="C53" s="80">
        <v>0.0</v>
      </c>
      <c r="D53" s="80">
        <v>0.0</v>
      </c>
      <c r="E53" s="80">
        <v>0.0</v>
      </c>
      <c r="F53" s="80">
        <v>0.0</v>
      </c>
      <c r="G53" s="80">
        <v>0.0</v>
      </c>
      <c r="H53" s="76"/>
      <c r="I53" s="77">
        <f t="shared" si="5"/>
        <v>0</v>
      </c>
    </row>
  </sheetData>
  <mergeCells count="12">
    <mergeCell ref="C26:H26"/>
    <mergeCell ref="A35:H35"/>
    <mergeCell ref="C36:G36"/>
    <mergeCell ref="A45:H45"/>
    <mergeCell ref="C46:G46"/>
    <mergeCell ref="A1:H1"/>
    <mergeCell ref="A2:H2"/>
    <mergeCell ref="A5:H5"/>
    <mergeCell ref="C6:H6"/>
    <mergeCell ref="A15:H15"/>
    <mergeCell ref="C16:H16"/>
    <mergeCell ref="A25:H25"/>
  </mergeCells>
  <drawing r:id="rId1"/>
</worksheet>
</file>