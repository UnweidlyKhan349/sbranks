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" sheetId="1" r:id="rId5"/>
    <sheet state="visible" name="Double Elimination" sheetId="2" r:id="rId6"/>
  </sheets>
  <definedNames/>
  <calcPr/>
</workbook>
</file>

<file path=xl/sharedStrings.xml><?xml version="1.0" encoding="utf-8"?>
<sst xmlns="http://schemas.openxmlformats.org/spreadsheetml/2006/main" count="223" uniqueCount="164">
  <si>
    <t>Round</t>
  </si>
  <si>
    <t>Note: A score of "2" means that the team to the left of the "2" won that round; A score of "1" means that the team to the left of the "1" tied in that round; A score of "0" means that the team to the left of the "0" lost that round.</t>
  </si>
  <si>
    <t>DE1</t>
  </si>
  <si>
    <t>DE2</t>
  </si>
  <si>
    <t>Scroll down to see more divisions</t>
  </si>
  <si>
    <t>DE3</t>
  </si>
  <si>
    <t>DE4</t>
  </si>
  <si>
    <t>DE5</t>
  </si>
  <si>
    <t>DE6</t>
  </si>
  <si>
    <t>DE7</t>
  </si>
  <si>
    <t>(DE8)</t>
  </si>
  <si>
    <t>Time</t>
  </si>
  <si>
    <t>1:30-2pm</t>
  </si>
  <si>
    <t>2-2:30pm</t>
  </si>
  <si>
    <t>2:30-3pm</t>
  </si>
  <si>
    <t>3-3:30pm</t>
  </si>
  <si>
    <t>3:30-4pm</t>
  </si>
  <si>
    <t>4-4:30pm</t>
  </si>
  <si>
    <t>4:30-5pm</t>
  </si>
  <si>
    <t>5-5:30pm</t>
  </si>
  <si>
    <t>Lexington</t>
  </si>
  <si>
    <t>Group A</t>
  </si>
  <si>
    <t>Cupertino</t>
  </si>
  <si>
    <t>W5</t>
  </si>
  <si>
    <t>Opponent</t>
  </si>
  <si>
    <t>Winner of W5: Lexington</t>
  </si>
  <si>
    <t>Team Name</t>
  </si>
  <si>
    <t>A1</t>
  </si>
  <si>
    <t>W1</t>
  </si>
  <si>
    <t>A2</t>
  </si>
  <si>
    <t>A3</t>
  </si>
  <si>
    <t>A4</t>
  </si>
  <si>
    <t>A5</t>
  </si>
  <si>
    <t>Winner of W1: Westminster</t>
  </si>
  <si>
    <t>A6</t>
  </si>
  <si>
    <t>Total</t>
  </si>
  <si>
    <t>Westminster</t>
  </si>
  <si>
    <t>Greenwich 3</t>
  </si>
  <si>
    <t>W9</t>
  </si>
  <si>
    <t>Winner of W9: Lexington</t>
  </si>
  <si>
    <t>PRISMS</t>
  </si>
  <si>
    <t>W2</t>
  </si>
  <si>
    <t>Winner of W2: Davidson</t>
  </si>
  <si>
    <t>Davidson</t>
  </si>
  <si>
    <t>Winner of W6: University</t>
  </si>
  <si>
    <t>W6</t>
  </si>
  <si>
    <t>University</t>
  </si>
  <si>
    <t>W11</t>
  </si>
  <si>
    <t>Winner of W11: Lexington</t>
  </si>
  <si>
    <t>BASIS Independent Silicon Valley 1</t>
  </si>
  <si>
    <t>Plainsboro</t>
  </si>
  <si>
    <t>Enloe HS A</t>
  </si>
  <si>
    <t>W7</t>
  </si>
  <si>
    <t>Winner of W7: Plainsboro</t>
  </si>
  <si>
    <t>Montgomery Blair High School</t>
  </si>
  <si>
    <t>W3</t>
  </si>
  <si>
    <t>Winner of W3: East Lyme</t>
  </si>
  <si>
    <t>Christian Brothers Academy</t>
  </si>
  <si>
    <t>East Lyme</t>
  </si>
  <si>
    <t>W10</t>
  </si>
  <si>
    <t>Winner of W10: Plainsboro</t>
  </si>
  <si>
    <t>Sharon High School A</t>
  </si>
  <si>
    <t>Montgomery Blair</t>
  </si>
  <si>
    <t>W4</t>
  </si>
  <si>
    <t>Winner of W4: Montgomery Blair</t>
  </si>
  <si>
    <t>Southern Pirates 1</t>
  </si>
  <si>
    <t>Winner of W8: Centennial</t>
  </si>
  <si>
    <t>W8</t>
  </si>
  <si>
    <t>Final (two rounds if necessary)</t>
  </si>
  <si>
    <t>Champion!</t>
  </si>
  <si>
    <t>Centennial</t>
  </si>
  <si>
    <t>Group B</t>
  </si>
  <si>
    <t xml:space="preserve"> </t>
  </si>
  <si>
    <t>Loser of W11: Plainsboro</t>
  </si>
  <si>
    <t>Loser of W9: University</t>
  </si>
  <si>
    <t>L8</t>
  </si>
  <si>
    <t>B1</t>
  </si>
  <si>
    <t>Winner of L8: University</t>
  </si>
  <si>
    <t>B2</t>
  </si>
  <si>
    <t>B3</t>
  </si>
  <si>
    <t>B4</t>
  </si>
  <si>
    <t>B5</t>
  </si>
  <si>
    <t>Loser of W1: Cupertino</t>
  </si>
  <si>
    <t>B6</t>
  </si>
  <si>
    <t>L1</t>
  </si>
  <si>
    <t>Winner of L1: Cupertino</t>
  </si>
  <si>
    <t>L6</t>
  </si>
  <si>
    <t>Tenafly 1</t>
  </si>
  <si>
    <t>Winner of L6: University</t>
  </si>
  <si>
    <t>Loser of W2: PRISMS</t>
  </si>
  <si>
    <t>L3</t>
  </si>
  <si>
    <t>Winner of L3: Enloe HS A</t>
  </si>
  <si>
    <t>Lower of W3: Enloe HS A</t>
  </si>
  <si>
    <t>Nashua High School South 3</t>
  </si>
  <si>
    <t>L2</t>
  </si>
  <si>
    <t>Winner of L2: Enloe HS A</t>
  </si>
  <si>
    <t>East Lyme High School</t>
  </si>
  <si>
    <t>Loser of W4: Southern Pirates 1</t>
  </si>
  <si>
    <t>Loser of W5: Westminster</t>
  </si>
  <si>
    <t>Niskayuna Highschool</t>
  </si>
  <si>
    <t>L10</t>
  </si>
  <si>
    <t>Winner of L10: University</t>
  </si>
  <si>
    <t>L4</t>
  </si>
  <si>
    <t>Winner of L4: Westminster</t>
  </si>
  <si>
    <t>Loser of W6: Davidson</t>
  </si>
  <si>
    <t>L7</t>
  </si>
  <si>
    <t>Winner of L7: East Lyme</t>
  </si>
  <si>
    <t>BASIS Independent Silicon Valley 3</t>
  </si>
  <si>
    <t>Loser of W7: East Lyme</t>
  </si>
  <si>
    <t>L5</t>
  </si>
  <si>
    <t>Winner of L5: East Lyme</t>
  </si>
  <si>
    <t>Loser of W8: Montgomery Blair</t>
  </si>
  <si>
    <t>L9</t>
  </si>
  <si>
    <t>Winner of L9: Centennial</t>
  </si>
  <si>
    <t>Loser of W10: Centennial</t>
  </si>
  <si>
    <t>Group C</t>
  </si>
  <si>
    <t>C1</t>
  </si>
  <si>
    <t>C2</t>
  </si>
  <si>
    <t>C3</t>
  </si>
  <si>
    <t>C4</t>
  </si>
  <si>
    <t>C5</t>
  </si>
  <si>
    <t>C6</t>
  </si>
  <si>
    <t>Westminster 2</t>
  </si>
  <si>
    <t>BASIS Independent Silicon Valley 2</t>
  </si>
  <si>
    <t>Hunter College High School</t>
  </si>
  <si>
    <t>HAUSCR</t>
  </si>
  <si>
    <t>University High School</t>
  </si>
  <si>
    <t>Group D</t>
  </si>
  <si>
    <t>D1</t>
  </si>
  <si>
    <t>D2</t>
  </si>
  <si>
    <t>D3</t>
  </si>
  <si>
    <t>D4</t>
  </si>
  <si>
    <t>D5</t>
  </si>
  <si>
    <t>D6</t>
  </si>
  <si>
    <t>Westminster 1</t>
  </si>
  <si>
    <t>Tenafly High School Team 2</t>
  </si>
  <si>
    <t>Glastonbury High School</t>
  </si>
  <si>
    <t>Falmouth High School 2</t>
  </si>
  <si>
    <t>Southern Pirates 2</t>
  </si>
  <si>
    <t>Group E</t>
  </si>
  <si>
    <t>E1</t>
  </si>
  <si>
    <t>E2</t>
  </si>
  <si>
    <t>E3</t>
  </si>
  <si>
    <t>E4</t>
  </si>
  <si>
    <t>E5</t>
  </si>
  <si>
    <t>E6</t>
  </si>
  <si>
    <t>TIEBREAK ADV</t>
  </si>
  <si>
    <t>Enloe HS B</t>
  </si>
  <si>
    <t>TIEBREAK</t>
  </si>
  <si>
    <t>Davidson Academy</t>
  </si>
  <si>
    <t>Greenwich 2</t>
  </si>
  <si>
    <t>Shen HS</t>
  </si>
  <si>
    <t>Northfield Mount Hermon</t>
  </si>
  <si>
    <t>Group F</t>
  </si>
  <si>
    <t>F1</t>
  </si>
  <si>
    <t>F2</t>
  </si>
  <si>
    <t>F3</t>
  </si>
  <si>
    <t>F4</t>
  </si>
  <si>
    <t>F5</t>
  </si>
  <si>
    <t>F6</t>
  </si>
  <si>
    <t>Nashua High School South 2</t>
  </si>
  <si>
    <t>Farmington High School 1</t>
  </si>
  <si>
    <t>Greenwich 1</t>
  </si>
  <si>
    <t>Falmouth High School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</si>
</sst>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i/>
      <color theme="1"/>
      <name val="Arial"/>
    </font>
    <font/>
  </fonts>
  <fills count="1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FAE5E3"/>
        <bgColor rgb="FFFAE5E3"/>
      </patternFill>
    </fill>
    <fill>
      <patternFill patternType="solid">
        <fgColor rgb="FFD9EAD3"/>
        <bgColor rgb="FFD9EAD3"/>
      </patternFill>
    </fill>
    <fill>
      <patternFill patternType="solid">
        <fgColor rgb="FF8FD2B1"/>
        <bgColor rgb="FF8FD2B1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1C18E"/>
        <bgColor rgb="FFF1C18E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18">
    <border/>
    <border>
      <bottom style="thin">
        <color rgb="FFEA9999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B6D7A8"/>
      </bottom>
    </border>
    <border>
      <bottom style="thin">
        <color rgb="FF6D9EEB"/>
      </bottom>
    </border>
    <border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</border>
    <border>
      <bottom style="thin">
        <color rgb="FFF6B26B"/>
      </bottom>
    </border>
    <border>
      <left style="thin">
        <color rgb="FFF6B26B"/>
      </left>
      <right style="thin">
        <color rgb="FFF6B26B"/>
      </right>
      <top style="thin">
        <color rgb="FFF6B26B"/>
      </top>
      <bottom style="thin">
        <color rgb="FFF6B26B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top style="thin">
        <color rgb="FFEAD1DC"/>
      </top>
      <bottom style="thin">
        <color rgb="FFEAD1DC"/>
      </bottom>
    </border>
    <border>
      <top style="thin">
        <color rgb="FFEAD1DC"/>
      </top>
      <bottom style="thin">
        <color rgb="FFEAD1DC"/>
      </bottom>
    </border>
    <border>
      <right style="thin">
        <color rgb="FFEAD1DC"/>
      </right>
      <top style="thin">
        <color rgb="FFEAD1DC"/>
      </top>
      <bottom style="thin">
        <color rgb="FFEAD1DC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3" fillId="0" fontId="3" numFmtId="0" xfId="0" applyAlignment="1" applyBorder="1" applyFont="1">
      <alignment vertical="bottom"/>
    </xf>
    <xf borderId="1" fillId="0" fontId="6" numFmtId="0" xfId="0" applyBorder="1" applyFont="1"/>
    <xf borderId="2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4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vertical="bottom"/>
    </xf>
    <xf borderId="7" fillId="0" fontId="2" numFmtId="0" xfId="0" applyAlignment="1" applyBorder="1" applyFont="1">
      <alignment readingOrder="0" vertical="bottom"/>
    </xf>
    <xf borderId="8" fillId="0" fontId="3" numFmtId="0" xfId="0" applyAlignment="1" applyBorder="1" applyFont="1">
      <alignment vertical="bottom"/>
    </xf>
    <xf borderId="5" fillId="0" fontId="4" numFmtId="0" xfId="0" applyBorder="1" applyFont="1"/>
    <xf borderId="1" fillId="4" fontId="3" numFmtId="0" xfId="0" applyAlignment="1" applyBorder="1" applyFill="1" applyFont="1">
      <alignment horizontal="right" vertical="bottom"/>
    </xf>
    <xf borderId="7" fillId="0" fontId="2" numFmtId="0" xfId="0" applyAlignment="1" applyBorder="1" applyFont="1">
      <alignment readingOrder="0" vertical="bottom"/>
    </xf>
    <xf borderId="2" fillId="0" fontId="4" numFmtId="0" xfId="0" applyBorder="1" applyFont="1"/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9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vertical="bottom"/>
    </xf>
    <xf borderId="2" fillId="0" fontId="1" numFmtId="0" xfId="0" applyAlignment="1" applyBorder="1" applyFont="1">
      <alignment readingOrder="0"/>
    </xf>
    <xf borderId="9" fillId="5" fontId="2" numFmtId="0" xfId="0" applyAlignment="1" applyBorder="1" applyFill="1" applyFont="1">
      <alignment horizontal="center" vertical="bottom"/>
    </xf>
    <xf borderId="9" fillId="0" fontId="6" numFmtId="0" xfId="0" applyBorder="1" applyFont="1"/>
    <xf borderId="2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readingOrder="0" vertical="bottom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vertical="bottom"/>
    </xf>
    <xf borderId="0" fillId="0" fontId="4" numFmtId="0" xfId="0" applyAlignment="1" applyFont="1">
      <alignment horizontal="right" readingOrder="0"/>
    </xf>
    <xf borderId="9" fillId="3" fontId="3" numFmtId="0" xfId="0" applyAlignment="1" applyBorder="1" applyFill="1" applyFont="1">
      <alignment vertical="bottom"/>
    </xf>
    <xf borderId="7" fillId="0" fontId="1" numFmtId="0" xfId="0" applyAlignment="1" applyBorder="1" applyFont="1">
      <alignment readingOrder="0"/>
    </xf>
    <xf borderId="5" fillId="0" fontId="2" numFmtId="0" xfId="0" applyAlignment="1" applyBorder="1" applyFont="1">
      <alignment vertical="bottom"/>
    </xf>
    <xf borderId="9" fillId="6" fontId="3" numFmtId="0" xfId="0" applyAlignment="1" applyBorder="1" applyFill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1" numFmtId="0" xfId="0" applyBorder="1" applyFont="1"/>
    <xf borderId="0" fillId="0" fontId="3" numFmtId="0" xfId="0" applyAlignment="1" applyFont="1">
      <alignment horizontal="center" readingOrder="0" vertical="bottom"/>
    </xf>
    <xf borderId="10" fillId="0" fontId="3" numFmtId="0" xfId="0" applyAlignment="1" applyBorder="1" applyFont="1">
      <alignment vertical="bottom"/>
    </xf>
    <xf borderId="10" fillId="7" fontId="2" numFmtId="0" xfId="0" applyAlignment="1" applyBorder="1" applyFill="1" applyFont="1">
      <alignment horizontal="center" vertical="bottom"/>
    </xf>
    <xf borderId="10" fillId="0" fontId="6" numFmtId="0" xfId="0" applyBorder="1" applyFont="1"/>
    <xf borderId="10" fillId="0" fontId="2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readingOrder="0" vertical="bottom"/>
    </xf>
    <xf borderId="10" fillId="3" fontId="3" numFmtId="0" xfId="0" applyAlignment="1" applyBorder="1" applyFill="1" applyFont="1">
      <alignment vertical="bottom"/>
    </xf>
    <xf borderId="10" fillId="0" fontId="3" numFmtId="0" xfId="0" applyAlignment="1" applyBorder="1" applyFont="1">
      <alignment horizontal="center" readingOrder="0" vertical="bottom"/>
    </xf>
    <xf borderId="10" fillId="8" fontId="3" numFmtId="0" xfId="0" applyAlignment="1" applyBorder="1" applyFill="1" applyFont="1">
      <alignment horizontal="right" vertical="bottom"/>
    </xf>
    <xf borderId="12" fillId="0" fontId="3" numFmtId="0" xfId="0" applyAlignment="1" applyBorder="1" applyFont="1">
      <alignment vertical="bottom"/>
    </xf>
    <xf borderId="12" fillId="9" fontId="2" numFmtId="0" xfId="0" applyAlignment="1" applyBorder="1" applyFill="1" applyFont="1">
      <alignment horizontal="center" vertical="bottom"/>
    </xf>
    <xf borderId="12" fillId="0" fontId="6" numFmtId="0" xfId="0" applyBorder="1" applyFont="1"/>
    <xf borderId="12" fillId="0" fontId="2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readingOrder="0" vertical="bottom"/>
    </xf>
    <xf borderId="13" fillId="0" fontId="3" numFmtId="0" xfId="0" applyAlignment="1" applyBorder="1" applyFont="1">
      <alignment readingOrder="0" vertical="bottom"/>
    </xf>
    <xf borderId="12" fillId="3" fontId="3" numFmtId="0" xfId="0" applyAlignment="1" applyBorder="1" applyFill="1" applyFont="1">
      <alignment vertical="bottom"/>
    </xf>
    <xf borderId="12" fillId="10" fontId="3" numFmtId="0" xfId="0" applyAlignment="1" applyBorder="1" applyFill="1" applyFont="1">
      <alignment horizontal="right" vertical="bottom"/>
    </xf>
    <xf borderId="0" fillId="0" fontId="4" numFmtId="0" xfId="0" applyAlignment="1" applyFont="1">
      <alignment horizontal="center" readingOrder="0"/>
    </xf>
    <xf borderId="0" fillId="11" fontId="2" numFmtId="0" xfId="0" applyAlignment="1" applyFill="1" applyFont="1">
      <alignment horizontal="center" readingOrder="0" vertical="bottom"/>
    </xf>
    <xf borderId="14" fillId="0" fontId="3" numFmtId="0" xfId="0" applyAlignment="1" applyBorder="1" applyFont="1">
      <alignment vertical="bottom"/>
    </xf>
    <xf borderId="15" fillId="0" fontId="2" numFmtId="0" xfId="0" applyAlignment="1" applyBorder="1" applyFont="1">
      <alignment horizontal="center" vertical="bottom"/>
    </xf>
    <xf borderId="16" fillId="0" fontId="6" numFmtId="0" xfId="0" applyBorder="1" applyFont="1"/>
    <xf borderId="17" fillId="0" fontId="6" numFmtId="0" xfId="0" applyBorder="1" applyFont="1"/>
    <xf borderId="14" fillId="0" fontId="2" numFmtId="0" xfId="0" applyAlignment="1" applyBorder="1" applyFont="1">
      <alignment horizontal="center" vertical="bottom"/>
    </xf>
    <xf borderId="14" fillId="0" fontId="4" numFmtId="0" xfId="0" applyBorder="1" applyFont="1"/>
    <xf borderId="14" fillId="0" fontId="3" numFmtId="0" xfId="0" applyAlignment="1" applyBorder="1" applyFont="1">
      <alignment horizontal="center" readingOrder="0" vertical="bottom"/>
    </xf>
    <xf borderId="14" fillId="0" fontId="3" numFmtId="0" xfId="0" applyAlignment="1" applyBorder="1" applyFont="1">
      <alignment horizontal="center" readingOrder="0" vertical="bottom"/>
    </xf>
    <xf borderId="14" fillId="0" fontId="3" numFmtId="0" xfId="0" applyAlignment="1" applyBorder="1" applyFont="1">
      <alignment readingOrder="0" vertical="bottom"/>
    </xf>
    <xf borderId="14" fillId="0" fontId="3" numFmtId="0" xfId="0" applyAlignment="1" applyBorder="1" applyFont="1">
      <alignment readingOrder="0" vertical="bottom"/>
    </xf>
    <xf borderId="14" fillId="3" fontId="3" numFmtId="0" xfId="0" applyAlignment="1" applyBorder="1" applyFill="1" applyFont="1">
      <alignment horizontal="center" vertical="bottom"/>
    </xf>
    <xf borderId="14" fillId="12" fontId="3" numFmtId="0" xfId="0" applyAlignment="1" applyBorder="1" applyFill="1" applyFont="1">
      <alignment horizontal="right" vertical="bottom"/>
    </xf>
    <xf borderId="14" fillId="0" fontId="4" numFmtId="0" xfId="0" applyAlignment="1" applyBorder="1" applyFont="1">
      <alignment readingOrder="0"/>
    </xf>
    <xf borderId="14" fillId="0" fontId="4" numFmtId="0" xfId="0" applyAlignment="1" applyBorder="1" applyFont="1">
      <alignment horizontal="center" readingOrder="0"/>
    </xf>
    <xf borderId="0" fillId="13" fontId="2" numFmtId="0" xfId="0" applyAlignment="1" applyFill="1" applyFont="1">
      <alignment horizontal="center" readingOrder="0" vertical="bottom"/>
    </xf>
    <xf borderId="14" fillId="13" fontId="3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8.63"/>
  </cols>
  <sheetData>
    <row r="1">
      <c r="A1" s="2" t="s">
        <v>1</v>
      </c>
    </row>
    <row r="2">
      <c r="A2" s="5" t="s">
        <v>4</v>
      </c>
    </row>
    <row r="3">
      <c r="A3" s="6"/>
      <c r="B3" s="5"/>
      <c r="C3" s="5"/>
      <c r="D3" s="5"/>
      <c r="E3" s="5"/>
      <c r="F3" s="5"/>
      <c r="G3" s="5"/>
      <c r="H3" s="5"/>
      <c r="I3" s="5"/>
    </row>
    <row r="4">
      <c r="A4" s="8"/>
      <c r="B4" s="8"/>
      <c r="C4" s="8"/>
      <c r="D4" s="8"/>
      <c r="E4" s="8"/>
      <c r="F4" s="8"/>
      <c r="G4" s="8"/>
      <c r="H4" s="8"/>
      <c r="I4" s="8"/>
    </row>
    <row r="5">
      <c r="A5" s="11" t="s">
        <v>21</v>
      </c>
      <c r="B5" s="13"/>
      <c r="C5" s="13"/>
      <c r="D5" s="13"/>
      <c r="E5" s="13"/>
      <c r="F5" s="13"/>
      <c r="G5" s="13"/>
      <c r="H5" s="13"/>
      <c r="I5" s="13"/>
    </row>
    <row r="6">
      <c r="A6" s="8"/>
      <c r="B6" s="8"/>
      <c r="C6" s="16" t="s">
        <v>24</v>
      </c>
      <c r="D6" s="13"/>
      <c r="E6" s="13"/>
      <c r="F6" s="13"/>
      <c r="G6" s="13"/>
      <c r="H6" s="13"/>
      <c r="I6" s="13"/>
    </row>
    <row r="7">
      <c r="A7" s="8"/>
      <c r="B7" s="6" t="s">
        <v>26</v>
      </c>
      <c r="C7" s="18" t="s">
        <v>27</v>
      </c>
      <c r="D7" s="18" t="s">
        <v>29</v>
      </c>
      <c r="E7" s="18" t="s">
        <v>30</v>
      </c>
      <c r="F7" s="18" t="s">
        <v>31</v>
      </c>
      <c r="G7" s="18" t="s">
        <v>32</v>
      </c>
      <c r="H7" s="21" t="s">
        <v>34</v>
      </c>
      <c r="I7" s="16" t="s">
        <v>35</v>
      </c>
    </row>
    <row r="8">
      <c r="A8" s="8" t="s">
        <v>27</v>
      </c>
      <c r="B8" s="23" t="s">
        <v>37</v>
      </c>
      <c r="C8" s="24"/>
      <c r="D8" s="21">
        <v>0.0</v>
      </c>
      <c r="E8" s="21">
        <v>0.0</v>
      </c>
      <c r="F8" s="21">
        <v>0.0</v>
      </c>
      <c r="G8" s="21">
        <v>0.0</v>
      </c>
      <c r="H8" s="21">
        <v>0.0</v>
      </c>
      <c r="I8" s="28">
        <f t="shared" ref="I8:I12" si="1">SUM(C8:H8)</f>
        <v>0</v>
      </c>
    </row>
    <row r="9">
      <c r="A9" s="8" t="s">
        <v>29</v>
      </c>
      <c r="B9" s="23" t="s">
        <v>49</v>
      </c>
      <c r="C9" s="21">
        <v>2.0</v>
      </c>
      <c r="D9" s="24"/>
      <c r="E9" s="21">
        <v>0.0</v>
      </c>
      <c r="F9" s="21">
        <v>0.0</v>
      </c>
      <c r="G9" s="21">
        <v>2.0</v>
      </c>
      <c r="H9" s="21">
        <v>2.0</v>
      </c>
      <c r="I9" s="28">
        <f t="shared" si="1"/>
        <v>6</v>
      </c>
    </row>
    <row r="10">
      <c r="A10" s="8" t="s">
        <v>30</v>
      </c>
      <c r="B10" s="23" t="s">
        <v>51</v>
      </c>
      <c r="C10" s="21">
        <v>2.0</v>
      </c>
      <c r="D10" s="21">
        <v>2.0</v>
      </c>
      <c r="E10" s="24"/>
      <c r="F10" s="21">
        <v>2.0</v>
      </c>
      <c r="G10" s="21">
        <v>2.0</v>
      </c>
      <c r="H10" s="21">
        <v>2.0</v>
      </c>
      <c r="I10" s="28">
        <f t="shared" si="1"/>
        <v>10</v>
      </c>
      <c r="J10" s="4">
        <v>10.0</v>
      </c>
    </row>
    <row r="11">
      <c r="A11" s="8" t="s">
        <v>31</v>
      </c>
      <c r="B11" s="23" t="s">
        <v>54</v>
      </c>
      <c r="C11" s="21">
        <v>2.0</v>
      </c>
      <c r="D11" s="21">
        <v>2.0</v>
      </c>
      <c r="E11" s="21">
        <v>0.0</v>
      </c>
      <c r="F11" s="24"/>
      <c r="G11" s="21">
        <v>2.0</v>
      </c>
      <c r="H11" s="21">
        <v>2.0</v>
      </c>
      <c r="I11" s="28">
        <f t="shared" si="1"/>
        <v>8</v>
      </c>
      <c r="J11" s="4">
        <v>8.0</v>
      </c>
    </row>
    <row r="12">
      <c r="A12" s="8" t="s">
        <v>32</v>
      </c>
      <c r="B12" s="23" t="s">
        <v>57</v>
      </c>
      <c r="C12" s="21">
        <v>2.0</v>
      </c>
      <c r="D12" s="21">
        <v>0.0</v>
      </c>
      <c r="E12" s="21">
        <v>0.0</v>
      </c>
      <c r="F12" s="21">
        <v>0.0</v>
      </c>
      <c r="G12" s="24"/>
      <c r="H12" s="21">
        <v>2.0</v>
      </c>
      <c r="I12" s="28">
        <f t="shared" si="1"/>
        <v>4</v>
      </c>
    </row>
    <row r="13">
      <c r="A13" s="33" t="s">
        <v>34</v>
      </c>
      <c r="B13" s="33" t="s">
        <v>61</v>
      </c>
      <c r="C13" s="34">
        <v>2.0</v>
      </c>
      <c r="D13" s="34">
        <v>0.0</v>
      </c>
      <c r="E13" s="34">
        <v>0.0</v>
      </c>
      <c r="F13" s="34">
        <v>0.0</v>
      </c>
      <c r="G13" s="34">
        <v>0.0</v>
      </c>
      <c r="H13" s="24"/>
      <c r="I13" s="28">
        <f>SUM(C13:G13)</f>
        <v>2</v>
      </c>
    </row>
    <row r="14">
      <c r="A14" s="35"/>
      <c r="B14" s="35"/>
      <c r="C14" s="35"/>
      <c r="D14" s="35"/>
      <c r="E14" s="35"/>
      <c r="F14" s="35"/>
      <c r="G14" s="35"/>
      <c r="H14" s="35"/>
      <c r="I14" s="35"/>
    </row>
    <row r="15">
      <c r="A15" s="37" t="s">
        <v>71</v>
      </c>
      <c r="B15" s="38"/>
      <c r="C15" s="38"/>
      <c r="D15" s="38"/>
      <c r="E15" s="38"/>
      <c r="F15" s="38"/>
      <c r="G15" s="38"/>
      <c r="H15" s="38"/>
      <c r="I15" s="38"/>
    </row>
    <row r="16">
      <c r="A16" s="35"/>
      <c r="B16" s="35"/>
      <c r="C16" s="40" t="s">
        <v>24</v>
      </c>
      <c r="D16" s="38"/>
      <c r="E16" s="38"/>
      <c r="F16" s="38"/>
      <c r="G16" s="38"/>
      <c r="H16" s="38"/>
      <c r="I16" s="38"/>
    </row>
    <row r="17">
      <c r="A17" s="35"/>
      <c r="B17" s="35" t="s">
        <v>26</v>
      </c>
      <c r="C17" s="42" t="s">
        <v>76</v>
      </c>
      <c r="D17" s="42" t="s">
        <v>78</v>
      </c>
      <c r="E17" s="42" t="s">
        <v>79</v>
      </c>
      <c r="F17" s="42" t="s">
        <v>80</v>
      </c>
      <c r="G17" s="42" t="s">
        <v>81</v>
      </c>
      <c r="H17" s="43" t="s">
        <v>83</v>
      </c>
      <c r="I17" s="40" t="s">
        <v>35</v>
      </c>
    </row>
    <row r="18">
      <c r="A18" s="44" t="s">
        <v>76</v>
      </c>
      <c r="B18" s="3" t="s">
        <v>87</v>
      </c>
      <c r="C18" s="46"/>
      <c r="D18" s="34">
        <v>2.0</v>
      </c>
      <c r="E18" s="34">
        <v>0.0</v>
      </c>
      <c r="F18" s="34">
        <v>2.0</v>
      </c>
      <c r="G18" s="34">
        <v>0.0</v>
      </c>
      <c r="H18" s="34">
        <v>2.0</v>
      </c>
      <c r="I18" s="49">
        <f t="shared" ref="I18:I22" si="2">sum(C18:H18)</f>
        <v>6</v>
      </c>
    </row>
    <row r="19">
      <c r="A19" s="44" t="s">
        <v>78</v>
      </c>
      <c r="B19" s="3" t="s">
        <v>93</v>
      </c>
      <c r="C19" s="34">
        <v>0.0</v>
      </c>
      <c r="D19" s="46"/>
      <c r="E19" s="34">
        <v>0.0</v>
      </c>
      <c r="F19" s="34">
        <v>0.0</v>
      </c>
      <c r="G19" s="34">
        <v>0.0</v>
      </c>
      <c r="H19" s="34">
        <v>2.0</v>
      </c>
      <c r="I19" s="49">
        <f t="shared" si="2"/>
        <v>2</v>
      </c>
    </row>
    <row r="20">
      <c r="A20" s="44" t="s">
        <v>79</v>
      </c>
      <c r="B20" s="3" t="s">
        <v>96</v>
      </c>
      <c r="C20" s="34">
        <v>2.0</v>
      </c>
      <c r="D20" s="34">
        <v>2.0</v>
      </c>
      <c r="E20" s="46"/>
      <c r="F20" s="34">
        <v>2.0</v>
      </c>
      <c r="G20" s="34">
        <v>0.0</v>
      </c>
      <c r="H20" s="34">
        <v>2.0</v>
      </c>
      <c r="I20" s="49">
        <f t="shared" si="2"/>
        <v>8</v>
      </c>
      <c r="J20" s="4">
        <v>8.0</v>
      </c>
    </row>
    <row r="21">
      <c r="A21" s="44" t="s">
        <v>80</v>
      </c>
      <c r="B21" s="3" t="s">
        <v>99</v>
      </c>
      <c r="C21" s="34">
        <v>0.0</v>
      </c>
      <c r="D21" s="34">
        <v>2.0</v>
      </c>
      <c r="E21" s="34">
        <v>0.0</v>
      </c>
      <c r="F21" s="46"/>
      <c r="G21" s="34">
        <v>0.0</v>
      </c>
      <c r="H21" s="34">
        <v>2.0</v>
      </c>
      <c r="I21" s="49">
        <f t="shared" si="2"/>
        <v>4</v>
      </c>
    </row>
    <row r="22">
      <c r="A22" s="44" t="s">
        <v>81</v>
      </c>
      <c r="B22" s="3" t="s">
        <v>20</v>
      </c>
      <c r="C22" s="34">
        <v>2.0</v>
      </c>
      <c r="D22" s="34">
        <v>2.0</v>
      </c>
      <c r="E22" s="34">
        <v>2.0</v>
      </c>
      <c r="F22" s="34">
        <v>2.0</v>
      </c>
      <c r="G22" s="46"/>
      <c r="H22" s="34">
        <v>2.0</v>
      </c>
      <c r="I22" s="49">
        <f t="shared" si="2"/>
        <v>10</v>
      </c>
      <c r="J22" s="4">
        <v>10.0</v>
      </c>
    </row>
    <row r="23">
      <c r="A23" s="51" t="s">
        <v>83</v>
      </c>
      <c r="B23" s="51" t="s">
        <v>107</v>
      </c>
      <c r="C23" s="53">
        <v>0.0</v>
      </c>
      <c r="D23" s="53">
        <v>0.0</v>
      </c>
      <c r="E23" s="53">
        <v>0.0</v>
      </c>
      <c r="F23" s="53">
        <v>0.0</v>
      </c>
      <c r="G23" s="53">
        <v>0.0</v>
      </c>
      <c r="H23" s="46"/>
      <c r="I23" s="49">
        <f>sum(C23:G23)</f>
        <v>0</v>
      </c>
    </row>
    <row r="24">
      <c r="A24" s="54"/>
      <c r="B24" s="54"/>
      <c r="C24" s="54"/>
      <c r="D24" s="54"/>
      <c r="E24" s="54"/>
      <c r="F24" s="54"/>
      <c r="G24" s="54"/>
      <c r="H24" s="54"/>
      <c r="I24" s="54"/>
    </row>
    <row r="25">
      <c r="A25" s="55" t="s">
        <v>115</v>
      </c>
      <c r="B25" s="56"/>
      <c r="C25" s="56"/>
      <c r="D25" s="56"/>
      <c r="E25" s="56"/>
      <c r="F25" s="56"/>
      <c r="G25" s="56"/>
      <c r="H25" s="56"/>
      <c r="I25" s="56"/>
    </row>
    <row r="26">
      <c r="A26" s="54"/>
      <c r="B26" s="54"/>
      <c r="C26" s="57" t="s">
        <v>24</v>
      </c>
      <c r="D26" s="56"/>
      <c r="E26" s="56"/>
      <c r="F26" s="56"/>
      <c r="G26" s="56"/>
      <c r="H26" s="56"/>
      <c r="I26" s="56"/>
    </row>
    <row r="27">
      <c r="A27" s="54"/>
      <c r="B27" s="6" t="s">
        <v>26</v>
      </c>
      <c r="C27" s="58" t="s">
        <v>116</v>
      </c>
      <c r="D27" s="58" t="s">
        <v>117</v>
      </c>
      <c r="E27" s="58" t="s">
        <v>118</v>
      </c>
      <c r="F27" s="58" t="s">
        <v>119</v>
      </c>
      <c r="G27" s="58" t="s">
        <v>120</v>
      </c>
      <c r="H27" s="59" t="s">
        <v>121</v>
      </c>
      <c r="I27" s="57" t="s">
        <v>35</v>
      </c>
    </row>
    <row r="28">
      <c r="A28" s="60" t="s">
        <v>116</v>
      </c>
      <c r="B28" s="61" t="s">
        <v>122</v>
      </c>
      <c r="C28" s="62"/>
      <c r="D28" s="63">
        <v>0.0</v>
      </c>
      <c r="E28" s="63">
        <v>0.0</v>
      </c>
      <c r="F28" s="63">
        <v>2.0</v>
      </c>
      <c r="G28" s="63">
        <v>0.0</v>
      </c>
      <c r="H28" s="63">
        <v>0.0</v>
      </c>
      <c r="I28" s="64">
        <f t="shared" ref="I28:I32" si="3">sum(C28:H28)</f>
        <v>2</v>
      </c>
    </row>
    <row r="29">
      <c r="A29" s="60" t="s">
        <v>117</v>
      </c>
      <c r="B29" s="61" t="s">
        <v>123</v>
      </c>
      <c r="C29" s="63">
        <v>2.0</v>
      </c>
      <c r="D29" s="62"/>
      <c r="E29" s="63">
        <v>0.0</v>
      </c>
      <c r="F29" s="63">
        <v>2.0</v>
      </c>
      <c r="G29" s="63">
        <v>0.0</v>
      </c>
      <c r="H29" s="63">
        <v>0.0</v>
      </c>
      <c r="I29" s="64">
        <f t="shared" si="3"/>
        <v>4</v>
      </c>
    </row>
    <row r="30">
      <c r="A30" s="60" t="s">
        <v>118</v>
      </c>
      <c r="B30" s="61" t="s">
        <v>124</v>
      </c>
      <c r="C30" s="63">
        <v>2.0</v>
      </c>
      <c r="D30" s="63">
        <v>2.0</v>
      </c>
      <c r="E30" s="62"/>
      <c r="F30" s="63">
        <v>2.0</v>
      </c>
      <c r="G30" s="63">
        <v>0.0</v>
      </c>
      <c r="H30" s="63">
        <v>0.0</v>
      </c>
      <c r="I30" s="64">
        <f t="shared" si="3"/>
        <v>6</v>
      </c>
    </row>
    <row r="31">
      <c r="A31" s="60" t="s">
        <v>119</v>
      </c>
      <c r="B31" s="61" t="s">
        <v>125</v>
      </c>
      <c r="C31" s="63">
        <v>0.0</v>
      </c>
      <c r="D31" s="63">
        <v>0.0</v>
      </c>
      <c r="E31" s="63">
        <v>0.0</v>
      </c>
      <c r="F31" s="62"/>
      <c r="G31" s="63">
        <v>0.0</v>
      </c>
      <c r="H31" s="63">
        <v>0.0</v>
      </c>
      <c r="I31" s="64">
        <f t="shared" si="3"/>
        <v>0</v>
      </c>
    </row>
    <row r="32">
      <c r="A32" s="60" t="s">
        <v>120</v>
      </c>
      <c r="B32" s="61" t="s">
        <v>126</v>
      </c>
      <c r="C32" s="63">
        <v>2.0</v>
      </c>
      <c r="D32" s="63">
        <v>2.0</v>
      </c>
      <c r="E32" s="63">
        <v>2.0</v>
      </c>
      <c r="F32" s="63">
        <v>2.0</v>
      </c>
      <c r="G32" s="62"/>
      <c r="H32" s="63">
        <v>2.0</v>
      </c>
      <c r="I32" s="64">
        <f t="shared" si="3"/>
        <v>10</v>
      </c>
      <c r="J32" s="4">
        <v>10.0</v>
      </c>
    </row>
    <row r="33">
      <c r="A33" s="51" t="s">
        <v>121</v>
      </c>
      <c r="B33" s="51" t="s">
        <v>40</v>
      </c>
      <c r="C33" s="53">
        <v>2.0</v>
      </c>
      <c r="D33" s="53">
        <v>2.0</v>
      </c>
      <c r="E33" s="53">
        <v>2.0</v>
      </c>
      <c r="F33" s="53">
        <v>2.0</v>
      </c>
      <c r="G33" s="53">
        <v>0.0</v>
      </c>
      <c r="H33" s="62"/>
      <c r="I33" s="64">
        <f>sum(C33:G33)</f>
        <v>8</v>
      </c>
      <c r="J33" s="4">
        <v>8.0</v>
      </c>
    </row>
    <row r="34">
      <c r="A34" s="65"/>
      <c r="B34" s="65"/>
      <c r="C34" s="65"/>
      <c r="D34" s="65"/>
      <c r="E34" s="65"/>
      <c r="F34" s="65"/>
      <c r="G34" s="65"/>
      <c r="H34" s="65"/>
      <c r="I34" s="65"/>
    </row>
    <row r="35">
      <c r="A35" s="66" t="s">
        <v>127</v>
      </c>
      <c r="B35" s="67"/>
      <c r="C35" s="67"/>
      <c r="D35" s="67"/>
      <c r="E35" s="67"/>
      <c r="F35" s="67"/>
      <c r="G35" s="67"/>
      <c r="H35" s="67"/>
      <c r="I35" s="67"/>
    </row>
    <row r="36">
      <c r="A36" s="65"/>
      <c r="B36" s="65"/>
      <c r="C36" s="68" t="s">
        <v>24</v>
      </c>
      <c r="D36" s="67"/>
      <c r="E36" s="67"/>
      <c r="F36" s="67"/>
      <c r="G36" s="67"/>
      <c r="H36" s="68"/>
      <c r="I36" s="68"/>
    </row>
    <row r="37">
      <c r="A37" s="65"/>
      <c r="B37" s="65" t="s">
        <v>26</v>
      </c>
      <c r="C37" s="69" t="s">
        <v>128</v>
      </c>
      <c r="D37" s="69" t="s">
        <v>129</v>
      </c>
      <c r="E37" s="69" t="s">
        <v>130</v>
      </c>
      <c r="F37" s="69" t="s">
        <v>131</v>
      </c>
      <c r="G37" s="69" t="s">
        <v>132</v>
      </c>
      <c r="H37" s="70" t="s">
        <v>133</v>
      </c>
      <c r="I37" s="68" t="s">
        <v>35</v>
      </c>
    </row>
    <row r="38">
      <c r="A38" s="65" t="s">
        <v>128</v>
      </c>
      <c r="B38" s="71" t="s">
        <v>134</v>
      </c>
      <c r="C38" s="72"/>
      <c r="D38" s="70">
        <v>2.0</v>
      </c>
      <c r="E38" s="70">
        <v>0.0</v>
      </c>
      <c r="F38" s="70">
        <v>2.0</v>
      </c>
      <c r="G38" s="70">
        <v>2.0</v>
      </c>
      <c r="H38" s="70">
        <v>2.0</v>
      </c>
      <c r="I38" s="73">
        <f t="shared" ref="I38:I42" si="4">sum(C38:H38)</f>
        <v>8</v>
      </c>
      <c r="J38" s="4">
        <v>8.0</v>
      </c>
    </row>
    <row r="39">
      <c r="A39" s="65" t="s">
        <v>129</v>
      </c>
      <c r="B39" s="71" t="s">
        <v>135</v>
      </c>
      <c r="C39" s="70">
        <v>0.0</v>
      </c>
      <c r="D39" s="72"/>
      <c r="E39" s="70">
        <v>0.0</v>
      </c>
      <c r="F39" s="70">
        <v>0.0</v>
      </c>
      <c r="G39" s="70">
        <v>2.0</v>
      </c>
      <c r="H39" s="70">
        <v>0.0</v>
      </c>
      <c r="I39" s="73">
        <f t="shared" si="4"/>
        <v>2</v>
      </c>
    </row>
    <row r="40">
      <c r="A40" s="65" t="s">
        <v>130</v>
      </c>
      <c r="B40" s="71" t="s">
        <v>50</v>
      </c>
      <c r="C40" s="70">
        <v>2.0</v>
      </c>
      <c r="D40" s="70">
        <v>2.0</v>
      </c>
      <c r="E40" s="72"/>
      <c r="F40" s="70">
        <v>2.0</v>
      </c>
      <c r="G40" s="70">
        <v>2.0</v>
      </c>
      <c r="H40" s="70">
        <v>2.0</v>
      </c>
      <c r="I40" s="73">
        <f t="shared" si="4"/>
        <v>10</v>
      </c>
      <c r="J40" s="4">
        <v>10.0</v>
      </c>
    </row>
    <row r="41">
      <c r="A41" s="65" t="s">
        <v>131</v>
      </c>
      <c r="B41" s="71" t="s">
        <v>136</v>
      </c>
      <c r="C41" s="70">
        <v>0.0</v>
      </c>
      <c r="D41" s="70">
        <v>2.0</v>
      </c>
      <c r="E41" s="70">
        <v>0.0</v>
      </c>
      <c r="F41" s="72"/>
      <c r="G41" s="70">
        <v>2.0</v>
      </c>
      <c r="H41" s="70">
        <v>2.0</v>
      </c>
      <c r="I41" s="73">
        <f t="shared" si="4"/>
        <v>6</v>
      </c>
    </row>
    <row r="42">
      <c r="A42" s="65" t="s">
        <v>132</v>
      </c>
      <c r="B42" s="71" t="s">
        <v>137</v>
      </c>
      <c r="C42" s="70">
        <v>0.0</v>
      </c>
      <c r="D42" s="70">
        <v>0.0</v>
      </c>
      <c r="E42" s="70">
        <v>0.0</v>
      </c>
      <c r="F42" s="70">
        <v>0.0</v>
      </c>
      <c r="G42" s="72"/>
      <c r="H42" s="70">
        <v>0.0</v>
      </c>
      <c r="I42" s="73">
        <f t="shared" si="4"/>
        <v>0</v>
      </c>
    </row>
    <row r="43">
      <c r="A43" s="4" t="s">
        <v>133</v>
      </c>
      <c r="B43" s="4" t="s">
        <v>138</v>
      </c>
      <c r="C43" s="74">
        <v>0.0</v>
      </c>
      <c r="D43" s="74">
        <v>2.0</v>
      </c>
      <c r="E43" s="74">
        <v>0.0</v>
      </c>
      <c r="F43" s="74">
        <v>0.0</v>
      </c>
      <c r="G43" s="74">
        <v>2.0</v>
      </c>
      <c r="H43" s="72"/>
      <c r="I43" s="73">
        <f>sum(C43:G43)</f>
        <v>4</v>
      </c>
    </row>
    <row r="45">
      <c r="A45" s="75" t="s">
        <v>139</v>
      </c>
    </row>
    <row r="46">
      <c r="A46" s="76"/>
      <c r="B46" s="76"/>
      <c r="C46" s="77" t="s">
        <v>24</v>
      </c>
      <c r="D46" s="78"/>
      <c r="E46" s="78"/>
      <c r="F46" s="78"/>
      <c r="G46" s="79"/>
      <c r="H46" s="80"/>
      <c r="I46" s="80"/>
      <c r="J46" s="81"/>
    </row>
    <row r="47">
      <c r="A47" s="76"/>
      <c r="B47" s="76" t="s">
        <v>26</v>
      </c>
      <c r="C47" s="82" t="s">
        <v>140</v>
      </c>
      <c r="D47" s="82" t="s">
        <v>141</v>
      </c>
      <c r="E47" s="82" t="s">
        <v>142</v>
      </c>
      <c r="F47" s="82" t="s">
        <v>143</v>
      </c>
      <c r="G47" s="82" t="s">
        <v>144</v>
      </c>
      <c r="H47" s="83" t="s">
        <v>145</v>
      </c>
      <c r="I47" s="80" t="s">
        <v>35</v>
      </c>
      <c r="J47" s="80"/>
    </row>
    <row r="48">
      <c r="A48" s="84" t="s">
        <v>140</v>
      </c>
      <c r="B48" s="85" t="s">
        <v>65</v>
      </c>
      <c r="C48" s="86"/>
      <c r="D48" s="82">
        <v>0.0</v>
      </c>
      <c r="E48" s="82">
        <v>0.0</v>
      </c>
      <c r="F48" s="82">
        <v>2.0</v>
      </c>
      <c r="G48" s="82">
        <v>2.0</v>
      </c>
      <c r="H48" s="82">
        <v>2.0</v>
      </c>
      <c r="I48" s="87">
        <f t="shared" ref="I48:I53" si="5">sum(B48:H48)</f>
        <v>6</v>
      </c>
      <c r="J48" s="4" t="s">
        <v>146</v>
      </c>
    </row>
    <row r="49">
      <c r="A49" s="84" t="s">
        <v>141</v>
      </c>
      <c r="B49" s="85" t="s">
        <v>147</v>
      </c>
      <c r="C49" s="82">
        <v>2.0</v>
      </c>
      <c r="D49" s="86"/>
      <c r="E49" s="82">
        <v>0.0</v>
      </c>
      <c r="F49" s="82">
        <v>2.0</v>
      </c>
      <c r="G49" s="82">
        <v>0.0</v>
      </c>
      <c r="H49" s="82">
        <v>2.0</v>
      </c>
      <c r="I49" s="87">
        <f t="shared" si="5"/>
        <v>6</v>
      </c>
      <c r="J49" s="4" t="s">
        <v>148</v>
      </c>
    </row>
    <row r="50">
      <c r="A50" s="84" t="s">
        <v>142</v>
      </c>
      <c r="B50" s="85" t="s">
        <v>149</v>
      </c>
      <c r="C50" s="82">
        <v>2.0</v>
      </c>
      <c r="D50" s="82">
        <v>2.0</v>
      </c>
      <c r="E50" s="86"/>
      <c r="F50" s="82">
        <v>2.0</v>
      </c>
      <c r="G50" s="82">
        <v>2.0</v>
      </c>
      <c r="H50" s="82">
        <v>2.0</v>
      </c>
      <c r="I50" s="87">
        <f t="shared" si="5"/>
        <v>10</v>
      </c>
      <c r="J50" s="4">
        <v>10.0</v>
      </c>
    </row>
    <row r="51">
      <c r="A51" s="84" t="s">
        <v>143</v>
      </c>
      <c r="B51" s="85" t="s">
        <v>150</v>
      </c>
      <c r="C51" s="82">
        <v>0.0</v>
      </c>
      <c r="D51" s="82">
        <v>0.0</v>
      </c>
      <c r="E51" s="82">
        <v>0.0</v>
      </c>
      <c r="F51" s="86"/>
      <c r="G51" s="82">
        <v>2.0</v>
      </c>
      <c r="H51" s="82">
        <v>0.0</v>
      </c>
      <c r="I51" s="87">
        <f t="shared" si="5"/>
        <v>2</v>
      </c>
    </row>
    <row r="52">
      <c r="A52" s="84" t="s">
        <v>144</v>
      </c>
      <c r="B52" s="85" t="s">
        <v>151</v>
      </c>
      <c r="C52" s="82">
        <v>0.0</v>
      </c>
      <c r="D52" s="82">
        <v>2.0</v>
      </c>
      <c r="E52" s="82">
        <v>0.0</v>
      </c>
      <c r="F52" s="82">
        <v>0.0</v>
      </c>
      <c r="G52" s="86"/>
      <c r="H52" s="82">
        <v>2.0</v>
      </c>
      <c r="I52" s="87">
        <f t="shared" si="5"/>
        <v>4</v>
      </c>
    </row>
    <row r="53">
      <c r="A53" s="88" t="s">
        <v>145</v>
      </c>
      <c r="B53" s="85" t="s">
        <v>152</v>
      </c>
      <c r="C53" s="89">
        <v>0.0</v>
      </c>
      <c r="D53" s="89">
        <v>0.0</v>
      </c>
      <c r="E53" s="89">
        <v>0.0</v>
      </c>
      <c r="F53" s="89">
        <v>2.0</v>
      </c>
      <c r="G53" s="89">
        <v>0.0</v>
      </c>
      <c r="H53" s="86"/>
      <c r="I53" s="87">
        <f t="shared" si="5"/>
        <v>2</v>
      </c>
    </row>
    <row r="55">
      <c r="A55" s="90" t="s">
        <v>153</v>
      </c>
    </row>
    <row r="56">
      <c r="A56" s="76"/>
      <c r="B56" s="76"/>
      <c r="C56" s="77" t="s">
        <v>24</v>
      </c>
      <c r="D56" s="78"/>
      <c r="E56" s="78"/>
      <c r="F56" s="78"/>
      <c r="G56" s="79"/>
      <c r="H56" s="80"/>
      <c r="I56" s="80"/>
    </row>
    <row r="57">
      <c r="A57" s="76"/>
      <c r="B57" s="76" t="s">
        <v>26</v>
      </c>
      <c r="C57" s="82" t="s">
        <v>154</v>
      </c>
      <c r="D57" s="82" t="s">
        <v>155</v>
      </c>
      <c r="E57" s="82" t="s">
        <v>156</v>
      </c>
      <c r="F57" s="82" t="s">
        <v>157</v>
      </c>
      <c r="G57" s="82" t="s">
        <v>158</v>
      </c>
      <c r="H57" s="83" t="s">
        <v>159</v>
      </c>
      <c r="I57" s="80" t="s">
        <v>35</v>
      </c>
    </row>
    <row r="58">
      <c r="A58" s="84" t="s">
        <v>154</v>
      </c>
      <c r="B58" s="85" t="s">
        <v>70</v>
      </c>
      <c r="C58" s="86"/>
      <c r="D58" s="82">
        <v>2.0</v>
      </c>
      <c r="E58" s="82">
        <v>2.0</v>
      </c>
      <c r="F58" s="82">
        <v>2.0</v>
      </c>
      <c r="G58" s="82">
        <v>2.0</v>
      </c>
      <c r="H58" s="82">
        <v>2.0</v>
      </c>
      <c r="I58" s="91">
        <f t="shared" ref="I58:I63" si="6">sum(B58:H58)</f>
        <v>10</v>
      </c>
      <c r="J58" s="4">
        <v>10.0</v>
      </c>
    </row>
    <row r="59">
      <c r="A59" s="84" t="s">
        <v>155</v>
      </c>
      <c r="B59" s="85" t="s">
        <v>22</v>
      </c>
      <c r="C59" s="82">
        <v>0.0</v>
      </c>
      <c r="D59" s="86"/>
      <c r="E59" s="82">
        <v>2.0</v>
      </c>
      <c r="F59" s="82">
        <v>2.0</v>
      </c>
      <c r="G59" s="82">
        <v>2.0</v>
      </c>
      <c r="H59" s="82">
        <v>2.0</v>
      </c>
      <c r="I59" s="91">
        <f t="shared" si="6"/>
        <v>8</v>
      </c>
      <c r="J59" s="4">
        <v>8.0</v>
      </c>
    </row>
    <row r="60">
      <c r="A60" s="84" t="s">
        <v>156</v>
      </c>
      <c r="B60" s="85" t="s">
        <v>160</v>
      </c>
      <c r="C60" s="82">
        <v>0.0</v>
      </c>
      <c r="D60" s="82">
        <v>0.0</v>
      </c>
      <c r="E60" s="86"/>
      <c r="F60" s="82">
        <v>1.0</v>
      </c>
      <c r="G60" s="82">
        <v>0.0</v>
      </c>
      <c r="H60" s="82">
        <v>0.0</v>
      </c>
      <c r="I60" s="91">
        <f t="shared" si="6"/>
        <v>1</v>
      </c>
    </row>
    <row r="61">
      <c r="A61" s="84" t="s">
        <v>157</v>
      </c>
      <c r="B61" s="85" t="s">
        <v>161</v>
      </c>
      <c r="C61" s="82">
        <v>0.0</v>
      </c>
      <c r="D61" s="82">
        <v>0.0</v>
      </c>
      <c r="E61" s="82">
        <v>1.0</v>
      </c>
      <c r="F61" s="86"/>
      <c r="G61" s="82">
        <v>2.0</v>
      </c>
      <c r="H61" s="82">
        <v>0.0</v>
      </c>
      <c r="I61" s="91">
        <f t="shared" si="6"/>
        <v>3</v>
      </c>
    </row>
    <row r="62">
      <c r="A62" s="84" t="s">
        <v>158</v>
      </c>
      <c r="B62" s="85" t="s">
        <v>162</v>
      </c>
      <c r="C62" s="82">
        <v>0.0</v>
      </c>
      <c r="D62" s="82">
        <v>0.0</v>
      </c>
      <c r="E62" s="82">
        <v>2.0</v>
      </c>
      <c r="F62" s="82">
        <v>0.0</v>
      </c>
      <c r="G62" s="86"/>
      <c r="H62" s="82">
        <v>0.0</v>
      </c>
      <c r="I62" s="91">
        <f t="shared" si="6"/>
        <v>2</v>
      </c>
    </row>
    <row r="63">
      <c r="A63" s="88" t="s">
        <v>159</v>
      </c>
      <c r="B63" s="85" t="s">
        <v>163</v>
      </c>
      <c r="C63" s="89">
        <v>0.0</v>
      </c>
      <c r="D63" s="89">
        <v>0.0</v>
      </c>
      <c r="E63" s="89">
        <v>2.0</v>
      </c>
      <c r="F63" s="89">
        <v>2.0</v>
      </c>
      <c r="G63" s="89">
        <v>2.0</v>
      </c>
      <c r="H63" s="86"/>
      <c r="I63" s="91">
        <f t="shared" si="6"/>
        <v>6</v>
      </c>
    </row>
  </sheetData>
  <mergeCells count="14">
    <mergeCell ref="C26:I26"/>
    <mergeCell ref="A35:I35"/>
    <mergeCell ref="C36:G36"/>
    <mergeCell ref="A45:I45"/>
    <mergeCell ref="C46:G46"/>
    <mergeCell ref="A55:I55"/>
    <mergeCell ref="C56:G56"/>
    <mergeCell ref="A1:I1"/>
    <mergeCell ref="A2:I2"/>
    <mergeCell ref="A5:I5"/>
    <mergeCell ref="C6:I6"/>
    <mergeCell ref="A15:I15"/>
    <mergeCell ref="C16:I16"/>
    <mergeCell ref="A25:I2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2.0"/>
    <col customWidth="1" min="3" max="3" width="27.13"/>
    <col customWidth="1" min="4" max="4" width="25.88"/>
    <col customWidth="1" min="5" max="5" width="22.38"/>
    <col customWidth="1" min="6" max="6" width="22.5"/>
    <col customWidth="1" min="7" max="7" width="24.25"/>
    <col customWidth="1" min="8" max="8" width="24.5"/>
  </cols>
  <sheetData>
    <row r="1">
      <c r="A1" s="1" t="s">
        <v>0</v>
      </c>
      <c r="B1" s="3" t="s">
        <v>2</v>
      </c>
      <c r="C1" s="4" t="s">
        <v>3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</row>
    <row r="2">
      <c r="A2" s="1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</row>
    <row r="3">
      <c r="B3" s="7"/>
      <c r="C3" s="7"/>
      <c r="D3" s="7"/>
      <c r="E3" s="7"/>
      <c r="F3" s="7"/>
      <c r="G3" s="7"/>
      <c r="H3" s="7"/>
    </row>
    <row r="4">
      <c r="A4" s="7"/>
      <c r="B4" s="9" t="s">
        <v>20</v>
      </c>
      <c r="C4" s="10"/>
      <c r="D4" s="7"/>
      <c r="E4" s="7"/>
      <c r="F4" s="7"/>
      <c r="G4" s="7"/>
      <c r="H4" s="7"/>
    </row>
    <row r="5">
      <c r="A5" s="7"/>
      <c r="B5" s="7"/>
      <c r="C5" s="12"/>
      <c r="D5" s="7"/>
      <c r="E5" s="7"/>
      <c r="F5" s="7"/>
      <c r="G5" s="7"/>
      <c r="H5" s="7"/>
    </row>
    <row r="6">
      <c r="A6" s="7"/>
      <c r="B6" s="14" t="s">
        <v>22</v>
      </c>
      <c r="C6" s="15" t="s">
        <v>23</v>
      </c>
      <c r="D6" s="17" t="s">
        <v>25</v>
      </c>
      <c r="E6" s="7"/>
      <c r="F6" s="7"/>
      <c r="G6" s="7"/>
      <c r="H6" s="7"/>
    </row>
    <row r="7">
      <c r="A7" s="7"/>
      <c r="B7" s="19" t="s">
        <v>28</v>
      </c>
      <c r="C7" s="20" t="s">
        <v>33</v>
      </c>
      <c r="D7" s="12"/>
      <c r="E7" s="7"/>
      <c r="F7" s="7"/>
      <c r="G7" s="7"/>
      <c r="H7" s="7"/>
    </row>
    <row r="8">
      <c r="A8" s="7"/>
      <c r="B8" s="14" t="s">
        <v>36</v>
      </c>
      <c r="C8" s="22"/>
      <c r="D8" s="12"/>
      <c r="E8" s="7"/>
      <c r="F8" s="7"/>
      <c r="G8" s="7"/>
      <c r="H8" s="7"/>
    </row>
    <row r="9">
      <c r="A9" s="7"/>
      <c r="B9" s="7"/>
      <c r="C9" s="7"/>
      <c r="D9" s="15" t="s">
        <v>38</v>
      </c>
      <c r="E9" s="17" t="s">
        <v>39</v>
      </c>
      <c r="F9" s="7"/>
      <c r="G9" s="7"/>
      <c r="H9" s="7"/>
    </row>
    <row r="10">
      <c r="A10" s="7"/>
      <c r="B10" s="14" t="s">
        <v>40</v>
      </c>
      <c r="C10" s="7"/>
      <c r="D10" s="12"/>
      <c r="E10" s="7"/>
      <c r="F10" s="22"/>
      <c r="H10" s="7"/>
    </row>
    <row r="11">
      <c r="A11" s="7"/>
      <c r="B11" s="19" t="s">
        <v>41</v>
      </c>
      <c r="C11" s="25" t="s">
        <v>42</v>
      </c>
      <c r="D11" s="12"/>
      <c r="E11" s="7"/>
      <c r="F11" s="22"/>
      <c r="H11" s="7"/>
    </row>
    <row r="12">
      <c r="A12" s="7"/>
      <c r="B12" s="14" t="s">
        <v>43</v>
      </c>
      <c r="C12" s="22"/>
      <c r="D12" s="20" t="s">
        <v>44</v>
      </c>
      <c r="E12" s="7"/>
      <c r="F12" s="22"/>
      <c r="H12" s="7"/>
    </row>
    <row r="13">
      <c r="A13" s="7"/>
      <c r="B13" s="7"/>
      <c r="C13" s="15" t="s">
        <v>45</v>
      </c>
      <c r="D13" s="7"/>
      <c r="E13" s="7"/>
      <c r="F13" s="22"/>
      <c r="H13" s="7"/>
    </row>
    <row r="14">
      <c r="A14" s="7"/>
      <c r="B14" s="14" t="s">
        <v>46</v>
      </c>
      <c r="C14" s="26"/>
      <c r="D14" s="7"/>
      <c r="E14" s="7"/>
      <c r="F14" s="22"/>
      <c r="H14" s="7"/>
    </row>
    <row r="15">
      <c r="A15" s="7"/>
      <c r="B15" s="7"/>
      <c r="C15" s="7"/>
      <c r="D15" s="7"/>
      <c r="E15" s="7"/>
      <c r="F15" s="27"/>
    </row>
    <row r="16">
      <c r="A16" s="7"/>
      <c r="B16" s="7"/>
      <c r="C16" s="7"/>
      <c r="D16" s="7"/>
      <c r="E16" s="15" t="s">
        <v>47</v>
      </c>
      <c r="F16" s="29" t="s">
        <v>48</v>
      </c>
      <c r="G16" s="30"/>
      <c r="H16" s="10"/>
    </row>
    <row r="17">
      <c r="A17" s="7"/>
      <c r="B17" s="7"/>
      <c r="C17" s="7"/>
      <c r="D17" s="7"/>
      <c r="E17" s="7"/>
      <c r="F17" s="22"/>
      <c r="H17" s="7"/>
      <c r="I17" s="27"/>
    </row>
    <row r="18">
      <c r="A18" s="7"/>
      <c r="B18" s="9" t="s">
        <v>50</v>
      </c>
      <c r="C18" s="10"/>
      <c r="D18" s="7"/>
      <c r="E18" s="7"/>
      <c r="F18" s="22"/>
      <c r="H18" s="7"/>
      <c r="I18" s="27"/>
    </row>
    <row r="19">
      <c r="A19" s="7"/>
      <c r="B19" s="7"/>
      <c r="C19" s="12"/>
      <c r="D19" s="7"/>
      <c r="E19" s="7"/>
      <c r="F19" s="22"/>
      <c r="H19" s="7"/>
      <c r="I19" s="27"/>
    </row>
    <row r="20">
      <c r="A20" s="7"/>
      <c r="B20" s="14" t="s">
        <v>51</v>
      </c>
      <c r="C20" s="15" t="s">
        <v>52</v>
      </c>
      <c r="D20" s="17" t="s">
        <v>53</v>
      </c>
      <c r="E20" s="7"/>
      <c r="F20" s="22"/>
      <c r="H20" s="7"/>
      <c r="I20" s="27"/>
    </row>
    <row r="21">
      <c r="A21" s="7"/>
      <c r="B21" s="19" t="s">
        <v>55</v>
      </c>
      <c r="C21" s="20" t="s">
        <v>56</v>
      </c>
      <c r="D21" s="12"/>
      <c r="F21" s="31"/>
      <c r="H21" s="32"/>
      <c r="I21" s="27"/>
    </row>
    <row r="22">
      <c r="A22" s="7"/>
      <c r="B22" s="14" t="s">
        <v>58</v>
      </c>
      <c r="C22" s="22"/>
      <c r="D22" s="12"/>
      <c r="F22" s="22"/>
      <c r="H22" s="7"/>
      <c r="I22" s="22"/>
    </row>
    <row r="23">
      <c r="A23" s="7"/>
      <c r="B23" s="7"/>
      <c r="C23" s="7"/>
      <c r="D23" s="15" t="s">
        <v>59</v>
      </c>
      <c r="E23" s="17" t="s">
        <v>60</v>
      </c>
      <c r="F23" s="22"/>
      <c r="H23" s="7"/>
      <c r="I23" s="22"/>
    </row>
    <row r="24">
      <c r="A24" s="7"/>
      <c r="B24" s="14" t="s">
        <v>62</v>
      </c>
      <c r="C24" s="7"/>
      <c r="D24" s="12"/>
      <c r="F24" s="7"/>
      <c r="G24" s="7"/>
      <c r="H24" s="7"/>
      <c r="I24" s="22"/>
    </row>
    <row r="25">
      <c r="A25" s="7"/>
      <c r="B25" s="19" t="s">
        <v>63</v>
      </c>
      <c r="C25" s="25" t="s">
        <v>64</v>
      </c>
      <c r="D25" s="12"/>
      <c r="F25" s="7"/>
      <c r="G25" s="7"/>
      <c r="H25" s="7"/>
      <c r="I25" s="22"/>
    </row>
    <row r="26">
      <c r="A26" s="7"/>
      <c r="B26" s="14" t="s">
        <v>65</v>
      </c>
      <c r="C26" s="22"/>
      <c r="D26" s="20" t="s">
        <v>66</v>
      </c>
      <c r="F26" s="7"/>
      <c r="G26" s="7"/>
      <c r="H26" s="7"/>
      <c r="I26" s="22"/>
    </row>
    <row r="27">
      <c r="A27" s="7"/>
      <c r="B27" s="7"/>
      <c r="C27" s="15" t="s">
        <v>67</v>
      </c>
      <c r="D27" s="7"/>
      <c r="F27" s="7"/>
      <c r="G27" s="7"/>
      <c r="H27" s="19" t="s">
        <v>68</v>
      </c>
      <c r="I27" s="29" t="s">
        <v>46</v>
      </c>
      <c r="J27" s="36" t="s">
        <v>69</v>
      </c>
    </row>
    <row r="28">
      <c r="A28" s="7"/>
      <c r="B28" s="14" t="s">
        <v>70</v>
      </c>
      <c r="C28" s="26"/>
      <c r="D28" s="7"/>
      <c r="F28" s="7"/>
      <c r="G28" s="7"/>
      <c r="H28" s="7"/>
      <c r="I28" s="22"/>
    </row>
    <row r="29">
      <c r="A29" s="7"/>
      <c r="B29" s="7"/>
      <c r="C29" s="7"/>
      <c r="D29" s="7"/>
      <c r="F29" s="7"/>
      <c r="G29" s="7"/>
      <c r="H29" s="7"/>
      <c r="I29" s="22"/>
    </row>
    <row r="30">
      <c r="A30" s="7"/>
      <c r="B30" s="7"/>
      <c r="C30" s="7"/>
      <c r="F30" s="7"/>
      <c r="G30" s="7"/>
      <c r="H30" s="3" t="s">
        <v>72</v>
      </c>
      <c r="I30" s="27"/>
    </row>
    <row r="31">
      <c r="A31" s="7"/>
      <c r="B31" s="7"/>
      <c r="C31" s="7"/>
      <c r="E31" s="4"/>
      <c r="F31" s="39" t="s">
        <v>73</v>
      </c>
      <c r="G31" s="7"/>
      <c r="H31" s="7"/>
      <c r="I31" s="27"/>
    </row>
    <row r="32">
      <c r="A32" s="7"/>
      <c r="B32" s="3"/>
      <c r="F32" s="7"/>
      <c r="G32" s="22"/>
      <c r="H32" s="7"/>
      <c r="I32" s="27"/>
    </row>
    <row r="33">
      <c r="A33" s="7"/>
      <c r="B33" s="7"/>
      <c r="E33" s="36" t="s">
        <v>74</v>
      </c>
      <c r="F33" s="7"/>
      <c r="G33" s="22"/>
      <c r="H33" s="7"/>
      <c r="I33" s="27"/>
    </row>
    <row r="34">
      <c r="A34" s="7"/>
      <c r="B34" s="7"/>
      <c r="F34" s="41" t="s">
        <v>75</v>
      </c>
      <c r="G34" s="29" t="s">
        <v>77</v>
      </c>
      <c r="H34" s="7"/>
      <c r="I34" s="27"/>
    </row>
    <row r="35">
      <c r="A35" s="7"/>
      <c r="B35" s="7"/>
      <c r="C35" s="17" t="s">
        <v>82</v>
      </c>
      <c r="D35" s="7"/>
      <c r="E35" s="1"/>
      <c r="F35" s="22"/>
      <c r="G35" s="22"/>
      <c r="H35" s="22"/>
      <c r="I35" s="27"/>
    </row>
    <row r="36">
      <c r="A36" s="7"/>
      <c r="B36" s="7"/>
      <c r="C36" s="19" t="s">
        <v>84</v>
      </c>
      <c r="D36" s="25" t="s">
        <v>85</v>
      </c>
      <c r="E36" s="45" t="s">
        <v>86</v>
      </c>
      <c r="F36" s="29" t="s">
        <v>88</v>
      </c>
      <c r="G36" s="22"/>
      <c r="H36" s="22"/>
      <c r="I36" s="27"/>
    </row>
    <row r="37">
      <c r="A37" s="7"/>
      <c r="B37" s="7"/>
      <c r="C37" s="17" t="s">
        <v>89</v>
      </c>
      <c r="D37" s="22"/>
      <c r="E37" s="27"/>
      <c r="F37" s="22"/>
      <c r="G37" s="7"/>
      <c r="H37" s="22"/>
      <c r="I37" s="27"/>
    </row>
    <row r="38">
      <c r="A38" s="7"/>
      <c r="B38" s="7"/>
      <c r="C38" s="7"/>
      <c r="D38" s="19" t="s">
        <v>90</v>
      </c>
      <c r="E38" s="47" t="s">
        <v>91</v>
      </c>
      <c r="F38" s="22"/>
      <c r="G38" s="7"/>
      <c r="H38" s="48"/>
      <c r="I38" s="27"/>
    </row>
    <row r="39">
      <c r="A39" s="7"/>
      <c r="B39" s="7"/>
      <c r="C39" s="17" t="s">
        <v>92</v>
      </c>
      <c r="D39" s="7"/>
      <c r="E39" s="27"/>
      <c r="F39" s="50"/>
      <c r="G39" s="7"/>
      <c r="H39" s="22"/>
      <c r="I39" s="27"/>
    </row>
    <row r="40">
      <c r="A40" s="7"/>
      <c r="B40" s="7"/>
      <c r="C40" s="19" t="s">
        <v>94</v>
      </c>
      <c r="D40" s="25" t="s">
        <v>95</v>
      </c>
      <c r="E40" s="27"/>
      <c r="F40" s="7"/>
      <c r="G40" s="7"/>
      <c r="H40" s="22"/>
      <c r="I40" s="27"/>
    </row>
    <row r="41">
      <c r="A41" s="7"/>
      <c r="B41" s="7"/>
      <c r="C41" s="17" t="s">
        <v>97</v>
      </c>
      <c r="D41" s="22"/>
      <c r="F41" s="7"/>
      <c r="G41" s="7"/>
      <c r="H41" s="22"/>
      <c r="I41" s="27"/>
    </row>
    <row r="42">
      <c r="C42" s="32"/>
      <c r="D42" s="7"/>
      <c r="H42" s="27"/>
      <c r="I42" s="27"/>
    </row>
    <row r="43">
      <c r="C43" s="7"/>
      <c r="D43" s="39" t="s">
        <v>98</v>
      </c>
      <c r="E43" s="1"/>
      <c r="G43" s="45" t="s">
        <v>100</v>
      </c>
      <c r="H43" s="47" t="s">
        <v>101</v>
      </c>
      <c r="I43" s="27"/>
    </row>
    <row r="44">
      <c r="C44" s="32"/>
      <c r="D44" s="19" t="s">
        <v>102</v>
      </c>
      <c r="E44" s="47" t="s">
        <v>103</v>
      </c>
      <c r="H44" s="27"/>
    </row>
    <row r="45">
      <c r="C45" s="7"/>
      <c r="D45" s="17" t="s">
        <v>104</v>
      </c>
      <c r="E45" s="27"/>
      <c r="F45" s="27"/>
      <c r="H45" s="27"/>
    </row>
    <row r="46">
      <c r="C46" s="32"/>
      <c r="D46" s="7"/>
      <c r="F46" s="27"/>
      <c r="H46" s="27"/>
    </row>
    <row r="47">
      <c r="C47" s="7"/>
      <c r="D47" s="7"/>
      <c r="E47" s="45" t="s">
        <v>105</v>
      </c>
      <c r="F47" s="47" t="s">
        <v>106</v>
      </c>
      <c r="H47" s="27"/>
    </row>
    <row r="48">
      <c r="D48" s="39" t="s">
        <v>108</v>
      </c>
      <c r="F48" s="52"/>
      <c r="G48" s="27"/>
      <c r="H48" s="27"/>
    </row>
    <row r="49">
      <c r="D49" s="19" t="s">
        <v>109</v>
      </c>
      <c r="E49" s="47" t="s">
        <v>110</v>
      </c>
      <c r="F49" s="27"/>
      <c r="G49" s="27"/>
      <c r="H49" s="27"/>
    </row>
    <row r="50">
      <c r="D50" s="17" t="s">
        <v>111</v>
      </c>
      <c r="E50" s="27"/>
      <c r="F50" s="45" t="s">
        <v>112</v>
      </c>
      <c r="G50" s="47" t="s">
        <v>113</v>
      </c>
      <c r="H50" s="27"/>
    </row>
    <row r="51">
      <c r="G51" s="27"/>
    </row>
    <row r="52">
      <c r="G52" s="27"/>
    </row>
    <row r="53">
      <c r="E53" s="36" t="s">
        <v>114</v>
      </c>
      <c r="F53" s="30"/>
      <c r="G53" s="2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