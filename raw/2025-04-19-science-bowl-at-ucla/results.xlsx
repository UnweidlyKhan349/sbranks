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Robin Scores" sheetId="1" r:id="rId5"/>
    <sheet state="visible" name="Round Robin Schedule" sheetId="2" r:id="rId6"/>
    <sheet state="visible" name="Double Elimination" sheetId="3" r:id="rId7"/>
    <sheet state="hidden" name="Raw" sheetId="4" r:id="rId8"/>
    <sheet state="hidden" name="Seeding" sheetId="5" r:id="rId9"/>
  </sheets>
  <definedNames/>
  <calcPr/>
</workbook>
</file>

<file path=xl/sharedStrings.xml><?xml version="1.0" encoding="utf-8"?>
<sst xmlns="http://schemas.openxmlformats.org/spreadsheetml/2006/main" count="561" uniqueCount="144">
  <si>
    <t>Round 1</t>
  </si>
  <si>
    <t>Antares</t>
  </si>
  <si>
    <t>Bellatrix</t>
  </si>
  <si>
    <t>Round 2</t>
  </si>
  <si>
    <t>Copernicus</t>
  </si>
  <si>
    <t>Diadem</t>
  </si>
  <si>
    <t>Round 3</t>
  </si>
  <si>
    <t>Round 4</t>
  </si>
  <si>
    <t>Round 5</t>
  </si>
  <si>
    <t>Finals</t>
  </si>
  <si>
    <t>Team 1</t>
  </si>
  <si>
    <t>Team 2</t>
  </si>
  <si>
    <t>Room</t>
  </si>
  <si>
    <t>2:30-3:00 PM</t>
  </si>
  <si>
    <t>3:05-3:35 PM</t>
  </si>
  <si>
    <t>3:40-4:10 PM</t>
  </si>
  <si>
    <t>4:15-4:45 PM</t>
  </si>
  <si>
    <t>5:00-5:30 PM</t>
  </si>
  <si>
    <t>5:35-6:30 PM</t>
  </si>
  <si>
    <r>
      <rPr>
        <rFont val="EB Garamond"/>
        <b/>
        <color theme="1"/>
        <sz val="12.0"/>
      </rPr>
      <t xml:space="preserve">Round 1
</t>
    </r>
    <r>
      <rPr>
        <rFont val="EB Garamond"/>
        <b/>
        <color theme="1"/>
        <sz val="11.0"/>
      </rPr>
      <t>9:00-9:30</t>
    </r>
  </si>
  <si>
    <t>University</t>
  </si>
  <si>
    <t>Kaplan A30</t>
  </si>
  <si>
    <t>Points</t>
  </si>
  <si>
    <t>Kaplan A60</t>
  </si>
  <si>
    <t>A1</t>
  </si>
  <si>
    <t>Portola</t>
  </si>
  <si>
    <t>Diamond Bar</t>
  </si>
  <si>
    <t>Math Sci 5128</t>
  </si>
  <si>
    <t>San Marino</t>
  </si>
  <si>
    <t>Kaplan A56</t>
  </si>
  <si>
    <t>Santa Monica</t>
  </si>
  <si>
    <t>Dodd 167</t>
  </si>
  <si>
    <t>BYE</t>
  </si>
  <si>
    <t>Whitney</t>
  </si>
  <si>
    <t>Math Sci 5118</t>
  </si>
  <si>
    <t>St. Margaret's</t>
  </si>
  <si>
    <t>Math Sci 5138</t>
  </si>
  <si>
    <t>L</t>
  </si>
  <si>
    <t>Beckman</t>
  </si>
  <si>
    <t>Temple City</t>
  </si>
  <si>
    <t>Math Sci 5147</t>
  </si>
  <si>
    <t>Troy</t>
  </si>
  <si>
    <t>Math Sci 5127</t>
  </si>
  <si>
    <t>Haines A18</t>
  </si>
  <si>
    <t>Math Sci 5137</t>
  </si>
  <si>
    <r>
      <rPr>
        <rFont val="EB Garamond"/>
        <b/>
        <color theme="1"/>
        <sz val="12.0"/>
      </rPr>
      <t xml:space="preserve">Round 2
</t>
    </r>
    <r>
      <rPr>
        <rFont val="EB Garamond"/>
        <b/>
        <color theme="1"/>
        <sz val="11.0"/>
      </rPr>
      <t>9:35-10:05</t>
    </r>
  </si>
  <si>
    <t>A2</t>
  </si>
  <si>
    <t>W</t>
  </si>
  <si>
    <t>A3</t>
  </si>
  <si>
    <t>South Pasadena</t>
  </si>
  <si>
    <t>A4</t>
  </si>
  <si>
    <t>OCSA</t>
  </si>
  <si>
    <t>A5</t>
  </si>
  <si>
    <r>
      <rPr>
        <rFont val="EB Garamond"/>
        <b/>
        <color theme="1"/>
        <sz val="12.0"/>
      </rPr>
      <t xml:space="preserve">Round 3
</t>
    </r>
    <r>
      <rPr>
        <rFont val="EB Garamond"/>
        <b/>
        <color theme="1"/>
        <sz val="11.0"/>
      </rPr>
      <t>10:15-10:45</t>
    </r>
  </si>
  <si>
    <t>B1</t>
  </si>
  <si>
    <t>Palm Desert</t>
  </si>
  <si>
    <r>
      <rPr>
        <rFont val="EB Garamond"/>
        <b/>
        <color theme="1"/>
        <sz val="12.0"/>
      </rPr>
      <t xml:space="preserve">Round 4
</t>
    </r>
    <r>
      <rPr>
        <rFont val="EB Garamond"/>
        <b/>
        <color theme="1"/>
        <sz val="11.0"/>
      </rPr>
      <t>10:50-11:20</t>
    </r>
  </si>
  <si>
    <t>B2</t>
  </si>
  <si>
    <t>B3</t>
  </si>
  <si>
    <t>B4</t>
  </si>
  <si>
    <t>Palos Verdes</t>
  </si>
  <si>
    <r>
      <rPr>
        <rFont val="EB Garamond"/>
        <b/>
        <color theme="1"/>
        <sz val="12.0"/>
      </rPr>
      <t xml:space="preserve">Round 5
</t>
    </r>
    <r>
      <rPr>
        <rFont val="EB Garamond"/>
        <b/>
        <color theme="1"/>
        <sz val="11.0"/>
      </rPr>
      <t>11:25-11:55</t>
    </r>
  </si>
  <si>
    <t>B5</t>
  </si>
  <si>
    <t>Northwood</t>
  </si>
  <si>
    <t>C1</t>
  </si>
  <si>
    <t>La Canada</t>
  </si>
  <si>
    <t>C2</t>
  </si>
  <si>
    <t>Aquinas</t>
  </si>
  <si>
    <t>D1</t>
  </si>
  <si>
    <t>D2</t>
  </si>
  <si>
    <t>E1</t>
  </si>
  <si>
    <t>E2</t>
  </si>
  <si>
    <t>F1</t>
  </si>
  <si>
    <t>F2</t>
  </si>
  <si>
    <t>A6</t>
  </si>
  <si>
    <t>B6</t>
  </si>
  <si>
    <t>C3</t>
  </si>
  <si>
    <t>C6</t>
  </si>
  <si>
    <t>D3</t>
  </si>
  <si>
    <t>D6</t>
  </si>
  <si>
    <t>E3</t>
  </si>
  <si>
    <t>E6</t>
  </si>
  <si>
    <t>F3</t>
  </si>
  <si>
    <t>F6</t>
  </si>
  <si>
    <t>C4</t>
  </si>
  <si>
    <t>C5</t>
  </si>
  <si>
    <t>D4</t>
  </si>
  <si>
    <t>D5</t>
  </si>
  <si>
    <t>E4</t>
  </si>
  <si>
    <t>E5</t>
  </si>
  <si>
    <t>F4</t>
  </si>
  <si>
    <t>F5</t>
  </si>
  <si>
    <t>Arcadia 1</t>
  </si>
  <si>
    <t>Walnut</t>
  </si>
  <si>
    <t>Arcadia 2</t>
  </si>
  <si>
    <t>Simi Valley</t>
  </si>
  <si>
    <t>Marshall</t>
  </si>
  <si>
    <t>Seeded Teams</t>
  </si>
  <si>
    <t>Round Robin Results</t>
  </si>
  <si>
    <t>Sorted by Points</t>
  </si>
  <si>
    <t>Team Name</t>
  </si>
  <si>
    <t>Wins</t>
  </si>
  <si>
    <t>Lynbrook A</t>
  </si>
  <si>
    <t>Middleton</t>
  </si>
  <si>
    <t>Mission San Jose A</t>
  </si>
  <si>
    <t>Davidson A</t>
  </si>
  <si>
    <t>AVHS</t>
  </si>
  <si>
    <t>Palo Alto</t>
  </si>
  <si>
    <t>Mission San Jose B</t>
  </si>
  <si>
    <t>Lynbrook B</t>
  </si>
  <si>
    <t>Saratoga</t>
  </si>
  <si>
    <t>BASIS Silicon Valley</t>
  </si>
  <si>
    <t>Foothill A</t>
  </si>
  <si>
    <t>American</t>
  </si>
  <si>
    <t>Clovis North</t>
  </si>
  <si>
    <t>Cupertino A</t>
  </si>
  <si>
    <t>Irvington</t>
  </si>
  <si>
    <t>Davidson B</t>
  </si>
  <si>
    <t>Harker</t>
  </si>
  <si>
    <t>D</t>
  </si>
  <si>
    <t>Dougherty Valley A</t>
  </si>
  <si>
    <t>B</t>
  </si>
  <si>
    <t>Dougherty Valley B</t>
  </si>
  <si>
    <t>F</t>
  </si>
  <si>
    <t>Gunn</t>
  </si>
  <si>
    <t>E</t>
  </si>
  <si>
    <t>A-Tech A</t>
  </si>
  <si>
    <t>Cupertino B</t>
  </si>
  <si>
    <t>A</t>
  </si>
  <si>
    <t>Foothill B</t>
  </si>
  <si>
    <t>C</t>
  </si>
  <si>
    <t>California A</t>
  </si>
  <si>
    <t>Saint Francis</t>
  </si>
  <si>
    <t>Stanford Online</t>
  </si>
  <si>
    <t>Los Gatos</t>
  </si>
  <si>
    <t>Homestead</t>
  </si>
  <si>
    <t>Albany A</t>
  </si>
  <si>
    <t>Quarry Lane A</t>
  </si>
  <si>
    <t>Logan</t>
  </si>
  <si>
    <t>A-Tech B</t>
  </si>
  <si>
    <t>San Mateo</t>
  </si>
  <si>
    <t>Albany B</t>
  </si>
  <si>
    <t>Quarry Lane B</t>
  </si>
  <si>
    <t>California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</si>
</sst>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EB Garamond"/>
    </font>
    <font>
      <b/>
      <u/>
      <sz val="12.0"/>
      <color rgb="FF990000"/>
      <name val="EB Garamond"/>
    </font>
    <font>
      <b/>
      <sz val="18.0"/>
      <color theme="1"/>
      <name val="EB Garamond"/>
    </font>
    <font>
      <b/>
      <sz val="10.0"/>
      <color rgb="FF000000"/>
      <name val="EB Garamond"/>
    </font>
    <font/>
    <font>
      <b/>
      <u/>
      <sz val="12.0"/>
      <color rgb="FFB45F06"/>
      <name val="EB Garamond"/>
    </font>
    <font>
      <b/>
      <u/>
      <sz val="12.0"/>
      <color rgb="FFBF9000"/>
      <name val="EB Garamond"/>
    </font>
    <font>
      <b/>
      <u/>
      <sz val="12.0"/>
      <color rgb="FF38761D"/>
      <name val="EB Garamond"/>
    </font>
    <font>
      <b/>
      <u/>
      <sz val="12.0"/>
      <color rgb="FF0B5394"/>
      <name val="EB Garamond"/>
    </font>
    <font>
      <b/>
      <u/>
      <sz val="12.0"/>
      <color rgb="FF351C75"/>
      <name val="EB Garamond"/>
    </font>
    <font>
      <u/>
      <sz val="12.0"/>
      <color theme="1"/>
      <name val="EB Garamond"/>
    </font>
    <font>
      <color theme="1"/>
      <name val="EB Garamond"/>
    </font>
    <font>
      <sz val="10.0"/>
      <color rgb="FF990000"/>
      <name val="EB Garamond"/>
    </font>
    <font>
      <sz val="10.0"/>
      <color rgb="FF000000"/>
      <name val="EB Garamond"/>
    </font>
    <font>
      <b/>
      <sz val="12.0"/>
      <color theme="1"/>
      <name val="EB Garamond"/>
    </font>
    <font>
      <sz val="10.0"/>
      <color rgb="FFB45F06"/>
      <name val="EB Garamond"/>
    </font>
    <font>
      <sz val="10.0"/>
      <color rgb="FFBF9000"/>
      <name val="EB Garamond"/>
    </font>
    <font>
      <sz val="10.0"/>
      <color rgb="FF38761D"/>
      <name val="EB Garamond"/>
    </font>
    <font>
      <sz val="10.0"/>
      <color rgb="FF0B5394"/>
      <name val="EB Garamond"/>
    </font>
    <font>
      <sz val="10.0"/>
      <color rgb="FF351C75"/>
      <name val="EB Garamond"/>
    </font>
    <font>
      <b/>
      <sz val="10.0"/>
      <color theme="1"/>
      <name val="EB Garamond"/>
    </font>
    <font>
      <sz val="10.0"/>
      <color theme="1"/>
      <name val="EB Garamond"/>
    </font>
    <font>
      <b/>
      <color theme="1"/>
      <name val="EB Garamond"/>
    </font>
    <font>
      <sz val="12.0"/>
      <color rgb="FFFFFFFF"/>
      <name val="EB Garamond"/>
    </font>
    <font>
      <sz val="10.0"/>
      <color rgb="FFFFFFFF"/>
      <name val="EB Garamond"/>
    </font>
  </fonts>
  <fills count="12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95">
    <border/>
    <border>
      <right style="medium">
        <color rgb="FF351C75"/>
      </right>
    </border>
    <border>
      <left style="thick">
        <color rgb="FF990000"/>
      </left>
      <top style="thick">
        <color rgb="FF990000"/>
      </top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top style="thick">
        <color rgb="FF990000"/>
      </top>
      <bottom style="medium">
        <color rgb="FF000000"/>
      </bottom>
    </border>
    <border>
      <left style="medium">
        <color rgb="FF000000"/>
      </left>
    </border>
    <border>
      <right style="medium">
        <color rgb="FF351C75"/>
      </right>
      <bottom style="medium">
        <color rgb="FF351C75"/>
      </bottom>
    </border>
    <border>
      <bottom style="medium">
        <color rgb="FF351C75"/>
      </bottom>
    </border>
    <border>
      <top style="thick">
        <color rgb="FF990000"/>
      </top>
      <bottom style="medium">
        <color rgb="FF000000"/>
      </bottom>
    </border>
    <border>
      <right style="thin">
        <color rgb="FFB7B7B7"/>
      </right>
      <top style="thick">
        <color rgb="FF990000"/>
      </top>
      <bottom style="medium">
        <color rgb="FF000000"/>
      </bottom>
    </border>
    <border>
      <right style="medium">
        <color rgb="FF000000"/>
      </right>
      <bottom style="medium">
        <color rgb="FF351C75"/>
      </bottom>
    </border>
    <border>
      <top style="thick">
        <color rgb="FF990000"/>
      </top>
    </border>
    <border>
      <right style="thin">
        <color rgb="FFB7B7B7"/>
      </right>
      <top style="thick">
        <color rgb="FF990000"/>
      </top>
    </border>
    <border>
      <left style="thin">
        <color rgb="FFB7B7B7"/>
      </left>
      <right style="thick">
        <color rgb="FF990000"/>
      </right>
      <top style="thick">
        <color rgb="FF990000"/>
      </top>
      <bottom style="medium">
        <color rgb="FF000000"/>
      </bottom>
    </border>
    <border>
      <left style="thick">
        <color rgb="FF990000"/>
      </left>
      <bottom style="thin">
        <color rgb="FFB7B7B7"/>
      </bottom>
    </border>
    <border>
      <right style="medium">
        <color rgb="FF000000"/>
      </righ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medium">
        <color rgb="FF351C75"/>
      </right>
      <bottom style="thin">
        <color rgb="FF351C75"/>
      </bottom>
    </border>
    <border>
      <bottom style="thin">
        <color rgb="FF351C75"/>
      </bottom>
    </border>
    <border>
      <right style="thin">
        <color rgb="FF000000"/>
      </right>
      <bottom style="thin">
        <color rgb="FFB7B7B7"/>
      </bottom>
    </border>
    <border>
      <left style="thin">
        <color rgb="FF000000"/>
      </left>
      <top style="thin">
        <color rgb="FFB7B7B7"/>
      </top>
      <bottom style="thin">
        <color rgb="FFB7B7B7"/>
      </bottom>
    </border>
    <border>
      <right style="medium">
        <color rgb="FF000000"/>
      </right>
      <bottom style="thin">
        <color rgb="FF000000"/>
      </bottom>
    </border>
    <border>
      <right style="thick">
        <color rgb="FF990000"/>
      </right>
      <bottom style="thin">
        <color rgb="FFB7B7B7"/>
      </bottom>
    </border>
    <border>
      <right style="medium">
        <color rgb="FF000000"/>
      </right>
      <bottom style="thin">
        <color rgb="FF351C75"/>
      </bottom>
    </border>
    <border>
      <left style="thick">
        <color rgb="FF990000"/>
      </left>
      <top style="thin">
        <color rgb="FFB7B7B7"/>
      </top>
      <bottom style="thin">
        <color rgb="FFB7B7B7"/>
      </bottom>
    </border>
    <border>
      <right style="medium">
        <color rgb="FF000000"/>
      </righ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000000"/>
      </right>
      <top style="thin">
        <color rgb="FFB7B7B7"/>
      </top>
      <bottom style="thin">
        <color rgb="FFB7B7B7"/>
      </bottom>
    </border>
    <border>
      <left style="thick">
        <color rgb="FF990000"/>
      </left>
      <top style="thin">
        <color rgb="FFB7B7B7"/>
      </top>
      <bottom style="thick">
        <color rgb="FF990000"/>
      </bottom>
    </border>
    <border>
      <right style="medium">
        <color rgb="FF000000"/>
      </right>
      <top style="thin">
        <color rgb="FFB7B7B7"/>
      </top>
      <bottom style="thick">
        <color rgb="FF990000"/>
      </bottom>
    </border>
    <border>
      <top style="thin">
        <color rgb="FFB7B7B7"/>
      </top>
      <bottom style="thick">
        <color rgb="FF990000"/>
      </bottom>
    </border>
    <border>
      <right style="thin">
        <color rgb="FFB7B7B7"/>
      </right>
      <top style="thin">
        <color rgb="FFB7B7B7"/>
      </top>
      <bottom style="thick">
        <color rgb="FF990000"/>
      </bottom>
    </border>
    <border>
      <right style="thin">
        <color rgb="FF000000"/>
      </right>
      <top style="thin">
        <color rgb="FFB7B7B7"/>
      </top>
      <bottom style="thick">
        <color rgb="FF990000"/>
      </bottom>
    </border>
    <border>
      <left style="thin">
        <color rgb="FF000000"/>
      </left>
      <top style="thin">
        <color rgb="FFB7B7B7"/>
      </top>
      <bottom style="thick">
        <color rgb="FF990000"/>
      </bottom>
    </border>
    <border>
      <bottom style="thick">
        <color rgb="FF990000"/>
      </bottom>
    </border>
    <border>
      <right style="thin">
        <color rgb="FFB7B7B7"/>
      </right>
      <bottom style="thick">
        <color rgb="FF990000"/>
      </bottom>
    </border>
    <border>
      <left style="thin">
        <color rgb="FFB7B7B7"/>
      </left>
      <right style="thick">
        <color rgb="FF990000"/>
      </right>
      <bottom style="thick">
        <color rgb="FF990000"/>
      </bottom>
    </border>
    <border>
      <left style="thick">
        <color rgb="FFB45F06"/>
      </left>
      <top style="thick">
        <color rgb="FFB45F06"/>
      </top>
      <bottom style="medium">
        <color rgb="FF000000"/>
      </bottom>
    </border>
    <border>
      <right style="medium">
        <color rgb="FF000000"/>
      </right>
      <top style="thick">
        <color rgb="FFB45F06"/>
      </top>
      <bottom style="medium">
        <color rgb="FF000000"/>
      </bottom>
    </border>
    <border>
      <top style="thick">
        <color rgb="FFB45F06"/>
      </top>
      <bottom style="medium">
        <color rgb="FF000000"/>
      </bottom>
    </border>
    <border>
      <right style="thin">
        <color rgb="FFB7B7B7"/>
      </right>
      <top style="thick">
        <color rgb="FFB45F06"/>
      </top>
      <bottom style="medium">
        <color rgb="FF000000"/>
      </bottom>
    </border>
    <border>
      <top style="thick">
        <color rgb="FFB45F06"/>
      </top>
    </border>
    <border>
      <right style="thin">
        <color rgb="FFB7B7B7"/>
      </right>
      <top style="thick">
        <color rgb="FFB45F06"/>
      </top>
    </border>
    <border>
      <left style="thin">
        <color rgb="FFB7B7B7"/>
      </left>
      <right style="thick">
        <color rgb="FFB45F06"/>
      </right>
      <top style="thick">
        <color rgb="FFB45F06"/>
      </top>
      <bottom style="medium">
        <color rgb="FF000000"/>
      </bottom>
    </border>
    <border>
      <left style="thick">
        <color rgb="FFB45F06"/>
      </left>
      <bottom style="thin">
        <color rgb="FFB7B7B7"/>
      </bottom>
    </border>
    <border>
      <right style="thick">
        <color rgb="FFB45F06"/>
      </right>
      <bottom style="thin">
        <color rgb="FFB7B7B7"/>
      </bottom>
    </border>
    <border>
      <left style="thick">
        <color rgb="FFB45F06"/>
      </left>
      <top style="thin">
        <color rgb="FFB7B7B7"/>
      </top>
      <bottom style="thin">
        <color rgb="FFB7B7B7"/>
      </bottom>
    </border>
    <border>
      <left style="thick">
        <color rgb="FFB45F06"/>
      </left>
      <top style="thin">
        <color rgb="FFB7B7B7"/>
      </top>
      <bottom style="thick">
        <color rgb="FFB45F06"/>
      </bottom>
    </border>
    <border>
      <right style="medium">
        <color rgb="FF000000"/>
      </right>
      <top style="thin">
        <color rgb="FFB7B7B7"/>
      </top>
      <bottom style="thick">
        <color rgb="FFB45F06"/>
      </bottom>
    </border>
    <border>
      <top style="thin">
        <color rgb="FFB7B7B7"/>
      </top>
      <bottom style="thick">
        <color rgb="FFB45F06"/>
      </bottom>
    </border>
    <border>
      <right style="thin">
        <color rgb="FFB7B7B7"/>
      </right>
      <top style="thin">
        <color rgb="FFB7B7B7"/>
      </top>
      <bottom style="thick">
        <color rgb="FFB45F06"/>
      </bottom>
    </border>
    <border>
      <bottom style="thick">
        <color rgb="FFB45F06"/>
      </bottom>
    </border>
    <border>
      <right style="thin">
        <color rgb="FFB7B7B7"/>
      </right>
      <bottom style="thick">
        <color rgb="FFB45F06"/>
      </bottom>
    </border>
    <border>
      <left style="thin">
        <color rgb="FFB7B7B7"/>
      </left>
      <right style="thick">
        <color rgb="FFB45F06"/>
      </right>
      <bottom style="thick">
        <color rgb="FFB45F06"/>
      </bottom>
    </border>
    <border>
      <left style="thick">
        <color rgb="FFBF9000"/>
      </left>
      <top style="thick">
        <color rgb="FFBF9000"/>
      </top>
      <bottom style="medium">
        <color rgb="FF000000"/>
      </bottom>
    </border>
    <border>
      <right style="medium">
        <color rgb="FF000000"/>
      </right>
      <top style="thick">
        <color rgb="FFBF9000"/>
      </top>
      <bottom style="medium">
        <color rgb="FF000000"/>
      </bottom>
    </border>
    <border>
      <top style="thick">
        <color rgb="FFBF9000"/>
      </top>
      <bottom style="medium">
        <color rgb="FF000000"/>
      </bottom>
    </border>
    <border>
      <right style="thin">
        <color rgb="FFB7B7B7"/>
      </right>
      <top style="thick">
        <color rgb="FFBF9000"/>
      </top>
      <bottom style="medium">
        <color rgb="FF000000"/>
      </bottom>
    </border>
    <border>
      <right style="medium">
        <color rgb="FF351C75"/>
      </right>
      <bottom style="thick">
        <color rgb="FF351C75"/>
      </bottom>
    </border>
    <border>
      <left style="thin">
        <color rgb="FFB7B7B7"/>
      </left>
      <right style="thick">
        <color rgb="FFBF9000"/>
      </right>
      <top style="thick">
        <color rgb="FFBF9000"/>
      </top>
      <bottom style="medium">
        <color rgb="FF000000"/>
      </bottom>
    </border>
    <border>
      <left style="thick">
        <color rgb="FFBF9000"/>
      </left>
      <bottom style="thin">
        <color rgb="FFB7B7B7"/>
      </bottom>
    </border>
    <border>
      <bottom style="thick">
        <color rgb="FF351C75"/>
      </bottom>
    </border>
    <border>
      <left style="thin">
        <color rgb="FFB7B7B7"/>
      </left>
      <right style="thick">
        <color rgb="FFBF9000"/>
      </right>
      <bottom style="thin">
        <color rgb="FFB7B7B7"/>
      </bottom>
    </border>
    <border>
      <left style="thick">
        <color rgb="FFBF9000"/>
      </left>
      <top style="thin">
        <color rgb="FFB7B7B7"/>
      </top>
      <bottom style="thin">
        <color rgb="FFB7B7B7"/>
      </bottom>
    </border>
    <border>
      <right style="medium">
        <color rgb="FF000000"/>
      </right>
      <bottom style="thick">
        <color rgb="FF351C75"/>
      </bottom>
    </border>
    <border>
      <left style="thick">
        <color rgb="FFBF9000"/>
      </left>
      <top style="thin">
        <color rgb="FFB7B7B7"/>
      </top>
      <bottom style="thick">
        <color rgb="FFBF9000"/>
      </bottom>
    </border>
    <border>
      <right style="medium">
        <color rgb="FF000000"/>
      </right>
      <top style="thin">
        <color rgb="FFB7B7B7"/>
      </top>
      <bottom style="thick">
        <color rgb="FFBF9000"/>
      </bottom>
    </border>
    <border>
      <top style="thin">
        <color rgb="FFB7B7B7"/>
      </top>
      <bottom style="thick">
        <color rgb="FFBF9000"/>
      </bottom>
    </border>
    <border>
      <right style="thin">
        <color rgb="FFB7B7B7"/>
      </right>
      <top style="thin">
        <color rgb="FFB7B7B7"/>
      </top>
      <bottom style="thick">
        <color rgb="FFBF9000"/>
      </bottom>
    </border>
    <border>
      <right style="thin">
        <color rgb="FF000000"/>
      </right>
      <top style="thin">
        <color rgb="FFB7B7B7"/>
      </top>
      <bottom style="thick">
        <color rgb="FFBF9000"/>
      </bottom>
    </border>
    <border>
      <left style="thin">
        <color rgb="FF000000"/>
      </left>
      <top style="thin">
        <color rgb="FFB7B7B7"/>
      </top>
      <bottom style="thick">
        <color rgb="FFBF9000"/>
      </bottom>
    </border>
    <border>
      <left style="thin">
        <color rgb="FFB7B7B7"/>
      </left>
      <right style="thick">
        <color rgb="FFBF9000"/>
      </right>
      <bottom style="thick">
        <color rgb="FFBF9000"/>
      </bottom>
    </border>
    <border>
      <left style="thick">
        <color rgb="FF38761D"/>
      </left>
      <top style="thick">
        <color rgb="FF38761D"/>
      </top>
      <bottom style="medium">
        <color rgb="FF000000"/>
      </bottom>
    </border>
    <border>
      <right style="medium">
        <color rgb="FF000000"/>
      </right>
      <top style="thick">
        <color rgb="FF38761D"/>
      </top>
      <bottom style="medium">
        <color rgb="FF000000"/>
      </bottom>
    </border>
    <border>
      <top style="thick">
        <color rgb="FF38761D"/>
      </top>
      <bottom style="medium">
        <color rgb="FF000000"/>
      </bottom>
    </border>
    <border>
      <right style="thin">
        <color rgb="FFB7B7B7"/>
      </right>
      <top style="thick">
        <color rgb="FF38761D"/>
      </top>
      <bottom style="medium">
        <color rgb="FF000000"/>
      </bottom>
    </border>
    <border>
      <left style="thin">
        <color rgb="FFB7B7B7"/>
      </left>
      <right style="thick">
        <color rgb="FF38761D"/>
      </right>
      <top style="thick">
        <color rgb="FF38761D"/>
      </top>
      <bottom style="medium">
        <color rgb="FF000000"/>
      </bottom>
    </border>
    <border>
      <left style="thick">
        <color rgb="FF38761D"/>
      </left>
      <bottom style="thin">
        <color rgb="FFB7B7B7"/>
      </bottom>
    </border>
    <border>
      <left style="thin">
        <color rgb="FFB7B7B7"/>
      </left>
      <right style="thick">
        <color rgb="FF38761D"/>
      </right>
      <bottom style="thin">
        <color rgb="FFB7B7B7"/>
      </bottom>
    </border>
    <border>
      <left style="thick">
        <color rgb="FF38761D"/>
      </left>
      <top style="thin">
        <color rgb="FFB7B7B7"/>
      </top>
      <bottom style="thin">
        <color rgb="FFB7B7B7"/>
      </bottom>
    </border>
    <border>
      <left style="thick">
        <color rgb="FF38761D"/>
      </left>
      <top style="thin">
        <color rgb="FFB7B7B7"/>
      </top>
      <bottom style="thick">
        <color rgb="FF38761D"/>
      </bottom>
    </border>
    <border>
      <right style="medium">
        <color rgb="FF000000"/>
      </right>
      <top style="thin">
        <color rgb="FFB7B7B7"/>
      </top>
      <bottom style="thick">
        <color rgb="FF38761D"/>
      </bottom>
    </border>
    <border>
      <top style="thin">
        <color rgb="FFB7B7B7"/>
      </top>
      <bottom style="thick">
        <color rgb="FF38761D"/>
      </bottom>
    </border>
    <border>
      <right style="thin">
        <color rgb="FFB7B7B7"/>
      </right>
      <top style="thin">
        <color rgb="FFB7B7B7"/>
      </top>
      <bottom style="thick">
        <color rgb="FF38761D"/>
      </bottom>
    </border>
    <border>
      <right style="thin">
        <color rgb="FF000000"/>
      </right>
      <top style="thin">
        <color rgb="FFB7B7B7"/>
      </top>
      <bottom style="thick">
        <color rgb="FF38761D"/>
      </bottom>
    </border>
    <border>
      <left style="thin">
        <color rgb="FF000000"/>
      </left>
      <top style="thin">
        <color rgb="FFB7B7B7"/>
      </top>
      <bottom style="thick">
        <color rgb="FF38761D"/>
      </bottom>
    </border>
    <border>
      <left style="thin">
        <color rgb="FFB7B7B7"/>
      </left>
      <right style="thick">
        <color rgb="FF38761D"/>
      </right>
      <bottom style="thick">
        <color rgb="FF38761D"/>
      </bottom>
    </border>
    <border>
      <right style="thick">
        <color rgb="FF351C75"/>
      </right>
    </border>
    <border>
      <left style="thick">
        <color rgb="FF351C75"/>
      </left>
    </border>
    <border>
      <left style="thick">
        <color rgb="FF000000"/>
      </left>
    </border>
    <border>
      <right style="thick">
        <color rgb="FF351C75"/>
      </right>
      <bottom style="medium">
        <color rgb="FF351C75"/>
      </bottom>
    </border>
    <border>
      <left style="thick">
        <color rgb="FF351C75"/>
      </left>
      <bottom style="medium">
        <color rgb="FF351C75"/>
      </bottom>
    </border>
    <border>
      <left style="thick">
        <color rgb="FF000000"/>
      </left>
      <bottom style="medium">
        <color rgb="FF351C75"/>
      </bottom>
    </border>
  </borders>
  <cellStyleXfs count="1">
    <xf borderId="0" fillId="0" fontId="0" numFmtId="0" applyAlignment="1" applyFont="1"/>
  </cellStyleXfs>
  <cellXfs count="2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0" fontId="2" numFmtId="0" xfId="0" applyBorder="1" applyFont="1"/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1" fillId="0" fontId="6" numFmtId="0" xfId="0" applyBorder="1" applyFont="1"/>
    <xf borderId="3" fillId="0" fontId="6" numFmtId="0" xfId="0" applyBorder="1" applyFont="1"/>
    <xf borderId="4" fillId="0" fontId="6" numFmtId="0" xfId="0" applyBorder="1" applyFont="1"/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0" fillId="2" fontId="1" numFmtId="0" xfId="0" applyFill="1" applyFont="1"/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2" numFmtId="0" xfId="0" applyFont="1"/>
    <xf borderId="0" fillId="0" fontId="2" numFmtId="0" xfId="0" applyFont="1"/>
    <xf borderId="6" fillId="0" fontId="2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/>
    </xf>
    <xf borderId="0" fillId="0" fontId="1" numFmtId="0" xfId="0" applyFont="1"/>
    <xf borderId="7" fillId="0" fontId="14" numFmtId="0" xfId="0" applyAlignment="1" applyBorder="1" applyFont="1">
      <alignment horizontal="center" readingOrder="0"/>
    </xf>
    <xf borderId="8" fillId="0" fontId="15" numFmtId="0" xfId="0" applyAlignment="1" applyBorder="1" applyFont="1">
      <alignment horizontal="left"/>
    </xf>
    <xf borderId="6" fillId="0" fontId="14" numFmtId="0" xfId="0" applyAlignment="1" applyBorder="1" applyFont="1">
      <alignment horizontal="center" readingOrder="0"/>
    </xf>
    <xf borderId="9" fillId="0" fontId="6" numFmtId="0" xfId="0" applyBorder="1" applyFont="1"/>
    <xf borderId="0" fillId="0" fontId="16" numFmtId="0" xfId="0" applyAlignment="1" applyFont="1">
      <alignment horizontal="center" readingOrder="0"/>
    </xf>
    <xf borderId="7" fillId="0" fontId="17" numFmtId="0" xfId="0" applyAlignment="1" applyBorder="1" applyFont="1">
      <alignment horizontal="center" readingOrder="0"/>
    </xf>
    <xf borderId="6" fillId="0" fontId="17" numFmtId="0" xfId="0" applyAlignment="1" applyBorder="1" applyFont="1">
      <alignment horizontal="center" readingOrder="0"/>
    </xf>
    <xf borderId="7" fillId="0" fontId="18" numFmtId="0" xfId="0" applyAlignment="1" applyBorder="1" applyFont="1">
      <alignment horizontal="center" readingOrder="0"/>
    </xf>
    <xf borderId="5" fillId="0" fontId="16" numFmtId="0" xfId="0" applyAlignment="1" applyBorder="1" applyFont="1">
      <alignment horizontal="center" readingOrder="0"/>
    </xf>
    <xf borderId="6" fillId="0" fontId="18" numFmtId="0" xfId="0" applyAlignment="1" applyBorder="1" applyFont="1">
      <alignment horizontal="center" readingOrder="0"/>
    </xf>
    <xf borderId="7" fillId="0" fontId="19" numFmtId="0" xfId="0" applyAlignment="1" applyBorder="1" applyFont="1">
      <alignment horizontal="center" readingOrder="0"/>
    </xf>
    <xf borderId="10" fillId="0" fontId="19" numFmtId="0" xfId="0" applyAlignment="1" applyBorder="1" applyFont="1">
      <alignment horizontal="center" readingOrder="0"/>
    </xf>
    <xf borderId="0" fillId="0" fontId="20" numFmtId="0" xfId="0" applyAlignment="1" applyFont="1">
      <alignment horizontal="center" readingOrder="0"/>
    </xf>
    <xf borderId="0" fillId="0" fontId="21" numFmtId="0" xfId="0" applyAlignment="1" applyFont="1">
      <alignment horizontal="center" readingOrder="0"/>
    </xf>
    <xf borderId="1" fillId="0" fontId="16" numFmtId="0" xfId="0" applyAlignment="1" applyBorder="1" applyFont="1">
      <alignment horizontal="center" readingOrder="0" vertical="center"/>
    </xf>
    <xf borderId="0" fillId="3" fontId="13" numFmtId="0" xfId="0" applyAlignment="1" applyFill="1" applyFont="1">
      <alignment horizontal="center" readingOrder="0"/>
    </xf>
    <xf borderId="0" fillId="4" fontId="13" numFmtId="0" xfId="0" applyAlignment="1" applyFill="1" applyFont="1">
      <alignment horizontal="center" readingOrder="0"/>
    </xf>
    <xf borderId="0" fillId="0" fontId="22" numFmtId="0" xfId="0" applyAlignment="1" applyFont="1">
      <alignment horizontal="center" readingOrder="0"/>
    </xf>
    <xf borderId="0" fillId="3" fontId="13" numFmtId="0" xfId="0" applyAlignment="1" applyFill="1" applyFont="1">
      <alignment horizontal="center" readingOrder="0" vertical="bottom"/>
    </xf>
    <xf borderId="0" fillId="0" fontId="14" numFmtId="0" xfId="0" applyAlignment="1" applyFont="1">
      <alignment horizontal="center"/>
    </xf>
    <xf borderId="11" fillId="5" fontId="15" numFmtId="0" xfId="0" applyAlignment="1" applyBorder="1" applyFill="1" applyFont="1">
      <alignment horizontal="left"/>
    </xf>
    <xf borderId="12" fillId="0" fontId="6" numFmtId="0" xfId="0" applyBorder="1" applyFont="1"/>
    <xf borderId="1" fillId="0" fontId="14" numFmtId="0" xfId="0" applyAlignment="1" applyBorder="1" applyFont="1">
      <alignment horizontal="center" readingOrder="0"/>
    </xf>
    <xf borderId="13" fillId="0" fontId="5" numFmtId="0" xfId="0" applyAlignment="1" applyBorder="1" applyFont="1">
      <alignment horizontal="center" readingOrder="0"/>
    </xf>
    <xf borderId="0" fillId="0" fontId="23" numFmtId="0" xfId="0" applyFont="1"/>
    <xf borderId="0" fillId="0" fontId="17" numFmtId="0" xfId="0" applyAlignment="1" applyFont="1">
      <alignment horizontal="center"/>
    </xf>
    <xf borderId="1" fillId="0" fontId="17" numFmtId="0" xfId="0" applyAlignment="1" applyBorder="1" applyFont="1">
      <alignment horizontal="center" readingOrder="0"/>
    </xf>
    <xf borderId="14" fillId="0" fontId="15" numFmtId="0" xfId="0" applyAlignment="1" applyBorder="1" applyFont="1">
      <alignment readingOrder="0"/>
    </xf>
    <xf borderId="0" fillId="0" fontId="16" numFmtId="0" xfId="0" applyAlignment="1" applyFont="1">
      <alignment horizontal="center" readingOrder="0" vertical="center"/>
    </xf>
    <xf borderId="0" fillId="0" fontId="18" numFmtId="0" xfId="0" applyAlignment="1" applyFont="1">
      <alignment horizontal="center"/>
    </xf>
    <xf borderId="0" fillId="0" fontId="13" numFmtId="0" xfId="0" applyAlignment="1" applyFont="1">
      <alignment vertical="bottom"/>
    </xf>
    <xf borderId="0" fillId="4" fontId="13" numFmtId="0" xfId="0" applyAlignment="1" applyFill="1" applyFont="1">
      <alignment vertical="bottom"/>
    </xf>
    <xf borderId="15" fillId="0" fontId="15" numFmtId="0" xfId="0" applyAlignment="1" applyBorder="1" applyFont="1">
      <alignment readingOrder="0"/>
    </xf>
    <xf borderId="1" fillId="0" fontId="18" numFmtId="0" xfId="0" applyAlignment="1" applyBorder="1" applyFont="1">
      <alignment horizontal="center" readingOrder="0"/>
    </xf>
    <xf borderId="16" fillId="5" fontId="15" numFmtId="0" xfId="0" applyAlignment="1" applyBorder="1" applyFill="1" applyFont="1">
      <alignment horizontal="center"/>
    </xf>
    <xf borderId="17" fillId="5" fontId="15" numFmtId="0" xfId="0" applyAlignment="1" applyBorder="1" applyFill="1" applyFont="1">
      <alignment horizontal="center"/>
    </xf>
    <xf borderId="0" fillId="4" fontId="13" numFmtId="0" xfId="0" applyAlignment="1" applyFill="1" applyFont="1">
      <alignment horizontal="center"/>
    </xf>
    <xf borderId="0" fillId="0" fontId="19" numFmtId="0" xfId="0" applyAlignment="1" applyFont="1">
      <alignment horizontal="center"/>
    </xf>
    <xf borderId="18" fillId="0" fontId="15" numFmtId="0" xfId="0" applyAlignment="1" applyBorder="1" applyFont="1">
      <alignment horizontal="center" readingOrder="0"/>
    </xf>
    <xf borderId="3" fillId="0" fontId="19" numFmtId="0" xfId="0" applyAlignment="1" applyBorder="1" applyFont="1">
      <alignment horizontal="center" readingOrder="0"/>
    </xf>
    <xf borderId="0" fillId="0" fontId="13" numFmtId="0" xfId="0" applyAlignment="1" applyFont="1">
      <alignment horizontal="center" vertical="bottom"/>
    </xf>
    <xf borderId="0" fillId="0" fontId="20" numFmtId="0" xfId="0" applyAlignment="1" applyFont="1">
      <alignment horizontal="center"/>
    </xf>
    <xf borderId="0" fillId="0" fontId="21" numFmtId="0" xfId="0" applyAlignment="1" applyFont="1">
      <alignment horizontal="center"/>
    </xf>
    <xf borderId="0" fillId="0" fontId="24" numFmtId="0" xfId="0" applyAlignment="1" applyFont="1">
      <alignment horizontal="center" readingOrder="0" vertical="bottom"/>
    </xf>
    <xf borderId="0" fillId="4" fontId="24" numFmtId="0" xfId="0" applyAlignment="1" applyFill="1" applyFont="1">
      <alignment horizontal="center" readingOrder="0" vertical="bottom"/>
    </xf>
    <xf borderId="0" fillId="0" fontId="14" numFmtId="0" xfId="0" applyAlignment="1" applyFont="1">
      <alignment horizontal="center" readingOrder="0"/>
    </xf>
    <xf borderId="3" fillId="0" fontId="1" numFmtId="0" xfId="0" applyBorder="1" applyFont="1"/>
    <xf borderId="0" fillId="0" fontId="17" numFmtId="0" xfId="0" applyAlignment="1" applyFont="1">
      <alignment horizontal="center" readingOrder="0"/>
    </xf>
    <xf borderId="3" fillId="0" fontId="17" numFmtId="0" xfId="0" applyAlignment="1" applyBorder="1" applyFont="1">
      <alignment horizontal="center" readingOrder="0"/>
    </xf>
    <xf borderId="17" fillId="0" fontId="15" numFmtId="0" xfId="0" applyAlignment="1" applyBorder="1" applyFont="1">
      <alignment horizontal="center"/>
    </xf>
    <xf borderId="0" fillId="0" fontId="18" numFmtId="0" xfId="0" applyAlignment="1" applyFont="1">
      <alignment horizontal="center" readingOrder="0"/>
    </xf>
    <xf borderId="0" fillId="3" fontId="13" numFmtId="0" xfId="0" applyAlignment="1" applyFill="1" applyFont="1">
      <alignment horizontal="center"/>
    </xf>
    <xf borderId="0" fillId="0" fontId="19" numFmtId="0" xfId="0" applyAlignment="1" applyFont="1">
      <alignment horizontal="center" readingOrder="0"/>
    </xf>
    <xf borderId="19" fillId="0" fontId="6" numFmtId="0" xfId="0" applyBorder="1" applyFont="1"/>
    <xf borderId="16" fillId="0" fontId="15" numFmtId="0" xfId="0" applyAlignment="1" applyBorder="1" applyFont="1">
      <alignment horizontal="center" readingOrder="0"/>
    </xf>
    <xf borderId="20" fillId="0" fontId="14" numFmtId="0" xfId="0" applyAlignment="1" applyBorder="1" applyFont="1">
      <alignment horizontal="center"/>
    </xf>
    <xf borderId="21" fillId="0" fontId="15" numFmtId="0" xfId="0" applyAlignment="1" applyBorder="1" applyFont="1">
      <alignment horizontal="center" readingOrder="0"/>
    </xf>
    <xf borderId="22" fillId="0" fontId="15" numFmtId="0" xfId="0" applyAlignment="1" applyBorder="1" applyFont="1">
      <alignment horizontal="center" readingOrder="0"/>
    </xf>
    <xf borderId="19" fillId="0" fontId="14" numFmtId="0" xfId="0" applyAlignment="1" applyBorder="1" applyFont="1">
      <alignment horizontal="center" readingOrder="0"/>
    </xf>
    <xf borderId="0" fillId="5" fontId="15" numFmtId="0" xfId="0" applyAlignment="1" applyFill="1" applyFont="1">
      <alignment horizontal="center" readingOrder="0"/>
    </xf>
    <xf borderId="20" fillId="0" fontId="17" numFmtId="0" xfId="0" applyAlignment="1" applyBorder="1" applyFont="1">
      <alignment horizontal="center"/>
    </xf>
    <xf borderId="23" fillId="0" fontId="17" numFmtId="0" xfId="0" applyAlignment="1" applyBorder="1" applyFont="1">
      <alignment horizontal="center" readingOrder="0"/>
    </xf>
    <xf borderId="0" fillId="5" fontId="15" numFmtId="0" xfId="0" applyAlignment="1" applyFill="1" applyFont="1">
      <alignment horizontal="center"/>
    </xf>
    <xf borderId="20" fillId="0" fontId="18" numFmtId="0" xfId="0" applyAlignment="1" applyBorder="1" applyFont="1">
      <alignment horizontal="center"/>
    </xf>
    <xf borderId="0" fillId="0" fontId="13" numFmtId="0" xfId="0" applyAlignment="1" applyFont="1">
      <alignment horizontal="center" readingOrder="0" vertical="bottom"/>
    </xf>
    <xf borderId="0" fillId="0" fontId="13" numFmtId="0" xfId="0" applyAlignment="1" applyFont="1">
      <alignment horizontal="center" readingOrder="0"/>
    </xf>
    <xf borderId="19" fillId="0" fontId="18" numFmtId="0" xfId="0" applyAlignment="1" applyBorder="1" applyFont="1">
      <alignment horizontal="center" readingOrder="0"/>
    </xf>
    <xf borderId="0" fillId="0" fontId="22" numFmtId="0" xfId="0" applyAlignment="1" applyFont="1">
      <alignment horizontal="center" readingOrder="0" vertical="center"/>
    </xf>
    <xf borderId="20" fillId="0" fontId="19" numFmtId="0" xfId="0" applyAlignment="1" applyBorder="1" applyFont="1">
      <alignment horizontal="center"/>
    </xf>
    <xf borderId="24" fillId="0" fontId="15" numFmtId="0" xfId="0" applyBorder="1" applyFont="1"/>
    <xf borderId="25" fillId="0" fontId="19" numFmtId="0" xfId="0" applyAlignment="1" applyBorder="1" applyFont="1">
      <alignment horizontal="center" readingOrder="0"/>
    </xf>
    <xf borderId="26" fillId="0" fontId="15" numFmtId="0" xfId="0" applyAlignment="1" applyBorder="1" applyFont="1">
      <alignment readingOrder="0"/>
    </xf>
    <xf borderId="27" fillId="0" fontId="15" numFmtId="0" xfId="0" applyAlignment="1" applyBorder="1" applyFont="1">
      <alignment readingOrder="0"/>
    </xf>
    <xf borderId="0" fillId="6" fontId="13" numFmtId="0" xfId="0" applyAlignment="1" applyFill="1" applyFont="1">
      <alignment horizontal="center" readingOrder="0"/>
    </xf>
    <xf borderId="28" fillId="0" fontId="15" numFmtId="0" xfId="0" applyAlignment="1" applyBorder="1" applyFont="1">
      <alignment horizontal="center"/>
    </xf>
    <xf borderId="0" fillId="6" fontId="22" numFmtId="0" xfId="0" applyAlignment="1" applyFill="1" applyFont="1">
      <alignment horizontal="center" readingOrder="0"/>
    </xf>
    <xf borderId="18" fillId="5" fontId="15" numFmtId="0" xfId="0" applyAlignment="1" applyBorder="1" applyFill="1" applyFont="1">
      <alignment horizontal="center"/>
    </xf>
    <xf borderId="28" fillId="5" fontId="15" numFmtId="0" xfId="0" applyAlignment="1" applyBorder="1" applyFill="1" applyFont="1">
      <alignment horizontal="center"/>
    </xf>
    <xf borderId="0" fillId="6" fontId="13" numFmtId="0" xfId="0" applyAlignment="1" applyFill="1" applyFont="1">
      <alignment horizontal="center"/>
    </xf>
    <xf borderId="29" fillId="0" fontId="15" numFmtId="0" xfId="0" applyAlignment="1" applyBorder="1" applyFont="1">
      <alignment horizontal="center" readingOrder="0"/>
    </xf>
    <xf borderId="0" fillId="3" fontId="23" numFmtId="0" xfId="0" applyAlignment="1" applyFill="1" applyFont="1">
      <alignment horizontal="center" readingOrder="0" vertical="center"/>
    </xf>
    <xf borderId="18" fillId="0" fontId="15" numFmtId="0" xfId="0" applyAlignment="1" applyBorder="1" applyFont="1">
      <alignment horizontal="center"/>
    </xf>
    <xf borderId="0" fillId="0" fontId="24" numFmtId="0" xfId="0" applyAlignment="1" applyFont="1">
      <alignment horizontal="center" readingOrder="0"/>
    </xf>
    <xf borderId="28" fillId="0" fontId="15" numFmtId="0" xfId="0" applyAlignment="1" applyBorder="1" applyFont="1">
      <alignment horizontal="center" readingOrder="0"/>
    </xf>
    <xf borderId="19" fillId="0" fontId="17" numFmtId="0" xfId="0" applyAlignment="1" applyBorder="1" applyFont="1">
      <alignment horizontal="center" readingOrder="0"/>
    </xf>
    <xf borderId="29" fillId="5" fontId="15" numFmtId="0" xfId="0" applyAlignment="1" applyBorder="1" applyFill="1" applyFont="1">
      <alignment horizontal="center"/>
    </xf>
    <xf borderId="30" fillId="0" fontId="15" numFmtId="0" xfId="0" applyAlignment="1" applyBorder="1" applyFont="1">
      <alignment readingOrder="0"/>
    </xf>
    <xf borderId="31" fillId="0" fontId="15" numFmtId="0" xfId="0" applyAlignment="1" applyBorder="1" applyFont="1">
      <alignment readingOrder="0"/>
    </xf>
    <xf borderId="32" fillId="0" fontId="15" numFmtId="0" xfId="0" applyAlignment="1" applyBorder="1" applyFont="1">
      <alignment horizontal="center" readingOrder="0"/>
    </xf>
    <xf borderId="33" fillId="0" fontId="15" numFmtId="0" xfId="0" applyAlignment="1" applyBorder="1" applyFont="1">
      <alignment horizontal="center"/>
    </xf>
    <xf borderId="33" fillId="0" fontId="15" numFmtId="0" xfId="0" applyAlignment="1" applyBorder="1" applyFont="1">
      <alignment horizontal="center" readingOrder="0"/>
    </xf>
    <xf borderId="34" fillId="0" fontId="15" numFmtId="0" xfId="0" applyAlignment="1" applyBorder="1" applyFont="1">
      <alignment horizontal="center" readingOrder="0"/>
    </xf>
    <xf borderId="35" fillId="5" fontId="15" numFmtId="0" xfId="0" applyAlignment="1" applyBorder="1" applyFill="1" applyFont="1">
      <alignment horizontal="center" readingOrder="0"/>
    </xf>
    <xf borderId="33" fillId="5" fontId="15" numFmtId="0" xfId="0" applyAlignment="1" applyBorder="1" applyFill="1" applyFont="1">
      <alignment horizontal="center"/>
    </xf>
    <xf borderId="36" fillId="5" fontId="15" numFmtId="0" xfId="0" applyAlignment="1" applyBorder="1" applyFill="1" applyFont="1">
      <alignment horizontal="center"/>
    </xf>
    <xf borderId="37" fillId="5" fontId="15" numFmtId="0" xfId="0" applyAlignment="1" applyBorder="1" applyFill="1" applyFont="1">
      <alignment horizontal="center"/>
    </xf>
    <xf borderId="38" fillId="0" fontId="15" numFmtId="0" xfId="0" applyBorder="1" applyFont="1"/>
    <xf borderId="39" fillId="0" fontId="5" numFmtId="0" xfId="0" applyAlignment="1" applyBorder="1" applyFont="1">
      <alignment horizontal="center" readingOrder="0"/>
    </xf>
    <xf borderId="40" fillId="0" fontId="6" numFmtId="0" xfId="0" applyBorder="1" applyFont="1"/>
    <xf borderId="41" fillId="0" fontId="15" numFmtId="0" xfId="0" applyAlignment="1" applyBorder="1" applyFont="1">
      <alignment horizontal="left"/>
    </xf>
    <xf borderId="42" fillId="0" fontId="6" numFmtId="0" xfId="0" applyBorder="1" applyFont="1"/>
    <xf borderId="43" fillId="5" fontId="15" numFmtId="0" xfId="0" applyAlignment="1" applyBorder="1" applyFill="1" applyFont="1">
      <alignment horizontal="left"/>
    </xf>
    <xf borderId="44" fillId="0" fontId="6" numFmtId="0" xfId="0" applyBorder="1" applyFont="1"/>
    <xf borderId="45" fillId="0" fontId="5" numFmtId="0" xfId="0" applyAlignment="1" applyBorder="1" applyFont="1">
      <alignment horizontal="center" readingOrder="0"/>
    </xf>
    <xf borderId="46" fillId="0" fontId="15" numFmtId="0" xfId="0" applyAlignment="1" applyBorder="1" applyFont="1">
      <alignment readingOrder="0"/>
    </xf>
    <xf borderId="20" fillId="0" fontId="14" numFmtId="0" xfId="0" applyAlignment="1" applyBorder="1" applyFont="1">
      <alignment horizontal="center" readingOrder="0"/>
    </xf>
    <xf borderId="20" fillId="0" fontId="17" numFmtId="0" xfId="0" applyAlignment="1" applyBorder="1" applyFont="1">
      <alignment horizontal="center" readingOrder="0"/>
    </xf>
    <xf borderId="20" fillId="0" fontId="18" numFmtId="0" xfId="0" applyAlignment="1" applyBorder="1" applyFont="1">
      <alignment horizontal="center" readingOrder="0"/>
    </xf>
    <xf borderId="20" fillId="0" fontId="19" numFmtId="0" xfId="0" applyAlignment="1" applyBorder="1" applyFont="1">
      <alignment horizontal="center" readingOrder="0"/>
    </xf>
    <xf borderId="47" fillId="0" fontId="15" numFmtId="0" xfId="0" applyBorder="1" applyFont="1"/>
    <xf borderId="48" fillId="0" fontId="15" numFmtId="0" xfId="0" applyAlignment="1" applyBorder="1" applyFont="1">
      <alignment readingOrder="0"/>
    </xf>
    <xf borderId="49" fillId="0" fontId="15" numFmtId="0" xfId="0" applyAlignment="1" applyBorder="1" applyFont="1">
      <alignment readingOrder="0"/>
    </xf>
    <xf borderId="50" fillId="0" fontId="15" numFmtId="0" xfId="0" applyAlignment="1" applyBorder="1" applyFont="1">
      <alignment readingOrder="0"/>
    </xf>
    <xf borderId="51" fillId="0" fontId="15" numFmtId="0" xfId="0" applyAlignment="1" applyBorder="1" applyFont="1">
      <alignment horizontal="center" readingOrder="0"/>
    </xf>
    <xf borderId="52" fillId="0" fontId="15" numFmtId="0" xfId="0" applyAlignment="1" applyBorder="1" applyFont="1">
      <alignment horizontal="center"/>
    </xf>
    <xf borderId="52" fillId="0" fontId="15" numFmtId="0" xfId="0" applyAlignment="1" applyBorder="1" applyFont="1">
      <alignment horizontal="center" readingOrder="0"/>
    </xf>
    <xf borderId="51" fillId="5" fontId="15" numFmtId="0" xfId="0" applyAlignment="1" applyBorder="1" applyFill="1" applyFont="1">
      <alignment horizontal="center" readingOrder="0"/>
    </xf>
    <xf borderId="52" fillId="5" fontId="15" numFmtId="0" xfId="0" applyAlignment="1" applyBorder="1" applyFill="1" applyFont="1">
      <alignment horizontal="center"/>
    </xf>
    <xf borderId="53" fillId="5" fontId="15" numFmtId="0" xfId="0" applyAlignment="1" applyBorder="1" applyFill="1" applyFont="1">
      <alignment horizontal="center"/>
    </xf>
    <xf borderId="54" fillId="5" fontId="15" numFmtId="0" xfId="0" applyAlignment="1" applyBorder="1" applyFill="1" applyFont="1">
      <alignment horizontal="center"/>
    </xf>
    <xf borderId="55" fillId="0" fontId="15" numFmtId="0" xfId="0" applyBorder="1" applyFont="1"/>
    <xf borderId="56" fillId="0" fontId="5" numFmtId="0" xfId="0" applyAlignment="1" applyBorder="1" applyFont="1">
      <alignment horizontal="center" readingOrder="0"/>
    </xf>
    <xf borderId="57" fillId="0" fontId="6" numFmtId="0" xfId="0" applyBorder="1" applyFont="1"/>
    <xf borderId="58" fillId="0" fontId="15" numFmtId="0" xfId="0" applyAlignment="1" applyBorder="1" applyFont="1">
      <alignment horizontal="left"/>
    </xf>
    <xf borderId="59" fillId="0" fontId="6" numFmtId="0" xfId="0" applyBorder="1" applyFont="1"/>
    <xf borderId="60" fillId="0" fontId="6" numFmtId="0" xfId="0" applyBorder="1" applyFont="1"/>
    <xf borderId="61" fillId="0" fontId="5" numFmtId="0" xfId="0" applyAlignment="1" applyBorder="1" applyFont="1">
      <alignment horizontal="center" readingOrder="0"/>
    </xf>
    <xf borderId="62" fillId="0" fontId="15" numFmtId="0" xfId="0" applyAlignment="1" applyBorder="1" applyFont="1">
      <alignment readingOrder="0"/>
    </xf>
    <xf borderId="63" fillId="0" fontId="14" numFmtId="0" xfId="0" applyAlignment="1" applyBorder="1" applyFont="1">
      <alignment horizontal="center"/>
    </xf>
    <xf borderId="63" fillId="0" fontId="14" numFmtId="0" xfId="0" applyAlignment="1" applyBorder="1" applyFont="1">
      <alignment horizontal="center" readingOrder="0"/>
    </xf>
    <xf borderId="60" fillId="0" fontId="14" numFmtId="0" xfId="0" applyAlignment="1" applyBorder="1" applyFont="1">
      <alignment horizontal="center" readingOrder="0"/>
    </xf>
    <xf borderId="63" fillId="0" fontId="17" numFmtId="0" xfId="0" applyAlignment="1" applyBorder="1" applyFont="1">
      <alignment horizontal="center"/>
    </xf>
    <xf borderId="63" fillId="0" fontId="17" numFmtId="0" xfId="0" applyAlignment="1" applyBorder="1" applyFont="1">
      <alignment horizontal="center" readingOrder="0"/>
    </xf>
    <xf borderId="60" fillId="0" fontId="17" numFmtId="0" xfId="0" applyAlignment="1" applyBorder="1" applyFont="1">
      <alignment horizontal="center" readingOrder="0"/>
    </xf>
    <xf borderId="17" fillId="0" fontId="15" numFmtId="0" xfId="0" applyAlignment="1" applyBorder="1" applyFont="1">
      <alignment horizontal="center" readingOrder="0"/>
    </xf>
    <xf borderId="63" fillId="0" fontId="18" numFmtId="0" xfId="0" applyAlignment="1" applyBorder="1" applyFont="1">
      <alignment horizontal="center"/>
    </xf>
    <xf borderId="63" fillId="0" fontId="18" numFmtId="0" xfId="0" applyAlignment="1" applyBorder="1" applyFont="1">
      <alignment horizontal="center" readingOrder="0"/>
    </xf>
    <xf borderId="60" fillId="0" fontId="18" numFmtId="0" xfId="0" applyAlignment="1" applyBorder="1" applyFont="1">
      <alignment horizontal="center" readingOrder="0"/>
    </xf>
    <xf borderId="64" fillId="0" fontId="15" numFmtId="0" xfId="0" applyAlignment="1" applyBorder="1" applyFont="1">
      <alignment readingOrder="0"/>
    </xf>
    <xf borderId="63" fillId="0" fontId="19" numFmtId="0" xfId="0" applyAlignment="1" applyBorder="1" applyFont="1">
      <alignment horizontal="center"/>
    </xf>
    <xf borderId="63" fillId="0" fontId="19" numFmtId="0" xfId="0" applyAlignment="1" applyBorder="1" applyFont="1">
      <alignment horizontal="center" readingOrder="0"/>
    </xf>
    <xf borderId="65" fillId="0" fontId="15" numFmtId="0" xfId="0" applyAlignment="1" applyBorder="1" applyFont="1">
      <alignment readingOrder="0"/>
    </xf>
    <xf borderId="66" fillId="0" fontId="19" numFmtId="0" xfId="0" applyAlignment="1" applyBorder="1" applyFont="1">
      <alignment horizontal="center" readingOrder="0"/>
    </xf>
    <xf borderId="22" fillId="5" fontId="15" numFmtId="0" xfId="0" applyAlignment="1" applyBorder="1" applyFill="1" applyFont="1">
      <alignment horizontal="center"/>
    </xf>
    <xf borderId="67" fillId="0" fontId="15" numFmtId="0" xfId="0" applyAlignment="1" applyBorder="1" applyFont="1">
      <alignment readingOrder="0"/>
    </xf>
    <xf borderId="68" fillId="0" fontId="15" numFmtId="0" xfId="0" applyAlignment="1" applyBorder="1" applyFont="1">
      <alignment readingOrder="0"/>
    </xf>
    <xf borderId="69" fillId="0" fontId="15" numFmtId="0" xfId="0" applyAlignment="1" applyBorder="1" applyFont="1">
      <alignment horizontal="center" readingOrder="0"/>
    </xf>
    <xf borderId="70" fillId="0" fontId="15" numFmtId="0" xfId="0" applyAlignment="1" applyBorder="1" applyFont="1">
      <alignment horizontal="center"/>
    </xf>
    <xf borderId="71" fillId="0" fontId="15" numFmtId="0" xfId="0" applyAlignment="1" applyBorder="1" applyFont="1">
      <alignment horizontal="center" readingOrder="0"/>
    </xf>
    <xf borderId="72" fillId="0" fontId="15" numFmtId="0" xfId="0" applyAlignment="1" applyBorder="1" applyFont="1">
      <alignment horizontal="center" readingOrder="0"/>
    </xf>
    <xf borderId="69" fillId="5" fontId="15" numFmtId="0" xfId="0" applyAlignment="1" applyBorder="1" applyFill="1" applyFont="1">
      <alignment horizontal="center"/>
    </xf>
    <xf borderId="70" fillId="5" fontId="15" numFmtId="0" xfId="0" applyAlignment="1" applyBorder="1" applyFill="1" applyFont="1">
      <alignment horizontal="center"/>
    </xf>
    <xf borderId="73" fillId="0" fontId="15" numFmtId="0" xfId="0" applyAlignment="1" applyBorder="1" applyFont="1">
      <alignment readingOrder="0"/>
    </xf>
    <xf borderId="74" fillId="0" fontId="5" numFmtId="0" xfId="0" applyAlignment="1" applyBorder="1" applyFont="1">
      <alignment horizontal="center" readingOrder="0"/>
    </xf>
    <xf borderId="75" fillId="0" fontId="6" numFmtId="0" xfId="0" applyBorder="1" applyFont="1"/>
    <xf borderId="76" fillId="0" fontId="15" numFmtId="0" xfId="0" applyAlignment="1" applyBorder="1" applyFont="1">
      <alignment horizontal="left"/>
    </xf>
    <xf borderId="77" fillId="0" fontId="6" numFmtId="0" xfId="0" applyBorder="1" applyFont="1"/>
    <xf borderId="78" fillId="0" fontId="5" numFmtId="0" xfId="0" applyAlignment="1" applyBorder="1" applyFont="1">
      <alignment horizontal="center" readingOrder="0"/>
    </xf>
    <xf borderId="79" fillId="0" fontId="15" numFmtId="0" xfId="0" applyAlignment="1" applyBorder="1" applyFont="1">
      <alignment readingOrder="0"/>
    </xf>
    <xf borderId="80" fillId="0" fontId="15" numFmtId="0" xfId="0" applyAlignment="1" applyBorder="1" applyFont="1">
      <alignment readingOrder="0"/>
    </xf>
    <xf borderId="81" fillId="0" fontId="15" numFmtId="0" xfId="0" applyAlignment="1" applyBorder="1" applyFont="1">
      <alignment readingOrder="0"/>
    </xf>
    <xf borderId="82" fillId="0" fontId="15" numFmtId="0" xfId="0" applyAlignment="1" applyBorder="1" applyFont="1">
      <alignment readingOrder="0"/>
    </xf>
    <xf borderId="83" fillId="0" fontId="15" numFmtId="0" xfId="0" applyAlignment="1" applyBorder="1" applyFont="1">
      <alignment readingOrder="0"/>
    </xf>
    <xf borderId="84" fillId="0" fontId="15" numFmtId="0" xfId="0" applyAlignment="1" applyBorder="1" applyFont="1">
      <alignment horizontal="center" readingOrder="0"/>
    </xf>
    <xf borderId="85" fillId="0" fontId="15" numFmtId="0" xfId="0" applyAlignment="1" applyBorder="1" applyFont="1">
      <alignment horizontal="center"/>
    </xf>
    <xf borderId="86" fillId="0" fontId="15" numFmtId="0" xfId="0" applyAlignment="1" applyBorder="1" applyFont="1">
      <alignment horizontal="center" readingOrder="0"/>
    </xf>
    <xf borderId="87" fillId="0" fontId="15" numFmtId="0" xfId="0" applyAlignment="1" applyBorder="1" applyFont="1">
      <alignment horizontal="center" readingOrder="0"/>
    </xf>
    <xf borderId="84" fillId="5" fontId="15" numFmtId="0" xfId="0" applyAlignment="1" applyBorder="1" applyFill="1" applyFont="1">
      <alignment horizontal="center"/>
    </xf>
    <xf borderId="85" fillId="5" fontId="15" numFmtId="0" xfId="0" applyAlignment="1" applyBorder="1" applyFill="1" applyFont="1">
      <alignment horizontal="center"/>
    </xf>
    <xf borderId="88" fillId="0" fontId="15" numFmtId="0" xfId="0" applyAlignment="1" applyBorder="1" applyFont="1">
      <alignment readingOrder="0"/>
    </xf>
    <xf borderId="89" fillId="0" fontId="6" numFmtId="0" xfId="0" applyBorder="1" applyFont="1"/>
    <xf borderId="90" fillId="0" fontId="16" numFmtId="0" xfId="0" applyAlignment="1" applyBorder="1" applyFont="1">
      <alignment horizontal="center" readingOrder="0"/>
    </xf>
    <xf borderId="91" fillId="0" fontId="16" numFmtId="0" xfId="0" applyAlignment="1" applyBorder="1" applyFont="1">
      <alignment horizontal="center" readingOrder="0"/>
    </xf>
    <xf borderId="7" fillId="0" fontId="2" numFmtId="0" xfId="0" applyAlignment="1" applyBorder="1" applyFont="1">
      <alignment readingOrder="0"/>
    </xf>
    <xf borderId="92" fillId="0" fontId="2" numFmtId="0" xfId="0" applyAlignment="1" applyBorder="1" applyFont="1">
      <alignment readingOrder="0"/>
    </xf>
    <xf borderId="93" fillId="0" fontId="2" numFmtId="0" xfId="0" applyAlignment="1" applyBorder="1" applyFont="1">
      <alignment readingOrder="0"/>
    </xf>
    <xf borderId="94" fillId="0" fontId="2" numFmtId="0" xfId="0" applyAlignment="1" applyBorder="1" applyFont="1">
      <alignment readingOrder="0"/>
    </xf>
    <xf borderId="0" fillId="7" fontId="2" numFmtId="0" xfId="0" applyFill="1" applyFont="1"/>
    <xf borderId="89" fillId="7" fontId="2" numFmtId="0" xfId="0" applyBorder="1" applyFill="1" applyFont="1"/>
    <xf borderId="90" fillId="0" fontId="23" numFmtId="0" xfId="0" applyBorder="1" applyFont="1"/>
    <xf borderId="89" fillId="0" fontId="23" numFmtId="0" xfId="0" applyBorder="1" applyFont="1"/>
    <xf borderId="91" fillId="0" fontId="2" numFmtId="0" xfId="0" applyBorder="1" applyFont="1"/>
    <xf borderId="89" fillId="0" fontId="2" numFmtId="0" xfId="0" applyBorder="1" applyFont="1"/>
    <xf borderId="0" fillId="7" fontId="2" numFmtId="0" xfId="0" applyAlignment="1" applyFill="1" applyFont="1">
      <alignment vertical="bottom"/>
    </xf>
    <xf borderId="0" fillId="7" fontId="2" numFmtId="0" xfId="0" applyAlignment="1" applyFill="1" applyFont="1">
      <alignment horizontal="right" vertical="bottom"/>
    </xf>
    <xf borderId="89" fillId="7" fontId="2" numFmtId="0" xfId="0" applyAlignment="1" applyBorder="1" applyFill="1" applyFont="1">
      <alignment horizontal="right" vertical="bottom"/>
    </xf>
    <xf borderId="0" fillId="3" fontId="2" numFmtId="0" xfId="0" applyFill="1" applyFont="1"/>
    <xf borderId="89" fillId="3" fontId="2" numFmtId="0" xfId="0" applyBorder="1" applyFill="1" applyFont="1"/>
    <xf borderId="0" fillId="3" fontId="2" numFmtId="0" xfId="0" applyAlignment="1" applyFill="1" applyFont="1">
      <alignment readingOrder="0"/>
    </xf>
    <xf borderId="0" fillId="8" fontId="2" numFmtId="0" xfId="0" applyFill="1" applyFont="1"/>
    <xf borderId="89" fillId="8" fontId="2" numFmtId="0" xfId="0" applyBorder="1" applyFill="1" applyFont="1"/>
    <xf borderId="0" fillId="8" fontId="2" numFmtId="0" xfId="0" applyAlignment="1" applyFill="1" applyFont="1">
      <alignment readingOrder="0"/>
    </xf>
    <xf borderId="0" fillId="9" fontId="2" numFmtId="0" xfId="0" applyFill="1" applyFont="1"/>
    <xf borderId="89" fillId="9" fontId="2" numFmtId="0" xfId="0" applyBorder="1" applyFill="1" applyFont="1"/>
    <xf borderId="0" fillId="9" fontId="2" numFmtId="0" xfId="0" applyAlignment="1" applyFill="1" applyFont="1">
      <alignment readingOrder="0"/>
    </xf>
    <xf borderId="0" fillId="10" fontId="2" numFmtId="0" xfId="0" applyFill="1" applyFont="1"/>
    <xf borderId="89" fillId="10" fontId="2" numFmtId="0" xfId="0" applyBorder="1" applyFill="1" applyFont="1"/>
    <xf borderId="0" fillId="10" fontId="2" numFmtId="0" xfId="0" applyAlignment="1" applyFill="1" applyFont="1">
      <alignment readingOrder="0"/>
    </xf>
    <xf borderId="0" fillId="11" fontId="2" numFmtId="0" xfId="0" applyFill="1" applyFont="1"/>
    <xf borderId="89" fillId="11" fontId="2" numFmtId="0" xfId="0" applyBorder="1" applyFill="1" applyFont="1"/>
    <xf borderId="0" fillId="11" fontId="2" numFmtId="0" xfId="0" applyAlignment="1" applyFill="1" applyFont="1">
      <alignment readingOrder="0"/>
    </xf>
    <xf borderId="0" fillId="0" fontId="25" numFmtId="0" xfId="0" applyFont="1"/>
    <xf borderId="89" fillId="0" fontId="25" numFmtId="0" xfId="0" applyBorder="1" applyFont="1"/>
    <xf borderId="90" fillId="0" fontId="26" numFmtId="0" xfId="0" applyBorder="1" applyFont="1"/>
    <xf borderId="0" fillId="0" fontId="26" numFmtId="0" xfId="0" applyFont="1"/>
    <xf borderId="89" fillId="0" fontId="26" numFmtId="0" xfId="0" applyBorder="1" applyFont="1"/>
    <xf borderId="91" fillId="0" fontId="25" numFmtId="0" xfId="0" applyBorder="1" applyFont="1"/>
    <xf borderId="90" fillId="0" fontId="25" numFmtId="0" xfId="0" applyBorder="1" applyFont="1"/>
    <xf borderId="9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5.13"/>
    <col customWidth="1" min="3" max="3" width="10.13"/>
    <col customWidth="1" min="4" max="4" width="5.13"/>
    <col customWidth="1" min="5" max="5" width="10.13"/>
    <col customWidth="1" min="6" max="6" width="5.13"/>
    <col customWidth="1" min="7" max="7" width="10.13"/>
    <col customWidth="1" min="8" max="8" width="5.13"/>
    <col customWidth="1" min="9" max="9" width="12.0"/>
    <col customWidth="1" min="10" max="10" width="4.0"/>
    <col customWidth="1" min="11" max="11" width="10.13"/>
    <col customWidth="1" min="12" max="12" width="5.13"/>
    <col customWidth="1" min="13" max="13" width="10.13"/>
    <col customWidth="1" min="14" max="14" width="5.13"/>
    <col customWidth="1" min="15" max="15" width="10.13"/>
  </cols>
  <sheetData>
    <row r="1">
      <c r="A1" s="5" t="s">
        <v>1</v>
      </c>
      <c r="B1" s="8"/>
      <c r="C1" s="22" t="str">
        <f>B2</f>
        <v>Diamond Bar</v>
      </c>
      <c r="D1" s="24"/>
      <c r="E1" s="22" t="str">
        <f>B3</f>
        <v>Troy</v>
      </c>
      <c r="F1" s="24"/>
      <c r="G1" s="22" t="str">
        <f>B4</f>
        <v>South Pasadena</v>
      </c>
      <c r="H1" s="24"/>
      <c r="I1" s="22" t="str">
        <f>B5</f>
        <v>OCSA</v>
      </c>
      <c r="J1" s="24"/>
      <c r="K1" s="22" t="str">
        <f>B6</f>
        <v>Portola</v>
      </c>
      <c r="L1" s="24"/>
      <c r="M1" s="41" t="str">
        <f>B6</f>
        <v>Portola</v>
      </c>
      <c r="N1" s="42"/>
      <c r="O1" s="44" t="s">
        <v>22</v>
      </c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</row>
    <row r="2">
      <c r="A2" s="48" t="s">
        <v>24</v>
      </c>
      <c r="B2" s="53" t="s">
        <v>26</v>
      </c>
      <c r="C2" s="55"/>
      <c r="D2" s="56"/>
      <c r="E2" s="59">
        <v>88.0</v>
      </c>
      <c r="F2" s="70" t="str">
        <f>if(E2&gt;C3,"W",if(E2&lt;C3,"L",if(isblank(E2),"","T")))</f>
        <v>L</v>
      </c>
      <c r="G2" s="59">
        <v>76.0</v>
      </c>
      <c r="H2" s="70" t="str">
        <f>if(G2&gt;C4,"W",if(G2&lt;C4,"L",if(isblank(G2),"","T")))</f>
        <v>L</v>
      </c>
      <c r="I2" s="75">
        <v>38.0</v>
      </c>
      <c r="J2" s="77" t="s">
        <v>37</v>
      </c>
      <c r="K2" s="78">
        <v>56.0</v>
      </c>
      <c r="L2" s="75" t="s">
        <v>37</v>
      </c>
      <c r="M2" s="80"/>
      <c r="N2" s="83" t="str">
        <f>if(M2&gt;C6,"W",if(M2&lt;C6,"L",if(isblank(M2),"","T")))</f>
        <v>L</v>
      </c>
      <c r="O2" s="90">
        <f t="shared" ref="O2:O6" si="1">(2*COUNTIF(C2:N2, "W"))+COUNTIF(C2:N2, "T")</f>
        <v>0</v>
      </c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</row>
    <row r="3">
      <c r="A3" s="92" t="s">
        <v>46</v>
      </c>
      <c r="B3" s="93" t="s">
        <v>41</v>
      </c>
      <c r="C3" s="59">
        <v>134.0</v>
      </c>
      <c r="D3" s="95" t="str">
        <f>if(E2&lt;C3,"W",if(E2&gt;C3,"L",if(isblank(C3),"","T")))</f>
        <v>W</v>
      </c>
      <c r="E3" s="97"/>
      <c r="F3" s="98"/>
      <c r="G3" s="59">
        <v>214.0</v>
      </c>
      <c r="H3" s="95" t="str">
        <f>if(G3&gt;E4,"W",if(G3&lt;E4,"L",if(isblank(G3),"","T")))</f>
        <v>W</v>
      </c>
      <c r="I3" s="59">
        <v>202.0</v>
      </c>
      <c r="J3" s="100" t="s">
        <v>47</v>
      </c>
      <c r="K3" s="78">
        <v>152.0</v>
      </c>
      <c r="L3" s="102" t="str">
        <f>if(K3&gt;E5,"W",if(K3&lt;E5,"L",if(isblank(K3),"","T")))</f>
        <v>W</v>
      </c>
      <c r="M3" s="80"/>
      <c r="N3" s="83" t="str">
        <f>if(M3&gt;E6,"W",if(M3&lt;E6,"L",if(isblank(M3),"","T")))</f>
        <v>L</v>
      </c>
      <c r="O3" s="90">
        <f t="shared" si="1"/>
        <v>8</v>
      </c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</row>
    <row r="4">
      <c r="A4" s="92" t="s">
        <v>48</v>
      </c>
      <c r="B4" s="93" t="s">
        <v>49</v>
      </c>
      <c r="C4" s="59">
        <v>100.0</v>
      </c>
      <c r="D4" s="95" t="str">
        <f>if(G2&lt;C4,"W",if(G2&gt;C4,"L",if(isblank(C4),"","T")))</f>
        <v>W</v>
      </c>
      <c r="E4" s="59">
        <v>32.0</v>
      </c>
      <c r="F4" s="95" t="str">
        <f>if(G3&lt;E4,"W",if(G3&gt;E4,"L",if(isblank(E4),"","T")))</f>
        <v>L</v>
      </c>
      <c r="G4" s="97"/>
      <c r="H4" s="98"/>
      <c r="I4" s="59">
        <v>16.0</v>
      </c>
      <c r="J4" s="59" t="s">
        <v>37</v>
      </c>
      <c r="K4" s="78">
        <v>88.0</v>
      </c>
      <c r="L4" s="59" t="s">
        <v>37</v>
      </c>
      <c r="M4" s="80"/>
      <c r="N4" s="83" t="str">
        <f>if(M4&gt;G6,"W",if(M4&lt;G6,"L",if(isblank(M4),"","T")))</f>
        <v>L</v>
      </c>
      <c r="O4" s="90">
        <f t="shared" si="1"/>
        <v>2</v>
      </c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</row>
    <row r="5">
      <c r="A5" s="92" t="s">
        <v>50</v>
      </c>
      <c r="B5" s="93" t="s">
        <v>51</v>
      </c>
      <c r="C5" s="59">
        <v>100.0</v>
      </c>
      <c r="D5" s="104" t="s">
        <v>47</v>
      </c>
      <c r="E5" s="59">
        <v>18.0</v>
      </c>
      <c r="F5" s="104" t="s">
        <v>37</v>
      </c>
      <c r="G5" s="59">
        <v>184.0</v>
      </c>
      <c r="H5" s="95" t="str">
        <f>if(K4&lt;G5,"W",if(K4&gt;G5,"L",if(isblank(G5),"","T")))</f>
        <v>W</v>
      </c>
      <c r="I5" s="97"/>
      <c r="J5" s="106"/>
      <c r="K5" s="78">
        <v>82.0</v>
      </c>
      <c r="L5" s="59" t="s">
        <v>37</v>
      </c>
      <c r="M5" s="80"/>
      <c r="N5" s="83" t="str">
        <f>if(M5&gt;K6,"W",if(M5&lt;K6,"L",if(isblank(M5),"","T")))</f>
        <v/>
      </c>
      <c r="O5" s="90">
        <f t="shared" si="1"/>
        <v>4</v>
      </c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</row>
    <row r="6">
      <c r="A6" s="107" t="s">
        <v>52</v>
      </c>
      <c r="B6" s="108" t="s">
        <v>25</v>
      </c>
      <c r="C6" s="109">
        <v>72.0</v>
      </c>
      <c r="D6" s="110" t="str">
        <f>if(M2&lt;C6,"W",if(M2&gt;C6,"L",if(isblank(C6),"","T")))</f>
        <v>W</v>
      </c>
      <c r="E6" s="109">
        <v>82.0</v>
      </c>
      <c r="F6" s="111" t="s">
        <v>37</v>
      </c>
      <c r="G6" s="109">
        <v>114.0</v>
      </c>
      <c r="H6" s="110" t="str">
        <f>if(M4&lt;G6,"W",if(M4&gt;G6,"L",if(isblank(G6),"","T")))</f>
        <v>W</v>
      </c>
      <c r="I6" s="109">
        <v>94.0</v>
      </c>
      <c r="J6" s="112" t="s">
        <v>47</v>
      </c>
      <c r="K6" s="113"/>
      <c r="L6" s="114" t="str">
        <f>if(M5&lt;K6,"W",if(M5&gt;K6,"L",if(isblank(K6),"","T")))</f>
        <v/>
      </c>
      <c r="M6" s="115"/>
      <c r="N6" s="116"/>
      <c r="O6" s="117">
        <f t="shared" si="1"/>
        <v>6</v>
      </c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</row>
    <row r="7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</row>
    <row r="8">
      <c r="A8" s="118" t="s">
        <v>2</v>
      </c>
      <c r="B8" s="119"/>
      <c r="C8" s="120" t="str">
        <f>B9</f>
        <v>Palm Desert</v>
      </c>
      <c r="D8" s="121"/>
      <c r="E8" s="120" t="str">
        <f>B10</f>
        <v>Santa Monica</v>
      </c>
      <c r="F8" s="121"/>
      <c r="G8" s="120" t="str">
        <f>B11</f>
        <v>San Marino</v>
      </c>
      <c r="H8" s="121"/>
      <c r="I8" s="120" t="str">
        <f>B12</f>
        <v>Palos Verdes</v>
      </c>
      <c r="J8" s="121"/>
      <c r="K8" s="120" t="str">
        <f>B13</f>
        <v>Northwood</v>
      </c>
      <c r="L8" s="121"/>
      <c r="M8" s="122"/>
      <c r="N8" s="123"/>
      <c r="O8" s="124" t="s">
        <v>22</v>
      </c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</row>
    <row r="9">
      <c r="A9" s="125" t="s">
        <v>54</v>
      </c>
      <c r="B9" s="53" t="s">
        <v>55</v>
      </c>
      <c r="C9" s="55"/>
      <c r="D9" s="56"/>
      <c r="E9" s="59">
        <v>30.0</v>
      </c>
      <c r="F9" s="70" t="str">
        <f>if(E9&gt;C10,"W",if(E9&lt;C10,"L",if(isblank(E9),"","T")))</f>
        <v>L</v>
      </c>
      <c r="G9" s="59">
        <v>46.0</v>
      </c>
      <c r="H9" s="70" t="str">
        <f>if(G9&gt;C11,"W",if(G9&lt;C11,"L",if(isblank(G9),"","T")))</f>
        <v>L</v>
      </c>
      <c r="I9" s="75">
        <v>48.0</v>
      </c>
      <c r="J9" s="77" t="s">
        <v>37</v>
      </c>
      <c r="K9" s="78">
        <v>44.0</v>
      </c>
      <c r="L9" s="75" t="s">
        <v>37</v>
      </c>
      <c r="M9" s="80"/>
      <c r="N9" s="83" t="str">
        <f>if(M9&gt;C13,"W",if(M9&lt;C13,"L",if(isblank(M9),"","T")))</f>
        <v>L</v>
      </c>
      <c r="O9" s="130">
        <f t="shared" ref="O9:O13" si="2">(2*COUNTIF(C9:N9, "W"))+COUNTIF(C9:N9, "T")</f>
        <v>0</v>
      </c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</row>
    <row r="10">
      <c r="A10" s="131" t="s">
        <v>57</v>
      </c>
      <c r="B10" s="93" t="s">
        <v>30</v>
      </c>
      <c r="C10" s="59">
        <v>164.0</v>
      </c>
      <c r="D10" s="95" t="str">
        <f>if(E9&lt;C10,"W",if(E9&gt;C10,"L",if(isblank(C10),"","T")))</f>
        <v>W</v>
      </c>
      <c r="E10" s="97"/>
      <c r="F10" s="98"/>
      <c r="G10" s="59">
        <v>156.0</v>
      </c>
      <c r="H10" s="95" t="str">
        <f>if(G10&gt;E11,"W",if(G10&lt;E11,"L",if(isblank(G10),"","T")))</f>
        <v>W</v>
      </c>
      <c r="I10" s="59">
        <v>102.0</v>
      </c>
      <c r="J10" s="100" t="s">
        <v>47</v>
      </c>
      <c r="K10" s="78">
        <v>146.0</v>
      </c>
      <c r="L10" s="102" t="str">
        <f>if(K10&gt;E12,"W",if(K10&lt;E12,"L",if(isblank(K10),"","T")))</f>
        <v>W</v>
      </c>
      <c r="M10" s="80"/>
      <c r="N10" s="83" t="str">
        <f>if(M10&gt;E13,"W",if(M10&lt;E13,"L",if(isblank(M10),"","T")))</f>
        <v>L</v>
      </c>
      <c r="O10" s="130">
        <f t="shared" si="2"/>
        <v>8</v>
      </c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</row>
    <row r="11">
      <c r="A11" s="131" t="s">
        <v>58</v>
      </c>
      <c r="B11" s="93" t="s">
        <v>28</v>
      </c>
      <c r="C11" s="59">
        <v>182.0</v>
      </c>
      <c r="D11" s="95" t="str">
        <f>if(G9&lt;C11,"W",if(G9&gt;C11,"L",if(isblank(C11),"","T")))</f>
        <v>W</v>
      </c>
      <c r="E11" s="59">
        <v>114.0</v>
      </c>
      <c r="F11" s="95" t="str">
        <f>if(G10&lt;E11,"W",if(G10&gt;E11,"L",if(isblank(E11),"","T")))</f>
        <v>L</v>
      </c>
      <c r="G11" s="97"/>
      <c r="H11" s="98"/>
      <c r="I11" s="59">
        <v>106.0</v>
      </c>
      <c r="J11" s="104" t="s">
        <v>47</v>
      </c>
      <c r="K11" s="78">
        <v>152.0</v>
      </c>
      <c r="L11" s="59" t="s">
        <v>47</v>
      </c>
      <c r="M11" s="80"/>
      <c r="N11" s="83" t="str">
        <f>if(M11&gt;G13,"W",if(M11&lt;G13,"L",if(isblank(M11),"","T")))</f>
        <v>L</v>
      </c>
      <c r="O11" s="130">
        <f t="shared" si="2"/>
        <v>6</v>
      </c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</row>
    <row r="12">
      <c r="A12" s="131" t="s">
        <v>59</v>
      </c>
      <c r="B12" s="93" t="s">
        <v>60</v>
      </c>
      <c r="C12" s="59">
        <v>90.0</v>
      </c>
      <c r="D12" s="104" t="s">
        <v>47</v>
      </c>
      <c r="E12" s="59">
        <v>100.0</v>
      </c>
      <c r="F12" s="104" t="s">
        <v>37</v>
      </c>
      <c r="G12" s="59">
        <v>82.0</v>
      </c>
      <c r="H12" s="104" t="s">
        <v>37</v>
      </c>
      <c r="I12" s="97"/>
      <c r="J12" s="106"/>
      <c r="K12" s="78">
        <v>68.0</v>
      </c>
      <c r="L12" s="59" t="s">
        <v>47</v>
      </c>
      <c r="M12" s="80"/>
      <c r="N12" s="83" t="str">
        <f>if(M12&gt;K13,"W",if(M12&lt;K13,"L",if(isblank(M12),"","T")))</f>
        <v/>
      </c>
      <c r="O12" s="130">
        <f t="shared" si="2"/>
        <v>4</v>
      </c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</row>
    <row r="13">
      <c r="A13" s="132" t="s">
        <v>62</v>
      </c>
      <c r="B13" s="133" t="s">
        <v>63</v>
      </c>
      <c r="C13" s="134">
        <v>122.0</v>
      </c>
      <c r="D13" s="135" t="str">
        <f>if(M9&lt;C13,"W",if(M9&gt;C13,"L",if(isblank(C13),"","T")))</f>
        <v>W</v>
      </c>
      <c r="E13" s="134">
        <v>46.0</v>
      </c>
      <c r="F13" s="136" t="s">
        <v>37</v>
      </c>
      <c r="G13" s="134">
        <v>42.0</v>
      </c>
      <c r="H13" s="136" t="s">
        <v>37</v>
      </c>
      <c r="I13" s="134">
        <v>64.0</v>
      </c>
      <c r="J13" s="134" t="s">
        <v>37</v>
      </c>
      <c r="K13" s="137"/>
      <c r="L13" s="138" t="str">
        <f>if(M12&lt;K13,"W",if(M12&gt;K13,"L",if(isblank(K13),"","T")))</f>
        <v/>
      </c>
      <c r="M13" s="139"/>
      <c r="N13" s="140"/>
      <c r="O13" s="141">
        <f t="shared" si="2"/>
        <v>2</v>
      </c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</row>
    <row r="14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</row>
    <row r="15">
      <c r="A15" s="142" t="s">
        <v>4</v>
      </c>
      <c r="B15" s="143"/>
      <c r="C15" s="144" t="str">
        <f>B16</f>
        <v>La Canada</v>
      </c>
      <c r="D15" s="145"/>
      <c r="E15" s="144" t="str">
        <f>B17</f>
        <v>Aquinas</v>
      </c>
      <c r="F15" s="145"/>
      <c r="G15" s="144" t="str">
        <f>B18</f>
        <v>Arcadia 1</v>
      </c>
      <c r="H15" s="145"/>
      <c r="I15" s="144" t="str">
        <f>B19</f>
        <v>Walnut</v>
      </c>
      <c r="J15" s="145"/>
      <c r="K15" s="144" t="str">
        <f>B20</f>
        <v>Beckman</v>
      </c>
      <c r="L15" s="145"/>
      <c r="M15" s="144" t="str">
        <f>B21</f>
        <v>University</v>
      </c>
      <c r="N15" s="145"/>
      <c r="O15" s="147" t="s">
        <v>22</v>
      </c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</row>
    <row r="16">
      <c r="A16" s="148" t="s">
        <v>64</v>
      </c>
      <c r="B16" s="53" t="s">
        <v>65</v>
      </c>
      <c r="C16" s="55"/>
      <c r="D16" s="56"/>
      <c r="E16" s="59">
        <v>62.0</v>
      </c>
      <c r="F16" s="70" t="str">
        <f>if(E16&gt;C17,"W",if(E16&lt;C17,"L",if(isblank(E16),"","T")))</f>
        <v>L</v>
      </c>
      <c r="G16" s="59">
        <v>80.0</v>
      </c>
      <c r="H16" s="70" t="str">
        <f>if(G16&gt;C18,"W",if(G16&lt;C18,"L",if(isblank(G16),"","T")))</f>
        <v>L</v>
      </c>
      <c r="I16" s="75">
        <v>64.0</v>
      </c>
      <c r="J16" s="77" t="s">
        <v>37</v>
      </c>
      <c r="K16" s="78">
        <v>60.0</v>
      </c>
      <c r="L16" s="155" t="s">
        <v>37</v>
      </c>
      <c r="M16" s="59">
        <v>34.0</v>
      </c>
      <c r="N16" s="70" t="str">
        <f>if(M16&gt;C21,"W",if(M16&lt;C21,"L",if(isblank(M16),"","T")))</f>
        <v>L</v>
      </c>
      <c r="O16" s="159">
        <v>0.0</v>
      </c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</row>
    <row r="17">
      <c r="A17" s="162" t="s">
        <v>66</v>
      </c>
      <c r="B17" s="93" t="s">
        <v>67</v>
      </c>
      <c r="C17" s="59">
        <v>68.0</v>
      </c>
      <c r="D17" s="95" t="str">
        <f>if(E16&lt;C17,"W",if(E16&gt;C17,"L",if(isblank(C17),"","T")))</f>
        <v>W</v>
      </c>
      <c r="E17" s="97"/>
      <c r="F17" s="98"/>
      <c r="G17" s="59">
        <v>28.0</v>
      </c>
      <c r="H17" s="95" t="str">
        <f>if(G17&gt;E18,"W",if(G17&lt;E18,"L",if(isblank(G17),"","T")))</f>
        <v>L</v>
      </c>
      <c r="I17" s="59">
        <v>44.0</v>
      </c>
      <c r="J17" s="100" t="s">
        <v>37</v>
      </c>
      <c r="K17" s="78">
        <v>36.0</v>
      </c>
      <c r="L17" s="104" t="s">
        <v>37</v>
      </c>
      <c r="M17" s="59">
        <v>24.0</v>
      </c>
      <c r="N17" s="95" t="str">
        <f>if(M17&gt;E21,"W",if(M17&lt;E21,"L",if(isblank(M17),"","T")))</f>
        <v>L</v>
      </c>
      <c r="O17" s="159">
        <v>2.0</v>
      </c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</row>
    <row r="18">
      <c r="A18" s="162" t="s">
        <v>76</v>
      </c>
      <c r="B18" s="93" t="s">
        <v>92</v>
      </c>
      <c r="C18" s="59">
        <v>122.0</v>
      </c>
      <c r="D18" s="95" t="str">
        <f>if(G16&lt;C18,"W",if(G16&gt;C18,"L",if(isblank(C18),"","T")))</f>
        <v>W</v>
      </c>
      <c r="E18" s="59">
        <v>170.0</v>
      </c>
      <c r="F18" s="95" t="str">
        <f>if(G17&lt;E18,"W",if(G17&gt;E18,"L",if(isblank(E18),"","T")))</f>
        <v>W</v>
      </c>
      <c r="G18" s="97"/>
      <c r="H18" s="98"/>
      <c r="I18" s="59">
        <v>146.0</v>
      </c>
      <c r="J18" s="100" t="s">
        <v>47</v>
      </c>
      <c r="K18" s="78">
        <v>86.0</v>
      </c>
      <c r="L18" s="95" t="str">
        <f>if(K18&gt;G20,"W",if(K18&lt;G20,"L",if(isblank(K18),"","T")))</f>
        <v>L</v>
      </c>
      <c r="M18" s="59">
        <v>86.0</v>
      </c>
      <c r="N18" s="95" t="str">
        <f>if(M18&gt;G21,"W",if(M18&lt;G21,"L",if(isblank(M18),"","T")))</f>
        <v>L</v>
      </c>
      <c r="O18" s="159">
        <v>6.0</v>
      </c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</row>
    <row r="19">
      <c r="A19" s="162" t="s">
        <v>84</v>
      </c>
      <c r="B19" s="93" t="s">
        <v>93</v>
      </c>
      <c r="C19" s="59">
        <v>76.0</v>
      </c>
      <c r="D19" s="104" t="s">
        <v>47</v>
      </c>
      <c r="E19" s="59">
        <v>142.0</v>
      </c>
      <c r="F19" s="104" t="s">
        <v>47</v>
      </c>
      <c r="G19" s="59">
        <v>76.0</v>
      </c>
      <c r="H19" s="104" t="s">
        <v>37</v>
      </c>
      <c r="I19" s="97"/>
      <c r="J19" s="106"/>
      <c r="K19" s="78">
        <v>60.0</v>
      </c>
      <c r="L19" s="104" t="s">
        <v>37</v>
      </c>
      <c r="M19" s="59">
        <v>66.0</v>
      </c>
      <c r="N19" s="104" t="s">
        <v>37</v>
      </c>
      <c r="O19" s="159">
        <v>4.0</v>
      </c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</row>
    <row r="20">
      <c r="A20" s="162" t="s">
        <v>85</v>
      </c>
      <c r="B20" s="93" t="s">
        <v>38</v>
      </c>
      <c r="C20" s="59">
        <v>112.0</v>
      </c>
      <c r="D20" s="104" t="s">
        <v>47</v>
      </c>
      <c r="E20" s="59">
        <v>118.0</v>
      </c>
      <c r="F20" s="95" t="str">
        <f>if(K17&lt;E20,"W",if(K17&gt;E20,"L",if(isblank(E20),"","T")))</f>
        <v>W</v>
      </c>
      <c r="G20" s="59">
        <v>132.0</v>
      </c>
      <c r="H20" s="95" t="str">
        <f>if(K18&lt;G20,"W",if(K18&gt;G20,"L",if(isblank(G20),"","T")))</f>
        <v>W</v>
      </c>
      <c r="I20" s="59">
        <v>136.0</v>
      </c>
      <c r="J20" s="100" t="s">
        <v>47</v>
      </c>
      <c r="K20" s="164"/>
      <c r="L20" s="98"/>
      <c r="M20" s="59">
        <v>94.0</v>
      </c>
      <c r="N20" s="95" t="str">
        <f>if(M20&gt;K21,"W",if(M20&lt;K21,"L",if(isblank(M20),"","T")))</f>
        <v>L</v>
      </c>
      <c r="O20" s="159">
        <v>8.0</v>
      </c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</row>
    <row r="21">
      <c r="A21" s="165" t="s">
        <v>77</v>
      </c>
      <c r="B21" s="166" t="s">
        <v>20</v>
      </c>
      <c r="C21" s="167">
        <v>270.0</v>
      </c>
      <c r="D21" s="168" t="str">
        <f>if(M16&lt;C21,"W",if(M16&gt;C21,"L",if(isblank(C21),"","T")))</f>
        <v>W</v>
      </c>
      <c r="E21" s="167">
        <v>230.0</v>
      </c>
      <c r="F21" s="168" t="str">
        <f>if(M17&lt;E21,"W",if(M17&gt;E21,"L",if(isblank(E21),"","T")))</f>
        <v>W</v>
      </c>
      <c r="G21" s="167">
        <v>164.0</v>
      </c>
      <c r="H21" s="168" t="str">
        <f>if(M18&lt;G21,"W",if(M18&gt;G21,"L",if(isblank(G21),"","T")))</f>
        <v>W</v>
      </c>
      <c r="I21" s="167">
        <v>212.0</v>
      </c>
      <c r="J21" s="169" t="s">
        <v>47</v>
      </c>
      <c r="K21" s="170">
        <v>164.0</v>
      </c>
      <c r="L21" s="168" t="str">
        <f>if(M20&lt;K21,"W",if(M20&gt;K21,"L",if(isblank(K21),"","T")))</f>
        <v>W</v>
      </c>
      <c r="M21" s="171"/>
      <c r="N21" s="172"/>
      <c r="O21" s="173">
        <v>10.0</v>
      </c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</row>
    <row r="22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</row>
    <row r="23">
      <c r="A23" s="174" t="s">
        <v>5</v>
      </c>
      <c r="B23" s="175"/>
      <c r="C23" s="176" t="str">
        <f>B24</f>
        <v>Temple City</v>
      </c>
      <c r="D23" s="177"/>
      <c r="E23" s="176" t="str">
        <f>B25</f>
        <v>Whitney</v>
      </c>
      <c r="F23" s="177"/>
      <c r="G23" s="176" t="str">
        <f>B26</f>
        <v>Arcadia 2</v>
      </c>
      <c r="H23" s="177"/>
      <c r="I23" s="176" t="str">
        <f>B27</f>
        <v>Simi Valley</v>
      </c>
      <c r="J23" s="177"/>
      <c r="K23" s="176" t="str">
        <f>B28</f>
        <v>Marshall</v>
      </c>
      <c r="L23" s="177"/>
      <c r="M23" s="176" t="str">
        <f>B29</f>
        <v>St. Margaret's</v>
      </c>
      <c r="N23" s="177"/>
      <c r="O23" s="178" t="s">
        <v>22</v>
      </c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</row>
    <row r="24">
      <c r="A24" s="179" t="s">
        <v>68</v>
      </c>
      <c r="B24" s="53" t="s">
        <v>39</v>
      </c>
      <c r="C24" s="55"/>
      <c r="D24" s="56"/>
      <c r="E24" s="59">
        <v>94.0</v>
      </c>
      <c r="F24" s="70" t="str">
        <f>if(E24&gt;C25,"W",if(E24&lt;C25,"L",if(isblank(E24),"","T")))</f>
        <v>L</v>
      </c>
      <c r="G24" s="59">
        <v>108.0</v>
      </c>
      <c r="H24" s="70" t="str">
        <f>if(G24&gt;C26,"W",if(G24&lt;C26,"L",if(isblank(G24),"","T")))</f>
        <v>W</v>
      </c>
      <c r="I24" s="75">
        <v>66.0</v>
      </c>
      <c r="J24" s="77" t="s">
        <v>47</v>
      </c>
      <c r="K24" s="78">
        <v>164.0</v>
      </c>
      <c r="L24" s="70" t="str">
        <f>if(K24&gt;C28,"W",if(K24&lt;C28,"L",if(isblank(K24),"","T")))</f>
        <v>W</v>
      </c>
      <c r="M24" s="59">
        <v>102.0</v>
      </c>
      <c r="N24" s="70" t="str">
        <f>if(M24&gt;C29,"W",if(M24&lt;C29,"L",if(isblank(M24),"","T")))</f>
        <v>W</v>
      </c>
      <c r="O24" s="180">
        <v>8.0</v>
      </c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</row>
    <row r="25">
      <c r="A25" s="181" t="s">
        <v>69</v>
      </c>
      <c r="B25" s="93" t="s">
        <v>33</v>
      </c>
      <c r="C25" s="59">
        <v>148.0</v>
      </c>
      <c r="D25" s="95" t="str">
        <f>if(E24&lt;C25,"W",if(E24&gt;C25,"L",if(isblank(C25),"","T")))</f>
        <v>W</v>
      </c>
      <c r="E25" s="97"/>
      <c r="F25" s="98"/>
      <c r="G25" s="59">
        <v>128.0</v>
      </c>
      <c r="H25" s="95" t="str">
        <f>if(G25&gt;E26,"W",if(G25&lt;E26,"L",if(isblank(G25),"","T")))</f>
        <v>W</v>
      </c>
      <c r="I25" s="59">
        <v>168.0</v>
      </c>
      <c r="J25" s="100" t="s">
        <v>47</v>
      </c>
      <c r="K25" s="78">
        <v>152.0</v>
      </c>
      <c r="L25" s="95" t="str">
        <f>if(K25&gt;E28,"W",if(K25&lt;E28,"L",if(isblank(K25),"","T")))</f>
        <v>W</v>
      </c>
      <c r="M25" s="59">
        <v>134.0</v>
      </c>
      <c r="N25" s="95" t="str">
        <f>if(M25&gt;E29,"W",if(M25&lt;E29,"L",if(isblank(M25),"","T")))</f>
        <v>W</v>
      </c>
      <c r="O25" s="180">
        <v>10.0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</row>
    <row r="26">
      <c r="A26" s="181" t="s">
        <v>78</v>
      </c>
      <c r="B26" s="93" t="s">
        <v>94</v>
      </c>
      <c r="C26" s="59">
        <v>66.0</v>
      </c>
      <c r="D26" s="95" t="str">
        <f>if(G24&lt;C26,"W",if(G24&gt;C26,"L",if(isblank(C26),"","T")))</f>
        <v>L</v>
      </c>
      <c r="E26" s="59">
        <v>72.0</v>
      </c>
      <c r="F26" s="95" t="str">
        <f>if(G25&lt;E26,"W",if(G25&gt;E26,"L",if(isblank(E26),"","T")))</f>
        <v>L</v>
      </c>
      <c r="G26" s="97"/>
      <c r="H26" s="98"/>
      <c r="I26" s="59">
        <v>140.0</v>
      </c>
      <c r="J26" s="100" t="s">
        <v>47</v>
      </c>
      <c r="K26" s="78">
        <v>68.0</v>
      </c>
      <c r="L26" s="95" t="str">
        <f>if(K26&gt;G28,"W",if(K26&lt;G28,"L",if(isblank(K26),"","T")))</f>
        <v>L</v>
      </c>
      <c r="M26" s="59">
        <v>62.0</v>
      </c>
      <c r="N26" s="95" t="str">
        <f>if(M26&gt;G29,"W",if(M26&lt;G29,"L",if(isblank(M26),"","T")))</f>
        <v>L</v>
      </c>
      <c r="O26" s="180">
        <v>2.0</v>
      </c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</row>
    <row r="27">
      <c r="A27" s="181" t="s">
        <v>86</v>
      </c>
      <c r="B27" s="93" t="s">
        <v>95</v>
      </c>
      <c r="C27" s="59">
        <v>44.0</v>
      </c>
      <c r="D27" s="104" t="s">
        <v>37</v>
      </c>
      <c r="E27" s="59">
        <v>22.0</v>
      </c>
      <c r="F27" s="104" t="s">
        <v>37</v>
      </c>
      <c r="G27" s="59">
        <v>12.0</v>
      </c>
      <c r="H27" s="104" t="s">
        <v>37</v>
      </c>
      <c r="I27" s="97"/>
      <c r="J27" s="106"/>
      <c r="K27" s="78">
        <v>20.0</v>
      </c>
      <c r="L27" s="104" t="s">
        <v>37</v>
      </c>
      <c r="M27" s="59">
        <v>36.0</v>
      </c>
      <c r="N27" s="104" t="s">
        <v>37</v>
      </c>
      <c r="O27" s="180">
        <v>0.0</v>
      </c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</row>
    <row r="28">
      <c r="A28" s="181" t="s">
        <v>87</v>
      </c>
      <c r="B28" s="93" t="s">
        <v>96</v>
      </c>
      <c r="C28" s="59">
        <v>64.0</v>
      </c>
      <c r="D28" s="95" t="str">
        <f>if(K24&lt;C28,"W",if(K24&gt;C28,"L",if(isblank(C28),"","T")))</f>
        <v>L</v>
      </c>
      <c r="E28" s="59">
        <v>54.0</v>
      </c>
      <c r="F28" s="95" t="str">
        <f>if(K25&lt;E28,"W",if(K25&gt;E28,"L",if(isblank(E28),"","T")))</f>
        <v>L</v>
      </c>
      <c r="G28" s="59">
        <v>72.0</v>
      </c>
      <c r="H28" s="95" t="str">
        <f>if(K26&lt;G28,"W",if(K26&gt;G28,"L",if(isblank(G28),"","T")))</f>
        <v>W</v>
      </c>
      <c r="I28" s="59">
        <v>98.0</v>
      </c>
      <c r="J28" s="100" t="s">
        <v>47</v>
      </c>
      <c r="K28" s="164"/>
      <c r="L28" s="98"/>
      <c r="M28" s="59">
        <v>40.0</v>
      </c>
      <c r="N28" s="95" t="str">
        <f>if(M28&gt;K29,"W",if(M28&lt;K29,"L",if(isblank(M28),"","T")))</f>
        <v>L</v>
      </c>
      <c r="O28" s="180">
        <v>4.0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</row>
    <row r="29">
      <c r="A29" s="182" t="s">
        <v>79</v>
      </c>
      <c r="B29" s="183" t="s">
        <v>35</v>
      </c>
      <c r="C29" s="184">
        <v>64.0</v>
      </c>
      <c r="D29" s="185" t="str">
        <f>if(M24&lt;C29,"W",if(M24&gt;C29,"L",if(isblank(C29),"","T")))</f>
        <v>L</v>
      </c>
      <c r="E29" s="184">
        <v>58.0</v>
      </c>
      <c r="F29" s="185" t="str">
        <f>if(M25&lt;E29,"W",if(M25&gt;E29,"L",if(isblank(E29),"","T")))</f>
        <v>L</v>
      </c>
      <c r="G29" s="184">
        <v>108.0</v>
      </c>
      <c r="H29" s="185" t="str">
        <f>if(M26&lt;G29,"W",if(M26&gt;G29,"L",if(isblank(G29),"","T")))</f>
        <v>W</v>
      </c>
      <c r="I29" s="184">
        <v>144.0</v>
      </c>
      <c r="J29" s="186" t="s">
        <v>47</v>
      </c>
      <c r="K29" s="187">
        <v>104.0</v>
      </c>
      <c r="L29" s="185" t="str">
        <f>if(M28&lt;K29,"W",if(M28&gt;K29,"L",if(isblank(K29),"","T")))</f>
        <v>W</v>
      </c>
      <c r="M29" s="188"/>
      <c r="N29" s="189"/>
      <c r="O29" s="190">
        <v>6.0</v>
      </c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</row>
    <row r="30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</row>
    <row r="3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</row>
    <row r="3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</row>
    <row r="3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</row>
    <row r="3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</row>
    <row r="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</row>
    <row r="3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</row>
    <row r="37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</row>
    <row r="3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</row>
    <row r="3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</row>
    <row r="40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</row>
    <row r="4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</row>
    <row r="4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</row>
    <row r="4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</row>
    <row r="4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</row>
    <row r="4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</row>
    <row r="50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</row>
  </sheetData>
  <mergeCells count="28">
    <mergeCell ref="A1:B1"/>
    <mergeCell ref="C1:D1"/>
    <mergeCell ref="E1:F1"/>
    <mergeCell ref="G1:H1"/>
    <mergeCell ref="I1:J1"/>
    <mergeCell ref="K1:L1"/>
    <mergeCell ref="M1:N1"/>
    <mergeCell ref="A8:B8"/>
    <mergeCell ref="C8:D8"/>
    <mergeCell ref="E8:F8"/>
    <mergeCell ref="G8:H8"/>
    <mergeCell ref="I8:J8"/>
    <mergeCell ref="K8:L8"/>
    <mergeCell ref="M8:N8"/>
    <mergeCell ref="A23:B23"/>
    <mergeCell ref="C23:D23"/>
    <mergeCell ref="E23:F23"/>
    <mergeCell ref="G23:H23"/>
    <mergeCell ref="I23:J23"/>
    <mergeCell ref="K23:L23"/>
    <mergeCell ref="M23:N23"/>
    <mergeCell ref="A15:B15"/>
    <mergeCell ref="C15:D15"/>
    <mergeCell ref="E15:F15"/>
    <mergeCell ref="G15:H15"/>
    <mergeCell ref="I15:J15"/>
    <mergeCell ref="K15:L15"/>
    <mergeCell ref="M15:N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38"/>
    <col customWidth="1" min="2" max="19" width="13.88"/>
  </cols>
  <sheetData>
    <row r="1">
      <c r="A1" s="2"/>
      <c r="B1" s="3" t="s">
        <v>1</v>
      </c>
      <c r="D1" s="6"/>
      <c r="E1" s="9" t="s">
        <v>2</v>
      </c>
      <c r="G1" s="6"/>
      <c r="H1" s="10" t="s">
        <v>4</v>
      </c>
      <c r="J1" s="6"/>
      <c r="K1" s="13" t="s">
        <v>5</v>
      </c>
      <c r="M1" s="7"/>
      <c r="N1" s="14"/>
      <c r="Q1" s="15"/>
      <c r="T1" s="16"/>
      <c r="U1" s="17"/>
      <c r="V1" s="17"/>
      <c r="W1" s="17"/>
      <c r="X1" s="17"/>
      <c r="Y1" s="17"/>
      <c r="Z1" s="17"/>
    </row>
    <row r="2">
      <c r="A2" s="18"/>
      <c r="B2" s="21" t="s">
        <v>10</v>
      </c>
      <c r="C2" s="21" t="s">
        <v>11</v>
      </c>
      <c r="D2" s="23" t="s">
        <v>12</v>
      </c>
      <c r="E2" s="26" t="s">
        <v>10</v>
      </c>
      <c r="F2" s="26" t="s">
        <v>11</v>
      </c>
      <c r="G2" s="27" t="s">
        <v>12</v>
      </c>
      <c r="H2" s="28" t="s">
        <v>10</v>
      </c>
      <c r="I2" s="28" t="s">
        <v>11</v>
      </c>
      <c r="J2" s="30" t="s">
        <v>12</v>
      </c>
      <c r="K2" s="31" t="s">
        <v>10</v>
      </c>
      <c r="L2" s="31" t="s">
        <v>11</v>
      </c>
      <c r="M2" s="32" t="s">
        <v>12</v>
      </c>
      <c r="N2" s="33"/>
      <c r="O2" s="33"/>
      <c r="P2" s="33"/>
      <c r="Q2" s="34"/>
      <c r="R2" s="34"/>
      <c r="S2" s="34"/>
      <c r="T2" s="17"/>
      <c r="U2" s="17"/>
      <c r="V2" s="17"/>
      <c r="W2" s="17"/>
      <c r="X2" s="17"/>
      <c r="Y2" s="17"/>
      <c r="Z2" s="17"/>
    </row>
    <row r="3">
      <c r="A3" s="35" t="s">
        <v>19</v>
      </c>
      <c r="B3" s="40" t="str">
        <f>vlookup(B19,'Round Robin Scores'!$A$1:$B999,2,false)</f>
        <v>Diamond Bar</v>
      </c>
      <c r="C3" s="40" t="str">
        <f>vlookup(C19,'Round Robin Scores'!$A$1:$B999,2,false)</f>
        <v>Troy</v>
      </c>
      <c r="D3" s="43" t="s">
        <v>21</v>
      </c>
      <c r="E3" s="46" t="str">
        <f>vlookup(E19,'Round Robin Scores'!$A$1:$B999,2,false)</f>
        <v>Palm Desert</v>
      </c>
      <c r="F3" s="46" t="str">
        <f>vlookup(F19,'Round Robin Scores'!$A$1:$B999,2,false)</f>
        <v>Santa Monica</v>
      </c>
      <c r="G3" s="47" t="s">
        <v>23</v>
      </c>
      <c r="H3" s="50" t="str">
        <f>vlookup(H19,'Round Robin Scores'!$A$1:$B999,2,false)</f>
        <v>La Canada</v>
      </c>
      <c r="I3" s="50" t="str">
        <f>vlookup(I19,'Round Robin Scores'!$A$1:$B999,2,false)</f>
        <v>Aquinas</v>
      </c>
      <c r="J3" s="54" t="s">
        <v>27</v>
      </c>
      <c r="K3" s="58" t="str">
        <f>vlookup(K19,'Round Robin Scores'!$A$1:$B999,2,false)</f>
        <v>Temple City</v>
      </c>
      <c r="L3" s="58" t="str">
        <f>vlookup(L19,'Round Robin Scores'!$A$1:$B999,2,false)</f>
        <v>Whitney</v>
      </c>
      <c r="M3" s="60" t="s">
        <v>31</v>
      </c>
      <c r="N3" s="62"/>
      <c r="O3" s="62"/>
      <c r="P3" s="33"/>
      <c r="Q3" s="63"/>
      <c r="R3" s="63"/>
      <c r="S3" s="34"/>
      <c r="T3" s="17"/>
      <c r="U3" s="17"/>
      <c r="V3" s="17"/>
      <c r="W3" s="17"/>
      <c r="X3" s="17"/>
      <c r="Y3" s="17"/>
      <c r="Z3" s="17"/>
    </row>
    <row r="4">
      <c r="A4" s="6"/>
      <c r="B4" s="40" t="str">
        <f>vlookup(B20,'Round Robin Scores'!$A$1:$B999,2,false)</f>
        <v>South Pasadena</v>
      </c>
      <c r="C4" s="66" t="s">
        <v>32</v>
      </c>
      <c r="D4" s="67"/>
      <c r="E4" s="46" t="str">
        <f>vlookup(E20,'Round Robin Scores'!$A$1:$B999,2,false)</f>
        <v>San Marino</v>
      </c>
      <c r="F4" s="68" t="s">
        <v>32</v>
      </c>
      <c r="G4" s="69"/>
      <c r="H4" s="50" t="str">
        <f>vlookup(H20,'Round Robin Scores'!$A$1:$B999,2,false)</f>
        <v>Arcadia 1</v>
      </c>
      <c r="I4" s="71" t="s">
        <v>20</v>
      </c>
      <c r="J4" s="54" t="s">
        <v>34</v>
      </c>
      <c r="K4" s="58" t="str">
        <f>vlookup(K20,'Round Robin Scores'!$A$1:$B999,2,false)</f>
        <v>Arcadia 2</v>
      </c>
      <c r="L4" s="73" t="s">
        <v>35</v>
      </c>
      <c r="M4" s="60" t="s">
        <v>36</v>
      </c>
      <c r="N4" s="62"/>
      <c r="O4" s="62"/>
      <c r="P4" s="33"/>
      <c r="Q4" s="63"/>
      <c r="R4" s="63"/>
      <c r="S4" s="34"/>
      <c r="T4" s="17"/>
      <c r="U4" s="17"/>
      <c r="V4" s="17"/>
      <c r="W4" s="17"/>
      <c r="X4" s="17"/>
      <c r="Y4" s="17"/>
      <c r="Z4" s="17"/>
    </row>
    <row r="5">
      <c r="A5" s="74"/>
      <c r="B5" s="76" t="str">
        <f>vlookup(B21,'Round Robin Scores'!$A$1:$B999,2,false)</f>
        <v>OCSA</v>
      </c>
      <c r="C5" s="76" t="str">
        <f>vlookup(C21,'Round Robin Scores'!$A$1:$B999,2,false)</f>
        <v>Portola</v>
      </c>
      <c r="D5" s="79" t="s">
        <v>29</v>
      </c>
      <c r="E5" s="81" t="str">
        <f>vlookup(E21,'Round Robin Scores'!$A$1:$B999,2,false)</f>
        <v>Palos Verdes</v>
      </c>
      <c r="F5" s="81" t="str">
        <f>vlookup(F21,'Round Robin Scores'!$A$1:$B999,2,false)</f>
        <v>Northwood</v>
      </c>
      <c r="G5" s="82" t="s">
        <v>40</v>
      </c>
      <c r="H5" s="84" t="str">
        <f>vlookup(H21,'Round Robin Scores'!$A$1:$B999,2,false)</f>
        <v>Walnut</v>
      </c>
      <c r="I5" s="84" t="str">
        <f>vlookup(I21,'Round Robin Scores'!$A$1:$B999,2,false)</f>
        <v>Beckman</v>
      </c>
      <c r="J5" s="87" t="s">
        <v>42</v>
      </c>
      <c r="K5" s="89" t="str">
        <f>vlookup(K21,'Round Robin Scores'!$A$1:$B999,2,false)</f>
        <v>Simi Valley</v>
      </c>
      <c r="L5" s="89" t="str">
        <f>vlookup(L21,'Round Robin Scores'!$A$1:$B999,2,false)</f>
        <v>Marshall</v>
      </c>
      <c r="M5" s="91" t="s">
        <v>44</v>
      </c>
      <c r="N5" s="62"/>
      <c r="O5" s="62"/>
      <c r="P5" s="33"/>
      <c r="Q5" s="63"/>
      <c r="R5" s="63"/>
      <c r="S5" s="34"/>
      <c r="T5" s="17"/>
      <c r="U5" s="17"/>
      <c r="V5" s="17"/>
      <c r="W5" s="17"/>
      <c r="X5" s="17"/>
      <c r="Y5" s="17"/>
      <c r="Z5" s="17"/>
    </row>
    <row r="6">
      <c r="A6" s="35" t="s">
        <v>45</v>
      </c>
      <c r="B6" s="40" t="str">
        <f>vlookup(B22,'Round Robin Scores'!$A$1:$B999,2,false)</f>
        <v>Diamond Bar</v>
      </c>
      <c r="C6" s="66" t="s">
        <v>32</v>
      </c>
      <c r="D6" s="43"/>
      <c r="E6" s="46" t="str">
        <f>vlookup(E22,'Round Robin Scores'!$A$1:$B999,2,false)</f>
        <v>Palm Desert</v>
      </c>
      <c r="F6" s="68" t="s">
        <v>32</v>
      </c>
      <c r="G6" s="47"/>
      <c r="H6" s="50" t="str">
        <f>vlookup(H22,'Round Robin Scores'!$A$1:$B999,2,false)</f>
        <v>La Canada</v>
      </c>
      <c r="I6" s="71" t="s">
        <v>20</v>
      </c>
      <c r="J6" s="54" t="s">
        <v>42</v>
      </c>
      <c r="K6" s="58" t="str">
        <f>vlookup(K22,'Round Robin Scores'!$A$1:$B999,2,false)</f>
        <v>Temple City</v>
      </c>
      <c r="L6" s="73" t="s">
        <v>35</v>
      </c>
      <c r="M6" s="60" t="s">
        <v>27</v>
      </c>
      <c r="N6" s="62"/>
      <c r="O6" s="62"/>
      <c r="P6" s="33"/>
      <c r="Q6" s="63"/>
      <c r="R6" s="63"/>
      <c r="S6" s="34"/>
      <c r="T6" s="17"/>
      <c r="U6" s="17"/>
      <c r="V6" s="17"/>
      <c r="W6" s="17"/>
      <c r="X6" s="17"/>
      <c r="Y6" s="17"/>
      <c r="Z6" s="17"/>
    </row>
    <row r="7">
      <c r="A7" s="6"/>
      <c r="B7" s="40" t="str">
        <f>vlookup(B23,'Round Robin Scores'!$A$1:$B999,2,false)</f>
        <v>Troy</v>
      </c>
      <c r="C7" s="40" t="str">
        <f>vlookup(C23,'Round Robin Scores'!$A$1:$B999,2,false)</f>
        <v>Portola</v>
      </c>
      <c r="D7" s="43" t="s">
        <v>23</v>
      </c>
      <c r="E7" s="46" t="str">
        <f>vlookup(E23,'Round Robin Scores'!$A$1:$B999,2,false)</f>
        <v>Santa Monica</v>
      </c>
      <c r="F7" s="46" t="str">
        <f>vlookup(F23,'Round Robin Scores'!$A$1:$B999,2,false)</f>
        <v>Northwood</v>
      </c>
      <c r="G7" s="47" t="s">
        <v>21</v>
      </c>
      <c r="H7" s="50" t="str">
        <f>vlookup(H23,'Round Robin Scores'!$A$1:$B999,2,false)</f>
        <v>Aquinas</v>
      </c>
      <c r="I7" s="50" t="str">
        <f>vlookup(I23,'Round Robin Scores'!$A$1:$B999,2,false)</f>
        <v>Beckman</v>
      </c>
      <c r="J7" s="54" t="s">
        <v>34</v>
      </c>
      <c r="K7" s="58" t="str">
        <f>vlookup(K23,'Round Robin Scores'!$A$1:$B999,2,false)</f>
        <v>Whitney</v>
      </c>
      <c r="L7" s="58" t="str">
        <f>vlookup(L23,'Round Robin Scores'!$A$1:$B999,2,false)</f>
        <v>Marshall</v>
      </c>
      <c r="M7" s="60" t="s">
        <v>44</v>
      </c>
      <c r="N7" s="62"/>
      <c r="O7" s="62"/>
      <c r="P7" s="33"/>
      <c r="Q7" s="63"/>
      <c r="R7" s="63"/>
      <c r="S7" s="34"/>
      <c r="T7" s="17"/>
      <c r="U7" s="17"/>
      <c r="V7" s="17"/>
      <c r="W7" s="17"/>
      <c r="X7" s="17"/>
      <c r="Y7" s="17"/>
      <c r="Z7" s="17"/>
    </row>
    <row r="8">
      <c r="A8" s="74"/>
      <c r="B8" s="76" t="str">
        <f>vlookup(B24,'Round Robin Scores'!$A$1:$B999,2,false)</f>
        <v>South Pasadena</v>
      </c>
      <c r="C8" s="76" t="str">
        <f>vlookup(C24,'Round Robin Scores'!$A$1:$B999,2,false)</f>
        <v>OCSA</v>
      </c>
      <c r="D8" s="79" t="s">
        <v>40</v>
      </c>
      <c r="E8" s="81" t="str">
        <f>vlookup(E24,'Round Robin Scores'!$A$1:$B999,2,false)</f>
        <v>San Marino</v>
      </c>
      <c r="F8" s="81" t="str">
        <f>vlookup(F24,'Round Robin Scores'!$A$1:$B999,2,false)</f>
        <v>Palos Verdes</v>
      </c>
      <c r="G8" s="105" t="s">
        <v>29</v>
      </c>
      <c r="H8" s="84" t="str">
        <f>vlookup(H24,'Round Robin Scores'!$A$1:$B999,2,false)</f>
        <v>Arcadia 1</v>
      </c>
      <c r="I8" s="84" t="str">
        <f>vlookup(I24,'Round Robin Scores'!$A$1:$B999,2,false)</f>
        <v>Walnut</v>
      </c>
      <c r="J8" s="87" t="s">
        <v>36</v>
      </c>
      <c r="K8" s="89" t="str">
        <f>vlookup(K24,'Round Robin Scores'!$A$1:$B999,2,false)</f>
        <v>Arcadia 2</v>
      </c>
      <c r="L8" s="89" t="str">
        <f>vlookup(L24,'Round Robin Scores'!$A$1:$B999,2,false)</f>
        <v>Simi Valley</v>
      </c>
      <c r="M8" s="91" t="s">
        <v>31</v>
      </c>
      <c r="N8" s="62"/>
      <c r="O8" s="62"/>
      <c r="P8" s="33"/>
      <c r="Q8" s="63"/>
      <c r="R8" s="63"/>
      <c r="S8" s="34"/>
      <c r="T8" s="17"/>
      <c r="U8" s="17"/>
      <c r="V8" s="17"/>
      <c r="W8" s="17"/>
      <c r="X8" s="17"/>
      <c r="Y8" s="17"/>
      <c r="Z8" s="17"/>
    </row>
    <row r="9">
      <c r="A9" s="35" t="s">
        <v>53</v>
      </c>
      <c r="B9" s="40" t="str">
        <f>vlookup(B25,'Round Robin Scores'!$A$1:$B999,2,false)</f>
        <v>Diamond Bar</v>
      </c>
      <c r="C9" s="40" t="str">
        <f>vlookup(C25,'Round Robin Scores'!$A$1:$B999,2,false)</f>
        <v>Portola</v>
      </c>
      <c r="D9" s="43" t="s">
        <v>29</v>
      </c>
      <c r="E9" s="46" t="str">
        <f>vlookup(E25,'Round Robin Scores'!$A$1:$B999,2,false)</f>
        <v>Palm Desert</v>
      </c>
      <c r="F9" s="46" t="str">
        <f>vlookup(F25,'Round Robin Scores'!$A$1:$B999,2,false)</f>
        <v>Northwood</v>
      </c>
      <c r="G9" s="47" t="s">
        <v>40</v>
      </c>
      <c r="H9" s="50" t="str">
        <f>vlookup(H25,'Round Robin Scores'!$A$1:$B999,2,false)</f>
        <v>La Canada</v>
      </c>
      <c r="I9" s="50" t="str">
        <f>vlookup(I25,'Round Robin Scores'!$A$1:$B999,2,false)</f>
        <v>Beckman</v>
      </c>
      <c r="J9" s="54" t="s">
        <v>34</v>
      </c>
      <c r="K9" s="58" t="str">
        <f>vlookup(K25,'Round Robin Scores'!$A$1:$B999,2,false)</f>
        <v>Temple City</v>
      </c>
      <c r="L9" s="58" t="str">
        <f>vlookup(L25,'Round Robin Scores'!$A$1:$B999,2,false)</f>
        <v>Marshall</v>
      </c>
      <c r="M9" s="60" t="s">
        <v>31</v>
      </c>
      <c r="N9" s="62"/>
      <c r="O9" s="62"/>
      <c r="P9" s="33"/>
      <c r="Q9" s="63"/>
      <c r="R9" s="63"/>
      <c r="S9" s="34"/>
      <c r="T9" s="17"/>
      <c r="U9" s="17"/>
      <c r="V9" s="17"/>
      <c r="W9" s="17"/>
      <c r="X9" s="17"/>
      <c r="Y9" s="17"/>
      <c r="Z9" s="17"/>
    </row>
    <row r="10">
      <c r="A10" s="6"/>
      <c r="B10" s="40" t="str">
        <f>vlookup(B26,'Round Robin Scores'!$A$1:$B999,2,false)</f>
        <v>Troy</v>
      </c>
      <c r="C10" s="40" t="str">
        <f>vlookup(C26,'Round Robin Scores'!$A$1:$B999,2,false)</f>
        <v>South Pasadena</v>
      </c>
      <c r="D10" s="43" t="s">
        <v>21</v>
      </c>
      <c r="E10" s="46" t="str">
        <f>vlookup(E26,'Round Robin Scores'!$A$1:$B999,2,false)</f>
        <v>Santa Monica</v>
      </c>
      <c r="F10" s="46" t="str">
        <f>vlookup(F26,'Round Robin Scores'!$A$1:$B999,2,false)</f>
        <v>San Marino</v>
      </c>
      <c r="G10" s="47" t="s">
        <v>23</v>
      </c>
      <c r="H10" s="50" t="str">
        <f>vlookup(H26,'Round Robin Scores'!$A$1:$B999,2,false)</f>
        <v>Aquinas</v>
      </c>
      <c r="I10" s="50" t="str">
        <f>vlookup(I26,'Round Robin Scores'!$A$1:$B999,2,false)</f>
        <v>Arcadia 1</v>
      </c>
      <c r="J10" s="54" t="s">
        <v>42</v>
      </c>
      <c r="K10" s="58" t="str">
        <f>vlookup(K26,'Round Robin Scores'!$A$1:$B999,2,false)</f>
        <v>Whitney</v>
      </c>
      <c r="L10" s="58" t="str">
        <f>vlookup(L26,'Round Robin Scores'!$A$1:$B999,2,false)</f>
        <v>Arcadia 2</v>
      </c>
      <c r="M10" s="60" t="s">
        <v>27</v>
      </c>
      <c r="N10" s="62"/>
      <c r="O10" s="62"/>
      <c r="P10" s="33"/>
      <c r="Q10" s="63"/>
      <c r="R10" s="63"/>
      <c r="S10" s="34"/>
      <c r="T10" s="17"/>
      <c r="U10" s="17"/>
      <c r="V10" s="17"/>
      <c r="W10" s="17"/>
      <c r="X10" s="17"/>
      <c r="Y10" s="17"/>
      <c r="Z10" s="17"/>
    </row>
    <row r="11">
      <c r="A11" s="74"/>
      <c r="B11" s="76" t="str">
        <f>vlookup(B27,'Round Robin Scores'!$A$1:$B999,2,false)</f>
        <v>OCSA</v>
      </c>
      <c r="C11" s="126" t="s">
        <v>32</v>
      </c>
      <c r="D11" s="79"/>
      <c r="E11" s="81" t="str">
        <f>vlookup(E27,'Round Robin Scores'!$A$1:$B999,2,false)</f>
        <v>Palos Verdes</v>
      </c>
      <c r="F11" s="127" t="s">
        <v>32</v>
      </c>
      <c r="G11" s="105"/>
      <c r="H11" s="84" t="str">
        <f>vlookup(H27,'Round Robin Scores'!$A$1:$B999,2,false)</f>
        <v>Walnut</v>
      </c>
      <c r="I11" s="128" t="s">
        <v>20</v>
      </c>
      <c r="J11" s="87" t="s">
        <v>36</v>
      </c>
      <c r="K11" s="89" t="str">
        <f>vlookup(K27,'Round Robin Scores'!$A$1:$B999,2,false)</f>
        <v>Simi Valley</v>
      </c>
      <c r="L11" s="129" t="s">
        <v>35</v>
      </c>
      <c r="M11" s="91" t="s">
        <v>44</v>
      </c>
      <c r="N11" s="62"/>
      <c r="O11" s="62"/>
      <c r="P11" s="33"/>
      <c r="Q11" s="63"/>
      <c r="R11" s="63"/>
      <c r="S11" s="34"/>
      <c r="T11" s="17"/>
      <c r="U11" s="17"/>
      <c r="V11" s="17"/>
      <c r="W11" s="17"/>
      <c r="X11" s="17"/>
      <c r="Y11" s="17"/>
      <c r="Z11" s="17"/>
    </row>
    <row r="12">
      <c r="A12" s="35" t="s">
        <v>56</v>
      </c>
      <c r="B12" s="40" t="str">
        <f>vlookup(B28,'Round Robin Scores'!$A$1:$B999,2,false)</f>
        <v>Diamond Bar</v>
      </c>
      <c r="C12" s="40" t="str">
        <f>vlookup(C28,'Round Robin Scores'!$A$1:$B999,2,false)</f>
        <v>OCSA</v>
      </c>
      <c r="D12" s="43" t="s">
        <v>40</v>
      </c>
      <c r="E12" s="46" t="str">
        <f>vlookup(E28,'Round Robin Scores'!$A$1:$B999,2,false)</f>
        <v>Palm Desert</v>
      </c>
      <c r="F12" s="46" t="str">
        <f>vlookup(F28,'Round Robin Scores'!$A$1:$B999,2,false)</f>
        <v>Palos Verdes</v>
      </c>
      <c r="G12" s="47" t="s">
        <v>29</v>
      </c>
      <c r="H12" s="50" t="str">
        <f>vlookup(H28,'Round Robin Scores'!$A$1:$B999,2,false)</f>
        <v>La Canada</v>
      </c>
      <c r="I12" s="50" t="str">
        <f>vlookup(I28,'Round Robin Scores'!$A$1:$B999,2,false)</f>
        <v>Walnut</v>
      </c>
      <c r="J12" s="54" t="s">
        <v>27</v>
      </c>
      <c r="K12" s="58" t="str">
        <f>vlookup(K28,'Round Robin Scores'!$A$1:$B999,2,false)</f>
        <v>Temple City</v>
      </c>
      <c r="L12" s="58" t="str">
        <f>vlookup(L28,'Round Robin Scores'!$A$1:$B999,2,false)</f>
        <v>Simi Valley</v>
      </c>
      <c r="M12" s="60" t="s">
        <v>44</v>
      </c>
      <c r="N12" s="62"/>
      <c r="O12" s="62"/>
      <c r="P12" s="33"/>
      <c r="Q12" s="63"/>
      <c r="R12" s="63"/>
      <c r="S12" s="34"/>
      <c r="T12" s="17"/>
      <c r="U12" s="17"/>
      <c r="V12" s="17"/>
      <c r="W12" s="17"/>
      <c r="X12" s="17"/>
      <c r="Y12" s="17"/>
      <c r="Z12" s="17"/>
    </row>
    <row r="13">
      <c r="A13" s="6"/>
      <c r="B13" s="40" t="str">
        <f>vlookup(B29,'Round Robin Scores'!$A$1:$B999,2,false)</f>
        <v>South Pasadena</v>
      </c>
      <c r="C13" s="40" t="str">
        <f>vlookup(C29,'Round Robin Scores'!$A$1:$B999,2,false)</f>
        <v>Portola</v>
      </c>
      <c r="D13" s="43" t="s">
        <v>23</v>
      </c>
      <c r="E13" s="46" t="str">
        <f>vlookup(E29,'Round Robin Scores'!$A$1:$B999,2,false)</f>
        <v>San Marino</v>
      </c>
      <c r="F13" s="46" t="str">
        <f>vlookup(F29,'Round Robin Scores'!$A$1:$B999,2,false)</f>
        <v>Northwood</v>
      </c>
      <c r="G13" s="47" t="s">
        <v>21</v>
      </c>
      <c r="H13" s="50" t="str">
        <f>vlookup(H29,'Round Robin Scores'!$A$1:$B999,2,false)</f>
        <v>Arcadia 1</v>
      </c>
      <c r="I13" s="50" t="str">
        <f>vlookup(I29,'Round Robin Scores'!$A$1:$B999,2,false)</f>
        <v>Beckman</v>
      </c>
      <c r="J13" s="54" t="s">
        <v>36</v>
      </c>
      <c r="K13" s="58" t="str">
        <f>vlookup(K29,'Round Robin Scores'!$A$1:$B999,2,false)</f>
        <v>Arcadia 2</v>
      </c>
      <c r="L13" s="58" t="str">
        <f>vlookup(L29,'Round Robin Scores'!$A$1:$B999,2,false)</f>
        <v>Marshall</v>
      </c>
      <c r="M13" s="60" t="s">
        <v>31</v>
      </c>
      <c r="N13" s="62"/>
      <c r="O13" s="62"/>
      <c r="P13" s="33"/>
      <c r="Q13" s="63"/>
      <c r="R13" s="63"/>
      <c r="S13" s="34"/>
      <c r="T13" s="17"/>
      <c r="U13" s="17"/>
      <c r="V13" s="17"/>
      <c r="W13" s="17"/>
      <c r="X13" s="17"/>
      <c r="Y13" s="17"/>
      <c r="Z13" s="17"/>
    </row>
    <row r="14">
      <c r="A14" s="74"/>
      <c r="B14" s="76" t="str">
        <f>vlookup(B30,'Round Robin Scores'!$A$1:$B999,2,false)</f>
        <v>Troy</v>
      </c>
      <c r="C14" s="126" t="s">
        <v>32</v>
      </c>
      <c r="D14" s="79"/>
      <c r="E14" s="81" t="str">
        <f>vlookup(E30,'Round Robin Scores'!$A$1:$B999,2,false)</f>
        <v>Santa Monica</v>
      </c>
      <c r="F14" s="127" t="s">
        <v>32</v>
      </c>
      <c r="G14" s="105"/>
      <c r="H14" s="84" t="str">
        <f>vlookup(H30,'Round Robin Scores'!$A$1:$B999,2,false)</f>
        <v>Aquinas</v>
      </c>
      <c r="I14" s="128" t="s">
        <v>20</v>
      </c>
      <c r="J14" s="87" t="s">
        <v>42</v>
      </c>
      <c r="K14" s="89" t="str">
        <f>vlookup(K30,'Round Robin Scores'!$A$1:$B999,2,false)</f>
        <v>Whitney</v>
      </c>
      <c r="L14" s="129" t="s">
        <v>35</v>
      </c>
      <c r="M14" s="91" t="s">
        <v>34</v>
      </c>
      <c r="N14" s="62"/>
      <c r="O14" s="62"/>
      <c r="P14" s="33"/>
      <c r="Q14" s="63"/>
      <c r="R14" s="63"/>
      <c r="S14" s="34"/>
      <c r="T14" s="17"/>
      <c r="U14" s="17"/>
      <c r="V14" s="17"/>
      <c r="W14" s="17"/>
      <c r="X14" s="17"/>
      <c r="Y14" s="17"/>
      <c r="Z14" s="17"/>
    </row>
    <row r="15">
      <c r="A15" s="35" t="s">
        <v>61</v>
      </c>
      <c r="B15" s="40" t="str">
        <f>vlookup(B31,'Round Robin Scores'!$A$1:$B999,2,false)</f>
        <v>Diamond Bar</v>
      </c>
      <c r="C15" s="40" t="str">
        <f>vlookup(C31,'Round Robin Scores'!$A$1:$B999,2,false)</f>
        <v>South Pasadena</v>
      </c>
      <c r="D15" s="43" t="s">
        <v>21</v>
      </c>
      <c r="E15" s="46" t="str">
        <f>vlookup(E31,'Round Robin Scores'!$A$1:$B999,2,false)</f>
        <v>Palm Desert</v>
      </c>
      <c r="F15" s="46" t="str">
        <f>vlookup(F31,'Round Robin Scores'!$A$1:$B999,2,false)</f>
        <v>San Marino</v>
      </c>
      <c r="G15" s="47" t="s">
        <v>23</v>
      </c>
      <c r="H15" s="50" t="str">
        <f>vlookup(H31,'Round Robin Scores'!$A$1:$B999,2,false)</f>
        <v>La Canada</v>
      </c>
      <c r="I15" s="50" t="str">
        <f>vlookup(I31,'Round Robin Scores'!$A$1:$B999,2,false)</f>
        <v>Arcadia 1</v>
      </c>
      <c r="J15" s="54" t="s">
        <v>36</v>
      </c>
      <c r="K15" s="58" t="str">
        <f>vlookup(K31,'Round Robin Scores'!$A$1:$B999,2,false)</f>
        <v>Temple City</v>
      </c>
      <c r="L15" s="58" t="str">
        <f>vlookup(L31,'Round Robin Scores'!$A$1:$B999,2,false)</f>
        <v>Arcadia 2</v>
      </c>
      <c r="M15" s="60" t="s">
        <v>34</v>
      </c>
      <c r="N15" s="62"/>
      <c r="O15" s="62"/>
      <c r="P15" s="33"/>
      <c r="Q15" s="63"/>
      <c r="R15" s="63"/>
      <c r="S15" s="34"/>
      <c r="T15" s="17"/>
      <c r="U15" s="17"/>
      <c r="V15" s="17"/>
      <c r="W15" s="17"/>
      <c r="X15" s="17"/>
      <c r="Y15" s="17"/>
      <c r="Z15" s="17"/>
    </row>
    <row r="16">
      <c r="A16" s="6"/>
      <c r="B16" s="40" t="str">
        <f>vlookup(B32,'Round Robin Scores'!$A$1:$B999,2,false)</f>
        <v>Troy</v>
      </c>
      <c r="C16" s="40" t="str">
        <f>vlookup(C32,'Round Robin Scores'!$A$1:$B999,2,false)</f>
        <v>OCSA</v>
      </c>
      <c r="D16" s="43" t="s">
        <v>29</v>
      </c>
      <c r="E16" s="46" t="str">
        <f>vlookup(E32,'Round Robin Scores'!$A$1:$B999,2,false)</f>
        <v>Santa Monica</v>
      </c>
      <c r="F16" s="46" t="str">
        <f>vlookup(F32,'Round Robin Scores'!$A$1:$B999,2,false)</f>
        <v>Palos Verdes</v>
      </c>
      <c r="G16" s="47" t="s">
        <v>40</v>
      </c>
      <c r="H16" s="50" t="str">
        <f>vlookup(H32,'Round Robin Scores'!$A$1:$B999,2,false)</f>
        <v>Aquinas</v>
      </c>
      <c r="I16" s="50" t="str">
        <f>vlookup(I32,'Round Robin Scores'!$A$1:$B999,2,false)</f>
        <v>Walnut</v>
      </c>
      <c r="J16" s="54" t="s">
        <v>27</v>
      </c>
      <c r="K16" s="58" t="str">
        <f>vlookup(K32,'Round Robin Scores'!$A$1:$B999,2,false)</f>
        <v>Whitney</v>
      </c>
      <c r="L16" s="58" t="str">
        <f>vlookup(L32,'Round Robin Scores'!$A$1:$B999,2,false)</f>
        <v>Simi Valley</v>
      </c>
      <c r="M16" s="60" t="s">
        <v>31</v>
      </c>
      <c r="N16" s="62"/>
      <c r="O16" s="62"/>
      <c r="P16" s="33"/>
      <c r="Q16" s="63"/>
      <c r="R16" s="63"/>
      <c r="S16" s="34"/>
      <c r="T16" s="17"/>
      <c r="U16" s="17"/>
      <c r="V16" s="17"/>
      <c r="W16" s="17"/>
      <c r="X16" s="17"/>
      <c r="Y16" s="17"/>
      <c r="Z16" s="17"/>
    </row>
    <row r="17">
      <c r="A17" s="146"/>
      <c r="B17" s="149" t="str">
        <f>vlookup(B33,'Round Robin Scores'!$A$1:$B999,2,false)</f>
        <v>Portola</v>
      </c>
      <c r="C17" s="150" t="s">
        <v>32</v>
      </c>
      <c r="D17" s="151"/>
      <c r="E17" s="152" t="str">
        <f>vlookup(E33,'Round Robin Scores'!$A$1:$B999,2,false)</f>
        <v>Northwood</v>
      </c>
      <c r="F17" s="153" t="s">
        <v>32</v>
      </c>
      <c r="G17" s="154"/>
      <c r="H17" s="156" t="str">
        <f>vlookup(H33,'Round Robin Scores'!$A$1:$B999,2,false)</f>
        <v>Beckman</v>
      </c>
      <c r="I17" s="157" t="s">
        <v>20</v>
      </c>
      <c r="J17" s="158" t="s">
        <v>44</v>
      </c>
      <c r="K17" s="160" t="str">
        <f>vlookup(K33,'Round Robin Scores'!$A$1:$B999,2,false)</f>
        <v>Marshall</v>
      </c>
      <c r="L17" s="161" t="s">
        <v>35</v>
      </c>
      <c r="M17" s="163" t="s">
        <v>42</v>
      </c>
      <c r="N17" s="62"/>
      <c r="O17" s="62"/>
      <c r="P17" s="33"/>
      <c r="Q17" s="63"/>
      <c r="R17" s="63"/>
      <c r="S17" s="34"/>
      <c r="T17" s="17"/>
      <c r="U17" s="17"/>
      <c r="V17" s="17"/>
      <c r="W17" s="17"/>
      <c r="X17" s="17"/>
      <c r="Y17" s="17"/>
      <c r="Z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idden="1">
      <c r="A19" s="17"/>
      <c r="B19" s="17" t="s">
        <v>24</v>
      </c>
      <c r="C19" s="17" t="s">
        <v>46</v>
      </c>
      <c r="D19" s="17"/>
      <c r="E19" s="17" t="s">
        <v>54</v>
      </c>
      <c r="F19" s="17" t="s">
        <v>57</v>
      </c>
      <c r="G19" s="17"/>
      <c r="H19" s="17" t="s">
        <v>64</v>
      </c>
      <c r="I19" s="17" t="s">
        <v>66</v>
      </c>
      <c r="J19" s="17"/>
      <c r="K19" s="17" t="s">
        <v>68</v>
      </c>
      <c r="L19" s="17" t="s">
        <v>69</v>
      </c>
      <c r="M19" s="17"/>
      <c r="N19" s="17" t="s">
        <v>70</v>
      </c>
      <c r="O19" s="17" t="s">
        <v>71</v>
      </c>
      <c r="P19" s="17"/>
      <c r="Q19" s="17" t="s">
        <v>72</v>
      </c>
      <c r="R19" s="17" t="s">
        <v>73</v>
      </c>
      <c r="S19" s="17"/>
      <c r="T19" s="17"/>
      <c r="U19" s="17"/>
      <c r="V19" s="17"/>
      <c r="W19" s="17"/>
      <c r="X19" s="17"/>
      <c r="Y19" s="17"/>
      <c r="Z19" s="17"/>
    </row>
    <row r="20" hidden="1">
      <c r="A20" s="17"/>
      <c r="B20" s="17" t="s">
        <v>48</v>
      </c>
      <c r="C20" s="17" t="s">
        <v>74</v>
      </c>
      <c r="D20" s="17"/>
      <c r="E20" s="17" t="s">
        <v>58</v>
      </c>
      <c r="F20" s="17" t="s">
        <v>75</v>
      </c>
      <c r="G20" s="17"/>
      <c r="H20" s="17" t="s">
        <v>76</v>
      </c>
      <c r="I20" s="17" t="s">
        <v>77</v>
      </c>
      <c r="J20" s="17"/>
      <c r="K20" s="17" t="s">
        <v>78</v>
      </c>
      <c r="L20" s="17" t="s">
        <v>79</v>
      </c>
      <c r="M20" s="17"/>
      <c r="N20" s="17" t="s">
        <v>80</v>
      </c>
      <c r="O20" s="17" t="s">
        <v>81</v>
      </c>
      <c r="P20" s="17"/>
      <c r="Q20" s="17" t="s">
        <v>82</v>
      </c>
      <c r="R20" s="17" t="s">
        <v>83</v>
      </c>
      <c r="S20" s="17"/>
      <c r="T20" s="17"/>
      <c r="U20" s="17"/>
      <c r="V20" s="17"/>
      <c r="W20" s="17"/>
      <c r="X20" s="17"/>
      <c r="Y20" s="17"/>
      <c r="Z20" s="17"/>
    </row>
    <row r="21" hidden="1">
      <c r="A21" s="17"/>
      <c r="B21" s="17" t="s">
        <v>50</v>
      </c>
      <c r="C21" s="17" t="s">
        <v>52</v>
      </c>
      <c r="D21" s="17"/>
      <c r="E21" s="17" t="s">
        <v>59</v>
      </c>
      <c r="F21" s="17" t="s">
        <v>62</v>
      </c>
      <c r="G21" s="17"/>
      <c r="H21" s="17" t="s">
        <v>84</v>
      </c>
      <c r="I21" s="17" t="s">
        <v>85</v>
      </c>
      <c r="J21" s="17"/>
      <c r="K21" s="17" t="s">
        <v>86</v>
      </c>
      <c r="L21" s="17" t="s">
        <v>87</v>
      </c>
      <c r="M21" s="17"/>
      <c r="N21" s="17" t="s">
        <v>88</v>
      </c>
      <c r="O21" s="17" t="s">
        <v>89</v>
      </c>
      <c r="P21" s="17"/>
      <c r="Q21" s="17" t="s">
        <v>90</v>
      </c>
      <c r="R21" s="17" t="s">
        <v>91</v>
      </c>
      <c r="S21" s="17"/>
      <c r="T21" s="17"/>
      <c r="U21" s="17"/>
      <c r="V21" s="17"/>
      <c r="W21" s="17"/>
      <c r="X21" s="17"/>
      <c r="Y21" s="17"/>
      <c r="Z21" s="17"/>
    </row>
    <row r="22" hidden="1">
      <c r="A22" s="17"/>
      <c r="B22" s="17" t="s">
        <v>24</v>
      </c>
      <c r="C22" s="17" t="s">
        <v>74</v>
      </c>
      <c r="D22" s="17"/>
      <c r="E22" s="17" t="s">
        <v>54</v>
      </c>
      <c r="F22" s="17" t="s">
        <v>75</v>
      </c>
      <c r="G22" s="17"/>
      <c r="H22" s="17" t="s">
        <v>64</v>
      </c>
      <c r="I22" s="17" t="s">
        <v>77</v>
      </c>
      <c r="J22" s="17"/>
      <c r="K22" s="17" t="s">
        <v>68</v>
      </c>
      <c r="L22" s="17" t="s">
        <v>79</v>
      </c>
      <c r="M22" s="17"/>
      <c r="N22" s="17" t="s">
        <v>70</v>
      </c>
      <c r="O22" s="17" t="s">
        <v>81</v>
      </c>
      <c r="P22" s="17"/>
      <c r="Q22" s="17" t="s">
        <v>72</v>
      </c>
      <c r="R22" s="17" t="s">
        <v>83</v>
      </c>
      <c r="S22" s="17"/>
      <c r="T22" s="17"/>
      <c r="U22" s="17"/>
      <c r="V22" s="17"/>
      <c r="W22" s="17"/>
      <c r="X22" s="17"/>
      <c r="Y22" s="17"/>
      <c r="Z22" s="17"/>
    </row>
    <row r="23" hidden="1">
      <c r="A23" s="17"/>
      <c r="B23" s="17" t="s">
        <v>46</v>
      </c>
      <c r="C23" s="17" t="s">
        <v>52</v>
      </c>
      <c r="D23" s="17"/>
      <c r="E23" s="17" t="s">
        <v>57</v>
      </c>
      <c r="F23" s="17" t="s">
        <v>62</v>
      </c>
      <c r="G23" s="17"/>
      <c r="H23" s="17" t="s">
        <v>66</v>
      </c>
      <c r="I23" s="17" t="s">
        <v>85</v>
      </c>
      <c r="J23" s="17"/>
      <c r="K23" s="17" t="s">
        <v>69</v>
      </c>
      <c r="L23" s="17" t="s">
        <v>87</v>
      </c>
      <c r="M23" s="17"/>
      <c r="N23" s="17" t="s">
        <v>71</v>
      </c>
      <c r="O23" s="17" t="s">
        <v>89</v>
      </c>
      <c r="P23" s="17"/>
      <c r="Q23" s="17" t="s">
        <v>73</v>
      </c>
      <c r="R23" s="17" t="s">
        <v>91</v>
      </c>
      <c r="S23" s="17"/>
      <c r="T23" s="17"/>
      <c r="U23" s="17"/>
      <c r="V23" s="17"/>
      <c r="W23" s="17"/>
      <c r="X23" s="17"/>
      <c r="Y23" s="17"/>
      <c r="Z23" s="17"/>
    </row>
    <row r="24" hidden="1">
      <c r="A24" s="17"/>
      <c r="B24" s="17" t="s">
        <v>48</v>
      </c>
      <c r="C24" s="17" t="s">
        <v>50</v>
      </c>
      <c r="D24" s="17"/>
      <c r="E24" s="17" t="s">
        <v>58</v>
      </c>
      <c r="F24" s="17" t="s">
        <v>59</v>
      </c>
      <c r="G24" s="17"/>
      <c r="H24" s="17" t="s">
        <v>76</v>
      </c>
      <c r="I24" s="17" t="s">
        <v>84</v>
      </c>
      <c r="J24" s="17"/>
      <c r="K24" s="17" t="s">
        <v>78</v>
      </c>
      <c r="L24" s="17" t="s">
        <v>86</v>
      </c>
      <c r="M24" s="17"/>
      <c r="N24" s="17" t="s">
        <v>80</v>
      </c>
      <c r="O24" s="17" t="s">
        <v>88</v>
      </c>
      <c r="P24" s="17"/>
      <c r="Q24" s="17" t="s">
        <v>82</v>
      </c>
      <c r="R24" s="17" t="s">
        <v>90</v>
      </c>
      <c r="S24" s="17"/>
      <c r="T24" s="17"/>
      <c r="U24" s="17"/>
      <c r="V24" s="17"/>
      <c r="W24" s="17"/>
      <c r="X24" s="17"/>
      <c r="Y24" s="17"/>
      <c r="Z24" s="17"/>
    </row>
    <row r="25" hidden="1">
      <c r="A25" s="17"/>
      <c r="B25" s="17" t="s">
        <v>24</v>
      </c>
      <c r="C25" s="17" t="s">
        <v>52</v>
      </c>
      <c r="D25" s="17"/>
      <c r="E25" s="17" t="s">
        <v>54</v>
      </c>
      <c r="F25" s="17" t="s">
        <v>62</v>
      </c>
      <c r="G25" s="17"/>
      <c r="H25" s="17" t="s">
        <v>64</v>
      </c>
      <c r="I25" s="17" t="s">
        <v>85</v>
      </c>
      <c r="J25" s="17"/>
      <c r="K25" s="17" t="s">
        <v>68</v>
      </c>
      <c r="L25" s="17" t="s">
        <v>87</v>
      </c>
      <c r="M25" s="17"/>
      <c r="N25" s="17" t="s">
        <v>70</v>
      </c>
      <c r="O25" s="17" t="s">
        <v>89</v>
      </c>
      <c r="P25" s="17"/>
      <c r="Q25" s="17" t="s">
        <v>72</v>
      </c>
      <c r="R25" s="17" t="s">
        <v>91</v>
      </c>
      <c r="S25" s="17"/>
      <c r="T25" s="17"/>
      <c r="U25" s="17"/>
      <c r="V25" s="17"/>
      <c r="W25" s="17"/>
      <c r="X25" s="17"/>
      <c r="Y25" s="17"/>
      <c r="Z25" s="17"/>
    </row>
    <row r="26" hidden="1">
      <c r="A26" s="17"/>
      <c r="B26" s="17" t="s">
        <v>46</v>
      </c>
      <c r="C26" s="17" t="s">
        <v>48</v>
      </c>
      <c r="D26" s="17"/>
      <c r="E26" s="17" t="s">
        <v>57</v>
      </c>
      <c r="F26" s="17" t="s">
        <v>58</v>
      </c>
      <c r="G26" s="17"/>
      <c r="H26" s="17" t="s">
        <v>66</v>
      </c>
      <c r="I26" s="17" t="s">
        <v>76</v>
      </c>
      <c r="J26" s="17"/>
      <c r="K26" s="17" t="s">
        <v>69</v>
      </c>
      <c r="L26" s="17" t="s">
        <v>78</v>
      </c>
      <c r="M26" s="17"/>
      <c r="N26" s="17" t="s">
        <v>71</v>
      </c>
      <c r="O26" s="17" t="s">
        <v>80</v>
      </c>
      <c r="P26" s="17"/>
      <c r="Q26" s="17" t="s">
        <v>73</v>
      </c>
      <c r="R26" s="17" t="s">
        <v>82</v>
      </c>
      <c r="S26" s="17"/>
      <c r="T26" s="17"/>
      <c r="U26" s="17"/>
      <c r="V26" s="17"/>
      <c r="W26" s="17"/>
      <c r="X26" s="17"/>
      <c r="Y26" s="17"/>
      <c r="Z26" s="17"/>
    </row>
    <row r="27" hidden="1">
      <c r="A27" s="17"/>
      <c r="B27" s="17" t="s">
        <v>50</v>
      </c>
      <c r="C27" s="17" t="s">
        <v>74</v>
      </c>
      <c r="D27" s="17"/>
      <c r="E27" s="17" t="s">
        <v>59</v>
      </c>
      <c r="F27" s="17" t="s">
        <v>75</v>
      </c>
      <c r="G27" s="17"/>
      <c r="H27" s="17" t="s">
        <v>84</v>
      </c>
      <c r="I27" s="17" t="s">
        <v>77</v>
      </c>
      <c r="J27" s="17"/>
      <c r="K27" s="17" t="s">
        <v>86</v>
      </c>
      <c r="L27" s="17" t="s">
        <v>79</v>
      </c>
      <c r="M27" s="17"/>
      <c r="N27" s="17" t="s">
        <v>88</v>
      </c>
      <c r="O27" s="17" t="s">
        <v>81</v>
      </c>
      <c r="P27" s="17"/>
      <c r="Q27" s="17" t="s">
        <v>90</v>
      </c>
      <c r="R27" s="17" t="s">
        <v>83</v>
      </c>
      <c r="S27" s="17"/>
      <c r="T27" s="17"/>
      <c r="U27" s="17"/>
      <c r="V27" s="17"/>
      <c r="W27" s="17"/>
      <c r="X27" s="17"/>
      <c r="Y27" s="17"/>
      <c r="Z27" s="17"/>
    </row>
    <row r="28" hidden="1">
      <c r="A28" s="17"/>
      <c r="B28" s="17" t="s">
        <v>24</v>
      </c>
      <c r="C28" s="17" t="s">
        <v>50</v>
      </c>
      <c r="D28" s="17"/>
      <c r="E28" s="17" t="s">
        <v>54</v>
      </c>
      <c r="F28" s="17" t="s">
        <v>59</v>
      </c>
      <c r="G28" s="17"/>
      <c r="H28" s="17" t="s">
        <v>64</v>
      </c>
      <c r="I28" s="17" t="s">
        <v>84</v>
      </c>
      <c r="J28" s="17"/>
      <c r="K28" s="17" t="s">
        <v>68</v>
      </c>
      <c r="L28" s="17" t="s">
        <v>86</v>
      </c>
      <c r="M28" s="17"/>
      <c r="N28" s="17" t="s">
        <v>70</v>
      </c>
      <c r="O28" s="17" t="s">
        <v>88</v>
      </c>
      <c r="P28" s="17"/>
      <c r="Q28" s="17" t="s">
        <v>72</v>
      </c>
      <c r="R28" s="17" t="s">
        <v>90</v>
      </c>
      <c r="S28" s="17"/>
      <c r="T28" s="17"/>
      <c r="U28" s="17"/>
      <c r="V28" s="17"/>
      <c r="W28" s="17"/>
      <c r="X28" s="17"/>
      <c r="Y28" s="17"/>
      <c r="Z28" s="17"/>
    </row>
    <row r="29" hidden="1">
      <c r="A29" s="17"/>
      <c r="B29" s="17" t="s">
        <v>48</v>
      </c>
      <c r="C29" s="17" t="s">
        <v>52</v>
      </c>
      <c r="D29" s="17"/>
      <c r="E29" s="17" t="s">
        <v>58</v>
      </c>
      <c r="F29" s="17" t="s">
        <v>62</v>
      </c>
      <c r="G29" s="17"/>
      <c r="H29" s="17" t="s">
        <v>76</v>
      </c>
      <c r="I29" s="17" t="s">
        <v>85</v>
      </c>
      <c r="J29" s="17"/>
      <c r="K29" s="17" t="s">
        <v>78</v>
      </c>
      <c r="L29" s="17" t="s">
        <v>87</v>
      </c>
      <c r="M29" s="17"/>
      <c r="N29" s="17" t="s">
        <v>80</v>
      </c>
      <c r="O29" s="17" t="s">
        <v>89</v>
      </c>
      <c r="P29" s="17"/>
      <c r="Q29" s="17" t="s">
        <v>82</v>
      </c>
      <c r="R29" s="17" t="s">
        <v>91</v>
      </c>
      <c r="S29" s="17"/>
      <c r="T29" s="17"/>
      <c r="U29" s="17"/>
      <c r="V29" s="17"/>
      <c r="W29" s="17"/>
      <c r="X29" s="17"/>
      <c r="Y29" s="17"/>
      <c r="Z29" s="17"/>
    </row>
    <row r="30" hidden="1">
      <c r="A30" s="17"/>
      <c r="B30" s="17" t="s">
        <v>46</v>
      </c>
      <c r="C30" s="17" t="s">
        <v>74</v>
      </c>
      <c r="D30" s="17"/>
      <c r="E30" s="17" t="s">
        <v>57</v>
      </c>
      <c r="F30" s="17" t="s">
        <v>75</v>
      </c>
      <c r="G30" s="17"/>
      <c r="H30" s="17" t="s">
        <v>66</v>
      </c>
      <c r="I30" s="17" t="s">
        <v>77</v>
      </c>
      <c r="J30" s="17"/>
      <c r="K30" s="17" t="s">
        <v>69</v>
      </c>
      <c r="L30" s="17" t="s">
        <v>79</v>
      </c>
      <c r="M30" s="17"/>
      <c r="N30" s="17" t="s">
        <v>71</v>
      </c>
      <c r="O30" s="17" t="s">
        <v>81</v>
      </c>
      <c r="P30" s="17"/>
      <c r="Q30" s="17" t="s">
        <v>73</v>
      </c>
      <c r="R30" s="17" t="s">
        <v>83</v>
      </c>
      <c r="S30" s="17"/>
      <c r="T30" s="17"/>
      <c r="U30" s="17"/>
      <c r="V30" s="17"/>
      <c r="W30" s="17"/>
      <c r="X30" s="17"/>
      <c r="Y30" s="17"/>
      <c r="Z30" s="17"/>
    </row>
    <row r="31" hidden="1">
      <c r="A31" s="17"/>
      <c r="B31" s="17" t="s">
        <v>24</v>
      </c>
      <c r="C31" s="17" t="s">
        <v>48</v>
      </c>
      <c r="D31" s="17"/>
      <c r="E31" s="17" t="s">
        <v>54</v>
      </c>
      <c r="F31" s="17" t="s">
        <v>58</v>
      </c>
      <c r="G31" s="17"/>
      <c r="H31" s="17" t="s">
        <v>64</v>
      </c>
      <c r="I31" s="17" t="s">
        <v>76</v>
      </c>
      <c r="J31" s="17"/>
      <c r="K31" s="17" t="s">
        <v>68</v>
      </c>
      <c r="L31" s="17" t="s">
        <v>78</v>
      </c>
      <c r="M31" s="17"/>
      <c r="N31" s="17" t="s">
        <v>70</v>
      </c>
      <c r="O31" s="17" t="s">
        <v>80</v>
      </c>
      <c r="P31" s="17"/>
      <c r="Q31" s="17" t="s">
        <v>72</v>
      </c>
      <c r="R31" s="17" t="s">
        <v>82</v>
      </c>
      <c r="S31" s="17"/>
      <c r="T31" s="17"/>
      <c r="U31" s="17"/>
      <c r="V31" s="17"/>
      <c r="W31" s="17"/>
      <c r="X31" s="17"/>
      <c r="Y31" s="17"/>
      <c r="Z31" s="17"/>
    </row>
    <row r="32" hidden="1">
      <c r="A32" s="17"/>
      <c r="B32" s="17" t="s">
        <v>46</v>
      </c>
      <c r="C32" s="17" t="s">
        <v>50</v>
      </c>
      <c r="D32" s="17"/>
      <c r="E32" s="17" t="s">
        <v>57</v>
      </c>
      <c r="F32" s="17" t="s">
        <v>59</v>
      </c>
      <c r="G32" s="17"/>
      <c r="H32" s="17" t="s">
        <v>66</v>
      </c>
      <c r="I32" s="17" t="s">
        <v>84</v>
      </c>
      <c r="J32" s="17"/>
      <c r="K32" s="17" t="s">
        <v>69</v>
      </c>
      <c r="L32" s="17" t="s">
        <v>86</v>
      </c>
      <c r="M32" s="17"/>
      <c r="N32" s="17" t="s">
        <v>71</v>
      </c>
      <c r="O32" s="17" t="s">
        <v>88</v>
      </c>
      <c r="P32" s="17"/>
      <c r="Q32" s="17" t="s">
        <v>73</v>
      </c>
      <c r="R32" s="17" t="s">
        <v>90</v>
      </c>
      <c r="S32" s="17"/>
      <c r="T32" s="17"/>
      <c r="U32" s="17"/>
      <c r="V32" s="17"/>
      <c r="W32" s="17"/>
      <c r="X32" s="17"/>
      <c r="Y32" s="17"/>
      <c r="Z32" s="17"/>
    </row>
    <row r="33" hidden="1">
      <c r="A33" s="17"/>
      <c r="B33" s="17" t="s">
        <v>52</v>
      </c>
      <c r="C33" s="17" t="s">
        <v>74</v>
      </c>
      <c r="D33" s="17"/>
      <c r="E33" s="17" t="s">
        <v>62</v>
      </c>
      <c r="F33" s="17" t="s">
        <v>75</v>
      </c>
      <c r="G33" s="17"/>
      <c r="H33" s="17" t="s">
        <v>85</v>
      </c>
      <c r="I33" s="17" t="s">
        <v>77</v>
      </c>
      <c r="J33" s="17"/>
      <c r="K33" s="17" t="s">
        <v>87</v>
      </c>
      <c r="L33" s="17" t="s">
        <v>79</v>
      </c>
      <c r="M33" s="17"/>
      <c r="N33" s="17" t="s">
        <v>89</v>
      </c>
      <c r="O33" s="17" t="s">
        <v>81</v>
      </c>
      <c r="P33" s="17"/>
      <c r="Q33" s="17" t="s">
        <v>91</v>
      </c>
      <c r="R33" s="17" t="s">
        <v>83</v>
      </c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</sheetData>
  <mergeCells count="11">
    <mergeCell ref="A6:A8"/>
    <mergeCell ref="A9:A11"/>
    <mergeCell ref="A12:A14"/>
    <mergeCell ref="A15:A17"/>
    <mergeCell ref="B1:D1"/>
    <mergeCell ref="E1:G1"/>
    <mergeCell ref="H1:J1"/>
    <mergeCell ref="K1:M1"/>
    <mergeCell ref="N1:P1"/>
    <mergeCell ref="Q1:S1"/>
    <mergeCell ref="A3:A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13"/>
    <col customWidth="1" min="2" max="2" width="3.88"/>
    <col customWidth="1" min="3" max="3" width="9.5"/>
    <col customWidth="1" min="4" max="4" width="0.38"/>
    <col customWidth="1" min="5" max="5" width="15.13"/>
    <col customWidth="1" min="6" max="6" width="3.88"/>
    <col customWidth="1" min="7" max="7" width="15.13"/>
    <col customWidth="1" min="8" max="8" width="3.88"/>
    <col customWidth="1" min="9" max="9" width="15.13"/>
    <col customWidth="1" min="10" max="10" width="3.88"/>
    <col customWidth="1" min="11" max="11" width="18.88"/>
    <col customWidth="1" min="12" max="12" width="5.13"/>
    <col customWidth="1" min="13" max="13" width="18.63"/>
    <col customWidth="1" min="14" max="14" width="3.88"/>
    <col customWidth="1" min="15" max="15" width="16.25"/>
  </cols>
  <sheetData>
    <row r="1">
      <c r="A1" s="4" t="s">
        <v>0</v>
      </c>
      <c r="B1" s="7"/>
      <c r="C1" s="11" t="s">
        <v>3</v>
      </c>
      <c r="F1" s="7"/>
      <c r="G1" s="11" t="s">
        <v>6</v>
      </c>
      <c r="H1" s="7"/>
      <c r="I1" s="11" t="s">
        <v>7</v>
      </c>
      <c r="J1" s="7"/>
      <c r="K1" s="11" t="s">
        <v>8</v>
      </c>
      <c r="L1" s="7"/>
      <c r="M1" s="11" t="s">
        <v>9</v>
      </c>
      <c r="N1" s="7"/>
      <c r="O1" s="19"/>
      <c r="P1" s="19"/>
      <c r="Q1" s="19"/>
      <c r="R1" s="19"/>
      <c r="S1" s="19"/>
      <c r="T1" s="19"/>
      <c r="U1" s="19"/>
    </row>
    <row r="2">
      <c r="A2" s="25" t="s">
        <v>13</v>
      </c>
      <c r="B2" s="7"/>
      <c r="C2" s="29" t="s">
        <v>14</v>
      </c>
      <c r="F2" s="7"/>
      <c r="G2" s="29" t="s">
        <v>15</v>
      </c>
      <c r="H2" s="7"/>
      <c r="I2" s="29" t="s">
        <v>16</v>
      </c>
      <c r="J2" s="7"/>
      <c r="K2" s="29" t="s">
        <v>17</v>
      </c>
      <c r="L2" s="7"/>
      <c r="M2" s="29" t="s">
        <v>18</v>
      </c>
      <c r="N2" s="7"/>
      <c r="O2" s="19"/>
      <c r="P2" s="19"/>
      <c r="Q2" s="19"/>
      <c r="R2" s="19"/>
      <c r="S2" s="19"/>
      <c r="T2" s="19"/>
      <c r="U2" s="19"/>
    </row>
    <row r="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>
      <c r="A4" s="36" t="s">
        <v>20</v>
      </c>
      <c r="B4" s="37">
        <v>210.0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</row>
    <row r="5">
      <c r="A5" s="38" t="s">
        <v>21</v>
      </c>
      <c r="B5" s="37"/>
      <c r="C5" s="39"/>
      <c r="D5" s="36" t="str">
        <f>iferror(vlookup(concat(C5,C9),Raw!$K$1:$L990,2,false),iferror(vlookup(concat(C5,C9),Raw!$M$1:$N990,2,false),""))</f>
        <v/>
      </c>
      <c r="E5" s="36" t="s">
        <v>20</v>
      </c>
      <c r="F5" s="37">
        <v>172.0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>
      <c r="A6" s="36" t="s">
        <v>25</v>
      </c>
      <c r="B6" s="37">
        <v>64.0</v>
      </c>
      <c r="C6" s="49"/>
      <c r="D6" s="51"/>
      <c r="E6" s="51"/>
      <c r="F6" s="52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</row>
    <row r="7">
      <c r="A7" s="19"/>
      <c r="B7" s="19"/>
      <c r="D7" s="51"/>
      <c r="E7" s="38" t="s">
        <v>21</v>
      </c>
      <c r="F7" s="52"/>
      <c r="G7" s="36"/>
      <c r="H7" s="36"/>
      <c r="I7" s="36" t="s">
        <v>20</v>
      </c>
      <c r="J7" s="37">
        <v>134.0</v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>
      <c r="A8" s="36" t="s">
        <v>28</v>
      </c>
      <c r="B8" s="37">
        <v>96.0</v>
      </c>
      <c r="D8" s="51"/>
      <c r="E8" s="51"/>
      <c r="F8" s="52"/>
      <c r="G8" s="49"/>
      <c r="H8" s="19"/>
      <c r="I8" s="19"/>
      <c r="J8" s="57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</row>
    <row r="9">
      <c r="A9" s="38" t="s">
        <v>29</v>
      </c>
      <c r="B9" s="37"/>
      <c r="C9" s="39"/>
      <c r="D9" s="36"/>
      <c r="E9" s="36" t="s">
        <v>28</v>
      </c>
      <c r="F9" s="37">
        <v>112.0</v>
      </c>
      <c r="H9" s="19"/>
      <c r="I9" s="19"/>
      <c r="J9" s="57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</row>
    <row r="10">
      <c r="A10" s="36" t="s">
        <v>30</v>
      </c>
      <c r="B10" s="37">
        <v>44.0</v>
      </c>
      <c r="C10" s="61"/>
      <c r="D10" s="51"/>
      <c r="E10" s="51"/>
      <c r="F10" s="51"/>
      <c r="H10" s="19"/>
      <c r="I10" s="19"/>
      <c r="J10" s="57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</row>
    <row r="11">
      <c r="A11" s="19"/>
      <c r="B11" s="19"/>
      <c r="C11" s="61"/>
      <c r="D11" s="51"/>
      <c r="E11" s="51"/>
      <c r="F11" s="51"/>
      <c r="H11" s="19"/>
      <c r="I11" s="64" t="s">
        <v>31</v>
      </c>
      <c r="J11" s="65"/>
      <c r="K11" s="36"/>
      <c r="L11" s="36" t="str">
        <f>iferror(vlookup(concat(K11,K22),Raw!$K$1:$L990,2,false),iferror(vlookup(concat(K11,K22),Raw!$M$1:$N990,2,false),""))</f>
        <v/>
      </c>
      <c r="M11" s="19"/>
      <c r="N11" s="19"/>
      <c r="O11" s="19"/>
      <c r="P11" s="19"/>
      <c r="Q11" s="19"/>
      <c r="R11" s="19"/>
      <c r="S11" s="19"/>
      <c r="T11" s="19"/>
      <c r="U11" s="19"/>
    </row>
    <row r="12">
      <c r="A12" s="36" t="s">
        <v>33</v>
      </c>
      <c r="B12" s="37">
        <v>78.0</v>
      </c>
      <c r="C12" s="61"/>
      <c r="D12" s="51"/>
      <c r="E12" s="51"/>
      <c r="F12" s="51"/>
      <c r="H12" s="19"/>
      <c r="I12" s="19"/>
      <c r="J12" s="57"/>
      <c r="K12" s="49"/>
      <c r="L12" s="72"/>
      <c r="M12" s="19"/>
      <c r="N12" s="19"/>
      <c r="O12" s="19"/>
      <c r="P12" s="19"/>
      <c r="Q12" s="19"/>
      <c r="R12" s="19"/>
      <c r="S12" s="19"/>
      <c r="T12" s="19"/>
      <c r="U12" s="19"/>
    </row>
    <row r="13">
      <c r="A13" s="38" t="s">
        <v>23</v>
      </c>
      <c r="B13" s="37"/>
      <c r="C13" s="39"/>
      <c r="D13" s="36" t="str">
        <f>iferror(vlookup(concat(C13,C17),Raw!$K$1:$L990,2,false),iferror(vlookup(concat(C13,C17),Raw!$M$1:$N990,2,false),""))</f>
        <v/>
      </c>
      <c r="E13" s="36" t="s">
        <v>33</v>
      </c>
      <c r="F13" s="37">
        <v>122.0</v>
      </c>
      <c r="H13" s="19"/>
      <c r="I13" s="19"/>
      <c r="J13" s="57"/>
      <c r="L13" s="72"/>
      <c r="M13" s="19"/>
      <c r="N13" s="19"/>
      <c r="O13" s="19"/>
      <c r="P13" s="19"/>
      <c r="Q13" s="19"/>
      <c r="R13" s="19"/>
      <c r="S13" s="19"/>
      <c r="T13" s="19"/>
      <c r="U13" s="19"/>
    </row>
    <row r="14">
      <c r="A14" s="36" t="s">
        <v>38</v>
      </c>
      <c r="B14" s="37">
        <v>72.0</v>
      </c>
      <c r="C14" s="49"/>
      <c r="D14" s="51"/>
      <c r="E14" s="51"/>
      <c r="F14" s="52"/>
      <c r="H14" s="19"/>
      <c r="I14" s="19"/>
      <c r="J14" s="57"/>
      <c r="L14" s="72"/>
      <c r="M14" s="19"/>
      <c r="N14" s="19"/>
      <c r="O14" s="19"/>
      <c r="P14" s="19"/>
      <c r="Q14" s="19"/>
      <c r="R14" s="19"/>
      <c r="S14" s="19"/>
      <c r="T14" s="19"/>
      <c r="U14" s="19"/>
    </row>
    <row r="15">
      <c r="A15" s="19"/>
      <c r="B15" s="19"/>
      <c r="D15" s="51"/>
      <c r="E15" s="38" t="s">
        <v>31</v>
      </c>
      <c r="F15" s="52"/>
      <c r="G15" s="36"/>
      <c r="H15" s="36"/>
      <c r="I15" s="36" t="s">
        <v>33</v>
      </c>
      <c r="J15" s="37">
        <v>126.0</v>
      </c>
      <c r="L15" s="72"/>
      <c r="M15" s="19"/>
      <c r="N15" s="19"/>
      <c r="O15" s="19"/>
      <c r="P15" s="19"/>
      <c r="Q15" s="19"/>
      <c r="R15" s="19"/>
      <c r="S15" s="19"/>
      <c r="T15" s="19"/>
      <c r="U15" s="19"/>
    </row>
    <row r="16">
      <c r="A16" s="36" t="s">
        <v>39</v>
      </c>
      <c r="B16" s="37">
        <v>54.0</v>
      </c>
      <c r="D16" s="51"/>
      <c r="E16" s="51"/>
      <c r="F16" s="52"/>
      <c r="G16" s="19"/>
      <c r="H16" s="19"/>
      <c r="I16" s="19"/>
      <c r="J16" s="19"/>
      <c r="L16" s="72"/>
      <c r="M16" s="19"/>
      <c r="N16" s="19"/>
      <c r="O16" s="19"/>
      <c r="P16" s="19"/>
      <c r="Q16" s="19"/>
      <c r="R16" s="19"/>
      <c r="S16" s="19"/>
      <c r="T16" s="19"/>
      <c r="U16" s="19"/>
    </row>
    <row r="17">
      <c r="A17" s="38" t="s">
        <v>31</v>
      </c>
      <c r="B17" s="37"/>
      <c r="C17" s="39"/>
      <c r="D17" s="36"/>
      <c r="E17" s="36" t="s">
        <v>41</v>
      </c>
      <c r="F17" s="37">
        <v>92.0</v>
      </c>
      <c r="G17" s="19"/>
      <c r="H17" s="19"/>
      <c r="I17" s="19"/>
      <c r="J17" s="19"/>
      <c r="L17" s="72"/>
      <c r="M17" s="19"/>
      <c r="N17" s="19"/>
      <c r="O17" s="19"/>
      <c r="P17" s="19"/>
      <c r="Q17" s="19"/>
      <c r="R17" s="19"/>
      <c r="S17" s="19"/>
      <c r="T17" s="19"/>
      <c r="U17" s="19"/>
    </row>
    <row r="18">
      <c r="A18" s="36" t="s">
        <v>41</v>
      </c>
      <c r="B18" s="37">
        <v>152.0</v>
      </c>
      <c r="C18" s="61"/>
      <c r="D18" s="51"/>
      <c r="E18" s="51"/>
      <c r="F18" s="51"/>
      <c r="G18" s="19"/>
      <c r="H18" s="19"/>
      <c r="I18" s="19"/>
      <c r="J18" s="19"/>
      <c r="L18" s="72"/>
      <c r="M18" s="19"/>
      <c r="N18" s="19"/>
      <c r="O18" s="19"/>
      <c r="P18" s="19"/>
      <c r="Q18" s="19"/>
      <c r="R18" s="19"/>
      <c r="S18" s="19"/>
      <c r="T18" s="19"/>
      <c r="U18" s="19"/>
    </row>
    <row r="19">
      <c r="A19" s="19"/>
      <c r="B19" s="19"/>
      <c r="C19" s="61"/>
      <c r="D19" s="51"/>
      <c r="E19" s="51"/>
      <c r="F19" s="51"/>
      <c r="G19" s="19"/>
      <c r="H19" s="19"/>
      <c r="I19" s="19"/>
      <c r="J19" s="19"/>
      <c r="L19" s="72"/>
      <c r="M19" s="36" t="s">
        <v>20</v>
      </c>
      <c r="N19" s="37">
        <v>150.0</v>
      </c>
      <c r="O19" s="19"/>
      <c r="P19" s="19"/>
      <c r="Q19" s="19"/>
      <c r="R19" s="19"/>
      <c r="S19" s="19"/>
      <c r="T19" s="19"/>
      <c r="U19" s="19"/>
    </row>
    <row r="20">
      <c r="A20" s="38"/>
      <c r="B20" s="19"/>
      <c r="C20" s="85"/>
      <c r="D20" s="86"/>
      <c r="E20" s="51"/>
      <c r="F20" s="51"/>
      <c r="G20" s="49"/>
      <c r="H20" s="19"/>
      <c r="I20" s="19"/>
      <c r="J20" s="19"/>
      <c r="L20" s="19"/>
      <c r="M20" s="88" t="s">
        <v>43</v>
      </c>
      <c r="N20" s="57"/>
      <c r="O20" s="19"/>
      <c r="P20" s="19"/>
      <c r="Q20" s="19"/>
      <c r="R20" s="19"/>
      <c r="S20" s="19"/>
      <c r="T20" s="19"/>
      <c r="U20" s="19"/>
    </row>
    <row r="21">
      <c r="A21" s="86"/>
      <c r="B21" s="19"/>
      <c r="C21" s="61"/>
      <c r="D21" s="51"/>
      <c r="E21" s="51"/>
      <c r="F21" s="51"/>
      <c r="H21" s="19"/>
      <c r="I21" s="19"/>
      <c r="J21" s="19"/>
      <c r="L21" s="19"/>
      <c r="N21" s="57"/>
      <c r="O21" s="19"/>
      <c r="P21" s="19"/>
      <c r="Q21" s="19"/>
      <c r="R21" s="19"/>
      <c r="S21" s="19"/>
      <c r="T21" s="19"/>
      <c r="U21" s="19"/>
    </row>
    <row r="22">
      <c r="A22" s="19"/>
      <c r="B22" s="19"/>
      <c r="C22" s="61"/>
      <c r="D22" s="51"/>
      <c r="E22" s="51"/>
      <c r="F22" s="51"/>
      <c r="H22" s="19"/>
      <c r="I22" s="64"/>
      <c r="K22" s="86"/>
      <c r="L22" s="86" t="str">
        <f>iferror(vlookup(concat(K22,K11),Raw!$K$1:$L990,2,false),iferror(vlookup(concat(K22,K11),Raw!$M$1:$N990,2,false),""))</f>
        <v/>
      </c>
      <c r="N22" s="57"/>
      <c r="O22" s="19"/>
      <c r="P22" s="19"/>
      <c r="Q22" s="19"/>
      <c r="R22" s="19"/>
      <c r="S22" s="19"/>
      <c r="T22" s="19"/>
      <c r="U22" s="19"/>
    </row>
    <row r="23">
      <c r="A23" s="86"/>
      <c r="B23" s="86"/>
      <c r="C23" s="61"/>
      <c r="D23" s="51"/>
      <c r="E23" s="51"/>
      <c r="F23" s="51"/>
      <c r="H23" s="19"/>
      <c r="I23" s="19"/>
      <c r="J23" s="19"/>
      <c r="K23" s="19"/>
      <c r="L23" s="19"/>
      <c r="N23" s="57"/>
      <c r="O23" s="19"/>
      <c r="P23" s="19"/>
      <c r="Q23" s="19"/>
      <c r="R23" s="19"/>
      <c r="S23" s="19"/>
      <c r="T23" s="19"/>
      <c r="U23" s="19"/>
    </row>
    <row r="24">
      <c r="A24" s="38"/>
      <c r="B24" s="19"/>
      <c r="C24" s="85"/>
      <c r="D24" s="86"/>
      <c r="E24" s="51"/>
      <c r="F24" s="51"/>
      <c r="H24" s="19"/>
      <c r="I24" s="19"/>
      <c r="J24" s="19"/>
      <c r="K24" s="19"/>
      <c r="L24" s="19"/>
      <c r="N24" s="57"/>
      <c r="O24" s="86"/>
      <c r="P24" s="19"/>
      <c r="Q24" s="19"/>
      <c r="R24" s="19"/>
      <c r="S24" s="19"/>
      <c r="T24" s="19"/>
      <c r="U24" s="19"/>
    </row>
    <row r="25">
      <c r="A25" s="19"/>
      <c r="B25" s="19"/>
      <c r="C25" s="94"/>
      <c r="D25" s="94"/>
      <c r="E25" s="49"/>
      <c r="F25" s="19"/>
      <c r="G25" s="36" t="s">
        <v>41</v>
      </c>
      <c r="H25" s="37">
        <v>156.0</v>
      </c>
      <c r="I25" s="49"/>
      <c r="J25" s="19"/>
      <c r="K25" s="36" t="s">
        <v>33</v>
      </c>
      <c r="L25" s="37">
        <v>54.0</v>
      </c>
      <c r="N25" s="57"/>
      <c r="O25" s="36"/>
      <c r="P25" s="19"/>
      <c r="Q25" s="19"/>
      <c r="R25" s="19"/>
      <c r="S25" s="19"/>
      <c r="T25" s="19"/>
      <c r="U25" s="19"/>
    </row>
    <row r="26">
      <c r="A26" s="19"/>
      <c r="B26" s="19"/>
      <c r="C26" s="94"/>
      <c r="D26" s="94"/>
      <c r="F26" s="19"/>
      <c r="G26" s="49"/>
      <c r="H26" s="57"/>
      <c r="I26" s="49"/>
      <c r="J26" s="19"/>
      <c r="K26" s="88" t="s">
        <v>43</v>
      </c>
      <c r="L26" s="57"/>
      <c r="N26" s="57"/>
      <c r="O26" s="19"/>
      <c r="P26" s="19"/>
      <c r="Q26" s="19"/>
      <c r="R26" s="19"/>
      <c r="S26" s="19"/>
      <c r="T26" s="19"/>
      <c r="U26" s="19"/>
    </row>
    <row r="27">
      <c r="A27" s="19"/>
      <c r="B27" s="19"/>
      <c r="C27" s="96"/>
      <c r="D27" s="99"/>
      <c r="E27" s="39" t="s">
        <v>30</v>
      </c>
      <c r="F27" s="37">
        <v>84.0</v>
      </c>
      <c r="G27" s="88" t="s">
        <v>21</v>
      </c>
      <c r="H27" s="57"/>
      <c r="I27" s="49"/>
      <c r="J27" s="19"/>
      <c r="L27" s="57"/>
      <c r="N27" s="37"/>
      <c r="O27" s="19"/>
      <c r="P27" s="19"/>
      <c r="Q27" s="19"/>
      <c r="R27" s="19"/>
      <c r="S27" s="19"/>
      <c r="T27" s="19"/>
      <c r="U27" s="19"/>
    </row>
    <row r="28">
      <c r="A28" s="19"/>
      <c r="B28" s="19"/>
      <c r="C28" s="94"/>
      <c r="D28" s="99"/>
      <c r="E28" s="51"/>
      <c r="F28" s="57"/>
      <c r="H28" s="57"/>
      <c r="I28" s="36" t="s">
        <v>41</v>
      </c>
      <c r="J28" s="37">
        <v>138.0</v>
      </c>
      <c r="L28" s="57"/>
      <c r="N28" s="57"/>
      <c r="O28" s="19"/>
      <c r="P28" s="19"/>
      <c r="Q28" s="19"/>
      <c r="R28" s="19"/>
      <c r="S28" s="19"/>
      <c r="T28" s="19"/>
      <c r="U28" s="19"/>
    </row>
    <row r="29">
      <c r="A29" s="19"/>
      <c r="B29" s="19"/>
      <c r="C29" s="99"/>
      <c r="D29" s="99"/>
      <c r="E29" s="19"/>
      <c r="F29" s="57"/>
      <c r="G29" s="49"/>
      <c r="H29" s="57"/>
      <c r="I29" s="19"/>
      <c r="J29" s="57"/>
      <c r="L29" s="57"/>
      <c r="N29" s="57"/>
      <c r="O29" s="19"/>
      <c r="P29" s="19"/>
      <c r="Q29" s="19"/>
      <c r="R29" s="19"/>
      <c r="S29" s="19"/>
      <c r="T29" s="19"/>
      <c r="U29" s="19"/>
    </row>
    <row r="30">
      <c r="A30" s="19"/>
      <c r="B30" s="19"/>
      <c r="C30" s="94"/>
      <c r="D30" s="94"/>
      <c r="E30" s="38" t="s">
        <v>29</v>
      </c>
      <c r="F30" s="37"/>
      <c r="G30" s="101" t="s">
        <v>30</v>
      </c>
      <c r="H30" s="37">
        <v>76.0</v>
      </c>
      <c r="I30" s="19"/>
      <c r="J30" s="57"/>
      <c r="L30" s="57"/>
      <c r="N30" s="57"/>
      <c r="O30" s="19"/>
      <c r="P30" s="19"/>
      <c r="Q30" s="19"/>
      <c r="R30" s="19"/>
      <c r="S30" s="19"/>
      <c r="T30" s="19"/>
      <c r="U30" s="19"/>
    </row>
    <row r="31">
      <c r="A31" s="19"/>
      <c r="B31" s="19"/>
      <c r="C31" s="94"/>
      <c r="D31" s="94"/>
      <c r="E31" s="49"/>
      <c r="F31" s="57"/>
      <c r="G31" s="86"/>
      <c r="H31" s="86"/>
      <c r="I31" s="19"/>
      <c r="J31" s="57"/>
      <c r="L31" s="57"/>
      <c r="M31" s="36" t="s">
        <v>41</v>
      </c>
      <c r="N31" s="37">
        <v>114.0</v>
      </c>
      <c r="O31" s="19"/>
      <c r="P31" s="19"/>
      <c r="Q31" s="19"/>
      <c r="R31" s="19"/>
      <c r="S31" s="19"/>
      <c r="T31" s="19"/>
      <c r="U31" s="19"/>
    </row>
    <row r="32">
      <c r="A32" s="19"/>
      <c r="B32" s="19"/>
      <c r="C32" s="94"/>
      <c r="D32" s="94"/>
      <c r="F32" s="57"/>
      <c r="G32" s="19"/>
      <c r="H32" s="19"/>
      <c r="I32" s="19"/>
      <c r="J32" s="57"/>
      <c r="L32" s="37"/>
      <c r="M32" s="19"/>
      <c r="N32" s="19"/>
      <c r="O32" s="19"/>
      <c r="P32" s="19"/>
      <c r="Q32" s="19"/>
      <c r="R32" s="19"/>
      <c r="S32" s="19"/>
      <c r="T32" s="19"/>
      <c r="U32" s="19"/>
    </row>
    <row r="33">
      <c r="A33" s="19"/>
      <c r="B33" s="19"/>
      <c r="C33" s="96"/>
      <c r="D33" s="99"/>
      <c r="E33" s="39" t="s">
        <v>25</v>
      </c>
      <c r="F33" s="37">
        <v>78.0</v>
      </c>
      <c r="G33" s="19"/>
      <c r="H33" s="19"/>
      <c r="I33" s="19"/>
      <c r="J33" s="57"/>
      <c r="L33" s="57"/>
      <c r="M33" s="19"/>
      <c r="N33" s="19"/>
      <c r="O33" s="19"/>
      <c r="P33" s="19"/>
      <c r="Q33" s="19"/>
      <c r="R33" s="19"/>
      <c r="S33" s="19"/>
      <c r="T33" s="19"/>
      <c r="U33" s="19"/>
    </row>
    <row r="34">
      <c r="A34" s="19"/>
      <c r="B34" s="19"/>
      <c r="C34" s="94"/>
      <c r="D34" s="94"/>
      <c r="E34" s="51"/>
      <c r="F34" s="19"/>
      <c r="G34" s="19"/>
      <c r="H34" s="19"/>
      <c r="I34" s="103" t="s">
        <v>29</v>
      </c>
      <c r="J34" s="57"/>
      <c r="L34" s="57"/>
      <c r="M34" s="19"/>
      <c r="N34" s="19"/>
      <c r="O34" s="19"/>
      <c r="P34" s="19"/>
      <c r="Q34" s="19"/>
      <c r="R34" s="19"/>
      <c r="S34" s="19"/>
      <c r="T34" s="19"/>
      <c r="U34" s="19"/>
    </row>
    <row r="35">
      <c r="A35" s="19"/>
      <c r="B35" s="19"/>
      <c r="C35" s="99"/>
      <c r="D35" s="99"/>
      <c r="E35" s="19"/>
      <c r="F35" s="19"/>
      <c r="G35" s="19"/>
      <c r="H35" s="19"/>
      <c r="I35" s="86"/>
      <c r="J35" s="37"/>
      <c r="L35" s="57"/>
      <c r="M35" s="19"/>
      <c r="N35" s="19"/>
      <c r="O35" s="19"/>
      <c r="P35" s="19"/>
      <c r="Q35" s="19"/>
      <c r="R35" s="19"/>
      <c r="S35" s="19"/>
      <c r="T35" s="19"/>
      <c r="U35" s="19"/>
    </row>
    <row r="36">
      <c r="A36" s="19"/>
      <c r="B36" s="19"/>
      <c r="C36" s="94"/>
      <c r="D36" s="94"/>
      <c r="E36" s="86"/>
      <c r="F36" s="86"/>
      <c r="G36" s="19"/>
      <c r="H36" s="19"/>
      <c r="I36" s="49"/>
      <c r="J36" s="57"/>
      <c r="L36" s="57"/>
      <c r="M36" s="19"/>
      <c r="N36" s="19"/>
      <c r="O36" s="19"/>
      <c r="P36" s="19"/>
      <c r="Q36" s="19"/>
      <c r="R36" s="19"/>
      <c r="S36" s="19"/>
      <c r="T36" s="19"/>
      <c r="U36" s="19"/>
    </row>
    <row r="37">
      <c r="A37" s="19"/>
      <c r="B37" s="19"/>
      <c r="C37" s="94"/>
      <c r="D37" s="94"/>
      <c r="E37" s="49"/>
      <c r="F37" s="19"/>
      <c r="G37" s="36" t="s">
        <v>28</v>
      </c>
      <c r="H37" s="37">
        <v>68.0</v>
      </c>
      <c r="J37" s="57"/>
      <c r="K37" s="36" t="s">
        <v>41</v>
      </c>
      <c r="L37" s="37">
        <v>162.0</v>
      </c>
      <c r="M37" s="19"/>
      <c r="N37" s="19"/>
      <c r="O37" s="19"/>
      <c r="P37" s="19"/>
      <c r="Q37" s="19"/>
      <c r="R37" s="19"/>
      <c r="S37" s="19"/>
      <c r="T37" s="19"/>
      <c r="U37" s="19"/>
    </row>
    <row r="38">
      <c r="A38" s="19"/>
      <c r="B38" s="19"/>
      <c r="C38" s="94"/>
      <c r="D38" s="94"/>
      <c r="F38" s="19"/>
      <c r="G38" s="49"/>
      <c r="H38" s="57"/>
      <c r="J38" s="57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</row>
    <row r="39">
      <c r="A39" s="19"/>
      <c r="B39" s="19"/>
      <c r="C39" s="96"/>
      <c r="D39" s="99"/>
      <c r="E39" s="39" t="s">
        <v>39</v>
      </c>
      <c r="F39" s="37">
        <v>56.0</v>
      </c>
      <c r="G39" s="88" t="s">
        <v>29</v>
      </c>
      <c r="H39" s="57"/>
      <c r="J39" s="57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</row>
    <row r="40">
      <c r="A40" s="19"/>
      <c r="B40" s="19"/>
      <c r="C40" s="94"/>
      <c r="D40" s="99"/>
      <c r="E40" s="51"/>
      <c r="F40" s="57"/>
      <c r="H40" s="57"/>
      <c r="I40" s="36" t="s">
        <v>38</v>
      </c>
      <c r="J40" s="37">
        <v>50.0</v>
      </c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</row>
    <row r="41">
      <c r="A41" s="19"/>
      <c r="B41" s="19"/>
      <c r="C41" s="99"/>
      <c r="D41" s="99"/>
      <c r="E41" s="19"/>
      <c r="F41" s="57"/>
      <c r="G41" s="49"/>
      <c r="H41" s="57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</row>
    <row r="42">
      <c r="A42" s="19"/>
      <c r="B42" s="19"/>
      <c r="C42" s="94"/>
      <c r="D42" s="94"/>
      <c r="E42" s="38" t="s">
        <v>23</v>
      </c>
      <c r="F42" s="37"/>
      <c r="G42" s="39" t="s">
        <v>38</v>
      </c>
      <c r="H42" s="37">
        <v>88.0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</row>
    <row r="43">
      <c r="A43" s="19"/>
      <c r="B43" s="19"/>
      <c r="C43" s="94"/>
      <c r="D43" s="94"/>
      <c r="E43" s="49"/>
      <c r="F43" s="57"/>
      <c r="G43" s="86"/>
      <c r="H43" s="86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</row>
    <row r="44">
      <c r="A44" s="19"/>
      <c r="B44" s="19"/>
      <c r="C44" s="94"/>
      <c r="D44" s="94"/>
      <c r="F44" s="57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</row>
    <row r="45">
      <c r="A45" s="19"/>
      <c r="B45" s="19"/>
      <c r="C45" s="96"/>
      <c r="D45" s="99"/>
      <c r="E45" s="39" t="s">
        <v>38</v>
      </c>
      <c r="F45" s="37">
        <v>76.0</v>
      </c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</row>
    <row r="46">
      <c r="A46" s="19"/>
      <c r="B46" s="19"/>
      <c r="C46" s="94"/>
      <c r="D46" s="99"/>
      <c r="E46" s="51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</row>
    <row r="47">
      <c r="A47" s="19"/>
      <c r="B47" s="19"/>
      <c r="C47" s="99"/>
      <c r="D47" s="9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</row>
    <row r="51">
      <c r="A51" s="19"/>
      <c r="B51" s="19"/>
      <c r="C51" s="86"/>
      <c r="D51" s="86"/>
      <c r="E51" s="86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</row>
    <row r="52">
      <c r="A52" s="19"/>
      <c r="B52" s="19"/>
      <c r="C52" s="86"/>
      <c r="D52" s="86"/>
      <c r="E52" s="86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</row>
    <row r="53">
      <c r="A53" s="19"/>
      <c r="B53" s="19"/>
      <c r="C53" s="86"/>
      <c r="D53" s="86"/>
      <c r="E53" s="86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</row>
    <row r="54">
      <c r="A54" s="19"/>
      <c r="B54" s="19"/>
      <c r="C54" s="86"/>
      <c r="D54" s="86"/>
      <c r="E54" s="86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</row>
    <row r="55">
      <c r="A55" s="19"/>
      <c r="B55" s="19"/>
      <c r="C55" s="86"/>
      <c r="D55" s="86"/>
      <c r="E55" s="86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</row>
    <row r="56">
      <c r="A56" s="19"/>
      <c r="B56" s="19"/>
      <c r="C56" s="86"/>
      <c r="D56" s="86"/>
      <c r="E56" s="86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</row>
    <row r="57">
      <c r="A57" s="19"/>
      <c r="B57" s="19"/>
      <c r="C57" s="86"/>
      <c r="D57" s="86"/>
      <c r="E57" s="86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</row>
    <row r="58">
      <c r="A58" s="19"/>
      <c r="B58" s="19"/>
      <c r="C58" s="86"/>
      <c r="D58" s="86"/>
      <c r="E58" s="86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</row>
    <row r="59">
      <c r="A59" s="19"/>
      <c r="B59" s="19"/>
      <c r="C59" s="86"/>
      <c r="D59" s="86"/>
      <c r="E59" s="86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</row>
    <row r="60">
      <c r="A60" s="19"/>
      <c r="B60" s="19"/>
      <c r="C60" s="86"/>
      <c r="D60" s="86"/>
      <c r="E60" s="86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</row>
    <row r="61">
      <c r="A61" s="19"/>
      <c r="B61" s="19"/>
      <c r="C61" s="86"/>
      <c r="D61" s="86"/>
      <c r="E61" s="86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</row>
    <row r="62">
      <c r="A62" s="19"/>
      <c r="B62" s="19"/>
      <c r="C62" s="86"/>
      <c r="D62" s="86"/>
      <c r="E62" s="86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</row>
    <row r="63">
      <c r="A63" s="19"/>
      <c r="B63" s="19"/>
      <c r="C63" s="86"/>
      <c r="D63" s="86"/>
      <c r="E63" s="86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</row>
    <row r="64">
      <c r="A64" s="19"/>
      <c r="B64" s="19"/>
      <c r="C64" s="86"/>
      <c r="D64" s="86"/>
      <c r="E64" s="86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</row>
    <row r="65">
      <c r="A65" s="19"/>
      <c r="B65" s="19"/>
      <c r="C65" s="86"/>
      <c r="D65" s="86"/>
      <c r="E65" s="86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</row>
    <row r="66">
      <c r="A66" s="19"/>
      <c r="B66" s="19"/>
      <c r="C66" s="86"/>
      <c r="D66" s="86"/>
      <c r="E66" s="86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</row>
    <row r="67">
      <c r="A67" s="19"/>
      <c r="B67" s="19"/>
      <c r="C67" s="86"/>
      <c r="D67" s="86"/>
      <c r="E67" s="86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</row>
    <row r="68">
      <c r="A68" s="19"/>
      <c r="B68" s="19"/>
      <c r="C68" s="86"/>
      <c r="D68" s="86"/>
      <c r="E68" s="86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</row>
  </sheetData>
  <mergeCells count="27">
    <mergeCell ref="I2:J2"/>
    <mergeCell ref="K2:L2"/>
    <mergeCell ref="K12:K21"/>
    <mergeCell ref="M20:M30"/>
    <mergeCell ref="I22:J22"/>
    <mergeCell ref="K26:K36"/>
    <mergeCell ref="I36:I39"/>
    <mergeCell ref="A1:B1"/>
    <mergeCell ref="C1:F1"/>
    <mergeCell ref="G1:H1"/>
    <mergeCell ref="I1:J1"/>
    <mergeCell ref="K1:L1"/>
    <mergeCell ref="M1:N1"/>
    <mergeCell ref="A2:B2"/>
    <mergeCell ref="M2:N2"/>
    <mergeCell ref="E25:E26"/>
    <mergeCell ref="E31:E32"/>
    <mergeCell ref="E37:E38"/>
    <mergeCell ref="G39:G40"/>
    <mergeCell ref="E43:E44"/>
    <mergeCell ref="C2:F2"/>
    <mergeCell ref="G2:H2"/>
    <mergeCell ref="C6:C8"/>
    <mergeCell ref="G8:G14"/>
    <mergeCell ref="C14:C16"/>
    <mergeCell ref="G20:G24"/>
    <mergeCell ref="G27:G2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2" t="str">
        <f>IFERROR(__xludf.DUMMYFUNCTION("importrange(""https://docs.google.com/spreadsheets/d/1sfb2iVS50i8Mp2l-Nup_CN4oz6K0oTcRctM-cGqGISI/edit?gid=133829336#gid=133829336"",""Scores!A2:E15"")"),"RR1")</f>
        <v>RR1</v>
      </c>
      <c r="C1" s="12" t="str">
        <f>IFERROR(__xludf.DUMMYFUNCTION("""COMPUTED_VALUE"""),"Canyon Crest A")</f>
        <v>Canyon Crest A</v>
      </c>
      <c r="D1" s="12">
        <f>IFERROR(__xludf.DUMMYFUNCTION("""COMPUTED_VALUE"""),154.0)</f>
        <v>154</v>
      </c>
      <c r="E1" s="12" t="str">
        <f>IFERROR(__xludf.DUMMYFUNCTION("""COMPUTED_VALUE"""),"North Hollywood B")</f>
        <v>North Hollywood B</v>
      </c>
      <c r="F1" s="12">
        <f>IFERROR(__xludf.DUMMYFUNCTION("""COMPUTED_VALUE"""),62.0)</f>
        <v>62</v>
      </c>
      <c r="G1" s="20" t="str">
        <f>IFERROR(__xludf.DUMMYFUNCTION("if(regexmatch($B1,""RR""),concat(C1,E1),"""")"),"Canyon Crest ANorth Hollywood B")</f>
        <v>Canyon Crest ANorth Hollywood B</v>
      </c>
      <c r="H1" s="20">
        <f>IFERROR(__xludf.DUMMYFUNCTION("if(regexmatch($B1,""RR""),D1,"""")"),154.0)</f>
        <v>154</v>
      </c>
      <c r="I1" s="20" t="str">
        <f>IFERROR(__xludf.DUMMYFUNCTION("if(regexmatch($B1,""RR""),concat(E1,C1),"""")"),"North Hollywood BCanyon Crest A")</f>
        <v>North Hollywood BCanyon Crest A</v>
      </c>
      <c r="J1" s="20">
        <f>IFERROR(__xludf.DUMMYFUNCTION("if(regexmatch($B1,""RR""),F1,"""")"),62.0)</f>
        <v>62</v>
      </c>
      <c r="K1" s="20" t="str">
        <f>IFERROR(__xludf.DUMMYFUNCTION("if(regexmatch($B1,""DE""),concat(C1,E1),"""")"),"")</f>
        <v/>
      </c>
      <c r="L1" s="20" t="str">
        <f>IFERROR(__xludf.DUMMYFUNCTION("if(regexmatch($B1,""DE""),D1,"""")"),"")</f>
        <v/>
      </c>
      <c r="M1" s="20" t="str">
        <f>IFERROR(__xludf.DUMMYFUNCTION("if(regexmatch($B1,""DE""),concat(E1,C1),"""")"),"")</f>
        <v/>
      </c>
      <c r="N1" s="20" t="str">
        <f>IFERROR(__xludf.DUMMYFUNCTION("if(regexmatch($B1,""DE""),F1,"""")"),"")</f>
        <v/>
      </c>
    </row>
    <row r="2">
      <c r="A2" s="12"/>
      <c r="B2" s="12" t="str">
        <f>IFERROR(__xludf.DUMMYFUNCTION("""COMPUTED_VALUE"""),"RR2")</f>
        <v>RR2</v>
      </c>
      <c r="C2" s="12" t="str">
        <f>IFERROR(__xludf.DUMMYFUNCTION("""COMPUTED_VALUE"""),"Sci Acad A")</f>
        <v>Sci Acad A</v>
      </c>
      <c r="D2" s="12">
        <f>IFERROR(__xludf.DUMMYFUNCTION("""COMPUTED_VALUE"""),154.0)</f>
        <v>154</v>
      </c>
      <c r="E2" s="12" t="str">
        <f>IFERROR(__xludf.DUMMYFUNCTION("""COMPUTED_VALUE"""),"Arcadia B")</f>
        <v>Arcadia B</v>
      </c>
      <c r="F2" s="12">
        <f>IFERROR(__xludf.DUMMYFUNCTION("""COMPUTED_VALUE"""),44.0)</f>
        <v>44</v>
      </c>
      <c r="G2" s="20" t="str">
        <f>IFERROR(__xludf.DUMMYFUNCTION("if(regexmatch($B2,""RR""),concat(C2,E2),"""")"),"Sci Acad AArcadia B")</f>
        <v>Sci Acad AArcadia B</v>
      </c>
      <c r="H2" s="20">
        <f>IFERROR(__xludf.DUMMYFUNCTION("if(regexmatch($B2,""RR""),D2,"""")"),154.0)</f>
        <v>154</v>
      </c>
      <c r="I2" s="20" t="str">
        <f>IFERROR(__xludf.DUMMYFUNCTION("if(regexmatch($B2,""RR""),concat(E2,C2),"""")"),"Arcadia BSci Acad A")</f>
        <v>Arcadia BSci Acad A</v>
      </c>
      <c r="J2" s="20">
        <f>IFERROR(__xludf.DUMMYFUNCTION("if(regexmatch($B2,""RR""),F2,"""")"),44.0)</f>
        <v>44</v>
      </c>
      <c r="K2" s="20" t="str">
        <f>IFERROR(__xludf.DUMMYFUNCTION("if(regexmatch($B2,""DE""),concat(C2,E2),"""")"),"")</f>
        <v/>
      </c>
      <c r="L2" s="20" t="str">
        <f>IFERROR(__xludf.DUMMYFUNCTION("if(regexmatch($B2,""DE""),D2,"""")"),"")</f>
        <v/>
      </c>
      <c r="M2" s="20" t="str">
        <f>IFERROR(__xludf.DUMMYFUNCTION("if(regexmatch($B2,""DE""),concat(E2,C2),"""")"),"")</f>
        <v/>
      </c>
      <c r="N2" s="20" t="str">
        <f>IFERROR(__xludf.DUMMYFUNCTION("if(regexmatch($B2,""DE""),F2,"""")"),"")</f>
        <v/>
      </c>
    </row>
    <row r="3">
      <c r="A3" s="12"/>
      <c r="B3" s="12" t="str">
        <f>IFERROR(__xludf.DUMMYFUNCTION("""COMPUTED_VALUE"""),"RR3")</f>
        <v>RR3</v>
      </c>
      <c r="C3" s="12" t="str">
        <f>IFERROR(__xludf.DUMMYFUNCTION("""COMPUTED_VALUE"""),"Sci Acad A")</f>
        <v>Sci Acad A</v>
      </c>
      <c r="D3" s="12">
        <f>IFERROR(__xludf.DUMMYFUNCTION("""COMPUTED_VALUE"""),138.0)</f>
        <v>138</v>
      </c>
      <c r="E3" s="12" t="str">
        <f>IFERROR(__xludf.DUMMYFUNCTION("""COMPUTED_VALUE"""),"Venice A")</f>
        <v>Venice A</v>
      </c>
      <c r="F3" s="12">
        <f>IFERROR(__xludf.DUMMYFUNCTION("""COMPUTED_VALUE"""),100.0)</f>
        <v>100</v>
      </c>
      <c r="G3" s="20" t="str">
        <f>IFERROR(__xludf.DUMMYFUNCTION("if(regexmatch($B3,""RR""),concat(C3,E3),"""")"),"Sci Acad AVenice A")</f>
        <v>Sci Acad AVenice A</v>
      </c>
      <c r="H3" s="20">
        <f>IFERROR(__xludf.DUMMYFUNCTION("if(regexmatch($B3,""RR""),D3,"""")"),138.0)</f>
        <v>138</v>
      </c>
      <c r="I3" s="20" t="str">
        <f>IFERROR(__xludf.DUMMYFUNCTION("if(regexmatch($B3,""RR""),concat(E3,C3),"""")"),"Venice ASci Acad A")</f>
        <v>Venice ASci Acad A</v>
      </c>
      <c r="J3" s="20">
        <f>IFERROR(__xludf.DUMMYFUNCTION("if(regexmatch($B3,""RR""),F3,"""")"),100.0)</f>
        <v>100</v>
      </c>
      <c r="K3" s="20" t="str">
        <f>IFERROR(__xludf.DUMMYFUNCTION("if(regexmatch($B3,""DE""),concat(C3,E3),"""")"),"")</f>
        <v/>
      </c>
      <c r="L3" s="20" t="str">
        <f>IFERROR(__xludf.DUMMYFUNCTION("if(regexmatch($B3,""DE""),D3,"""")"),"")</f>
        <v/>
      </c>
      <c r="M3" s="20" t="str">
        <f>IFERROR(__xludf.DUMMYFUNCTION("if(regexmatch($B3,""DE""),concat(E3,C3),"""")"),"")</f>
        <v/>
      </c>
      <c r="N3" s="20" t="str">
        <f>IFERROR(__xludf.DUMMYFUNCTION("if(regexmatch($B3,""DE""),F3,"""")"),"")</f>
        <v/>
      </c>
    </row>
    <row r="4">
      <c r="A4" s="12"/>
      <c r="B4" s="12" t="str">
        <f>IFERROR(__xludf.DUMMYFUNCTION("""COMPUTED_VALUE"""),"RR4")</f>
        <v>RR4</v>
      </c>
      <c r="C4" s="12" t="str">
        <f>IFERROR(__xludf.DUMMYFUNCTION("""COMPUTED_VALUE"""),"Sci Acad B")</f>
        <v>Sci Acad B</v>
      </c>
      <c r="D4" s="12">
        <f>IFERROR(__xludf.DUMMYFUNCTION("""COMPUTED_VALUE"""),132.0)</f>
        <v>132</v>
      </c>
      <c r="E4" s="12" t="str">
        <f>IFERROR(__xludf.DUMMYFUNCTION("""COMPUTED_VALUE"""),"Beckman A")</f>
        <v>Beckman A</v>
      </c>
      <c r="F4" s="12">
        <f>IFERROR(__xludf.DUMMYFUNCTION("""COMPUTED_VALUE"""),68.0)</f>
        <v>68</v>
      </c>
      <c r="G4" s="20" t="str">
        <f>IFERROR(__xludf.DUMMYFUNCTION("if(regexmatch($B4,""RR""),concat(C4,E4),"""")"),"Sci Acad BBeckman A")</f>
        <v>Sci Acad BBeckman A</v>
      </c>
      <c r="H4" s="20">
        <f>IFERROR(__xludf.DUMMYFUNCTION("if(regexmatch($B4,""RR""),D4,"""")"),132.0)</f>
        <v>132</v>
      </c>
      <c r="I4" s="20" t="str">
        <f>IFERROR(__xludf.DUMMYFUNCTION("if(regexmatch($B4,""RR""),concat(E4,C4),"""")"),"Beckman ASci Acad B")</f>
        <v>Beckman ASci Acad B</v>
      </c>
      <c r="J4" s="20">
        <f>IFERROR(__xludf.DUMMYFUNCTION("if(regexmatch($B4,""RR""),F4,"""")"),68.0)</f>
        <v>68</v>
      </c>
      <c r="K4" s="20" t="str">
        <f>IFERROR(__xludf.DUMMYFUNCTION("if(regexmatch($B4,""DE""),concat(C4,E4),"""")"),"")</f>
        <v/>
      </c>
      <c r="L4" s="20" t="str">
        <f>IFERROR(__xludf.DUMMYFUNCTION("if(regexmatch($B4,""DE""),D4,"""")"),"")</f>
        <v/>
      </c>
      <c r="M4" s="20" t="str">
        <f>IFERROR(__xludf.DUMMYFUNCTION("if(regexmatch($B4,""DE""),concat(E4,C4),"""")"),"")</f>
        <v/>
      </c>
      <c r="N4" s="20" t="str">
        <f>IFERROR(__xludf.DUMMYFUNCTION("if(regexmatch($B4,""DE""),F4,"""")"),"")</f>
        <v/>
      </c>
    </row>
    <row r="5">
      <c r="A5" s="12"/>
      <c r="B5" s="12" t="str">
        <f>IFERROR(__xludf.DUMMYFUNCTION("""COMPUTED_VALUE"""),"RR5")</f>
        <v>RR5</v>
      </c>
      <c r="C5" s="12" t="str">
        <f>IFERROR(__xludf.DUMMYFUNCTION("""COMPUTED_VALUE"""),"Canyon Crest B")</f>
        <v>Canyon Crest B</v>
      </c>
      <c r="D5" s="12">
        <f>IFERROR(__xludf.DUMMYFUNCTION("""COMPUTED_VALUE"""),92.0)</f>
        <v>92</v>
      </c>
      <c r="E5" s="12" t="str">
        <f>IFERROR(__xludf.DUMMYFUNCTION("""COMPUTED_VALUE"""),"Beckman A")</f>
        <v>Beckman A</v>
      </c>
      <c r="F5" s="12">
        <f>IFERROR(__xludf.DUMMYFUNCTION("""COMPUTED_VALUE"""),68.0)</f>
        <v>68</v>
      </c>
      <c r="G5" s="20" t="str">
        <f>IFERROR(__xludf.DUMMYFUNCTION("if(regexmatch($B5,""RR""),concat(C5,E5),"""")"),"Canyon Crest BBeckman A")</f>
        <v>Canyon Crest BBeckman A</v>
      </c>
      <c r="H5" s="20">
        <f>IFERROR(__xludf.DUMMYFUNCTION("if(regexmatch($B5,""RR""),D5,"""")"),92.0)</f>
        <v>92</v>
      </c>
      <c r="I5" s="20" t="str">
        <f>IFERROR(__xludf.DUMMYFUNCTION("if(regexmatch($B5,""RR""),concat(E5,C5),"""")"),"Beckman ACanyon Crest B")</f>
        <v>Beckman ACanyon Crest B</v>
      </c>
      <c r="J5" s="20">
        <f>IFERROR(__xludf.DUMMYFUNCTION("if(regexmatch($B5,""RR""),F5,"""")"),68.0)</f>
        <v>68</v>
      </c>
      <c r="K5" s="20" t="str">
        <f>IFERROR(__xludf.DUMMYFUNCTION("if(regexmatch($B5,""DE""),concat(C5,E5),"""")"),"")</f>
        <v/>
      </c>
      <c r="L5" s="20" t="str">
        <f>IFERROR(__xludf.DUMMYFUNCTION("if(regexmatch($B5,""DE""),D5,"""")"),"")</f>
        <v/>
      </c>
      <c r="M5" s="20" t="str">
        <f>IFERROR(__xludf.DUMMYFUNCTION("if(regexmatch($B5,""DE""),concat(E5,C5),"""")"),"")</f>
        <v/>
      </c>
      <c r="N5" s="20" t="str">
        <f>IFERROR(__xludf.DUMMYFUNCTION("if(regexmatch($B5,""DE""),F5,"""")"),"")</f>
        <v/>
      </c>
    </row>
    <row r="6">
      <c r="A6" s="12"/>
      <c r="B6" s="12" t="str">
        <f>IFERROR(__xludf.DUMMYFUNCTION("""COMPUTED_VALUE"""),"DE1")</f>
        <v>DE1</v>
      </c>
      <c r="C6" s="12" t="str">
        <f>IFERROR(__xludf.DUMMYFUNCTION("""COMPUTED_VALUE"""),"Granada Hills A")</f>
        <v>Granada Hills A</v>
      </c>
      <c r="D6" s="12">
        <f>IFERROR(__xludf.DUMMYFUNCTION("""COMPUTED_VALUE"""),18.0)</f>
        <v>18</v>
      </c>
      <c r="E6" s="12" t="str">
        <f>IFERROR(__xludf.DUMMYFUNCTION("""COMPUTED_VALUE"""),"North Hollywood A")</f>
        <v>North Hollywood A</v>
      </c>
      <c r="F6" s="12">
        <f>IFERROR(__xludf.DUMMYFUNCTION("""COMPUTED_VALUE"""),138.0)</f>
        <v>138</v>
      </c>
      <c r="G6" s="20" t="str">
        <f>IFERROR(__xludf.DUMMYFUNCTION("if(regexmatch($B6,""RR""),concat(C6,E6),"""")"),"")</f>
        <v/>
      </c>
      <c r="H6" s="20" t="str">
        <f>IFERROR(__xludf.DUMMYFUNCTION("if(regexmatch($B6,""RR""),D6,"""")"),"")</f>
        <v/>
      </c>
      <c r="I6" s="20" t="str">
        <f>IFERROR(__xludf.DUMMYFUNCTION("if(regexmatch($B6,""RR""),concat(E6,C6),"""")"),"")</f>
        <v/>
      </c>
      <c r="J6" s="20" t="str">
        <f>IFERROR(__xludf.DUMMYFUNCTION("if(regexmatch($B6,""RR""),F6,"""")"),"")</f>
        <v/>
      </c>
      <c r="K6" s="20" t="str">
        <f>IFERROR(__xludf.DUMMYFUNCTION("if(regexmatch($B6,""DE""),concat(C6,E6),"""")"),"Granada Hills ANorth Hollywood A")</f>
        <v>Granada Hills ANorth Hollywood A</v>
      </c>
      <c r="L6" s="20">
        <f>IFERROR(__xludf.DUMMYFUNCTION("if(regexmatch($B6,""DE""),D6,"""")"),18.0)</f>
        <v>18</v>
      </c>
      <c r="M6" s="20" t="str">
        <f>IFERROR(__xludf.DUMMYFUNCTION("if(regexmatch($B6,""DE""),concat(E6,C6),"""")"),"North Hollywood AGranada Hills A")</f>
        <v>North Hollywood AGranada Hills A</v>
      </c>
      <c r="N6" s="20">
        <f>IFERROR(__xludf.DUMMYFUNCTION("if(regexmatch($B6,""DE""),F6,"""")"),138.0)</f>
        <v>138</v>
      </c>
    </row>
    <row r="7">
      <c r="A7" s="12"/>
      <c r="B7" s="12" t="str">
        <f>IFERROR(__xludf.DUMMYFUNCTION("""COMPUTED_VALUE"""),"DE2")</f>
        <v>DE2</v>
      </c>
      <c r="C7" s="12" t="str">
        <f>IFERROR(__xludf.DUMMYFUNCTION("""COMPUTED_VALUE"""),"Canyon Crest B")</f>
        <v>Canyon Crest B</v>
      </c>
      <c r="D7" s="12">
        <f>IFERROR(__xludf.DUMMYFUNCTION("""COMPUTED_VALUE"""),66.0)</f>
        <v>66</v>
      </c>
      <c r="E7" s="12" t="str">
        <f>IFERROR(__xludf.DUMMYFUNCTION("""COMPUTED_VALUE"""),"OCSA")</f>
        <v>OCSA</v>
      </c>
      <c r="F7" s="12">
        <f>IFERROR(__xludf.DUMMYFUNCTION("""COMPUTED_VALUE"""),118.0)</f>
        <v>118</v>
      </c>
      <c r="G7" s="20" t="str">
        <f>IFERROR(__xludf.DUMMYFUNCTION("if(regexmatch($B7,""RR""),concat(C7,E7),"""")"),"")</f>
        <v/>
      </c>
      <c r="H7" s="20" t="str">
        <f>IFERROR(__xludf.DUMMYFUNCTION("if(regexmatch($B7,""RR""),D7,"""")"),"")</f>
        <v/>
      </c>
      <c r="I7" s="20" t="str">
        <f>IFERROR(__xludf.DUMMYFUNCTION("if(regexmatch($B7,""RR""),concat(E7,C7),"""")"),"")</f>
        <v/>
      </c>
      <c r="J7" s="20" t="str">
        <f>IFERROR(__xludf.DUMMYFUNCTION("if(regexmatch($B7,""RR""),F7,"""")"),"")</f>
        <v/>
      </c>
      <c r="K7" s="20" t="str">
        <f>IFERROR(__xludf.DUMMYFUNCTION("if(regexmatch($B7,""DE""),concat(C7,E7),"""")"),"Canyon Crest BOCSA")</f>
        <v>Canyon Crest BOCSA</v>
      </c>
      <c r="L7" s="20">
        <f>IFERROR(__xludf.DUMMYFUNCTION("if(regexmatch($B7,""DE""),D7,"""")"),66.0)</f>
        <v>66</v>
      </c>
      <c r="M7" s="20" t="str">
        <f>IFERROR(__xludf.DUMMYFUNCTION("if(regexmatch($B7,""DE""),concat(E7,C7),"""")"),"OCSACanyon Crest B")</f>
        <v>OCSACanyon Crest B</v>
      </c>
      <c r="N7" s="20">
        <f>IFERROR(__xludf.DUMMYFUNCTION("if(regexmatch($B7,""DE""),F7,"""")"),118.0)</f>
        <v>118</v>
      </c>
    </row>
    <row r="8">
      <c r="A8" s="12"/>
      <c r="B8" s="12" t="str">
        <f>IFERROR(__xludf.DUMMYFUNCTION("""COMPUTED_VALUE"""),"DE3")</f>
        <v>DE3</v>
      </c>
      <c r="C8" s="12" t="str">
        <f>IFERROR(__xludf.DUMMYFUNCTION("""COMPUTED_VALUE"""),"Venice A")</f>
        <v>Venice A</v>
      </c>
      <c r="D8" s="12">
        <f>IFERROR(__xludf.DUMMYFUNCTION("""COMPUTED_VALUE"""),86.0)</f>
        <v>86</v>
      </c>
      <c r="E8" s="12" t="str">
        <f>IFERROR(__xludf.DUMMYFUNCTION("""COMPUTED_VALUE"""),"University")</f>
        <v>University</v>
      </c>
      <c r="F8" s="12">
        <f>IFERROR(__xludf.DUMMYFUNCTION("""COMPUTED_VALUE"""),54.0)</f>
        <v>54</v>
      </c>
      <c r="G8" s="20" t="str">
        <f>IFERROR(__xludf.DUMMYFUNCTION("if(regexmatch($B8,""RR""),concat(C8,E8),"""")"),"")</f>
        <v/>
      </c>
      <c r="H8" s="20" t="str">
        <f>IFERROR(__xludf.DUMMYFUNCTION("if(regexmatch($B8,""RR""),D8,"""")"),"")</f>
        <v/>
      </c>
      <c r="I8" s="20" t="str">
        <f>IFERROR(__xludf.DUMMYFUNCTION("if(regexmatch($B8,""RR""),concat(E8,C8),"""")"),"")</f>
        <v/>
      </c>
      <c r="J8" s="20" t="str">
        <f>IFERROR(__xludf.DUMMYFUNCTION("if(regexmatch($B8,""RR""),F8,"""")"),"")</f>
        <v/>
      </c>
      <c r="K8" s="20" t="str">
        <f>IFERROR(__xludf.DUMMYFUNCTION("if(regexmatch($B8,""DE""),concat(C8,E8),"""")"),"Venice AUniversity")</f>
        <v>Venice AUniversity</v>
      </c>
      <c r="L8" s="20">
        <f>IFERROR(__xludf.DUMMYFUNCTION("if(regexmatch($B8,""DE""),D8,"""")"),86.0)</f>
        <v>86</v>
      </c>
      <c r="M8" s="20" t="str">
        <f>IFERROR(__xludf.DUMMYFUNCTION("if(regexmatch($B8,""DE""),concat(E8,C8),"""")"),"UniversityVenice A")</f>
        <v>UniversityVenice A</v>
      </c>
      <c r="N8" s="20">
        <f>IFERROR(__xludf.DUMMYFUNCTION("if(regexmatch($B8,""DE""),F8,"""")"),54.0)</f>
        <v>54</v>
      </c>
    </row>
    <row r="9">
      <c r="A9" s="12"/>
      <c r="B9" s="12" t="str">
        <f>IFERROR(__xludf.DUMMYFUNCTION("""COMPUTED_VALUE"""),"DE4")</f>
        <v>DE4</v>
      </c>
      <c r="C9" s="12" t="str">
        <f>IFERROR(__xludf.DUMMYFUNCTION("""COMPUTED_VALUE"""),"[Select Team Name]")</f>
        <v>[Select Team Name]</v>
      </c>
      <c r="D9" s="12">
        <f>IFERROR(__xludf.DUMMYFUNCTION("""COMPUTED_VALUE"""),0.0)</f>
        <v>0</v>
      </c>
      <c r="E9" s="12" t="str">
        <f>IFERROR(__xludf.DUMMYFUNCTION("""COMPUTED_VALUE"""),"[Select Team Name]")</f>
        <v>[Select Team Name]</v>
      </c>
      <c r="F9" s="12">
        <f>IFERROR(__xludf.DUMMYFUNCTION("""COMPUTED_VALUE"""),0.0)</f>
        <v>0</v>
      </c>
      <c r="G9" s="20" t="str">
        <f>IFERROR(__xludf.DUMMYFUNCTION("if(regexmatch($B9,""RR""),concat(C9,E9),"""")"),"")</f>
        <v/>
      </c>
      <c r="H9" s="20" t="str">
        <f>IFERROR(__xludf.DUMMYFUNCTION("if(regexmatch($B9,""RR""),D9,"""")"),"")</f>
        <v/>
      </c>
      <c r="I9" s="20" t="str">
        <f>IFERROR(__xludf.DUMMYFUNCTION("if(regexmatch($B9,""RR""),concat(E9,C9),"""")"),"")</f>
        <v/>
      </c>
      <c r="J9" s="20" t="str">
        <f>IFERROR(__xludf.DUMMYFUNCTION("if(regexmatch($B9,""RR""),F9,"""")"),"")</f>
        <v/>
      </c>
      <c r="K9" s="20" t="str">
        <f>IFERROR(__xludf.DUMMYFUNCTION("if(regexmatch($B9,""DE""),concat(C9,E9),"""")"),"[Select Team Name][Select Team Name]")</f>
        <v>[Select Team Name][Select Team Name]</v>
      </c>
      <c r="L9" s="20">
        <f>IFERROR(__xludf.DUMMYFUNCTION("if(regexmatch($B9,""DE""),D9,"""")"),0.0)</f>
        <v>0</v>
      </c>
      <c r="M9" s="20" t="str">
        <f>IFERROR(__xludf.DUMMYFUNCTION("if(regexmatch($B9,""DE""),concat(E9,C9),"""")"),"[Select Team Name][Select Team Name]")</f>
        <v>[Select Team Name][Select Team Name]</v>
      </c>
      <c r="N9" s="20">
        <f>IFERROR(__xludf.DUMMYFUNCTION("if(regexmatch($B9,""DE""),F9,"""")"),0.0)</f>
        <v>0</v>
      </c>
    </row>
    <row r="10">
      <c r="A10" s="12"/>
      <c r="B10" s="12" t="str">
        <f>IFERROR(__xludf.DUMMYFUNCTION("""COMPUTED_VALUE"""),"DE5")</f>
        <v>DE5</v>
      </c>
      <c r="C10" s="12" t="str">
        <f>IFERROR(__xludf.DUMMYFUNCTION("""COMPUTED_VALUE"""),"[Select Team Name]")</f>
        <v>[Select Team Name]</v>
      </c>
      <c r="D10" s="12">
        <f>IFERROR(__xludf.DUMMYFUNCTION("""COMPUTED_VALUE"""),0.0)</f>
        <v>0</v>
      </c>
      <c r="E10" s="12" t="str">
        <f>IFERROR(__xludf.DUMMYFUNCTION("""COMPUTED_VALUE"""),"[Select Team Name]")</f>
        <v>[Select Team Name]</v>
      </c>
      <c r="F10" s="12">
        <f>IFERROR(__xludf.DUMMYFUNCTION("""COMPUTED_VALUE"""),0.0)</f>
        <v>0</v>
      </c>
      <c r="G10" s="20" t="str">
        <f>IFERROR(__xludf.DUMMYFUNCTION("if(regexmatch($B10,""RR""),concat(C10,E10),"""")"),"")</f>
        <v/>
      </c>
      <c r="H10" s="20" t="str">
        <f>IFERROR(__xludf.DUMMYFUNCTION("if(regexmatch($B10,""RR""),D10,"""")"),"")</f>
        <v/>
      </c>
      <c r="I10" s="20" t="str">
        <f>IFERROR(__xludf.DUMMYFUNCTION("if(regexmatch($B10,""RR""),concat(E10,C10),"""")"),"")</f>
        <v/>
      </c>
      <c r="J10" s="20" t="str">
        <f>IFERROR(__xludf.DUMMYFUNCTION("if(regexmatch($B10,""RR""),F10,"""")"),"")</f>
        <v/>
      </c>
      <c r="K10" s="20" t="str">
        <f>IFERROR(__xludf.DUMMYFUNCTION("if(regexmatch($B10,""DE""),concat(C10,E10),"""")"),"[Select Team Name][Select Team Name]")</f>
        <v>[Select Team Name][Select Team Name]</v>
      </c>
      <c r="L10" s="20">
        <f>IFERROR(__xludf.DUMMYFUNCTION("if(regexmatch($B10,""DE""),D10,"""")"),0.0)</f>
        <v>0</v>
      </c>
      <c r="M10" s="20" t="str">
        <f>IFERROR(__xludf.DUMMYFUNCTION("if(regexmatch($B10,""DE""),concat(E10,C10),"""")"),"[Select Team Name][Select Team Name]")</f>
        <v>[Select Team Name][Select Team Name]</v>
      </c>
      <c r="N10" s="20">
        <f>IFERROR(__xludf.DUMMYFUNCTION("if(regexmatch($B10,""DE""),F10,"""")"),0.0)</f>
        <v>0</v>
      </c>
    </row>
    <row r="11">
      <c r="A11" s="12"/>
      <c r="B11" s="12" t="str">
        <f>IFERROR(__xludf.DUMMYFUNCTION("""COMPUTED_VALUE"""),"DE6")</f>
        <v>DE6</v>
      </c>
      <c r="C11" s="12" t="str">
        <f>IFERROR(__xludf.DUMMYFUNCTION("""COMPUTED_VALUE"""),"[Select Team Name]")</f>
        <v>[Select Team Name]</v>
      </c>
      <c r="D11" s="12">
        <f>IFERROR(__xludf.DUMMYFUNCTION("""COMPUTED_VALUE"""),0.0)</f>
        <v>0</v>
      </c>
      <c r="E11" s="12" t="str">
        <f>IFERROR(__xludf.DUMMYFUNCTION("""COMPUTED_VALUE"""),"[Select Team Name]")</f>
        <v>[Select Team Name]</v>
      </c>
      <c r="F11" s="12">
        <f>IFERROR(__xludf.DUMMYFUNCTION("""COMPUTED_VALUE"""),0.0)</f>
        <v>0</v>
      </c>
      <c r="G11" s="20" t="str">
        <f>IFERROR(__xludf.DUMMYFUNCTION("if(regexmatch($B11,""RR""),concat(C11,E11),"""")"),"")</f>
        <v/>
      </c>
      <c r="H11" s="20" t="str">
        <f>IFERROR(__xludf.DUMMYFUNCTION("if(regexmatch($B11,""RR""),D11,"""")"),"")</f>
        <v/>
      </c>
      <c r="I11" s="20" t="str">
        <f>IFERROR(__xludf.DUMMYFUNCTION("if(regexmatch($B11,""RR""),concat(E11,C11),"""")"),"")</f>
        <v/>
      </c>
      <c r="J11" s="20" t="str">
        <f>IFERROR(__xludf.DUMMYFUNCTION("if(regexmatch($B11,""RR""),F11,"""")"),"")</f>
        <v/>
      </c>
      <c r="K11" s="20" t="str">
        <f>IFERROR(__xludf.DUMMYFUNCTION("if(regexmatch($B11,""DE""),concat(C11,E11),"""")"),"[Select Team Name][Select Team Name]")</f>
        <v>[Select Team Name][Select Team Name]</v>
      </c>
      <c r="L11" s="20">
        <f>IFERROR(__xludf.DUMMYFUNCTION("if(regexmatch($B11,""DE""),D11,"""")"),0.0)</f>
        <v>0</v>
      </c>
      <c r="M11" s="20" t="str">
        <f>IFERROR(__xludf.DUMMYFUNCTION("if(regexmatch($B11,""DE""),concat(E11,C11),"""")"),"[Select Team Name][Select Team Name]")</f>
        <v>[Select Team Name][Select Team Name]</v>
      </c>
      <c r="N11" s="20">
        <f>IFERROR(__xludf.DUMMYFUNCTION("if(regexmatch($B11,""DE""),F11,"""")"),0.0)</f>
        <v>0</v>
      </c>
    </row>
    <row r="12">
      <c r="A12" s="12"/>
      <c r="B12" s="12" t="str">
        <f>IFERROR(__xludf.DUMMYFUNCTION("""COMPUTED_VALUE"""),"DE7")</f>
        <v>DE7</v>
      </c>
      <c r="C12" s="12" t="str">
        <f>IFERROR(__xludf.DUMMYFUNCTION("""COMPUTED_VALUE"""),"[Select Team Name]")</f>
        <v>[Select Team Name]</v>
      </c>
      <c r="D12" s="12">
        <f>IFERROR(__xludf.DUMMYFUNCTION("""COMPUTED_VALUE"""),0.0)</f>
        <v>0</v>
      </c>
      <c r="E12" s="12" t="str">
        <f>IFERROR(__xludf.DUMMYFUNCTION("""COMPUTED_VALUE"""),"[Select Team Name]")</f>
        <v>[Select Team Name]</v>
      </c>
      <c r="F12" s="12">
        <f>IFERROR(__xludf.DUMMYFUNCTION("""COMPUTED_VALUE"""),0.0)</f>
        <v>0</v>
      </c>
      <c r="G12" s="20" t="str">
        <f>IFERROR(__xludf.DUMMYFUNCTION("if(regexmatch($B12,""RR""),concat(C12,E12),"""")"),"")</f>
        <v/>
      </c>
      <c r="H12" s="20" t="str">
        <f>IFERROR(__xludf.DUMMYFUNCTION("if(regexmatch($B12,""RR""),D12,"""")"),"")</f>
        <v/>
      </c>
      <c r="I12" s="20" t="str">
        <f>IFERROR(__xludf.DUMMYFUNCTION("if(regexmatch($B12,""RR""),concat(E12,C12),"""")"),"")</f>
        <v/>
      </c>
      <c r="J12" s="20" t="str">
        <f>IFERROR(__xludf.DUMMYFUNCTION("if(regexmatch($B12,""RR""),F12,"""")"),"")</f>
        <v/>
      </c>
      <c r="K12" s="20" t="str">
        <f>IFERROR(__xludf.DUMMYFUNCTION("if(regexmatch($B12,""DE""),concat(C12,E12),"""")"),"[Select Team Name][Select Team Name]")</f>
        <v>[Select Team Name][Select Team Name]</v>
      </c>
      <c r="L12" s="20">
        <f>IFERROR(__xludf.DUMMYFUNCTION("if(regexmatch($B12,""DE""),D12,"""")"),0.0)</f>
        <v>0</v>
      </c>
      <c r="M12" s="20" t="str">
        <f>IFERROR(__xludf.DUMMYFUNCTION("if(regexmatch($B12,""DE""),concat(E12,C12),"""")"),"[Select Team Name][Select Team Name]")</f>
        <v>[Select Team Name][Select Team Name]</v>
      </c>
      <c r="N12" s="20">
        <f>IFERROR(__xludf.DUMMYFUNCTION("if(regexmatch($B12,""DE""),F12,"""")"),0.0)</f>
        <v>0</v>
      </c>
    </row>
    <row r="13">
      <c r="A13" s="12"/>
      <c r="B13" s="12" t="str">
        <f>IFERROR(__xludf.DUMMYFUNCTION("""COMPUTED_VALUE"""),"DE8")</f>
        <v>DE8</v>
      </c>
      <c r="C13" s="12" t="str">
        <f>IFERROR(__xludf.DUMMYFUNCTION("""COMPUTED_VALUE"""),"[Select Team Name]")</f>
        <v>[Select Team Name]</v>
      </c>
      <c r="D13" s="12">
        <f>IFERROR(__xludf.DUMMYFUNCTION("""COMPUTED_VALUE"""),0.0)</f>
        <v>0</v>
      </c>
      <c r="E13" s="12" t="str">
        <f>IFERROR(__xludf.DUMMYFUNCTION("""COMPUTED_VALUE"""),"[Select Team Name]")</f>
        <v>[Select Team Name]</v>
      </c>
      <c r="F13" s="12">
        <f>IFERROR(__xludf.DUMMYFUNCTION("""COMPUTED_VALUE"""),0.0)</f>
        <v>0</v>
      </c>
      <c r="G13" s="20" t="str">
        <f>IFERROR(__xludf.DUMMYFUNCTION("if(regexmatch($B13,""RR""),concat(C13,E13),"""")"),"")</f>
        <v/>
      </c>
      <c r="H13" s="20" t="str">
        <f>IFERROR(__xludf.DUMMYFUNCTION("if(regexmatch($B13,""RR""),D13,"""")"),"")</f>
        <v/>
      </c>
      <c r="I13" s="20" t="str">
        <f>IFERROR(__xludf.DUMMYFUNCTION("if(regexmatch($B13,""RR""),concat(E13,C13),"""")"),"")</f>
        <v/>
      </c>
      <c r="J13" s="20" t="str">
        <f>IFERROR(__xludf.DUMMYFUNCTION("if(regexmatch($B13,""RR""),F13,"""")"),"")</f>
        <v/>
      </c>
      <c r="K13" s="20" t="str">
        <f>IFERROR(__xludf.DUMMYFUNCTION("if(regexmatch($B13,""DE""),concat(C13,E13),"""")"),"[Select Team Name][Select Team Name]")</f>
        <v>[Select Team Name][Select Team Name]</v>
      </c>
      <c r="L13" s="20">
        <f>IFERROR(__xludf.DUMMYFUNCTION("if(regexmatch($B13,""DE""),D13,"""")"),0.0)</f>
        <v>0</v>
      </c>
      <c r="M13" s="20" t="str">
        <f>IFERROR(__xludf.DUMMYFUNCTION("if(regexmatch($B13,""DE""),concat(E13,C13),"""")"),"[Select Team Name][Select Team Name]")</f>
        <v>[Select Team Name][Select Team Name]</v>
      </c>
      <c r="N13" s="20">
        <f>IFERROR(__xludf.DUMMYFUNCTION("if(regexmatch($B13,""DE""),F13,"""")"),0.0)</f>
        <v>0</v>
      </c>
    </row>
    <row r="14">
      <c r="A14" s="12"/>
      <c r="B14" s="12" t="str">
        <f>IFERROR(__xludf.DUMMYFUNCTION("""COMPUTED_VALUE"""),"DE9")</f>
        <v>DE9</v>
      </c>
      <c r="C14" s="12" t="str">
        <f>IFERROR(__xludf.DUMMYFUNCTION("""COMPUTED_VALUE"""),"[Select Team Name]")</f>
        <v>[Select Team Name]</v>
      </c>
      <c r="D14" s="12">
        <f>IFERROR(__xludf.DUMMYFUNCTION("""COMPUTED_VALUE"""),0.0)</f>
        <v>0</v>
      </c>
      <c r="E14" s="12" t="str">
        <f>IFERROR(__xludf.DUMMYFUNCTION("""COMPUTED_VALUE"""),"[Select Team Name]")</f>
        <v>[Select Team Name]</v>
      </c>
      <c r="F14" s="12">
        <f>IFERROR(__xludf.DUMMYFUNCTION("""COMPUTED_VALUE"""),0.0)</f>
        <v>0</v>
      </c>
      <c r="G14" s="20" t="str">
        <f>IFERROR(__xludf.DUMMYFUNCTION("if(regexmatch($B14,""RR""),concat(C14,E14),"""")"),"")</f>
        <v/>
      </c>
      <c r="H14" s="20" t="str">
        <f>IFERROR(__xludf.DUMMYFUNCTION("if(regexmatch($B14,""RR""),D14,"""")"),"")</f>
        <v/>
      </c>
      <c r="I14" s="20" t="str">
        <f>IFERROR(__xludf.DUMMYFUNCTION("if(regexmatch($B14,""RR""),concat(E14,C14),"""")"),"")</f>
        <v/>
      </c>
      <c r="J14" s="20" t="str">
        <f>IFERROR(__xludf.DUMMYFUNCTION("if(regexmatch($B14,""RR""),F14,"""")"),"")</f>
        <v/>
      </c>
      <c r="K14" s="20" t="str">
        <f>IFERROR(__xludf.DUMMYFUNCTION("if(regexmatch($B14,""DE""),concat(C14,E14),"""")"),"[Select Team Name][Select Team Name]")</f>
        <v>[Select Team Name][Select Team Name]</v>
      </c>
      <c r="L14" s="20">
        <f>IFERROR(__xludf.DUMMYFUNCTION("if(regexmatch($B14,""DE""),D14,"""")"),0.0)</f>
        <v>0</v>
      </c>
      <c r="M14" s="20" t="str">
        <f>IFERROR(__xludf.DUMMYFUNCTION("if(regexmatch($B14,""DE""),concat(E14,C14),"""")"),"[Select Team Name][Select Team Name]")</f>
        <v>[Select Team Name][Select Team Name]</v>
      </c>
      <c r="N14" s="20">
        <f>IFERROR(__xludf.DUMMYFUNCTION("if(regexmatch($B14,""DE""),F14,"""")"),0.0)</f>
        <v>0</v>
      </c>
    </row>
    <row r="15">
      <c r="A15" s="1"/>
      <c r="B15" s="12" t="str">
        <f>IFERROR(__xludf.DUMMYFUNCTION("importrange(""https://docs.google.com/spreadsheets/d/1PrHA2qOcRnj3qQiPlEjCIGgdoTa2xExIam1kz3NVJno/edit?gid=0#gid=0"",""Scores!A2:E15"")"),"RR1")</f>
        <v>RR1</v>
      </c>
      <c r="C15" s="12" t="str">
        <f>IFERROR(__xludf.DUMMYFUNCTION("""COMPUTED_VALUE"""),"Granada Hills A")</f>
        <v>Granada Hills A</v>
      </c>
      <c r="D15" s="12">
        <f>IFERROR(__xludf.DUMMYFUNCTION("""COMPUTED_VALUE"""),72.0)</f>
        <v>72</v>
      </c>
      <c r="E15" s="12" t="str">
        <f>IFERROR(__xludf.DUMMYFUNCTION("""COMPUTED_VALUE"""),"Oak Avenue")</f>
        <v>Oak Avenue</v>
      </c>
      <c r="F15" s="12">
        <f>IFERROR(__xludf.DUMMYFUNCTION("""COMPUTED_VALUE"""),68.0)</f>
        <v>68</v>
      </c>
      <c r="G15" s="20" t="str">
        <f>IFERROR(__xludf.DUMMYFUNCTION("if(regexmatch($B15,""RR""),concat(C15,E15),"""")"),"Granada Hills AOak Avenue")</f>
        <v>Granada Hills AOak Avenue</v>
      </c>
      <c r="H15" s="20">
        <f>IFERROR(__xludf.DUMMYFUNCTION("if(regexmatch($B15,""RR""),D15,"""")"),72.0)</f>
        <v>72</v>
      </c>
      <c r="I15" s="20" t="str">
        <f>IFERROR(__xludf.DUMMYFUNCTION("if(regexmatch($B15,""RR""),concat(E15,C15),"""")"),"Oak AvenueGranada Hills A")</f>
        <v>Oak AvenueGranada Hills A</v>
      </c>
      <c r="J15" s="20">
        <f>IFERROR(__xludf.DUMMYFUNCTION("if(regexmatch($B15,""RR""),F15,"""")"),68.0)</f>
        <v>68</v>
      </c>
      <c r="K15" s="20" t="str">
        <f>IFERROR(__xludf.DUMMYFUNCTION("if(regexmatch($B15,""DE""),concat(C15,E15),"""")"),"")</f>
        <v/>
      </c>
      <c r="L15" s="20" t="str">
        <f>IFERROR(__xludf.DUMMYFUNCTION("if(regexmatch($B15,""DE""),D15,"""")"),"")</f>
        <v/>
      </c>
      <c r="M15" s="20" t="str">
        <f>IFERROR(__xludf.DUMMYFUNCTION("if(regexmatch($B15,""DE""),concat(E15,C15),"""")"),"")</f>
        <v/>
      </c>
      <c r="N15" s="20" t="str">
        <f>IFERROR(__xludf.DUMMYFUNCTION("if(regexmatch($B15,""DE""),F15,"""")"),"")</f>
        <v/>
      </c>
    </row>
    <row r="16">
      <c r="A16" s="12"/>
      <c r="B16" s="12" t="str">
        <f>IFERROR(__xludf.DUMMYFUNCTION("""COMPUTED_VALUE"""),"RR2")</f>
        <v>RR2</v>
      </c>
      <c r="C16" s="12" t="str">
        <f>IFERROR(__xludf.DUMMYFUNCTION("""COMPUTED_VALUE"""),"North Hollywood B")</f>
        <v>North Hollywood B</v>
      </c>
      <c r="D16" s="12">
        <f>IFERROR(__xludf.DUMMYFUNCTION("""COMPUTED_VALUE"""),54.0)</f>
        <v>54</v>
      </c>
      <c r="E16" s="12" t="str">
        <f>IFERROR(__xludf.DUMMYFUNCTION("""COMPUTED_VALUE"""),"Oak Avenue")</f>
        <v>Oak Avenue</v>
      </c>
      <c r="F16" s="12">
        <f>IFERROR(__xludf.DUMMYFUNCTION("""COMPUTED_VALUE"""),86.0)</f>
        <v>86</v>
      </c>
      <c r="G16" s="20" t="str">
        <f>IFERROR(__xludf.DUMMYFUNCTION("if(regexmatch($B16,""RR""),concat(C16,E16),"""")"),"North Hollywood BOak Avenue")</f>
        <v>North Hollywood BOak Avenue</v>
      </c>
      <c r="H16" s="20">
        <f>IFERROR(__xludf.DUMMYFUNCTION("if(regexmatch($B16,""RR""),D16,"""")"),54.0)</f>
        <v>54</v>
      </c>
      <c r="I16" s="20" t="str">
        <f>IFERROR(__xludf.DUMMYFUNCTION("if(regexmatch($B16,""RR""),concat(E16,C16),"""")"),"Oak AvenueNorth Hollywood B")</f>
        <v>Oak AvenueNorth Hollywood B</v>
      </c>
      <c r="J16" s="20">
        <f>IFERROR(__xludf.DUMMYFUNCTION("if(regexmatch($B16,""RR""),F16,"""")"),86.0)</f>
        <v>86</v>
      </c>
      <c r="K16" s="20" t="str">
        <f>IFERROR(__xludf.DUMMYFUNCTION("if(regexmatch($B16,""DE""),concat(C16,E16),"""")"),"")</f>
        <v/>
      </c>
      <c r="L16" s="20" t="str">
        <f>IFERROR(__xludf.DUMMYFUNCTION("if(regexmatch($B16,""DE""),D16,"""")"),"")</f>
        <v/>
      </c>
      <c r="M16" s="20" t="str">
        <f>IFERROR(__xludf.DUMMYFUNCTION("if(regexmatch($B16,""DE""),concat(E16,C16),"""")"),"")</f>
        <v/>
      </c>
      <c r="N16" s="20" t="str">
        <f>IFERROR(__xludf.DUMMYFUNCTION("if(regexmatch($B16,""DE""),F16,"""")"),"")</f>
        <v/>
      </c>
    </row>
    <row r="17">
      <c r="A17" s="12"/>
      <c r="B17" s="12" t="str">
        <f>IFERROR(__xludf.DUMMYFUNCTION("""COMPUTED_VALUE"""),"RR3")</f>
        <v>RR3</v>
      </c>
      <c r="C17" s="12" t="str">
        <f>IFERROR(__xludf.DUMMYFUNCTION("""COMPUTED_VALUE"""),"Arcadia B")</f>
        <v>Arcadia B</v>
      </c>
      <c r="D17" s="12">
        <f>IFERROR(__xludf.DUMMYFUNCTION("""COMPUTED_VALUE"""),104.0)</f>
        <v>104</v>
      </c>
      <c r="E17" s="12" t="str">
        <f>IFERROR(__xludf.DUMMYFUNCTION("""COMPUTED_VALUE"""),"University")</f>
        <v>University</v>
      </c>
      <c r="F17" s="12">
        <f>IFERROR(__xludf.DUMMYFUNCTION("""COMPUTED_VALUE"""),114.0)</f>
        <v>114</v>
      </c>
      <c r="G17" s="20" t="str">
        <f>IFERROR(__xludf.DUMMYFUNCTION("if(regexmatch($B17,""RR""),concat(C17,E17),"""")"),"Arcadia BUniversity")</f>
        <v>Arcadia BUniversity</v>
      </c>
      <c r="H17" s="20">
        <f>IFERROR(__xludf.DUMMYFUNCTION("if(regexmatch($B17,""RR""),D17,"""")"),104.0)</f>
        <v>104</v>
      </c>
      <c r="I17" s="20" t="str">
        <f>IFERROR(__xludf.DUMMYFUNCTION("if(regexmatch($B17,""RR""),concat(E17,C17),"""")"),"UniversityArcadia B")</f>
        <v>UniversityArcadia B</v>
      </c>
      <c r="J17" s="20">
        <f>IFERROR(__xludf.DUMMYFUNCTION("if(regexmatch($B17,""RR""),F17,"""")"),114.0)</f>
        <v>114</v>
      </c>
      <c r="K17" s="20" t="str">
        <f>IFERROR(__xludf.DUMMYFUNCTION("if(regexmatch($B17,""DE""),concat(C17,E17),"""")"),"")</f>
        <v/>
      </c>
      <c r="L17" s="20" t="str">
        <f>IFERROR(__xludf.DUMMYFUNCTION("if(regexmatch($B17,""DE""),D17,"""")"),"")</f>
        <v/>
      </c>
      <c r="M17" s="20" t="str">
        <f>IFERROR(__xludf.DUMMYFUNCTION("if(regexmatch($B17,""DE""),concat(E17,C17),"""")"),"")</f>
        <v/>
      </c>
      <c r="N17" s="20" t="str">
        <f>IFERROR(__xludf.DUMMYFUNCTION("if(regexmatch($B17,""DE""),F17,"""")"),"")</f>
        <v/>
      </c>
    </row>
    <row r="18">
      <c r="A18" s="12"/>
      <c r="B18" s="12" t="str">
        <f>IFERROR(__xludf.DUMMYFUNCTION("""COMPUTED_VALUE"""),"RR4")</f>
        <v>RR4</v>
      </c>
      <c r="C18" s="12" t="str">
        <f>IFERROR(__xludf.DUMMYFUNCTION("""COMPUTED_VALUE"""),"Westview")</f>
        <v>Westview</v>
      </c>
      <c r="D18" s="12">
        <f>IFERROR(__xludf.DUMMYFUNCTION("""COMPUTED_VALUE"""),48.0)</f>
        <v>48</v>
      </c>
      <c r="E18" s="12" t="str">
        <f>IFERROR(__xludf.DUMMYFUNCTION("""COMPUTED_VALUE"""),"Canyon Crest B")</f>
        <v>Canyon Crest B</v>
      </c>
      <c r="F18" s="12">
        <f>IFERROR(__xludf.DUMMYFUNCTION("""COMPUTED_VALUE"""),76.0)</f>
        <v>76</v>
      </c>
      <c r="G18" s="20" t="str">
        <f>IFERROR(__xludf.DUMMYFUNCTION("if(regexmatch($B18,""RR""),concat(C18,E18),"""")"),"WestviewCanyon Crest B")</f>
        <v>WestviewCanyon Crest B</v>
      </c>
      <c r="H18" s="20">
        <f>IFERROR(__xludf.DUMMYFUNCTION("if(regexmatch($B18,""RR""),D18,"""")"),48.0)</f>
        <v>48</v>
      </c>
      <c r="I18" s="20" t="str">
        <f>IFERROR(__xludf.DUMMYFUNCTION("if(regexmatch($B18,""RR""),concat(E18,C18),"""")"),"Canyon Crest BWestview")</f>
        <v>Canyon Crest BWestview</v>
      </c>
      <c r="J18" s="20">
        <f>IFERROR(__xludf.DUMMYFUNCTION("if(regexmatch($B18,""RR""),F18,"""")"),76.0)</f>
        <v>76</v>
      </c>
      <c r="K18" s="20" t="str">
        <f>IFERROR(__xludf.DUMMYFUNCTION("if(regexmatch($B18,""DE""),concat(C18,E18),"""")"),"")</f>
        <v/>
      </c>
      <c r="L18" s="20" t="str">
        <f>IFERROR(__xludf.DUMMYFUNCTION("if(regexmatch($B18,""DE""),D18,"""")"),"")</f>
        <v/>
      </c>
      <c r="M18" s="20" t="str">
        <f>IFERROR(__xludf.DUMMYFUNCTION("if(regexmatch($B18,""DE""),concat(E18,C18),"""")"),"")</f>
        <v/>
      </c>
      <c r="N18" s="20" t="str">
        <f>IFERROR(__xludf.DUMMYFUNCTION("if(regexmatch($B18,""DE""),F18,"""")"),"")</f>
        <v/>
      </c>
    </row>
    <row r="19">
      <c r="A19" s="12"/>
      <c r="B19" s="12" t="str">
        <f>IFERROR(__xludf.DUMMYFUNCTION("""COMPUTED_VALUE"""),"RR5")</f>
        <v>RR5</v>
      </c>
      <c r="C19" s="12" t="str">
        <f>IFERROR(__xludf.DUMMYFUNCTION("""COMPUTED_VALUE"""),"Canyon Crest A")</f>
        <v>Canyon Crest A</v>
      </c>
      <c r="D19" s="12">
        <f>IFERROR(__xludf.DUMMYFUNCTION("""COMPUTED_VALUE"""),170.0)</f>
        <v>170</v>
      </c>
      <c r="E19" s="12" t="str">
        <f>IFERROR(__xludf.DUMMYFUNCTION("""COMPUTED_VALUE"""),"Beckman B")</f>
        <v>Beckman B</v>
      </c>
      <c r="F19" s="12">
        <f>IFERROR(__xludf.DUMMYFUNCTION("""COMPUTED_VALUE"""),34.0)</f>
        <v>34</v>
      </c>
      <c r="G19" s="20" t="str">
        <f>IFERROR(__xludf.DUMMYFUNCTION("if(regexmatch($B19,""RR""),concat(C19,E19),"""")"),"Canyon Crest ABeckman B")</f>
        <v>Canyon Crest ABeckman B</v>
      </c>
      <c r="H19" s="20">
        <f>IFERROR(__xludf.DUMMYFUNCTION("if(regexmatch($B19,""RR""),D19,"""")"),170.0)</f>
        <v>170</v>
      </c>
      <c r="I19" s="20" t="str">
        <f>IFERROR(__xludf.DUMMYFUNCTION("if(regexmatch($B19,""RR""),concat(E19,C19),"""")"),"Beckman BCanyon Crest A")</f>
        <v>Beckman BCanyon Crest A</v>
      </c>
      <c r="J19" s="20">
        <f>IFERROR(__xludf.DUMMYFUNCTION("if(regexmatch($B19,""RR""),F19,"""")"),34.0)</f>
        <v>34</v>
      </c>
      <c r="K19" s="20" t="str">
        <f>IFERROR(__xludf.DUMMYFUNCTION("if(regexmatch($B19,""DE""),concat(C19,E19),"""")"),"")</f>
        <v/>
      </c>
      <c r="L19" s="20" t="str">
        <f>IFERROR(__xludf.DUMMYFUNCTION("if(regexmatch($B19,""DE""),D19,"""")"),"")</f>
        <v/>
      </c>
      <c r="M19" s="20" t="str">
        <f>IFERROR(__xludf.DUMMYFUNCTION("if(regexmatch($B19,""DE""),concat(E19,C19),"""")"),"")</f>
        <v/>
      </c>
      <c r="N19" s="20" t="str">
        <f>IFERROR(__xludf.DUMMYFUNCTION("if(regexmatch($B19,""DE""),F19,"""")"),"")</f>
        <v/>
      </c>
    </row>
    <row r="20">
      <c r="A20" s="12"/>
      <c r="B20" s="12" t="str">
        <f>IFERROR(__xludf.DUMMYFUNCTION("""COMPUTED_VALUE"""),"DE1")</f>
        <v>DE1</v>
      </c>
      <c r="C20" s="12" t="str">
        <f>IFERROR(__xludf.DUMMYFUNCTION("""COMPUTED_VALUE"""),"[Select Team Name]")</f>
        <v>[Select Team Name]</v>
      </c>
      <c r="D20" s="12">
        <f>IFERROR(__xludf.DUMMYFUNCTION("""COMPUTED_VALUE"""),0.0)</f>
        <v>0</v>
      </c>
      <c r="E20" s="12" t="str">
        <f>IFERROR(__xludf.DUMMYFUNCTION("""COMPUTED_VALUE"""),"[Select Team Name]")</f>
        <v>[Select Team Name]</v>
      </c>
      <c r="F20" s="12">
        <f>IFERROR(__xludf.DUMMYFUNCTION("""COMPUTED_VALUE"""),0.0)</f>
        <v>0</v>
      </c>
      <c r="G20" s="20" t="str">
        <f>IFERROR(__xludf.DUMMYFUNCTION("if(regexmatch($B20,""RR""),concat(C20,E20),"""")"),"")</f>
        <v/>
      </c>
      <c r="H20" s="20" t="str">
        <f>IFERROR(__xludf.DUMMYFUNCTION("if(regexmatch($B20,""RR""),D20,"""")"),"")</f>
        <v/>
      </c>
      <c r="I20" s="20" t="str">
        <f>IFERROR(__xludf.DUMMYFUNCTION("if(regexmatch($B20,""RR""),concat(E20,C20),"""")"),"")</f>
        <v/>
      </c>
      <c r="J20" s="20" t="str">
        <f>IFERROR(__xludf.DUMMYFUNCTION("if(regexmatch($B20,""RR""),F20,"""")"),"")</f>
        <v/>
      </c>
      <c r="K20" s="20" t="str">
        <f>IFERROR(__xludf.DUMMYFUNCTION("if(regexmatch($B20,""DE""),concat(C20,E20),"""")"),"[Select Team Name][Select Team Name]")</f>
        <v>[Select Team Name][Select Team Name]</v>
      </c>
      <c r="L20" s="20">
        <f>IFERROR(__xludf.DUMMYFUNCTION("if(regexmatch($B20,""DE""),D20,"""")"),0.0)</f>
        <v>0</v>
      </c>
      <c r="M20" s="20" t="str">
        <f>IFERROR(__xludf.DUMMYFUNCTION("if(regexmatch($B20,""DE""),concat(E20,C20),"""")"),"[Select Team Name][Select Team Name]")</f>
        <v>[Select Team Name][Select Team Name]</v>
      </c>
      <c r="N20" s="20">
        <f>IFERROR(__xludf.DUMMYFUNCTION("if(regexmatch($B20,""DE""),F20,"""")"),0.0)</f>
        <v>0</v>
      </c>
    </row>
    <row r="21">
      <c r="A21" s="12"/>
      <c r="B21" s="12" t="str">
        <f>IFERROR(__xludf.DUMMYFUNCTION("""COMPUTED_VALUE"""),"DE2")</f>
        <v>DE2</v>
      </c>
      <c r="C21" s="12" t="str">
        <f>IFERROR(__xludf.DUMMYFUNCTION("""COMPUTED_VALUE"""),"[Select Team Name]")</f>
        <v>[Select Team Name]</v>
      </c>
      <c r="D21" s="12">
        <f>IFERROR(__xludf.DUMMYFUNCTION("""COMPUTED_VALUE"""),0.0)</f>
        <v>0</v>
      </c>
      <c r="E21" s="12" t="str">
        <f>IFERROR(__xludf.DUMMYFUNCTION("""COMPUTED_VALUE"""),"[Select Team Name]")</f>
        <v>[Select Team Name]</v>
      </c>
      <c r="F21" s="12">
        <f>IFERROR(__xludf.DUMMYFUNCTION("""COMPUTED_VALUE"""),0.0)</f>
        <v>0</v>
      </c>
      <c r="G21" s="20" t="str">
        <f>IFERROR(__xludf.DUMMYFUNCTION("if(regexmatch($B21,""RR""),concat(C21,E21),"""")"),"")</f>
        <v/>
      </c>
      <c r="H21" s="20" t="str">
        <f>IFERROR(__xludf.DUMMYFUNCTION("if(regexmatch($B21,""RR""),D21,"""")"),"")</f>
        <v/>
      </c>
      <c r="I21" s="20" t="str">
        <f>IFERROR(__xludf.DUMMYFUNCTION("if(regexmatch($B21,""RR""),concat(E21,C21),"""")"),"")</f>
        <v/>
      </c>
      <c r="J21" s="20" t="str">
        <f>IFERROR(__xludf.DUMMYFUNCTION("if(regexmatch($B21,""RR""),F21,"""")"),"")</f>
        <v/>
      </c>
      <c r="K21" s="20" t="str">
        <f>IFERROR(__xludf.DUMMYFUNCTION("if(regexmatch($B21,""DE""),concat(C21,E21),"""")"),"[Select Team Name][Select Team Name]")</f>
        <v>[Select Team Name][Select Team Name]</v>
      </c>
      <c r="L21" s="20">
        <f>IFERROR(__xludf.DUMMYFUNCTION("if(regexmatch($B21,""DE""),D21,"""")"),0.0)</f>
        <v>0</v>
      </c>
      <c r="M21" s="20" t="str">
        <f>IFERROR(__xludf.DUMMYFUNCTION("if(regexmatch($B21,""DE""),concat(E21,C21),"""")"),"[Select Team Name][Select Team Name]")</f>
        <v>[Select Team Name][Select Team Name]</v>
      </c>
      <c r="N21" s="20">
        <f>IFERROR(__xludf.DUMMYFUNCTION("if(regexmatch($B21,""DE""),F21,"""")"),0.0)</f>
        <v>0</v>
      </c>
    </row>
    <row r="22">
      <c r="A22" s="12"/>
      <c r="B22" s="12" t="str">
        <f>IFERROR(__xludf.DUMMYFUNCTION("""COMPUTED_VALUE"""),"DE3")</f>
        <v>DE3</v>
      </c>
      <c r="C22" s="12" t="str">
        <f>IFERROR(__xludf.DUMMYFUNCTION("""COMPUTED_VALUE"""),"[Select Team Name]")</f>
        <v>[Select Team Name]</v>
      </c>
      <c r="D22" s="12">
        <f>IFERROR(__xludf.DUMMYFUNCTION("""COMPUTED_VALUE"""),0.0)</f>
        <v>0</v>
      </c>
      <c r="E22" s="12" t="str">
        <f>IFERROR(__xludf.DUMMYFUNCTION("""COMPUTED_VALUE"""),"[Select Team Name]")</f>
        <v>[Select Team Name]</v>
      </c>
      <c r="F22" s="12">
        <f>IFERROR(__xludf.DUMMYFUNCTION("""COMPUTED_VALUE"""),0.0)</f>
        <v>0</v>
      </c>
      <c r="G22" s="20" t="str">
        <f>IFERROR(__xludf.DUMMYFUNCTION("if(regexmatch($B22,""RR""),concat(C22,E22),"""")"),"")</f>
        <v/>
      </c>
      <c r="H22" s="20" t="str">
        <f>IFERROR(__xludf.DUMMYFUNCTION("if(regexmatch($B22,""RR""),D22,"""")"),"")</f>
        <v/>
      </c>
      <c r="I22" s="20" t="str">
        <f>IFERROR(__xludf.DUMMYFUNCTION("if(regexmatch($B22,""RR""),concat(E22,C22),"""")"),"")</f>
        <v/>
      </c>
      <c r="J22" s="20" t="str">
        <f>IFERROR(__xludf.DUMMYFUNCTION("if(regexmatch($B22,""RR""),F22,"""")"),"")</f>
        <v/>
      </c>
      <c r="K22" s="20" t="str">
        <f>IFERROR(__xludf.DUMMYFUNCTION("if(regexmatch($B22,""DE""),concat(C22,E22),"""")"),"[Select Team Name][Select Team Name]")</f>
        <v>[Select Team Name][Select Team Name]</v>
      </c>
      <c r="L22" s="20">
        <f>IFERROR(__xludf.DUMMYFUNCTION("if(regexmatch($B22,""DE""),D22,"""")"),0.0)</f>
        <v>0</v>
      </c>
      <c r="M22" s="20" t="str">
        <f>IFERROR(__xludf.DUMMYFUNCTION("if(regexmatch($B22,""DE""),concat(E22,C22),"""")"),"[Select Team Name][Select Team Name]")</f>
        <v>[Select Team Name][Select Team Name]</v>
      </c>
      <c r="N22" s="20">
        <f>IFERROR(__xludf.DUMMYFUNCTION("if(regexmatch($B22,""DE""),F22,"""")"),0.0)</f>
        <v>0</v>
      </c>
    </row>
    <row r="23">
      <c r="A23" s="12"/>
      <c r="B23" s="12" t="str">
        <f>IFERROR(__xludf.DUMMYFUNCTION("""COMPUTED_VALUE"""),"DE4")</f>
        <v>DE4</v>
      </c>
      <c r="C23" s="12" t="str">
        <f>IFERROR(__xludf.DUMMYFUNCTION("""COMPUTED_VALUE"""),"[Select Team Name]")</f>
        <v>[Select Team Name]</v>
      </c>
      <c r="D23" s="12">
        <f>IFERROR(__xludf.DUMMYFUNCTION("""COMPUTED_VALUE"""),0.0)</f>
        <v>0</v>
      </c>
      <c r="E23" s="12" t="str">
        <f>IFERROR(__xludf.DUMMYFUNCTION("""COMPUTED_VALUE"""),"[Select Team Name]")</f>
        <v>[Select Team Name]</v>
      </c>
      <c r="F23" s="12">
        <f>IFERROR(__xludf.DUMMYFUNCTION("""COMPUTED_VALUE"""),0.0)</f>
        <v>0</v>
      </c>
      <c r="G23" s="20" t="str">
        <f>IFERROR(__xludf.DUMMYFUNCTION("if(regexmatch($B23,""RR""),concat(C23,E23),"""")"),"")</f>
        <v/>
      </c>
      <c r="H23" s="20" t="str">
        <f>IFERROR(__xludf.DUMMYFUNCTION("if(regexmatch($B23,""RR""),D23,"""")"),"")</f>
        <v/>
      </c>
      <c r="I23" s="20" t="str">
        <f>IFERROR(__xludf.DUMMYFUNCTION("if(regexmatch($B23,""RR""),concat(E23,C23),"""")"),"")</f>
        <v/>
      </c>
      <c r="J23" s="20" t="str">
        <f>IFERROR(__xludf.DUMMYFUNCTION("if(regexmatch($B23,""RR""),F23,"""")"),"")</f>
        <v/>
      </c>
      <c r="K23" s="20" t="str">
        <f>IFERROR(__xludf.DUMMYFUNCTION("if(regexmatch($B23,""DE""),concat(C23,E23),"""")"),"[Select Team Name][Select Team Name]")</f>
        <v>[Select Team Name][Select Team Name]</v>
      </c>
      <c r="L23" s="20">
        <f>IFERROR(__xludf.DUMMYFUNCTION("if(regexmatch($B23,""DE""),D23,"""")"),0.0)</f>
        <v>0</v>
      </c>
      <c r="M23" s="20" t="str">
        <f>IFERROR(__xludf.DUMMYFUNCTION("if(regexmatch($B23,""DE""),concat(E23,C23),"""")"),"[Select Team Name][Select Team Name]")</f>
        <v>[Select Team Name][Select Team Name]</v>
      </c>
      <c r="N23" s="20">
        <f>IFERROR(__xludf.DUMMYFUNCTION("if(regexmatch($B23,""DE""),F23,"""")"),0.0)</f>
        <v>0</v>
      </c>
    </row>
    <row r="24">
      <c r="A24" s="12"/>
      <c r="B24" s="12" t="str">
        <f>IFERROR(__xludf.DUMMYFUNCTION("""COMPUTED_VALUE"""),"DE5")</f>
        <v>DE5</v>
      </c>
      <c r="C24" s="12" t="str">
        <f>IFERROR(__xludf.DUMMYFUNCTION("""COMPUTED_VALUE"""),"[Select Team Name]")</f>
        <v>[Select Team Name]</v>
      </c>
      <c r="D24" s="12">
        <f>IFERROR(__xludf.DUMMYFUNCTION("""COMPUTED_VALUE"""),0.0)</f>
        <v>0</v>
      </c>
      <c r="E24" s="12" t="str">
        <f>IFERROR(__xludf.DUMMYFUNCTION("""COMPUTED_VALUE"""),"[Select Team Name]")</f>
        <v>[Select Team Name]</v>
      </c>
      <c r="F24" s="12">
        <f>IFERROR(__xludf.DUMMYFUNCTION("""COMPUTED_VALUE"""),0.0)</f>
        <v>0</v>
      </c>
      <c r="G24" s="20" t="str">
        <f>IFERROR(__xludf.DUMMYFUNCTION("if(regexmatch($B24,""RR""),concat(C24,E24),"""")"),"")</f>
        <v/>
      </c>
      <c r="H24" s="20" t="str">
        <f>IFERROR(__xludf.DUMMYFUNCTION("if(regexmatch($B24,""RR""),D24,"""")"),"")</f>
        <v/>
      </c>
      <c r="I24" s="20" t="str">
        <f>IFERROR(__xludf.DUMMYFUNCTION("if(regexmatch($B24,""RR""),concat(E24,C24),"""")"),"")</f>
        <v/>
      </c>
      <c r="J24" s="20" t="str">
        <f>IFERROR(__xludf.DUMMYFUNCTION("if(regexmatch($B24,""RR""),F24,"""")"),"")</f>
        <v/>
      </c>
      <c r="K24" s="20" t="str">
        <f>IFERROR(__xludf.DUMMYFUNCTION("if(regexmatch($B24,""DE""),concat(C24,E24),"""")"),"[Select Team Name][Select Team Name]")</f>
        <v>[Select Team Name][Select Team Name]</v>
      </c>
      <c r="L24" s="20">
        <f>IFERROR(__xludf.DUMMYFUNCTION("if(regexmatch($B24,""DE""),D24,"""")"),0.0)</f>
        <v>0</v>
      </c>
      <c r="M24" s="20" t="str">
        <f>IFERROR(__xludf.DUMMYFUNCTION("if(regexmatch($B24,""DE""),concat(E24,C24),"""")"),"[Select Team Name][Select Team Name]")</f>
        <v>[Select Team Name][Select Team Name]</v>
      </c>
      <c r="N24" s="20">
        <f>IFERROR(__xludf.DUMMYFUNCTION("if(regexmatch($B24,""DE""),F24,"""")"),0.0)</f>
        <v>0</v>
      </c>
    </row>
    <row r="25">
      <c r="A25" s="12"/>
      <c r="B25" s="12" t="str">
        <f>IFERROR(__xludf.DUMMYFUNCTION("""COMPUTED_VALUE"""),"DE6")</f>
        <v>DE6</v>
      </c>
      <c r="C25" s="12" t="str">
        <f>IFERROR(__xludf.DUMMYFUNCTION("""COMPUTED_VALUE"""),"[Select Team Name]")</f>
        <v>[Select Team Name]</v>
      </c>
      <c r="D25" s="12">
        <f>IFERROR(__xludf.DUMMYFUNCTION("""COMPUTED_VALUE"""),0.0)</f>
        <v>0</v>
      </c>
      <c r="E25" s="12" t="str">
        <f>IFERROR(__xludf.DUMMYFUNCTION("""COMPUTED_VALUE"""),"[Select Team Name]")</f>
        <v>[Select Team Name]</v>
      </c>
      <c r="F25" s="12">
        <f>IFERROR(__xludf.DUMMYFUNCTION("""COMPUTED_VALUE"""),0.0)</f>
        <v>0</v>
      </c>
      <c r="G25" s="20" t="str">
        <f>IFERROR(__xludf.DUMMYFUNCTION("if(regexmatch($B25,""RR""),concat(C25,E25),"""")"),"")</f>
        <v/>
      </c>
      <c r="H25" s="20" t="str">
        <f>IFERROR(__xludf.DUMMYFUNCTION("if(regexmatch($B25,""RR""),D25,"""")"),"")</f>
        <v/>
      </c>
      <c r="I25" s="20" t="str">
        <f>IFERROR(__xludf.DUMMYFUNCTION("if(regexmatch($B25,""RR""),concat(E25,C25),"""")"),"")</f>
        <v/>
      </c>
      <c r="J25" s="20" t="str">
        <f>IFERROR(__xludf.DUMMYFUNCTION("if(regexmatch($B25,""RR""),F25,"""")"),"")</f>
        <v/>
      </c>
      <c r="K25" s="20" t="str">
        <f>IFERROR(__xludf.DUMMYFUNCTION("if(regexmatch($B25,""DE""),concat(C25,E25),"""")"),"[Select Team Name][Select Team Name]")</f>
        <v>[Select Team Name][Select Team Name]</v>
      </c>
      <c r="L25" s="20">
        <f>IFERROR(__xludf.DUMMYFUNCTION("if(regexmatch($B25,""DE""),D25,"""")"),0.0)</f>
        <v>0</v>
      </c>
      <c r="M25" s="20" t="str">
        <f>IFERROR(__xludf.DUMMYFUNCTION("if(regexmatch($B25,""DE""),concat(E25,C25),"""")"),"[Select Team Name][Select Team Name]")</f>
        <v>[Select Team Name][Select Team Name]</v>
      </c>
      <c r="N25" s="20">
        <f>IFERROR(__xludf.DUMMYFUNCTION("if(regexmatch($B25,""DE""),F25,"""")"),0.0)</f>
        <v>0</v>
      </c>
    </row>
    <row r="26">
      <c r="A26" s="12"/>
      <c r="B26" s="12" t="str">
        <f>IFERROR(__xludf.DUMMYFUNCTION("""COMPUTED_VALUE"""),"DE7")</f>
        <v>DE7</v>
      </c>
      <c r="C26" s="12" t="str">
        <f>IFERROR(__xludf.DUMMYFUNCTION("""COMPUTED_VALUE"""),"[Select Team Name]")</f>
        <v>[Select Team Name]</v>
      </c>
      <c r="D26" s="12">
        <f>IFERROR(__xludf.DUMMYFUNCTION("""COMPUTED_VALUE"""),0.0)</f>
        <v>0</v>
      </c>
      <c r="E26" s="12" t="str">
        <f>IFERROR(__xludf.DUMMYFUNCTION("""COMPUTED_VALUE"""),"[Select Team Name]")</f>
        <v>[Select Team Name]</v>
      </c>
      <c r="F26" s="12">
        <f>IFERROR(__xludf.DUMMYFUNCTION("""COMPUTED_VALUE"""),0.0)</f>
        <v>0</v>
      </c>
      <c r="G26" s="20" t="str">
        <f>IFERROR(__xludf.DUMMYFUNCTION("if(regexmatch($B26,""RR""),concat(C26,E26),"""")"),"")</f>
        <v/>
      </c>
      <c r="H26" s="20" t="str">
        <f>IFERROR(__xludf.DUMMYFUNCTION("if(regexmatch($B26,""RR""),D26,"""")"),"")</f>
        <v/>
      </c>
      <c r="I26" s="20" t="str">
        <f>IFERROR(__xludf.DUMMYFUNCTION("if(regexmatch($B26,""RR""),concat(E26,C26),"""")"),"")</f>
        <v/>
      </c>
      <c r="J26" s="20" t="str">
        <f>IFERROR(__xludf.DUMMYFUNCTION("if(regexmatch($B26,""RR""),F26,"""")"),"")</f>
        <v/>
      </c>
      <c r="K26" s="20" t="str">
        <f>IFERROR(__xludf.DUMMYFUNCTION("if(regexmatch($B26,""DE""),concat(C26,E26),"""")"),"[Select Team Name][Select Team Name]")</f>
        <v>[Select Team Name][Select Team Name]</v>
      </c>
      <c r="L26" s="20">
        <f>IFERROR(__xludf.DUMMYFUNCTION("if(regexmatch($B26,""DE""),D26,"""")"),0.0)</f>
        <v>0</v>
      </c>
      <c r="M26" s="20" t="str">
        <f>IFERROR(__xludf.DUMMYFUNCTION("if(regexmatch($B26,""DE""),concat(E26,C26),"""")"),"[Select Team Name][Select Team Name]")</f>
        <v>[Select Team Name][Select Team Name]</v>
      </c>
      <c r="N26" s="20">
        <f>IFERROR(__xludf.DUMMYFUNCTION("if(regexmatch($B26,""DE""),F26,"""")"),0.0)</f>
        <v>0</v>
      </c>
    </row>
    <row r="27">
      <c r="A27" s="12"/>
      <c r="B27" s="12" t="str">
        <f>IFERROR(__xludf.DUMMYFUNCTION("""COMPUTED_VALUE"""),"DE8")</f>
        <v>DE8</v>
      </c>
      <c r="C27" s="12" t="str">
        <f>IFERROR(__xludf.DUMMYFUNCTION("""COMPUTED_VALUE"""),"[Select Team Name]")</f>
        <v>[Select Team Name]</v>
      </c>
      <c r="D27" s="12">
        <f>IFERROR(__xludf.DUMMYFUNCTION("""COMPUTED_VALUE"""),0.0)</f>
        <v>0</v>
      </c>
      <c r="E27" s="12" t="str">
        <f>IFERROR(__xludf.DUMMYFUNCTION("""COMPUTED_VALUE"""),"[Select Team Name]")</f>
        <v>[Select Team Name]</v>
      </c>
      <c r="F27" s="12">
        <f>IFERROR(__xludf.DUMMYFUNCTION("""COMPUTED_VALUE"""),0.0)</f>
        <v>0</v>
      </c>
      <c r="G27" s="20" t="str">
        <f>IFERROR(__xludf.DUMMYFUNCTION("if(regexmatch($B27,""RR""),concat(C27,E27),"""")"),"")</f>
        <v/>
      </c>
      <c r="H27" s="20" t="str">
        <f>IFERROR(__xludf.DUMMYFUNCTION("if(regexmatch($B27,""RR""),D27,"""")"),"")</f>
        <v/>
      </c>
      <c r="I27" s="20" t="str">
        <f>IFERROR(__xludf.DUMMYFUNCTION("if(regexmatch($B27,""RR""),concat(E27,C27),"""")"),"")</f>
        <v/>
      </c>
      <c r="J27" s="20" t="str">
        <f>IFERROR(__xludf.DUMMYFUNCTION("if(regexmatch($B27,""RR""),F27,"""")"),"")</f>
        <v/>
      </c>
      <c r="K27" s="20" t="str">
        <f>IFERROR(__xludf.DUMMYFUNCTION("if(regexmatch($B27,""DE""),concat(C27,E27),"""")"),"[Select Team Name][Select Team Name]")</f>
        <v>[Select Team Name][Select Team Name]</v>
      </c>
      <c r="L27" s="20">
        <f>IFERROR(__xludf.DUMMYFUNCTION("if(regexmatch($B27,""DE""),D27,"""")"),0.0)</f>
        <v>0</v>
      </c>
      <c r="M27" s="20" t="str">
        <f>IFERROR(__xludf.DUMMYFUNCTION("if(regexmatch($B27,""DE""),concat(E27,C27),"""")"),"[Select Team Name][Select Team Name]")</f>
        <v>[Select Team Name][Select Team Name]</v>
      </c>
      <c r="N27" s="20">
        <f>IFERROR(__xludf.DUMMYFUNCTION("if(regexmatch($B27,""DE""),F27,"""")"),0.0)</f>
        <v>0</v>
      </c>
    </row>
    <row r="28">
      <c r="A28" s="12"/>
      <c r="B28" s="12" t="str">
        <f>IFERROR(__xludf.DUMMYFUNCTION("""COMPUTED_VALUE"""),"DE9")</f>
        <v>DE9</v>
      </c>
      <c r="C28" s="12" t="str">
        <f>IFERROR(__xludf.DUMMYFUNCTION("""COMPUTED_VALUE"""),"[Select Team Name]")</f>
        <v>[Select Team Name]</v>
      </c>
      <c r="D28" s="12">
        <f>IFERROR(__xludf.DUMMYFUNCTION("""COMPUTED_VALUE"""),0.0)</f>
        <v>0</v>
      </c>
      <c r="E28" s="12" t="str">
        <f>IFERROR(__xludf.DUMMYFUNCTION("""COMPUTED_VALUE"""),"[Select Team Name]")</f>
        <v>[Select Team Name]</v>
      </c>
      <c r="F28" s="12">
        <f>IFERROR(__xludf.DUMMYFUNCTION("""COMPUTED_VALUE"""),0.0)</f>
        <v>0</v>
      </c>
      <c r="G28" s="20" t="str">
        <f>IFERROR(__xludf.DUMMYFUNCTION("if(regexmatch($B28,""RR""),concat(C28,E28),"""")"),"")</f>
        <v/>
      </c>
      <c r="H28" s="20" t="str">
        <f>IFERROR(__xludf.DUMMYFUNCTION("if(regexmatch($B28,""RR""),D28,"""")"),"")</f>
        <v/>
      </c>
      <c r="I28" s="20" t="str">
        <f>IFERROR(__xludf.DUMMYFUNCTION("if(regexmatch($B28,""RR""),concat(E28,C28),"""")"),"")</f>
        <v/>
      </c>
      <c r="J28" s="20" t="str">
        <f>IFERROR(__xludf.DUMMYFUNCTION("if(regexmatch($B28,""RR""),F28,"""")"),"")</f>
        <v/>
      </c>
      <c r="K28" s="20" t="str">
        <f>IFERROR(__xludf.DUMMYFUNCTION("if(regexmatch($B28,""DE""),concat(C28,E28),"""")"),"[Select Team Name][Select Team Name]")</f>
        <v>[Select Team Name][Select Team Name]</v>
      </c>
      <c r="L28" s="20">
        <f>IFERROR(__xludf.DUMMYFUNCTION("if(regexmatch($B28,""DE""),D28,"""")"),0.0)</f>
        <v>0</v>
      </c>
      <c r="M28" s="20" t="str">
        <f>IFERROR(__xludf.DUMMYFUNCTION("if(regexmatch($B28,""DE""),concat(E28,C28),"""")"),"[Select Team Name][Select Team Name]")</f>
        <v>[Select Team Name][Select Team Name]</v>
      </c>
      <c r="N28" s="20">
        <f>IFERROR(__xludf.DUMMYFUNCTION("if(regexmatch($B28,""DE""),F28,"""")"),0.0)</f>
        <v>0</v>
      </c>
    </row>
    <row r="29">
      <c r="A29" s="1"/>
      <c r="B29" s="12" t="str">
        <f>IFERROR(__xludf.DUMMYFUNCTION("importrange(""https://docs.google.com/spreadsheets/d/1v3Plj3RjU3BJi7RhvJ9zd-0BmodIVTY64rszllWMLxo/edit?gid=0#gid=0"",""Scores!A2:E15"")"),"RR1")</f>
        <v>RR1</v>
      </c>
      <c r="C29" s="12" t="str">
        <f>IFERROR(__xludf.DUMMYFUNCTION("""COMPUTED_VALUE"""),"Westview")</f>
        <v>Westview</v>
      </c>
      <c r="D29" s="12">
        <f>IFERROR(__xludf.DUMMYFUNCTION("""COMPUTED_VALUE"""),60.0)</f>
        <v>60</v>
      </c>
      <c r="E29" s="12" t="str">
        <f>IFERROR(__xludf.DUMMYFUNCTION("""COMPUTED_VALUE"""),"Sci Acad B")</f>
        <v>Sci Acad B</v>
      </c>
      <c r="F29" s="12">
        <f>IFERROR(__xludf.DUMMYFUNCTION("""COMPUTED_VALUE"""),86.0)</f>
        <v>86</v>
      </c>
      <c r="G29" s="20" t="str">
        <f>IFERROR(__xludf.DUMMYFUNCTION("if(regexmatch($B29,""RR""),concat(C29,E29),"""")"),"WestviewSci Acad B")</f>
        <v>WestviewSci Acad B</v>
      </c>
      <c r="H29" s="20">
        <f>IFERROR(__xludf.DUMMYFUNCTION("if(regexmatch($B29,""RR""),D29,"""")"),60.0)</f>
        <v>60</v>
      </c>
      <c r="I29" s="20" t="str">
        <f>IFERROR(__xludf.DUMMYFUNCTION("if(regexmatch($B29,""RR""),concat(E29,C29),"""")"),"Sci Acad BWestview")</f>
        <v>Sci Acad BWestview</v>
      </c>
      <c r="J29" s="20">
        <f>IFERROR(__xludf.DUMMYFUNCTION("if(regexmatch($B29,""RR""),F29,"""")"),86.0)</f>
        <v>86</v>
      </c>
      <c r="K29" s="20" t="str">
        <f>IFERROR(__xludf.DUMMYFUNCTION("if(regexmatch($B29,""DE""),concat(C29,E29),"""")"),"")</f>
        <v/>
      </c>
      <c r="L29" s="20" t="str">
        <f>IFERROR(__xludf.DUMMYFUNCTION("if(regexmatch($B29,""DE""),D29,"""")"),"")</f>
        <v/>
      </c>
      <c r="M29" s="20" t="str">
        <f>IFERROR(__xludf.DUMMYFUNCTION("if(regexmatch($B29,""DE""),concat(E29,C29),"""")"),"")</f>
        <v/>
      </c>
      <c r="N29" s="20" t="str">
        <f>IFERROR(__xludf.DUMMYFUNCTION("if(regexmatch($B29,""DE""),F29,"""")"),"")</f>
        <v/>
      </c>
    </row>
    <row r="30">
      <c r="A30" s="12"/>
      <c r="B30" s="12" t="str">
        <f>IFERROR(__xludf.DUMMYFUNCTION("""COMPUTED_VALUE"""),"RR2")</f>
        <v>RR2</v>
      </c>
      <c r="C30" s="12" t="str">
        <f>IFERROR(__xludf.DUMMYFUNCTION("""COMPUTED_VALUE"""),"Temple City A")</f>
        <v>Temple City A</v>
      </c>
      <c r="D30" s="12">
        <f>IFERROR(__xludf.DUMMYFUNCTION("""COMPUTED_VALUE"""),68.0)</f>
        <v>68</v>
      </c>
      <c r="E30" s="12" t="str">
        <f>IFERROR(__xludf.DUMMYFUNCTION("""COMPUTED_VALUE"""),"Venice A")</f>
        <v>Venice A</v>
      </c>
      <c r="F30" s="12">
        <f>IFERROR(__xludf.DUMMYFUNCTION("""COMPUTED_VALUE"""),156.0)</f>
        <v>156</v>
      </c>
      <c r="G30" s="20" t="str">
        <f>IFERROR(__xludf.DUMMYFUNCTION("if(regexmatch($B30,""RR""),concat(C30,E30),"""")"),"Temple City AVenice A")</f>
        <v>Temple City AVenice A</v>
      </c>
      <c r="H30" s="20">
        <f>IFERROR(__xludf.DUMMYFUNCTION("if(regexmatch($B30,""RR""),D30,"""")"),68.0)</f>
        <v>68</v>
      </c>
      <c r="I30" s="20" t="str">
        <f>IFERROR(__xludf.DUMMYFUNCTION("if(regexmatch($B30,""RR""),concat(E30,C30),"""")"),"Venice ATemple City A")</f>
        <v>Venice ATemple City A</v>
      </c>
      <c r="J30" s="20">
        <f>IFERROR(__xludf.DUMMYFUNCTION("if(regexmatch($B30,""RR""),F30,"""")"),156.0)</f>
        <v>156</v>
      </c>
      <c r="K30" s="20" t="str">
        <f>IFERROR(__xludf.DUMMYFUNCTION("if(regexmatch($B30,""DE""),concat(C30,E30),"""")"),"")</f>
        <v/>
      </c>
      <c r="L30" s="20" t="str">
        <f>IFERROR(__xludf.DUMMYFUNCTION("if(regexmatch($B30,""DE""),D30,"""")"),"")</f>
        <v/>
      </c>
      <c r="M30" s="20" t="str">
        <f>IFERROR(__xludf.DUMMYFUNCTION("if(regexmatch($B30,""DE""),concat(E30,C30),"""")"),"")</f>
        <v/>
      </c>
      <c r="N30" s="20" t="str">
        <f>IFERROR(__xludf.DUMMYFUNCTION("if(regexmatch($B30,""DE""),F30,"""")"),"")</f>
        <v/>
      </c>
    </row>
    <row r="31">
      <c r="A31" s="12"/>
      <c r="B31" s="12" t="str">
        <f>IFERROR(__xludf.DUMMYFUNCTION("""COMPUTED_VALUE"""),"RR3")</f>
        <v>RR3</v>
      </c>
      <c r="C31" s="12" t="str">
        <f>IFERROR(__xludf.DUMMYFUNCTION("""COMPUTED_VALUE"""),"Beckman B")</f>
        <v>Beckman B</v>
      </c>
      <c r="D31" s="12">
        <f>IFERROR(__xludf.DUMMYFUNCTION("""COMPUTED_VALUE"""),44.0)</f>
        <v>44</v>
      </c>
      <c r="E31" s="12" t="str">
        <f>IFERROR(__xludf.DUMMYFUNCTION("""COMPUTED_VALUE"""),"North Hollywood B")</f>
        <v>North Hollywood B</v>
      </c>
      <c r="F31" s="12">
        <f>IFERROR(__xludf.DUMMYFUNCTION("""COMPUTED_VALUE"""),102.0)</f>
        <v>102</v>
      </c>
      <c r="G31" s="20" t="str">
        <f>IFERROR(__xludf.DUMMYFUNCTION("if(regexmatch($B31,""RR""),concat(C31,E31),"""")"),"Beckman BNorth Hollywood B")</f>
        <v>Beckman BNorth Hollywood B</v>
      </c>
      <c r="H31" s="20">
        <f>IFERROR(__xludf.DUMMYFUNCTION("if(regexmatch($B31,""RR""),D31,"""")"),44.0)</f>
        <v>44</v>
      </c>
      <c r="I31" s="20" t="str">
        <f>IFERROR(__xludf.DUMMYFUNCTION("if(regexmatch($B31,""RR""),concat(E31,C31),"""")"),"North Hollywood BBeckman B")</f>
        <v>North Hollywood BBeckman B</v>
      </c>
      <c r="J31" s="20">
        <f>IFERROR(__xludf.DUMMYFUNCTION("if(regexmatch($B31,""RR""),F31,"""")"),102.0)</f>
        <v>102</v>
      </c>
      <c r="K31" s="20" t="str">
        <f>IFERROR(__xludf.DUMMYFUNCTION("if(regexmatch($B31,""DE""),concat(C31,E31),"""")"),"")</f>
        <v/>
      </c>
      <c r="L31" s="20" t="str">
        <f>IFERROR(__xludf.DUMMYFUNCTION("if(regexmatch($B31,""DE""),D31,"""")"),"")</f>
        <v/>
      </c>
      <c r="M31" s="20" t="str">
        <f>IFERROR(__xludf.DUMMYFUNCTION("if(regexmatch($B31,""DE""),concat(E31,C31),"""")"),"")</f>
        <v/>
      </c>
      <c r="N31" s="20" t="str">
        <f>IFERROR(__xludf.DUMMYFUNCTION("if(regexmatch($B31,""DE""),F31,"""")"),"")</f>
        <v/>
      </c>
    </row>
    <row r="32">
      <c r="A32" s="12"/>
      <c r="B32" s="12" t="str">
        <f>IFERROR(__xludf.DUMMYFUNCTION("""COMPUTED_VALUE"""),"RR4")</f>
        <v>RR4</v>
      </c>
      <c r="C32" s="12" t="str">
        <f>IFERROR(__xludf.DUMMYFUNCTION("""COMPUTED_VALUE"""),"OCSA")</f>
        <v>OCSA</v>
      </c>
      <c r="D32" s="12">
        <f>IFERROR(__xludf.DUMMYFUNCTION("""COMPUTED_VALUE"""),44.0)</f>
        <v>44</v>
      </c>
      <c r="E32" s="12" t="str">
        <f>IFERROR(__xludf.DUMMYFUNCTION("""COMPUTED_VALUE"""),"North Hollywood A")</f>
        <v>North Hollywood A</v>
      </c>
      <c r="F32" s="12">
        <f>IFERROR(__xludf.DUMMYFUNCTION("""COMPUTED_VALUE"""),176.0)</f>
        <v>176</v>
      </c>
      <c r="G32" s="20" t="str">
        <f>IFERROR(__xludf.DUMMYFUNCTION("if(regexmatch($B32,""RR""),concat(C32,E32),"""")"),"OCSANorth Hollywood A")</f>
        <v>OCSANorth Hollywood A</v>
      </c>
      <c r="H32" s="20">
        <f>IFERROR(__xludf.DUMMYFUNCTION("if(regexmatch($B32,""RR""),D32,"""")"),44.0)</f>
        <v>44</v>
      </c>
      <c r="I32" s="20" t="str">
        <f>IFERROR(__xludf.DUMMYFUNCTION("if(regexmatch($B32,""RR""),concat(E32,C32),"""")"),"North Hollywood AOCSA")</f>
        <v>North Hollywood AOCSA</v>
      </c>
      <c r="J32" s="20">
        <f>IFERROR(__xludf.DUMMYFUNCTION("if(regexmatch($B32,""RR""),F32,"""")"),176.0)</f>
        <v>176</v>
      </c>
      <c r="K32" s="20" t="str">
        <f>IFERROR(__xludf.DUMMYFUNCTION("if(regexmatch($B32,""DE""),concat(C32,E32),"""")"),"")</f>
        <v/>
      </c>
      <c r="L32" s="20" t="str">
        <f>IFERROR(__xludf.DUMMYFUNCTION("if(regexmatch($B32,""DE""),D32,"""")"),"")</f>
        <v/>
      </c>
      <c r="M32" s="20" t="str">
        <f>IFERROR(__xludf.DUMMYFUNCTION("if(regexmatch($B32,""DE""),concat(E32,C32),"""")"),"")</f>
        <v/>
      </c>
      <c r="N32" s="20" t="str">
        <f>IFERROR(__xludf.DUMMYFUNCTION("if(regexmatch($B32,""DE""),F32,"""")"),"")</f>
        <v/>
      </c>
    </row>
    <row r="33">
      <c r="A33" s="12"/>
      <c r="B33" s="12" t="str">
        <f>IFERROR(__xludf.DUMMYFUNCTION("""COMPUTED_VALUE"""),"RR5")</f>
        <v>RR5</v>
      </c>
      <c r="C33" s="12" t="str">
        <f>IFERROR(__xludf.DUMMYFUNCTION("""COMPUTED_VALUE"""),"University")</f>
        <v>University</v>
      </c>
      <c r="D33" s="12">
        <f>IFERROR(__xludf.DUMMYFUNCTION("""COMPUTED_VALUE"""),146.0)</f>
        <v>146</v>
      </c>
      <c r="E33" s="12" t="str">
        <f>IFERROR(__xludf.DUMMYFUNCTION("""COMPUTED_VALUE"""),"Venice A")</f>
        <v>Venice A</v>
      </c>
      <c r="F33" s="12">
        <f>IFERROR(__xludf.DUMMYFUNCTION("""COMPUTED_VALUE"""),100.0)</f>
        <v>100</v>
      </c>
      <c r="G33" s="20" t="str">
        <f>IFERROR(__xludf.DUMMYFUNCTION("if(regexmatch($B33,""RR""),concat(C33,E33),"""")"),"UniversityVenice A")</f>
        <v>UniversityVenice A</v>
      </c>
      <c r="H33" s="20">
        <f>IFERROR(__xludf.DUMMYFUNCTION("if(regexmatch($B33,""RR""),D33,"""")"),146.0)</f>
        <v>146</v>
      </c>
      <c r="I33" s="20" t="str">
        <f>IFERROR(__xludf.DUMMYFUNCTION("if(regexmatch($B33,""RR""),concat(E33,C33),"""")"),"Venice AUniversity")</f>
        <v>Venice AUniversity</v>
      </c>
      <c r="J33" s="20">
        <f>IFERROR(__xludf.DUMMYFUNCTION("if(regexmatch($B33,""RR""),F33,"""")"),100.0)</f>
        <v>100</v>
      </c>
      <c r="K33" s="20" t="str">
        <f>IFERROR(__xludf.DUMMYFUNCTION("if(regexmatch($B33,""DE""),concat(C33,E33),"""")"),"")</f>
        <v/>
      </c>
      <c r="L33" s="20" t="str">
        <f>IFERROR(__xludf.DUMMYFUNCTION("if(regexmatch($B33,""DE""),D33,"""")"),"")</f>
        <v/>
      </c>
      <c r="M33" s="20" t="str">
        <f>IFERROR(__xludf.DUMMYFUNCTION("if(regexmatch($B33,""DE""),concat(E33,C33),"""")"),"")</f>
        <v/>
      </c>
      <c r="N33" s="20" t="str">
        <f>IFERROR(__xludf.DUMMYFUNCTION("if(regexmatch($B33,""DE""),F33,"""")"),"")</f>
        <v/>
      </c>
    </row>
    <row r="34">
      <c r="A34" s="12"/>
      <c r="B34" s="12" t="str">
        <f>IFERROR(__xludf.DUMMYFUNCTION("""COMPUTED_VALUE"""),"DE1")</f>
        <v>DE1</v>
      </c>
      <c r="C34" s="12" t="str">
        <f>IFERROR(__xludf.DUMMYFUNCTION("""COMPUTED_VALUE"""),"OCSA")</f>
        <v>OCSA</v>
      </c>
      <c r="D34" s="12">
        <f>IFERROR(__xludf.DUMMYFUNCTION("""COMPUTED_VALUE"""),62.0)</f>
        <v>62</v>
      </c>
      <c r="E34" s="12" t="str">
        <f>IFERROR(__xludf.DUMMYFUNCTION("""COMPUTED_VALUE"""),"Troy")</f>
        <v>Troy</v>
      </c>
      <c r="F34" s="12">
        <f>IFERROR(__xludf.DUMMYFUNCTION("""COMPUTED_VALUE"""),148.0)</f>
        <v>148</v>
      </c>
      <c r="G34" s="20" t="str">
        <f>IFERROR(__xludf.DUMMYFUNCTION("if(regexmatch($B34,""RR""),concat(C34,E34),"""")"),"")</f>
        <v/>
      </c>
      <c r="H34" s="20" t="str">
        <f>IFERROR(__xludf.DUMMYFUNCTION("if(regexmatch($B34,""RR""),D34,"""")"),"")</f>
        <v/>
      </c>
      <c r="I34" s="20" t="str">
        <f>IFERROR(__xludf.DUMMYFUNCTION("if(regexmatch($B34,""RR""),concat(E34,C34),"""")"),"")</f>
        <v/>
      </c>
      <c r="J34" s="20" t="str">
        <f>IFERROR(__xludf.DUMMYFUNCTION("if(regexmatch($B34,""RR""),F34,"""")"),"")</f>
        <v/>
      </c>
      <c r="K34" s="20" t="str">
        <f>IFERROR(__xludf.DUMMYFUNCTION("if(regexmatch($B34,""DE""),concat(C34,E34),"""")"),"OCSATroy")</f>
        <v>OCSATroy</v>
      </c>
      <c r="L34" s="20">
        <f>IFERROR(__xludf.DUMMYFUNCTION("if(regexmatch($B34,""DE""),D34,"""")"),62.0)</f>
        <v>62</v>
      </c>
      <c r="M34" s="20" t="str">
        <f>IFERROR(__xludf.DUMMYFUNCTION("if(regexmatch($B34,""DE""),concat(E34,C34),"""")"),"TroyOCSA")</f>
        <v>TroyOCSA</v>
      </c>
      <c r="N34" s="20">
        <f>IFERROR(__xludf.DUMMYFUNCTION("if(regexmatch($B34,""DE""),F34,"""")"),148.0)</f>
        <v>148</v>
      </c>
    </row>
    <row r="35">
      <c r="A35" s="12"/>
      <c r="B35" s="12" t="str">
        <f>IFERROR(__xludf.DUMMYFUNCTION("""COMPUTED_VALUE"""),"DE2")</f>
        <v>DE2</v>
      </c>
      <c r="C35" s="12" t="str">
        <f>IFERROR(__xludf.DUMMYFUNCTION("""COMPUTED_VALUE"""),"Granada Hills A")</f>
        <v>Granada Hills A</v>
      </c>
      <c r="D35" s="12">
        <f>IFERROR(__xludf.DUMMYFUNCTION("""COMPUTED_VALUE"""),32.0)</f>
        <v>32</v>
      </c>
      <c r="E35" s="12" t="str">
        <f>IFERROR(__xludf.DUMMYFUNCTION("""COMPUTED_VALUE"""),"Portola")</f>
        <v>Portola</v>
      </c>
      <c r="F35" s="12">
        <f>IFERROR(__xludf.DUMMYFUNCTION("""COMPUTED_VALUE"""),96.0)</f>
        <v>96</v>
      </c>
      <c r="G35" s="20" t="str">
        <f>IFERROR(__xludf.DUMMYFUNCTION("if(regexmatch($B35,""RR""),concat(C35,E35),"""")"),"")</f>
        <v/>
      </c>
      <c r="H35" s="20" t="str">
        <f>IFERROR(__xludf.DUMMYFUNCTION("if(regexmatch($B35,""RR""),D35,"""")"),"")</f>
        <v/>
      </c>
      <c r="I35" s="20" t="str">
        <f>IFERROR(__xludf.DUMMYFUNCTION("if(regexmatch($B35,""RR""),concat(E35,C35),"""")"),"")</f>
        <v/>
      </c>
      <c r="J35" s="20" t="str">
        <f>IFERROR(__xludf.DUMMYFUNCTION("if(regexmatch($B35,""RR""),F35,"""")"),"")</f>
        <v/>
      </c>
      <c r="K35" s="20" t="str">
        <f>IFERROR(__xludf.DUMMYFUNCTION("if(regexmatch($B35,""DE""),concat(C35,E35),"""")"),"Granada Hills APortola")</f>
        <v>Granada Hills APortola</v>
      </c>
      <c r="L35" s="20">
        <f>IFERROR(__xludf.DUMMYFUNCTION("if(regexmatch($B35,""DE""),D35,"""")"),32.0)</f>
        <v>32</v>
      </c>
      <c r="M35" s="20" t="str">
        <f>IFERROR(__xludf.DUMMYFUNCTION("if(regexmatch($B35,""DE""),concat(E35,C35),"""")"),"PortolaGranada Hills A")</f>
        <v>PortolaGranada Hills A</v>
      </c>
      <c r="N35" s="20">
        <f>IFERROR(__xludf.DUMMYFUNCTION("if(regexmatch($B35,""DE""),F35,"""")"),96.0)</f>
        <v>96</v>
      </c>
    </row>
    <row r="36">
      <c r="A36" s="12"/>
      <c r="B36" s="12" t="str">
        <f>IFERROR(__xludf.DUMMYFUNCTION("""COMPUTED_VALUE"""),"DE3")</f>
        <v>DE3</v>
      </c>
      <c r="C36" s="12" t="str">
        <f>IFERROR(__xludf.DUMMYFUNCTION("""COMPUTED_VALUE"""),"OCSA")</f>
        <v>OCSA</v>
      </c>
      <c r="D36" s="12">
        <f>IFERROR(__xludf.DUMMYFUNCTION("""COMPUTED_VALUE"""),20.0)</f>
        <v>20</v>
      </c>
      <c r="E36" s="12" t="str">
        <f>IFERROR(__xludf.DUMMYFUNCTION("""COMPUTED_VALUE"""),"Portola")</f>
        <v>Portola</v>
      </c>
      <c r="F36" s="12">
        <f>IFERROR(__xludf.DUMMYFUNCTION("""COMPUTED_VALUE"""),106.0)</f>
        <v>106</v>
      </c>
      <c r="G36" s="20" t="str">
        <f>IFERROR(__xludf.DUMMYFUNCTION("if(regexmatch($B36,""RR""),concat(C36,E36),"""")"),"")</f>
        <v/>
      </c>
      <c r="H36" s="20" t="str">
        <f>IFERROR(__xludf.DUMMYFUNCTION("if(regexmatch($B36,""RR""),D36,"""")"),"")</f>
        <v/>
      </c>
      <c r="I36" s="20" t="str">
        <f>IFERROR(__xludf.DUMMYFUNCTION("if(regexmatch($B36,""RR""),concat(E36,C36),"""")"),"")</f>
        <v/>
      </c>
      <c r="J36" s="20" t="str">
        <f>IFERROR(__xludf.DUMMYFUNCTION("if(regexmatch($B36,""RR""),F36,"""")"),"")</f>
        <v/>
      </c>
      <c r="K36" s="20" t="str">
        <f>IFERROR(__xludf.DUMMYFUNCTION("if(regexmatch($B36,""DE""),concat(C36,E36),"""")"),"OCSAPortola")</f>
        <v>OCSAPortola</v>
      </c>
      <c r="L36" s="20">
        <f>IFERROR(__xludf.DUMMYFUNCTION("if(regexmatch($B36,""DE""),D36,"""")"),20.0)</f>
        <v>20</v>
      </c>
      <c r="M36" s="20" t="str">
        <f>IFERROR(__xludf.DUMMYFUNCTION("if(regexmatch($B36,""DE""),concat(E36,C36),"""")"),"PortolaOCSA")</f>
        <v>PortolaOCSA</v>
      </c>
      <c r="N36" s="20">
        <f>IFERROR(__xludf.DUMMYFUNCTION("if(regexmatch($B36,""DE""),F36,"""")"),106.0)</f>
        <v>106</v>
      </c>
    </row>
    <row r="37">
      <c r="A37" s="12"/>
      <c r="B37" s="12" t="str">
        <f>IFERROR(__xludf.DUMMYFUNCTION("""COMPUTED_VALUE"""),"DE4")</f>
        <v>DE4</v>
      </c>
      <c r="C37" s="12" t="str">
        <f>IFERROR(__xludf.DUMMYFUNCTION("""COMPUTED_VALUE"""),"Venice A")</f>
        <v>Venice A</v>
      </c>
      <c r="D37" s="12">
        <f>IFERROR(__xludf.DUMMYFUNCTION("""COMPUTED_VALUE"""),50.0)</f>
        <v>50</v>
      </c>
      <c r="E37" s="12" t="str">
        <f>IFERROR(__xludf.DUMMYFUNCTION("""COMPUTED_VALUE"""),"Sci Acad A")</f>
        <v>Sci Acad A</v>
      </c>
      <c r="F37" s="12">
        <f>IFERROR(__xludf.DUMMYFUNCTION("""COMPUTED_VALUE"""),60.0)</f>
        <v>60</v>
      </c>
      <c r="G37" s="20" t="str">
        <f>IFERROR(__xludf.DUMMYFUNCTION("if(regexmatch($B37,""RR""),concat(C37,E37),"""")"),"")</f>
        <v/>
      </c>
      <c r="H37" s="20" t="str">
        <f>IFERROR(__xludf.DUMMYFUNCTION("if(regexmatch($B37,""RR""),D37,"""")"),"")</f>
        <v/>
      </c>
      <c r="I37" s="20" t="str">
        <f>IFERROR(__xludf.DUMMYFUNCTION("if(regexmatch($B37,""RR""),concat(E37,C37),"""")"),"")</f>
        <v/>
      </c>
      <c r="J37" s="20" t="str">
        <f>IFERROR(__xludf.DUMMYFUNCTION("if(regexmatch($B37,""RR""),F37,"""")"),"")</f>
        <v/>
      </c>
      <c r="K37" s="20" t="str">
        <f>IFERROR(__xludf.DUMMYFUNCTION("if(regexmatch($B37,""DE""),concat(C37,E37),"""")"),"Venice ASci Acad A")</f>
        <v>Venice ASci Acad A</v>
      </c>
      <c r="L37" s="20">
        <f>IFERROR(__xludf.DUMMYFUNCTION("if(regexmatch($B37,""DE""),D37,"""")"),50.0)</f>
        <v>50</v>
      </c>
      <c r="M37" s="20" t="str">
        <f>IFERROR(__xludf.DUMMYFUNCTION("if(regexmatch($B37,""DE""),concat(E37,C37),"""")"),"Sci Acad AVenice A")</f>
        <v>Sci Acad AVenice A</v>
      </c>
      <c r="N37" s="20">
        <f>IFERROR(__xludf.DUMMYFUNCTION("if(regexmatch($B37,""DE""),F37,"""")"),60.0)</f>
        <v>60</v>
      </c>
    </row>
    <row r="38">
      <c r="A38" s="12"/>
      <c r="B38" s="12" t="str">
        <f>IFERROR(__xludf.DUMMYFUNCTION("""COMPUTED_VALUE"""),"DE5")</f>
        <v>DE5</v>
      </c>
      <c r="C38" s="12" t="str">
        <f>IFERROR(__xludf.DUMMYFUNCTION("""COMPUTED_VALUE"""),"Canyon Crest A")</f>
        <v>Canyon Crest A</v>
      </c>
      <c r="D38" s="12">
        <f>IFERROR(__xludf.DUMMYFUNCTION("""COMPUTED_VALUE"""),42.0)</f>
        <v>42</v>
      </c>
      <c r="E38" s="12" t="str">
        <f>IFERROR(__xludf.DUMMYFUNCTION("""COMPUTED_VALUE"""),"North Hollywood A")</f>
        <v>North Hollywood A</v>
      </c>
      <c r="F38" s="12">
        <f>IFERROR(__xludf.DUMMYFUNCTION("""COMPUTED_VALUE"""),88.0)</f>
        <v>88</v>
      </c>
      <c r="G38" s="20" t="str">
        <f>IFERROR(__xludf.DUMMYFUNCTION("if(regexmatch($B38,""RR""),concat(C38,E38),"""")"),"")</f>
        <v/>
      </c>
      <c r="H38" s="20" t="str">
        <f>IFERROR(__xludf.DUMMYFUNCTION("if(regexmatch($B38,""RR""),D38,"""")"),"")</f>
        <v/>
      </c>
      <c r="I38" s="20" t="str">
        <f>IFERROR(__xludf.DUMMYFUNCTION("if(regexmatch($B38,""RR""),concat(E38,C38),"""")"),"")</f>
        <v/>
      </c>
      <c r="J38" s="20" t="str">
        <f>IFERROR(__xludf.DUMMYFUNCTION("if(regexmatch($B38,""RR""),F38,"""")"),"")</f>
        <v/>
      </c>
      <c r="K38" s="20" t="str">
        <f>IFERROR(__xludf.DUMMYFUNCTION("if(regexmatch($B38,""DE""),concat(C38,E38),"""")"),"Canyon Crest ANorth Hollywood A")</f>
        <v>Canyon Crest ANorth Hollywood A</v>
      </c>
      <c r="L38" s="20">
        <f>IFERROR(__xludf.DUMMYFUNCTION("if(regexmatch($B38,""DE""),D38,"""")"),42.0)</f>
        <v>42</v>
      </c>
      <c r="M38" s="20" t="str">
        <f>IFERROR(__xludf.DUMMYFUNCTION("if(regexmatch($B38,""DE""),concat(E38,C38),"""")"),"North Hollywood ACanyon Crest A")</f>
        <v>North Hollywood ACanyon Crest A</v>
      </c>
      <c r="N38" s="20">
        <f>IFERROR(__xludf.DUMMYFUNCTION("if(regexmatch($B38,""DE""),F38,"""")"),88.0)</f>
        <v>88</v>
      </c>
    </row>
    <row r="39">
      <c r="A39" s="12"/>
      <c r="B39" s="12" t="str">
        <f>IFERROR(__xludf.DUMMYFUNCTION("""COMPUTED_VALUE"""),"DE6")</f>
        <v>DE6</v>
      </c>
      <c r="C39" s="12" t="str">
        <f>IFERROR(__xludf.DUMMYFUNCTION("""COMPUTED_VALUE"""),"[Select Team Name]")</f>
        <v>[Select Team Name]</v>
      </c>
      <c r="D39" s="12">
        <f>IFERROR(__xludf.DUMMYFUNCTION("""COMPUTED_VALUE"""),0.0)</f>
        <v>0</v>
      </c>
      <c r="E39" s="12" t="str">
        <f>IFERROR(__xludf.DUMMYFUNCTION("""COMPUTED_VALUE"""),"[Select Team Name]")</f>
        <v>[Select Team Name]</v>
      </c>
      <c r="F39" s="12">
        <f>IFERROR(__xludf.DUMMYFUNCTION("""COMPUTED_VALUE"""),0.0)</f>
        <v>0</v>
      </c>
      <c r="G39" s="20" t="str">
        <f>IFERROR(__xludf.DUMMYFUNCTION("if(regexmatch($B39,""RR""),concat(C39,E39),"""")"),"")</f>
        <v/>
      </c>
      <c r="H39" s="20" t="str">
        <f>IFERROR(__xludf.DUMMYFUNCTION("if(regexmatch($B39,""RR""),D39,"""")"),"")</f>
        <v/>
      </c>
      <c r="I39" s="20" t="str">
        <f>IFERROR(__xludf.DUMMYFUNCTION("if(regexmatch($B39,""RR""),concat(E39,C39),"""")"),"")</f>
        <v/>
      </c>
      <c r="J39" s="20" t="str">
        <f>IFERROR(__xludf.DUMMYFUNCTION("if(regexmatch($B39,""RR""),F39,"""")"),"")</f>
        <v/>
      </c>
      <c r="K39" s="20" t="str">
        <f>IFERROR(__xludf.DUMMYFUNCTION("if(regexmatch($B39,""DE""),concat(C39,E39),"""")"),"[Select Team Name][Select Team Name]")</f>
        <v>[Select Team Name][Select Team Name]</v>
      </c>
      <c r="L39" s="20">
        <f>IFERROR(__xludf.DUMMYFUNCTION("if(regexmatch($B39,""DE""),D39,"""")"),0.0)</f>
        <v>0</v>
      </c>
      <c r="M39" s="20" t="str">
        <f>IFERROR(__xludf.DUMMYFUNCTION("if(regexmatch($B39,""DE""),concat(E39,C39),"""")"),"[Select Team Name][Select Team Name]")</f>
        <v>[Select Team Name][Select Team Name]</v>
      </c>
      <c r="N39" s="20">
        <f>IFERROR(__xludf.DUMMYFUNCTION("if(regexmatch($B39,""DE""),F39,"""")"),0.0)</f>
        <v>0</v>
      </c>
    </row>
    <row r="40">
      <c r="A40" s="12"/>
      <c r="B40" s="12" t="str">
        <f>IFERROR(__xludf.DUMMYFUNCTION("""COMPUTED_VALUE"""),"DE7")</f>
        <v>DE7</v>
      </c>
      <c r="C40" s="12" t="str">
        <f>IFERROR(__xludf.DUMMYFUNCTION("""COMPUTED_VALUE"""),"[Select Team Name]")</f>
        <v>[Select Team Name]</v>
      </c>
      <c r="D40" s="12">
        <f>IFERROR(__xludf.DUMMYFUNCTION("""COMPUTED_VALUE"""),0.0)</f>
        <v>0</v>
      </c>
      <c r="E40" s="12" t="str">
        <f>IFERROR(__xludf.DUMMYFUNCTION("""COMPUTED_VALUE"""),"[Select Team Name]")</f>
        <v>[Select Team Name]</v>
      </c>
      <c r="F40" s="12">
        <f>IFERROR(__xludf.DUMMYFUNCTION("""COMPUTED_VALUE"""),0.0)</f>
        <v>0</v>
      </c>
      <c r="G40" s="20" t="str">
        <f>IFERROR(__xludf.DUMMYFUNCTION("if(regexmatch($B40,""RR""),concat(C40,E40),"""")"),"")</f>
        <v/>
      </c>
      <c r="H40" s="20" t="str">
        <f>IFERROR(__xludf.DUMMYFUNCTION("if(regexmatch($B40,""RR""),D40,"""")"),"")</f>
        <v/>
      </c>
      <c r="I40" s="20" t="str">
        <f>IFERROR(__xludf.DUMMYFUNCTION("if(regexmatch($B40,""RR""),concat(E40,C40),"""")"),"")</f>
        <v/>
      </c>
      <c r="J40" s="20" t="str">
        <f>IFERROR(__xludf.DUMMYFUNCTION("if(regexmatch($B40,""RR""),F40,"""")"),"")</f>
        <v/>
      </c>
      <c r="K40" s="20" t="str">
        <f>IFERROR(__xludf.DUMMYFUNCTION("if(regexmatch($B40,""DE""),concat(C40,E40),"""")"),"[Select Team Name][Select Team Name]")</f>
        <v>[Select Team Name][Select Team Name]</v>
      </c>
      <c r="L40" s="20">
        <f>IFERROR(__xludf.DUMMYFUNCTION("if(regexmatch($B40,""DE""),D40,"""")"),0.0)</f>
        <v>0</v>
      </c>
      <c r="M40" s="20" t="str">
        <f>IFERROR(__xludf.DUMMYFUNCTION("if(regexmatch($B40,""DE""),concat(E40,C40),"""")"),"[Select Team Name][Select Team Name]")</f>
        <v>[Select Team Name][Select Team Name]</v>
      </c>
      <c r="N40" s="20">
        <f>IFERROR(__xludf.DUMMYFUNCTION("if(regexmatch($B40,""DE""),F40,"""")"),0.0)</f>
        <v>0</v>
      </c>
    </row>
    <row r="41">
      <c r="A41" s="12"/>
      <c r="B41" s="12" t="str">
        <f>IFERROR(__xludf.DUMMYFUNCTION("""COMPUTED_VALUE"""),"DE8")</f>
        <v>DE8</v>
      </c>
      <c r="C41" s="12" t="str">
        <f>IFERROR(__xludf.DUMMYFUNCTION("""COMPUTED_VALUE"""),"[Select Team Name]")</f>
        <v>[Select Team Name]</v>
      </c>
      <c r="D41" s="12">
        <f>IFERROR(__xludf.DUMMYFUNCTION("""COMPUTED_VALUE"""),0.0)</f>
        <v>0</v>
      </c>
      <c r="E41" s="12" t="str">
        <f>IFERROR(__xludf.DUMMYFUNCTION("""COMPUTED_VALUE"""),"[Select Team Name]")</f>
        <v>[Select Team Name]</v>
      </c>
      <c r="F41" s="12">
        <f>IFERROR(__xludf.DUMMYFUNCTION("""COMPUTED_VALUE"""),0.0)</f>
        <v>0</v>
      </c>
      <c r="G41" s="20" t="str">
        <f>IFERROR(__xludf.DUMMYFUNCTION("if(regexmatch($B41,""RR""),concat(C41,E41),"""")"),"")</f>
        <v/>
      </c>
      <c r="H41" s="20" t="str">
        <f>IFERROR(__xludf.DUMMYFUNCTION("if(regexmatch($B41,""RR""),D41,"""")"),"")</f>
        <v/>
      </c>
      <c r="I41" s="20" t="str">
        <f>IFERROR(__xludf.DUMMYFUNCTION("if(regexmatch($B41,""RR""),concat(E41,C41),"""")"),"")</f>
        <v/>
      </c>
      <c r="J41" s="20" t="str">
        <f>IFERROR(__xludf.DUMMYFUNCTION("if(regexmatch($B41,""RR""),F41,"""")"),"")</f>
        <v/>
      </c>
      <c r="K41" s="20" t="str">
        <f>IFERROR(__xludf.DUMMYFUNCTION("if(regexmatch($B41,""DE""),concat(C41,E41),"""")"),"[Select Team Name][Select Team Name]")</f>
        <v>[Select Team Name][Select Team Name]</v>
      </c>
      <c r="L41" s="20">
        <f>IFERROR(__xludf.DUMMYFUNCTION("if(regexmatch($B41,""DE""),D41,"""")"),0.0)</f>
        <v>0</v>
      </c>
      <c r="M41" s="20" t="str">
        <f>IFERROR(__xludf.DUMMYFUNCTION("if(regexmatch($B41,""DE""),concat(E41,C41),"""")"),"[Select Team Name][Select Team Name]")</f>
        <v>[Select Team Name][Select Team Name]</v>
      </c>
      <c r="N41" s="20">
        <f>IFERROR(__xludf.DUMMYFUNCTION("if(regexmatch($B41,""DE""),F41,"""")"),0.0)</f>
        <v>0</v>
      </c>
    </row>
    <row r="42">
      <c r="A42" s="12"/>
      <c r="B42" s="12" t="str">
        <f>IFERROR(__xludf.DUMMYFUNCTION("""COMPUTED_VALUE"""),"DE9")</f>
        <v>DE9</v>
      </c>
      <c r="C42" s="12" t="str">
        <f>IFERROR(__xludf.DUMMYFUNCTION("""COMPUTED_VALUE"""),"[Select Team Name]")</f>
        <v>[Select Team Name]</v>
      </c>
      <c r="D42" s="12">
        <f>IFERROR(__xludf.DUMMYFUNCTION("""COMPUTED_VALUE"""),0.0)</f>
        <v>0</v>
      </c>
      <c r="E42" s="12" t="str">
        <f>IFERROR(__xludf.DUMMYFUNCTION("""COMPUTED_VALUE"""),"[Select Team Name]")</f>
        <v>[Select Team Name]</v>
      </c>
      <c r="F42" s="12">
        <f>IFERROR(__xludf.DUMMYFUNCTION("""COMPUTED_VALUE"""),0.0)</f>
        <v>0</v>
      </c>
      <c r="G42" s="20" t="str">
        <f>IFERROR(__xludf.DUMMYFUNCTION("if(regexmatch($B42,""RR""),concat(C42,E42),"""")"),"")</f>
        <v/>
      </c>
      <c r="H42" s="20" t="str">
        <f>IFERROR(__xludf.DUMMYFUNCTION("if(regexmatch($B42,""RR""),D42,"""")"),"")</f>
        <v/>
      </c>
      <c r="I42" s="20" t="str">
        <f>IFERROR(__xludf.DUMMYFUNCTION("if(regexmatch($B42,""RR""),concat(E42,C42),"""")"),"")</f>
        <v/>
      </c>
      <c r="J42" s="20" t="str">
        <f>IFERROR(__xludf.DUMMYFUNCTION("if(regexmatch($B42,""RR""),F42,"""")"),"")</f>
        <v/>
      </c>
      <c r="K42" s="20" t="str">
        <f>IFERROR(__xludf.DUMMYFUNCTION("if(regexmatch($B42,""DE""),concat(C42,E42),"""")"),"[Select Team Name][Select Team Name]")</f>
        <v>[Select Team Name][Select Team Name]</v>
      </c>
      <c r="L42" s="20">
        <f>IFERROR(__xludf.DUMMYFUNCTION("if(regexmatch($B42,""DE""),D42,"""")"),0.0)</f>
        <v>0</v>
      </c>
      <c r="M42" s="20" t="str">
        <f>IFERROR(__xludf.DUMMYFUNCTION("if(regexmatch($B42,""DE""),concat(E42,C42),"""")"),"[Select Team Name][Select Team Name]")</f>
        <v>[Select Team Name][Select Team Name]</v>
      </c>
      <c r="N42" s="20">
        <f>IFERROR(__xludf.DUMMYFUNCTION("if(regexmatch($B42,""DE""),F42,"""")"),0.0)</f>
        <v>0</v>
      </c>
    </row>
    <row r="43">
      <c r="A43" s="1"/>
      <c r="B43" s="12" t="str">
        <f>IFERROR(__xludf.DUMMYFUNCTION("importrange(""hhttps://docs.google.com/spreadsheets/d/1ZfJWfcaUkfwJPxQnHxGDZHI4bwy6YE8h0quq-6OqWmc/edit?gid=0#gid=0"",""Scores!A2:E15"")"),"RR1")</f>
        <v>RR1</v>
      </c>
      <c r="C43" s="12" t="str">
        <f>IFERROR(__xludf.DUMMYFUNCTION("""COMPUTED_VALUE"""),"Arcadia A")</f>
        <v>Arcadia A</v>
      </c>
      <c r="D43" s="12">
        <f>IFERROR(__xludf.DUMMYFUNCTION("""COMPUTED_VALUE"""),100.0)</f>
        <v>100</v>
      </c>
      <c r="E43" s="12" t="str">
        <f>IFERROR(__xludf.DUMMYFUNCTION("""COMPUTED_VALUE"""),"North Hollywood A")</f>
        <v>North Hollywood A</v>
      </c>
      <c r="F43" s="12">
        <f>IFERROR(__xludf.DUMMYFUNCTION("""COMPUTED_VALUE"""),156.0)</f>
        <v>156</v>
      </c>
      <c r="G43" s="20" t="str">
        <f>IFERROR(__xludf.DUMMYFUNCTION("if(regexmatch($B43,""RR""),concat(C43,E43),"""")"),"Arcadia ANorth Hollywood A")</f>
        <v>Arcadia ANorth Hollywood A</v>
      </c>
      <c r="H43" s="20">
        <f>IFERROR(__xludf.DUMMYFUNCTION("if(regexmatch($B43,""RR""),D43,"""")"),100.0)</f>
        <v>100</v>
      </c>
      <c r="I43" s="20" t="str">
        <f>IFERROR(__xludf.DUMMYFUNCTION("if(regexmatch($B43,""RR""),concat(E43,C43),"""")"),"North Hollywood AArcadia A")</f>
        <v>North Hollywood AArcadia A</v>
      </c>
      <c r="J43" s="20">
        <f>IFERROR(__xludf.DUMMYFUNCTION("if(regexmatch($B43,""RR""),F43,"""")"),156.0)</f>
        <v>156</v>
      </c>
      <c r="K43" s="20" t="str">
        <f>IFERROR(__xludf.DUMMYFUNCTION("if(regexmatch($B43,""DE""),concat(C43,E43),"""")"),"")</f>
        <v/>
      </c>
      <c r="L43" s="20" t="str">
        <f>IFERROR(__xludf.DUMMYFUNCTION("if(regexmatch($B43,""DE""),D43,"""")"),"")</f>
        <v/>
      </c>
      <c r="M43" s="20" t="str">
        <f>IFERROR(__xludf.DUMMYFUNCTION("if(regexmatch($B43,""DE""),concat(E43,C43),"""")"),"")</f>
        <v/>
      </c>
      <c r="N43" s="20" t="str">
        <f>IFERROR(__xludf.DUMMYFUNCTION("if(regexmatch($B43,""DE""),F43,"""")"),"")</f>
        <v/>
      </c>
    </row>
    <row r="44">
      <c r="A44" s="12"/>
      <c r="B44" s="12" t="str">
        <f>IFERROR(__xludf.DUMMYFUNCTION("""COMPUTED_VALUE"""),"RR2")</f>
        <v>RR2</v>
      </c>
      <c r="C44" s="12" t="str">
        <f>IFERROR(__xludf.DUMMYFUNCTION("""COMPUTED_VALUE"""),"OCSA")</f>
        <v>OCSA</v>
      </c>
      <c r="D44" s="12">
        <f>IFERROR(__xludf.DUMMYFUNCTION("""COMPUTED_VALUE"""),122.0)</f>
        <v>122</v>
      </c>
      <c r="E44" s="12" t="str">
        <f>IFERROR(__xludf.DUMMYFUNCTION("""COMPUTED_VALUE"""),"Portola")</f>
        <v>Portola</v>
      </c>
      <c r="F44" s="12">
        <f>IFERROR(__xludf.DUMMYFUNCTION("""COMPUTED_VALUE"""),116.0)</f>
        <v>116</v>
      </c>
      <c r="G44" s="20" t="str">
        <f>IFERROR(__xludf.DUMMYFUNCTION("if(regexmatch($B44,""RR""),concat(C44,E44),"""")"),"OCSAPortola")</f>
        <v>OCSAPortola</v>
      </c>
      <c r="H44" s="20">
        <f>IFERROR(__xludf.DUMMYFUNCTION("if(regexmatch($B44,""RR""),D44,"""")"),122.0)</f>
        <v>122</v>
      </c>
      <c r="I44" s="20" t="str">
        <f>IFERROR(__xludf.DUMMYFUNCTION("if(regexmatch($B44,""RR""),concat(E44,C44),"""")"),"PortolaOCSA")</f>
        <v>PortolaOCSA</v>
      </c>
      <c r="J44" s="20">
        <f>IFERROR(__xludf.DUMMYFUNCTION("if(regexmatch($B44,""RR""),F44,"""")"),116.0)</f>
        <v>116</v>
      </c>
      <c r="K44" s="20" t="str">
        <f>IFERROR(__xludf.DUMMYFUNCTION("if(regexmatch($B44,""DE""),concat(C44,E44),"""")"),"")</f>
        <v/>
      </c>
      <c r="L44" s="20" t="str">
        <f>IFERROR(__xludf.DUMMYFUNCTION("if(regexmatch($B44,""DE""),D44,"""")"),"")</f>
        <v/>
      </c>
      <c r="M44" s="20" t="str">
        <f>IFERROR(__xludf.DUMMYFUNCTION("if(regexmatch($B44,""DE""),concat(E44,C44),"""")"),"")</f>
        <v/>
      </c>
      <c r="N44" s="20" t="str">
        <f>IFERROR(__xludf.DUMMYFUNCTION("if(regexmatch($B44,""DE""),F44,"""")"),"")</f>
        <v/>
      </c>
    </row>
    <row r="45">
      <c r="A45" s="12"/>
      <c r="B45" s="12" t="str">
        <f>IFERROR(__xludf.DUMMYFUNCTION("""COMPUTED_VALUE"""),"RR3")</f>
        <v>RR3</v>
      </c>
      <c r="C45" s="12" t="str">
        <f>IFERROR(__xludf.DUMMYFUNCTION("""COMPUTED_VALUE"""),"Canyon Crest B")</f>
        <v>Canyon Crest B</v>
      </c>
      <c r="D45" s="12">
        <f>IFERROR(__xludf.DUMMYFUNCTION("""COMPUTED_VALUE"""),52.0)</f>
        <v>52</v>
      </c>
      <c r="E45" s="12" t="str">
        <f>IFERROR(__xludf.DUMMYFUNCTION("""COMPUTED_VALUE"""),"Sci Acad B")</f>
        <v>Sci Acad B</v>
      </c>
      <c r="F45" s="12">
        <f>IFERROR(__xludf.DUMMYFUNCTION("""COMPUTED_VALUE"""),128.0)</f>
        <v>128</v>
      </c>
      <c r="G45" s="20" t="str">
        <f>IFERROR(__xludf.DUMMYFUNCTION("if(regexmatch($B45,""RR""),concat(C45,E45),"""")"),"Canyon Crest BSci Acad B")</f>
        <v>Canyon Crest BSci Acad B</v>
      </c>
      <c r="H45" s="20">
        <f>IFERROR(__xludf.DUMMYFUNCTION("if(regexmatch($B45,""RR""),D45,"""")"),52.0)</f>
        <v>52</v>
      </c>
      <c r="I45" s="20" t="str">
        <f>IFERROR(__xludf.DUMMYFUNCTION("if(regexmatch($B45,""RR""),concat(E45,C45),"""")"),"Sci Acad BCanyon Crest B")</f>
        <v>Sci Acad BCanyon Crest B</v>
      </c>
      <c r="J45" s="20">
        <f>IFERROR(__xludf.DUMMYFUNCTION("if(regexmatch($B45,""RR""),F45,"""")"),128.0)</f>
        <v>128</v>
      </c>
      <c r="K45" s="20" t="str">
        <f>IFERROR(__xludf.DUMMYFUNCTION("if(regexmatch($B45,""DE""),concat(C45,E45),"""")"),"")</f>
        <v/>
      </c>
      <c r="L45" s="20" t="str">
        <f>IFERROR(__xludf.DUMMYFUNCTION("if(regexmatch($B45,""DE""),D45,"""")"),"")</f>
        <v/>
      </c>
      <c r="M45" s="20" t="str">
        <f>IFERROR(__xludf.DUMMYFUNCTION("if(regexmatch($B45,""DE""),concat(E45,C45),"""")"),"")</f>
        <v/>
      </c>
      <c r="N45" s="20" t="str">
        <f>IFERROR(__xludf.DUMMYFUNCTION("if(regexmatch($B45,""DE""),F45,"""")"),"")</f>
        <v/>
      </c>
    </row>
    <row r="46">
      <c r="A46" s="12"/>
      <c r="B46" s="12" t="str">
        <f>IFERROR(__xludf.DUMMYFUNCTION("""COMPUTED_VALUE"""),"RR4")</f>
        <v>RR4</v>
      </c>
      <c r="C46" s="12" t="str">
        <f>IFERROR(__xludf.DUMMYFUNCTION("""COMPUTED_VALUE"""),"Canyon Crest A")</f>
        <v>Canyon Crest A</v>
      </c>
      <c r="D46" s="12">
        <f>IFERROR(__xludf.DUMMYFUNCTION("""COMPUTED_VALUE"""),148.0)</f>
        <v>148</v>
      </c>
      <c r="E46" s="12" t="str">
        <f>IFERROR(__xludf.DUMMYFUNCTION("""COMPUTED_VALUE"""),"Granada Hills A")</f>
        <v>Granada Hills A</v>
      </c>
      <c r="F46" s="12">
        <f>IFERROR(__xludf.DUMMYFUNCTION("""COMPUTED_VALUE"""),108.0)</f>
        <v>108</v>
      </c>
      <c r="G46" s="20" t="str">
        <f>IFERROR(__xludf.DUMMYFUNCTION("if(regexmatch($B46,""RR""),concat(C46,E46),"""")"),"Canyon Crest AGranada Hills A")</f>
        <v>Canyon Crest AGranada Hills A</v>
      </c>
      <c r="H46" s="20">
        <f>IFERROR(__xludf.DUMMYFUNCTION("if(regexmatch($B46,""RR""),D46,"""")"),148.0)</f>
        <v>148</v>
      </c>
      <c r="I46" s="20" t="str">
        <f>IFERROR(__xludf.DUMMYFUNCTION("if(regexmatch($B46,""RR""),concat(E46,C46),"""")"),"Granada Hills ACanyon Crest A")</f>
        <v>Granada Hills ACanyon Crest A</v>
      </c>
      <c r="J46" s="20">
        <f>IFERROR(__xludf.DUMMYFUNCTION("if(regexmatch($B46,""RR""),F46,"""")"),108.0)</f>
        <v>108</v>
      </c>
      <c r="K46" s="20" t="str">
        <f>IFERROR(__xludf.DUMMYFUNCTION("if(regexmatch($B46,""DE""),concat(C46,E46),"""")"),"")</f>
        <v/>
      </c>
      <c r="L46" s="20" t="str">
        <f>IFERROR(__xludf.DUMMYFUNCTION("if(regexmatch($B46,""DE""),D46,"""")"),"")</f>
        <v/>
      </c>
      <c r="M46" s="20" t="str">
        <f>IFERROR(__xludf.DUMMYFUNCTION("if(regexmatch($B46,""DE""),concat(E46,C46),"""")"),"")</f>
        <v/>
      </c>
      <c r="N46" s="20" t="str">
        <f>IFERROR(__xludf.DUMMYFUNCTION("if(regexmatch($B46,""DE""),F46,"""")"),"")</f>
        <v/>
      </c>
    </row>
    <row r="47">
      <c r="A47" s="12"/>
      <c r="B47" s="12" t="str">
        <f>IFERROR(__xludf.DUMMYFUNCTION("""COMPUTED_VALUE"""),"RR5")</f>
        <v>RR5</v>
      </c>
      <c r="C47" s="12" t="str">
        <f>IFERROR(__xludf.DUMMYFUNCTION("""COMPUTED_VALUE"""),"OCSA")</f>
        <v>OCSA</v>
      </c>
      <c r="D47" s="12">
        <f>IFERROR(__xludf.DUMMYFUNCTION("""COMPUTED_VALUE"""),172.0)</f>
        <v>172</v>
      </c>
      <c r="E47" s="12" t="str">
        <f>IFERROR(__xludf.DUMMYFUNCTION("""COMPUTED_VALUE"""),"Arcadia A")</f>
        <v>Arcadia A</v>
      </c>
      <c r="F47" s="12">
        <f>IFERROR(__xludf.DUMMYFUNCTION("""COMPUTED_VALUE"""),50.0)</f>
        <v>50</v>
      </c>
      <c r="G47" s="20" t="str">
        <f>IFERROR(__xludf.DUMMYFUNCTION("if(regexmatch($B47,""RR""),concat(C47,E47),"""")"),"OCSAArcadia A")</f>
        <v>OCSAArcadia A</v>
      </c>
      <c r="H47" s="20">
        <f>IFERROR(__xludf.DUMMYFUNCTION("if(regexmatch($B47,""RR""),D47,"""")"),172.0)</f>
        <v>172</v>
      </c>
      <c r="I47" s="20" t="str">
        <f>IFERROR(__xludf.DUMMYFUNCTION("if(regexmatch($B47,""RR""),concat(E47,C47),"""")"),"Arcadia AOCSA")</f>
        <v>Arcadia AOCSA</v>
      </c>
      <c r="J47" s="20">
        <f>IFERROR(__xludf.DUMMYFUNCTION("if(regexmatch($B47,""RR""),F47,"""")"),50.0)</f>
        <v>50</v>
      </c>
      <c r="K47" s="20" t="str">
        <f>IFERROR(__xludf.DUMMYFUNCTION("if(regexmatch($B47,""DE""),concat(C47,E47),"""")"),"")</f>
        <v/>
      </c>
      <c r="L47" s="20" t="str">
        <f>IFERROR(__xludf.DUMMYFUNCTION("if(regexmatch($B47,""DE""),D47,"""")"),"")</f>
        <v/>
      </c>
      <c r="M47" s="20" t="str">
        <f>IFERROR(__xludf.DUMMYFUNCTION("if(regexmatch($B47,""DE""),concat(E47,C47),"""")"),"")</f>
        <v/>
      </c>
      <c r="N47" s="20" t="str">
        <f>IFERROR(__xludf.DUMMYFUNCTION("if(regexmatch($B47,""DE""),F47,"""")"),"")</f>
        <v/>
      </c>
    </row>
    <row r="48">
      <c r="A48" s="12"/>
      <c r="B48" s="12" t="str">
        <f>IFERROR(__xludf.DUMMYFUNCTION("""COMPUTED_VALUE"""),"DE1")</f>
        <v>DE1</v>
      </c>
      <c r="C48" s="12" t="str">
        <f>IFERROR(__xludf.DUMMYFUNCTION("""COMPUTED_VALUE"""),"[Select Team Name]")</f>
        <v>[Select Team Name]</v>
      </c>
      <c r="D48" s="12">
        <f>IFERROR(__xludf.DUMMYFUNCTION("""COMPUTED_VALUE"""),0.0)</f>
        <v>0</v>
      </c>
      <c r="E48" s="12" t="str">
        <f>IFERROR(__xludf.DUMMYFUNCTION("""COMPUTED_VALUE"""),"[Select Team Name]")</f>
        <v>[Select Team Name]</v>
      </c>
      <c r="F48" s="12">
        <f>IFERROR(__xludf.DUMMYFUNCTION("""COMPUTED_VALUE"""),0.0)</f>
        <v>0</v>
      </c>
      <c r="G48" s="20" t="str">
        <f>IFERROR(__xludf.DUMMYFUNCTION("if(regexmatch($B48,""RR""),concat(C48,E48),"""")"),"")</f>
        <v/>
      </c>
      <c r="H48" s="20" t="str">
        <f>IFERROR(__xludf.DUMMYFUNCTION("if(regexmatch($B48,""RR""),D48,"""")"),"")</f>
        <v/>
      </c>
      <c r="I48" s="20" t="str">
        <f>IFERROR(__xludf.DUMMYFUNCTION("if(regexmatch($B48,""RR""),concat(E48,C48),"""")"),"")</f>
        <v/>
      </c>
      <c r="J48" s="20" t="str">
        <f>IFERROR(__xludf.DUMMYFUNCTION("if(regexmatch($B48,""RR""),F48,"""")"),"")</f>
        <v/>
      </c>
      <c r="K48" s="20" t="str">
        <f>IFERROR(__xludf.DUMMYFUNCTION("if(regexmatch($B48,""DE""),concat(C48,E48),"""")"),"[Select Team Name][Select Team Name]")</f>
        <v>[Select Team Name][Select Team Name]</v>
      </c>
      <c r="L48" s="20">
        <f>IFERROR(__xludf.DUMMYFUNCTION("if(regexmatch($B48,""DE""),D48,"""")"),0.0)</f>
        <v>0</v>
      </c>
      <c r="M48" s="20" t="str">
        <f>IFERROR(__xludf.DUMMYFUNCTION("if(regexmatch($B48,""DE""),concat(E48,C48),"""")"),"[Select Team Name][Select Team Name]")</f>
        <v>[Select Team Name][Select Team Name]</v>
      </c>
      <c r="N48" s="20">
        <f>IFERROR(__xludf.DUMMYFUNCTION("if(regexmatch($B48,""DE""),F48,"""")"),0.0)</f>
        <v>0</v>
      </c>
    </row>
    <row r="49">
      <c r="A49" s="12"/>
      <c r="B49" s="12" t="str">
        <f>IFERROR(__xludf.DUMMYFUNCTION("""COMPUTED_VALUE"""),"DE2")</f>
        <v>DE2</v>
      </c>
      <c r="C49" s="12" t="str">
        <f>IFERROR(__xludf.DUMMYFUNCTION("""COMPUTED_VALUE"""),"[Select Team Name]")</f>
        <v>[Select Team Name]</v>
      </c>
      <c r="D49" s="12">
        <f>IFERROR(__xludf.DUMMYFUNCTION("""COMPUTED_VALUE"""),0.0)</f>
        <v>0</v>
      </c>
      <c r="E49" s="12" t="str">
        <f>IFERROR(__xludf.DUMMYFUNCTION("""COMPUTED_VALUE"""),"[Select Team Name]")</f>
        <v>[Select Team Name]</v>
      </c>
      <c r="F49" s="12">
        <f>IFERROR(__xludf.DUMMYFUNCTION("""COMPUTED_VALUE"""),0.0)</f>
        <v>0</v>
      </c>
      <c r="G49" s="20" t="str">
        <f>IFERROR(__xludf.DUMMYFUNCTION("if(regexmatch($B49,""RR""),concat(C49,E49),"""")"),"")</f>
        <v/>
      </c>
      <c r="H49" s="20" t="str">
        <f>IFERROR(__xludf.DUMMYFUNCTION("if(regexmatch($B49,""RR""),D49,"""")"),"")</f>
        <v/>
      </c>
      <c r="I49" s="20" t="str">
        <f>IFERROR(__xludf.DUMMYFUNCTION("if(regexmatch($B49,""RR""),concat(E49,C49),"""")"),"")</f>
        <v/>
      </c>
      <c r="J49" s="20" t="str">
        <f>IFERROR(__xludf.DUMMYFUNCTION("if(regexmatch($B49,""RR""),F49,"""")"),"")</f>
        <v/>
      </c>
      <c r="K49" s="20" t="str">
        <f>IFERROR(__xludf.DUMMYFUNCTION("if(regexmatch($B49,""DE""),concat(C49,E49),"""")"),"[Select Team Name][Select Team Name]")</f>
        <v>[Select Team Name][Select Team Name]</v>
      </c>
      <c r="L49" s="20">
        <f>IFERROR(__xludf.DUMMYFUNCTION("if(regexmatch($B49,""DE""),D49,"""")"),0.0)</f>
        <v>0</v>
      </c>
      <c r="M49" s="20" t="str">
        <f>IFERROR(__xludf.DUMMYFUNCTION("if(regexmatch($B49,""DE""),concat(E49,C49),"""")"),"[Select Team Name][Select Team Name]")</f>
        <v>[Select Team Name][Select Team Name]</v>
      </c>
      <c r="N49" s="20">
        <f>IFERROR(__xludf.DUMMYFUNCTION("if(regexmatch($B49,""DE""),F49,"""")"),0.0)</f>
        <v>0</v>
      </c>
    </row>
    <row r="50">
      <c r="A50" s="12"/>
      <c r="B50" s="12" t="str">
        <f>IFERROR(__xludf.DUMMYFUNCTION("""COMPUTED_VALUE"""),"DE3")</f>
        <v>DE3</v>
      </c>
      <c r="C50" s="12" t="str">
        <f>IFERROR(__xludf.DUMMYFUNCTION("""COMPUTED_VALUE"""),"[Select Team Name]")</f>
        <v>[Select Team Name]</v>
      </c>
      <c r="D50" s="12">
        <f>IFERROR(__xludf.DUMMYFUNCTION("""COMPUTED_VALUE"""),0.0)</f>
        <v>0</v>
      </c>
      <c r="E50" s="12" t="str">
        <f>IFERROR(__xludf.DUMMYFUNCTION("""COMPUTED_VALUE"""),"[Select Team Name]")</f>
        <v>[Select Team Name]</v>
      </c>
      <c r="F50" s="12">
        <f>IFERROR(__xludf.DUMMYFUNCTION("""COMPUTED_VALUE"""),0.0)</f>
        <v>0</v>
      </c>
      <c r="G50" s="20" t="str">
        <f>IFERROR(__xludf.DUMMYFUNCTION("if(regexmatch($B50,""RR""),concat(C50,E50),"""")"),"")</f>
        <v/>
      </c>
      <c r="H50" s="20" t="str">
        <f>IFERROR(__xludf.DUMMYFUNCTION("if(regexmatch($B50,""RR""),D50,"""")"),"")</f>
        <v/>
      </c>
      <c r="I50" s="20" t="str">
        <f>IFERROR(__xludf.DUMMYFUNCTION("if(regexmatch($B50,""RR""),concat(E50,C50),"""")"),"")</f>
        <v/>
      </c>
      <c r="J50" s="20" t="str">
        <f>IFERROR(__xludf.DUMMYFUNCTION("if(regexmatch($B50,""RR""),F50,"""")"),"")</f>
        <v/>
      </c>
      <c r="K50" s="20" t="str">
        <f>IFERROR(__xludf.DUMMYFUNCTION("if(regexmatch($B50,""DE""),concat(C50,E50),"""")"),"[Select Team Name][Select Team Name]")</f>
        <v>[Select Team Name][Select Team Name]</v>
      </c>
      <c r="L50" s="20">
        <f>IFERROR(__xludf.DUMMYFUNCTION("if(regexmatch($B50,""DE""),D50,"""")"),0.0)</f>
        <v>0</v>
      </c>
      <c r="M50" s="20" t="str">
        <f>IFERROR(__xludf.DUMMYFUNCTION("if(regexmatch($B50,""DE""),concat(E50,C50),"""")"),"[Select Team Name][Select Team Name]")</f>
        <v>[Select Team Name][Select Team Name]</v>
      </c>
      <c r="N50" s="20">
        <f>IFERROR(__xludf.DUMMYFUNCTION("if(regexmatch($B50,""DE""),F50,"""")"),0.0)</f>
        <v>0</v>
      </c>
    </row>
    <row r="51">
      <c r="A51" s="12"/>
      <c r="B51" s="12" t="str">
        <f>IFERROR(__xludf.DUMMYFUNCTION("""COMPUTED_VALUE"""),"DE4")</f>
        <v>DE4</v>
      </c>
      <c r="C51" s="12" t="str">
        <f>IFERROR(__xludf.DUMMYFUNCTION("""COMPUTED_VALUE"""),"[Select Team Name]")</f>
        <v>[Select Team Name]</v>
      </c>
      <c r="D51" s="12">
        <f>IFERROR(__xludf.DUMMYFUNCTION("""COMPUTED_VALUE"""),0.0)</f>
        <v>0</v>
      </c>
      <c r="E51" s="12" t="str">
        <f>IFERROR(__xludf.DUMMYFUNCTION("""COMPUTED_VALUE"""),"[Select Team Name]")</f>
        <v>[Select Team Name]</v>
      </c>
      <c r="F51" s="12">
        <f>IFERROR(__xludf.DUMMYFUNCTION("""COMPUTED_VALUE"""),0.0)</f>
        <v>0</v>
      </c>
      <c r="G51" s="20" t="str">
        <f>IFERROR(__xludf.DUMMYFUNCTION("if(regexmatch($B51,""RR""),concat(C51,E51),"""")"),"")</f>
        <v/>
      </c>
      <c r="H51" s="20" t="str">
        <f>IFERROR(__xludf.DUMMYFUNCTION("if(regexmatch($B51,""RR""),D51,"""")"),"")</f>
        <v/>
      </c>
      <c r="I51" s="20" t="str">
        <f>IFERROR(__xludf.DUMMYFUNCTION("if(regexmatch($B51,""RR""),concat(E51,C51),"""")"),"")</f>
        <v/>
      </c>
      <c r="J51" s="20" t="str">
        <f>IFERROR(__xludf.DUMMYFUNCTION("if(regexmatch($B51,""RR""),F51,"""")"),"")</f>
        <v/>
      </c>
      <c r="K51" s="20" t="str">
        <f>IFERROR(__xludf.DUMMYFUNCTION("if(regexmatch($B51,""DE""),concat(C51,E51),"""")"),"[Select Team Name][Select Team Name]")</f>
        <v>[Select Team Name][Select Team Name]</v>
      </c>
      <c r="L51" s="20">
        <f>IFERROR(__xludf.DUMMYFUNCTION("if(regexmatch($B51,""DE""),D51,"""")"),0.0)</f>
        <v>0</v>
      </c>
      <c r="M51" s="20" t="str">
        <f>IFERROR(__xludf.DUMMYFUNCTION("if(regexmatch($B51,""DE""),concat(E51,C51),"""")"),"[Select Team Name][Select Team Name]")</f>
        <v>[Select Team Name][Select Team Name]</v>
      </c>
      <c r="N51" s="20">
        <f>IFERROR(__xludf.DUMMYFUNCTION("if(regexmatch($B51,""DE""),F51,"""")"),0.0)</f>
        <v>0</v>
      </c>
    </row>
    <row r="52">
      <c r="A52" s="12"/>
      <c r="B52" s="12" t="str">
        <f>IFERROR(__xludf.DUMMYFUNCTION("""COMPUTED_VALUE"""),"DE5")</f>
        <v>DE5</v>
      </c>
      <c r="C52" s="12" t="str">
        <f>IFERROR(__xludf.DUMMYFUNCTION("""COMPUTED_VALUE"""),"[Select Team Name]")</f>
        <v>[Select Team Name]</v>
      </c>
      <c r="D52" s="12">
        <f>IFERROR(__xludf.DUMMYFUNCTION("""COMPUTED_VALUE"""),0.0)</f>
        <v>0</v>
      </c>
      <c r="E52" s="12" t="str">
        <f>IFERROR(__xludf.DUMMYFUNCTION("""COMPUTED_VALUE"""),"[Select Team Name]")</f>
        <v>[Select Team Name]</v>
      </c>
      <c r="F52" s="12">
        <f>IFERROR(__xludf.DUMMYFUNCTION("""COMPUTED_VALUE"""),0.0)</f>
        <v>0</v>
      </c>
      <c r="G52" s="20" t="str">
        <f>IFERROR(__xludf.DUMMYFUNCTION("if(regexmatch($B52,""RR""),concat(C52,E52),"""")"),"")</f>
        <v/>
      </c>
      <c r="H52" s="20" t="str">
        <f>IFERROR(__xludf.DUMMYFUNCTION("if(regexmatch($B52,""RR""),D52,"""")"),"")</f>
        <v/>
      </c>
      <c r="I52" s="20" t="str">
        <f>IFERROR(__xludf.DUMMYFUNCTION("if(regexmatch($B52,""RR""),concat(E52,C52),"""")"),"")</f>
        <v/>
      </c>
      <c r="J52" s="20" t="str">
        <f>IFERROR(__xludf.DUMMYFUNCTION("if(regexmatch($B52,""RR""),F52,"""")"),"")</f>
        <v/>
      </c>
      <c r="K52" s="20" t="str">
        <f>IFERROR(__xludf.DUMMYFUNCTION("if(regexmatch($B52,""DE""),concat(C52,E52),"""")"),"[Select Team Name][Select Team Name]")</f>
        <v>[Select Team Name][Select Team Name]</v>
      </c>
      <c r="L52" s="20">
        <f>IFERROR(__xludf.DUMMYFUNCTION("if(regexmatch($B52,""DE""),D52,"""")"),0.0)</f>
        <v>0</v>
      </c>
      <c r="M52" s="20" t="str">
        <f>IFERROR(__xludf.DUMMYFUNCTION("if(regexmatch($B52,""DE""),concat(E52,C52),"""")"),"[Select Team Name][Select Team Name]")</f>
        <v>[Select Team Name][Select Team Name]</v>
      </c>
      <c r="N52" s="20">
        <f>IFERROR(__xludf.DUMMYFUNCTION("if(regexmatch($B52,""DE""),F52,"""")"),0.0)</f>
        <v>0</v>
      </c>
    </row>
    <row r="53">
      <c r="A53" s="12"/>
      <c r="B53" s="12" t="str">
        <f>IFERROR(__xludf.DUMMYFUNCTION("""COMPUTED_VALUE"""),"DE6")</f>
        <v>DE6</v>
      </c>
      <c r="C53" s="12" t="str">
        <f>IFERROR(__xludf.DUMMYFUNCTION("""COMPUTED_VALUE"""),"[Select Team Name]")</f>
        <v>[Select Team Name]</v>
      </c>
      <c r="D53" s="12">
        <f>IFERROR(__xludf.DUMMYFUNCTION("""COMPUTED_VALUE"""),0.0)</f>
        <v>0</v>
      </c>
      <c r="E53" s="12" t="str">
        <f>IFERROR(__xludf.DUMMYFUNCTION("""COMPUTED_VALUE"""),"[Select Team Name]")</f>
        <v>[Select Team Name]</v>
      </c>
      <c r="F53" s="12">
        <f>IFERROR(__xludf.DUMMYFUNCTION("""COMPUTED_VALUE"""),0.0)</f>
        <v>0</v>
      </c>
      <c r="G53" s="20" t="str">
        <f>IFERROR(__xludf.DUMMYFUNCTION("if(regexmatch($B53,""RR""),concat(C53,E53),"""")"),"")</f>
        <v/>
      </c>
      <c r="H53" s="20" t="str">
        <f>IFERROR(__xludf.DUMMYFUNCTION("if(regexmatch($B53,""RR""),D53,"""")"),"")</f>
        <v/>
      </c>
      <c r="I53" s="20" t="str">
        <f>IFERROR(__xludf.DUMMYFUNCTION("if(regexmatch($B53,""RR""),concat(E53,C53),"""")"),"")</f>
        <v/>
      </c>
      <c r="J53" s="20" t="str">
        <f>IFERROR(__xludf.DUMMYFUNCTION("if(regexmatch($B53,""RR""),F53,"""")"),"")</f>
        <v/>
      </c>
      <c r="K53" s="20" t="str">
        <f>IFERROR(__xludf.DUMMYFUNCTION("if(regexmatch($B53,""DE""),concat(C53,E53),"""")"),"[Select Team Name][Select Team Name]")</f>
        <v>[Select Team Name][Select Team Name]</v>
      </c>
      <c r="L53" s="20">
        <f>IFERROR(__xludf.DUMMYFUNCTION("if(regexmatch($B53,""DE""),D53,"""")"),0.0)</f>
        <v>0</v>
      </c>
      <c r="M53" s="20" t="str">
        <f>IFERROR(__xludf.DUMMYFUNCTION("if(regexmatch($B53,""DE""),concat(E53,C53),"""")"),"[Select Team Name][Select Team Name]")</f>
        <v>[Select Team Name][Select Team Name]</v>
      </c>
      <c r="N53" s="20">
        <f>IFERROR(__xludf.DUMMYFUNCTION("if(regexmatch($B53,""DE""),F53,"""")"),0.0)</f>
        <v>0</v>
      </c>
    </row>
    <row r="54">
      <c r="A54" s="12"/>
      <c r="B54" s="12" t="str">
        <f>IFERROR(__xludf.DUMMYFUNCTION("""COMPUTED_VALUE"""),"DE7")</f>
        <v>DE7</v>
      </c>
      <c r="C54" s="12" t="str">
        <f>IFERROR(__xludf.DUMMYFUNCTION("""COMPUTED_VALUE"""),"[Select Team Name]")</f>
        <v>[Select Team Name]</v>
      </c>
      <c r="D54" s="12">
        <f>IFERROR(__xludf.DUMMYFUNCTION("""COMPUTED_VALUE"""),0.0)</f>
        <v>0</v>
      </c>
      <c r="E54" s="12" t="str">
        <f>IFERROR(__xludf.DUMMYFUNCTION("""COMPUTED_VALUE"""),"[Select Team Name]")</f>
        <v>[Select Team Name]</v>
      </c>
      <c r="F54" s="12">
        <f>IFERROR(__xludf.DUMMYFUNCTION("""COMPUTED_VALUE"""),0.0)</f>
        <v>0</v>
      </c>
      <c r="G54" s="20" t="str">
        <f>IFERROR(__xludf.DUMMYFUNCTION("if(regexmatch($B54,""RR""),concat(C54,E54),"""")"),"")</f>
        <v/>
      </c>
      <c r="H54" s="20" t="str">
        <f>IFERROR(__xludf.DUMMYFUNCTION("if(regexmatch($B54,""RR""),D54,"""")"),"")</f>
        <v/>
      </c>
      <c r="I54" s="20" t="str">
        <f>IFERROR(__xludf.DUMMYFUNCTION("if(regexmatch($B54,""RR""),concat(E54,C54),"""")"),"")</f>
        <v/>
      </c>
      <c r="J54" s="20" t="str">
        <f>IFERROR(__xludf.DUMMYFUNCTION("if(regexmatch($B54,""RR""),F54,"""")"),"")</f>
        <v/>
      </c>
      <c r="K54" s="20" t="str">
        <f>IFERROR(__xludf.DUMMYFUNCTION("if(regexmatch($B54,""DE""),concat(C54,E54),"""")"),"[Select Team Name][Select Team Name]")</f>
        <v>[Select Team Name][Select Team Name]</v>
      </c>
      <c r="L54" s="20">
        <f>IFERROR(__xludf.DUMMYFUNCTION("if(regexmatch($B54,""DE""),D54,"""")"),0.0)</f>
        <v>0</v>
      </c>
      <c r="M54" s="20" t="str">
        <f>IFERROR(__xludf.DUMMYFUNCTION("if(regexmatch($B54,""DE""),concat(E54,C54),"""")"),"[Select Team Name][Select Team Name]")</f>
        <v>[Select Team Name][Select Team Name]</v>
      </c>
      <c r="N54" s="20">
        <f>IFERROR(__xludf.DUMMYFUNCTION("if(regexmatch($B54,""DE""),F54,"""")"),0.0)</f>
        <v>0</v>
      </c>
    </row>
    <row r="55">
      <c r="A55" s="12"/>
      <c r="B55" s="12" t="str">
        <f>IFERROR(__xludf.DUMMYFUNCTION("""COMPUTED_VALUE"""),"DE8")</f>
        <v>DE8</v>
      </c>
      <c r="C55" s="12" t="str">
        <f>IFERROR(__xludf.DUMMYFUNCTION("""COMPUTED_VALUE"""),"[Select Team Name]")</f>
        <v>[Select Team Name]</v>
      </c>
      <c r="D55" s="12">
        <f>IFERROR(__xludf.DUMMYFUNCTION("""COMPUTED_VALUE"""),0.0)</f>
        <v>0</v>
      </c>
      <c r="E55" s="12" t="str">
        <f>IFERROR(__xludf.DUMMYFUNCTION("""COMPUTED_VALUE"""),"[Select Team Name]")</f>
        <v>[Select Team Name]</v>
      </c>
      <c r="F55" s="12">
        <f>IFERROR(__xludf.DUMMYFUNCTION("""COMPUTED_VALUE"""),0.0)</f>
        <v>0</v>
      </c>
      <c r="G55" s="20" t="str">
        <f>IFERROR(__xludf.DUMMYFUNCTION("if(regexmatch($B55,""RR""),concat(C55,E55),"""")"),"")</f>
        <v/>
      </c>
      <c r="H55" s="20" t="str">
        <f>IFERROR(__xludf.DUMMYFUNCTION("if(regexmatch($B55,""RR""),D55,"""")"),"")</f>
        <v/>
      </c>
      <c r="I55" s="20" t="str">
        <f>IFERROR(__xludf.DUMMYFUNCTION("if(regexmatch($B55,""RR""),concat(E55,C55),"""")"),"")</f>
        <v/>
      </c>
      <c r="J55" s="20" t="str">
        <f>IFERROR(__xludf.DUMMYFUNCTION("if(regexmatch($B55,""RR""),F55,"""")"),"")</f>
        <v/>
      </c>
      <c r="K55" s="20" t="str">
        <f>IFERROR(__xludf.DUMMYFUNCTION("if(regexmatch($B55,""DE""),concat(C55,E55),"""")"),"[Select Team Name][Select Team Name]")</f>
        <v>[Select Team Name][Select Team Name]</v>
      </c>
      <c r="L55" s="20">
        <f>IFERROR(__xludf.DUMMYFUNCTION("if(regexmatch($B55,""DE""),D55,"""")"),0.0)</f>
        <v>0</v>
      </c>
      <c r="M55" s="20" t="str">
        <f>IFERROR(__xludf.DUMMYFUNCTION("if(regexmatch($B55,""DE""),concat(E55,C55),"""")"),"[Select Team Name][Select Team Name]")</f>
        <v>[Select Team Name][Select Team Name]</v>
      </c>
      <c r="N55" s="20">
        <f>IFERROR(__xludf.DUMMYFUNCTION("if(regexmatch($B55,""DE""),F55,"""")"),0.0)</f>
        <v>0</v>
      </c>
    </row>
    <row r="56">
      <c r="A56" s="12"/>
      <c r="B56" s="12" t="str">
        <f>IFERROR(__xludf.DUMMYFUNCTION("""COMPUTED_VALUE"""),"DE9")</f>
        <v>DE9</v>
      </c>
      <c r="C56" s="12" t="str">
        <f>IFERROR(__xludf.DUMMYFUNCTION("""COMPUTED_VALUE"""),"[Select Team Name]")</f>
        <v>[Select Team Name]</v>
      </c>
      <c r="D56" s="12">
        <f>IFERROR(__xludf.DUMMYFUNCTION("""COMPUTED_VALUE"""),0.0)</f>
        <v>0</v>
      </c>
      <c r="E56" s="12" t="str">
        <f>IFERROR(__xludf.DUMMYFUNCTION("""COMPUTED_VALUE"""),"[Select Team Name]")</f>
        <v>[Select Team Name]</v>
      </c>
      <c r="F56" s="12">
        <f>IFERROR(__xludf.DUMMYFUNCTION("""COMPUTED_VALUE"""),0.0)</f>
        <v>0</v>
      </c>
      <c r="G56" s="20" t="str">
        <f>IFERROR(__xludf.DUMMYFUNCTION("if(regexmatch($B56,""RR""),concat(C56,E56),"""")"),"")</f>
        <v/>
      </c>
      <c r="H56" s="20" t="str">
        <f>IFERROR(__xludf.DUMMYFUNCTION("if(regexmatch($B56,""RR""),D56,"""")"),"")</f>
        <v/>
      </c>
      <c r="I56" s="20" t="str">
        <f>IFERROR(__xludf.DUMMYFUNCTION("if(regexmatch($B56,""RR""),concat(E56,C56),"""")"),"")</f>
        <v/>
      </c>
      <c r="J56" s="20" t="str">
        <f>IFERROR(__xludf.DUMMYFUNCTION("if(regexmatch($B56,""RR""),F56,"""")"),"")</f>
        <v/>
      </c>
      <c r="K56" s="20" t="str">
        <f>IFERROR(__xludf.DUMMYFUNCTION("if(regexmatch($B56,""DE""),concat(C56,E56),"""")"),"[Select Team Name][Select Team Name]")</f>
        <v>[Select Team Name][Select Team Name]</v>
      </c>
      <c r="L56" s="20">
        <f>IFERROR(__xludf.DUMMYFUNCTION("if(regexmatch($B56,""DE""),D56,"""")"),0.0)</f>
        <v>0</v>
      </c>
      <c r="M56" s="20" t="str">
        <f>IFERROR(__xludf.DUMMYFUNCTION("if(regexmatch($B56,""DE""),concat(E56,C56),"""")"),"[Select Team Name][Select Team Name]")</f>
        <v>[Select Team Name][Select Team Name]</v>
      </c>
      <c r="N56" s="20">
        <f>IFERROR(__xludf.DUMMYFUNCTION("if(regexmatch($B56,""DE""),F56,"""")"),0.0)</f>
        <v>0</v>
      </c>
    </row>
    <row r="57">
      <c r="A57" s="1"/>
      <c r="B57" s="12" t="str">
        <f>IFERROR(__xludf.DUMMYFUNCTION("importrange(""https://docs.google.com/spreadsheets/d/1uUhvtr9u-bSman3cG0EohGkBgcqYD43XGUR4g2884WE/edit?gid=0#gid=0"",""Scores!A2:E15"")"),"RR1")</f>
        <v>RR1</v>
      </c>
      <c r="C57" s="12" t="str">
        <f>IFERROR(__xludf.DUMMYFUNCTION("""COMPUTED_VALUE"""),"Venice B")</f>
        <v>Venice B</v>
      </c>
      <c r="D57" s="12">
        <f>IFERROR(__xludf.DUMMYFUNCTION("""COMPUTED_VALUE"""),66.0)</f>
        <v>66</v>
      </c>
      <c r="E57" s="12" t="str">
        <f>IFERROR(__xludf.DUMMYFUNCTION("""COMPUTED_VALUE"""),"OCSA")</f>
        <v>OCSA</v>
      </c>
      <c r="F57" s="12">
        <f>IFERROR(__xludf.DUMMYFUNCTION("""COMPUTED_VALUE"""),106.0)</f>
        <v>106</v>
      </c>
      <c r="G57" s="20" t="str">
        <f>IFERROR(__xludf.DUMMYFUNCTION("if(regexmatch($B57,""RR""),concat(C57,E57),"""")"),"Venice BOCSA")</f>
        <v>Venice BOCSA</v>
      </c>
      <c r="H57" s="20">
        <f>IFERROR(__xludf.DUMMYFUNCTION("if(regexmatch($B57,""RR""),D57,"""")"),66.0)</f>
        <v>66</v>
      </c>
      <c r="I57" s="20" t="str">
        <f>IFERROR(__xludf.DUMMYFUNCTION("if(regexmatch($B57,""RR""),concat(E57,C57),"""")"),"OCSAVenice B")</f>
        <v>OCSAVenice B</v>
      </c>
      <c r="J57" s="20">
        <f>IFERROR(__xludf.DUMMYFUNCTION("if(regexmatch($B57,""RR""),F57,"""")"),106.0)</f>
        <v>106</v>
      </c>
      <c r="K57" s="20" t="str">
        <f>IFERROR(__xludf.DUMMYFUNCTION("if(regexmatch($B57,""DE""),concat(C57,E57),"""")"),"")</f>
        <v/>
      </c>
      <c r="L57" s="20" t="str">
        <f>IFERROR(__xludf.DUMMYFUNCTION("if(regexmatch($B57,""DE""),D57,"""")"),"")</f>
        <v/>
      </c>
      <c r="M57" s="20" t="str">
        <f>IFERROR(__xludf.DUMMYFUNCTION("if(regexmatch($B57,""DE""),concat(E57,C57),"""")"),"")</f>
        <v/>
      </c>
      <c r="N57" s="20" t="str">
        <f>IFERROR(__xludf.DUMMYFUNCTION("if(regexmatch($B57,""DE""),F57,"""")"),"")</f>
        <v/>
      </c>
    </row>
    <row r="58">
      <c r="A58" s="12"/>
      <c r="B58" s="12" t="str">
        <f>IFERROR(__xludf.DUMMYFUNCTION("""COMPUTED_VALUE"""),"RR2")</f>
        <v>RR2</v>
      </c>
      <c r="C58" s="12" t="str">
        <f>IFERROR(__xludf.DUMMYFUNCTION("""COMPUTED_VALUE"""),"Arcadia A")</f>
        <v>Arcadia A</v>
      </c>
      <c r="D58" s="12">
        <f>IFERROR(__xludf.DUMMYFUNCTION("""COMPUTED_VALUE"""),152.0)</f>
        <v>152</v>
      </c>
      <c r="E58" s="12" t="str">
        <f>IFERROR(__xludf.DUMMYFUNCTION("""COMPUTED_VALUE"""),"Venice B")</f>
        <v>Venice B</v>
      </c>
      <c r="F58" s="12">
        <f>IFERROR(__xludf.DUMMYFUNCTION("""COMPUTED_VALUE"""),8.0)</f>
        <v>8</v>
      </c>
      <c r="G58" s="20" t="str">
        <f>IFERROR(__xludf.DUMMYFUNCTION("if(regexmatch($B58,""RR""),concat(C58,E58),"""")"),"Arcadia AVenice B")</f>
        <v>Arcadia AVenice B</v>
      </c>
      <c r="H58" s="20">
        <f>IFERROR(__xludf.DUMMYFUNCTION("if(regexmatch($B58,""RR""),D58,"""")"),152.0)</f>
        <v>152</v>
      </c>
      <c r="I58" s="20" t="str">
        <f>IFERROR(__xludf.DUMMYFUNCTION("if(regexmatch($B58,""RR""),concat(E58,C58),"""")"),"Venice BArcadia A")</f>
        <v>Venice BArcadia A</v>
      </c>
      <c r="J58" s="20">
        <f>IFERROR(__xludf.DUMMYFUNCTION("if(regexmatch($B58,""RR""),F58,"""")"),8.0)</f>
        <v>8</v>
      </c>
      <c r="K58" s="20" t="str">
        <f>IFERROR(__xludf.DUMMYFUNCTION("if(regexmatch($B58,""DE""),concat(C58,E58),"""")"),"")</f>
        <v/>
      </c>
      <c r="L58" s="20" t="str">
        <f>IFERROR(__xludf.DUMMYFUNCTION("if(regexmatch($B58,""DE""),D58,"""")"),"")</f>
        <v/>
      </c>
      <c r="M58" s="20" t="str">
        <f>IFERROR(__xludf.DUMMYFUNCTION("if(regexmatch($B58,""DE""),concat(E58,C58),"""")"),"")</f>
        <v/>
      </c>
      <c r="N58" s="20" t="str">
        <f>IFERROR(__xludf.DUMMYFUNCTION("if(regexmatch($B58,""DE""),F58,"""")"),"")</f>
        <v/>
      </c>
    </row>
    <row r="59">
      <c r="A59" s="12"/>
      <c r="B59" s="12" t="str">
        <f>IFERROR(__xludf.DUMMYFUNCTION("""COMPUTED_VALUE"""),"RR3")</f>
        <v>RR3</v>
      </c>
      <c r="C59" s="12" t="str">
        <f>IFERROR(__xludf.DUMMYFUNCTION("""COMPUTED_VALUE"""),"Troy")</f>
        <v>Troy</v>
      </c>
      <c r="D59" s="12">
        <f>IFERROR(__xludf.DUMMYFUNCTION("""COMPUTED_VALUE"""),112.0)</f>
        <v>112</v>
      </c>
      <c r="E59" s="12" t="str">
        <f>IFERROR(__xludf.DUMMYFUNCTION("""COMPUTED_VALUE"""),"Beckman A")</f>
        <v>Beckman A</v>
      </c>
      <c r="F59" s="12">
        <f>IFERROR(__xludf.DUMMYFUNCTION("""COMPUTED_VALUE"""),90.0)</f>
        <v>90</v>
      </c>
      <c r="G59" s="20" t="str">
        <f>IFERROR(__xludf.DUMMYFUNCTION("if(regexmatch($B59,""RR""),concat(C59,E59),"""")"),"TroyBeckman A")</f>
        <v>TroyBeckman A</v>
      </c>
      <c r="H59" s="20">
        <f>IFERROR(__xludf.DUMMYFUNCTION("if(regexmatch($B59,""RR""),D59,"""")"),112.0)</f>
        <v>112</v>
      </c>
      <c r="I59" s="20" t="str">
        <f>IFERROR(__xludf.DUMMYFUNCTION("if(regexmatch($B59,""RR""),concat(E59,C59),"""")"),"Beckman ATroy")</f>
        <v>Beckman ATroy</v>
      </c>
      <c r="J59" s="20">
        <f>IFERROR(__xludf.DUMMYFUNCTION("if(regexmatch($B59,""RR""),F59,"""")"),90.0)</f>
        <v>90</v>
      </c>
      <c r="K59" s="20" t="str">
        <f>IFERROR(__xludf.DUMMYFUNCTION("if(regexmatch($B59,""DE""),concat(C59,E59),"""")"),"")</f>
        <v/>
      </c>
      <c r="L59" s="20" t="str">
        <f>IFERROR(__xludf.DUMMYFUNCTION("if(regexmatch($B59,""DE""),D59,"""")"),"")</f>
        <v/>
      </c>
      <c r="M59" s="20" t="str">
        <f>IFERROR(__xludf.DUMMYFUNCTION("if(regexmatch($B59,""DE""),concat(E59,C59),"""")"),"")</f>
        <v/>
      </c>
      <c r="N59" s="20" t="str">
        <f>IFERROR(__xludf.DUMMYFUNCTION("if(regexmatch($B59,""DE""),F59,"""")"),"")</f>
        <v/>
      </c>
    </row>
    <row r="60">
      <c r="A60" s="12"/>
      <c r="B60" s="12" t="str">
        <f>IFERROR(__xludf.DUMMYFUNCTION("""COMPUTED_VALUE"""),"RR4")</f>
        <v>RR4</v>
      </c>
      <c r="C60" s="12" t="str">
        <f>IFERROR(__xludf.DUMMYFUNCTION("""COMPUTED_VALUE"""),"Beckman B")</f>
        <v>Beckman B</v>
      </c>
      <c r="D60" s="12">
        <f>IFERROR(__xludf.DUMMYFUNCTION("""COMPUTED_VALUE"""),36.0)</f>
        <v>36</v>
      </c>
      <c r="E60" s="12" t="str">
        <f>IFERROR(__xludf.DUMMYFUNCTION("""COMPUTED_VALUE"""),"Oak Avenue")</f>
        <v>Oak Avenue</v>
      </c>
      <c r="F60" s="12">
        <f>IFERROR(__xludf.DUMMYFUNCTION("""COMPUTED_VALUE"""),94.0)</f>
        <v>94</v>
      </c>
      <c r="G60" s="20" t="str">
        <f>IFERROR(__xludf.DUMMYFUNCTION("if(regexmatch($B60,""RR""),concat(C60,E60),"""")"),"Beckman BOak Avenue")</f>
        <v>Beckman BOak Avenue</v>
      </c>
      <c r="H60" s="20">
        <f>IFERROR(__xludf.DUMMYFUNCTION("if(regexmatch($B60,""RR""),D60,"""")"),36.0)</f>
        <v>36</v>
      </c>
      <c r="I60" s="20" t="str">
        <f>IFERROR(__xludf.DUMMYFUNCTION("if(regexmatch($B60,""RR""),concat(E60,C60),"""")"),"Oak AvenueBeckman B")</f>
        <v>Oak AvenueBeckman B</v>
      </c>
      <c r="J60" s="20">
        <f>IFERROR(__xludf.DUMMYFUNCTION("if(regexmatch($B60,""RR""),F60,"""")"),94.0)</f>
        <v>94</v>
      </c>
      <c r="K60" s="20" t="str">
        <f>IFERROR(__xludf.DUMMYFUNCTION("if(regexmatch($B60,""DE""),concat(C60,E60),"""")"),"")</f>
        <v/>
      </c>
      <c r="L60" s="20" t="str">
        <f>IFERROR(__xludf.DUMMYFUNCTION("if(regexmatch($B60,""DE""),D60,"""")"),"")</f>
        <v/>
      </c>
      <c r="M60" s="20" t="str">
        <f>IFERROR(__xludf.DUMMYFUNCTION("if(regexmatch($B60,""DE""),concat(E60,C60),"""")"),"")</f>
        <v/>
      </c>
      <c r="N60" s="20" t="str">
        <f>IFERROR(__xludf.DUMMYFUNCTION("if(regexmatch($B60,""DE""),F60,"""")"),"")</f>
        <v/>
      </c>
    </row>
    <row r="61">
      <c r="A61" s="12"/>
      <c r="B61" s="12" t="str">
        <f>IFERROR(__xludf.DUMMYFUNCTION("""COMPUTED_VALUE"""),"RR5")</f>
        <v>RR5</v>
      </c>
      <c r="C61" s="12" t="str">
        <f>IFERROR(__xludf.DUMMYFUNCTION("""COMPUTED_VALUE"""),"Westview")</f>
        <v>Westview</v>
      </c>
      <c r="D61" s="12">
        <f>IFERROR(__xludf.DUMMYFUNCTION("""COMPUTED_VALUE"""),44.0)</f>
        <v>44</v>
      </c>
      <c r="E61" s="12" t="str">
        <f>IFERROR(__xludf.DUMMYFUNCTION("""COMPUTED_VALUE"""),"Troy")</f>
        <v>Troy</v>
      </c>
      <c r="F61" s="12">
        <f>IFERROR(__xludf.DUMMYFUNCTION("""COMPUTED_VALUE"""),140.0)</f>
        <v>140</v>
      </c>
      <c r="G61" s="20" t="str">
        <f>IFERROR(__xludf.DUMMYFUNCTION("if(regexmatch($B61,""RR""),concat(C61,E61),"""")"),"WestviewTroy")</f>
        <v>WestviewTroy</v>
      </c>
      <c r="H61" s="20">
        <f>IFERROR(__xludf.DUMMYFUNCTION("if(regexmatch($B61,""RR""),D61,"""")"),44.0)</f>
        <v>44</v>
      </c>
      <c r="I61" s="20" t="str">
        <f>IFERROR(__xludf.DUMMYFUNCTION("if(regexmatch($B61,""RR""),concat(E61,C61),"""")"),"TroyWestview")</f>
        <v>TroyWestview</v>
      </c>
      <c r="J61" s="20">
        <f>IFERROR(__xludf.DUMMYFUNCTION("if(regexmatch($B61,""RR""),F61,"""")"),140.0)</f>
        <v>140</v>
      </c>
      <c r="K61" s="20" t="str">
        <f>IFERROR(__xludf.DUMMYFUNCTION("if(regexmatch($B61,""DE""),concat(C61,E61),"""")"),"")</f>
        <v/>
      </c>
      <c r="L61" s="20" t="str">
        <f>IFERROR(__xludf.DUMMYFUNCTION("if(regexmatch($B61,""DE""),D61,"""")"),"")</f>
        <v/>
      </c>
      <c r="M61" s="20" t="str">
        <f>IFERROR(__xludf.DUMMYFUNCTION("if(regexmatch($B61,""DE""),concat(E61,C61),"""")"),"")</f>
        <v/>
      </c>
      <c r="N61" s="20" t="str">
        <f>IFERROR(__xludf.DUMMYFUNCTION("if(regexmatch($B61,""DE""),F61,"""")"),"")</f>
        <v/>
      </c>
    </row>
    <row r="62">
      <c r="A62" s="12"/>
      <c r="B62" s="12" t="str">
        <f>IFERROR(__xludf.DUMMYFUNCTION("""COMPUTED_VALUE"""),"DE1")</f>
        <v>DE1</v>
      </c>
      <c r="C62" s="12" t="str">
        <f>IFERROR(__xludf.DUMMYFUNCTION("""COMPUTED_VALUE"""),"[Select Team Name]")</f>
        <v>[Select Team Name]</v>
      </c>
      <c r="D62" s="12">
        <f>IFERROR(__xludf.DUMMYFUNCTION("""COMPUTED_VALUE"""),0.0)</f>
        <v>0</v>
      </c>
      <c r="E62" s="12" t="str">
        <f>IFERROR(__xludf.DUMMYFUNCTION("""COMPUTED_VALUE"""),"[Select Team Name]")</f>
        <v>[Select Team Name]</v>
      </c>
      <c r="F62" s="12">
        <f>IFERROR(__xludf.DUMMYFUNCTION("""COMPUTED_VALUE"""),0.0)</f>
        <v>0</v>
      </c>
      <c r="G62" s="20" t="str">
        <f>IFERROR(__xludf.DUMMYFUNCTION("if(regexmatch($B62,""RR""),concat(C62,E62),"""")"),"")</f>
        <v/>
      </c>
      <c r="H62" s="20" t="str">
        <f>IFERROR(__xludf.DUMMYFUNCTION("if(regexmatch($B62,""RR""),D62,"""")"),"")</f>
        <v/>
      </c>
      <c r="I62" s="20" t="str">
        <f>IFERROR(__xludf.DUMMYFUNCTION("if(regexmatch($B62,""RR""),concat(E62,C62),"""")"),"")</f>
        <v/>
      </c>
      <c r="J62" s="20" t="str">
        <f>IFERROR(__xludf.DUMMYFUNCTION("if(regexmatch($B62,""RR""),F62,"""")"),"")</f>
        <v/>
      </c>
      <c r="K62" s="20" t="str">
        <f>IFERROR(__xludf.DUMMYFUNCTION("if(regexmatch($B62,""DE""),concat(C62,E62),"""")"),"[Select Team Name][Select Team Name]")</f>
        <v>[Select Team Name][Select Team Name]</v>
      </c>
      <c r="L62" s="20">
        <f>IFERROR(__xludf.DUMMYFUNCTION("if(regexmatch($B62,""DE""),D62,"""")"),0.0)</f>
        <v>0</v>
      </c>
      <c r="M62" s="20" t="str">
        <f>IFERROR(__xludf.DUMMYFUNCTION("if(regexmatch($B62,""DE""),concat(E62,C62),"""")"),"[Select Team Name][Select Team Name]")</f>
        <v>[Select Team Name][Select Team Name]</v>
      </c>
      <c r="N62" s="20">
        <f>IFERROR(__xludf.DUMMYFUNCTION("if(regexmatch($B62,""DE""),F62,"""")"),0.0)</f>
        <v>0</v>
      </c>
    </row>
    <row r="63">
      <c r="A63" s="12"/>
      <c r="B63" s="12" t="str">
        <f>IFERROR(__xludf.DUMMYFUNCTION("""COMPUTED_VALUE"""),"DE2")</f>
        <v>DE2</v>
      </c>
      <c r="C63" s="12" t="str">
        <f>IFERROR(__xludf.DUMMYFUNCTION("""COMPUTED_VALUE"""),"[Select Team Name]")</f>
        <v>[Select Team Name]</v>
      </c>
      <c r="D63" s="12">
        <f>IFERROR(__xludf.DUMMYFUNCTION("""COMPUTED_VALUE"""),0.0)</f>
        <v>0</v>
      </c>
      <c r="E63" s="12" t="str">
        <f>IFERROR(__xludf.DUMMYFUNCTION("""COMPUTED_VALUE"""),"[Select Team Name]")</f>
        <v>[Select Team Name]</v>
      </c>
      <c r="F63" s="12">
        <f>IFERROR(__xludf.DUMMYFUNCTION("""COMPUTED_VALUE"""),0.0)</f>
        <v>0</v>
      </c>
      <c r="G63" s="20" t="str">
        <f>IFERROR(__xludf.DUMMYFUNCTION("if(regexmatch($B63,""RR""),concat(C63,E63),"""")"),"")</f>
        <v/>
      </c>
      <c r="H63" s="20" t="str">
        <f>IFERROR(__xludf.DUMMYFUNCTION("if(regexmatch($B63,""RR""),D63,"""")"),"")</f>
        <v/>
      </c>
      <c r="I63" s="20" t="str">
        <f>IFERROR(__xludf.DUMMYFUNCTION("if(regexmatch($B63,""RR""),concat(E63,C63),"""")"),"")</f>
        <v/>
      </c>
      <c r="J63" s="20" t="str">
        <f>IFERROR(__xludf.DUMMYFUNCTION("if(regexmatch($B63,""RR""),F63,"""")"),"")</f>
        <v/>
      </c>
      <c r="K63" s="20" t="str">
        <f>IFERROR(__xludf.DUMMYFUNCTION("if(regexmatch($B63,""DE""),concat(C63,E63),"""")"),"[Select Team Name][Select Team Name]")</f>
        <v>[Select Team Name][Select Team Name]</v>
      </c>
      <c r="L63" s="20">
        <f>IFERROR(__xludf.DUMMYFUNCTION("if(regexmatch($B63,""DE""),D63,"""")"),0.0)</f>
        <v>0</v>
      </c>
      <c r="M63" s="20" t="str">
        <f>IFERROR(__xludf.DUMMYFUNCTION("if(regexmatch($B63,""DE""),concat(E63,C63),"""")"),"[Select Team Name][Select Team Name]")</f>
        <v>[Select Team Name][Select Team Name]</v>
      </c>
      <c r="N63" s="20">
        <f>IFERROR(__xludf.DUMMYFUNCTION("if(regexmatch($B63,""DE""),F63,"""")"),0.0)</f>
        <v>0</v>
      </c>
    </row>
    <row r="64">
      <c r="A64" s="12"/>
      <c r="B64" s="12" t="str">
        <f>IFERROR(__xludf.DUMMYFUNCTION("""COMPUTED_VALUE"""),"DE3")</f>
        <v>DE3</v>
      </c>
      <c r="C64" s="12" t="str">
        <f>IFERROR(__xludf.DUMMYFUNCTION("""COMPUTED_VALUE"""),"[Select Team Name]")</f>
        <v>[Select Team Name]</v>
      </c>
      <c r="D64" s="12">
        <f>IFERROR(__xludf.DUMMYFUNCTION("""COMPUTED_VALUE"""),0.0)</f>
        <v>0</v>
      </c>
      <c r="E64" s="12" t="str">
        <f>IFERROR(__xludf.DUMMYFUNCTION("""COMPUTED_VALUE"""),"[Select Team Name]")</f>
        <v>[Select Team Name]</v>
      </c>
      <c r="F64" s="12">
        <f>IFERROR(__xludf.DUMMYFUNCTION("""COMPUTED_VALUE"""),0.0)</f>
        <v>0</v>
      </c>
      <c r="G64" s="20" t="str">
        <f>IFERROR(__xludf.DUMMYFUNCTION("if(regexmatch($B64,""RR""),concat(C64,E64),"""")"),"")</f>
        <v/>
      </c>
      <c r="H64" s="20" t="str">
        <f>IFERROR(__xludf.DUMMYFUNCTION("if(regexmatch($B64,""RR""),D64,"""")"),"")</f>
        <v/>
      </c>
      <c r="I64" s="20" t="str">
        <f>IFERROR(__xludf.DUMMYFUNCTION("if(regexmatch($B64,""RR""),concat(E64,C64),"""")"),"")</f>
        <v/>
      </c>
      <c r="J64" s="20" t="str">
        <f>IFERROR(__xludf.DUMMYFUNCTION("if(regexmatch($B64,""RR""),F64,"""")"),"")</f>
        <v/>
      </c>
      <c r="K64" s="20" t="str">
        <f>IFERROR(__xludf.DUMMYFUNCTION("if(regexmatch($B64,""DE""),concat(C64,E64),"""")"),"[Select Team Name][Select Team Name]")</f>
        <v>[Select Team Name][Select Team Name]</v>
      </c>
      <c r="L64" s="20">
        <f>IFERROR(__xludf.DUMMYFUNCTION("if(regexmatch($B64,""DE""),D64,"""")"),0.0)</f>
        <v>0</v>
      </c>
      <c r="M64" s="20" t="str">
        <f>IFERROR(__xludf.DUMMYFUNCTION("if(regexmatch($B64,""DE""),concat(E64,C64),"""")"),"[Select Team Name][Select Team Name]")</f>
        <v>[Select Team Name][Select Team Name]</v>
      </c>
      <c r="N64" s="20">
        <f>IFERROR(__xludf.DUMMYFUNCTION("if(regexmatch($B64,""DE""),F64,"""")"),0.0)</f>
        <v>0</v>
      </c>
    </row>
    <row r="65">
      <c r="A65" s="12"/>
      <c r="B65" s="12" t="str">
        <f>IFERROR(__xludf.DUMMYFUNCTION("""COMPUTED_VALUE"""),"DE4")</f>
        <v>DE4</v>
      </c>
      <c r="C65" s="12" t="str">
        <f>IFERROR(__xludf.DUMMYFUNCTION("""COMPUTED_VALUE"""),"[Select Team Name]")</f>
        <v>[Select Team Name]</v>
      </c>
      <c r="D65" s="12">
        <f>IFERROR(__xludf.DUMMYFUNCTION("""COMPUTED_VALUE"""),0.0)</f>
        <v>0</v>
      </c>
      <c r="E65" s="12" t="str">
        <f>IFERROR(__xludf.DUMMYFUNCTION("""COMPUTED_VALUE"""),"[Select Team Name]")</f>
        <v>[Select Team Name]</v>
      </c>
      <c r="F65" s="12">
        <f>IFERROR(__xludf.DUMMYFUNCTION("""COMPUTED_VALUE"""),0.0)</f>
        <v>0</v>
      </c>
      <c r="G65" s="20" t="str">
        <f>IFERROR(__xludf.DUMMYFUNCTION("if(regexmatch($B65,""RR""),concat(C65,E65),"""")"),"")</f>
        <v/>
      </c>
      <c r="H65" s="20" t="str">
        <f>IFERROR(__xludf.DUMMYFUNCTION("if(regexmatch($B65,""RR""),D65,"""")"),"")</f>
        <v/>
      </c>
      <c r="I65" s="20" t="str">
        <f>IFERROR(__xludf.DUMMYFUNCTION("if(regexmatch($B65,""RR""),concat(E65,C65),"""")"),"")</f>
        <v/>
      </c>
      <c r="J65" s="20" t="str">
        <f>IFERROR(__xludf.DUMMYFUNCTION("if(regexmatch($B65,""RR""),F65,"""")"),"")</f>
        <v/>
      </c>
      <c r="K65" s="20" t="str">
        <f>IFERROR(__xludf.DUMMYFUNCTION("if(regexmatch($B65,""DE""),concat(C65,E65),"""")"),"[Select Team Name][Select Team Name]")</f>
        <v>[Select Team Name][Select Team Name]</v>
      </c>
      <c r="L65" s="20">
        <f>IFERROR(__xludf.DUMMYFUNCTION("if(regexmatch($B65,""DE""),D65,"""")"),0.0)</f>
        <v>0</v>
      </c>
      <c r="M65" s="20" t="str">
        <f>IFERROR(__xludf.DUMMYFUNCTION("if(regexmatch($B65,""DE""),concat(E65,C65),"""")"),"[Select Team Name][Select Team Name]")</f>
        <v>[Select Team Name][Select Team Name]</v>
      </c>
      <c r="N65" s="20">
        <f>IFERROR(__xludf.DUMMYFUNCTION("if(regexmatch($B65,""DE""),F65,"""")"),0.0)</f>
        <v>0</v>
      </c>
    </row>
    <row r="66">
      <c r="A66" s="12"/>
      <c r="B66" s="12" t="str">
        <f>IFERROR(__xludf.DUMMYFUNCTION("""COMPUTED_VALUE"""),"DE5")</f>
        <v>DE5</v>
      </c>
      <c r="C66" s="12" t="str">
        <f>IFERROR(__xludf.DUMMYFUNCTION("""COMPUTED_VALUE"""),"[Select Team Name]")</f>
        <v>[Select Team Name]</v>
      </c>
      <c r="D66" s="12">
        <f>IFERROR(__xludf.DUMMYFUNCTION("""COMPUTED_VALUE"""),0.0)</f>
        <v>0</v>
      </c>
      <c r="E66" s="12" t="str">
        <f>IFERROR(__xludf.DUMMYFUNCTION("""COMPUTED_VALUE"""),"[Select Team Name]")</f>
        <v>[Select Team Name]</v>
      </c>
      <c r="F66" s="12">
        <f>IFERROR(__xludf.DUMMYFUNCTION("""COMPUTED_VALUE"""),0.0)</f>
        <v>0</v>
      </c>
      <c r="G66" s="20" t="str">
        <f>IFERROR(__xludf.DUMMYFUNCTION("if(regexmatch($B66,""RR""),concat(C66,E66),"""")"),"")</f>
        <v/>
      </c>
      <c r="H66" s="20" t="str">
        <f>IFERROR(__xludf.DUMMYFUNCTION("if(regexmatch($B66,""RR""),D66,"""")"),"")</f>
        <v/>
      </c>
      <c r="I66" s="20" t="str">
        <f>IFERROR(__xludf.DUMMYFUNCTION("if(regexmatch($B66,""RR""),concat(E66,C66),"""")"),"")</f>
        <v/>
      </c>
      <c r="J66" s="20" t="str">
        <f>IFERROR(__xludf.DUMMYFUNCTION("if(regexmatch($B66,""RR""),F66,"""")"),"")</f>
        <v/>
      </c>
      <c r="K66" s="20" t="str">
        <f>IFERROR(__xludf.DUMMYFUNCTION("if(regexmatch($B66,""DE""),concat(C66,E66),"""")"),"[Select Team Name][Select Team Name]")</f>
        <v>[Select Team Name][Select Team Name]</v>
      </c>
      <c r="L66" s="20">
        <f>IFERROR(__xludf.DUMMYFUNCTION("if(regexmatch($B66,""DE""),D66,"""")"),0.0)</f>
        <v>0</v>
      </c>
      <c r="M66" s="20" t="str">
        <f>IFERROR(__xludf.DUMMYFUNCTION("if(regexmatch($B66,""DE""),concat(E66,C66),"""")"),"[Select Team Name][Select Team Name]")</f>
        <v>[Select Team Name][Select Team Name]</v>
      </c>
      <c r="N66" s="20">
        <f>IFERROR(__xludf.DUMMYFUNCTION("if(regexmatch($B66,""DE""),F66,"""")"),0.0)</f>
        <v>0</v>
      </c>
    </row>
    <row r="67">
      <c r="A67" s="12"/>
      <c r="B67" s="12" t="str">
        <f>IFERROR(__xludf.DUMMYFUNCTION("""COMPUTED_VALUE"""),"DE6")</f>
        <v>DE6</v>
      </c>
      <c r="C67" s="12" t="str">
        <f>IFERROR(__xludf.DUMMYFUNCTION("""COMPUTED_VALUE"""),"[Select Team Name]")</f>
        <v>[Select Team Name]</v>
      </c>
      <c r="D67" s="12">
        <f>IFERROR(__xludf.DUMMYFUNCTION("""COMPUTED_VALUE"""),0.0)</f>
        <v>0</v>
      </c>
      <c r="E67" s="12" t="str">
        <f>IFERROR(__xludf.DUMMYFUNCTION("""COMPUTED_VALUE"""),"[Select Team Name]")</f>
        <v>[Select Team Name]</v>
      </c>
      <c r="F67" s="12">
        <f>IFERROR(__xludf.DUMMYFUNCTION("""COMPUTED_VALUE"""),0.0)</f>
        <v>0</v>
      </c>
      <c r="G67" s="20" t="str">
        <f>IFERROR(__xludf.DUMMYFUNCTION("if(regexmatch($B67,""RR""),concat(C67,E67),"""")"),"")</f>
        <v/>
      </c>
      <c r="H67" s="20" t="str">
        <f>IFERROR(__xludf.DUMMYFUNCTION("if(regexmatch($B67,""RR""),D67,"""")"),"")</f>
        <v/>
      </c>
      <c r="I67" s="20" t="str">
        <f>IFERROR(__xludf.DUMMYFUNCTION("if(regexmatch($B67,""RR""),concat(E67,C67),"""")"),"")</f>
        <v/>
      </c>
      <c r="J67" s="20" t="str">
        <f>IFERROR(__xludf.DUMMYFUNCTION("if(regexmatch($B67,""RR""),F67,"""")"),"")</f>
        <v/>
      </c>
      <c r="K67" s="20" t="str">
        <f>IFERROR(__xludf.DUMMYFUNCTION("if(regexmatch($B67,""DE""),concat(C67,E67),"""")"),"[Select Team Name][Select Team Name]")</f>
        <v>[Select Team Name][Select Team Name]</v>
      </c>
      <c r="L67" s="20">
        <f>IFERROR(__xludf.DUMMYFUNCTION("if(regexmatch($B67,""DE""),D67,"""")"),0.0)</f>
        <v>0</v>
      </c>
      <c r="M67" s="20" t="str">
        <f>IFERROR(__xludf.DUMMYFUNCTION("if(regexmatch($B67,""DE""),concat(E67,C67),"""")"),"[Select Team Name][Select Team Name]")</f>
        <v>[Select Team Name][Select Team Name]</v>
      </c>
      <c r="N67" s="20">
        <f>IFERROR(__xludf.DUMMYFUNCTION("if(regexmatch($B67,""DE""),F67,"""")"),0.0)</f>
        <v>0</v>
      </c>
    </row>
    <row r="68">
      <c r="A68" s="12"/>
      <c r="B68" s="12" t="str">
        <f>IFERROR(__xludf.DUMMYFUNCTION("""COMPUTED_VALUE"""),"DE7")</f>
        <v>DE7</v>
      </c>
      <c r="C68" s="12" t="str">
        <f>IFERROR(__xludf.DUMMYFUNCTION("""COMPUTED_VALUE"""),"[Select Team Name]")</f>
        <v>[Select Team Name]</v>
      </c>
      <c r="D68" s="12">
        <f>IFERROR(__xludf.DUMMYFUNCTION("""COMPUTED_VALUE"""),0.0)</f>
        <v>0</v>
      </c>
      <c r="E68" s="12" t="str">
        <f>IFERROR(__xludf.DUMMYFUNCTION("""COMPUTED_VALUE"""),"[Select Team Name]")</f>
        <v>[Select Team Name]</v>
      </c>
      <c r="F68" s="12">
        <f>IFERROR(__xludf.DUMMYFUNCTION("""COMPUTED_VALUE"""),0.0)</f>
        <v>0</v>
      </c>
      <c r="G68" s="20" t="str">
        <f>IFERROR(__xludf.DUMMYFUNCTION("if(regexmatch($B68,""RR""),concat(C68,E68),"""")"),"")</f>
        <v/>
      </c>
      <c r="H68" s="20" t="str">
        <f>IFERROR(__xludf.DUMMYFUNCTION("if(regexmatch($B68,""RR""),D68,"""")"),"")</f>
        <v/>
      </c>
      <c r="I68" s="20" t="str">
        <f>IFERROR(__xludf.DUMMYFUNCTION("if(regexmatch($B68,""RR""),concat(E68,C68),"""")"),"")</f>
        <v/>
      </c>
      <c r="J68" s="20" t="str">
        <f>IFERROR(__xludf.DUMMYFUNCTION("if(regexmatch($B68,""RR""),F68,"""")"),"")</f>
        <v/>
      </c>
      <c r="K68" s="20" t="str">
        <f>IFERROR(__xludf.DUMMYFUNCTION("if(regexmatch($B68,""DE""),concat(C68,E68),"""")"),"[Select Team Name][Select Team Name]")</f>
        <v>[Select Team Name][Select Team Name]</v>
      </c>
      <c r="L68" s="20">
        <f>IFERROR(__xludf.DUMMYFUNCTION("if(regexmatch($B68,""DE""),D68,"""")"),0.0)</f>
        <v>0</v>
      </c>
      <c r="M68" s="20" t="str">
        <f>IFERROR(__xludf.DUMMYFUNCTION("if(regexmatch($B68,""DE""),concat(E68,C68),"""")"),"[Select Team Name][Select Team Name]")</f>
        <v>[Select Team Name][Select Team Name]</v>
      </c>
      <c r="N68" s="20">
        <f>IFERROR(__xludf.DUMMYFUNCTION("if(regexmatch($B68,""DE""),F68,"""")"),0.0)</f>
        <v>0</v>
      </c>
    </row>
    <row r="69">
      <c r="A69" s="12"/>
      <c r="B69" s="12" t="str">
        <f>IFERROR(__xludf.DUMMYFUNCTION("""COMPUTED_VALUE"""),"DE8")</f>
        <v>DE8</v>
      </c>
      <c r="C69" s="12" t="str">
        <f>IFERROR(__xludf.DUMMYFUNCTION("""COMPUTED_VALUE"""),"[Select Team Name]")</f>
        <v>[Select Team Name]</v>
      </c>
      <c r="D69" s="12">
        <f>IFERROR(__xludf.DUMMYFUNCTION("""COMPUTED_VALUE"""),0.0)</f>
        <v>0</v>
      </c>
      <c r="E69" s="12" t="str">
        <f>IFERROR(__xludf.DUMMYFUNCTION("""COMPUTED_VALUE"""),"[Select Team Name]")</f>
        <v>[Select Team Name]</v>
      </c>
      <c r="F69" s="12">
        <f>IFERROR(__xludf.DUMMYFUNCTION("""COMPUTED_VALUE"""),0.0)</f>
        <v>0</v>
      </c>
      <c r="G69" s="20" t="str">
        <f>IFERROR(__xludf.DUMMYFUNCTION("if(regexmatch($B69,""RR""),concat(C69,E69),"""")"),"")</f>
        <v/>
      </c>
      <c r="H69" s="20" t="str">
        <f>IFERROR(__xludf.DUMMYFUNCTION("if(regexmatch($B69,""RR""),D69,"""")"),"")</f>
        <v/>
      </c>
      <c r="I69" s="20" t="str">
        <f>IFERROR(__xludf.DUMMYFUNCTION("if(regexmatch($B69,""RR""),concat(E69,C69),"""")"),"")</f>
        <v/>
      </c>
      <c r="J69" s="20" t="str">
        <f>IFERROR(__xludf.DUMMYFUNCTION("if(regexmatch($B69,""RR""),F69,"""")"),"")</f>
        <v/>
      </c>
      <c r="K69" s="20" t="str">
        <f>IFERROR(__xludf.DUMMYFUNCTION("if(regexmatch($B69,""DE""),concat(C69,E69),"""")"),"[Select Team Name][Select Team Name]")</f>
        <v>[Select Team Name][Select Team Name]</v>
      </c>
      <c r="L69" s="20">
        <f>IFERROR(__xludf.DUMMYFUNCTION("if(regexmatch($B69,""DE""),D69,"""")"),0.0)</f>
        <v>0</v>
      </c>
      <c r="M69" s="20" t="str">
        <f>IFERROR(__xludf.DUMMYFUNCTION("if(regexmatch($B69,""DE""),concat(E69,C69),"""")"),"[Select Team Name][Select Team Name]")</f>
        <v>[Select Team Name][Select Team Name]</v>
      </c>
      <c r="N69" s="20">
        <f>IFERROR(__xludf.DUMMYFUNCTION("if(regexmatch($B69,""DE""),F69,"""")"),0.0)</f>
        <v>0</v>
      </c>
    </row>
    <row r="70">
      <c r="A70" s="12"/>
      <c r="B70" s="12" t="str">
        <f>IFERROR(__xludf.DUMMYFUNCTION("""COMPUTED_VALUE"""),"DE9")</f>
        <v>DE9</v>
      </c>
      <c r="C70" s="12" t="str">
        <f>IFERROR(__xludf.DUMMYFUNCTION("""COMPUTED_VALUE"""),"[Select Team Name]")</f>
        <v>[Select Team Name]</v>
      </c>
      <c r="D70" s="12">
        <f>IFERROR(__xludf.DUMMYFUNCTION("""COMPUTED_VALUE"""),0.0)</f>
        <v>0</v>
      </c>
      <c r="E70" s="12" t="str">
        <f>IFERROR(__xludf.DUMMYFUNCTION("""COMPUTED_VALUE"""),"[Select Team Name]")</f>
        <v>[Select Team Name]</v>
      </c>
      <c r="F70" s="12">
        <f>IFERROR(__xludf.DUMMYFUNCTION("""COMPUTED_VALUE"""),0.0)</f>
        <v>0</v>
      </c>
      <c r="G70" s="20" t="str">
        <f>IFERROR(__xludf.DUMMYFUNCTION("if(regexmatch($B70,""RR""),concat(C70,E70),"""")"),"")</f>
        <v/>
      </c>
      <c r="H70" s="20" t="str">
        <f>IFERROR(__xludf.DUMMYFUNCTION("if(regexmatch($B70,""RR""),D70,"""")"),"")</f>
        <v/>
      </c>
      <c r="I70" s="20" t="str">
        <f>IFERROR(__xludf.DUMMYFUNCTION("if(regexmatch($B70,""RR""),concat(E70,C70),"""")"),"")</f>
        <v/>
      </c>
      <c r="J70" s="20" t="str">
        <f>IFERROR(__xludf.DUMMYFUNCTION("if(regexmatch($B70,""RR""),F70,"""")"),"")</f>
        <v/>
      </c>
      <c r="K70" s="20" t="str">
        <f>IFERROR(__xludf.DUMMYFUNCTION("if(regexmatch($B70,""DE""),concat(C70,E70),"""")"),"[Select Team Name][Select Team Name]")</f>
        <v>[Select Team Name][Select Team Name]</v>
      </c>
      <c r="L70" s="20">
        <f>IFERROR(__xludf.DUMMYFUNCTION("if(regexmatch($B70,""DE""),D70,"""")"),0.0)</f>
        <v>0</v>
      </c>
      <c r="M70" s="20" t="str">
        <f>IFERROR(__xludf.DUMMYFUNCTION("if(regexmatch($B70,""DE""),concat(E70,C70),"""")"),"[Select Team Name][Select Team Name]")</f>
        <v>[Select Team Name][Select Team Name]</v>
      </c>
      <c r="N70" s="20">
        <f>IFERROR(__xludf.DUMMYFUNCTION("if(regexmatch($B70,""DE""),F70,"""")"),0.0)</f>
        <v>0</v>
      </c>
    </row>
    <row r="71">
      <c r="A71" s="1"/>
      <c r="B71" s="12" t="str">
        <f>IFERROR(__xludf.DUMMYFUNCTION("importrange(""https://docs.google.com/spreadsheets/d/1QQqh1LMcgcn9h4qv1qGXOn_1VskgKm7qOnVT8hgcGnk/edit?gid=0#gid=0"",""Scores!A2:E15"")"),"RR1")</f>
        <v>RR1</v>
      </c>
      <c r="C71" s="12" t="str">
        <f>IFERROR(__xludf.DUMMYFUNCTION("""COMPUTED_VALUE"""),"Troy")</f>
        <v>Troy</v>
      </c>
      <c r="D71" s="12">
        <f>IFERROR(__xludf.DUMMYFUNCTION("""COMPUTED_VALUE"""),138.0)</f>
        <v>138</v>
      </c>
      <c r="E71" s="12" t="str">
        <f>IFERROR(__xludf.DUMMYFUNCTION("""COMPUTED_VALUE"""),"Canyon Crest B")</f>
        <v>Canyon Crest B</v>
      </c>
      <c r="F71" s="12">
        <f>IFERROR(__xludf.DUMMYFUNCTION("""COMPUTED_VALUE"""),38.0)</f>
        <v>38</v>
      </c>
      <c r="G71" s="20" t="str">
        <f>IFERROR(__xludf.DUMMYFUNCTION("if(regexmatch($B71,""RR""),concat(C71,E71),"""")"),"TroyCanyon Crest B")</f>
        <v>TroyCanyon Crest B</v>
      </c>
      <c r="H71" s="20">
        <f>IFERROR(__xludf.DUMMYFUNCTION("if(regexmatch($B71,""RR""),D71,"""")"),138.0)</f>
        <v>138</v>
      </c>
      <c r="I71" s="20" t="str">
        <f>IFERROR(__xludf.DUMMYFUNCTION("if(regexmatch($B71,""RR""),concat(E71,C71),"""")"),"Canyon Crest BTroy")</f>
        <v>Canyon Crest BTroy</v>
      </c>
      <c r="J71" s="20">
        <f>IFERROR(__xludf.DUMMYFUNCTION("if(regexmatch($B71,""RR""),F71,"""")"),38.0)</f>
        <v>38</v>
      </c>
      <c r="K71" s="20" t="str">
        <f>IFERROR(__xludf.DUMMYFUNCTION("if(regexmatch($B71,""DE""),concat(C71,E71),"""")"),"")</f>
        <v/>
      </c>
      <c r="L71" s="20" t="str">
        <f>IFERROR(__xludf.DUMMYFUNCTION("if(regexmatch($B71,""DE""),D71,"""")"),"")</f>
        <v/>
      </c>
      <c r="M71" s="20" t="str">
        <f>IFERROR(__xludf.DUMMYFUNCTION("if(regexmatch($B71,""DE""),concat(E71,C71),"""")"),"")</f>
        <v/>
      </c>
      <c r="N71" s="20" t="str">
        <f>IFERROR(__xludf.DUMMYFUNCTION("if(regexmatch($B71,""DE""),F71,"""")"),"")</f>
        <v/>
      </c>
    </row>
    <row r="72">
      <c r="A72" s="12"/>
      <c r="B72" s="12" t="str">
        <f>IFERROR(__xludf.DUMMYFUNCTION("""COMPUTED_VALUE"""),"RR2")</f>
        <v>RR2</v>
      </c>
      <c r="C72" s="12" t="str">
        <f>IFERROR(__xludf.DUMMYFUNCTION("""COMPUTED_VALUE"""),"Granada Hills A")</f>
        <v>Granada Hills A</v>
      </c>
      <c r="D72" s="12">
        <f>IFERROR(__xludf.DUMMYFUNCTION("""COMPUTED_VALUE"""),130.0)</f>
        <v>130</v>
      </c>
      <c r="E72" s="12" t="str">
        <f>IFERROR(__xludf.DUMMYFUNCTION("""COMPUTED_VALUE"""),"Beckman B")</f>
        <v>Beckman B</v>
      </c>
      <c r="F72" s="12">
        <f>IFERROR(__xludf.DUMMYFUNCTION("""COMPUTED_VALUE"""),38.0)</f>
        <v>38</v>
      </c>
      <c r="G72" s="20" t="str">
        <f>IFERROR(__xludf.DUMMYFUNCTION("if(regexmatch($B72,""RR""),concat(C72,E72),"""")"),"Granada Hills ABeckman B")</f>
        <v>Granada Hills ABeckman B</v>
      </c>
      <c r="H72" s="20">
        <f>IFERROR(__xludf.DUMMYFUNCTION("if(regexmatch($B72,""RR""),D72,"""")"),130.0)</f>
        <v>130</v>
      </c>
      <c r="I72" s="20" t="str">
        <f>IFERROR(__xludf.DUMMYFUNCTION("if(regexmatch($B72,""RR""),concat(E72,C72),"""")"),"Beckman BGranada Hills A")</f>
        <v>Beckman BGranada Hills A</v>
      </c>
      <c r="J72" s="20">
        <f>IFERROR(__xludf.DUMMYFUNCTION("if(regexmatch($B72,""RR""),F72,"""")"),38.0)</f>
        <v>38</v>
      </c>
      <c r="K72" s="20" t="str">
        <f>IFERROR(__xludf.DUMMYFUNCTION("if(regexmatch($B72,""DE""),concat(C72,E72),"""")"),"")</f>
        <v/>
      </c>
      <c r="L72" s="20" t="str">
        <f>IFERROR(__xludf.DUMMYFUNCTION("if(regexmatch($B72,""DE""),D72,"""")"),"")</f>
        <v/>
      </c>
      <c r="M72" s="20" t="str">
        <f>IFERROR(__xludf.DUMMYFUNCTION("if(regexmatch($B72,""DE""),concat(E72,C72),"""")"),"")</f>
        <v/>
      </c>
      <c r="N72" s="20" t="str">
        <f>IFERROR(__xludf.DUMMYFUNCTION("if(regexmatch($B72,""DE""),F72,"""")"),"")</f>
        <v/>
      </c>
    </row>
    <row r="73">
      <c r="A73" s="12"/>
      <c r="B73" s="12" t="str">
        <f>IFERROR(__xludf.DUMMYFUNCTION("""COMPUTED_VALUE"""),"RR3")</f>
        <v>RR3</v>
      </c>
      <c r="C73" s="12" t="str">
        <f>IFERROR(__xludf.DUMMYFUNCTION("""COMPUTED_VALUE"""),"Portola")</f>
        <v>Portola</v>
      </c>
      <c r="D73" s="12">
        <f>IFERROR(__xludf.DUMMYFUNCTION("""COMPUTED_VALUE"""),164.0)</f>
        <v>164</v>
      </c>
      <c r="E73" s="12" t="str">
        <f>IFERROR(__xludf.DUMMYFUNCTION("""COMPUTED_VALUE"""),"Arcadia A")</f>
        <v>Arcadia A</v>
      </c>
      <c r="F73" s="12">
        <f>IFERROR(__xludf.DUMMYFUNCTION("""COMPUTED_VALUE"""),86.0)</f>
        <v>86</v>
      </c>
      <c r="G73" s="20" t="str">
        <f>IFERROR(__xludf.DUMMYFUNCTION("if(regexmatch($B73,""RR""),concat(C73,E73),"""")"),"PortolaArcadia A")</f>
        <v>PortolaArcadia A</v>
      </c>
      <c r="H73" s="20">
        <f>IFERROR(__xludf.DUMMYFUNCTION("if(regexmatch($B73,""RR""),D73,"""")"),164.0)</f>
        <v>164</v>
      </c>
      <c r="I73" s="20" t="str">
        <f>IFERROR(__xludf.DUMMYFUNCTION("if(regexmatch($B73,""RR""),concat(E73,C73),"""")"),"Arcadia APortola")</f>
        <v>Arcadia APortola</v>
      </c>
      <c r="J73" s="20">
        <f>IFERROR(__xludf.DUMMYFUNCTION("if(regexmatch($B73,""RR""),F73,"""")"),86.0)</f>
        <v>86</v>
      </c>
      <c r="K73" s="20" t="str">
        <f>IFERROR(__xludf.DUMMYFUNCTION("if(regexmatch($B73,""DE""),concat(C73,E73),"""")"),"")</f>
        <v/>
      </c>
      <c r="L73" s="20" t="str">
        <f>IFERROR(__xludf.DUMMYFUNCTION("if(regexmatch($B73,""DE""),D73,"""")"),"")</f>
        <v/>
      </c>
      <c r="M73" s="20" t="str">
        <f>IFERROR(__xludf.DUMMYFUNCTION("if(regexmatch($B73,""DE""),concat(E73,C73),"""")"),"")</f>
        <v/>
      </c>
      <c r="N73" s="20" t="str">
        <f>IFERROR(__xludf.DUMMYFUNCTION("if(regexmatch($B73,""DE""),F73,"""")"),"")</f>
        <v/>
      </c>
    </row>
    <row r="74">
      <c r="A74" s="12"/>
      <c r="B74" s="12" t="str">
        <f>IFERROR(__xludf.DUMMYFUNCTION("""COMPUTED_VALUE"""),"RR4")</f>
        <v>RR4</v>
      </c>
      <c r="C74" s="12" t="str">
        <f>IFERROR(__xludf.DUMMYFUNCTION("""COMPUTED_VALUE"""),"Temple City A")</f>
        <v>Temple City A</v>
      </c>
      <c r="D74" s="12">
        <f>IFERROR(__xludf.DUMMYFUNCTION("""COMPUTED_VALUE"""),54.0)</f>
        <v>54</v>
      </c>
      <c r="E74" s="12" t="str">
        <f>IFERROR(__xludf.DUMMYFUNCTION("""COMPUTED_VALUE"""),"University")</f>
        <v>University</v>
      </c>
      <c r="F74" s="12">
        <f>IFERROR(__xludf.DUMMYFUNCTION("""COMPUTED_VALUE"""),100.0)</f>
        <v>100</v>
      </c>
      <c r="G74" s="20" t="str">
        <f>IFERROR(__xludf.DUMMYFUNCTION("if(regexmatch($B74,""RR""),concat(C74,E74),"""")"),"Temple City AUniversity")</f>
        <v>Temple City AUniversity</v>
      </c>
      <c r="H74" s="20">
        <f>IFERROR(__xludf.DUMMYFUNCTION("if(regexmatch($B74,""RR""),D74,"""")"),54.0)</f>
        <v>54</v>
      </c>
      <c r="I74" s="20" t="str">
        <f>IFERROR(__xludf.DUMMYFUNCTION("if(regexmatch($B74,""RR""),concat(E74,C74),"""")"),"UniversityTemple City A")</f>
        <v>UniversityTemple City A</v>
      </c>
      <c r="J74" s="20">
        <f>IFERROR(__xludf.DUMMYFUNCTION("if(regexmatch($B74,""RR""),F74,"""")"),100.0)</f>
        <v>100</v>
      </c>
      <c r="K74" s="20" t="str">
        <f>IFERROR(__xludf.DUMMYFUNCTION("if(regexmatch($B74,""DE""),concat(C74,E74),"""")"),"")</f>
        <v/>
      </c>
      <c r="L74" s="20" t="str">
        <f>IFERROR(__xludf.DUMMYFUNCTION("if(regexmatch($B74,""DE""),D74,"""")"),"")</f>
        <v/>
      </c>
      <c r="M74" s="20" t="str">
        <f>IFERROR(__xludf.DUMMYFUNCTION("if(regexmatch($B74,""DE""),concat(E74,C74),"""")"),"")</f>
        <v/>
      </c>
      <c r="N74" s="20" t="str">
        <f>IFERROR(__xludf.DUMMYFUNCTION("if(regexmatch($B74,""DE""),F74,"""")"),"")</f>
        <v/>
      </c>
    </row>
    <row r="75">
      <c r="A75" s="12"/>
      <c r="B75" s="12" t="str">
        <f>IFERROR(__xludf.DUMMYFUNCTION("""COMPUTED_VALUE"""),"RR5")</f>
        <v>RR5</v>
      </c>
      <c r="C75" s="12" t="str">
        <f>IFERROR(__xludf.DUMMYFUNCTION("""COMPUTED_VALUE"""),"Sci Acad A")</f>
        <v>Sci Acad A</v>
      </c>
      <c r="D75" s="12">
        <f>IFERROR(__xludf.DUMMYFUNCTION("""COMPUTED_VALUE"""),152.0)</f>
        <v>152</v>
      </c>
      <c r="E75" s="12" t="str">
        <f>IFERROR(__xludf.DUMMYFUNCTION("""COMPUTED_VALUE"""),"Temple City A")</f>
        <v>Temple City A</v>
      </c>
      <c r="F75" s="12">
        <f>IFERROR(__xludf.DUMMYFUNCTION("""COMPUTED_VALUE"""),72.0)</f>
        <v>72</v>
      </c>
      <c r="G75" s="20" t="str">
        <f>IFERROR(__xludf.DUMMYFUNCTION("if(regexmatch($B75,""RR""),concat(C75,E75),"""")"),"Sci Acad ATemple City A")</f>
        <v>Sci Acad ATemple City A</v>
      </c>
      <c r="H75" s="20">
        <f>IFERROR(__xludf.DUMMYFUNCTION("if(regexmatch($B75,""RR""),D75,"""")"),152.0)</f>
        <v>152</v>
      </c>
      <c r="I75" s="20" t="str">
        <f>IFERROR(__xludf.DUMMYFUNCTION("if(regexmatch($B75,""RR""),concat(E75,C75),"""")"),"Temple City ASci Acad A")</f>
        <v>Temple City ASci Acad A</v>
      </c>
      <c r="J75" s="20">
        <f>IFERROR(__xludf.DUMMYFUNCTION("if(regexmatch($B75,""RR""),F75,"""")"),72.0)</f>
        <v>72</v>
      </c>
      <c r="K75" s="20" t="str">
        <f>IFERROR(__xludf.DUMMYFUNCTION("if(regexmatch($B75,""DE""),concat(C75,E75),"""")"),"")</f>
        <v/>
      </c>
      <c r="L75" s="20" t="str">
        <f>IFERROR(__xludf.DUMMYFUNCTION("if(regexmatch($B75,""DE""),D75,"""")"),"")</f>
        <v/>
      </c>
      <c r="M75" s="20" t="str">
        <f>IFERROR(__xludf.DUMMYFUNCTION("if(regexmatch($B75,""DE""),concat(E75,C75),"""")"),"")</f>
        <v/>
      </c>
      <c r="N75" s="20" t="str">
        <f>IFERROR(__xludf.DUMMYFUNCTION("if(regexmatch($B75,""DE""),F75,"""")"),"")</f>
        <v/>
      </c>
    </row>
    <row r="76">
      <c r="A76" s="12"/>
      <c r="B76" s="12" t="str">
        <f>IFERROR(__xludf.DUMMYFUNCTION("""COMPUTED_VALUE"""),"DE1")</f>
        <v>DE1</v>
      </c>
      <c r="C76" s="12" t="str">
        <f>IFERROR(__xludf.DUMMYFUNCTION("""COMPUTED_VALUE"""),"Sci Acad B")</f>
        <v>Sci Acad B</v>
      </c>
      <c r="D76" s="12">
        <f>IFERROR(__xludf.DUMMYFUNCTION("""COMPUTED_VALUE"""),70.0)</f>
        <v>70</v>
      </c>
      <c r="E76" s="12" t="str">
        <f>IFERROR(__xludf.DUMMYFUNCTION("""COMPUTED_VALUE"""),"Canyon Crest A")</f>
        <v>Canyon Crest A</v>
      </c>
      <c r="F76" s="12">
        <f>IFERROR(__xludf.DUMMYFUNCTION("""COMPUTED_VALUE"""),126.0)</f>
        <v>126</v>
      </c>
      <c r="G76" s="20" t="str">
        <f>IFERROR(__xludf.DUMMYFUNCTION("if(regexmatch($B76,""RR""),concat(C76,E76),"""")"),"")</f>
        <v/>
      </c>
      <c r="H76" s="20" t="str">
        <f>IFERROR(__xludf.DUMMYFUNCTION("if(regexmatch($B76,""RR""),D76,"""")"),"")</f>
        <v/>
      </c>
      <c r="I76" s="20" t="str">
        <f>IFERROR(__xludf.DUMMYFUNCTION("if(regexmatch($B76,""RR""),concat(E76,C76),"""")"),"")</f>
        <v/>
      </c>
      <c r="J76" s="20" t="str">
        <f>IFERROR(__xludf.DUMMYFUNCTION("if(regexmatch($B76,""RR""),F76,"""")"),"")</f>
        <v/>
      </c>
      <c r="K76" s="20" t="str">
        <f>IFERROR(__xludf.DUMMYFUNCTION("if(regexmatch($B76,""DE""),concat(C76,E76),"""")"),"Sci Acad BCanyon Crest A")</f>
        <v>Sci Acad BCanyon Crest A</v>
      </c>
      <c r="L76" s="20">
        <f>IFERROR(__xludf.DUMMYFUNCTION("if(regexmatch($B76,""DE""),D76,"""")"),70.0)</f>
        <v>70</v>
      </c>
      <c r="M76" s="20" t="str">
        <f>IFERROR(__xludf.DUMMYFUNCTION("if(regexmatch($B76,""DE""),concat(E76,C76),"""")"),"Canyon Crest ASci Acad B")</f>
        <v>Canyon Crest ASci Acad B</v>
      </c>
      <c r="N76" s="20">
        <f>IFERROR(__xludf.DUMMYFUNCTION("if(regexmatch($B76,""DE""),F76,"""")"),126.0)</f>
        <v>126</v>
      </c>
    </row>
    <row r="77">
      <c r="A77" s="12"/>
      <c r="B77" s="12" t="str">
        <f>IFERROR(__xludf.DUMMYFUNCTION("""COMPUTED_VALUE"""),"DE2")</f>
        <v>DE2</v>
      </c>
      <c r="C77" s="12" t="str">
        <f>IFERROR(__xludf.DUMMYFUNCTION("""COMPUTED_VALUE"""),"University")</f>
        <v>University</v>
      </c>
      <c r="D77" s="12">
        <f>IFERROR(__xludf.DUMMYFUNCTION("""COMPUTED_VALUE"""),118.0)</f>
        <v>118</v>
      </c>
      <c r="E77" s="12" t="str">
        <f>IFERROR(__xludf.DUMMYFUNCTION("""COMPUTED_VALUE"""),"North Hollywood B")</f>
        <v>North Hollywood B</v>
      </c>
      <c r="F77" s="12">
        <f>IFERROR(__xludf.DUMMYFUNCTION("""COMPUTED_VALUE"""),44.0)</f>
        <v>44</v>
      </c>
      <c r="G77" s="20" t="str">
        <f>IFERROR(__xludf.DUMMYFUNCTION("if(regexmatch($B77,""RR""),concat(C77,E77),"""")"),"")</f>
        <v/>
      </c>
      <c r="H77" s="20" t="str">
        <f>IFERROR(__xludf.DUMMYFUNCTION("if(regexmatch($B77,""RR""),D77,"""")"),"")</f>
        <v/>
      </c>
      <c r="I77" s="20" t="str">
        <f>IFERROR(__xludf.DUMMYFUNCTION("if(regexmatch($B77,""RR""),concat(E77,C77),"""")"),"")</f>
        <v/>
      </c>
      <c r="J77" s="20" t="str">
        <f>IFERROR(__xludf.DUMMYFUNCTION("if(regexmatch($B77,""RR""),F77,"""")"),"")</f>
        <v/>
      </c>
      <c r="K77" s="20" t="str">
        <f>IFERROR(__xludf.DUMMYFUNCTION("if(regexmatch($B77,""DE""),concat(C77,E77),"""")"),"UniversityNorth Hollywood B")</f>
        <v>UniversityNorth Hollywood B</v>
      </c>
      <c r="L77" s="20">
        <f>IFERROR(__xludf.DUMMYFUNCTION("if(regexmatch($B77,""DE""),D77,"""")"),118.0)</f>
        <v>118</v>
      </c>
      <c r="M77" s="20" t="str">
        <f>IFERROR(__xludf.DUMMYFUNCTION("if(regexmatch($B77,""DE""),concat(E77,C77),"""")"),"North Hollywood BUniversity")</f>
        <v>North Hollywood BUniversity</v>
      </c>
      <c r="N77" s="20">
        <f>IFERROR(__xludf.DUMMYFUNCTION("if(regexmatch($B77,""DE""),F77,"""")"),44.0)</f>
        <v>44</v>
      </c>
    </row>
    <row r="78">
      <c r="A78" s="12"/>
      <c r="B78" s="12" t="str">
        <f>IFERROR(__xludf.DUMMYFUNCTION("""COMPUTED_VALUE"""),"DE3")</f>
        <v>DE3</v>
      </c>
      <c r="C78" s="12" t="str">
        <f>IFERROR(__xludf.DUMMYFUNCTION("""COMPUTED_VALUE"""),"Sci Acad A")</f>
        <v>Sci Acad A</v>
      </c>
      <c r="D78" s="12">
        <f>IFERROR(__xludf.DUMMYFUNCTION("""COMPUTED_VALUE"""),94.0)</f>
        <v>94</v>
      </c>
      <c r="E78" s="12" t="str">
        <f>IFERROR(__xludf.DUMMYFUNCTION("""COMPUTED_VALUE"""),"Canyon Crest A")</f>
        <v>Canyon Crest A</v>
      </c>
      <c r="F78" s="12">
        <f>IFERROR(__xludf.DUMMYFUNCTION("""COMPUTED_VALUE"""),106.0)</f>
        <v>106</v>
      </c>
      <c r="G78" s="20" t="str">
        <f>IFERROR(__xludf.DUMMYFUNCTION("if(regexmatch($B78,""RR""),concat(C78,E78),"""")"),"")</f>
        <v/>
      </c>
      <c r="H78" s="20" t="str">
        <f>IFERROR(__xludf.DUMMYFUNCTION("if(regexmatch($B78,""RR""),D78,"""")"),"")</f>
        <v/>
      </c>
      <c r="I78" s="20" t="str">
        <f>IFERROR(__xludf.DUMMYFUNCTION("if(regexmatch($B78,""RR""),concat(E78,C78),"""")"),"")</f>
        <v/>
      </c>
      <c r="J78" s="20" t="str">
        <f>IFERROR(__xludf.DUMMYFUNCTION("if(regexmatch($B78,""RR""),F78,"""")"),"")</f>
        <v/>
      </c>
      <c r="K78" s="20" t="str">
        <f>IFERROR(__xludf.DUMMYFUNCTION("if(regexmatch($B78,""DE""),concat(C78,E78),"""")"),"Sci Acad ACanyon Crest A")</f>
        <v>Sci Acad ACanyon Crest A</v>
      </c>
      <c r="L78" s="20">
        <f>IFERROR(__xludf.DUMMYFUNCTION("if(regexmatch($B78,""DE""),D78,"""")"),94.0)</f>
        <v>94</v>
      </c>
      <c r="M78" s="20" t="str">
        <f>IFERROR(__xludf.DUMMYFUNCTION("if(regexmatch($B78,""DE""),concat(E78,C78),"""")"),"Canyon Crest ASci Acad A")</f>
        <v>Canyon Crest ASci Acad A</v>
      </c>
      <c r="N78" s="20">
        <f>IFERROR(__xludf.DUMMYFUNCTION("if(regexmatch($B78,""DE""),F78,"""")"),106.0)</f>
        <v>106</v>
      </c>
    </row>
    <row r="79">
      <c r="A79" s="12"/>
      <c r="B79" s="12" t="str">
        <f>IFERROR(__xludf.DUMMYFUNCTION("""COMPUTED_VALUE"""),"DE4")</f>
        <v>DE4</v>
      </c>
      <c r="C79" s="12" t="str">
        <f>IFERROR(__xludf.DUMMYFUNCTION("""COMPUTED_VALUE"""),"Troy")</f>
        <v>Troy</v>
      </c>
      <c r="D79" s="12">
        <f>IFERROR(__xludf.DUMMYFUNCTION("""COMPUTED_VALUE"""),60.0)</f>
        <v>60</v>
      </c>
      <c r="E79" s="12" t="str">
        <f>IFERROR(__xludf.DUMMYFUNCTION("""COMPUTED_VALUE"""),"Portola")</f>
        <v>Portola</v>
      </c>
      <c r="F79" s="12">
        <f>IFERROR(__xludf.DUMMYFUNCTION("""COMPUTED_VALUE"""),62.0)</f>
        <v>62</v>
      </c>
      <c r="G79" s="20" t="str">
        <f>IFERROR(__xludf.DUMMYFUNCTION("if(regexmatch($B79,""RR""),concat(C79,E79),"""")"),"")</f>
        <v/>
      </c>
      <c r="H79" s="20" t="str">
        <f>IFERROR(__xludf.DUMMYFUNCTION("if(regexmatch($B79,""RR""),D79,"""")"),"")</f>
        <v/>
      </c>
      <c r="I79" s="20" t="str">
        <f>IFERROR(__xludf.DUMMYFUNCTION("if(regexmatch($B79,""RR""),concat(E79,C79),"""")"),"")</f>
        <v/>
      </c>
      <c r="J79" s="20" t="str">
        <f>IFERROR(__xludf.DUMMYFUNCTION("if(regexmatch($B79,""RR""),F79,"""")"),"")</f>
        <v/>
      </c>
      <c r="K79" s="20" t="str">
        <f>IFERROR(__xludf.DUMMYFUNCTION("if(regexmatch($B79,""DE""),concat(C79,E79),"""")"),"TroyPortola")</f>
        <v>TroyPortola</v>
      </c>
      <c r="L79" s="20">
        <f>IFERROR(__xludf.DUMMYFUNCTION("if(regexmatch($B79,""DE""),D79,"""")"),60.0)</f>
        <v>60</v>
      </c>
      <c r="M79" s="20" t="str">
        <f>IFERROR(__xludf.DUMMYFUNCTION("if(regexmatch($B79,""DE""),concat(E79,C79),"""")"),"PortolaTroy")</f>
        <v>PortolaTroy</v>
      </c>
      <c r="N79" s="20">
        <f>IFERROR(__xludf.DUMMYFUNCTION("if(regexmatch($B79,""DE""),F79,"""")"),62.0)</f>
        <v>62</v>
      </c>
    </row>
    <row r="80">
      <c r="A80" s="12"/>
      <c r="B80" s="12" t="str">
        <f>IFERROR(__xludf.DUMMYFUNCTION("""COMPUTED_VALUE"""),"DE5")</f>
        <v>DE5</v>
      </c>
      <c r="C80" s="12" t="str">
        <f>IFERROR(__xludf.DUMMYFUNCTION("""COMPUTED_VALUE"""),"Sci Acad A")</f>
        <v>Sci Acad A</v>
      </c>
      <c r="D80" s="12">
        <f>IFERROR(__xludf.DUMMYFUNCTION("""COMPUTED_VALUE"""),36.0)</f>
        <v>36</v>
      </c>
      <c r="E80" s="12" t="str">
        <f>IFERROR(__xludf.DUMMYFUNCTION("""COMPUTED_VALUE"""),"Portola")</f>
        <v>Portola</v>
      </c>
      <c r="F80" s="12">
        <f>IFERROR(__xludf.DUMMYFUNCTION("""COMPUTED_VALUE"""),60.0)</f>
        <v>60</v>
      </c>
      <c r="G80" s="20" t="str">
        <f>IFERROR(__xludf.DUMMYFUNCTION("if(regexmatch($B80,""RR""),concat(C80,E80),"""")"),"")</f>
        <v/>
      </c>
      <c r="H80" s="20" t="str">
        <f>IFERROR(__xludf.DUMMYFUNCTION("if(regexmatch($B80,""RR""),D80,"""")"),"")</f>
        <v/>
      </c>
      <c r="I80" s="20" t="str">
        <f>IFERROR(__xludf.DUMMYFUNCTION("if(regexmatch($B80,""RR""),concat(E80,C80),"""")"),"")</f>
        <v/>
      </c>
      <c r="J80" s="20" t="str">
        <f>IFERROR(__xludf.DUMMYFUNCTION("if(regexmatch($B80,""RR""),F80,"""")"),"")</f>
        <v/>
      </c>
      <c r="K80" s="20" t="str">
        <f>IFERROR(__xludf.DUMMYFUNCTION("if(regexmatch($B80,""DE""),concat(C80,E80),"""")"),"Sci Acad APortola")</f>
        <v>Sci Acad APortola</v>
      </c>
      <c r="L80" s="20">
        <f>IFERROR(__xludf.DUMMYFUNCTION("if(regexmatch($B80,""DE""),D80,"""")"),36.0)</f>
        <v>36</v>
      </c>
      <c r="M80" s="20" t="str">
        <f>IFERROR(__xludf.DUMMYFUNCTION("if(regexmatch($B80,""DE""),concat(E80,C80),"""")"),"PortolaSci Acad A")</f>
        <v>PortolaSci Acad A</v>
      </c>
      <c r="N80" s="20">
        <f>IFERROR(__xludf.DUMMYFUNCTION("if(regexmatch($B80,""DE""),F80,"""")"),60.0)</f>
        <v>60</v>
      </c>
    </row>
    <row r="81">
      <c r="A81" s="12"/>
      <c r="B81" s="12" t="str">
        <f>IFERROR(__xludf.DUMMYFUNCTION("""COMPUTED_VALUE"""),"DE6")</f>
        <v>DE6</v>
      </c>
      <c r="C81" s="12" t="str">
        <f>IFERROR(__xludf.DUMMYFUNCTION("""COMPUTED_VALUE"""),"[Select Team Name]")</f>
        <v>[Select Team Name]</v>
      </c>
      <c r="D81" s="12">
        <f>IFERROR(__xludf.DUMMYFUNCTION("""COMPUTED_VALUE"""),0.0)</f>
        <v>0</v>
      </c>
      <c r="E81" s="12" t="str">
        <f>IFERROR(__xludf.DUMMYFUNCTION("""COMPUTED_VALUE"""),"[Select Team Name]")</f>
        <v>[Select Team Name]</v>
      </c>
      <c r="F81" s="12">
        <f>IFERROR(__xludf.DUMMYFUNCTION("""COMPUTED_VALUE"""),0.0)</f>
        <v>0</v>
      </c>
      <c r="G81" s="20" t="str">
        <f>IFERROR(__xludf.DUMMYFUNCTION("if(regexmatch($B81,""RR""),concat(C81,E81),"""")"),"")</f>
        <v/>
      </c>
      <c r="H81" s="20" t="str">
        <f>IFERROR(__xludf.DUMMYFUNCTION("if(regexmatch($B81,""RR""),D81,"""")"),"")</f>
        <v/>
      </c>
      <c r="I81" s="20" t="str">
        <f>IFERROR(__xludf.DUMMYFUNCTION("if(regexmatch($B81,""RR""),concat(E81,C81),"""")"),"")</f>
        <v/>
      </c>
      <c r="J81" s="20" t="str">
        <f>IFERROR(__xludf.DUMMYFUNCTION("if(regexmatch($B81,""RR""),F81,"""")"),"")</f>
        <v/>
      </c>
      <c r="K81" s="20" t="str">
        <f>IFERROR(__xludf.DUMMYFUNCTION("if(regexmatch($B81,""DE""),concat(C81,E81),"""")"),"[Select Team Name][Select Team Name]")</f>
        <v>[Select Team Name][Select Team Name]</v>
      </c>
      <c r="L81" s="20">
        <f>IFERROR(__xludf.DUMMYFUNCTION("if(regexmatch($B81,""DE""),D81,"""")"),0.0)</f>
        <v>0</v>
      </c>
      <c r="M81" s="20" t="str">
        <f>IFERROR(__xludf.DUMMYFUNCTION("if(regexmatch($B81,""DE""),concat(E81,C81),"""")"),"[Select Team Name][Select Team Name]")</f>
        <v>[Select Team Name][Select Team Name]</v>
      </c>
      <c r="N81" s="20">
        <f>IFERROR(__xludf.DUMMYFUNCTION("if(regexmatch($B81,""DE""),F81,"""")"),0.0)</f>
        <v>0</v>
      </c>
    </row>
    <row r="82">
      <c r="A82" s="12"/>
      <c r="B82" s="12" t="str">
        <f>IFERROR(__xludf.DUMMYFUNCTION("""COMPUTED_VALUE"""),"DE7")</f>
        <v>DE7</v>
      </c>
      <c r="C82" s="12" t="str">
        <f>IFERROR(__xludf.DUMMYFUNCTION("""COMPUTED_VALUE"""),"[Select Team Name]")</f>
        <v>[Select Team Name]</v>
      </c>
      <c r="D82" s="12">
        <f>IFERROR(__xludf.DUMMYFUNCTION("""COMPUTED_VALUE"""),0.0)</f>
        <v>0</v>
      </c>
      <c r="E82" s="12" t="str">
        <f>IFERROR(__xludf.DUMMYFUNCTION("""COMPUTED_VALUE"""),"[Select Team Name]")</f>
        <v>[Select Team Name]</v>
      </c>
      <c r="F82" s="12">
        <f>IFERROR(__xludf.DUMMYFUNCTION("""COMPUTED_VALUE"""),0.0)</f>
        <v>0</v>
      </c>
      <c r="G82" s="20" t="str">
        <f>IFERROR(__xludf.DUMMYFUNCTION("if(regexmatch($B82,""RR""),concat(C82,E82),"""")"),"")</f>
        <v/>
      </c>
      <c r="H82" s="20" t="str">
        <f>IFERROR(__xludf.DUMMYFUNCTION("if(regexmatch($B82,""RR""),D82,"""")"),"")</f>
        <v/>
      </c>
      <c r="I82" s="20" t="str">
        <f>IFERROR(__xludf.DUMMYFUNCTION("if(regexmatch($B82,""RR""),concat(E82,C82),"""")"),"")</f>
        <v/>
      </c>
      <c r="J82" s="20" t="str">
        <f>IFERROR(__xludf.DUMMYFUNCTION("if(regexmatch($B82,""RR""),F82,"""")"),"")</f>
        <v/>
      </c>
      <c r="K82" s="20" t="str">
        <f>IFERROR(__xludf.DUMMYFUNCTION("if(regexmatch($B82,""DE""),concat(C82,E82),"""")"),"[Select Team Name][Select Team Name]")</f>
        <v>[Select Team Name][Select Team Name]</v>
      </c>
      <c r="L82" s="20">
        <f>IFERROR(__xludf.DUMMYFUNCTION("if(regexmatch($B82,""DE""),D82,"""")"),0.0)</f>
        <v>0</v>
      </c>
      <c r="M82" s="20" t="str">
        <f>IFERROR(__xludf.DUMMYFUNCTION("if(regexmatch($B82,""DE""),concat(E82,C82),"""")"),"[Select Team Name][Select Team Name]")</f>
        <v>[Select Team Name][Select Team Name]</v>
      </c>
      <c r="N82" s="20">
        <f>IFERROR(__xludf.DUMMYFUNCTION("if(regexmatch($B82,""DE""),F82,"""")"),0.0)</f>
        <v>0</v>
      </c>
    </row>
    <row r="83">
      <c r="A83" s="12"/>
      <c r="B83" s="12" t="str">
        <f>IFERROR(__xludf.DUMMYFUNCTION("""COMPUTED_VALUE"""),"DE8")</f>
        <v>DE8</v>
      </c>
      <c r="C83" s="12" t="str">
        <f>IFERROR(__xludf.DUMMYFUNCTION("""COMPUTED_VALUE"""),"[Select Team Name]")</f>
        <v>[Select Team Name]</v>
      </c>
      <c r="D83" s="12">
        <f>IFERROR(__xludf.DUMMYFUNCTION("""COMPUTED_VALUE"""),0.0)</f>
        <v>0</v>
      </c>
      <c r="E83" s="12" t="str">
        <f>IFERROR(__xludf.DUMMYFUNCTION("""COMPUTED_VALUE"""),"[Select Team Name]")</f>
        <v>[Select Team Name]</v>
      </c>
      <c r="F83" s="12">
        <f>IFERROR(__xludf.DUMMYFUNCTION("""COMPUTED_VALUE"""),0.0)</f>
        <v>0</v>
      </c>
      <c r="G83" s="20" t="str">
        <f>IFERROR(__xludf.DUMMYFUNCTION("if(regexmatch($B83,""RR""),concat(C83,E83),"""")"),"")</f>
        <v/>
      </c>
      <c r="H83" s="20" t="str">
        <f>IFERROR(__xludf.DUMMYFUNCTION("if(regexmatch($B83,""RR""),D83,"""")"),"")</f>
        <v/>
      </c>
      <c r="I83" s="20" t="str">
        <f>IFERROR(__xludf.DUMMYFUNCTION("if(regexmatch($B83,""RR""),concat(E83,C83),"""")"),"")</f>
        <v/>
      </c>
      <c r="J83" s="20" t="str">
        <f>IFERROR(__xludf.DUMMYFUNCTION("if(regexmatch($B83,""RR""),F83,"""")"),"")</f>
        <v/>
      </c>
      <c r="K83" s="20" t="str">
        <f>IFERROR(__xludf.DUMMYFUNCTION("if(regexmatch($B83,""DE""),concat(C83,E83),"""")"),"[Select Team Name][Select Team Name]")</f>
        <v>[Select Team Name][Select Team Name]</v>
      </c>
      <c r="L83" s="20">
        <f>IFERROR(__xludf.DUMMYFUNCTION("if(regexmatch($B83,""DE""),D83,"""")"),0.0)</f>
        <v>0</v>
      </c>
      <c r="M83" s="20" t="str">
        <f>IFERROR(__xludf.DUMMYFUNCTION("if(regexmatch($B83,""DE""),concat(E83,C83),"""")"),"[Select Team Name][Select Team Name]")</f>
        <v>[Select Team Name][Select Team Name]</v>
      </c>
      <c r="N83" s="20">
        <f>IFERROR(__xludf.DUMMYFUNCTION("if(regexmatch($B83,""DE""),F83,"""")"),0.0)</f>
        <v>0</v>
      </c>
    </row>
    <row r="84">
      <c r="A84" s="12"/>
      <c r="B84" s="12" t="str">
        <f>IFERROR(__xludf.DUMMYFUNCTION("""COMPUTED_VALUE"""),"DE9")</f>
        <v>DE9</v>
      </c>
      <c r="C84" s="12" t="str">
        <f>IFERROR(__xludf.DUMMYFUNCTION("""COMPUTED_VALUE"""),"[Select Team Name]")</f>
        <v>[Select Team Name]</v>
      </c>
      <c r="D84" s="12">
        <f>IFERROR(__xludf.DUMMYFUNCTION("""COMPUTED_VALUE"""),0.0)</f>
        <v>0</v>
      </c>
      <c r="E84" s="12" t="str">
        <f>IFERROR(__xludf.DUMMYFUNCTION("""COMPUTED_VALUE"""),"[Select Team Name]")</f>
        <v>[Select Team Name]</v>
      </c>
      <c r="F84" s="12">
        <f>IFERROR(__xludf.DUMMYFUNCTION("""COMPUTED_VALUE"""),0.0)</f>
        <v>0</v>
      </c>
      <c r="G84" s="20" t="str">
        <f>IFERROR(__xludf.DUMMYFUNCTION("if(regexmatch($B84,""RR""),concat(C84,E84),"""")"),"")</f>
        <v/>
      </c>
      <c r="H84" s="20" t="str">
        <f>IFERROR(__xludf.DUMMYFUNCTION("if(regexmatch($B84,""RR""),D84,"""")"),"")</f>
        <v/>
      </c>
      <c r="I84" s="20" t="str">
        <f>IFERROR(__xludf.DUMMYFUNCTION("if(regexmatch($B84,""RR""),concat(E84,C84),"""")"),"")</f>
        <v/>
      </c>
      <c r="J84" s="20" t="str">
        <f>IFERROR(__xludf.DUMMYFUNCTION("if(regexmatch($B84,""RR""),F84,"""")"),"")</f>
        <v/>
      </c>
      <c r="K84" s="20" t="str">
        <f>IFERROR(__xludf.DUMMYFUNCTION("if(regexmatch($B84,""DE""),concat(C84,E84),"""")"),"[Select Team Name][Select Team Name]")</f>
        <v>[Select Team Name][Select Team Name]</v>
      </c>
      <c r="L84" s="20">
        <f>IFERROR(__xludf.DUMMYFUNCTION("if(regexmatch($B84,""DE""),D84,"""")"),0.0)</f>
        <v>0</v>
      </c>
      <c r="M84" s="20" t="str">
        <f>IFERROR(__xludf.DUMMYFUNCTION("if(regexmatch($B84,""DE""),concat(E84,C84),"""")"),"[Select Team Name][Select Team Name]")</f>
        <v>[Select Team Name][Select Team Name]</v>
      </c>
      <c r="N84" s="20">
        <f>IFERROR(__xludf.DUMMYFUNCTION("if(regexmatch($B84,""DE""),F84,"""")"),0.0)</f>
        <v>0</v>
      </c>
    </row>
    <row r="85">
      <c r="A85" s="1"/>
      <c r="B85" s="12" t="str">
        <f>IFERROR(__xludf.DUMMYFUNCTION("importrange(""https://docs.google.com/spreadsheets/d/1_mBQCVDfmrXNTP5kf5UxmRoYNJ13A65oWG_uMLZw0is/edit?gid=0#gid=0"",""Scores!A2:E15"")"),"RR1")</f>
        <v>RR1</v>
      </c>
      <c r="C85" s="12" t="str">
        <f>IFERROR(__xludf.DUMMYFUNCTION("""COMPUTED_VALUE"""),"Arcadia B")</f>
        <v>Arcadia B</v>
      </c>
      <c r="D85" s="12">
        <f>IFERROR(__xludf.DUMMYFUNCTION("""COMPUTED_VALUE"""),104.0)</f>
        <v>104</v>
      </c>
      <c r="E85" s="12" t="str">
        <f>IFERROR(__xludf.DUMMYFUNCTION("""COMPUTED_VALUE"""),"Temple City A")</f>
        <v>Temple City A</v>
      </c>
      <c r="F85" s="12">
        <f>IFERROR(__xludf.DUMMYFUNCTION("""COMPUTED_VALUE"""),126.0)</f>
        <v>126</v>
      </c>
      <c r="G85" s="20" t="str">
        <f>IFERROR(__xludf.DUMMYFUNCTION("if(regexmatch($B85,""RR""),concat(C85,E85),"""")"),"Arcadia BTemple City A")</f>
        <v>Arcadia BTemple City A</v>
      </c>
      <c r="H85" s="20">
        <f>IFERROR(__xludf.DUMMYFUNCTION("if(regexmatch($B85,""RR""),D85,"""")"),104.0)</f>
        <v>104</v>
      </c>
      <c r="I85" s="20" t="str">
        <f>IFERROR(__xludf.DUMMYFUNCTION("if(regexmatch($B85,""RR""),concat(E85,C85),"""")"),"Temple City AArcadia B")</f>
        <v>Temple City AArcadia B</v>
      </c>
      <c r="J85" s="20">
        <f>IFERROR(__xludf.DUMMYFUNCTION("if(regexmatch($B85,""RR""),F85,"""")"),126.0)</f>
        <v>126</v>
      </c>
      <c r="K85" s="20" t="str">
        <f>IFERROR(__xludf.DUMMYFUNCTION("if(regexmatch($B85,""DE""),concat(C85,E85),"""")"),"")</f>
        <v/>
      </c>
      <c r="L85" s="20" t="str">
        <f>IFERROR(__xludf.DUMMYFUNCTION("if(regexmatch($B85,""DE""),D85,"""")"),"")</f>
        <v/>
      </c>
      <c r="M85" s="20" t="str">
        <f>IFERROR(__xludf.DUMMYFUNCTION("if(regexmatch($B85,""DE""),concat(E85,C85),"""")"),"")</f>
        <v/>
      </c>
      <c r="N85" s="20" t="str">
        <f>IFERROR(__xludf.DUMMYFUNCTION("if(regexmatch($B85,""DE""),F85,"""")"),"")</f>
        <v/>
      </c>
    </row>
    <row r="86">
      <c r="A86" s="12"/>
      <c r="B86" s="12" t="str">
        <f>IFERROR(__xludf.DUMMYFUNCTION("""COMPUTED_VALUE"""),"RR2")</f>
        <v>RR2</v>
      </c>
      <c r="C86" s="12" t="str">
        <f>IFERROR(__xludf.DUMMYFUNCTION("""COMPUTED_VALUE"""),"Beckman A")</f>
        <v>Beckman A</v>
      </c>
      <c r="D86" s="12">
        <f>IFERROR(__xludf.DUMMYFUNCTION("""COMPUTED_VALUE"""),104.0)</f>
        <v>104</v>
      </c>
      <c r="E86" s="12" t="str">
        <f>IFERROR(__xludf.DUMMYFUNCTION("""COMPUTED_VALUE"""),"Westview")</f>
        <v>Westview</v>
      </c>
      <c r="F86" s="12">
        <f>IFERROR(__xludf.DUMMYFUNCTION("""COMPUTED_VALUE"""),60.0)</f>
        <v>60</v>
      </c>
      <c r="G86" s="20" t="str">
        <f>IFERROR(__xludf.DUMMYFUNCTION("if(regexmatch($B86,""RR""),concat(C86,E86),"""")"),"Beckman AWestview")</f>
        <v>Beckman AWestview</v>
      </c>
      <c r="H86" s="20">
        <f>IFERROR(__xludf.DUMMYFUNCTION("if(regexmatch($B86,""RR""),D86,"""")"),104.0)</f>
        <v>104</v>
      </c>
      <c r="I86" s="20" t="str">
        <f>IFERROR(__xludf.DUMMYFUNCTION("if(regexmatch($B86,""RR""),concat(E86,C86),"""")"),"WestviewBeckman A")</f>
        <v>WestviewBeckman A</v>
      </c>
      <c r="J86" s="20">
        <f>IFERROR(__xludf.DUMMYFUNCTION("if(regexmatch($B86,""RR""),F86,"""")"),60.0)</f>
        <v>60</v>
      </c>
      <c r="K86" s="20" t="str">
        <f>IFERROR(__xludf.DUMMYFUNCTION("if(regexmatch($B86,""DE""),concat(C86,E86),"""")"),"")</f>
        <v/>
      </c>
      <c r="L86" s="20" t="str">
        <f>IFERROR(__xludf.DUMMYFUNCTION("if(regexmatch($B86,""DE""),D86,"""")"),"")</f>
        <v/>
      </c>
      <c r="M86" s="20" t="str">
        <f>IFERROR(__xludf.DUMMYFUNCTION("if(regexmatch($B86,""DE""),concat(E86,C86),"""")"),"")</f>
        <v/>
      </c>
      <c r="N86" s="20" t="str">
        <f>IFERROR(__xludf.DUMMYFUNCTION("if(regexmatch($B86,""DE""),F86,"""")"),"")</f>
        <v/>
      </c>
    </row>
    <row r="87">
      <c r="A87" s="12"/>
      <c r="B87" s="12" t="str">
        <f>IFERROR(__xludf.DUMMYFUNCTION("""COMPUTED_VALUE"""),"RR3")</f>
        <v>RR3</v>
      </c>
      <c r="C87" s="12" t="str">
        <f>IFERROR(__xludf.DUMMYFUNCTION("""COMPUTED_VALUE"""),"Canyon Crest A")</f>
        <v>Canyon Crest A</v>
      </c>
      <c r="D87" s="12">
        <f>IFERROR(__xludf.DUMMYFUNCTION("""COMPUTED_VALUE"""),170.0)</f>
        <v>170</v>
      </c>
      <c r="E87" s="12" t="str">
        <f>IFERROR(__xludf.DUMMYFUNCTION("""COMPUTED_VALUE"""),"Oak Avenue")</f>
        <v>Oak Avenue</v>
      </c>
      <c r="F87" s="12">
        <f>IFERROR(__xludf.DUMMYFUNCTION("""COMPUTED_VALUE"""),72.0)</f>
        <v>72</v>
      </c>
      <c r="G87" s="20" t="str">
        <f>IFERROR(__xludf.DUMMYFUNCTION("if(regexmatch($B87,""RR""),concat(C87,E87),"""")"),"Canyon Crest AOak Avenue")</f>
        <v>Canyon Crest AOak Avenue</v>
      </c>
      <c r="H87" s="20">
        <f>IFERROR(__xludf.DUMMYFUNCTION("if(regexmatch($B87,""RR""),D87,"""")"),170.0)</f>
        <v>170</v>
      </c>
      <c r="I87" s="20" t="str">
        <f>IFERROR(__xludf.DUMMYFUNCTION("if(regexmatch($B87,""RR""),concat(E87,C87),"""")"),"Oak AvenueCanyon Crest A")</f>
        <v>Oak AvenueCanyon Crest A</v>
      </c>
      <c r="J87" s="20">
        <f>IFERROR(__xludf.DUMMYFUNCTION("if(regexmatch($B87,""RR""),F87,"""")"),72.0)</f>
        <v>72</v>
      </c>
      <c r="K87" s="20" t="str">
        <f>IFERROR(__xludf.DUMMYFUNCTION("if(regexmatch($B87,""DE""),concat(C87,E87),"""")"),"")</f>
        <v/>
      </c>
      <c r="L87" s="20" t="str">
        <f>IFERROR(__xludf.DUMMYFUNCTION("if(regexmatch($B87,""DE""),D87,"""")"),"")</f>
        <v/>
      </c>
      <c r="M87" s="20" t="str">
        <f>IFERROR(__xludf.DUMMYFUNCTION("if(regexmatch($B87,""DE""),concat(E87,C87),"""")"),"")</f>
        <v/>
      </c>
      <c r="N87" s="20" t="str">
        <f>IFERROR(__xludf.DUMMYFUNCTION("if(regexmatch($B87,""DE""),F87,"""")"),"")</f>
        <v/>
      </c>
    </row>
    <row r="88">
      <c r="A88" s="12"/>
      <c r="B88" s="12" t="str">
        <f>IFERROR(__xludf.DUMMYFUNCTION("""COMPUTED_VALUE"""),"RR4")</f>
        <v>RR4</v>
      </c>
      <c r="C88" s="12" t="str">
        <f>IFERROR(__xludf.DUMMYFUNCTION("""COMPUTED_VALUE"""),"Venice B")</f>
        <v>Venice B</v>
      </c>
      <c r="D88" s="12">
        <f>IFERROR(__xludf.DUMMYFUNCTION("""COMPUTED_VALUE"""),54.0)</f>
        <v>54</v>
      </c>
      <c r="E88" s="12" t="str">
        <f>IFERROR(__xludf.DUMMYFUNCTION("""COMPUTED_VALUE"""),"Portola")</f>
        <v>Portola</v>
      </c>
      <c r="F88" s="12">
        <f>IFERROR(__xludf.DUMMYFUNCTION("""COMPUTED_VALUE"""),118.0)</f>
        <v>118</v>
      </c>
      <c r="G88" s="20" t="str">
        <f>IFERROR(__xludf.DUMMYFUNCTION("if(regexmatch($B88,""RR""),concat(C88,E88),"""")"),"Venice BPortola")</f>
        <v>Venice BPortola</v>
      </c>
      <c r="H88" s="20">
        <f>IFERROR(__xludf.DUMMYFUNCTION("if(regexmatch($B88,""RR""),D88,"""")"),54.0)</f>
        <v>54</v>
      </c>
      <c r="I88" s="20" t="str">
        <f>IFERROR(__xludf.DUMMYFUNCTION("if(regexmatch($B88,""RR""),concat(E88,C88),"""")"),"PortolaVenice B")</f>
        <v>PortolaVenice B</v>
      </c>
      <c r="J88" s="20">
        <f>IFERROR(__xludf.DUMMYFUNCTION("if(regexmatch($B88,""RR""),F88,"""")"),118.0)</f>
        <v>118</v>
      </c>
      <c r="K88" s="20" t="str">
        <f>IFERROR(__xludf.DUMMYFUNCTION("if(regexmatch($B88,""DE""),concat(C88,E88),"""")"),"")</f>
        <v/>
      </c>
      <c r="L88" s="20" t="str">
        <f>IFERROR(__xludf.DUMMYFUNCTION("if(regexmatch($B88,""DE""),D88,"""")"),"")</f>
        <v/>
      </c>
      <c r="M88" s="20" t="str">
        <f>IFERROR(__xludf.DUMMYFUNCTION("if(regexmatch($B88,""DE""),concat(E88,C88),"""")"),"")</f>
        <v/>
      </c>
      <c r="N88" s="20" t="str">
        <f>IFERROR(__xludf.DUMMYFUNCTION("if(regexmatch($B88,""DE""),F88,"""")"),"")</f>
        <v/>
      </c>
    </row>
    <row r="89">
      <c r="A89" s="12"/>
      <c r="B89" s="12" t="str">
        <f>IFERROR(__xludf.DUMMYFUNCTION("""COMPUTED_VALUE"""),"RR5")</f>
        <v>RR5</v>
      </c>
      <c r="C89" s="12" t="str">
        <f>IFERROR(__xludf.DUMMYFUNCTION("""COMPUTED_VALUE"""),"North Hollywood B")</f>
        <v>North Hollywood B</v>
      </c>
      <c r="D89" s="12">
        <f>IFERROR(__xludf.DUMMYFUNCTION("""COMPUTED_VALUE"""),106.0)</f>
        <v>106</v>
      </c>
      <c r="E89" s="12" t="str">
        <f>IFERROR(__xludf.DUMMYFUNCTION("""COMPUTED_VALUE"""),"Granada Hills A")</f>
        <v>Granada Hills A</v>
      </c>
      <c r="F89" s="12">
        <f>IFERROR(__xludf.DUMMYFUNCTION("""COMPUTED_VALUE"""),68.0)</f>
        <v>68</v>
      </c>
      <c r="G89" s="20" t="str">
        <f>IFERROR(__xludf.DUMMYFUNCTION("if(regexmatch($B89,""RR""),concat(C89,E89),"""")"),"North Hollywood BGranada Hills A")</f>
        <v>North Hollywood BGranada Hills A</v>
      </c>
      <c r="H89" s="20">
        <f>IFERROR(__xludf.DUMMYFUNCTION("if(regexmatch($B89,""RR""),D89,"""")"),106.0)</f>
        <v>106</v>
      </c>
      <c r="I89" s="20" t="str">
        <f>IFERROR(__xludf.DUMMYFUNCTION("if(regexmatch($B89,""RR""),concat(E89,C89),"""")"),"Granada Hills ANorth Hollywood B")</f>
        <v>Granada Hills ANorth Hollywood B</v>
      </c>
      <c r="J89" s="20">
        <f>IFERROR(__xludf.DUMMYFUNCTION("if(regexmatch($B89,""RR""),F89,"""")"),68.0)</f>
        <v>68</v>
      </c>
      <c r="K89" s="20" t="str">
        <f>IFERROR(__xludf.DUMMYFUNCTION("if(regexmatch($B89,""DE""),concat(C89,E89),"""")"),"")</f>
        <v/>
      </c>
      <c r="L89" s="20" t="str">
        <f>IFERROR(__xludf.DUMMYFUNCTION("if(regexmatch($B89,""DE""),D89,"""")"),"")</f>
        <v/>
      </c>
      <c r="M89" s="20" t="str">
        <f>IFERROR(__xludf.DUMMYFUNCTION("if(regexmatch($B89,""DE""),concat(E89,C89),"""")"),"")</f>
        <v/>
      </c>
      <c r="N89" s="20" t="str">
        <f>IFERROR(__xludf.DUMMYFUNCTION("if(regexmatch($B89,""DE""),F89,"""")"),"")</f>
        <v/>
      </c>
    </row>
    <row r="90">
      <c r="A90" s="12"/>
      <c r="B90" s="12" t="str">
        <f>IFERROR(__xludf.DUMMYFUNCTION("""COMPUTED_VALUE"""),"DE1")</f>
        <v>DE1</v>
      </c>
      <c r="C90" s="12" t="str">
        <f>IFERROR(__xludf.DUMMYFUNCTION("""COMPUTED_VALUE"""),"[Select Team Name]")</f>
        <v>[Select Team Name]</v>
      </c>
      <c r="D90" s="12">
        <f>IFERROR(__xludf.DUMMYFUNCTION("""COMPUTED_VALUE"""),0.0)</f>
        <v>0</v>
      </c>
      <c r="E90" s="12" t="str">
        <f>IFERROR(__xludf.DUMMYFUNCTION("""COMPUTED_VALUE"""),"[Select Team Name]")</f>
        <v>[Select Team Name]</v>
      </c>
      <c r="F90" s="12">
        <f>IFERROR(__xludf.DUMMYFUNCTION("""COMPUTED_VALUE"""),0.0)</f>
        <v>0</v>
      </c>
      <c r="G90" s="20" t="str">
        <f>IFERROR(__xludf.DUMMYFUNCTION("if(regexmatch($B90,""RR""),concat(C90,E90),"""")"),"")</f>
        <v/>
      </c>
      <c r="H90" s="20" t="str">
        <f>IFERROR(__xludf.DUMMYFUNCTION("if(regexmatch($B90,""RR""),D90,"""")"),"")</f>
        <v/>
      </c>
      <c r="I90" s="20" t="str">
        <f>IFERROR(__xludf.DUMMYFUNCTION("if(regexmatch($B90,""RR""),concat(E90,C90),"""")"),"")</f>
        <v/>
      </c>
      <c r="J90" s="20" t="str">
        <f>IFERROR(__xludf.DUMMYFUNCTION("if(regexmatch($B90,""RR""),F90,"""")"),"")</f>
        <v/>
      </c>
      <c r="K90" s="20" t="str">
        <f>IFERROR(__xludf.DUMMYFUNCTION("if(regexmatch($B90,""DE""),concat(C90,E90),"""")"),"[Select Team Name][Select Team Name]")</f>
        <v>[Select Team Name][Select Team Name]</v>
      </c>
      <c r="L90" s="20">
        <f>IFERROR(__xludf.DUMMYFUNCTION("if(regexmatch($B90,""DE""),D90,"""")"),0.0)</f>
        <v>0</v>
      </c>
      <c r="M90" s="20" t="str">
        <f>IFERROR(__xludf.DUMMYFUNCTION("if(regexmatch($B90,""DE""),concat(E90,C90),"""")"),"[Select Team Name][Select Team Name]")</f>
        <v>[Select Team Name][Select Team Name]</v>
      </c>
      <c r="N90" s="20">
        <f>IFERROR(__xludf.DUMMYFUNCTION("if(regexmatch($B90,""DE""),F90,"""")"),0.0)</f>
        <v>0</v>
      </c>
    </row>
    <row r="91">
      <c r="A91" s="12"/>
      <c r="B91" s="12" t="str">
        <f>IFERROR(__xludf.DUMMYFUNCTION("""COMPUTED_VALUE"""),"DE2")</f>
        <v>DE2</v>
      </c>
      <c r="C91" s="12" t="str">
        <f>IFERROR(__xludf.DUMMYFUNCTION("""COMPUTED_VALUE"""),"[Select Team Name]")</f>
        <v>[Select Team Name]</v>
      </c>
      <c r="D91" s="12">
        <f>IFERROR(__xludf.DUMMYFUNCTION("""COMPUTED_VALUE"""),0.0)</f>
        <v>0</v>
      </c>
      <c r="E91" s="12" t="str">
        <f>IFERROR(__xludf.DUMMYFUNCTION("""COMPUTED_VALUE"""),"[Select Team Name]")</f>
        <v>[Select Team Name]</v>
      </c>
      <c r="F91" s="12">
        <f>IFERROR(__xludf.DUMMYFUNCTION("""COMPUTED_VALUE"""),0.0)</f>
        <v>0</v>
      </c>
      <c r="G91" s="20" t="str">
        <f>IFERROR(__xludf.DUMMYFUNCTION("if(regexmatch($B91,""RR""),concat(C91,E91),"""")"),"")</f>
        <v/>
      </c>
      <c r="H91" s="20" t="str">
        <f>IFERROR(__xludf.DUMMYFUNCTION("if(regexmatch($B91,""RR""),D91,"""")"),"")</f>
        <v/>
      </c>
      <c r="I91" s="20" t="str">
        <f>IFERROR(__xludf.DUMMYFUNCTION("if(regexmatch($B91,""RR""),concat(E91,C91),"""")"),"")</f>
        <v/>
      </c>
      <c r="J91" s="20" t="str">
        <f>IFERROR(__xludf.DUMMYFUNCTION("if(regexmatch($B91,""RR""),F91,"""")"),"")</f>
        <v/>
      </c>
      <c r="K91" s="20" t="str">
        <f>IFERROR(__xludf.DUMMYFUNCTION("if(regexmatch($B91,""DE""),concat(C91,E91),"""")"),"[Select Team Name][Select Team Name]")</f>
        <v>[Select Team Name][Select Team Name]</v>
      </c>
      <c r="L91" s="20">
        <f>IFERROR(__xludf.DUMMYFUNCTION("if(regexmatch($B91,""DE""),D91,"""")"),0.0)</f>
        <v>0</v>
      </c>
      <c r="M91" s="20" t="str">
        <f>IFERROR(__xludf.DUMMYFUNCTION("if(regexmatch($B91,""DE""),concat(E91,C91),"""")"),"[Select Team Name][Select Team Name]")</f>
        <v>[Select Team Name][Select Team Name]</v>
      </c>
      <c r="N91" s="20">
        <f>IFERROR(__xludf.DUMMYFUNCTION("if(regexmatch($B91,""DE""),F91,"""")"),0.0)</f>
        <v>0</v>
      </c>
    </row>
    <row r="92">
      <c r="A92" s="12"/>
      <c r="B92" s="12" t="str">
        <f>IFERROR(__xludf.DUMMYFUNCTION("""COMPUTED_VALUE"""),"DE3")</f>
        <v>DE3</v>
      </c>
      <c r="C92" s="12" t="str">
        <f>IFERROR(__xludf.DUMMYFUNCTION("""COMPUTED_VALUE"""),"[Select Team Name]")</f>
        <v>[Select Team Name]</v>
      </c>
      <c r="D92" s="12">
        <f>IFERROR(__xludf.DUMMYFUNCTION("""COMPUTED_VALUE"""),0.0)</f>
        <v>0</v>
      </c>
      <c r="E92" s="12" t="str">
        <f>IFERROR(__xludf.DUMMYFUNCTION("""COMPUTED_VALUE"""),"[Select Team Name]")</f>
        <v>[Select Team Name]</v>
      </c>
      <c r="F92" s="12">
        <f>IFERROR(__xludf.DUMMYFUNCTION("""COMPUTED_VALUE"""),0.0)</f>
        <v>0</v>
      </c>
      <c r="G92" s="20" t="str">
        <f>IFERROR(__xludf.DUMMYFUNCTION("if(regexmatch($B92,""RR""),concat(C92,E92),"""")"),"")</f>
        <v/>
      </c>
      <c r="H92" s="20" t="str">
        <f>IFERROR(__xludf.DUMMYFUNCTION("if(regexmatch($B92,""RR""),D92,"""")"),"")</f>
        <v/>
      </c>
      <c r="I92" s="20" t="str">
        <f>IFERROR(__xludf.DUMMYFUNCTION("if(regexmatch($B92,""RR""),concat(E92,C92),"""")"),"")</f>
        <v/>
      </c>
      <c r="J92" s="20" t="str">
        <f>IFERROR(__xludf.DUMMYFUNCTION("if(regexmatch($B92,""RR""),F92,"""")"),"")</f>
        <v/>
      </c>
      <c r="K92" s="20" t="str">
        <f>IFERROR(__xludf.DUMMYFUNCTION("if(regexmatch($B92,""DE""),concat(C92,E92),"""")"),"[Select Team Name][Select Team Name]")</f>
        <v>[Select Team Name][Select Team Name]</v>
      </c>
      <c r="L92" s="20">
        <f>IFERROR(__xludf.DUMMYFUNCTION("if(regexmatch($B92,""DE""),D92,"""")"),0.0)</f>
        <v>0</v>
      </c>
      <c r="M92" s="20" t="str">
        <f>IFERROR(__xludf.DUMMYFUNCTION("if(regexmatch($B92,""DE""),concat(E92,C92),"""")"),"[Select Team Name][Select Team Name]")</f>
        <v>[Select Team Name][Select Team Name]</v>
      </c>
      <c r="N92" s="20">
        <f>IFERROR(__xludf.DUMMYFUNCTION("if(regexmatch($B92,""DE""),F92,"""")"),0.0)</f>
        <v>0</v>
      </c>
    </row>
    <row r="93">
      <c r="A93" s="12"/>
      <c r="B93" s="12" t="str">
        <f>IFERROR(__xludf.DUMMYFUNCTION("""COMPUTED_VALUE"""),"DE4")</f>
        <v>DE4</v>
      </c>
      <c r="C93" s="12" t="str">
        <f>IFERROR(__xludf.DUMMYFUNCTION("""COMPUTED_VALUE"""),"[Select Team Name]")</f>
        <v>[Select Team Name]</v>
      </c>
      <c r="D93" s="12">
        <f>IFERROR(__xludf.DUMMYFUNCTION("""COMPUTED_VALUE"""),0.0)</f>
        <v>0</v>
      </c>
      <c r="E93" s="12" t="str">
        <f>IFERROR(__xludf.DUMMYFUNCTION("""COMPUTED_VALUE"""),"[Select Team Name]")</f>
        <v>[Select Team Name]</v>
      </c>
      <c r="F93" s="12">
        <f>IFERROR(__xludf.DUMMYFUNCTION("""COMPUTED_VALUE"""),0.0)</f>
        <v>0</v>
      </c>
      <c r="G93" s="20" t="str">
        <f>IFERROR(__xludf.DUMMYFUNCTION("if(regexmatch($B93,""RR""),concat(C93,E93),"""")"),"")</f>
        <v/>
      </c>
      <c r="H93" s="20" t="str">
        <f>IFERROR(__xludf.DUMMYFUNCTION("if(regexmatch($B93,""RR""),D93,"""")"),"")</f>
        <v/>
      </c>
      <c r="I93" s="20" t="str">
        <f>IFERROR(__xludf.DUMMYFUNCTION("if(regexmatch($B93,""RR""),concat(E93,C93),"""")"),"")</f>
        <v/>
      </c>
      <c r="J93" s="20" t="str">
        <f>IFERROR(__xludf.DUMMYFUNCTION("if(regexmatch($B93,""RR""),F93,"""")"),"")</f>
        <v/>
      </c>
      <c r="K93" s="20" t="str">
        <f>IFERROR(__xludf.DUMMYFUNCTION("if(regexmatch($B93,""DE""),concat(C93,E93),"""")"),"[Select Team Name][Select Team Name]")</f>
        <v>[Select Team Name][Select Team Name]</v>
      </c>
      <c r="L93" s="20">
        <f>IFERROR(__xludf.DUMMYFUNCTION("if(regexmatch($B93,""DE""),D93,"""")"),0.0)</f>
        <v>0</v>
      </c>
      <c r="M93" s="20" t="str">
        <f>IFERROR(__xludf.DUMMYFUNCTION("if(regexmatch($B93,""DE""),concat(E93,C93),"""")"),"[Select Team Name][Select Team Name]")</f>
        <v>[Select Team Name][Select Team Name]</v>
      </c>
      <c r="N93" s="20">
        <f>IFERROR(__xludf.DUMMYFUNCTION("if(regexmatch($B93,""DE""),F93,"""")"),0.0)</f>
        <v>0</v>
      </c>
    </row>
    <row r="94">
      <c r="A94" s="12"/>
      <c r="B94" s="12" t="str">
        <f>IFERROR(__xludf.DUMMYFUNCTION("""COMPUTED_VALUE"""),"DE5")</f>
        <v>DE5</v>
      </c>
      <c r="C94" s="12" t="str">
        <f>IFERROR(__xludf.DUMMYFUNCTION("""COMPUTED_VALUE"""),"[Select Team Name]")</f>
        <v>[Select Team Name]</v>
      </c>
      <c r="D94" s="12">
        <f>IFERROR(__xludf.DUMMYFUNCTION("""COMPUTED_VALUE"""),0.0)</f>
        <v>0</v>
      </c>
      <c r="E94" s="12" t="str">
        <f>IFERROR(__xludf.DUMMYFUNCTION("""COMPUTED_VALUE"""),"[Select Team Name]")</f>
        <v>[Select Team Name]</v>
      </c>
      <c r="F94" s="12">
        <f>IFERROR(__xludf.DUMMYFUNCTION("""COMPUTED_VALUE"""),0.0)</f>
        <v>0</v>
      </c>
      <c r="G94" s="20" t="str">
        <f>IFERROR(__xludf.DUMMYFUNCTION("if(regexmatch($B94,""RR""),concat(C94,E94),"""")"),"")</f>
        <v/>
      </c>
      <c r="H94" s="20" t="str">
        <f>IFERROR(__xludf.DUMMYFUNCTION("if(regexmatch($B94,""RR""),D94,"""")"),"")</f>
        <v/>
      </c>
      <c r="I94" s="20" t="str">
        <f>IFERROR(__xludf.DUMMYFUNCTION("if(regexmatch($B94,""RR""),concat(E94,C94),"""")"),"")</f>
        <v/>
      </c>
      <c r="J94" s="20" t="str">
        <f>IFERROR(__xludf.DUMMYFUNCTION("if(regexmatch($B94,""RR""),F94,"""")"),"")</f>
        <v/>
      </c>
      <c r="K94" s="20" t="str">
        <f>IFERROR(__xludf.DUMMYFUNCTION("if(regexmatch($B94,""DE""),concat(C94,E94),"""")"),"[Select Team Name][Select Team Name]")</f>
        <v>[Select Team Name][Select Team Name]</v>
      </c>
      <c r="L94" s="20">
        <f>IFERROR(__xludf.DUMMYFUNCTION("if(regexmatch($B94,""DE""),D94,"""")"),0.0)</f>
        <v>0</v>
      </c>
      <c r="M94" s="20" t="str">
        <f>IFERROR(__xludf.DUMMYFUNCTION("if(regexmatch($B94,""DE""),concat(E94,C94),"""")"),"[Select Team Name][Select Team Name]")</f>
        <v>[Select Team Name][Select Team Name]</v>
      </c>
      <c r="N94" s="20">
        <f>IFERROR(__xludf.DUMMYFUNCTION("if(regexmatch($B94,""DE""),F94,"""")"),0.0)</f>
        <v>0</v>
      </c>
    </row>
    <row r="95">
      <c r="A95" s="12"/>
      <c r="B95" s="12" t="str">
        <f>IFERROR(__xludf.DUMMYFUNCTION("""COMPUTED_VALUE"""),"DE6")</f>
        <v>DE6</v>
      </c>
      <c r="C95" s="12" t="str">
        <f>IFERROR(__xludf.DUMMYFUNCTION("""COMPUTED_VALUE"""),"[Select Team Name]")</f>
        <v>[Select Team Name]</v>
      </c>
      <c r="D95" s="12">
        <f>IFERROR(__xludf.DUMMYFUNCTION("""COMPUTED_VALUE"""),0.0)</f>
        <v>0</v>
      </c>
      <c r="E95" s="12" t="str">
        <f>IFERROR(__xludf.DUMMYFUNCTION("""COMPUTED_VALUE"""),"[Select Team Name]")</f>
        <v>[Select Team Name]</v>
      </c>
      <c r="F95" s="12">
        <f>IFERROR(__xludf.DUMMYFUNCTION("""COMPUTED_VALUE"""),0.0)</f>
        <v>0</v>
      </c>
      <c r="G95" s="20" t="str">
        <f>IFERROR(__xludf.DUMMYFUNCTION("if(regexmatch($B95,""RR""),concat(C95,E95),"""")"),"")</f>
        <v/>
      </c>
      <c r="H95" s="20" t="str">
        <f>IFERROR(__xludf.DUMMYFUNCTION("if(regexmatch($B95,""RR""),D95,"""")"),"")</f>
        <v/>
      </c>
      <c r="I95" s="20" t="str">
        <f>IFERROR(__xludf.DUMMYFUNCTION("if(regexmatch($B95,""RR""),concat(E95,C95),"""")"),"")</f>
        <v/>
      </c>
      <c r="J95" s="20" t="str">
        <f>IFERROR(__xludf.DUMMYFUNCTION("if(regexmatch($B95,""RR""),F95,"""")"),"")</f>
        <v/>
      </c>
      <c r="K95" s="20" t="str">
        <f>IFERROR(__xludf.DUMMYFUNCTION("if(regexmatch($B95,""DE""),concat(C95,E95),"""")"),"[Select Team Name][Select Team Name]")</f>
        <v>[Select Team Name][Select Team Name]</v>
      </c>
      <c r="L95" s="20">
        <f>IFERROR(__xludf.DUMMYFUNCTION("if(regexmatch($B95,""DE""),D95,"""")"),0.0)</f>
        <v>0</v>
      </c>
      <c r="M95" s="20" t="str">
        <f>IFERROR(__xludf.DUMMYFUNCTION("if(regexmatch($B95,""DE""),concat(E95,C95),"""")"),"[Select Team Name][Select Team Name]")</f>
        <v>[Select Team Name][Select Team Name]</v>
      </c>
      <c r="N95" s="20">
        <f>IFERROR(__xludf.DUMMYFUNCTION("if(regexmatch($B95,""DE""),F95,"""")"),0.0)</f>
        <v>0</v>
      </c>
    </row>
    <row r="96">
      <c r="A96" s="12"/>
      <c r="B96" s="12" t="str">
        <f>IFERROR(__xludf.DUMMYFUNCTION("""COMPUTED_VALUE"""),"DE7")</f>
        <v>DE7</v>
      </c>
      <c r="C96" s="12" t="str">
        <f>IFERROR(__xludf.DUMMYFUNCTION("""COMPUTED_VALUE"""),"[Select Team Name]")</f>
        <v>[Select Team Name]</v>
      </c>
      <c r="D96" s="12">
        <f>IFERROR(__xludf.DUMMYFUNCTION("""COMPUTED_VALUE"""),0.0)</f>
        <v>0</v>
      </c>
      <c r="E96" s="12" t="str">
        <f>IFERROR(__xludf.DUMMYFUNCTION("""COMPUTED_VALUE"""),"[Select Team Name]")</f>
        <v>[Select Team Name]</v>
      </c>
      <c r="F96" s="12">
        <f>IFERROR(__xludf.DUMMYFUNCTION("""COMPUTED_VALUE"""),0.0)</f>
        <v>0</v>
      </c>
      <c r="G96" s="20" t="str">
        <f>IFERROR(__xludf.DUMMYFUNCTION("if(regexmatch($B96,""RR""),concat(C96,E96),"""")"),"")</f>
        <v/>
      </c>
      <c r="H96" s="20" t="str">
        <f>IFERROR(__xludf.DUMMYFUNCTION("if(regexmatch($B96,""RR""),D96,"""")"),"")</f>
        <v/>
      </c>
      <c r="I96" s="20" t="str">
        <f>IFERROR(__xludf.DUMMYFUNCTION("if(regexmatch($B96,""RR""),concat(E96,C96),"""")"),"")</f>
        <v/>
      </c>
      <c r="J96" s="20" t="str">
        <f>IFERROR(__xludf.DUMMYFUNCTION("if(regexmatch($B96,""RR""),F96,"""")"),"")</f>
        <v/>
      </c>
      <c r="K96" s="20" t="str">
        <f>IFERROR(__xludf.DUMMYFUNCTION("if(regexmatch($B96,""DE""),concat(C96,E96),"""")"),"[Select Team Name][Select Team Name]")</f>
        <v>[Select Team Name][Select Team Name]</v>
      </c>
      <c r="L96" s="20">
        <f>IFERROR(__xludf.DUMMYFUNCTION("if(regexmatch($B96,""DE""),D96,"""")"),0.0)</f>
        <v>0</v>
      </c>
      <c r="M96" s="20" t="str">
        <f>IFERROR(__xludf.DUMMYFUNCTION("if(regexmatch($B96,""DE""),concat(E96,C96),"""")"),"[Select Team Name][Select Team Name]")</f>
        <v>[Select Team Name][Select Team Name]</v>
      </c>
      <c r="N96" s="20">
        <f>IFERROR(__xludf.DUMMYFUNCTION("if(regexmatch($B96,""DE""),F96,"""")"),0.0)</f>
        <v>0</v>
      </c>
    </row>
    <row r="97">
      <c r="A97" s="12"/>
      <c r="B97" s="12" t="str">
        <f>IFERROR(__xludf.DUMMYFUNCTION("""COMPUTED_VALUE"""),"DE8")</f>
        <v>DE8</v>
      </c>
      <c r="C97" s="12" t="str">
        <f>IFERROR(__xludf.DUMMYFUNCTION("""COMPUTED_VALUE"""),"[Select Team Name]")</f>
        <v>[Select Team Name]</v>
      </c>
      <c r="D97" s="12">
        <f>IFERROR(__xludf.DUMMYFUNCTION("""COMPUTED_VALUE"""),0.0)</f>
        <v>0</v>
      </c>
      <c r="E97" s="12" t="str">
        <f>IFERROR(__xludf.DUMMYFUNCTION("""COMPUTED_VALUE"""),"[Select Team Name]")</f>
        <v>[Select Team Name]</v>
      </c>
      <c r="F97" s="12">
        <f>IFERROR(__xludf.DUMMYFUNCTION("""COMPUTED_VALUE"""),0.0)</f>
        <v>0</v>
      </c>
      <c r="G97" s="20" t="str">
        <f>IFERROR(__xludf.DUMMYFUNCTION("if(regexmatch($B97,""RR""),concat(C97,E97),"""")"),"")</f>
        <v/>
      </c>
      <c r="H97" s="20" t="str">
        <f>IFERROR(__xludf.DUMMYFUNCTION("if(regexmatch($B97,""RR""),D97,"""")"),"")</f>
        <v/>
      </c>
      <c r="I97" s="20" t="str">
        <f>IFERROR(__xludf.DUMMYFUNCTION("if(regexmatch($B97,""RR""),concat(E97,C97),"""")"),"")</f>
        <v/>
      </c>
      <c r="J97" s="20" t="str">
        <f>IFERROR(__xludf.DUMMYFUNCTION("if(regexmatch($B97,""RR""),F97,"""")"),"")</f>
        <v/>
      </c>
      <c r="K97" s="20" t="str">
        <f>IFERROR(__xludf.DUMMYFUNCTION("if(regexmatch($B97,""DE""),concat(C97,E97),"""")"),"[Select Team Name][Select Team Name]")</f>
        <v>[Select Team Name][Select Team Name]</v>
      </c>
      <c r="L97" s="20">
        <f>IFERROR(__xludf.DUMMYFUNCTION("if(regexmatch($B97,""DE""),D97,"""")"),0.0)</f>
        <v>0</v>
      </c>
      <c r="M97" s="20" t="str">
        <f>IFERROR(__xludf.DUMMYFUNCTION("if(regexmatch($B97,""DE""),concat(E97,C97),"""")"),"[Select Team Name][Select Team Name]")</f>
        <v>[Select Team Name][Select Team Name]</v>
      </c>
      <c r="N97" s="20">
        <f>IFERROR(__xludf.DUMMYFUNCTION("if(regexmatch($B97,""DE""),F97,"""")"),0.0)</f>
        <v>0</v>
      </c>
    </row>
    <row r="98">
      <c r="A98" s="12"/>
      <c r="B98" s="12" t="str">
        <f>IFERROR(__xludf.DUMMYFUNCTION("""COMPUTED_VALUE"""),"DE9")</f>
        <v>DE9</v>
      </c>
      <c r="C98" s="12" t="str">
        <f>IFERROR(__xludf.DUMMYFUNCTION("""COMPUTED_VALUE"""),"[Select Team Name]")</f>
        <v>[Select Team Name]</v>
      </c>
      <c r="D98" s="12">
        <f>IFERROR(__xludf.DUMMYFUNCTION("""COMPUTED_VALUE"""),0.0)</f>
        <v>0</v>
      </c>
      <c r="E98" s="12" t="str">
        <f>IFERROR(__xludf.DUMMYFUNCTION("""COMPUTED_VALUE"""),"[Select Team Name]")</f>
        <v>[Select Team Name]</v>
      </c>
      <c r="F98" s="12">
        <f>IFERROR(__xludf.DUMMYFUNCTION("""COMPUTED_VALUE"""),0.0)</f>
        <v>0</v>
      </c>
      <c r="G98" s="20" t="str">
        <f>IFERROR(__xludf.DUMMYFUNCTION("if(regexmatch($B98,""RR""),concat(C98,E98),"""")"),"")</f>
        <v/>
      </c>
      <c r="H98" s="20" t="str">
        <f>IFERROR(__xludf.DUMMYFUNCTION("if(regexmatch($B98,""RR""),D98,"""")"),"")</f>
        <v/>
      </c>
      <c r="I98" s="20" t="str">
        <f>IFERROR(__xludf.DUMMYFUNCTION("if(regexmatch($B98,""RR""),concat(E98,C98),"""")"),"")</f>
        <v/>
      </c>
      <c r="J98" s="20" t="str">
        <f>IFERROR(__xludf.DUMMYFUNCTION("if(regexmatch($B98,""RR""),F98,"""")"),"")</f>
        <v/>
      </c>
      <c r="K98" s="20" t="str">
        <f>IFERROR(__xludf.DUMMYFUNCTION("if(regexmatch($B98,""DE""),concat(C98,E98),"""")"),"[Select Team Name][Select Team Name]")</f>
        <v>[Select Team Name][Select Team Name]</v>
      </c>
      <c r="L98" s="20">
        <f>IFERROR(__xludf.DUMMYFUNCTION("if(regexmatch($B98,""DE""),D98,"""")"),0.0)</f>
        <v>0</v>
      </c>
      <c r="M98" s="20" t="str">
        <f>IFERROR(__xludf.DUMMYFUNCTION("if(regexmatch($B98,""DE""),concat(E98,C98),"""")"),"[Select Team Name][Select Team Name]")</f>
        <v>[Select Team Name][Select Team Name]</v>
      </c>
      <c r="N98" s="20">
        <f>IFERROR(__xludf.DUMMYFUNCTION("if(regexmatch($B98,""DE""),F98,"""")"),0.0)</f>
        <v>0</v>
      </c>
    </row>
    <row r="99">
      <c r="A99" s="1"/>
      <c r="B99" s="12" t="str">
        <f>IFERROR(__xludf.DUMMYFUNCTION("importrange(""https://docs.google.com/spreadsheets/d/1FZXq0_LMhwPQRubOB3QIO5V3Q25VcrCRXGxhE8j1MUY/edit?gid=0#gid=0"",""Scores!A2:E15"")"),"RR1")</f>
        <v>RR1</v>
      </c>
      <c r="C99" s="12" t="str">
        <f>IFERROR(__xludf.DUMMYFUNCTION("""COMPUTED_VALUE"""),"University")</f>
        <v>University</v>
      </c>
      <c r="D99" s="12">
        <f>IFERROR(__xludf.DUMMYFUNCTION("""COMPUTED_VALUE"""),68.0)</f>
        <v>68</v>
      </c>
      <c r="E99" s="12" t="str">
        <f>IFERROR(__xludf.DUMMYFUNCTION("""COMPUTED_VALUE"""),"Sci Acad A")</f>
        <v>Sci Acad A</v>
      </c>
      <c r="F99" s="12">
        <f>IFERROR(__xludf.DUMMYFUNCTION("""COMPUTED_VALUE"""),158.0)</f>
        <v>158</v>
      </c>
      <c r="G99" s="20" t="str">
        <f>IFERROR(__xludf.DUMMYFUNCTION("if(regexmatch($B99,""RR""),concat(C99,E99),"""")"),"UniversitySci Acad A")</f>
        <v>UniversitySci Acad A</v>
      </c>
      <c r="H99" s="20">
        <f>IFERROR(__xludf.DUMMYFUNCTION("if(regexmatch($B99,""RR""),D99,"""")"),68.0)</f>
        <v>68</v>
      </c>
      <c r="I99" s="20" t="str">
        <f>IFERROR(__xludf.DUMMYFUNCTION("if(regexmatch($B99,""RR""),concat(E99,C99),"""")"),"Sci Acad AUniversity")</f>
        <v>Sci Acad AUniversity</v>
      </c>
      <c r="J99" s="20">
        <f>IFERROR(__xludf.DUMMYFUNCTION("if(regexmatch($B99,""RR""),F99,"""")"),158.0)</f>
        <v>158</v>
      </c>
      <c r="K99" s="20" t="str">
        <f>IFERROR(__xludf.DUMMYFUNCTION("if(regexmatch($B99,""DE""),concat(C99,E99),"""")"),"")</f>
        <v/>
      </c>
      <c r="L99" s="20" t="str">
        <f>IFERROR(__xludf.DUMMYFUNCTION("if(regexmatch($B99,""DE""),D99,"""")"),"")</f>
        <v/>
      </c>
      <c r="M99" s="20" t="str">
        <f>IFERROR(__xludf.DUMMYFUNCTION("if(regexmatch($B99,""DE""),concat(E99,C99),"""")"),"")</f>
        <v/>
      </c>
      <c r="N99" s="20" t="str">
        <f>IFERROR(__xludf.DUMMYFUNCTION("if(regexmatch($B99,""DE""),F99,"""")"),"")</f>
        <v/>
      </c>
    </row>
    <row r="100">
      <c r="A100" s="12"/>
      <c r="B100" s="12" t="str">
        <f>IFERROR(__xludf.DUMMYFUNCTION("""COMPUTED_VALUE"""),"RR2")</f>
        <v>RR2</v>
      </c>
      <c r="C100" s="12" t="str">
        <f>IFERROR(__xludf.DUMMYFUNCTION("""COMPUTED_VALUE"""),"Sci Acad B")</f>
        <v>Sci Acad B</v>
      </c>
      <c r="D100" s="12">
        <f>IFERROR(__xludf.DUMMYFUNCTION("""COMPUTED_VALUE"""),72.0)</f>
        <v>72</v>
      </c>
      <c r="E100" s="12" t="str">
        <f>IFERROR(__xludf.DUMMYFUNCTION("""COMPUTED_VALUE"""),"Troy")</f>
        <v>Troy</v>
      </c>
      <c r="F100" s="12">
        <f>IFERROR(__xludf.DUMMYFUNCTION("""COMPUTED_VALUE"""),162.0)</f>
        <v>162</v>
      </c>
      <c r="G100" s="20" t="str">
        <f>IFERROR(__xludf.DUMMYFUNCTION("if(regexmatch($B100,""RR""),concat(C100,E100),"""")"),"Sci Acad BTroy")</f>
        <v>Sci Acad BTroy</v>
      </c>
      <c r="H100" s="20">
        <f>IFERROR(__xludf.DUMMYFUNCTION("if(regexmatch($B100,""RR""),D100,"""")"),72.0)</f>
        <v>72</v>
      </c>
      <c r="I100" s="20" t="str">
        <f>IFERROR(__xludf.DUMMYFUNCTION("if(regexmatch($B100,""RR""),concat(E100,C100),"""")"),"TroySci Acad B")</f>
        <v>TroySci Acad B</v>
      </c>
      <c r="J100" s="20">
        <f>IFERROR(__xludf.DUMMYFUNCTION("if(regexmatch($B100,""RR""),F100,"""")"),162.0)</f>
        <v>162</v>
      </c>
      <c r="K100" s="20" t="str">
        <f>IFERROR(__xludf.DUMMYFUNCTION("if(regexmatch($B100,""DE""),concat(C100,E100),"""")"),"")</f>
        <v/>
      </c>
      <c r="L100" s="20" t="str">
        <f>IFERROR(__xludf.DUMMYFUNCTION("if(regexmatch($B100,""DE""),D100,"""")"),"")</f>
        <v/>
      </c>
      <c r="M100" s="20" t="str">
        <f>IFERROR(__xludf.DUMMYFUNCTION("if(regexmatch($B100,""DE""),concat(E100,C100),"""")"),"")</f>
        <v/>
      </c>
      <c r="N100" s="20" t="str">
        <f>IFERROR(__xludf.DUMMYFUNCTION("if(regexmatch($B100,""DE""),F100,"""")"),"")</f>
        <v/>
      </c>
    </row>
    <row r="101">
      <c r="A101" s="12"/>
      <c r="B101" s="12" t="str">
        <f>IFERROR(__xludf.DUMMYFUNCTION("""COMPUTED_VALUE"""),"RR3")</f>
        <v>RR3</v>
      </c>
      <c r="C101" s="12" t="str">
        <f>IFERROR(__xludf.DUMMYFUNCTION("""COMPUTED_VALUE"""),"North Hollywood A")</f>
        <v>North Hollywood A</v>
      </c>
      <c r="D101" s="12">
        <f>IFERROR(__xludf.DUMMYFUNCTION("""COMPUTED_VALUE"""),210.0)</f>
        <v>210</v>
      </c>
      <c r="E101" s="12" t="str">
        <f>IFERROR(__xludf.DUMMYFUNCTION("""COMPUTED_VALUE"""),"Venice B")</f>
        <v>Venice B</v>
      </c>
      <c r="F101" s="12">
        <f>IFERROR(__xludf.DUMMYFUNCTION("""COMPUTED_VALUE"""),18.0)</f>
        <v>18</v>
      </c>
      <c r="G101" s="20" t="str">
        <f>IFERROR(__xludf.DUMMYFUNCTION("if(regexmatch($B101,""RR""),concat(C101,E101),"""")"),"North Hollywood AVenice B")</f>
        <v>North Hollywood AVenice B</v>
      </c>
      <c r="H101" s="20">
        <f>IFERROR(__xludf.DUMMYFUNCTION("if(regexmatch($B101,""RR""),D101,"""")"),210.0)</f>
        <v>210</v>
      </c>
      <c r="I101" s="20" t="str">
        <f>IFERROR(__xludf.DUMMYFUNCTION("if(regexmatch($B101,""RR""),concat(E101,C101),"""")"),"Venice BNorth Hollywood A")</f>
        <v>Venice BNorth Hollywood A</v>
      </c>
      <c r="J101" s="20">
        <f>IFERROR(__xludf.DUMMYFUNCTION("if(regexmatch($B101,""RR""),F101,"""")"),18.0)</f>
        <v>18</v>
      </c>
      <c r="K101" s="20" t="str">
        <f>IFERROR(__xludf.DUMMYFUNCTION("if(regexmatch($B101,""DE""),concat(C101,E101),"""")"),"")</f>
        <v/>
      </c>
      <c r="L101" s="20" t="str">
        <f>IFERROR(__xludf.DUMMYFUNCTION("if(regexmatch($B101,""DE""),D101,"""")"),"")</f>
        <v/>
      </c>
      <c r="M101" s="20" t="str">
        <f>IFERROR(__xludf.DUMMYFUNCTION("if(regexmatch($B101,""DE""),concat(E101,C101),"""")"),"")</f>
        <v/>
      </c>
      <c r="N101" s="20" t="str">
        <f>IFERROR(__xludf.DUMMYFUNCTION("if(regexmatch($B101,""DE""),F101,"""")"),"")</f>
        <v/>
      </c>
    </row>
    <row r="102">
      <c r="A102" s="12"/>
      <c r="B102" s="12" t="str">
        <f>IFERROR(__xludf.DUMMYFUNCTION("""COMPUTED_VALUE"""),"RR4")</f>
        <v>RR4</v>
      </c>
      <c r="C102" s="12" t="str">
        <f>IFERROR(__xludf.DUMMYFUNCTION("""COMPUTED_VALUE"""),"Venice A")</f>
        <v>Venice A</v>
      </c>
      <c r="D102" s="12">
        <f>IFERROR(__xludf.DUMMYFUNCTION("""COMPUTED_VALUE"""),126.0)</f>
        <v>126</v>
      </c>
      <c r="E102" s="12" t="str">
        <f>IFERROR(__xludf.DUMMYFUNCTION("""COMPUTED_VALUE"""),"Arcadia B")</f>
        <v>Arcadia B</v>
      </c>
      <c r="F102" s="12">
        <f>IFERROR(__xludf.DUMMYFUNCTION("""COMPUTED_VALUE"""),64.0)</f>
        <v>64</v>
      </c>
      <c r="G102" s="20" t="str">
        <f>IFERROR(__xludf.DUMMYFUNCTION("if(regexmatch($B102,""RR""),concat(C102,E102),"""")"),"Venice AArcadia B")</f>
        <v>Venice AArcadia B</v>
      </c>
      <c r="H102" s="20">
        <f>IFERROR(__xludf.DUMMYFUNCTION("if(regexmatch($B102,""RR""),D102,"""")"),126.0)</f>
        <v>126</v>
      </c>
      <c r="I102" s="20" t="str">
        <f>IFERROR(__xludf.DUMMYFUNCTION("if(regexmatch($B102,""RR""),concat(E102,C102),"""")"),"Arcadia BVenice A")</f>
        <v>Arcadia BVenice A</v>
      </c>
      <c r="J102" s="20">
        <f>IFERROR(__xludf.DUMMYFUNCTION("if(regexmatch($B102,""RR""),F102,"""")"),64.0)</f>
        <v>64</v>
      </c>
      <c r="K102" s="20" t="str">
        <f>IFERROR(__xludf.DUMMYFUNCTION("if(regexmatch($B102,""DE""),concat(C102,E102),"""")"),"")</f>
        <v/>
      </c>
      <c r="L102" s="20" t="str">
        <f>IFERROR(__xludf.DUMMYFUNCTION("if(regexmatch($B102,""DE""),D102,"""")"),"")</f>
        <v/>
      </c>
      <c r="M102" s="20" t="str">
        <f>IFERROR(__xludf.DUMMYFUNCTION("if(regexmatch($B102,""DE""),concat(E102,C102),"""")"),"")</f>
        <v/>
      </c>
      <c r="N102" s="20" t="str">
        <f>IFERROR(__xludf.DUMMYFUNCTION("if(regexmatch($B102,""DE""),F102,"""")"),"")</f>
        <v/>
      </c>
    </row>
    <row r="103">
      <c r="A103" s="12"/>
      <c r="B103" s="12" t="str">
        <f>IFERROR(__xludf.DUMMYFUNCTION("""COMPUTED_VALUE"""),"RR5")</f>
        <v>RR5</v>
      </c>
      <c r="C103" s="12" t="str">
        <f>IFERROR(__xludf.DUMMYFUNCTION("""COMPUTED_VALUE"""),"North Hollywood A")</f>
        <v>North Hollywood A</v>
      </c>
      <c r="D103" s="12">
        <f>IFERROR(__xludf.DUMMYFUNCTION("""COMPUTED_VALUE"""),132.0)</f>
        <v>132</v>
      </c>
      <c r="E103" s="12" t="str">
        <f>IFERROR(__xludf.DUMMYFUNCTION("""COMPUTED_VALUE"""),"Portola")</f>
        <v>Portola</v>
      </c>
      <c r="F103" s="12">
        <f>IFERROR(__xludf.DUMMYFUNCTION("""COMPUTED_VALUE"""),116.0)</f>
        <v>116</v>
      </c>
      <c r="G103" s="20" t="str">
        <f>IFERROR(__xludf.DUMMYFUNCTION("if(regexmatch($B103,""RR""),concat(C103,E103),"""")"),"North Hollywood APortola")</f>
        <v>North Hollywood APortola</v>
      </c>
      <c r="H103" s="20">
        <f>IFERROR(__xludf.DUMMYFUNCTION("if(regexmatch($B103,""RR""),D103,"""")"),132.0)</f>
        <v>132</v>
      </c>
      <c r="I103" s="20" t="str">
        <f>IFERROR(__xludf.DUMMYFUNCTION("if(regexmatch($B103,""RR""),concat(E103,C103),"""")"),"PortolaNorth Hollywood A")</f>
        <v>PortolaNorth Hollywood A</v>
      </c>
      <c r="J103" s="20">
        <f>IFERROR(__xludf.DUMMYFUNCTION("if(regexmatch($B103,""RR""),F103,"""")"),116.0)</f>
        <v>116</v>
      </c>
      <c r="K103" s="20" t="str">
        <f>IFERROR(__xludf.DUMMYFUNCTION("if(regexmatch($B103,""DE""),concat(C103,E103),"""")"),"")</f>
        <v/>
      </c>
      <c r="L103" s="20" t="str">
        <f>IFERROR(__xludf.DUMMYFUNCTION("if(regexmatch($B103,""DE""),D103,"""")"),"")</f>
        <v/>
      </c>
      <c r="M103" s="20" t="str">
        <f>IFERROR(__xludf.DUMMYFUNCTION("if(regexmatch($B103,""DE""),concat(E103,C103),"""")"),"")</f>
        <v/>
      </c>
      <c r="N103" s="20" t="str">
        <f>IFERROR(__xludf.DUMMYFUNCTION("if(regexmatch($B103,""DE""),F103,"""")"),"")</f>
        <v/>
      </c>
    </row>
    <row r="104">
      <c r="A104" s="12"/>
      <c r="B104" s="12" t="str">
        <f>IFERROR(__xludf.DUMMYFUNCTION("""COMPUTED_VALUE"""),"DE1")</f>
        <v>DE1</v>
      </c>
      <c r="C104" s="12" t="str">
        <f>IFERROR(__xludf.DUMMYFUNCTION("""COMPUTED_VALUE"""),"University")</f>
        <v>University</v>
      </c>
      <c r="D104" s="12">
        <f>IFERROR(__xludf.DUMMYFUNCTION("""COMPUTED_VALUE"""),96.0)</f>
        <v>96</v>
      </c>
      <c r="E104" s="12" t="str">
        <f>IFERROR(__xludf.DUMMYFUNCTION("""COMPUTED_VALUE"""),"Sci Acad A")</f>
        <v>Sci Acad A</v>
      </c>
      <c r="F104" s="12">
        <f>IFERROR(__xludf.DUMMYFUNCTION("""COMPUTED_VALUE"""),102.0)</f>
        <v>102</v>
      </c>
      <c r="G104" s="20" t="str">
        <f>IFERROR(__xludf.DUMMYFUNCTION("if(regexmatch($B104,""RR""),concat(C104,E104),"""")"),"")</f>
        <v/>
      </c>
      <c r="H104" s="20" t="str">
        <f>IFERROR(__xludf.DUMMYFUNCTION("if(regexmatch($B104,""RR""),D104,"""")"),"")</f>
        <v/>
      </c>
      <c r="I104" s="20" t="str">
        <f>IFERROR(__xludf.DUMMYFUNCTION("if(regexmatch($B104,""RR""),concat(E104,C104),"""")"),"")</f>
        <v/>
      </c>
      <c r="J104" s="20" t="str">
        <f>IFERROR(__xludf.DUMMYFUNCTION("if(regexmatch($B104,""RR""),F104,"""")"),"")</f>
        <v/>
      </c>
      <c r="K104" s="20" t="str">
        <f>IFERROR(__xludf.DUMMYFUNCTION("if(regexmatch($B104,""DE""),concat(C104,E104),"""")"),"UniversitySci Acad A")</f>
        <v>UniversitySci Acad A</v>
      </c>
      <c r="L104" s="20">
        <f>IFERROR(__xludf.DUMMYFUNCTION("if(regexmatch($B104,""DE""),D104,"""")"),96.0)</f>
        <v>96</v>
      </c>
      <c r="M104" s="20" t="str">
        <f>IFERROR(__xludf.DUMMYFUNCTION("if(regexmatch($B104,""DE""),concat(E104,C104),"""")"),"Sci Acad AUniversity")</f>
        <v>Sci Acad AUniversity</v>
      </c>
      <c r="N104" s="20">
        <f>IFERROR(__xludf.DUMMYFUNCTION("if(regexmatch($B104,""DE""),F104,"""")"),102.0)</f>
        <v>102</v>
      </c>
    </row>
    <row r="105">
      <c r="A105" s="12"/>
      <c r="B105" s="12" t="str">
        <f>IFERROR(__xludf.DUMMYFUNCTION("""COMPUTED_VALUE"""),"DE2")</f>
        <v>DE2</v>
      </c>
      <c r="C105" s="12" t="str">
        <f>IFERROR(__xludf.DUMMYFUNCTION("""COMPUTED_VALUE"""),"Venice A")</f>
        <v>Venice A</v>
      </c>
      <c r="D105" s="12">
        <f>IFERROR(__xludf.DUMMYFUNCTION("""COMPUTED_VALUE"""),126.0)</f>
        <v>126</v>
      </c>
      <c r="E105" s="12" t="str">
        <f>IFERROR(__xludf.DUMMYFUNCTION("""COMPUTED_VALUE"""),"Sci Acad B")</f>
        <v>Sci Acad B</v>
      </c>
      <c r="F105" s="12">
        <f>IFERROR(__xludf.DUMMYFUNCTION("""COMPUTED_VALUE"""),66.0)</f>
        <v>66</v>
      </c>
      <c r="G105" s="20" t="str">
        <f>IFERROR(__xludf.DUMMYFUNCTION("if(regexmatch($B105,""RR""),concat(C105,E105),"""")"),"")</f>
        <v/>
      </c>
      <c r="H105" s="20" t="str">
        <f>IFERROR(__xludf.DUMMYFUNCTION("if(regexmatch($B105,""RR""),D105,"""")"),"")</f>
        <v/>
      </c>
      <c r="I105" s="20" t="str">
        <f>IFERROR(__xludf.DUMMYFUNCTION("if(regexmatch($B105,""RR""),concat(E105,C105),"""")"),"")</f>
        <v/>
      </c>
      <c r="J105" s="20" t="str">
        <f>IFERROR(__xludf.DUMMYFUNCTION("if(regexmatch($B105,""RR""),F105,"""")"),"")</f>
        <v/>
      </c>
      <c r="K105" s="20" t="str">
        <f>IFERROR(__xludf.DUMMYFUNCTION("if(regexmatch($B105,""DE""),concat(C105,E105),"""")"),"Venice ASci Acad B")</f>
        <v>Venice ASci Acad B</v>
      </c>
      <c r="L105" s="20">
        <f>IFERROR(__xludf.DUMMYFUNCTION("if(regexmatch($B105,""DE""),D105,"""")"),126.0)</f>
        <v>126</v>
      </c>
      <c r="M105" s="20" t="str">
        <f>IFERROR(__xludf.DUMMYFUNCTION("if(regexmatch($B105,""DE""),concat(E105,C105),"""")"),"Sci Acad BVenice A")</f>
        <v>Sci Acad BVenice A</v>
      </c>
      <c r="N105" s="20">
        <f>IFERROR(__xludf.DUMMYFUNCTION("if(regexmatch($B105,""DE""),F105,"""")"),66.0)</f>
        <v>66</v>
      </c>
    </row>
    <row r="106">
      <c r="A106" s="12"/>
      <c r="B106" s="12" t="str">
        <f>IFERROR(__xludf.DUMMYFUNCTION("""COMPUTED_VALUE"""),"DE3")</f>
        <v>DE3</v>
      </c>
      <c r="C106" s="12" t="str">
        <f>IFERROR(__xludf.DUMMYFUNCTION("""COMPUTED_VALUE"""),"North Hollywood A")</f>
        <v>North Hollywood A</v>
      </c>
      <c r="D106" s="12">
        <f>IFERROR(__xludf.DUMMYFUNCTION("""COMPUTED_VALUE"""),160.0)</f>
        <v>160</v>
      </c>
      <c r="E106" s="12" t="str">
        <f>IFERROR(__xludf.DUMMYFUNCTION("""COMPUTED_VALUE"""),"Troy")</f>
        <v>Troy</v>
      </c>
      <c r="F106" s="12">
        <f>IFERROR(__xludf.DUMMYFUNCTION("""COMPUTED_VALUE"""),18.0)</f>
        <v>18</v>
      </c>
      <c r="G106" s="20" t="str">
        <f>IFERROR(__xludf.DUMMYFUNCTION("if(regexmatch($B106,""RR""),concat(C106,E106),"""")"),"")</f>
        <v/>
      </c>
      <c r="H106" s="20" t="str">
        <f>IFERROR(__xludf.DUMMYFUNCTION("if(regexmatch($B106,""RR""),D106,"""")"),"")</f>
        <v/>
      </c>
      <c r="I106" s="20" t="str">
        <f>IFERROR(__xludf.DUMMYFUNCTION("if(regexmatch($B106,""RR""),concat(E106,C106),"""")"),"")</f>
        <v/>
      </c>
      <c r="J106" s="20" t="str">
        <f>IFERROR(__xludf.DUMMYFUNCTION("if(regexmatch($B106,""RR""),F106,"""")"),"")</f>
        <v/>
      </c>
      <c r="K106" s="20" t="str">
        <f>IFERROR(__xludf.DUMMYFUNCTION("if(regexmatch($B106,""DE""),concat(C106,E106),"""")"),"North Hollywood ATroy")</f>
        <v>North Hollywood ATroy</v>
      </c>
      <c r="L106" s="20">
        <f>IFERROR(__xludf.DUMMYFUNCTION("if(regexmatch($B106,""DE""),D106,"""")"),160.0)</f>
        <v>160</v>
      </c>
      <c r="M106" s="20" t="str">
        <f>IFERROR(__xludf.DUMMYFUNCTION("if(regexmatch($B106,""DE""),concat(E106,C106),"""")"),"TroyNorth Hollywood A")</f>
        <v>TroyNorth Hollywood A</v>
      </c>
      <c r="N106" s="20">
        <f>IFERROR(__xludf.DUMMYFUNCTION("if(regexmatch($B106,""DE""),F106,"""")"),18.0)</f>
        <v>18</v>
      </c>
    </row>
    <row r="107">
      <c r="A107" s="12"/>
      <c r="B107" s="12" t="str">
        <f>IFERROR(__xludf.DUMMYFUNCTION("""COMPUTED_VALUE"""),"DE4")</f>
        <v>DE4</v>
      </c>
      <c r="C107" s="12" t="str">
        <f>IFERROR(__xludf.DUMMYFUNCTION("""COMPUTED_VALUE"""),"[Select Team Name]")</f>
        <v>[Select Team Name]</v>
      </c>
      <c r="D107" s="12">
        <f>IFERROR(__xludf.DUMMYFUNCTION("""COMPUTED_VALUE"""),0.0)</f>
        <v>0</v>
      </c>
      <c r="E107" s="12" t="str">
        <f>IFERROR(__xludf.DUMMYFUNCTION("""COMPUTED_VALUE"""),"[Select Team Name]")</f>
        <v>[Select Team Name]</v>
      </c>
      <c r="F107" s="12">
        <f>IFERROR(__xludf.DUMMYFUNCTION("""COMPUTED_VALUE"""),0.0)</f>
        <v>0</v>
      </c>
      <c r="G107" s="20" t="str">
        <f>IFERROR(__xludf.DUMMYFUNCTION("if(regexmatch($B107,""RR""),concat(C107,E107),"""")"),"")</f>
        <v/>
      </c>
      <c r="H107" s="20" t="str">
        <f>IFERROR(__xludf.DUMMYFUNCTION("if(regexmatch($B107,""RR""),D107,"""")"),"")</f>
        <v/>
      </c>
      <c r="I107" s="20" t="str">
        <f>IFERROR(__xludf.DUMMYFUNCTION("if(regexmatch($B107,""RR""),concat(E107,C107),"""")"),"")</f>
        <v/>
      </c>
      <c r="J107" s="20" t="str">
        <f>IFERROR(__xludf.DUMMYFUNCTION("if(regexmatch($B107,""RR""),F107,"""")"),"")</f>
        <v/>
      </c>
      <c r="K107" s="20" t="str">
        <f>IFERROR(__xludf.DUMMYFUNCTION("if(regexmatch($B107,""DE""),concat(C107,E107),"""")"),"[Select Team Name][Select Team Name]")</f>
        <v>[Select Team Name][Select Team Name]</v>
      </c>
      <c r="L107" s="20">
        <f>IFERROR(__xludf.DUMMYFUNCTION("if(regexmatch($B107,""DE""),D107,"""")"),0.0)</f>
        <v>0</v>
      </c>
      <c r="M107" s="20" t="str">
        <f>IFERROR(__xludf.DUMMYFUNCTION("if(regexmatch($B107,""DE""),concat(E107,C107),"""")"),"[Select Team Name][Select Team Name]")</f>
        <v>[Select Team Name][Select Team Name]</v>
      </c>
      <c r="N107" s="20">
        <f>IFERROR(__xludf.DUMMYFUNCTION("if(regexmatch($B107,""DE""),F107,"""")"),0.0)</f>
        <v>0</v>
      </c>
    </row>
    <row r="108">
      <c r="A108" s="12"/>
      <c r="B108" s="12" t="str">
        <f>IFERROR(__xludf.DUMMYFUNCTION("""COMPUTED_VALUE"""),"DE5")</f>
        <v>DE5</v>
      </c>
      <c r="C108" s="12" t="str">
        <f>IFERROR(__xludf.DUMMYFUNCTION("""COMPUTED_VALUE"""),"[Select Team Name]")</f>
        <v>[Select Team Name]</v>
      </c>
      <c r="D108" s="12">
        <f>IFERROR(__xludf.DUMMYFUNCTION("""COMPUTED_VALUE"""),0.0)</f>
        <v>0</v>
      </c>
      <c r="E108" s="12" t="str">
        <f>IFERROR(__xludf.DUMMYFUNCTION("""COMPUTED_VALUE"""),"[Select Team Name]")</f>
        <v>[Select Team Name]</v>
      </c>
      <c r="F108" s="12">
        <f>IFERROR(__xludf.DUMMYFUNCTION("""COMPUTED_VALUE"""),0.0)</f>
        <v>0</v>
      </c>
      <c r="G108" s="20" t="str">
        <f>IFERROR(__xludf.DUMMYFUNCTION("if(regexmatch($B108,""RR""),concat(C108,E108),"""")"),"")</f>
        <v/>
      </c>
      <c r="H108" s="20" t="str">
        <f>IFERROR(__xludf.DUMMYFUNCTION("if(regexmatch($B108,""RR""),D108,"""")"),"")</f>
        <v/>
      </c>
      <c r="I108" s="20" t="str">
        <f>IFERROR(__xludf.DUMMYFUNCTION("if(regexmatch($B108,""RR""),concat(E108,C108),"""")"),"")</f>
        <v/>
      </c>
      <c r="J108" s="20" t="str">
        <f>IFERROR(__xludf.DUMMYFUNCTION("if(regexmatch($B108,""RR""),F108,"""")"),"")</f>
        <v/>
      </c>
      <c r="K108" s="20" t="str">
        <f>IFERROR(__xludf.DUMMYFUNCTION("if(regexmatch($B108,""DE""),concat(C108,E108),"""")"),"[Select Team Name][Select Team Name]")</f>
        <v>[Select Team Name][Select Team Name]</v>
      </c>
      <c r="L108" s="20">
        <f>IFERROR(__xludf.DUMMYFUNCTION("if(regexmatch($B108,""DE""),D108,"""")"),0.0)</f>
        <v>0</v>
      </c>
      <c r="M108" s="20" t="str">
        <f>IFERROR(__xludf.DUMMYFUNCTION("if(regexmatch($B108,""DE""),concat(E108,C108),"""")"),"[Select Team Name][Select Team Name]")</f>
        <v>[Select Team Name][Select Team Name]</v>
      </c>
      <c r="N108" s="20">
        <f>IFERROR(__xludf.DUMMYFUNCTION("if(regexmatch($B108,""DE""),F108,"""")"),0.0)</f>
        <v>0</v>
      </c>
    </row>
    <row r="109">
      <c r="A109" s="12"/>
      <c r="B109" s="12" t="str">
        <f>IFERROR(__xludf.DUMMYFUNCTION("""COMPUTED_VALUE"""),"DE6")</f>
        <v>DE6</v>
      </c>
      <c r="C109" s="12" t="str">
        <f>IFERROR(__xludf.DUMMYFUNCTION("""COMPUTED_VALUE"""),"[Select Team Name]")</f>
        <v>[Select Team Name]</v>
      </c>
      <c r="D109" s="12">
        <f>IFERROR(__xludf.DUMMYFUNCTION("""COMPUTED_VALUE"""),0.0)</f>
        <v>0</v>
      </c>
      <c r="E109" s="12" t="str">
        <f>IFERROR(__xludf.DUMMYFUNCTION("""COMPUTED_VALUE"""),"[Select Team Name]")</f>
        <v>[Select Team Name]</v>
      </c>
      <c r="F109" s="12">
        <f>IFERROR(__xludf.DUMMYFUNCTION("""COMPUTED_VALUE"""),0.0)</f>
        <v>0</v>
      </c>
      <c r="G109" s="20" t="str">
        <f>IFERROR(__xludf.DUMMYFUNCTION("if(regexmatch($B109,""RR""),concat(C109,E109),"""")"),"")</f>
        <v/>
      </c>
      <c r="H109" s="20" t="str">
        <f>IFERROR(__xludf.DUMMYFUNCTION("if(regexmatch($B109,""RR""),D109,"""")"),"")</f>
        <v/>
      </c>
      <c r="I109" s="20" t="str">
        <f>IFERROR(__xludf.DUMMYFUNCTION("if(regexmatch($B109,""RR""),concat(E109,C109),"""")"),"")</f>
        <v/>
      </c>
      <c r="J109" s="20" t="str">
        <f>IFERROR(__xludf.DUMMYFUNCTION("if(regexmatch($B109,""RR""),F109,"""")"),"")</f>
        <v/>
      </c>
      <c r="K109" s="20" t="str">
        <f>IFERROR(__xludf.DUMMYFUNCTION("if(regexmatch($B109,""DE""),concat(C109,E109),"""")"),"[Select Team Name][Select Team Name]")</f>
        <v>[Select Team Name][Select Team Name]</v>
      </c>
      <c r="L109" s="20">
        <f>IFERROR(__xludf.DUMMYFUNCTION("if(regexmatch($B109,""DE""),D109,"""")"),0.0)</f>
        <v>0</v>
      </c>
      <c r="M109" s="20" t="str">
        <f>IFERROR(__xludf.DUMMYFUNCTION("if(regexmatch($B109,""DE""),concat(E109,C109),"""")"),"[Select Team Name][Select Team Name]")</f>
        <v>[Select Team Name][Select Team Name]</v>
      </c>
      <c r="N109" s="20">
        <f>IFERROR(__xludf.DUMMYFUNCTION("if(regexmatch($B109,""DE""),F109,"""")"),0.0)</f>
        <v>0</v>
      </c>
    </row>
    <row r="110">
      <c r="A110" s="12"/>
      <c r="B110" s="12" t="str">
        <f>IFERROR(__xludf.DUMMYFUNCTION("""COMPUTED_VALUE"""),"DE7")</f>
        <v>DE7</v>
      </c>
      <c r="C110" s="12" t="str">
        <f>IFERROR(__xludf.DUMMYFUNCTION("""COMPUTED_VALUE"""),"[Select Team Name]")</f>
        <v>[Select Team Name]</v>
      </c>
      <c r="D110" s="12">
        <f>IFERROR(__xludf.DUMMYFUNCTION("""COMPUTED_VALUE"""),0.0)</f>
        <v>0</v>
      </c>
      <c r="E110" s="12" t="str">
        <f>IFERROR(__xludf.DUMMYFUNCTION("""COMPUTED_VALUE"""),"[Select Team Name]")</f>
        <v>[Select Team Name]</v>
      </c>
      <c r="F110" s="12">
        <f>IFERROR(__xludf.DUMMYFUNCTION("""COMPUTED_VALUE"""),0.0)</f>
        <v>0</v>
      </c>
      <c r="G110" s="20" t="str">
        <f>IFERROR(__xludf.DUMMYFUNCTION("if(regexmatch($B110,""RR""),concat(C110,E110),"""")"),"")</f>
        <v/>
      </c>
      <c r="H110" s="20" t="str">
        <f>IFERROR(__xludf.DUMMYFUNCTION("if(regexmatch($B110,""RR""),D110,"""")"),"")</f>
        <v/>
      </c>
      <c r="I110" s="20" t="str">
        <f>IFERROR(__xludf.DUMMYFUNCTION("if(regexmatch($B110,""RR""),concat(E110,C110),"""")"),"")</f>
        <v/>
      </c>
      <c r="J110" s="20" t="str">
        <f>IFERROR(__xludf.DUMMYFUNCTION("if(regexmatch($B110,""RR""),F110,"""")"),"")</f>
        <v/>
      </c>
      <c r="K110" s="20" t="str">
        <f>IFERROR(__xludf.DUMMYFUNCTION("if(regexmatch($B110,""DE""),concat(C110,E110),"""")"),"[Select Team Name][Select Team Name]")</f>
        <v>[Select Team Name][Select Team Name]</v>
      </c>
      <c r="L110" s="20">
        <f>IFERROR(__xludf.DUMMYFUNCTION("if(regexmatch($B110,""DE""),D110,"""")"),0.0)</f>
        <v>0</v>
      </c>
      <c r="M110" s="20" t="str">
        <f>IFERROR(__xludf.DUMMYFUNCTION("if(regexmatch($B110,""DE""),concat(E110,C110),"""")"),"[Select Team Name][Select Team Name]")</f>
        <v>[Select Team Name][Select Team Name]</v>
      </c>
      <c r="N110" s="20">
        <f>IFERROR(__xludf.DUMMYFUNCTION("if(regexmatch($B110,""DE""),F110,"""")"),0.0)</f>
        <v>0</v>
      </c>
    </row>
    <row r="111">
      <c r="A111" s="12"/>
      <c r="B111" s="12" t="str">
        <f>IFERROR(__xludf.DUMMYFUNCTION("""COMPUTED_VALUE"""),"DE8")</f>
        <v>DE8</v>
      </c>
      <c r="C111" s="12" t="str">
        <f>IFERROR(__xludf.DUMMYFUNCTION("""COMPUTED_VALUE"""),"[Select Team Name]")</f>
        <v>[Select Team Name]</v>
      </c>
      <c r="D111" s="12">
        <f>IFERROR(__xludf.DUMMYFUNCTION("""COMPUTED_VALUE"""),0.0)</f>
        <v>0</v>
      </c>
      <c r="E111" s="12" t="str">
        <f>IFERROR(__xludf.DUMMYFUNCTION("""COMPUTED_VALUE"""),"[Select Team Name]")</f>
        <v>[Select Team Name]</v>
      </c>
      <c r="F111" s="12">
        <f>IFERROR(__xludf.DUMMYFUNCTION("""COMPUTED_VALUE"""),0.0)</f>
        <v>0</v>
      </c>
      <c r="G111" s="20" t="str">
        <f>IFERROR(__xludf.DUMMYFUNCTION("if(regexmatch($B111,""RR""),concat(C111,E111),"""")"),"")</f>
        <v/>
      </c>
      <c r="H111" s="20" t="str">
        <f>IFERROR(__xludf.DUMMYFUNCTION("if(regexmatch($B111,""RR""),D111,"""")"),"")</f>
        <v/>
      </c>
      <c r="I111" s="20" t="str">
        <f>IFERROR(__xludf.DUMMYFUNCTION("if(regexmatch($B111,""RR""),concat(E111,C111),"""")"),"")</f>
        <v/>
      </c>
      <c r="J111" s="20" t="str">
        <f>IFERROR(__xludf.DUMMYFUNCTION("if(regexmatch($B111,""RR""),F111,"""")"),"")</f>
        <v/>
      </c>
      <c r="K111" s="20" t="str">
        <f>IFERROR(__xludf.DUMMYFUNCTION("if(regexmatch($B111,""DE""),concat(C111,E111),"""")"),"[Select Team Name][Select Team Name]")</f>
        <v>[Select Team Name][Select Team Name]</v>
      </c>
      <c r="L111" s="20">
        <f>IFERROR(__xludf.DUMMYFUNCTION("if(regexmatch($B111,""DE""),D111,"""")"),0.0)</f>
        <v>0</v>
      </c>
      <c r="M111" s="20" t="str">
        <f>IFERROR(__xludf.DUMMYFUNCTION("if(regexmatch($B111,""DE""),concat(E111,C111),"""")"),"[Select Team Name][Select Team Name]")</f>
        <v>[Select Team Name][Select Team Name]</v>
      </c>
      <c r="N111" s="20">
        <f>IFERROR(__xludf.DUMMYFUNCTION("if(regexmatch($B111,""DE""),F111,"""")"),0.0)</f>
        <v>0</v>
      </c>
    </row>
    <row r="112">
      <c r="A112" s="12"/>
      <c r="B112" s="12" t="str">
        <f>IFERROR(__xludf.DUMMYFUNCTION("""COMPUTED_VALUE"""),"DE9")</f>
        <v>DE9</v>
      </c>
      <c r="C112" s="12" t="str">
        <f>IFERROR(__xludf.DUMMYFUNCTION("""COMPUTED_VALUE"""),"[Select Team Name]")</f>
        <v>[Select Team Name]</v>
      </c>
      <c r="D112" s="12">
        <f>IFERROR(__xludf.DUMMYFUNCTION("""COMPUTED_VALUE"""),0.0)</f>
        <v>0</v>
      </c>
      <c r="E112" s="12" t="str">
        <f>IFERROR(__xludf.DUMMYFUNCTION("""COMPUTED_VALUE"""),"[Select Team Name]")</f>
        <v>[Select Team Name]</v>
      </c>
      <c r="F112" s="12">
        <f>IFERROR(__xludf.DUMMYFUNCTION("""COMPUTED_VALUE"""),0.0)</f>
        <v>0</v>
      </c>
      <c r="G112" s="20" t="str">
        <f>IFERROR(__xludf.DUMMYFUNCTION("if(regexmatch($B112,""RR""),concat(C112,E112),"""")"),"")</f>
        <v/>
      </c>
      <c r="H112" s="20" t="str">
        <f>IFERROR(__xludf.DUMMYFUNCTION("if(regexmatch($B112,""RR""),D112,"""")"),"")</f>
        <v/>
      </c>
      <c r="I112" s="20" t="str">
        <f>IFERROR(__xludf.DUMMYFUNCTION("if(regexmatch($B112,""RR""),concat(E112,C112),"""")"),"")</f>
        <v/>
      </c>
      <c r="J112" s="20" t="str">
        <f>IFERROR(__xludf.DUMMYFUNCTION("if(regexmatch($B112,""RR""),F112,"""")"),"")</f>
        <v/>
      </c>
      <c r="K112" s="20" t="str">
        <f>IFERROR(__xludf.DUMMYFUNCTION("if(regexmatch($B112,""DE""),concat(C112,E112),"""")"),"[Select Team Name][Select Team Name]")</f>
        <v>[Select Team Name][Select Team Name]</v>
      </c>
      <c r="L112" s="20">
        <f>IFERROR(__xludf.DUMMYFUNCTION("if(regexmatch($B112,""DE""),D112,"""")"),0.0)</f>
        <v>0</v>
      </c>
      <c r="M112" s="20" t="str">
        <f>IFERROR(__xludf.DUMMYFUNCTION("if(regexmatch($B112,""DE""),concat(E112,C112),"""")"),"[Select Team Name][Select Team Name]")</f>
        <v>[Select Team Name][Select Team Name]</v>
      </c>
      <c r="N112" s="20">
        <f>IFERROR(__xludf.DUMMYFUNCTION("if(regexmatch($B112,""DE""),F112,"""")"),0.0)</f>
        <v>0</v>
      </c>
    </row>
    <row r="113">
      <c r="A113" s="1"/>
      <c r="B113" s="12" t="str">
        <f>IFERROR(__xludf.DUMMYFUNCTION("importrange(""https://docs.google.com/spreadsheets/d/1_mBQCVDfmrXNTP5kf5UxmRoYNJ13A65oWG_uMLZw0is/edit?gid=0#gid=0"",""Scores!A2:E15"")"),"RR1")</f>
        <v>RR1</v>
      </c>
      <c r="C113" s="12" t="str">
        <f>IFERROR(__xludf.DUMMYFUNCTION("""COMPUTED_VALUE"""),"Arcadia B")</f>
        <v>Arcadia B</v>
      </c>
      <c r="D113" s="12">
        <f>IFERROR(__xludf.DUMMYFUNCTION("""COMPUTED_VALUE"""),104.0)</f>
        <v>104</v>
      </c>
      <c r="E113" s="12" t="str">
        <f>IFERROR(__xludf.DUMMYFUNCTION("""COMPUTED_VALUE"""),"Temple City A")</f>
        <v>Temple City A</v>
      </c>
      <c r="F113" s="12">
        <f>IFERROR(__xludf.DUMMYFUNCTION("""COMPUTED_VALUE"""),126.0)</f>
        <v>126</v>
      </c>
      <c r="G113" s="20" t="str">
        <f>IFERROR(__xludf.DUMMYFUNCTION("if(regexmatch($B113,""RR""),concat(C113,E113),"""")"),"Arcadia BTemple City A")</f>
        <v>Arcadia BTemple City A</v>
      </c>
      <c r="H113" s="20">
        <f>IFERROR(__xludf.DUMMYFUNCTION("if(regexmatch($B113,""RR""),D113,"""")"),104.0)</f>
        <v>104</v>
      </c>
      <c r="I113" s="20" t="str">
        <f>IFERROR(__xludf.DUMMYFUNCTION("if(regexmatch($B113,""RR""),concat(E113,C113),"""")"),"Temple City AArcadia B")</f>
        <v>Temple City AArcadia B</v>
      </c>
      <c r="J113" s="20">
        <f>IFERROR(__xludf.DUMMYFUNCTION("if(regexmatch($B113,""RR""),F113,"""")"),126.0)</f>
        <v>126</v>
      </c>
      <c r="K113" s="20" t="str">
        <f>IFERROR(__xludf.DUMMYFUNCTION("if(regexmatch($B113,""DE""),concat(C113,E113),"""")"),"")</f>
        <v/>
      </c>
      <c r="L113" s="20" t="str">
        <f>IFERROR(__xludf.DUMMYFUNCTION("if(regexmatch($B113,""DE""),D113,"""")"),"")</f>
        <v/>
      </c>
      <c r="M113" s="20" t="str">
        <f>IFERROR(__xludf.DUMMYFUNCTION("if(regexmatch($B113,""DE""),concat(E113,C113),"""")"),"")</f>
        <v/>
      </c>
      <c r="N113" s="20" t="str">
        <f>IFERROR(__xludf.DUMMYFUNCTION("if(regexmatch($B113,""DE""),F113,"""")"),"")</f>
        <v/>
      </c>
    </row>
    <row r="114">
      <c r="A114" s="12"/>
      <c r="B114" s="12" t="str">
        <f>IFERROR(__xludf.DUMMYFUNCTION("""COMPUTED_VALUE"""),"RR2")</f>
        <v>RR2</v>
      </c>
      <c r="C114" s="12" t="str">
        <f>IFERROR(__xludf.DUMMYFUNCTION("""COMPUTED_VALUE"""),"Beckman A")</f>
        <v>Beckman A</v>
      </c>
      <c r="D114" s="12">
        <f>IFERROR(__xludf.DUMMYFUNCTION("""COMPUTED_VALUE"""),104.0)</f>
        <v>104</v>
      </c>
      <c r="E114" s="12" t="str">
        <f>IFERROR(__xludf.DUMMYFUNCTION("""COMPUTED_VALUE"""),"Westview")</f>
        <v>Westview</v>
      </c>
      <c r="F114" s="12">
        <f>IFERROR(__xludf.DUMMYFUNCTION("""COMPUTED_VALUE"""),60.0)</f>
        <v>60</v>
      </c>
      <c r="G114" s="20" t="str">
        <f>IFERROR(__xludf.DUMMYFUNCTION("if(regexmatch($B114,""RR""),concat(C114,E114),"""")"),"Beckman AWestview")</f>
        <v>Beckman AWestview</v>
      </c>
      <c r="H114" s="20">
        <f>IFERROR(__xludf.DUMMYFUNCTION("if(regexmatch($B114,""RR""),D114,"""")"),104.0)</f>
        <v>104</v>
      </c>
      <c r="I114" s="20" t="str">
        <f>IFERROR(__xludf.DUMMYFUNCTION("if(regexmatch($B114,""RR""),concat(E114,C114),"""")"),"WestviewBeckman A")</f>
        <v>WestviewBeckman A</v>
      </c>
      <c r="J114" s="20">
        <f>IFERROR(__xludf.DUMMYFUNCTION("if(regexmatch($B114,""RR""),F114,"""")"),60.0)</f>
        <v>60</v>
      </c>
      <c r="K114" s="20" t="str">
        <f>IFERROR(__xludf.DUMMYFUNCTION("if(regexmatch($B114,""DE""),concat(C114,E114),"""")"),"")</f>
        <v/>
      </c>
      <c r="L114" s="20" t="str">
        <f>IFERROR(__xludf.DUMMYFUNCTION("if(regexmatch($B114,""DE""),D114,"""")"),"")</f>
        <v/>
      </c>
      <c r="M114" s="20" t="str">
        <f>IFERROR(__xludf.DUMMYFUNCTION("if(regexmatch($B114,""DE""),concat(E114,C114),"""")"),"")</f>
        <v/>
      </c>
      <c r="N114" s="20" t="str">
        <f>IFERROR(__xludf.DUMMYFUNCTION("if(regexmatch($B114,""DE""),F114,"""")"),"")</f>
        <v/>
      </c>
    </row>
    <row r="115">
      <c r="A115" s="12"/>
      <c r="B115" s="12" t="str">
        <f>IFERROR(__xludf.DUMMYFUNCTION("""COMPUTED_VALUE"""),"RR3")</f>
        <v>RR3</v>
      </c>
      <c r="C115" s="12" t="str">
        <f>IFERROR(__xludf.DUMMYFUNCTION("""COMPUTED_VALUE"""),"Canyon Crest A")</f>
        <v>Canyon Crest A</v>
      </c>
      <c r="D115" s="12">
        <f>IFERROR(__xludf.DUMMYFUNCTION("""COMPUTED_VALUE"""),170.0)</f>
        <v>170</v>
      </c>
      <c r="E115" s="12" t="str">
        <f>IFERROR(__xludf.DUMMYFUNCTION("""COMPUTED_VALUE"""),"Oak Avenue")</f>
        <v>Oak Avenue</v>
      </c>
      <c r="F115" s="12">
        <f>IFERROR(__xludf.DUMMYFUNCTION("""COMPUTED_VALUE"""),72.0)</f>
        <v>72</v>
      </c>
      <c r="G115" s="20" t="str">
        <f>IFERROR(__xludf.DUMMYFUNCTION("if(regexmatch($B115,""RR""),concat(C115,E115),"""")"),"Canyon Crest AOak Avenue")</f>
        <v>Canyon Crest AOak Avenue</v>
      </c>
      <c r="H115" s="20">
        <f>IFERROR(__xludf.DUMMYFUNCTION("if(regexmatch($B115,""RR""),D115,"""")"),170.0)</f>
        <v>170</v>
      </c>
      <c r="I115" s="20" t="str">
        <f>IFERROR(__xludf.DUMMYFUNCTION("if(regexmatch($B115,""RR""),concat(E115,C115),"""")"),"Oak AvenueCanyon Crest A")</f>
        <v>Oak AvenueCanyon Crest A</v>
      </c>
      <c r="J115" s="20">
        <f>IFERROR(__xludf.DUMMYFUNCTION("if(regexmatch($B115,""RR""),F115,"""")"),72.0)</f>
        <v>72</v>
      </c>
      <c r="K115" s="20" t="str">
        <f>IFERROR(__xludf.DUMMYFUNCTION("if(regexmatch($B115,""DE""),concat(C115,E115),"""")"),"")</f>
        <v/>
      </c>
      <c r="L115" s="20" t="str">
        <f>IFERROR(__xludf.DUMMYFUNCTION("if(regexmatch($B115,""DE""),D115,"""")"),"")</f>
        <v/>
      </c>
      <c r="M115" s="20" t="str">
        <f>IFERROR(__xludf.DUMMYFUNCTION("if(regexmatch($B115,""DE""),concat(E115,C115),"""")"),"")</f>
        <v/>
      </c>
      <c r="N115" s="20" t="str">
        <f>IFERROR(__xludf.DUMMYFUNCTION("if(regexmatch($B115,""DE""),F115,"""")"),"")</f>
        <v/>
      </c>
    </row>
    <row r="116">
      <c r="A116" s="12"/>
      <c r="B116" s="12" t="str">
        <f>IFERROR(__xludf.DUMMYFUNCTION("""COMPUTED_VALUE"""),"RR4")</f>
        <v>RR4</v>
      </c>
      <c r="C116" s="12" t="str">
        <f>IFERROR(__xludf.DUMMYFUNCTION("""COMPUTED_VALUE"""),"Venice B")</f>
        <v>Venice B</v>
      </c>
      <c r="D116" s="12">
        <f>IFERROR(__xludf.DUMMYFUNCTION("""COMPUTED_VALUE"""),54.0)</f>
        <v>54</v>
      </c>
      <c r="E116" s="12" t="str">
        <f>IFERROR(__xludf.DUMMYFUNCTION("""COMPUTED_VALUE"""),"Portola")</f>
        <v>Portola</v>
      </c>
      <c r="F116" s="12">
        <f>IFERROR(__xludf.DUMMYFUNCTION("""COMPUTED_VALUE"""),118.0)</f>
        <v>118</v>
      </c>
      <c r="G116" s="20" t="str">
        <f>IFERROR(__xludf.DUMMYFUNCTION("if(regexmatch($B116,""RR""),concat(C116,E116),"""")"),"Venice BPortola")</f>
        <v>Venice BPortola</v>
      </c>
      <c r="H116" s="20">
        <f>IFERROR(__xludf.DUMMYFUNCTION("if(regexmatch($B116,""RR""),D116,"""")"),54.0)</f>
        <v>54</v>
      </c>
      <c r="I116" s="20" t="str">
        <f>IFERROR(__xludf.DUMMYFUNCTION("if(regexmatch($B116,""RR""),concat(E116,C116),"""")"),"PortolaVenice B")</f>
        <v>PortolaVenice B</v>
      </c>
      <c r="J116" s="20">
        <f>IFERROR(__xludf.DUMMYFUNCTION("if(regexmatch($B116,""RR""),F116,"""")"),118.0)</f>
        <v>118</v>
      </c>
      <c r="K116" s="20" t="str">
        <f>IFERROR(__xludf.DUMMYFUNCTION("if(regexmatch($B116,""DE""),concat(C116,E116),"""")"),"")</f>
        <v/>
      </c>
      <c r="L116" s="20" t="str">
        <f>IFERROR(__xludf.DUMMYFUNCTION("if(regexmatch($B116,""DE""),D116,"""")"),"")</f>
        <v/>
      </c>
      <c r="M116" s="20" t="str">
        <f>IFERROR(__xludf.DUMMYFUNCTION("if(regexmatch($B116,""DE""),concat(E116,C116),"""")"),"")</f>
        <v/>
      </c>
      <c r="N116" s="20" t="str">
        <f>IFERROR(__xludf.DUMMYFUNCTION("if(regexmatch($B116,""DE""),F116,"""")"),"")</f>
        <v/>
      </c>
    </row>
    <row r="117">
      <c r="A117" s="12"/>
      <c r="B117" s="12" t="str">
        <f>IFERROR(__xludf.DUMMYFUNCTION("""COMPUTED_VALUE"""),"RR5")</f>
        <v>RR5</v>
      </c>
      <c r="C117" s="12" t="str">
        <f>IFERROR(__xludf.DUMMYFUNCTION("""COMPUTED_VALUE"""),"North Hollywood B")</f>
        <v>North Hollywood B</v>
      </c>
      <c r="D117" s="12">
        <f>IFERROR(__xludf.DUMMYFUNCTION("""COMPUTED_VALUE"""),106.0)</f>
        <v>106</v>
      </c>
      <c r="E117" s="12" t="str">
        <f>IFERROR(__xludf.DUMMYFUNCTION("""COMPUTED_VALUE"""),"Granada Hills A")</f>
        <v>Granada Hills A</v>
      </c>
      <c r="F117" s="12">
        <f>IFERROR(__xludf.DUMMYFUNCTION("""COMPUTED_VALUE"""),68.0)</f>
        <v>68</v>
      </c>
      <c r="G117" s="20" t="str">
        <f>IFERROR(__xludf.DUMMYFUNCTION("if(regexmatch($B117,""RR""),concat(C117,E117),"""")"),"North Hollywood BGranada Hills A")</f>
        <v>North Hollywood BGranada Hills A</v>
      </c>
      <c r="H117" s="20">
        <f>IFERROR(__xludf.DUMMYFUNCTION("if(regexmatch($B117,""RR""),D117,"""")"),106.0)</f>
        <v>106</v>
      </c>
      <c r="I117" s="20" t="str">
        <f>IFERROR(__xludf.DUMMYFUNCTION("if(regexmatch($B117,""RR""),concat(E117,C117),"""")"),"Granada Hills ANorth Hollywood B")</f>
        <v>Granada Hills ANorth Hollywood B</v>
      </c>
      <c r="J117" s="20">
        <f>IFERROR(__xludf.DUMMYFUNCTION("if(regexmatch($B117,""RR""),F117,"""")"),68.0)</f>
        <v>68</v>
      </c>
      <c r="K117" s="20" t="str">
        <f>IFERROR(__xludf.DUMMYFUNCTION("if(regexmatch($B117,""DE""),concat(C117,E117),"""")"),"")</f>
        <v/>
      </c>
      <c r="L117" s="20" t="str">
        <f>IFERROR(__xludf.DUMMYFUNCTION("if(regexmatch($B117,""DE""),D117,"""")"),"")</f>
        <v/>
      </c>
      <c r="M117" s="20" t="str">
        <f>IFERROR(__xludf.DUMMYFUNCTION("if(regexmatch($B117,""DE""),concat(E117,C117),"""")"),"")</f>
        <v/>
      </c>
      <c r="N117" s="20" t="str">
        <f>IFERROR(__xludf.DUMMYFUNCTION("if(regexmatch($B117,""DE""),F117,"""")"),"")</f>
        <v/>
      </c>
    </row>
    <row r="118">
      <c r="A118" s="12"/>
      <c r="B118" s="12" t="str">
        <f>IFERROR(__xludf.DUMMYFUNCTION("""COMPUTED_VALUE"""),"DE1")</f>
        <v>DE1</v>
      </c>
      <c r="C118" s="12" t="str">
        <f>IFERROR(__xludf.DUMMYFUNCTION("""COMPUTED_VALUE"""),"[Select Team Name]")</f>
        <v>[Select Team Name]</v>
      </c>
      <c r="D118" s="12">
        <f>IFERROR(__xludf.DUMMYFUNCTION("""COMPUTED_VALUE"""),0.0)</f>
        <v>0</v>
      </c>
      <c r="E118" s="12" t="str">
        <f>IFERROR(__xludf.DUMMYFUNCTION("""COMPUTED_VALUE"""),"[Select Team Name]")</f>
        <v>[Select Team Name]</v>
      </c>
      <c r="F118" s="12">
        <f>IFERROR(__xludf.DUMMYFUNCTION("""COMPUTED_VALUE"""),0.0)</f>
        <v>0</v>
      </c>
      <c r="G118" s="20" t="str">
        <f>IFERROR(__xludf.DUMMYFUNCTION("if(regexmatch($B118,""RR""),concat(C118,E118),"""")"),"")</f>
        <v/>
      </c>
      <c r="H118" s="20" t="str">
        <f>IFERROR(__xludf.DUMMYFUNCTION("if(regexmatch($B118,""RR""),D118,"""")"),"")</f>
        <v/>
      </c>
      <c r="I118" s="20" t="str">
        <f>IFERROR(__xludf.DUMMYFUNCTION("if(regexmatch($B118,""RR""),concat(E118,C118),"""")"),"")</f>
        <v/>
      </c>
      <c r="J118" s="20" t="str">
        <f>IFERROR(__xludf.DUMMYFUNCTION("if(regexmatch($B118,""RR""),F118,"""")"),"")</f>
        <v/>
      </c>
      <c r="K118" s="20" t="str">
        <f>IFERROR(__xludf.DUMMYFUNCTION("if(regexmatch($B118,""DE""),concat(C118,E118),"""")"),"[Select Team Name][Select Team Name]")</f>
        <v>[Select Team Name][Select Team Name]</v>
      </c>
      <c r="L118" s="20">
        <f>IFERROR(__xludf.DUMMYFUNCTION("if(regexmatch($B118,""DE""),D118,"""")"),0.0)</f>
        <v>0</v>
      </c>
      <c r="M118" s="20" t="str">
        <f>IFERROR(__xludf.DUMMYFUNCTION("if(regexmatch($B118,""DE""),concat(E118,C118),"""")"),"[Select Team Name][Select Team Name]")</f>
        <v>[Select Team Name][Select Team Name]</v>
      </c>
      <c r="N118" s="20">
        <f>IFERROR(__xludf.DUMMYFUNCTION("if(regexmatch($B118,""DE""),F118,"""")"),0.0)</f>
        <v>0</v>
      </c>
    </row>
    <row r="119">
      <c r="A119" s="12"/>
      <c r="B119" s="12" t="str">
        <f>IFERROR(__xludf.DUMMYFUNCTION("""COMPUTED_VALUE"""),"DE2")</f>
        <v>DE2</v>
      </c>
      <c r="C119" s="12" t="str">
        <f>IFERROR(__xludf.DUMMYFUNCTION("""COMPUTED_VALUE"""),"[Select Team Name]")</f>
        <v>[Select Team Name]</v>
      </c>
      <c r="D119" s="12">
        <f>IFERROR(__xludf.DUMMYFUNCTION("""COMPUTED_VALUE"""),0.0)</f>
        <v>0</v>
      </c>
      <c r="E119" s="12" t="str">
        <f>IFERROR(__xludf.DUMMYFUNCTION("""COMPUTED_VALUE"""),"[Select Team Name]")</f>
        <v>[Select Team Name]</v>
      </c>
      <c r="F119" s="12">
        <f>IFERROR(__xludf.DUMMYFUNCTION("""COMPUTED_VALUE"""),0.0)</f>
        <v>0</v>
      </c>
      <c r="G119" s="20" t="str">
        <f>IFERROR(__xludf.DUMMYFUNCTION("if(regexmatch($B119,""RR""),concat(C119,E119),"""")"),"")</f>
        <v/>
      </c>
      <c r="H119" s="20" t="str">
        <f>IFERROR(__xludf.DUMMYFUNCTION("if(regexmatch($B119,""RR""),D119,"""")"),"")</f>
        <v/>
      </c>
      <c r="I119" s="20" t="str">
        <f>IFERROR(__xludf.DUMMYFUNCTION("if(regexmatch($B119,""RR""),concat(E119,C119),"""")"),"")</f>
        <v/>
      </c>
      <c r="J119" s="20" t="str">
        <f>IFERROR(__xludf.DUMMYFUNCTION("if(regexmatch($B119,""RR""),F119,"""")"),"")</f>
        <v/>
      </c>
      <c r="K119" s="20" t="str">
        <f>IFERROR(__xludf.DUMMYFUNCTION("if(regexmatch($B119,""DE""),concat(C119,E119),"""")"),"[Select Team Name][Select Team Name]")</f>
        <v>[Select Team Name][Select Team Name]</v>
      </c>
      <c r="L119" s="20">
        <f>IFERROR(__xludf.DUMMYFUNCTION("if(regexmatch($B119,""DE""),D119,"""")"),0.0)</f>
        <v>0</v>
      </c>
      <c r="M119" s="20" t="str">
        <f>IFERROR(__xludf.DUMMYFUNCTION("if(regexmatch($B119,""DE""),concat(E119,C119),"""")"),"[Select Team Name][Select Team Name]")</f>
        <v>[Select Team Name][Select Team Name]</v>
      </c>
      <c r="N119" s="20">
        <f>IFERROR(__xludf.DUMMYFUNCTION("if(regexmatch($B119,""DE""),F119,"""")"),0.0)</f>
        <v>0</v>
      </c>
    </row>
    <row r="120">
      <c r="A120" s="12"/>
      <c r="B120" s="12" t="str">
        <f>IFERROR(__xludf.DUMMYFUNCTION("""COMPUTED_VALUE"""),"DE3")</f>
        <v>DE3</v>
      </c>
      <c r="C120" s="12" t="str">
        <f>IFERROR(__xludf.DUMMYFUNCTION("""COMPUTED_VALUE"""),"[Select Team Name]")</f>
        <v>[Select Team Name]</v>
      </c>
      <c r="D120" s="12">
        <f>IFERROR(__xludf.DUMMYFUNCTION("""COMPUTED_VALUE"""),0.0)</f>
        <v>0</v>
      </c>
      <c r="E120" s="12" t="str">
        <f>IFERROR(__xludf.DUMMYFUNCTION("""COMPUTED_VALUE"""),"[Select Team Name]")</f>
        <v>[Select Team Name]</v>
      </c>
      <c r="F120" s="12">
        <f>IFERROR(__xludf.DUMMYFUNCTION("""COMPUTED_VALUE"""),0.0)</f>
        <v>0</v>
      </c>
      <c r="G120" s="20" t="str">
        <f>IFERROR(__xludf.DUMMYFUNCTION("if(regexmatch($B120,""RR""),concat(C120,E120),"""")"),"")</f>
        <v/>
      </c>
      <c r="H120" s="20" t="str">
        <f>IFERROR(__xludf.DUMMYFUNCTION("if(regexmatch($B120,""RR""),D120,"""")"),"")</f>
        <v/>
      </c>
      <c r="I120" s="20" t="str">
        <f>IFERROR(__xludf.DUMMYFUNCTION("if(regexmatch($B120,""RR""),concat(E120,C120),"""")"),"")</f>
        <v/>
      </c>
      <c r="J120" s="20" t="str">
        <f>IFERROR(__xludf.DUMMYFUNCTION("if(regexmatch($B120,""RR""),F120,"""")"),"")</f>
        <v/>
      </c>
      <c r="K120" s="20" t="str">
        <f>IFERROR(__xludf.DUMMYFUNCTION("if(regexmatch($B120,""DE""),concat(C120,E120),"""")"),"[Select Team Name][Select Team Name]")</f>
        <v>[Select Team Name][Select Team Name]</v>
      </c>
      <c r="L120" s="20">
        <f>IFERROR(__xludf.DUMMYFUNCTION("if(regexmatch($B120,""DE""),D120,"""")"),0.0)</f>
        <v>0</v>
      </c>
      <c r="M120" s="20" t="str">
        <f>IFERROR(__xludf.DUMMYFUNCTION("if(regexmatch($B120,""DE""),concat(E120,C120),"""")"),"[Select Team Name][Select Team Name]")</f>
        <v>[Select Team Name][Select Team Name]</v>
      </c>
      <c r="N120" s="20">
        <f>IFERROR(__xludf.DUMMYFUNCTION("if(regexmatch($B120,""DE""),F120,"""")"),0.0)</f>
        <v>0</v>
      </c>
    </row>
    <row r="121">
      <c r="A121" s="12"/>
      <c r="B121" s="12" t="str">
        <f>IFERROR(__xludf.DUMMYFUNCTION("""COMPUTED_VALUE"""),"DE4")</f>
        <v>DE4</v>
      </c>
      <c r="C121" s="12" t="str">
        <f>IFERROR(__xludf.DUMMYFUNCTION("""COMPUTED_VALUE"""),"[Select Team Name]")</f>
        <v>[Select Team Name]</v>
      </c>
      <c r="D121" s="12">
        <f>IFERROR(__xludf.DUMMYFUNCTION("""COMPUTED_VALUE"""),0.0)</f>
        <v>0</v>
      </c>
      <c r="E121" s="12" t="str">
        <f>IFERROR(__xludf.DUMMYFUNCTION("""COMPUTED_VALUE"""),"[Select Team Name]")</f>
        <v>[Select Team Name]</v>
      </c>
      <c r="F121" s="12">
        <f>IFERROR(__xludf.DUMMYFUNCTION("""COMPUTED_VALUE"""),0.0)</f>
        <v>0</v>
      </c>
      <c r="G121" s="20" t="str">
        <f>IFERROR(__xludf.DUMMYFUNCTION("if(regexmatch($B121,""RR""),concat(C121,E121),"""")"),"")</f>
        <v/>
      </c>
      <c r="H121" s="20" t="str">
        <f>IFERROR(__xludf.DUMMYFUNCTION("if(regexmatch($B121,""RR""),D121,"""")"),"")</f>
        <v/>
      </c>
      <c r="I121" s="20" t="str">
        <f>IFERROR(__xludf.DUMMYFUNCTION("if(regexmatch($B121,""RR""),concat(E121,C121),"""")"),"")</f>
        <v/>
      </c>
      <c r="J121" s="20" t="str">
        <f>IFERROR(__xludf.DUMMYFUNCTION("if(regexmatch($B121,""RR""),F121,"""")"),"")</f>
        <v/>
      </c>
      <c r="K121" s="20" t="str">
        <f>IFERROR(__xludf.DUMMYFUNCTION("if(regexmatch($B121,""DE""),concat(C121,E121),"""")"),"[Select Team Name][Select Team Name]")</f>
        <v>[Select Team Name][Select Team Name]</v>
      </c>
      <c r="L121" s="20">
        <f>IFERROR(__xludf.DUMMYFUNCTION("if(regexmatch($B121,""DE""),D121,"""")"),0.0)</f>
        <v>0</v>
      </c>
      <c r="M121" s="20" t="str">
        <f>IFERROR(__xludf.DUMMYFUNCTION("if(regexmatch($B121,""DE""),concat(E121,C121),"""")"),"[Select Team Name][Select Team Name]")</f>
        <v>[Select Team Name][Select Team Name]</v>
      </c>
      <c r="N121" s="20">
        <f>IFERROR(__xludf.DUMMYFUNCTION("if(regexmatch($B121,""DE""),F121,"""")"),0.0)</f>
        <v>0</v>
      </c>
    </row>
    <row r="122">
      <c r="A122" s="12"/>
      <c r="B122" s="12" t="str">
        <f>IFERROR(__xludf.DUMMYFUNCTION("""COMPUTED_VALUE"""),"DE5")</f>
        <v>DE5</v>
      </c>
      <c r="C122" s="12" t="str">
        <f>IFERROR(__xludf.DUMMYFUNCTION("""COMPUTED_VALUE"""),"[Select Team Name]")</f>
        <v>[Select Team Name]</v>
      </c>
      <c r="D122" s="12">
        <f>IFERROR(__xludf.DUMMYFUNCTION("""COMPUTED_VALUE"""),0.0)</f>
        <v>0</v>
      </c>
      <c r="E122" s="12" t="str">
        <f>IFERROR(__xludf.DUMMYFUNCTION("""COMPUTED_VALUE"""),"[Select Team Name]")</f>
        <v>[Select Team Name]</v>
      </c>
      <c r="F122" s="12">
        <f>IFERROR(__xludf.DUMMYFUNCTION("""COMPUTED_VALUE"""),0.0)</f>
        <v>0</v>
      </c>
      <c r="G122" s="20" t="str">
        <f>IFERROR(__xludf.DUMMYFUNCTION("if(regexmatch($B122,""RR""),concat(C122,E122),"""")"),"")</f>
        <v/>
      </c>
      <c r="H122" s="20" t="str">
        <f>IFERROR(__xludf.DUMMYFUNCTION("if(regexmatch($B122,""RR""),D122,"""")"),"")</f>
        <v/>
      </c>
      <c r="I122" s="20" t="str">
        <f>IFERROR(__xludf.DUMMYFUNCTION("if(regexmatch($B122,""RR""),concat(E122,C122),"""")"),"")</f>
        <v/>
      </c>
      <c r="J122" s="20" t="str">
        <f>IFERROR(__xludf.DUMMYFUNCTION("if(regexmatch($B122,""RR""),F122,"""")"),"")</f>
        <v/>
      </c>
      <c r="K122" s="20" t="str">
        <f>IFERROR(__xludf.DUMMYFUNCTION("if(regexmatch($B122,""DE""),concat(C122,E122),"""")"),"[Select Team Name][Select Team Name]")</f>
        <v>[Select Team Name][Select Team Name]</v>
      </c>
      <c r="L122" s="20">
        <f>IFERROR(__xludf.DUMMYFUNCTION("if(regexmatch($B122,""DE""),D122,"""")"),0.0)</f>
        <v>0</v>
      </c>
      <c r="M122" s="20" t="str">
        <f>IFERROR(__xludf.DUMMYFUNCTION("if(regexmatch($B122,""DE""),concat(E122,C122),"""")"),"[Select Team Name][Select Team Name]")</f>
        <v>[Select Team Name][Select Team Name]</v>
      </c>
      <c r="N122" s="20">
        <f>IFERROR(__xludf.DUMMYFUNCTION("if(regexmatch($B122,""DE""),F122,"""")"),0.0)</f>
        <v>0</v>
      </c>
    </row>
    <row r="123">
      <c r="A123" s="12"/>
      <c r="B123" s="12" t="str">
        <f>IFERROR(__xludf.DUMMYFUNCTION("""COMPUTED_VALUE"""),"DE6")</f>
        <v>DE6</v>
      </c>
      <c r="C123" s="12" t="str">
        <f>IFERROR(__xludf.DUMMYFUNCTION("""COMPUTED_VALUE"""),"[Select Team Name]")</f>
        <v>[Select Team Name]</v>
      </c>
      <c r="D123" s="12">
        <f>IFERROR(__xludf.DUMMYFUNCTION("""COMPUTED_VALUE"""),0.0)</f>
        <v>0</v>
      </c>
      <c r="E123" s="12" t="str">
        <f>IFERROR(__xludf.DUMMYFUNCTION("""COMPUTED_VALUE"""),"[Select Team Name]")</f>
        <v>[Select Team Name]</v>
      </c>
      <c r="F123" s="12">
        <f>IFERROR(__xludf.DUMMYFUNCTION("""COMPUTED_VALUE"""),0.0)</f>
        <v>0</v>
      </c>
      <c r="G123" s="20" t="str">
        <f>IFERROR(__xludf.DUMMYFUNCTION("if(regexmatch($B123,""RR""),concat(C123,E123),"""")"),"")</f>
        <v/>
      </c>
      <c r="H123" s="20" t="str">
        <f>IFERROR(__xludf.DUMMYFUNCTION("if(regexmatch($B123,""RR""),D123,"""")"),"")</f>
        <v/>
      </c>
      <c r="I123" s="20" t="str">
        <f>IFERROR(__xludf.DUMMYFUNCTION("if(regexmatch($B123,""RR""),concat(E123,C123),"""")"),"")</f>
        <v/>
      </c>
      <c r="J123" s="20" t="str">
        <f>IFERROR(__xludf.DUMMYFUNCTION("if(regexmatch($B123,""RR""),F123,"""")"),"")</f>
        <v/>
      </c>
      <c r="K123" s="20" t="str">
        <f>IFERROR(__xludf.DUMMYFUNCTION("if(regexmatch($B123,""DE""),concat(C123,E123),"""")"),"[Select Team Name][Select Team Name]")</f>
        <v>[Select Team Name][Select Team Name]</v>
      </c>
      <c r="L123" s="20">
        <f>IFERROR(__xludf.DUMMYFUNCTION("if(regexmatch($B123,""DE""),D123,"""")"),0.0)</f>
        <v>0</v>
      </c>
      <c r="M123" s="20" t="str">
        <f>IFERROR(__xludf.DUMMYFUNCTION("if(regexmatch($B123,""DE""),concat(E123,C123),"""")"),"[Select Team Name][Select Team Name]")</f>
        <v>[Select Team Name][Select Team Name]</v>
      </c>
      <c r="N123" s="20">
        <f>IFERROR(__xludf.DUMMYFUNCTION("if(regexmatch($B123,""DE""),F123,"""")"),0.0)</f>
        <v>0</v>
      </c>
    </row>
    <row r="124">
      <c r="A124" s="12"/>
      <c r="B124" s="12" t="str">
        <f>IFERROR(__xludf.DUMMYFUNCTION("""COMPUTED_VALUE"""),"DE7")</f>
        <v>DE7</v>
      </c>
      <c r="C124" s="12" t="str">
        <f>IFERROR(__xludf.DUMMYFUNCTION("""COMPUTED_VALUE"""),"[Select Team Name]")</f>
        <v>[Select Team Name]</v>
      </c>
      <c r="D124" s="12">
        <f>IFERROR(__xludf.DUMMYFUNCTION("""COMPUTED_VALUE"""),0.0)</f>
        <v>0</v>
      </c>
      <c r="E124" s="12" t="str">
        <f>IFERROR(__xludf.DUMMYFUNCTION("""COMPUTED_VALUE"""),"[Select Team Name]")</f>
        <v>[Select Team Name]</v>
      </c>
      <c r="F124" s="12">
        <f>IFERROR(__xludf.DUMMYFUNCTION("""COMPUTED_VALUE"""),0.0)</f>
        <v>0</v>
      </c>
      <c r="G124" s="20" t="str">
        <f>IFERROR(__xludf.DUMMYFUNCTION("if(regexmatch($B124,""RR""),concat(C124,E124),"""")"),"")</f>
        <v/>
      </c>
      <c r="H124" s="20" t="str">
        <f>IFERROR(__xludf.DUMMYFUNCTION("if(regexmatch($B124,""RR""),D124,"""")"),"")</f>
        <v/>
      </c>
      <c r="I124" s="20" t="str">
        <f>IFERROR(__xludf.DUMMYFUNCTION("if(regexmatch($B124,""RR""),concat(E124,C124),"""")"),"")</f>
        <v/>
      </c>
      <c r="J124" s="20" t="str">
        <f>IFERROR(__xludf.DUMMYFUNCTION("if(regexmatch($B124,""RR""),F124,"""")"),"")</f>
        <v/>
      </c>
      <c r="K124" s="20" t="str">
        <f>IFERROR(__xludf.DUMMYFUNCTION("if(regexmatch($B124,""DE""),concat(C124,E124),"""")"),"[Select Team Name][Select Team Name]")</f>
        <v>[Select Team Name][Select Team Name]</v>
      </c>
      <c r="L124" s="20">
        <f>IFERROR(__xludf.DUMMYFUNCTION("if(regexmatch($B124,""DE""),D124,"""")"),0.0)</f>
        <v>0</v>
      </c>
      <c r="M124" s="20" t="str">
        <f>IFERROR(__xludf.DUMMYFUNCTION("if(regexmatch($B124,""DE""),concat(E124,C124),"""")"),"[Select Team Name][Select Team Name]")</f>
        <v>[Select Team Name][Select Team Name]</v>
      </c>
      <c r="N124" s="20">
        <f>IFERROR(__xludf.DUMMYFUNCTION("if(regexmatch($B124,""DE""),F124,"""")"),0.0)</f>
        <v>0</v>
      </c>
    </row>
    <row r="125">
      <c r="A125" s="12"/>
      <c r="B125" s="12" t="str">
        <f>IFERROR(__xludf.DUMMYFUNCTION("""COMPUTED_VALUE"""),"DE8")</f>
        <v>DE8</v>
      </c>
      <c r="C125" s="12" t="str">
        <f>IFERROR(__xludf.DUMMYFUNCTION("""COMPUTED_VALUE"""),"[Select Team Name]")</f>
        <v>[Select Team Name]</v>
      </c>
      <c r="D125" s="12">
        <f>IFERROR(__xludf.DUMMYFUNCTION("""COMPUTED_VALUE"""),0.0)</f>
        <v>0</v>
      </c>
      <c r="E125" s="12" t="str">
        <f>IFERROR(__xludf.DUMMYFUNCTION("""COMPUTED_VALUE"""),"[Select Team Name]")</f>
        <v>[Select Team Name]</v>
      </c>
      <c r="F125" s="12">
        <f>IFERROR(__xludf.DUMMYFUNCTION("""COMPUTED_VALUE"""),0.0)</f>
        <v>0</v>
      </c>
      <c r="G125" s="20" t="str">
        <f>IFERROR(__xludf.DUMMYFUNCTION("if(regexmatch($B125,""RR""),concat(C125,E125),"""")"),"")</f>
        <v/>
      </c>
      <c r="H125" s="20" t="str">
        <f>IFERROR(__xludf.DUMMYFUNCTION("if(regexmatch($B125,""RR""),D125,"""")"),"")</f>
        <v/>
      </c>
      <c r="I125" s="20" t="str">
        <f>IFERROR(__xludf.DUMMYFUNCTION("if(regexmatch($B125,""RR""),concat(E125,C125),"""")"),"")</f>
        <v/>
      </c>
      <c r="J125" s="20" t="str">
        <f>IFERROR(__xludf.DUMMYFUNCTION("if(regexmatch($B125,""RR""),F125,"""")"),"")</f>
        <v/>
      </c>
      <c r="K125" s="20" t="str">
        <f>IFERROR(__xludf.DUMMYFUNCTION("if(regexmatch($B125,""DE""),concat(C125,E125),"""")"),"[Select Team Name][Select Team Name]")</f>
        <v>[Select Team Name][Select Team Name]</v>
      </c>
      <c r="L125" s="20">
        <f>IFERROR(__xludf.DUMMYFUNCTION("if(regexmatch($B125,""DE""),D125,"""")"),0.0)</f>
        <v>0</v>
      </c>
      <c r="M125" s="20" t="str">
        <f>IFERROR(__xludf.DUMMYFUNCTION("if(regexmatch($B125,""DE""),concat(E125,C125),"""")"),"[Select Team Name][Select Team Name]")</f>
        <v>[Select Team Name][Select Team Name]</v>
      </c>
      <c r="N125" s="20">
        <f>IFERROR(__xludf.DUMMYFUNCTION("if(regexmatch($B125,""DE""),F125,"""")"),0.0)</f>
        <v>0</v>
      </c>
    </row>
    <row r="126">
      <c r="A126" s="12"/>
      <c r="B126" s="12" t="str">
        <f>IFERROR(__xludf.DUMMYFUNCTION("""COMPUTED_VALUE"""),"DE9")</f>
        <v>DE9</v>
      </c>
      <c r="C126" s="12" t="str">
        <f>IFERROR(__xludf.DUMMYFUNCTION("""COMPUTED_VALUE"""),"[Select Team Name]")</f>
        <v>[Select Team Name]</v>
      </c>
      <c r="D126" s="12">
        <f>IFERROR(__xludf.DUMMYFUNCTION("""COMPUTED_VALUE"""),0.0)</f>
        <v>0</v>
      </c>
      <c r="E126" s="12" t="str">
        <f>IFERROR(__xludf.DUMMYFUNCTION("""COMPUTED_VALUE"""),"[Select Team Name]")</f>
        <v>[Select Team Name]</v>
      </c>
      <c r="F126" s="12">
        <f>IFERROR(__xludf.DUMMYFUNCTION("""COMPUTED_VALUE"""),0.0)</f>
        <v>0</v>
      </c>
      <c r="G126" s="20" t="str">
        <f>IFERROR(__xludf.DUMMYFUNCTION("if(regexmatch($B126,""RR""),concat(C126,E126),"""")"),"")</f>
        <v/>
      </c>
      <c r="H126" s="20" t="str">
        <f>IFERROR(__xludf.DUMMYFUNCTION("if(regexmatch($B126,""RR""),D126,"""")"),"")</f>
        <v/>
      </c>
      <c r="I126" s="20" t="str">
        <f>IFERROR(__xludf.DUMMYFUNCTION("if(regexmatch($B126,""RR""),concat(E126,C126),"""")"),"")</f>
        <v/>
      </c>
      <c r="J126" s="20" t="str">
        <f>IFERROR(__xludf.DUMMYFUNCTION("if(regexmatch($B126,""RR""),F126,"""")"),"")</f>
        <v/>
      </c>
      <c r="K126" s="20" t="str">
        <f>IFERROR(__xludf.DUMMYFUNCTION("if(regexmatch($B126,""DE""),concat(C126,E126),"""")"),"[Select Team Name][Select Team Name]")</f>
        <v>[Select Team Name][Select Team Name]</v>
      </c>
      <c r="L126" s="20">
        <f>IFERROR(__xludf.DUMMYFUNCTION("if(regexmatch($B126,""DE""),D126,"""")"),0.0)</f>
        <v>0</v>
      </c>
      <c r="M126" s="20" t="str">
        <f>IFERROR(__xludf.DUMMYFUNCTION("if(regexmatch($B126,""DE""),concat(E126,C126),"""")"),"[Select Team Name][Select Team Name]")</f>
        <v>[Select Team Name][Select Team Name]</v>
      </c>
      <c r="N126" s="20">
        <f>IFERROR(__xludf.DUMMYFUNCTION("if(regexmatch($B126,""DE""),F126,"""")"),0.0)</f>
        <v>0</v>
      </c>
    </row>
    <row r="127">
      <c r="A127" s="1"/>
      <c r="B127" s="12" t="str">
        <f>IFERROR(__xludf.DUMMYFUNCTION("importrange(""https://docs.google.com/spreadsheets/d/1CzQNUBA56IxDNtRkFkvj3nz0stnRGThLAIytez5kZYQ/edit?usp=drive_link"",""Scores!A2:E15"")"),"RR1")</f>
        <v>RR1</v>
      </c>
      <c r="C127" s="12" t="str">
        <f>IFERROR(__xludf.DUMMYFUNCTION("""COMPUTED_VALUE"""),"Gunn")</f>
        <v>Gunn</v>
      </c>
      <c r="D127" s="12">
        <f>IFERROR(__xludf.DUMMYFUNCTION("""COMPUTED_VALUE"""),30.0)</f>
        <v>30</v>
      </c>
      <c r="E127" s="12" t="str">
        <f>IFERROR(__xludf.DUMMYFUNCTION("""COMPUTED_VALUE"""),"Middleton")</f>
        <v>Middleton</v>
      </c>
      <c r="F127" s="12">
        <f>IFERROR(__xludf.DUMMYFUNCTION("""COMPUTED_VALUE"""),212.0)</f>
        <v>212</v>
      </c>
      <c r="G127" s="20" t="str">
        <f>IFERROR(__xludf.DUMMYFUNCTION("if(regexmatch($B127,""RR""),concat(C127,E127),"""")"),"GunnMiddleton")</f>
        <v>GunnMiddleton</v>
      </c>
      <c r="H127" s="20">
        <f>IFERROR(__xludf.DUMMYFUNCTION("if(regexmatch($B127,""RR""),D127,"""")"),30.0)</f>
        <v>30</v>
      </c>
      <c r="I127" s="20" t="str">
        <f>IFERROR(__xludf.DUMMYFUNCTION("if(regexmatch($B127,""RR""),concat(E127,C127),"""")"),"MiddletonGunn")</f>
        <v>MiddletonGunn</v>
      </c>
      <c r="J127" s="20">
        <f>IFERROR(__xludf.DUMMYFUNCTION("if(regexmatch($B127,""RR""),F127,"""")"),212.0)</f>
        <v>212</v>
      </c>
      <c r="K127" s="20" t="str">
        <f>IFERROR(__xludf.DUMMYFUNCTION("if(regexmatch($B127,""DE""),concat(C127,E127),"""")"),"")</f>
        <v/>
      </c>
      <c r="L127" s="20" t="str">
        <f>IFERROR(__xludf.DUMMYFUNCTION("if(regexmatch($B127,""DE""),D127,"""")"),"")</f>
        <v/>
      </c>
      <c r="M127" s="20" t="str">
        <f>IFERROR(__xludf.DUMMYFUNCTION("if(regexmatch($B127,""DE""),concat(E127,C127),"""")"),"")</f>
        <v/>
      </c>
      <c r="N127" s="20" t="str">
        <f>IFERROR(__xludf.DUMMYFUNCTION("if(regexmatch($B127,""DE""),F127,"""")"),"")</f>
        <v/>
      </c>
    </row>
    <row r="128">
      <c r="A128" s="12"/>
      <c r="B128" s="12" t="str">
        <f>IFERROR(__xludf.DUMMYFUNCTION("""COMPUTED_VALUE"""),"RR2")</f>
        <v>RR2</v>
      </c>
      <c r="C128" s="12" t="str">
        <f>IFERROR(__xludf.DUMMYFUNCTION("""COMPUTED_VALUE"""),"American")</f>
        <v>American</v>
      </c>
      <c r="D128" s="12">
        <f>IFERROR(__xludf.DUMMYFUNCTION("""COMPUTED_VALUE"""),96.0)</f>
        <v>96</v>
      </c>
      <c r="E128" s="12" t="str">
        <f>IFERROR(__xludf.DUMMYFUNCTION("""COMPUTED_VALUE"""),"Quarry Lane A")</f>
        <v>Quarry Lane A</v>
      </c>
      <c r="F128" s="12">
        <f>IFERROR(__xludf.DUMMYFUNCTION("""COMPUTED_VALUE"""),28.0)</f>
        <v>28</v>
      </c>
      <c r="G128" s="20" t="str">
        <f>IFERROR(__xludf.DUMMYFUNCTION("if(regexmatch($B128,""RR""),concat(C128,E128),"""")"),"AmericanQuarry Lane A")</f>
        <v>AmericanQuarry Lane A</v>
      </c>
      <c r="H128" s="20">
        <f>IFERROR(__xludf.DUMMYFUNCTION("if(regexmatch($B128,""RR""),D128,"""")"),96.0)</f>
        <v>96</v>
      </c>
      <c r="I128" s="20" t="str">
        <f>IFERROR(__xludf.DUMMYFUNCTION("if(regexmatch($B128,""RR""),concat(E128,C128),"""")"),"Quarry Lane AAmerican")</f>
        <v>Quarry Lane AAmerican</v>
      </c>
      <c r="J128" s="20">
        <f>IFERROR(__xludf.DUMMYFUNCTION("if(regexmatch($B128,""RR""),F128,"""")"),28.0)</f>
        <v>28</v>
      </c>
      <c r="K128" s="20" t="str">
        <f>IFERROR(__xludf.DUMMYFUNCTION("if(regexmatch($B128,""DE""),concat(C128,E128),"""")"),"")</f>
        <v/>
      </c>
      <c r="L128" s="20" t="str">
        <f>IFERROR(__xludf.DUMMYFUNCTION("if(regexmatch($B128,""DE""),D128,"""")"),"")</f>
        <v/>
      </c>
      <c r="M128" s="20" t="str">
        <f>IFERROR(__xludf.DUMMYFUNCTION("if(regexmatch($B128,""DE""),concat(E128,C128),"""")"),"")</f>
        <v/>
      </c>
      <c r="N128" s="20" t="str">
        <f>IFERROR(__xludf.DUMMYFUNCTION("if(regexmatch($B128,""DE""),F128,"""")"),"")</f>
        <v/>
      </c>
    </row>
    <row r="129">
      <c r="A129" s="12"/>
      <c r="B129" s="12" t="str">
        <f>IFERROR(__xludf.DUMMYFUNCTION("""COMPUTED_VALUE"""),"RR3")</f>
        <v>RR3</v>
      </c>
      <c r="C129" s="12" t="str">
        <f>IFERROR(__xludf.DUMMYFUNCTION("""COMPUTED_VALUE"""),"Homestead")</f>
        <v>Homestead</v>
      </c>
      <c r="D129" s="12">
        <f>IFERROR(__xludf.DUMMYFUNCTION("""COMPUTED_VALUE"""),76.0)</f>
        <v>76</v>
      </c>
      <c r="E129" s="12" t="str">
        <f>IFERROR(__xludf.DUMMYFUNCTION("""COMPUTED_VALUE"""),"San Mateo")</f>
        <v>San Mateo</v>
      </c>
      <c r="F129" s="12">
        <f>IFERROR(__xludf.DUMMYFUNCTION("""COMPUTED_VALUE"""),26.0)</f>
        <v>26</v>
      </c>
      <c r="G129" s="20" t="str">
        <f>IFERROR(__xludf.DUMMYFUNCTION("if(regexmatch($B129,""RR""),concat(C129,E129),"""")"),"HomesteadSan Mateo")</f>
        <v>HomesteadSan Mateo</v>
      </c>
      <c r="H129" s="20">
        <f>IFERROR(__xludf.DUMMYFUNCTION("if(regexmatch($B129,""RR""),D129,"""")"),76.0)</f>
        <v>76</v>
      </c>
      <c r="I129" s="20" t="str">
        <f>IFERROR(__xludf.DUMMYFUNCTION("if(regexmatch($B129,""RR""),concat(E129,C129),"""")"),"San MateoHomestead")</f>
        <v>San MateoHomestead</v>
      </c>
      <c r="J129" s="20">
        <f>IFERROR(__xludf.DUMMYFUNCTION("if(regexmatch($B129,""RR""),F129,"""")"),26.0)</f>
        <v>26</v>
      </c>
      <c r="K129" s="20" t="str">
        <f>IFERROR(__xludf.DUMMYFUNCTION("if(regexmatch($B129,""DE""),concat(C129,E129),"""")"),"")</f>
        <v/>
      </c>
      <c r="L129" s="20" t="str">
        <f>IFERROR(__xludf.DUMMYFUNCTION("if(regexmatch($B129,""DE""),D129,"""")"),"")</f>
        <v/>
      </c>
      <c r="M129" s="20" t="str">
        <f>IFERROR(__xludf.DUMMYFUNCTION("if(regexmatch($B129,""DE""),concat(E129,C129),"""")"),"")</f>
        <v/>
      </c>
      <c r="N129" s="20" t="str">
        <f>IFERROR(__xludf.DUMMYFUNCTION("if(regexmatch($B129,""DE""),F129,"""")"),"")</f>
        <v/>
      </c>
    </row>
    <row r="130">
      <c r="A130" s="12"/>
      <c r="B130" s="12" t="str">
        <f>IFERROR(__xludf.DUMMYFUNCTION("""COMPUTED_VALUE"""),"RR4")</f>
        <v>RR4</v>
      </c>
      <c r="C130" s="12" t="str">
        <f>IFERROR(__xludf.DUMMYFUNCTION("""COMPUTED_VALUE"""),"Lynbrook B")</f>
        <v>Lynbrook B</v>
      </c>
      <c r="D130" s="12">
        <f>IFERROR(__xludf.DUMMYFUNCTION("""COMPUTED_VALUE"""),232.0)</f>
        <v>232</v>
      </c>
      <c r="E130" s="12" t="str">
        <f>IFERROR(__xludf.DUMMYFUNCTION("""COMPUTED_VALUE"""),"Foothill B")</f>
        <v>Foothill B</v>
      </c>
      <c r="F130" s="12">
        <f>IFERROR(__xludf.DUMMYFUNCTION("""COMPUTED_VALUE"""),30.0)</f>
        <v>30</v>
      </c>
      <c r="G130" s="20" t="str">
        <f>IFERROR(__xludf.DUMMYFUNCTION("if(regexmatch($B130,""RR""),concat(C130,E130),"""")"),"Lynbrook BFoothill B")</f>
        <v>Lynbrook BFoothill B</v>
      </c>
      <c r="H130" s="20">
        <f>IFERROR(__xludf.DUMMYFUNCTION("if(regexmatch($B130,""RR""),D130,"""")"),232.0)</f>
        <v>232</v>
      </c>
      <c r="I130" s="20" t="str">
        <f>IFERROR(__xludf.DUMMYFUNCTION("if(regexmatch($B130,""RR""),concat(E130,C130),"""")"),"Foothill BLynbrook B")</f>
        <v>Foothill BLynbrook B</v>
      </c>
      <c r="J130" s="20">
        <f>IFERROR(__xludf.DUMMYFUNCTION("if(regexmatch($B130,""RR""),F130,"""")"),30.0)</f>
        <v>30</v>
      </c>
      <c r="K130" s="20" t="str">
        <f>IFERROR(__xludf.DUMMYFUNCTION("if(regexmatch($B130,""DE""),concat(C130,E130),"""")"),"")</f>
        <v/>
      </c>
      <c r="L130" s="20" t="str">
        <f>IFERROR(__xludf.DUMMYFUNCTION("if(regexmatch($B130,""DE""),D130,"""")"),"")</f>
        <v/>
      </c>
      <c r="M130" s="20" t="str">
        <f>IFERROR(__xludf.DUMMYFUNCTION("if(regexmatch($B130,""DE""),concat(E130,C130),"""")"),"")</f>
        <v/>
      </c>
      <c r="N130" s="20" t="str">
        <f>IFERROR(__xludf.DUMMYFUNCTION("if(regexmatch($B130,""DE""),F130,"""")"),"")</f>
        <v/>
      </c>
    </row>
    <row r="131">
      <c r="A131" s="12"/>
      <c r="B131" s="12" t="str">
        <f>IFERROR(__xludf.DUMMYFUNCTION("""COMPUTED_VALUE"""),"RR5")</f>
        <v>RR5</v>
      </c>
      <c r="C131" s="12" t="str">
        <f>IFERROR(__xludf.DUMMYFUNCTION("""COMPUTED_VALUE"""),"AVHS")</f>
        <v>AVHS</v>
      </c>
      <c r="D131" s="12">
        <f>IFERROR(__xludf.DUMMYFUNCTION("""COMPUTED_VALUE"""),148.0)</f>
        <v>148</v>
      </c>
      <c r="E131" s="12" t="str">
        <f>IFERROR(__xludf.DUMMYFUNCTION("""COMPUTED_VALUE"""),"Los Gatos")</f>
        <v>Los Gatos</v>
      </c>
      <c r="F131" s="12">
        <f>IFERROR(__xludf.DUMMYFUNCTION("""COMPUTED_VALUE"""),24.0)</f>
        <v>24</v>
      </c>
      <c r="G131" s="20" t="str">
        <f>IFERROR(__xludf.DUMMYFUNCTION("if(regexmatch($B131,""RR""),concat(C131,E131),"""")"),"AVHSLos Gatos")</f>
        <v>AVHSLos Gatos</v>
      </c>
      <c r="H131" s="20">
        <f>IFERROR(__xludf.DUMMYFUNCTION("if(regexmatch($B131,""RR""),D131,"""")"),148.0)</f>
        <v>148</v>
      </c>
      <c r="I131" s="20" t="str">
        <f>IFERROR(__xludf.DUMMYFUNCTION("if(regexmatch($B131,""RR""),concat(E131,C131),"""")"),"Los GatosAVHS")</f>
        <v>Los GatosAVHS</v>
      </c>
      <c r="J131" s="20">
        <f>IFERROR(__xludf.DUMMYFUNCTION("if(regexmatch($B131,""RR""),F131,"""")"),24.0)</f>
        <v>24</v>
      </c>
      <c r="K131" s="20" t="str">
        <f>IFERROR(__xludf.DUMMYFUNCTION("if(regexmatch($B131,""DE""),concat(C131,E131),"""")"),"")</f>
        <v/>
      </c>
      <c r="L131" s="20" t="str">
        <f>IFERROR(__xludf.DUMMYFUNCTION("if(regexmatch($B131,""DE""),D131,"""")"),"")</f>
        <v/>
      </c>
      <c r="M131" s="20" t="str">
        <f>IFERROR(__xludf.DUMMYFUNCTION("if(regexmatch($B131,""DE""),concat(E131,C131),"""")"),"")</f>
        <v/>
      </c>
      <c r="N131" s="20" t="str">
        <f>IFERROR(__xludf.DUMMYFUNCTION("if(regexmatch($B131,""DE""),F131,"""")"),"")</f>
        <v/>
      </c>
    </row>
    <row r="132">
      <c r="A132" s="12"/>
      <c r="B132" s="12" t="str">
        <f>IFERROR(__xludf.DUMMYFUNCTION("""COMPUTED_VALUE"""),"DE1")</f>
        <v>DE1</v>
      </c>
      <c r="C132" s="12" t="str">
        <f>IFERROR(__xludf.DUMMYFUNCTION("""COMPUTED_VALUE"""),"A-Tech B")</f>
        <v>A-Tech B</v>
      </c>
      <c r="D132" s="12">
        <f>IFERROR(__xludf.DUMMYFUNCTION("""COMPUTED_VALUE"""),34.0)</f>
        <v>34</v>
      </c>
      <c r="E132" s="12" t="str">
        <f>IFERROR(__xludf.DUMMYFUNCTION("""COMPUTED_VALUE"""),"Los Gatos")</f>
        <v>Los Gatos</v>
      </c>
      <c r="F132" s="12">
        <f>IFERROR(__xludf.DUMMYFUNCTION("""COMPUTED_VALUE"""),30.0)</f>
        <v>30</v>
      </c>
      <c r="G132" s="20" t="str">
        <f>IFERROR(__xludf.DUMMYFUNCTION("if(regexmatch($B132,""RR""),concat(C132,E132),"""")"),"")</f>
        <v/>
      </c>
      <c r="H132" s="20" t="str">
        <f>IFERROR(__xludf.DUMMYFUNCTION("if(regexmatch($B132,""RR""),D132,"""")"),"")</f>
        <v/>
      </c>
      <c r="I132" s="20" t="str">
        <f>IFERROR(__xludf.DUMMYFUNCTION("if(regexmatch($B132,""RR""),concat(E132,C132),"""")"),"")</f>
        <v/>
      </c>
      <c r="J132" s="20" t="str">
        <f>IFERROR(__xludf.DUMMYFUNCTION("if(regexmatch($B132,""RR""),F132,"""")"),"")</f>
        <v/>
      </c>
      <c r="K132" s="20" t="str">
        <f>IFERROR(__xludf.DUMMYFUNCTION("if(regexmatch($B132,""DE""),concat(C132,E132),"""")"),"A-Tech BLos Gatos")</f>
        <v>A-Tech BLos Gatos</v>
      </c>
      <c r="L132" s="20">
        <f>IFERROR(__xludf.DUMMYFUNCTION("if(regexmatch($B132,""DE""),D132,"""")"),34.0)</f>
        <v>34</v>
      </c>
      <c r="M132" s="20" t="str">
        <f>IFERROR(__xludf.DUMMYFUNCTION("if(regexmatch($B132,""DE""),concat(E132,C132),"""")"),"Los GatosA-Tech B")</f>
        <v>Los GatosA-Tech B</v>
      </c>
      <c r="N132" s="20">
        <f>IFERROR(__xludf.DUMMYFUNCTION("if(regexmatch($B132,""DE""),F132,"""")"),30.0)</f>
        <v>30</v>
      </c>
    </row>
    <row r="133">
      <c r="A133" s="12"/>
      <c r="B133" s="12" t="str">
        <f>IFERROR(__xludf.DUMMYFUNCTION("""COMPUTED_VALUE"""),"DE2")</f>
        <v>DE2</v>
      </c>
      <c r="C133" s="12" t="str">
        <f>IFERROR(__xludf.DUMMYFUNCTION("""COMPUTED_VALUE"""),"[Select Team Name]")</f>
        <v>[Select Team Name]</v>
      </c>
      <c r="D133" s="12">
        <f>IFERROR(__xludf.DUMMYFUNCTION("""COMPUTED_VALUE"""),0.0)</f>
        <v>0</v>
      </c>
      <c r="E133" s="12" t="str">
        <f>IFERROR(__xludf.DUMMYFUNCTION("""COMPUTED_VALUE"""),"[Select Team Name]")</f>
        <v>[Select Team Name]</v>
      </c>
      <c r="F133" s="12">
        <f>IFERROR(__xludf.DUMMYFUNCTION("""COMPUTED_VALUE"""),0.0)</f>
        <v>0</v>
      </c>
      <c r="G133" s="20" t="str">
        <f>IFERROR(__xludf.DUMMYFUNCTION("if(regexmatch($B133,""RR""),concat(C133,E133),"""")"),"")</f>
        <v/>
      </c>
      <c r="H133" s="20" t="str">
        <f>IFERROR(__xludf.DUMMYFUNCTION("if(regexmatch($B133,""RR""),D133,"""")"),"")</f>
        <v/>
      </c>
      <c r="I133" s="20" t="str">
        <f>IFERROR(__xludf.DUMMYFUNCTION("if(regexmatch($B133,""RR""),concat(E133,C133),"""")"),"")</f>
        <v/>
      </c>
      <c r="J133" s="20" t="str">
        <f>IFERROR(__xludf.DUMMYFUNCTION("if(regexmatch($B133,""RR""),F133,"""")"),"")</f>
        <v/>
      </c>
      <c r="K133" s="20" t="str">
        <f>IFERROR(__xludf.DUMMYFUNCTION("if(regexmatch($B133,""DE""),concat(C133,E133),"""")"),"[Select Team Name][Select Team Name]")</f>
        <v>[Select Team Name][Select Team Name]</v>
      </c>
      <c r="L133" s="20">
        <f>IFERROR(__xludf.DUMMYFUNCTION("if(regexmatch($B133,""DE""),D133,"""")"),0.0)</f>
        <v>0</v>
      </c>
      <c r="M133" s="20" t="str">
        <f>IFERROR(__xludf.DUMMYFUNCTION("if(regexmatch($B133,""DE""),concat(E133,C133),"""")"),"[Select Team Name][Select Team Name]")</f>
        <v>[Select Team Name][Select Team Name]</v>
      </c>
      <c r="N133" s="20">
        <f>IFERROR(__xludf.DUMMYFUNCTION("if(regexmatch($B133,""DE""),F133,"""")"),0.0)</f>
        <v>0</v>
      </c>
    </row>
    <row r="134">
      <c r="A134" s="12"/>
      <c r="B134" s="12" t="str">
        <f>IFERROR(__xludf.DUMMYFUNCTION("""COMPUTED_VALUE"""),"DE3")</f>
        <v>DE3</v>
      </c>
      <c r="C134" s="12" t="str">
        <f>IFERROR(__xludf.DUMMYFUNCTION("""COMPUTED_VALUE"""),"A-Tech A")</f>
        <v>A-Tech A</v>
      </c>
      <c r="D134" s="12">
        <f>IFERROR(__xludf.DUMMYFUNCTION("""COMPUTED_VALUE"""),24.0)</f>
        <v>24</v>
      </c>
      <c r="E134" s="12" t="str">
        <f>IFERROR(__xludf.DUMMYFUNCTION("""COMPUTED_VALUE"""),"Dougherty Valley B")</f>
        <v>Dougherty Valley B</v>
      </c>
      <c r="F134" s="12">
        <f>IFERROR(__xludf.DUMMYFUNCTION("""COMPUTED_VALUE"""),26.0)</f>
        <v>26</v>
      </c>
      <c r="G134" s="20" t="str">
        <f>IFERROR(__xludf.DUMMYFUNCTION("if(regexmatch($B134,""RR""),concat(C134,E134),"""")"),"")</f>
        <v/>
      </c>
      <c r="H134" s="20" t="str">
        <f>IFERROR(__xludf.DUMMYFUNCTION("if(regexmatch($B134,""RR""),D134,"""")"),"")</f>
        <v/>
      </c>
      <c r="I134" s="20" t="str">
        <f>IFERROR(__xludf.DUMMYFUNCTION("if(regexmatch($B134,""RR""),concat(E134,C134),"""")"),"")</f>
        <v/>
      </c>
      <c r="J134" s="20" t="str">
        <f>IFERROR(__xludf.DUMMYFUNCTION("if(regexmatch($B134,""RR""),F134,"""")"),"")</f>
        <v/>
      </c>
      <c r="K134" s="20" t="str">
        <f>IFERROR(__xludf.DUMMYFUNCTION("if(regexmatch($B134,""DE""),concat(C134,E134),"""")"),"A-Tech ADougherty Valley B")</f>
        <v>A-Tech ADougherty Valley B</v>
      </c>
      <c r="L134" s="20">
        <f>IFERROR(__xludf.DUMMYFUNCTION("if(regexmatch($B134,""DE""),D134,"""")"),24.0)</f>
        <v>24</v>
      </c>
      <c r="M134" s="20" t="str">
        <f>IFERROR(__xludf.DUMMYFUNCTION("if(regexmatch($B134,""DE""),concat(E134,C134),"""")"),"Dougherty Valley BA-Tech A")</f>
        <v>Dougherty Valley BA-Tech A</v>
      </c>
      <c r="N134" s="20">
        <f>IFERROR(__xludf.DUMMYFUNCTION("if(regexmatch($B134,""DE""),F134,"""")"),26.0)</f>
        <v>26</v>
      </c>
    </row>
    <row r="135">
      <c r="A135" s="12"/>
      <c r="B135" s="12" t="str">
        <f>IFERROR(__xludf.DUMMYFUNCTION("""COMPUTED_VALUE"""),"DE4")</f>
        <v>DE4</v>
      </c>
      <c r="C135" s="12" t="str">
        <f>IFERROR(__xludf.DUMMYFUNCTION("""COMPUTED_VALUE"""),"[Select Team Name]")</f>
        <v>[Select Team Name]</v>
      </c>
      <c r="D135" s="12">
        <f>IFERROR(__xludf.DUMMYFUNCTION("""COMPUTED_VALUE"""),0.0)</f>
        <v>0</v>
      </c>
      <c r="E135" s="12" t="str">
        <f>IFERROR(__xludf.DUMMYFUNCTION("""COMPUTED_VALUE"""),"[Select Team Name]")</f>
        <v>[Select Team Name]</v>
      </c>
      <c r="F135" s="12">
        <f>IFERROR(__xludf.DUMMYFUNCTION("""COMPUTED_VALUE"""),0.0)</f>
        <v>0</v>
      </c>
      <c r="G135" s="20" t="str">
        <f>IFERROR(__xludf.DUMMYFUNCTION("if(regexmatch($B135,""RR""),concat(C135,E135),"""")"),"")</f>
        <v/>
      </c>
      <c r="H135" s="20" t="str">
        <f>IFERROR(__xludf.DUMMYFUNCTION("if(regexmatch($B135,""RR""),D135,"""")"),"")</f>
        <v/>
      </c>
      <c r="I135" s="20" t="str">
        <f>IFERROR(__xludf.DUMMYFUNCTION("if(regexmatch($B135,""RR""),concat(E135,C135),"""")"),"")</f>
        <v/>
      </c>
      <c r="J135" s="20" t="str">
        <f>IFERROR(__xludf.DUMMYFUNCTION("if(regexmatch($B135,""RR""),F135,"""")"),"")</f>
        <v/>
      </c>
      <c r="K135" s="20" t="str">
        <f>IFERROR(__xludf.DUMMYFUNCTION("if(regexmatch($B135,""DE""),concat(C135,E135),"""")"),"[Select Team Name][Select Team Name]")</f>
        <v>[Select Team Name][Select Team Name]</v>
      </c>
      <c r="L135" s="20">
        <f>IFERROR(__xludf.DUMMYFUNCTION("if(regexmatch($B135,""DE""),D135,"""")"),0.0)</f>
        <v>0</v>
      </c>
      <c r="M135" s="20" t="str">
        <f>IFERROR(__xludf.DUMMYFUNCTION("if(regexmatch($B135,""DE""),concat(E135,C135),"""")"),"[Select Team Name][Select Team Name]")</f>
        <v>[Select Team Name][Select Team Name]</v>
      </c>
      <c r="N135" s="20">
        <f>IFERROR(__xludf.DUMMYFUNCTION("if(regexmatch($B135,""DE""),F135,"""")"),0.0)</f>
        <v>0</v>
      </c>
    </row>
    <row r="136">
      <c r="A136" s="12"/>
      <c r="B136" s="12" t="str">
        <f>IFERROR(__xludf.DUMMYFUNCTION("""COMPUTED_VALUE"""),"DE5")</f>
        <v>DE5</v>
      </c>
      <c r="C136" s="12" t="str">
        <f>IFERROR(__xludf.DUMMYFUNCTION("""COMPUTED_VALUE"""),"[Select Team Name]")</f>
        <v>[Select Team Name]</v>
      </c>
      <c r="D136" s="12">
        <f>IFERROR(__xludf.DUMMYFUNCTION("""COMPUTED_VALUE"""),0.0)</f>
        <v>0</v>
      </c>
      <c r="E136" s="12" t="str">
        <f>IFERROR(__xludf.DUMMYFUNCTION("""COMPUTED_VALUE"""),"[Select Team Name]")</f>
        <v>[Select Team Name]</v>
      </c>
      <c r="F136" s="12">
        <f>IFERROR(__xludf.DUMMYFUNCTION("""COMPUTED_VALUE"""),0.0)</f>
        <v>0</v>
      </c>
      <c r="G136" s="20" t="str">
        <f>IFERROR(__xludf.DUMMYFUNCTION("if(regexmatch($B136,""RR""),concat(C136,E136),"""")"),"")</f>
        <v/>
      </c>
      <c r="H136" s="20" t="str">
        <f>IFERROR(__xludf.DUMMYFUNCTION("if(regexmatch($B136,""RR""),D136,"""")"),"")</f>
        <v/>
      </c>
      <c r="I136" s="20" t="str">
        <f>IFERROR(__xludf.DUMMYFUNCTION("if(regexmatch($B136,""RR""),concat(E136,C136),"""")"),"")</f>
        <v/>
      </c>
      <c r="J136" s="20" t="str">
        <f>IFERROR(__xludf.DUMMYFUNCTION("if(regexmatch($B136,""RR""),F136,"""")"),"")</f>
        <v/>
      </c>
      <c r="K136" s="20" t="str">
        <f>IFERROR(__xludf.DUMMYFUNCTION("if(regexmatch($B136,""DE""),concat(C136,E136),"""")"),"[Select Team Name][Select Team Name]")</f>
        <v>[Select Team Name][Select Team Name]</v>
      </c>
      <c r="L136" s="20">
        <f>IFERROR(__xludf.DUMMYFUNCTION("if(regexmatch($B136,""DE""),D136,"""")"),0.0)</f>
        <v>0</v>
      </c>
      <c r="M136" s="20" t="str">
        <f>IFERROR(__xludf.DUMMYFUNCTION("if(regexmatch($B136,""DE""),concat(E136,C136),"""")"),"[Select Team Name][Select Team Name]")</f>
        <v>[Select Team Name][Select Team Name]</v>
      </c>
      <c r="N136" s="20">
        <f>IFERROR(__xludf.DUMMYFUNCTION("if(regexmatch($B136,""DE""),F136,"""")"),0.0)</f>
        <v>0</v>
      </c>
    </row>
    <row r="137">
      <c r="A137" s="12"/>
      <c r="B137" s="12" t="str">
        <f>IFERROR(__xludf.DUMMYFUNCTION("""COMPUTED_VALUE"""),"DE6")</f>
        <v>DE6</v>
      </c>
      <c r="C137" s="12" t="str">
        <f>IFERROR(__xludf.DUMMYFUNCTION("""COMPUTED_VALUE"""),"[Select Team Name]")</f>
        <v>[Select Team Name]</v>
      </c>
      <c r="D137" s="12">
        <f>IFERROR(__xludf.DUMMYFUNCTION("""COMPUTED_VALUE"""),0.0)</f>
        <v>0</v>
      </c>
      <c r="E137" s="12" t="str">
        <f>IFERROR(__xludf.DUMMYFUNCTION("""COMPUTED_VALUE"""),"[Select Team Name]")</f>
        <v>[Select Team Name]</v>
      </c>
      <c r="F137" s="12">
        <f>IFERROR(__xludf.DUMMYFUNCTION("""COMPUTED_VALUE"""),0.0)</f>
        <v>0</v>
      </c>
      <c r="G137" s="20" t="str">
        <f>IFERROR(__xludf.DUMMYFUNCTION("if(regexmatch($B137,""RR""),concat(C137,E137),"""")"),"")</f>
        <v/>
      </c>
      <c r="H137" s="20" t="str">
        <f>IFERROR(__xludf.DUMMYFUNCTION("if(regexmatch($B137,""RR""),D137,"""")"),"")</f>
        <v/>
      </c>
      <c r="I137" s="20" t="str">
        <f>IFERROR(__xludf.DUMMYFUNCTION("if(regexmatch($B137,""RR""),concat(E137,C137),"""")"),"")</f>
        <v/>
      </c>
      <c r="J137" s="20" t="str">
        <f>IFERROR(__xludf.DUMMYFUNCTION("if(regexmatch($B137,""RR""),F137,"""")"),"")</f>
        <v/>
      </c>
      <c r="K137" s="20" t="str">
        <f>IFERROR(__xludf.DUMMYFUNCTION("if(regexmatch($B137,""DE""),concat(C137,E137),"""")"),"[Select Team Name][Select Team Name]")</f>
        <v>[Select Team Name][Select Team Name]</v>
      </c>
      <c r="L137" s="20">
        <f>IFERROR(__xludf.DUMMYFUNCTION("if(regexmatch($B137,""DE""),D137,"""")"),0.0)</f>
        <v>0</v>
      </c>
      <c r="M137" s="20" t="str">
        <f>IFERROR(__xludf.DUMMYFUNCTION("if(regexmatch($B137,""DE""),concat(E137,C137),"""")"),"[Select Team Name][Select Team Name]")</f>
        <v>[Select Team Name][Select Team Name]</v>
      </c>
      <c r="N137" s="20">
        <f>IFERROR(__xludf.DUMMYFUNCTION("if(regexmatch($B137,""DE""),F137,"""")"),0.0)</f>
        <v>0</v>
      </c>
    </row>
    <row r="138">
      <c r="A138" s="12"/>
      <c r="B138" s="12" t="str">
        <f>IFERROR(__xludf.DUMMYFUNCTION("""COMPUTED_VALUE"""),"DE7")</f>
        <v>DE7</v>
      </c>
      <c r="C138" s="12" t="str">
        <f>IFERROR(__xludf.DUMMYFUNCTION("""COMPUTED_VALUE"""),"[Select Team Name]")</f>
        <v>[Select Team Name]</v>
      </c>
      <c r="D138" s="12">
        <f>IFERROR(__xludf.DUMMYFUNCTION("""COMPUTED_VALUE"""),0.0)</f>
        <v>0</v>
      </c>
      <c r="E138" s="12" t="str">
        <f>IFERROR(__xludf.DUMMYFUNCTION("""COMPUTED_VALUE"""),"[Select Team Name]")</f>
        <v>[Select Team Name]</v>
      </c>
      <c r="F138" s="12">
        <f>IFERROR(__xludf.DUMMYFUNCTION("""COMPUTED_VALUE"""),0.0)</f>
        <v>0</v>
      </c>
      <c r="G138" s="20" t="str">
        <f>IFERROR(__xludf.DUMMYFUNCTION("if(regexmatch($B138,""RR""),concat(C138,E138),"""")"),"")</f>
        <v/>
      </c>
      <c r="H138" s="20" t="str">
        <f>IFERROR(__xludf.DUMMYFUNCTION("if(regexmatch($B138,""RR""),D138,"""")"),"")</f>
        <v/>
      </c>
      <c r="I138" s="20" t="str">
        <f>IFERROR(__xludf.DUMMYFUNCTION("if(regexmatch($B138,""RR""),concat(E138,C138),"""")"),"")</f>
        <v/>
      </c>
      <c r="J138" s="20" t="str">
        <f>IFERROR(__xludf.DUMMYFUNCTION("if(regexmatch($B138,""RR""),F138,"""")"),"")</f>
        <v/>
      </c>
      <c r="K138" s="20" t="str">
        <f>IFERROR(__xludf.DUMMYFUNCTION("if(regexmatch($B138,""DE""),concat(C138,E138),"""")"),"[Select Team Name][Select Team Name]")</f>
        <v>[Select Team Name][Select Team Name]</v>
      </c>
      <c r="L138" s="20">
        <f>IFERROR(__xludf.DUMMYFUNCTION("if(regexmatch($B138,""DE""),D138,"""")"),0.0)</f>
        <v>0</v>
      </c>
      <c r="M138" s="20" t="str">
        <f>IFERROR(__xludf.DUMMYFUNCTION("if(regexmatch($B138,""DE""),concat(E138,C138),"""")"),"[Select Team Name][Select Team Name]")</f>
        <v>[Select Team Name][Select Team Name]</v>
      </c>
      <c r="N138" s="20">
        <f>IFERROR(__xludf.DUMMYFUNCTION("if(regexmatch($B138,""DE""),F138,"""")"),0.0)</f>
        <v>0</v>
      </c>
    </row>
    <row r="139">
      <c r="A139" s="12"/>
      <c r="B139" s="12" t="str">
        <f>IFERROR(__xludf.DUMMYFUNCTION("""COMPUTED_VALUE"""),"DE8")</f>
        <v>DE8</v>
      </c>
      <c r="C139" s="12" t="str">
        <f>IFERROR(__xludf.DUMMYFUNCTION("""COMPUTED_VALUE"""),"[Select Team Name]")</f>
        <v>[Select Team Name]</v>
      </c>
      <c r="D139" s="12">
        <f>IFERROR(__xludf.DUMMYFUNCTION("""COMPUTED_VALUE"""),0.0)</f>
        <v>0</v>
      </c>
      <c r="E139" s="12" t="str">
        <f>IFERROR(__xludf.DUMMYFUNCTION("""COMPUTED_VALUE"""),"[Select Team Name]")</f>
        <v>[Select Team Name]</v>
      </c>
      <c r="F139" s="12">
        <f>IFERROR(__xludf.DUMMYFUNCTION("""COMPUTED_VALUE"""),0.0)</f>
        <v>0</v>
      </c>
      <c r="G139" s="20" t="str">
        <f>IFERROR(__xludf.DUMMYFUNCTION("if(regexmatch($B139,""RR""),concat(C139,E139),"""")"),"")</f>
        <v/>
      </c>
      <c r="H139" s="20" t="str">
        <f>IFERROR(__xludf.DUMMYFUNCTION("if(regexmatch($B139,""RR""),D139,"""")"),"")</f>
        <v/>
      </c>
      <c r="I139" s="20" t="str">
        <f>IFERROR(__xludf.DUMMYFUNCTION("if(regexmatch($B139,""RR""),concat(E139,C139),"""")"),"")</f>
        <v/>
      </c>
      <c r="J139" s="20" t="str">
        <f>IFERROR(__xludf.DUMMYFUNCTION("if(regexmatch($B139,""RR""),F139,"""")"),"")</f>
        <v/>
      </c>
      <c r="K139" s="20" t="str">
        <f>IFERROR(__xludf.DUMMYFUNCTION("if(regexmatch($B139,""DE""),concat(C139,E139),"""")"),"[Select Team Name][Select Team Name]")</f>
        <v>[Select Team Name][Select Team Name]</v>
      </c>
      <c r="L139" s="20">
        <f>IFERROR(__xludf.DUMMYFUNCTION("if(regexmatch($B139,""DE""),D139,"""")"),0.0)</f>
        <v>0</v>
      </c>
      <c r="M139" s="20" t="str">
        <f>IFERROR(__xludf.DUMMYFUNCTION("if(regexmatch($B139,""DE""),concat(E139,C139),"""")"),"[Select Team Name][Select Team Name]")</f>
        <v>[Select Team Name][Select Team Name]</v>
      </c>
      <c r="N139" s="20">
        <f>IFERROR(__xludf.DUMMYFUNCTION("if(regexmatch($B139,""DE""),F139,"""")"),0.0)</f>
        <v>0</v>
      </c>
    </row>
    <row r="140">
      <c r="A140" s="12"/>
      <c r="B140" s="12" t="str">
        <f>IFERROR(__xludf.DUMMYFUNCTION("""COMPUTED_VALUE"""),"DE9")</f>
        <v>DE9</v>
      </c>
      <c r="C140" s="12" t="str">
        <f>IFERROR(__xludf.DUMMYFUNCTION("""COMPUTED_VALUE"""),"[Select Team Name]")</f>
        <v>[Select Team Name]</v>
      </c>
      <c r="D140" s="12">
        <f>IFERROR(__xludf.DUMMYFUNCTION("""COMPUTED_VALUE"""),0.0)</f>
        <v>0</v>
      </c>
      <c r="E140" s="12" t="str">
        <f>IFERROR(__xludf.DUMMYFUNCTION("""COMPUTED_VALUE"""),"[Select Team Name]")</f>
        <v>[Select Team Name]</v>
      </c>
      <c r="F140" s="12">
        <f>IFERROR(__xludf.DUMMYFUNCTION("""COMPUTED_VALUE"""),0.0)</f>
        <v>0</v>
      </c>
      <c r="G140" s="20" t="str">
        <f>IFERROR(__xludf.DUMMYFUNCTION("if(regexmatch($B140,""RR""),concat(C140,E140),"""")"),"")</f>
        <v/>
      </c>
      <c r="H140" s="20" t="str">
        <f>IFERROR(__xludf.DUMMYFUNCTION("if(regexmatch($B140,""RR""),D140,"""")"),"")</f>
        <v/>
      </c>
      <c r="I140" s="20" t="str">
        <f>IFERROR(__xludf.DUMMYFUNCTION("if(regexmatch($B140,""RR""),concat(E140,C140),"""")"),"")</f>
        <v/>
      </c>
      <c r="J140" s="20" t="str">
        <f>IFERROR(__xludf.DUMMYFUNCTION("if(regexmatch($B140,""RR""),F140,"""")"),"")</f>
        <v/>
      </c>
      <c r="K140" s="20" t="str">
        <f>IFERROR(__xludf.DUMMYFUNCTION("if(regexmatch($B140,""DE""),concat(C140,E140),"""")"),"[Select Team Name][Select Team Name]")</f>
        <v>[Select Team Name][Select Team Name]</v>
      </c>
      <c r="L140" s="20">
        <f>IFERROR(__xludf.DUMMYFUNCTION("if(regexmatch($B140,""DE""),D140,"""")"),0.0)</f>
        <v>0</v>
      </c>
      <c r="M140" s="20" t="str">
        <f>IFERROR(__xludf.DUMMYFUNCTION("if(regexmatch($B140,""DE""),concat(E140,C140),"""")"),"[Select Team Name][Select Team Name]")</f>
        <v>[Select Team Name][Select Team Name]</v>
      </c>
      <c r="N140" s="20">
        <f>IFERROR(__xludf.DUMMYFUNCTION("if(regexmatch($B140,""DE""),F140,"""")"),0.0)</f>
        <v>0</v>
      </c>
    </row>
    <row r="141">
      <c r="A141" s="1"/>
      <c r="B141" s="12" t="str">
        <f>IFERROR(__xludf.DUMMYFUNCTION("importrange(""https://docs.google.com/spreadsheets/d/1psnUSjsIBwjNexkf91YL6Mpf8lneAzTLg1KwX6A9xkk/edit?usp=drive_link"",""Scores!A2:E15"")"),"RR1")</f>
        <v>RR1</v>
      </c>
      <c r="C141" s="12" t="str">
        <f>IFERROR(__xludf.DUMMYFUNCTION("""COMPUTED_VALUE"""),"Albany B")</f>
        <v>Albany B</v>
      </c>
      <c r="D141" s="12">
        <f>IFERROR(__xludf.DUMMYFUNCTION("""COMPUTED_VALUE"""),18.0)</f>
        <v>18</v>
      </c>
      <c r="E141" s="12" t="str">
        <f>IFERROR(__xludf.DUMMYFUNCTION("""COMPUTED_VALUE"""),"Clovis North")</f>
        <v>Clovis North</v>
      </c>
      <c r="F141" s="12">
        <f>IFERROR(__xludf.DUMMYFUNCTION("""COMPUTED_VALUE"""),178.0)</f>
        <v>178</v>
      </c>
      <c r="G141" s="20" t="str">
        <f>IFERROR(__xludf.DUMMYFUNCTION("if(regexmatch($B141,""RR""),concat(C141,E141),"""")"),"Albany BClovis North")</f>
        <v>Albany BClovis North</v>
      </c>
      <c r="H141" s="20">
        <f>IFERROR(__xludf.DUMMYFUNCTION("if(regexmatch($B141,""RR""),D141,"""")"),18.0)</f>
        <v>18</v>
      </c>
      <c r="I141" s="20" t="str">
        <f>IFERROR(__xludf.DUMMYFUNCTION("if(regexmatch($B141,""RR""),concat(E141,C141),"""")"),"Clovis NorthAlbany B")</f>
        <v>Clovis NorthAlbany B</v>
      </c>
      <c r="J141" s="20">
        <f>IFERROR(__xludf.DUMMYFUNCTION("if(regexmatch($B141,""RR""),F141,"""")"),178.0)</f>
        <v>178</v>
      </c>
      <c r="K141" s="20" t="str">
        <f>IFERROR(__xludf.DUMMYFUNCTION("if(regexmatch($B141,""DE""),concat(C141,E141),"""")"),"")</f>
        <v/>
      </c>
      <c r="L141" s="20" t="str">
        <f>IFERROR(__xludf.DUMMYFUNCTION("if(regexmatch($B141,""DE""),D141,"""")"),"")</f>
        <v/>
      </c>
      <c r="M141" s="20" t="str">
        <f>IFERROR(__xludf.DUMMYFUNCTION("if(regexmatch($B141,""DE""),concat(E141,C141),"""")"),"")</f>
        <v/>
      </c>
      <c r="N141" s="20" t="str">
        <f>IFERROR(__xludf.DUMMYFUNCTION("if(regexmatch($B141,""DE""),F141,"""")"),"")</f>
        <v/>
      </c>
    </row>
    <row r="142">
      <c r="A142" s="12"/>
      <c r="B142" s="12" t="str">
        <f>IFERROR(__xludf.DUMMYFUNCTION("""COMPUTED_VALUE"""),"RR2")</f>
        <v>RR2</v>
      </c>
      <c r="C142" s="12" t="str">
        <f>IFERROR(__xludf.DUMMYFUNCTION("""COMPUTED_VALUE"""),"Middleton")</f>
        <v>Middleton</v>
      </c>
      <c r="D142" s="12">
        <f>IFERROR(__xludf.DUMMYFUNCTION("""COMPUTED_VALUE"""),232.0)</f>
        <v>232</v>
      </c>
      <c r="E142" s="12" t="str">
        <f>IFERROR(__xludf.DUMMYFUNCTION("""COMPUTED_VALUE"""),"California B")</f>
        <v>California B</v>
      </c>
      <c r="F142" s="12">
        <f>IFERROR(__xludf.DUMMYFUNCTION("""COMPUTED_VALUE"""),8.0)</f>
        <v>8</v>
      </c>
      <c r="G142" s="20" t="str">
        <f>IFERROR(__xludf.DUMMYFUNCTION("if(regexmatch($B142,""RR""),concat(C142,E142),"""")"),"MiddletonCalifornia B")</f>
        <v>MiddletonCalifornia B</v>
      </c>
      <c r="H142" s="20">
        <f>IFERROR(__xludf.DUMMYFUNCTION("if(regexmatch($B142,""RR""),D142,"""")"),232.0)</f>
        <v>232</v>
      </c>
      <c r="I142" s="20" t="str">
        <f>IFERROR(__xludf.DUMMYFUNCTION("if(regexmatch($B142,""RR""),concat(E142,C142),"""")"),"California BMiddleton")</f>
        <v>California BMiddleton</v>
      </c>
      <c r="J142" s="20">
        <f>IFERROR(__xludf.DUMMYFUNCTION("if(regexmatch($B142,""RR""),F142,"""")"),8.0)</f>
        <v>8</v>
      </c>
      <c r="K142" s="20" t="str">
        <f>IFERROR(__xludf.DUMMYFUNCTION("if(regexmatch($B142,""DE""),concat(C142,E142),"""")"),"")</f>
        <v/>
      </c>
      <c r="L142" s="20" t="str">
        <f>IFERROR(__xludf.DUMMYFUNCTION("if(regexmatch($B142,""DE""),D142,"""")"),"")</f>
        <v/>
      </c>
      <c r="M142" s="20" t="str">
        <f>IFERROR(__xludf.DUMMYFUNCTION("if(regexmatch($B142,""DE""),concat(E142,C142),"""")"),"")</f>
        <v/>
      </c>
      <c r="N142" s="20" t="str">
        <f>IFERROR(__xludf.DUMMYFUNCTION("if(regexmatch($B142,""DE""),F142,"""")"),"")</f>
        <v/>
      </c>
    </row>
    <row r="143">
      <c r="A143" s="12"/>
      <c r="B143" s="12" t="str">
        <f>IFERROR(__xludf.DUMMYFUNCTION("""COMPUTED_VALUE"""),"RR3")</f>
        <v>RR3</v>
      </c>
      <c r="C143" s="12" t="str">
        <f>IFERROR(__xludf.DUMMYFUNCTION("""COMPUTED_VALUE"""),"Harker")</f>
        <v>Harker</v>
      </c>
      <c r="D143" s="12">
        <f>IFERROR(__xludf.DUMMYFUNCTION("""COMPUTED_VALUE"""),44.0)</f>
        <v>44</v>
      </c>
      <c r="E143" s="12" t="str">
        <f>IFERROR(__xludf.DUMMYFUNCTION("""COMPUTED_VALUE"""),"Davidson A")</f>
        <v>Davidson A</v>
      </c>
      <c r="F143" s="12">
        <f>IFERROR(__xludf.DUMMYFUNCTION("""COMPUTED_VALUE"""),188.0)</f>
        <v>188</v>
      </c>
      <c r="G143" s="20" t="str">
        <f>IFERROR(__xludf.DUMMYFUNCTION("if(regexmatch($B143,""RR""),concat(C143,E143),"""")"),"HarkerDavidson A")</f>
        <v>HarkerDavidson A</v>
      </c>
      <c r="H143" s="20">
        <f>IFERROR(__xludf.DUMMYFUNCTION("if(regexmatch($B143,""RR""),D143,"""")"),44.0)</f>
        <v>44</v>
      </c>
      <c r="I143" s="20" t="str">
        <f>IFERROR(__xludf.DUMMYFUNCTION("if(regexmatch($B143,""RR""),concat(E143,C143),"""")"),"Davidson AHarker")</f>
        <v>Davidson AHarker</v>
      </c>
      <c r="J143" s="20">
        <f>IFERROR(__xludf.DUMMYFUNCTION("if(regexmatch($B143,""RR""),F143,"""")"),188.0)</f>
        <v>188</v>
      </c>
      <c r="K143" s="20" t="str">
        <f>IFERROR(__xludf.DUMMYFUNCTION("if(regexmatch($B143,""DE""),concat(C143,E143),"""")"),"")</f>
        <v/>
      </c>
      <c r="L143" s="20" t="str">
        <f>IFERROR(__xludf.DUMMYFUNCTION("if(regexmatch($B143,""DE""),D143,"""")"),"")</f>
        <v/>
      </c>
      <c r="M143" s="20" t="str">
        <f>IFERROR(__xludf.DUMMYFUNCTION("if(regexmatch($B143,""DE""),concat(E143,C143),"""")"),"")</f>
        <v/>
      </c>
      <c r="N143" s="20" t="str">
        <f>IFERROR(__xludf.DUMMYFUNCTION("if(regexmatch($B143,""DE""),F143,"""")"),"")</f>
        <v/>
      </c>
    </row>
    <row r="144">
      <c r="A144" s="12"/>
      <c r="B144" s="12" t="str">
        <f>IFERROR(__xludf.DUMMYFUNCTION("""COMPUTED_VALUE"""),"RR4")</f>
        <v>RR4</v>
      </c>
      <c r="C144" s="12" t="str">
        <f>IFERROR(__xludf.DUMMYFUNCTION("""COMPUTED_VALUE"""),"Homestead")</f>
        <v>Homestead</v>
      </c>
      <c r="D144" s="12">
        <f>IFERROR(__xludf.DUMMYFUNCTION("""COMPUTED_VALUE"""),16.0)</f>
        <v>16</v>
      </c>
      <c r="E144" s="12" t="str">
        <f>IFERROR(__xludf.DUMMYFUNCTION("""COMPUTED_VALUE"""),"California A")</f>
        <v>California A</v>
      </c>
      <c r="F144" s="12">
        <f>IFERROR(__xludf.DUMMYFUNCTION("""COMPUTED_VALUE"""),86.0)</f>
        <v>86</v>
      </c>
      <c r="G144" s="20" t="str">
        <f>IFERROR(__xludf.DUMMYFUNCTION("if(regexmatch($B144,""RR""),concat(C144,E144),"""")"),"HomesteadCalifornia A")</f>
        <v>HomesteadCalifornia A</v>
      </c>
      <c r="H144" s="20">
        <f>IFERROR(__xludf.DUMMYFUNCTION("if(regexmatch($B144,""RR""),D144,"""")"),16.0)</f>
        <v>16</v>
      </c>
      <c r="I144" s="20" t="str">
        <f>IFERROR(__xludf.DUMMYFUNCTION("if(regexmatch($B144,""RR""),concat(E144,C144),"""")"),"California AHomestead")</f>
        <v>California AHomestead</v>
      </c>
      <c r="J144" s="20">
        <f>IFERROR(__xludf.DUMMYFUNCTION("if(regexmatch($B144,""RR""),F144,"""")"),86.0)</f>
        <v>86</v>
      </c>
      <c r="K144" s="20" t="str">
        <f>IFERROR(__xludf.DUMMYFUNCTION("if(regexmatch($B144,""DE""),concat(C144,E144),"""")"),"")</f>
        <v/>
      </c>
      <c r="L144" s="20" t="str">
        <f>IFERROR(__xludf.DUMMYFUNCTION("if(regexmatch($B144,""DE""),D144,"""")"),"")</f>
        <v/>
      </c>
      <c r="M144" s="20" t="str">
        <f>IFERROR(__xludf.DUMMYFUNCTION("if(regexmatch($B144,""DE""),concat(E144,C144),"""")"),"")</f>
        <v/>
      </c>
      <c r="N144" s="20" t="str">
        <f>IFERROR(__xludf.DUMMYFUNCTION("if(regexmatch($B144,""DE""),F144,"""")"),"")</f>
        <v/>
      </c>
    </row>
    <row r="145">
      <c r="A145" s="12"/>
      <c r="B145" s="12" t="str">
        <f>IFERROR(__xludf.DUMMYFUNCTION("""COMPUTED_VALUE"""),"RR5")</f>
        <v>RR5</v>
      </c>
      <c r="C145" s="12" t="str">
        <f>IFERROR(__xludf.DUMMYFUNCTION("""COMPUTED_VALUE"""),"A-Tech A")</f>
        <v>A-Tech A</v>
      </c>
      <c r="D145" s="12">
        <f>IFERROR(__xludf.DUMMYFUNCTION("""COMPUTED_VALUE"""),72.0)</f>
        <v>72</v>
      </c>
      <c r="E145" s="12" t="str">
        <f>IFERROR(__xludf.DUMMYFUNCTION("""COMPUTED_VALUE"""),"Foothill B")</f>
        <v>Foothill B</v>
      </c>
      <c r="F145" s="12">
        <f>IFERROR(__xludf.DUMMYFUNCTION("""COMPUTED_VALUE"""),68.0)</f>
        <v>68</v>
      </c>
      <c r="G145" s="20" t="str">
        <f>IFERROR(__xludf.DUMMYFUNCTION("if(regexmatch($B145,""RR""),concat(C145,E145),"""")"),"A-Tech AFoothill B")</f>
        <v>A-Tech AFoothill B</v>
      </c>
      <c r="H145" s="20">
        <f>IFERROR(__xludf.DUMMYFUNCTION("if(regexmatch($B145,""RR""),D145,"""")"),72.0)</f>
        <v>72</v>
      </c>
      <c r="I145" s="20" t="str">
        <f>IFERROR(__xludf.DUMMYFUNCTION("if(regexmatch($B145,""RR""),concat(E145,C145),"""")"),"Foothill BA-Tech A")</f>
        <v>Foothill BA-Tech A</v>
      </c>
      <c r="J145" s="20">
        <f>IFERROR(__xludf.DUMMYFUNCTION("if(regexmatch($B145,""RR""),F145,"""")"),68.0)</f>
        <v>68</v>
      </c>
      <c r="K145" s="20" t="str">
        <f>IFERROR(__xludf.DUMMYFUNCTION("if(regexmatch($B145,""DE""),concat(C145,E145),"""")"),"")</f>
        <v/>
      </c>
      <c r="L145" s="20" t="str">
        <f>IFERROR(__xludf.DUMMYFUNCTION("if(regexmatch($B145,""DE""),D145,"""")"),"")</f>
        <v/>
      </c>
      <c r="M145" s="20" t="str">
        <f>IFERROR(__xludf.DUMMYFUNCTION("if(regexmatch($B145,""DE""),concat(E145,C145),"""")"),"")</f>
        <v/>
      </c>
      <c r="N145" s="20" t="str">
        <f>IFERROR(__xludf.DUMMYFUNCTION("if(regexmatch($B145,""DE""),F145,"""")"),"")</f>
        <v/>
      </c>
    </row>
    <row r="146">
      <c r="A146" s="12"/>
      <c r="B146" s="12" t="str">
        <f>IFERROR(__xludf.DUMMYFUNCTION("""COMPUTED_VALUE"""),"DE1")</f>
        <v>DE1</v>
      </c>
      <c r="C146" s="12" t="str">
        <f>IFERROR(__xludf.DUMMYFUNCTION("""COMPUTED_VALUE"""),"Quarry Lane A")</f>
        <v>Quarry Lane A</v>
      </c>
      <c r="D146" s="12">
        <f>IFERROR(__xludf.DUMMYFUNCTION("""COMPUTED_VALUE"""),26.0)</f>
        <v>26</v>
      </c>
      <c r="E146" s="12" t="str">
        <f>IFERROR(__xludf.DUMMYFUNCTION("""COMPUTED_VALUE"""),"San Mateo")</f>
        <v>San Mateo</v>
      </c>
      <c r="F146" s="12">
        <f>IFERROR(__xludf.DUMMYFUNCTION("""COMPUTED_VALUE"""),8.0)</f>
        <v>8</v>
      </c>
      <c r="G146" s="20" t="str">
        <f>IFERROR(__xludf.DUMMYFUNCTION("if(regexmatch($B146,""RR""),concat(C146,E146),"""")"),"")</f>
        <v/>
      </c>
      <c r="H146" s="20" t="str">
        <f>IFERROR(__xludf.DUMMYFUNCTION("if(regexmatch($B146,""RR""),D146,"""")"),"")</f>
        <v/>
      </c>
      <c r="I146" s="20" t="str">
        <f>IFERROR(__xludf.DUMMYFUNCTION("if(regexmatch($B146,""RR""),concat(E146,C146),"""")"),"")</f>
        <v/>
      </c>
      <c r="J146" s="20" t="str">
        <f>IFERROR(__xludf.DUMMYFUNCTION("if(regexmatch($B146,""RR""),F146,"""")"),"")</f>
        <v/>
      </c>
      <c r="K146" s="20" t="str">
        <f>IFERROR(__xludf.DUMMYFUNCTION("if(regexmatch($B146,""DE""),concat(C146,E146),"""")"),"Quarry Lane ASan Mateo")</f>
        <v>Quarry Lane ASan Mateo</v>
      </c>
      <c r="L146" s="20">
        <f>IFERROR(__xludf.DUMMYFUNCTION("if(regexmatch($B146,""DE""),D146,"""")"),26.0)</f>
        <v>26</v>
      </c>
      <c r="M146" s="20" t="str">
        <f>IFERROR(__xludf.DUMMYFUNCTION("if(regexmatch($B146,""DE""),concat(E146,C146),"""")"),"San MateoQuarry Lane A")</f>
        <v>San MateoQuarry Lane A</v>
      </c>
      <c r="N146" s="20">
        <f>IFERROR(__xludf.DUMMYFUNCTION("if(regexmatch($B146,""DE""),F146,"""")"),8.0)</f>
        <v>8</v>
      </c>
    </row>
    <row r="147">
      <c r="A147" s="12"/>
      <c r="B147" s="12" t="str">
        <f>IFERROR(__xludf.DUMMYFUNCTION("""COMPUTED_VALUE"""),"DE2")</f>
        <v>DE2</v>
      </c>
      <c r="C147" s="12" t="str">
        <f>IFERROR(__xludf.DUMMYFUNCTION("""COMPUTED_VALUE"""),"Homestead")</f>
        <v>Homestead</v>
      </c>
      <c r="D147" s="12">
        <f>IFERROR(__xludf.DUMMYFUNCTION("""COMPUTED_VALUE"""),34.0)</f>
        <v>34</v>
      </c>
      <c r="E147" s="12" t="str">
        <f>IFERROR(__xludf.DUMMYFUNCTION("""COMPUTED_VALUE"""),"Stanford Online")</f>
        <v>Stanford Online</v>
      </c>
      <c r="F147" s="12">
        <f>IFERROR(__xludf.DUMMYFUNCTION("""COMPUTED_VALUE"""),32.0)</f>
        <v>32</v>
      </c>
      <c r="G147" s="20" t="str">
        <f>IFERROR(__xludf.DUMMYFUNCTION("if(regexmatch($B147,""RR""),concat(C147,E147),"""")"),"")</f>
        <v/>
      </c>
      <c r="H147" s="20" t="str">
        <f>IFERROR(__xludf.DUMMYFUNCTION("if(regexmatch($B147,""RR""),D147,"""")"),"")</f>
        <v/>
      </c>
      <c r="I147" s="20" t="str">
        <f>IFERROR(__xludf.DUMMYFUNCTION("if(regexmatch($B147,""RR""),concat(E147,C147),"""")"),"")</f>
        <v/>
      </c>
      <c r="J147" s="20" t="str">
        <f>IFERROR(__xludf.DUMMYFUNCTION("if(regexmatch($B147,""RR""),F147,"""")"),"")</f>
        <v/>
      </c>
      <c r="K147" s="20" t="str">
        <f>IFERROR(__xludf.DUMMYFUNCTION("if(regexmatch($B147,""DE""),concat(C147,E147),"""")"),"HomesteadStanford Online")</f>
        <v>HomesteadStanford Online</v>
      </c>
      <c r="L147" s="20">
        <f>IFERROR(__xludf.DUMMYFUNCTION("if(regexmatch($B147,""DE""),D147,"""")"),34.0)</f>
        <v>34</v>
      </c>
      <c r="M147" s="20" t="str">
        <f>IFERROR(__xludf.DUMMYFUNCTION("if(regexmatch($B147,""DE""),concat(E147,C147),"""")"),"Stanford OnlineHomestead")</f>
        <v>Stanford OnlineHomestead</v>
      </c>
      <c r="N147" s="20">
        <f>IFERROR(__xludf.DUMMYFUNCTION("if(regexmatch($B147,""DE""),F147,"""")"),32.0)</f>
        <v>32</v>
      </c>
    </row>
    <row r="148">
      <c r="A148" s="12"/>
      <c r="B148" s="12" t="str">
        <f>IFERROR(__xludf.DUMMYFUNCTION("""COMPUTED_VALUE"""),"DE3")</f>
        <v>DE3</v>
      </c>
      <c r="C148" s="12" t="str">
        <f>IFERROR(__xludf.DUMMYFUNCTION("""COMPUTED_VALUE"""),"California A")</f>
        <v>California A</v>
      </c>
      <c r="D148" s="12">
        <f>IFERROR(__xludf.DUMMYFUNCTION("""COMPUTED_VALUE"""),30.0)</f>
        <v>30</v>
      </c>
      <c r="E148" s="12" t="str">
        <f>IFERROR(__xludf.DUMMYFUNCTION("""COMPUTED_VALUE"""),"Cupertino B")</f>
        <v>Cupertino B</v>
      </c>
      <c r="F148" s="12">
        <f>IFERROR(__xludf.DUMMYFUNCTION("""COMPUTED_VALUE"""),66.0)</f>
        <v>66</v>
      </c>
      <c r="G148" s="20" t="str">
        <f>IFERROR(__xludf.DUMMYFUNCTION("if(regexmatch($B148,""RR""),concat(C148,E148),"""")"),"")</f>
        <v/>
      </c>
      <c r="H148" s="20" t="str">
        <f>IFERROR(__xludf.DUMMYFUNCTION("if(regexmatch($B148,""RR""),D148,"""")"),"")</f>
        <v/>
      </c>
      <c r="I148" s="20" t="str">
        <f>IFERROR(__xludf.DUMMYFUNCTION("if(regexmatch($B148,""RR""),concat(E148,C148),"""")"),"")</f>
        <v/>
      </c>
      <c r="J148" s="20" t="str">
        <f>IFERROR(__xludf.DUMMYFUNCTION("if(regexmatch($B148,""RR""),F148,"""")"),"")</f>
        <v/>
      </c>
      <c r="K148" s="20" t="str">
        <f>IFERROR(__xludf.DUMMYFUNCTION("if(regexmatch($B148,""DE""),concat(C148,E148),"""")"),"California ACupertino B")</f>
        <v>California ACupertino B</v>
      </c>
      <c r="L148" s="20">
        <f>IFERROR(__xludf.DUMMYFUNCTION("if(regexmatch($B148,""DE""),D148,"""")"),30.0)</f>
        <v>30</v>
      </c>
      <c r="M148" s="20" t="str">
        <f>IFERROR(__xludf.DUMMYFUNCTION("if(regexmatch($B148,""DE""),concat(E148,C148),"""")"),"Cupertino BCalifornia A")</f>
        <v>Cupertino BCalifornia A</v>
      </c>
      <c r="N148" s="20">
        <f>IFERROR(__xludf.DUMMYFUNCTION("if(regexmatch($B148,""DE""),F148,"""")"),66.0)</f>
        <v>66</v>
      </c>
    </row>
    <row r="149">
      <c r="A149" s="12"/>
      <c r="B149" s="12" t="str">
        <f>IFERROR(__xludf.DUMMYFUNCTION("""COMPUTED_VALUE"""),"DE4")</f>
        <v>DE4</v>
      </c>
      <c r="C149" s="12" t="str">
        <f>IFERROR(__xludf.DUMMYFUNCTION("""COMPUTED_VALUE"""),"[Select Team Name]")</f>
        <v>[Select Team Name]</v>
      </c>
      <c r="D149" s="12">
        <f>IFERROR(__xludf.DUMMYFUNCTION("""COMPUTED_VALUE"""),0.0)</f>
        <v>0</v>
      </c>
      <c r="E149" s="12" t="str">
        <f>IFERROR(__xludf.DUMMYFUNCTION("""COMPUTED_VALUE"""),"[Select Team Name]")</f>
        <v>[Select Team Name]</v>
      </c>
      <c r="F149" s="12">
        <f>IFERROR(__xludf.DUMMYFUNCTION("""COMPUTED_VALUE"""),0.0)</f>
        <v>0</v>
      </c>
      <c r="G149" s="20" t="str">
        <f>IFERROR(__xludf.DUMMYFUNCTION("if(regexmatch($B149,""RR""),concat(C149,E149),"""")"),"")</f>
        <v/>
      </c>
      <c r="H149" s="20" t="str">
        <f>IFERROR(__xludf.DUMMYFUNCTION("if(regexmatch($B149,""RR""),D149,"""")"),"")</f>
        <v/>
      </c>
      <c r="I149" s="20" t="str">
        <f>IFERROR(__xludf.DUMMYFUNCTION("if(regexmatch($B149,""RR""),concat(E149,C149),"""")"),"")</f>
        <v/>
      </c>
      <c r="J149" s="20" t="str">
        <f>IFERROR(__xludf.DUMMYFUNCTION("if(regexmatch($B149,""RR""),F149,"""")"),"")</f>
        <v/>
      </c>
      <c r="K149" s="20" t="str">
        <f>IFERROR(__xludf.DUMMYFUNCTION("if(regexmatch($B149,""DE""),concat(C149,E149),"""")"),"[Select Team Name][Select Team Name]")</f>
        <v>[Select Team Name][Select Team Name]</v>
      </c>
      <c r="L149" s="20">
        <f>IFERROR(__xludf.DUMMYFUNCTION("if(regexmatch($B149,""DE""),D149,"""")"),0.0)</f>
        <v>0</v>
      </c>
      <c r="M149" s="20" t="str">
        <f>IFERROR(__xludf.DUMMYFUNCTION("if(regexmatch($B149,""DE""),concat(E149,C149),"""")"),"[Select Team Name][Select Team Name]")</f>
        <v>[Select Team Name][Select Team Name]</v>
      </c>
      <c r="N149" s="20">
        <f>IFERROR(__xludf.DUMMYFUNCTION("if(regexmatch($B149,""DE""),F149,"""")"),0.0)</f>
        <v>0</v>
      </c>
    </row>
    <row r="150">
      <c r="A150" s="12"/>
      <c r="B150" s="12" t="str">
        <f>IFERROR(__xludf.DUMMYFUNCTION("""COMPUTED_VALUE"""),"DE5")</f>
        <v>DE5</v>
      </c>
      <c r="C150" s="12" t="str">
        <f>IFERROR(__xludf.DUMMYFUNCTION("""COMPUTED_VALUE"""),"[Select Team Name]")</f>
        <v>[Select Team Name]</v>
      </c>
      <c r="D150" s="12">
        <f>IFERROR(__xludf.DUMMYFUNCTION("""COMPUTED_VALUE"""),0.0)</f>
        <v>0</v>
      </c>
      <c r="E150" s="12" t="str">
        <f>IFERROR(__xludf.DUMMYFUNCTION("""COMPUTED_VALUE"""),"[Select Team Name]")</f>
        <v>[Select Team Name]</v>
      </c>
      <c r="F150" s="12">
        <f>IFERROR(__xludf.DUMMYFUNCTION("""COMPUTED_VALUE"""),0.0)</f>
        <v>0</v>
      </c>
      <c r="G150" s="20" t="str">
        <f>IFERROR(__xludf.DUMMYFUNCTION("if(regexmatch($B150,""RR""),concat(C150,E150),"""")"),"")</f>
        <v/>
      </c>
      <c r="H150" s="20" t="str">
        <f>IFERROR(__xludf.DUMMYFUNCTION("if(regexmatch($B150,""RR""),D150,"""")"),"")</f>
        <v/>
      </c>
      <c r="I150" s="20" t="str">
        <f>IFERROR(__xludf.DUMMYFUNCTION("if(regexmatch($B150,""RR""),concat(E150,C150),"""")"),"")</f>
        <v/>
      </c>
      <c r="J150" s="20" t="str">
        <f>IFERROR(__xludf.DUMMYFUNCTION("if(regexmatch($B150,""RR""),F150,"""")"),"")</f>
        <v/>
      </c>
      <c r="K150" s="20" t="str">
        <f>IFERROR(__xludf.DUMMYFUNCTION("if(regexmatch($B150,""DE""),concat(C150,E150),"""")"),"[Select Team Name][Select Team Name]")</f>
        <v>[Select Team Name][Select Team Name]</v>
      </c>
      <c r="L150" s="20">
        <f>IFERROR(__xludf.DUMMYFUNCTION("if(regexmatch($B150,""DE""),D150,"""")"),0.0)</f>
        <v>0</v>
      </c>
      <c r="M150" s="20" t="str">
        <f>IFERROR(__xludf.DUMMYFUNCTION("if(regexmatch($B150,""DE""),concat(E150,C150),"""")"),"[Select Team Name][Select Team Name]")</f>
        <v>[Select Team Name][Select Team Name]</v>
      </c>
      <c r="N150" s="20">
        <f>IFERROR(__xludf.DUMMYFUNCTION("if(regexmatch($B150,""DE""),F150,"""")"),0.0)</f>
        <v>0</v>
      </c>
    </row>
    <row r="151">
      <c r="A151" s="12"/>
      <c r="B151" s="12" t="str">
        <f>IFERROR(__xludf.DUMMYFUNCTION("""COMPUTED_VALUE"""),"DE6")</f>
        <v>DE6</v>
      </c>
      <c r="C151" s="12" t="str">
        <f>IFERROR(__xludf.DUMMYFUNCTION("""COMPUTED_VALUE"""),"[Select Team Name]")</f>
        <v>[Select Team Name]</v>
      </c>
      <c r="D151" s="12">
        <f>IFERROR(__xludf.DUMMYFUNCTION("""COMPUTED_VALUE"""),0.0)</f>
        <v>0</v>
      </c>
      <c r="E151" s="12" t="str">
        <f>IFERROR(__xludf.DUMMYFUNCTION("""COMPUTED_VALUE"""),"[Select Team Name]")</f>
        <v>[Select Team Name]</v>
      </c>
      <c r="F151" s="12">
        <f>IFERROR(__xludf.DUMMYFUNCTION("""COMPUTED_VALUE"""),0.0)</f>
        <v>0</v>
      </c>
      <c r="G151" s="20" t="str">
        <f>IFERROR(__xludf.DUMMYFUNCTION("if(regexmatch($B151,""RR""),concat(C151,E151),"""")"),"")</f>
        <v/>
      </c>
      <c r="H151" s="20" t="str">
        <f>IFERROR(__xludf.DUMMYFUNCTION("if(regexmatch($B151,""RR""),D151,"""")"),"")</f>
        <v/>
      </c>
      <c r="I151" s="20" t="str">
        <f>IFERROR(__xludf.DUMMYFUNCTION("if(regexmatch($B151,""RR""),concat(E151,C151),"""")"),"")</f>
        <v/>
      </c>
      <c r="J151" s="20" t="str">
        <f>IFERROR(__xludf.DUMMYFUNCTION("if(regexmatch($B151,""RR""),F151,"""")"),"")</f>
        <v/>
      </c>
      <c r="K151" s="20" t="str">
        <f>IFERROR(__xludf.DUMMYFUNCTION("if(regexmatch($B151,""DE""),concat(C151,E151),"""")"),"[Select Team Name][Select Team Name]")</f>
        <v>[Select Team Name][Select Team Name]</v>
      </c>
      <c r="L151" s="20">
        <f>IFERROR(__xludf.DUMMYFUNCTION("if(regexmatch($B151,""DE""),D151,"""")"),0.0)</f>
        <v>0</v>
      </c>
      <c r="M151" s="20" t="str">
        <f>IFERROR(__xludf.DUMMYFUNCTION("if(regexmatch($B151,""DE""),concat(E151,C151),"""")"),"[Select Team Name][Select Team Name]")</f>
        <v>[Select Team Name][Select Team Name]</v>
      </c>
      <c r="N151" s="20">
        <f>IFERROR(__xludf.DUMMYFUNCTION("if(regexmatch($B151,""DE""),F151,"""")"),0.0)</f>
        <v>0</v>
      </c>
    </row>
    <row r="152">
      <c r="A152" s="12"/>
      <c r="B152" s="12" t="str">
        <f>IFERROR(__xludf.DUMMYFUNCTION("""COMPUTED_VALUE"""),"DE7")</f>
        <v>DE7</v>
      </c>
      <c r="C152" s="12" t="str">
        <f>IFERROR(__xludf.DUMMYFUNCTION("""COMPUTED_VALUE"""),"[Select Team Name]")</f>
        <v>[Select Team Name]</v>
      </c>
      <c r="D152" s="12">
        <f>IFERROR(__xludf.DUMMYFUNCTION("""COMPUTED_VALUE"""),0.0)</f>
        <v>0</v>
      </c>
      <c r="E152" s="12" t="str">
        <f>IFERROR(__xludf.DUMMYFUNCTION("""COMPUTED_VALUE"""),"[Select Team Name]")</f>
        <v>[Select Team Name]</v>
      </c>
      <c r="F152" s="12">
        <f>IFERROR(__xludf.DUMMYFUNCTION("""COMPUTED_VALUE"""),0.0)</f>
        <v>0</v>
      </c>
      <c r="G152" s="20" t="str">
        <f>IFERROR(__xludf.DUMMYFUNCTION("if(regexmatch($B152,""RR""),concat(C152,E152),"""")"),"")</f>
        <v/>
      </c>
      <c r="H152" s="20" t="str">
        <f>IFERROR(__xludf.DUMMYFUNCTION("if(regexmatch($B152,""RR""),D152,"""")"),"")</f>
        <v/>
      </c>
      <c r="I152" s="20" t="str">
        <f>IFERROR(__xludf.DUMMYFUNCTION("if(regexmatch($B152,""RR""),concat(E152,C152),"""")"),"")</f>
        <v/>
      </c>
      <c r="J152" s="20" t="str">
        <f>IFERROR(__xludf.DUMMYFUNCTION("if(regexmatch($B152,""RR""),F152,"""")"),"")</f>
        <v/>
      </c>
      <c r="K152" s="20" t="str">
        <f>IFERROR(__xludf.DUMMYFUNCTION("if(regexmatch($B152,""DE""),concat(C152,E152),"""")"),"[Select Team Name][Select Team Name]")</f>
        <v>[Select Team Name][Select Team Name]</v>
      </c>
      <c r="L152" s="20">
        <f>IFERROR(__xludf.DUMMYFUNCTION("if(regexmatch($B152,""DE""),D152,"""")"),0.0)</f>
        <v>0</v>
      </c>
      <c r="M152" s="20" t="str">
        <f>IFERROR(__xludf.DUMMYFUNCTION("if(regexmatch($B152,""DE""),concat(E152,C152),"""")"),"[Select Team Name][Select Team Name]")</f>
        <v>[Select Team Name][Select Team Name]</v>
      </c>
      <c r="N152" s="20">
        <f>IFERROR(__xludf.DUMMYFUNCTION("if(regexmatch($B152,""DE""),F152,"""")"),0.0)</f>
        <v>0</v>
      </c>
    </row>
    <row r="153">
      <c r="A153" s="12"/>
      <c r="B153" s="12" t="str">
        <f>IFERROR(__xludf.DUMMYFUNCTION("""COMPUTED_VALUE"""),"DE8")</f>
        <v>DE8</v>
      </c>
      <c r="C153" s="12" t="str">
        <f>IFERROR(__xludf.DUMMYFUNCTION("""COMPUTED_VALUE"""),"[Select Team Name]")</f>
        <v>[Select Team Name]</v>
      </c>
      <c r="D153" s="12">
        <f>IFERROR(__xludf.DUMMYFUNCTION("""COMPUTED_VALUE"""),0.0)</f>
        <v>0</v>
      </c>
      <c r="E153" s="12" t="str">
        <f>IFERROR(__xludf.DUMMYFUNCTION("""COMPUTED_VALUE"""),"[Select Team Name]")</f>
        <v>[Select Team Name]</v>
      </c>
      <c r="F153" s="12">
        <f>IFERROR(__xludf.DUMMYFUNCTION("""COMPUTED_VALUE"""),0.0)</f>
        <v>0</v>
      </c>
      <c r="G153" s="20" t="str">
        <f>IFERROR(__xludf.DUMMYFUNCTION("if(regexmatch($B153,""RR""),concat(C153,E153),"""")"),"")</f>
        <v/>
      </c>
      <c r="H153" s="20" t="str">
        <f>IFERROR(__xludf.DUMMYFUNCTION("if(regexmatch($B153,""RR""),D153,"""")"),"")</f>
        <v/>
      </c>
      <c r="I153" s="20" t="str">
        <f>IFERROR(__xludf.DUMMYFUNCTION("if(regexmatch($B153,""RR""),concat(E153,C153),"""")"),"")</f>
        <v/>
      </c>
      <c r="J153" s="20" t="str">
        <f>IFERROR(__xludf.DUMMYFUNCTION("if(regexmatch($B153,""RR""),F153,"""")"),"")</f>
        <v/>
      </c>
      <c r="K153" s="20" t="str">
        <f>IFERROR(__xludf.DUMMYFUNCTION("if(regexmatch($B153,""DE""),concat(C153,E153),"""")"),"[Select Team Name][Select Team Name]")</f>
        <v>[Select Team Name][Select Team Name]</v>
      </c>
      <c r="L153" s="20">
        <f>IFERROR(__xludf.DUMMYFUNCTION("if(regexmatch($B153,""DE""),D153,"""")"),0.0)</f>
        <v>0</v>
      </c>
      <c r="M153" s="20" t="str">
        <f>IFERROR(__xludf.DUMMYFUNCTION("if(regexmatch($B153,""DE""),concat(E153,C153),"""")"),"[Select Team Name][Select Team Name]")</f>
        <v>[Select Team Name][Select Team Name]</v>
      </c>
      <c r="N153" s="20">
        <f>IFERROR(__xludf.DUMMYFUNCTION("if(regexmatch($B153,""DE""),F153,"""")"),0.0)</f>
        <v>0</v>
      </c>
    </row>
    <row r="154">
      <c r="A154" s="12"/>
      <c r="B154" s="12" t="str">
        <f>IFERROR(__xludf.DUMMYFUNCTION("""COMPUTED_VALUE"""),"DE9")</f>
        <v>DE9</v>
      </c>
      <c r="C154" s="12" t="str">
        <f>IFERROR(__xludf.DUMMYFUNCTION("""COMPUTED_VALUE"""),"[Select Team Name]")</f>
        <v>[Select Team Name]</v>
      </c>
      <c r="D154" s="12">
        <f>IFERROR(__xludf.DUMMYFUNCTION("""COMPUTED_VALUE"""),0.0)</f>
        <v>0</v>
      </c>
      <c r="E154" s="12" t="str">
        <f>IFERROR(__xludf.DUMMYFUNCTION("""COMPUTED_VALUE"""),"[Select Team Name]")</f>
        <v>[Select Team Name]</v>
      </c>
      <c r="F154" s="12">
        <f>IFERROR(__xludf.DUMMYFUNCTION("""COMPUTED_VALUE"""),0.0)</f>
        <v>0</v>
      </c>
      <c r="G154" s="20" t="str">
        <f>IFERROR(__xludf.DUMMYFUNCTION("if(regexmatch($B154,""RR""),concat(C154,E154),"""")"),"")</f>
        <v/>
      </c>
      <c r="H154" s="20" t="str">
        <f>IFERROR(__xludf.DUMMYFUNCTION("if(regexmatch($B154,""RR""),D154,"""")"),"")</f>
        <v/>
      </c>
      <c r="I154" s="20" t="str">
        <f>IFERROR(__xludf.DUMMYFUNCTION("if(regexmatch($B154,""RR""),concat(E154,C154),"""")"),"")</f>
        <v/>
      </c>
      <c r="J154" s="20" t="str">
        <f>IFERROR(__xludf.DUMMYFUNCTION("if(regexmatch($B154,""RR""),F154,"""")"),"")</f>
        <v/>
      </c>
      <c r="K154" s="20" t="str">
        <f>IFERROR(__xludf.DUMMYFUNCTION("if(regexmatch($B154,""DE""),concat(C154,E154),"""")"),"[Select Team Name][Select Team Name]")</f>
        <v>[Select Team Name][Select Team Name]</v>
      </c>
      <c r="L154" s="20">
        <f>IFERROR(__xludf.DUMMYFUNCTION("if(regexmatch($B154,""DE""),D154,"""")"),0.0)</f>
        <v>0</v>
      </c>
      <c r="M154" s="20" t="str">
        <f>IFERROR(__xludf.DUMMYFUNCTION("if(regexmatch($B154,""DE""),concat(E154,C154),"""")"),"[Select Team Name][Select Team Name]")</f>
        <v>[Select Team Name][Select Team Name]</v>
      </c>
      <c r="N154" s="20">
        <f>IFERROR(__xludf.DUMMYFUNCTION("if(regexmatch($B154,""DE""),F154,"""")"),0.0)</f>
        <v>0</v>
      </c>
    </row>
    <row r="155">
      <c r="A155" s="1"/>
      <c r="B155" s="12" t="str">
        <f>IFERROR(__xludf.DUMMYFUNCTION("importrange(""https://docs.google.com/spreadsheets/d/1wtTmYqR4AQxMCUZlkKA1-P6JqWtsY-iL31O1nVtJAek/edit?usp=drive_link"",""Scores!A2:E15"")"),"RR1")</f>
        <v>RR1</v>
      </c>
      <c r="C155" s="12" t="str">
        <f>IFERROR(__xludf.DUMMYFUNCTION("""COMPUTED_VALUE"""),"Dougherty Valley B")</f>
        <v>Dougherty Valley B</v>
      </c>
      <c r="D155" s="12">
        <f>IFERROR(__xludf.DUMMYFUNCTION("""COMPUTED_VALUE"""),124.0)</f>
        <v>124</v>
      </c>
      <c r="E155" s="12" t="str">
        <f>IFERROR(__xludf.DUMMYFUNCTION("""COMPUTED_VALUE"""),"Saint Francis")</f>
        <v>Saint Francis</v>
      </c>
      <c r="F155" s="12">
        <f>IFERROR(__xludf.DUMMYFUNCTION("""COMPUTED_VALUE"""),64.0)</f>
        <v>64</v>
      </c>
      <c r="G155" s="20" t="str">
        <f>IFERROR(__xludf.DUMMYFUNCTION("if(regexmatch($B155,""RR""),concat(C155,E155),"""")"),"Dougherty Valley BSaint Francis")</f>
        <v>Dougherty Valley BSaint Francis</v>
      </c>
      <c r="H155" s="20">
        <f>IFERROR(__xludf.DUMMYFUNCTION("if(regexmatch($B155,""RR""),D155,"""")"),124.0)</f>
        <v>124</v>
      </c>
      <c r="I155" s="20" t="str">
        <f>IFERROR(__xludf.DUMMYFUNCTION("if(regexmatch($B155,""RR""),concat(E155,C155),"""")"),"Saint FrancisDougherty Valley B")</f>
        <v>Saint FrancisDougherty Valley B</v>
      </c>
      <c r="J155" s="20">
        <f>IFERROR(__xludf.DUMMYFUNCTION("if(regexmatch($B155,""RR""),F155,"""")"),64.0)</f>
        <v>64</v>
      </c>
      <c r="K155" s="20" t="str">
        <f>IFERROR(__xludf.DUMMYFUNCTION("if(regexmatch($B155,""DE""),concat(C155,E155),"""")"),"")</f>
        <v/>
      </c>
      <c r="L155" s="20" t="str">
        <f>IFERROR(__xludf.DUMMYFUNCTION("if(regexmatch($B155,""DE""),D155,"""")"),"")</f>
        <v/>
      </c>
      <c r="M155" s="20" t="str">
        <f>IFERROR(__xludf.DUMMYFUNCTION("if(regexmatch($B155,""DE""),concat(E155,C155),"""")"),"")</f>
        <v/>
      </c>
      <c r="N155" s="20" t="str">
        <f>IFERROR(__xludf.DUMMYFUNCTION("if(regexmatch($B155,""DE""),F155,"""")"),"")</f>
        <v/>
      </c>
    </row>
    <row r="156">
      <c r="A156" s="12"/>
      <c r="B156" s="12" t="str">
        <f>IFERROR(__xludf.DUMMYFUNCTION("""COMPUTED_VALUE"""),"RR2")</f>
        <v>RR2</v>
      </c>
      <c r="C156" s="12" t="str">
        <f>IFERROR(__xludf.DUMMYFUNCTION("""COMPUTED_VALUE"""),"Cupertino A")</f>
        <v>Cupertino A</v>
      </c>
      <c r="D156" s="12">
        <f>IFERROR(__xludf.DUMMYFUNCTION("""COMPUTED_VALUE"""),164.0)</f>
        <v>164</v>
      </c>
      <c r="E156" s="12" t="str">
        <f>IFERROR(__xludf.DUMMYFUNCTION("""COMPUTED_VALUE"""),"Gunn")</f>
        <v>Gunn</v>
      </c>
      <c r="F156" s="12">
        <f>IFERROR(__xludf.DUMMYFUNCTION("""COMPUTED_VALUE"""),58.0)</f>
        <v>58</v>
      </c>
      <c r="G156" s="20" t="str">
        <f>IFERROR(__xludf.DUMMYFUNCTION("if(regexmatch($B156,""RR""),concat(C156,E156),"""")"),"Cupertino AGunn")</f>
        <v>Cupertino AGunn</v>
      </c>
      <c r="H156" s="20">
        <f>IFERROR(__xludf.DUMMYFUNCTION("if(regexmatch($B156,""RR""),D156,"""")"),164.0)</f>
        <v>164</v>
      </c>
      <c r="I156" s="20" t="str">
        <f>IFERROR(__xludf.DUMMYFUNCTION("if(regexmatch($B156,""RR""),concat(E156,C156),"""")"),"GunnCupertino A")</f>
        <v>GunnCupertino A</v>
      </c>
      <c r="J156" s="20">
        <f>IFERROR(__xludf.DUMMYFUNCTION("if(regexmatch($B156,""RR""),F156,"""")"),58.0)</f>
        <v>58</v>
      </c>
      <c r="K156" s="20" t="str">
        <f>IFERROR(__xludf.DUMMYFUNCTION("if(regexmatch($B156,""DE""),concat(C156,E156),"""")"),"")</f>
        <v/>
      </c>
      <c r="L156" s="20" t="str">
        <f>IFERROR(__xludf.DUMMYFUNCTION("if(regexmatch($B156,""DE""),D156,"""")"),"")</f>
        <v/>
      </c>
      <c r="M156" s="20" t="str">
        <f>IFERROR(__xludf.DUMMYFUNCTION("if(regexmatch($B156,""DE""),concat(E156,C156),"""")"),"")</f>
        <v/>
      </c>
      <c r="N156" s="20" t="str">
        <f>IFERROR(__xludf.DUMMYFUNCTION("if(regexmatch($B156,""DE""),F156,"""")"),"")</f>
        <v/>
      </c>
    </row>
    <row r="157">
      <c r="A157" s="12"/>
      <c r="B157" s="12" t="str">
        <f>IFERROR(__xludf.DUMMYFUNCTION("""COMPUTED_VALUE"""),"RR3")</f>
        <v>RR3</v>
      </c>
      <c r="C157" s="12" t="str">
        <f>IFERROR(__xludf.DUMMYFUNCTION("""COMPUTED_VALUE"""),"American")</f>
        <v>American</v>
      </c>
      <c r="D157" s="12">
        <f>IFERROR(__xludf.DUMMYFUNCTION("""COMPUTED_VALUE"""),72.0)</f>
        <v>72</v>
      </c>
      <c r="E157" s="12" t="str">
        <f>IFERROR(__xludf.DUMMYFUNCTION("""COMPUTED_VALUE"""),"Middleton")</f>
        <v>Middleton</v>
      </c>
      <c r="F157" s="12">
        <f>IFERROR(__xludf.DUMMYFUNCTION("""COMPUTED_VALUE"""),192.0)</f>
        <v>192</v>
      </c>
      <c r="G157" s="20" t="str">
        <f>IFERROR(__xludf.DUMMYFUNCTION("if(regexmatch($B157,""RR""),concat(C157,E157),"""")"),"AmericanMiddleton")</f>
        <v>AmericanMiddleton</v>
      </c>
      <c r="H157" s="20">
        <f>IFERROR(__xludf.DUMMYFUNCTION("if(regexmatch($B157,""RR""),D157,"""")"),72.0)</f>
        <v>72</v>
      </c>
      <c r="I157" s="20" t="str">
        <f>IFERROR(__xludf.DUMMYFUNCTION("if(regexmatch($B157,""RR""),concat(E157,C157),"""")"),"MiddletonAmerican")</f>
        <v>MiddletonAmerican</v>
      </c>
      <c r="J157" s="20">
        <f>IFERROR(__xludf.DUMMYFUNCTION("if(regexmatch($B157,""RR""),F157,"""")"),192.0)</f>
        <v>192</v>
      </c>
      <c r="K157" s="20" t="str">
        <f>IFERROR(__xludf.DUMMYFUNCTION("if(regexmatch($B157,""DE""),concat(C157,E157),"""")"),"")</f>
        <v/>
      </c>
      <c r="L157" s="20" t="str">
        <f>IFERROR(__xludf.DUMMYFUNCTION("if(regexmatch($B157,""DE""),D157,"""")"),"")</f>
        <v/>
      </c>
      <c r="M157" s="20" t="str">
        <f>IFERROR(__xludf.DUMMYFUNCTION("if(regexmatch($B157,""DE""),concat(E157,C157),"""")"),"")</f>
        <v/>
      </c>
      <c r="N157" s="20" t="str">
        <f>IFERROR(__xludf.DUMMYFUNCTION("if(regexmatch($B157,""DE""),F157,"""")"),"")</f>
        <v/>
      </c>
    </row>
    <row r="158">
      <c r="A158" s="12"/>
      <c r="B158" s="12" t="str">
        <f>IFERROR(__xludf.DUMMYFUNCTION("""COMPUTED_VALUE"""),"RR4")</f>
        <v>RR4</v>
      </c>
      <c r="C158" s="12" t="str">
        <f>IFERROR(__xludf.DUMMYFUNCTION("""COMPUTED_VALUE"""),"Mission San Jose B")</f>
        <v>Mission San Jose B</v>
      </c>
      <c r="D158" s="12">
        <f>IFERROR(__xludf.DUMMYFUNCTION("""COMPUTED_VALUE"""),186.0)</f>
        <v>186</v>
      </c>
      <c r="E158" s="12" t="str">
        <f>IFERROR(__xludf.DUMMYFUNCTION("""COMPUTED_VALUE"""),"Harker")</f>
        <v>Harker</v>
      </c>
      <c r="F158" s="12">
        <f>IFERROR(__xludf.DUMMYFUNCTION("""COMPUTED_VALUE"""),54.0)</f>
        <v>54</v>
      </c>
      <c r="G158" s="20" t="str">
        <f>IFERROR(__xludf.DUMMYFUNCTION("if(regexmatch($B158,""RR""),concat(C158,E158),"""")"),"Mission San Jose BHarker")</f>
        <v>Mission San Jose BHarker</v>
      </c>
      <c r="H158" s="20">
        <f>IFERROR(__xludf.DUMMYFUNCTION("if(regexmatch($B158,""RR""),D158,"""")"),186.0)</f>
        <v>186</v>
      </c>
      <c r="I158" s="20" t="str">
        <f>IFERROR(__xludf.DUMMYFUNCTION("if(regexmatch($B158,""RR""),concat(E158,C158),"""")"),"HarkerMission San Jose B")</f>
        <v>HarkerMission San Jose B</v>
      </c>
      <c r="J158" s="20">
        <f>IFERROR(__xludf.DUMMYFUNCTION("if(regexmatch($B158,""RR""),F158,"""")"),54.0)</f>
        <v>54</v>
      </c>
      <c r="K158" s="20" t="str">
        <f>IFERROR(__xludf.DUMMYFUNCTION("if(regexmatch($B158,""DE""),concat(C158,E158),"""")"),"")</f>
        <v/>
      </c>
      <c r="L158" s="20" t="str">
        <f>IFERROR(__xludf.DUMMYFUNCTION("if(regexmatch($B158,""DE""),D158,"""")"),"")</f>
        <v/>
      </c>
      <c r="M158" s="20" t="str">
        <f>IFERROR(__xludf.DUMMYFUNCTION("if(regexmatch($B158,""DE""),concat(E158,C158),"""")"),"")</f>
        <v/>
      </c>
      <c r="N158" s="20" t="str">
        <f>IFERROR(__xludf.DUMMYFUNCTION("if(regexmatch($B158,""DE""),F158,"""")"),"")</f>
        <v/>
      </c>
    </row>
    <row r="159">
      <c r="A159" s="12"/>
      <c r="B159" s="12" t="str">
        <f>IFERROR(__xludf.DUMMYFUNCTION("""COMPUTED_VALUE"""),"RR5")</f>
        <v>RR5</v>
      </c>
      <c r="C159" s="12" t="str">
        <f>IFERROR(__xludf.DUMMYFUNCTION("""COMPUTED_VALUE"""),"Stanford Online")</f>
        <v>Stanford Online</v>
      </c>
      <c r="D159" s="12">
        <f>IFERROR(__xludf.DUMMYFUNCTION("""COMPUTED_VALUE"""),54.0)</f>
        <v>54</v>
      </c>
      <c r="E159" s="12" t="str">
        <f>IFERROR(__xludf.DUMMYFUNCTION("""COMPUTED_VALUE"""),"Lynbrook B")</f>
        <v>Lynbrook B</v>
      </c>
      <c r="F159" s="12">
        <f>IFERROR(__xludf.DUMMYFUNCTION("""COMPUTED_VALUE"""),164.0)</f>
        <v>164</v>
      </c>
      <c r="G159" s="20" t="str">
        <f>IFERROR(__xludf.DUMMYFUNCTION("if(regexmatch($B159,""RR""),concat(C159,E159),"""")"),"Stanford OnlineLynbrook B")</f>
        <v>Stanford OnlineLynbrook B</v>
      </c>
      <c r="H159" s="20">
        <f>IFERROR(__xludf.DUMMYFUNCTION("if(regexmatch($B159,""RR""),D159,"""")"),54.0)</f>
        <v>54</v>
      </c>
      <c r="I159" s="20" t="str">
        <f>IFERROR(__xludf.DUMMYFUNCTION("if(regexmatch($B159,""RR""),concat(E159,C159),"""")"),"Lynbrook BStanford Online")</f>
        <v>Lynbrook BStanford Online</v>
      </c>
      <c r="J159" s="20">
        <f>IFERROR(__xludf.DUMMYFUNCTION("if(regexmatch($B159,""RR""),F159,"""")"),164.0)</f>
        <v>164</v>
      </c>
      <c r="K159" s="20" t="str">
        <f>IFERROR(__xludf.DUMMYFUNCTION("if(regexmatch($B159,""DE""),concat(C159,E159),"""")"),"")</f>
        <v/>
      </c>
      <c r="L159" s="20" t="str">
        <f>IFERROR(__xludf.DUMMYFUNCTION("if(regexmatch($B159,""DE""),D159,"""")"),"")</f>
        <v/>
      </c>
      <c r="M159" s="20" t="str">
        <f>IFERROR(__xludf.DUMMYFUNCTION("if(regexmatch($B159,""DE""),concat(E159,C159),"""")"),"")</f>
        <v/>
      </c>
      <c r="N159" s="20" t="str">
        <f>IFERROR(__xludf.DUMMYFUNCTION("if(regexmatch($B159,""DE""),F159,"""")"),"")</f>
        <v/>
      </c>
    </row>
    <row r="160">
      <c r="A160" s="12"/>
      <c r="B160" s="12" t="str">
        <f>IFERROR(__xludf.DUMMYFUNCTION("""COMPUTED_VALUE"""),"DE1")</f>
        <v>DE1</v>
      </c>
      <c r="C160" s="12" t="str">
        <f>IFERROR(__xludf.DUMMYFUNCTION("""COMPUTED_VALUE"""),"Albany B")</f>
        <v>Albany B</v>
      </c>
      <c r="D160" s="12">
        <f>IFERROR(__xludf.DUMMYFUNCTION("""COMPUTED_VALUE"""),34.0)</f>
        <v>34</v>
      </c>
      <c r="E160" s="12" t="str">
        <f>IFERROR(__xludf.DUMMYFUNCTION("""COMPUTED_VALUE"""),"California B")</f>
        <v>California B</v>
      </c>
      <c r="F160" s="12">
        <f>IFERROR(__xludf.DUMMYFUNCTION("""COMPUTED_VALUE"""),44.0)</f>
        <v>44</v>
      </c>
      <c r="G160" s="20" t="str">
        <f>IFERROR(__xludf.DUMMYFUNCTION("if(regexmatch($B160,""RR""),concat(C160,E160),"""")"),"")</f>
        <v/>
      </c>
      <c r="H160" s="20" t="str">
        <f>IFERROR(__xludf.DUMMYFUNCTION("if(regexmatch($B160,""RR""),D160,"""")"),"")</f>
        <v/>
      </c>
      <c r="I160" s="20" t="str">
        <f>IFERROR(__xludf.DUMMYFUNCTION("if(regexmatch($B160,""RR""),concat(E160,C160),"""")"),"")</f>
        <v/>
      </c>
      <c r="J160" s="20" t="str">
        <f>IFERROR(__xludf.DUMMYFUNCTION("if(regexmatch($B160,""RR""),F160,"""")"),"")</f>
        <v/>
      </c>
      <c r="K160" s="20" t="str">
        <f>IFERROR(__xludf.DUMMYFUNCTION("if(regexmatch($B160,""DE""),concat(C160,E160),"""")"),"Albany BCalifornia B")</f>
        <v>Albany BCalifornia B</v>
      </c>
      <c r="L160" s="20">
        <f>IFERROR(__xludf.DUMMYFUNCTION("if(regexmatch($B160,""DE""),D160,"""")"),34.0)</f>
        <v>34</v>
      </c>
      <c r="M160" s="20" t="str">
        <f>IFERROR(__xludf.DUMMYFUNCTION("if(regexmatch($B160,""DE""),concat(E160,C160),"""")"),"California BAlbany B")</f>
        <v>California BAlbany B</v>
      </c>
      <c r="N160" s="20">
        <f>IFERROR(__xludf.DUMMYFUNCTION("if(regexmatch($B160,""DE""),F160,"""")"),44.0)</f>
        <v>44</v>
      </c>
    </row>
    <row r="161">
      <c r="A161" s="12"/>
      <c r="B161" s="12" t="str">
        <f>IFERROR(__xludf.DUMMYFUNCTION("""COMPUTED_VALUE"""),"DE2")</f>
        <v>DE2</v>
      </c>
      <c r="C161" s="12" t="str">
        <f>IFERROR(__xludf.DUMMYFUNCTION("""COMPUTED_VALUE"""),"Quarry Lane A")</f>
        <v>Quarry Lane A</v>
      </c>
      <c r="D161" s="12">
        <f>IFERROR(__xludf.DUMMYFUNCTION("""COMPUTED_VALUE"""),20.0)</f>
        <v>20</v>
      </c>
      <c r="E161" s="12" t="str">
        <f>IFERROR(__xludf.DUMMYFUNCTION("""COMPUTED_VALUE"""),"A-Tech B")</f>
        <v>A-Tech B</v>
      </c>
      <c r="F161" s="12">
        <f>IFERROR(__xludf.DUMMYFUNCTION("""COMPUTED_VALUE"""),22.0)</f>
        <v>22</v>
      </c>
      <c r="G161" s="20" t="str">
        <f>IFERROR(__xludf.DUMMYFUNCTION("if(regexmatch($B161,""RR""),concat(C161,E161),"""")"),"")</f>
        <v/>
      </c>
      <c r="H161" s="20" t="str">
        <f>IFERROR(__xludf.DUMMYFUNCTION("if(regexmatch($B161,""RR""),D161,"""")"),"")</f>
        <v/>
      </c>
      <c r="I161" s="20" t="str">
        <f>IFERROR(__xludf.DUMMYFUNCTION("if(regexmatch($B161,""RR""),concat(E161,C161),"""")"),"")</f>
        <v/>
      </c>
      <c r="J161" s="20" t="str">
        <f>IFERROR(__xludf.DUMMYFUNCTION("if(regexmatch($B161,""RR""),F161,"""")"),"")</f>
        <v/>
      </c>
      <c r="K161" s="20" t="str">
        <f>IFERROR(__xludf.DUMMYFUNCTION("if(regexmatch($B161,""DE""),concat(C161,E161),"""")"),"Quarry Lane AA-Tech B")</f>
        <v>Quarry Lane AA-Tech B</v>
      </c>
      <c r="L161" s="20">
        <f>IFERROR(__xludf.DUMMYFUNCTION("if(regexmatch($B161,""DE""),D161,"""")"),20.0)</f>
        <v>20</v>
      </c>
      <c r="M161" s="20" t="str">
        <f>IFERROR(__xludf.DUMMYFUNCTION("if(regexmatch($B161,""DE""),concat(E161,C161),"""")"),"A-Tech BQuarry Lane A")</f>
        <v>A-Tech BQuarry Lane A</v>
      </c>
      <c r="N161" s="20">
        <f>IFERROR(__xludf.DUMMYFUNCTION("if(regexmatch($B161,""DE""),F161,"""")"),22.0)</f>
        <v>22</v>
      </c>
    </row>
    <row r="162">
      <c r="A162" s="12"/>
      <c r="B162" s="12" t="str">
        <f>IFERROR(__xludf.DUMMYFUNCTION("""COMPUTED_VALUE"""),"DE3")</f>
        <v>DE3</v>
      </c>
      <c r="C162" s="12" t="str">
        <f>IFERROR(__xludf.DUMMYFUNCTION("""COMPUTED_VALUE"""),"Albany A")</f>
        <v>Albany A</v>
      </c>
      <c r="D162" s="12">
        <f>IFERROR(__xludf.DUMMYFUNCTION("""COMPUTED_VALUE"""),30.0)</f>
        <v>30</v>
      </c>
      <c r="E162" s="12" t="str">
        <f>IFERROR(__xludf.DUMMYFUNCTION("""COMPUTED_VALUE"""),"Stanford Online")</f>
        <v>Stanford Online</v>
      </c>
      <c r="F162" s="12">
        <f>IFERROR(__xludf.DUMMYFUNCTION("""COMPUTED_VALUE"""),16.0)</f>
        <v>16</v>
      </c>
      <c r="G162" s="20" t="str">
        <f>IFERROR(__xludf.DUMMYFUNCTION("if(regexmatch($B162,""RR""),concat(C162,E162),"""")"),"")</f>
        <v/>
      </c>
      <c r="H162" s="20" t="str">
        <f>IFERROR(__xludf.DUMMYFUNCTION("if(regexmatch($B162,""RR""),D162,"""")"),"")</f>
        <v/>
      </c>
      <c r="I162" s="20" t="str">
        <f>IFERROR(__xludf.DUMMYFUNCTION("if(regexmatch($B162,""RR""),concat(E162,C162),"""")"),"")</f>
        <v/>
      </c>
      <c r="J162" s="20" t="str">
        <f>IFERROR(__xludf.DUMMYFUNCTION("if(regexmatch($B162,""RR""),F162,"""")"),"")</f>
        <v/>
      </c>
      <c r="K162" s="20" t="str">
        <f>IFERROR(__xludf.DUMMYFUNCTION("if(regexmatch($B162,""DE""),concat(C162,E162),"""")"),"Albany AStanford Online")</f>
        <v>Albany AStanford Online</v>
      </c>
      <c r="L162" s="20">
        <f>IFERROR(__xludf.DUMMYFUNCTION("if(regexmatch($B162,""DE""),D162,"""")"),30.0)</f>
        <v>30</v>
      </c>
      <c r="M162" s="20" t="str">
        <f>IFERROR(__xludf.DUMMYFUNCTION("if(regexmatch($B162,""DE""),concat(E162,C162),"""")"),"Stanford OnlineAlbany A")</f>
        <v>Stanford OnlineAlbany A</v>
      </c>
      <c r="N162" s="20">
        <f>IFERROR(__xludf.DUMMYFUNCTION("if(regexmatch($B162,""DE""),F162,"""")"),16.0)</f>
        <v>16</v>
      </c>
    </row>
    <row r="163">
      <c r="A163" s="12"/>
      <c r="B163" s="12" t="str">
        <f>IFERROR(__xludf.DUMMYFUNCTION("""COMPUTED_VALUE"""),"DE4")</f>
        <v>DE4</v>
      </c>
      <c r="C163" s="12" t="str">
        <f>IFERROR(__xludf.DUMMYFUNCTION("""COMPUTED_VALUE"""),"[Select Team Name]")</f>
        <v>[Select Team Name]</v>
      </c>
      <c r="D163" s="12">
        <f>IFERROR(__xludf.DUMMYFUNCTION("""COMPUTED_VALUE"""),0.0)</f>
        <v>0</v>
      </c>
      <c r="E163" s="12" t="str">
        <f>IFERROR(__xludf.DUMMYFUNCTION("""COMPUTED_VALUE"""),"[Select Team Name]")</f>
        <v>[Select Team Name]</v>
      </c>
      <c r="F163" s="12">
        <f>IFERROR(__xludf.DUMMYFUNCTION("""COMPUTED_VALUE"""),0.0)</f>
        <v>0</v>
      </c>
      <c r="G163" s="20" t="str">
        <f>IFERROR(__xludf.DUMMYFUNCTION("if(regexmatch($B163,""RR""),concat(C163,E163),"""")"),"")</f>
        <v/>
      </c>
      <c r="H163" s="20" t="str">
        <f>IFERROR(__xludf.DUMMYFUNCTION("if(regexmatch($B163,""RR""),D163,"""")"),"")</f>
        <v/>
      </c>
      <c r="I163" s="20" t="str">
        <f>IFERROR(__xludf.DUMMYFUNCTION("if(regexmatch($B163,""RR""),concat(E163,C163),"""")"),"")</f>
        <v/>
      </c>
      <c r="J163" s="20" t="str">
        <f>IFERROR(__xludf.DUMMYFUNCTION("if(regexmatch($B163,""RR""),F163,"""")"),"")</f>
        <v/>
      </c>
      <c r="K163" s="20" t="str">
        <f>IFERROR(__xludf.DUMMYFUNCTION("if(regexmatch($B163,""DE""),concat(C163,E163),"""")"),"[Select Team Name][Select Team Name]")</f>
        <v>[Select Team Name][Select Team Name]</v>
      </c>
      <c r="L163" s="20">
        <f>IFERROR(__xludf.DUMMYFUNCTION("if(regexmatch($B163,""DE""),D163,"""")"),0.0)</f>
        <v>0</v>
      </c>
      <c r="M163" s="20" t="str">
        <f>IFERROR(__xludf.DUMMYFUNCTION("if(regexmatch($B163,""DE""),concat(E163,C163),"""")"),"[Select Team Name][Select Team Name]")</f>
        <v>[Select Team Name][Select Team Name]</v>
      </c>
      <c r="N163" s="20">
        <f>IFERROR(__xludf.DUMMYFUNCTION("if(regexmatch($B163,""DE""),F163,"""")"),0.0)</f>
        <v>0</v>
      </c>
    </row>
    <row r="164">
      <c r="A164" s="12"/>
      <c r="B164" s="12" t="str">
        <f>IFERROR(__xludf.DUMMYFUNCTION("""COMPUTED_VALUE"""),"DE5")</f>
        <v>DE5</v>
      </c>
      <c r="C164" s="12" t="str">
        <f>IFERROR(__xludf.DUMMYFUNCTION("""COMPUTED_VALUE"""),"[Select Team Name]")</f>
        <v>[Select Team Name]</v>
      </c>
      <c r="D164" s="12">
        <f>IFERROR(__xludf.DUMMYFUNCTION("""COMPUTED_VALUE"""),0.0)</f>
        <v>0</v>
      </c>
      <c r="E164" s="12" t="str">
        <f>IFERROR(__xludf.DUMMYFUNCTION("""COMPUTED_VALUE"""),"[Select Team Name]")</f>
        <v>[Select Team Name]</v>
      </c>
      <c r="F164" s="12">
        <f>IFERROR(__xludf.DUMMYFUNCTION("""COMPUTED_VALUE"""),0.0)</f>
        <v>0</v>
      </c>
      <c r="G164" s="20" t="str">
        <f>IFERROR(__xludf.DUMMYFUNCTION("if(regexmatch($B164,""RR""),concat(C164,E164),"""")"),"")</f>
        <v/>
      </c>
      <c r="H164" s="20" t="str">
        <f>IFERROR(__xludf.DUMMYFUNCTION("if(regexmatch($B164,""RR""),D164,"""")"),"")</f>
        <v/>
      </c>
      <c r="I164" s="20" t="str">
        <f>IFERROR(__xludf.DUMMYFUNCTION("if(regexmatch($B164,""RR""),concat(E164,C164),"""")"),"")</f>
        <v/>
      </c>
      <c r="J164" s="20" t="str">
        <f>IFERROR(__xludf.DUMMYFUNCTION("if(regexmatch($B164,""RR""),F164,"""")"),"")</f>
        <v/>
      </c>
      <c r="K164" s="20" t="str">
        <f>IFERROR(__xludf.DUMMYFUNCTION("if(regexmatch($B164,""DE""),concat(C164,E164),"""")"),"[Select Team Name][Select Team Name]")</f>
        <v>[Select Team Name][Select Team Name]</v>
      </c>
      <c r="L164" s="20">
        <f>IFERROR(__xludf.DUMMYFUNCTION("if(regexmatch($B164,""DE""),D164,"""")"),0.0)</f>
        <v>0</v>
      </c>
      <c r="M164" s="20" t="str">
        <f>IFERROR(__xludf.DUMMYFUNCTION("if(regexmatch($B164,""DE""),concat(E164,C164),"""")"),"[Select Team Name][Select Team Name]")</f>
        <v>[Select Team Name][Select Team Name]</v>
      </c>
      <c r="N164" s="20">
        <f>IFERROR(__xludf.DUMMYFUNCTION("if(regexmatch($B164,""DE""),F164,"""")"),0.0)</f>
        <v>0</v>
      </c>
    </row>
    <row r="165">
      <c r="A165" s="12"/>
      <c r="B165" s="12" t="str">
        <f>IFERROR(__xludf.DUMMYFUNCTION("""COMPUTED_VALUE"""),"DE6")</f>
        <v>DE6</v>
      </c>
      <c r="C165" s="12" t="str">
        <f>IFERROR(__xludf.DUMMYFUNCTION("""COMPUTED_VALUE"""),"[Select Team Name]")</f>
        <v>[Select Team Name]</v>
      </c>
      <c r="D165" s="12">
        <f>IFERROR(__xludf.DUMMYFUNCTION("""COMPUTED_VALUE"""),0.0)</f>
        <v>0</v>
      </c>
      <c r="E165" s="12" t="str">
        <f>IFERROR(__xludf.DUMMYFUNCTION("""COMPUTED_VALUE"""),"[Select Team Name]")</f>
        <v>[Select Team Name]</v>
      </c>
      <c r="F165" s="12">
        <f>IFERROR(__xludf.DUMMYFUNCTION("""COMPUTED_VALUE"""),0.0)</f>
        <v>0</v>
      </c>
      <c r="G165" s="20" t="str">
        <f>IFERROR(__xludf.DUMMYFUNCTION("if(regexmatch($B165,""RR""),concat(C165,E165),"""")"),"")</f>
        <v/>
      </c>
      <c r="H165" s="20" t="str">
        <f>IFERROR(__xludf.DUMMYFUNCTION("if(regexmatch($B165,""RR""),D165,"""")"),"")</f>
        <v/>
      </c>
      <c r="I165" s="20" t="str">
        <f>IFERROR(__xludf.DUMMYFUNCTION("if(regexmatch($B165,""RR""),concat(E165,C165),"""")"),"")</f>
        <v/>
      </c>
      <c r="J165" s="20" t="str">
        <f>IFERROR(__xludf.DUMMYFUNCTION("if(regexmatch($B165,""RR""),F165,"""")"),"")</f>
        <v/>
      </c>
      <c r="K165" s="20" t="str">
        <f>IFERROR(__xludf.DUMMYFUNCTION("if(regexmatch($B165,""DE""),concat(C165,E165),"""")"),"[Select Team Name][Select Team Name]")</f>
        <v>[Select Team Name][Select Team Name]</v>
      </c>
      <c r="L165" s="20">
        <f>IFERROR(__xludf.DUMMYFUNCTION("if(regexmatch($B165,""DE""),D165,"""")"),0.0)</f>
        <v>0</v>
      </c>
      <c r="M165" s="20" t="str">
        <f>IFERROR(__xludf.DUMMYFUNCTION("if(regexmatch($B165,""DE""),concat(E165,C165),"""")"),"[Select Team Name][Select Team Name]")</f>
        <v>[Select Team Name][Select Team Name]</v>
      </c>
      <c r="N165" s="20">
        <f>IFERROR(__xludf.DUMMYFUNCTION("if(regexmatch($B165,""DE""),F165,"""")"),0.0)</f>
        <v>0</v>
      </c>
    </row>
    <row r="166">
      <c r="A166" s="12"/>
      <c r="B166" s="12" t="str">
        <f>IFERROR(__xludf.DUMMYFUNCTION("""COMPUTED_VALUE"""),"DE7")</f>
        <v>DE7</v>
      </c>
      <c r="C166" s="12" t="str">
        <f>IFERROR(__xludf.DUMMYFUNCTION("""COMPUTED_VALUE"""),"[Select Team Name]")</f>
        <v>[Select Team Name]</v>
      </c>
      <c r="D166" s="12">
        <f>IFERROR(__xludf.DUMMYFUNCTION("""COMPUTED_VALUE"""),0.0)</f>
        <v>0</v>
      </c>
      <c r="E166" s="12" t="str">
        <f>IFERROR(__xludf.DUMMYFUNCTION("""COMPUTED_VALUE"""),"[Select Team Name]")</f>
        <v>[Select Team Name]</v>
      </c>
      <c r="F166" s="12">
        <f>IFERROR(__xludf.DUMMYFUNCTION("""COMPUTED_VALUE"""),0.0)</f>
        <v>0</v>
      </c>
      <c r="G166" s="20" t="str">
        <f>IFERROR(__xludf.DUMMYFUNCTION("if(regexmatch($B166,""RR""),concat(C166,E166),"""")"),"")</f>
        <v/>
      </c>
      <c r="H166" s="20" t="str">
        <f>IFERROR(__xludf.DUMMYFUNCTION("if(regexmatch($B166,""RR""),D166,"""")"),"")</f>
        <v/>
      </c>
      <c r="I166" s="20" t="str">
        <f>IFERROR(__xludf.DUMMYFUNCTION("if(regexmatch($B166,""RR""),concat(E166,C166),"""")"),"")</f>
        <v/>
      </c>
      <c r="J166" s="20" t="str">
        <f>IFERROR(__xludf.DUMMYFUNCTION("if(regexmatch($B166,""RR""),F166,"""")"),"")</f>
        <v/>
      </c>
      <c r="K166" s="20" t="str">
        <f>IFERROR(__xludf.DUMMYFUNCTION("if(regexmatch($B166,""DE""),concat(C166,E166),"""")"),"[Select Team Name][Select Team Name]")</f>
        <v>[Select Team Name][Select Team Name]</v>
      </c>
      <c r="L166" s="20">
        <f>IFERROR(__xludf.DUMMYFUNCTION("if(regexmatch($B166,""DE""),D166,"""")"),0.0)</f>
        <v>0</v>
      </c>
      <c r="M166" s="20" t="str">
        <f>IFERROR(__xludf.DUMMYFUNCTION("if(regexmatch($B166,""DE""),concat(E166,C166),"""")"),"[Select Team Name][Select Team Name]")</f>
        <v>[Select Team Name][Select Team Name]</v>
      </c>
      <c r="N166" s="20">
        <f>IFERROR(__xludf.DUMMYFUNCTION("if(regexmatch($B166,""DE""),F166,"""")"),0.0)</f>
        <v>0</v>
      </c>
    </row>
    <row r="167">
      <c r="A167" s="12"/>
      <c r="B167" s="12" t="str">
        <f>IFERROR(__xludf.DUMMYFUNCTION("""COMPUTED_VALUE"""),"DE8")</f>
        <v>DE8</v>
      </c>
      <c r="C167" s="12" t="str">
        <f>IFERROR(__xludf.DUMMYFUNCTION("""COMPUTED_VALUE"""),"[Select Team Name]")</f>
        <v>[Select Team Name]</v>
      </c>
      <c r="D167" s="12">
        <f>IFERROR(__xludf.DUMMYFUNCTION("""COMPUTED_VALUE"""),0.0)</f>
        <v>0</v>
      </c>
      <c r="E167" s="12" t="str">
        <f>IFERROR(__xludf.DUMMYFUNCTION("""COMPUTED_VALUE"""),"[Select Team Name]")</f>
        <v>[Select Team Name]</v>
      </c>
      <c r="F167" s="12">
        <f>IFERROR(__xludf.DUMMYFUNCTION("""COMPUTED_VALUE"""),0.0)</f>
        <v>0</v>
      </c>
      <c r="G167" s="20" t="str">
        <f>IFERROR(__xludf.DUMMYFUNCTION("if(regexmatch($B167,""RR""),concat(C167,E167),"""")"),"")</f>
        <v/>
      </c>
      <c r="H167" s="20" t="str">
        <f>IFERROR(__xludf.DUMMYFUNCTION("if(regexmatch($B167,""RR""),D167,"""")"),"")</f>
        <v/>
      </c>
      <c r="I167" s="20" t="str">
        <f>IFERROR(__xludf.DUMMYFUNCTION("if(regexmatch($B167,""RR""),concat(E167,C167),"""")"),"")</f>
        <v/>
      </c>
      <c r="J167" s="20" t="str">
        <f>IFERROR(__xludf.DUMMYFUNCTION("if(regexmatch($B167,""RR""),F167,"""")"),"")</f>
        <v/>
      </c>
      <c r="K167" s="20" t="str">
        <f>IFERROR(__xludf.DUMMYFUNCTION("if(regexmatch($B167,""DE""),concat(C167,E167),"""")"),"[Select Team Name][Select Team Name]")</f>
        <v>[Select Team Name][Select Team Name]</v>
      </c>
      <c r="L167" s="20">
        <f>IFERROR(__xludf.DUMMYFUNCTION("if(regexmatch($B167,""DE""),D167,"""")"),0.0)</f>
        <v>0</v>
      </c>
      <c r="M167" s="20" t="str">
        <f>IFERROR(__xludf.DUMMYFUNCTION("if(regexmatch($B167,""DE""),concat(E167,C167),"""")"),"[Select Team Name][Select Team Name]")</f>
        <v>[Select Team Name][Select Team Name]</v>
      </c>
      <c r="N167" s="20">
        <f>IFERROR(__xludf.DUMMYFUNCTION("if(regexmatch($B167,""DE""),F167,"""")"),0.0)</f>
        <v>0</v>
      </c>
    </row>
    <row r="168">
      <c r="A168" s="12"/>
      <c r="B168" s="12" t="str">
        <f>IFERROR(__xludf.DUMMYFUNCTION("""COMPUTED_VALUE"""),"DE9")</f>
        <v>DE9</v>
      </c>
      <c r="C168" s="12" t="str">
        <f>IFERROR(__xludf.DUMMYFUNCTION("""COMPUTED_VALUE"""),"[Select Team Name]")</f>
        <v>[Select Team Name]</v>
      </c>
      <c r="D168" s="12">
        <f>IFERROR(__xludf.DUMMYFUNCTION("""COMPUTED_VALUE"""),0.0)</f>
        <v>0</v>
      </c>
      <c r="E168" s="12" t="str">
        <f>IFERROR(__xludf.DUMMYFUNCTION("""COMPUTED_VALUE"""),"[Select Team Name]")</f>
        <v>[Select Team Name]</v>
      </c>
      <c r="F168" s="12">
        <f>IFERROR(__xludf.DUMMYFUNCTION("""COMPUTED_VALUE"""),0.0)</f>
        <v>0</v>
      </c>
      <c r="G168" s="20" t="str">
        <f>IFERROR(__xludf.DUMMYFUNCTION("if(regexmatch($B168,""RR""),concat(C168,E168),"""")"),"")</f>
        <v/>
      </c>
      <c r="H168" s="20" t="str">
        <f>IFERROR(__xludf.DUMMYFUNCTION("if(regexmatch($B168,""RR""),D168,"""")"),"")</f>
        <v/>
      </c>
      <c r="I168" s="20" t="str">
        <f>IFERROR(__xludf.DUMMYFUNCTION("if(regexmatch($B168,""RR""),concat(E168,C168),"""")"),"")</f>
        <v/>
      </c>
      <c r="J168" s="20" t="str">
        <f>IFERROR(__xludf.DUMMYFUNCTION("if(regexmatch($B168,""RR""),F168,"""")"),"")</f>
        <v/>
      </c>
      <c r="K168" s="20" t="str">
        <f>IFERROR(__xludf.DUMMYFUNCTION("if(regexmatch($B168,""DE""),concat(C168,E168),"""")"),"[Select Team Name][Select Team Name]")</f>
        <v>[Select Team Name][Select Team Name]</v>
      </c>
      <c r="L168" s="20">
        <f>IFERROR(__xludf.DUMMYFUNCTION("if(regexmatch($B168,""DE""),D168,"""")"),0.0)</f>
        <v>0</v>
      </c>
      <c r="M168" s="20" t="str">
        <f>IFERROR(__xludf.DUMMYFUNCTION("if(regexmatch($B168,""DE""),concat(E168,C168),"""")"),"[Select Team Name][Select Team Name]")</f>
        <v>[Select Team Name][Select Team Name]</v>
      </c>
      <c r="N168" s="20">
        <f>IFERROR(__xludf.DUMMYFUNCTION("if(regexmatch($B168,""DE""),F168,"""")"),0.0)</f>
        <v>0</v>
      </c>
    </row>
    <row r="169">
      <c r="A169" s="1"/>
      <c r="B169" s="12" t="str">
        <f>IFERROR(__xludf.DUMMYFUNCTION("importrange(""https://docs.google.com/spreadsheets/d/1TcX9A7A4oFX5GNZuCTGddo0wjla0wJXY8GBkTD83tv4/edit?usp=drive_link"",""Scores!A2:E15"")"),"RR1")</f>
        <v>RR1</v>
      </c>
      <c r="C169" s="12" t="str">
        <f>IFERROR(__xludf.DUMMYFUNCTION("""COMPUTED_VALUE"""),"Palo Alto")</f>
        <v>Palo Alto</v>
      </c>
      <c r="D169" s="12">
        <f>IFERROR(__xludf.DUMMYFUNCTION("""COMPUTED_VALUE"""),150.0)</f>
        <v>150</v>
      </c>
      <c r="E169" s="12" t="str">
        <f>IFERROR(__xludf.DUMMYFUNCTION("""COMPUTED_VALUE"""),"Foothill A")</f>
        <v>Foothill A</v>
      </c>
      <c r="F169" s="12">
        <f>IFERROR(__xludf.DUMMYFUNCTION("""COMPUTED_VALUE"""),80.0)</f>
        <v>80</v>
      </c>
      <c r="G169" s="20" t="str">
        <f>IFERROR(__xludf.DUMMYFUNCTION("if(regexmatch($B169,""RR""),concat(C169,E169),"""")"),"Palo AltoFoothill A")</f>
        <v>Palo AltoFoothill A</v>
      </c>
      <c r="H169" s="20">
        <f>IFERROR(__xludf.DUMMYFUNCTION("if(regexmatch($B169,""RR""),D169,"""")"),150.0)</f>
        <v>150</v>
      </c>
      <c r="I169" s="20" t="str">
        <f>IFERROR(__xludf.DUMMYFUNCTION("if(regexmatch($B169,""RR""),concat(E169,C169),"""")"),"Foothill APalo Alto")</f>
        <v>Foothill APalo Alto</v>
      </c>
      <c r="J169" s="20">
        <f>IFERROR(__xludf.DUMMYFUNCTION("if(regexmatch($B169,""RR""),F169,"""")"),80.0)</f>
        <v>80</v>
      </c>
      <c r="K169" s="20" t="str">
        <f>IFERROR(__xludf.DUMMYFUNCTION("if(regexmatch($B169,""DE""),concat(C169,E169),"""")"),"")</f>
        <v/>
      </c>
      <c r="L169" s="20" t="str">
        <f>IFERROR(__xludf.DUMMYFUNCTION("if(regexmatch($B169,""DE""),D169,"""")"),"")</f>
        <v/>
      </c>
      <c r="M169" s="20" t="str">
        <f>IFERROR(__xludf.DUMMYFUNCTION("if(regexmatch($B169,""DE""),concat(E169,C169),"""")"),"")</f>
        <v/>
      </c>
      <c r="N169" s="20" t="str">
        <f>IFERROR(__xludf.DUMMYFUNCTION("if(regexmatch($B169,""DE""),F169,"""")"),"")</f>
        <v/>
      </c>
    </row>
    <row r="170">
      <c r="A170" s="12"/>
      <c r="B170" s="12" t="str">
        <f>IFERROR(__xludf.DUMMYFUNCTION("""COMPUTED_VALUE"""),"RR2")</f>
        <v>RR2</v>
      </c>
      <c r="C170" s="12" t="str">
        <f>IFERROR(__xludf.DUMMYFUNCTION("""COMPUTED_VALUE"""),"Saint Francis")</f>
        <v>Saint Francis</v>
      </c>
      <c r="D170" s="12">
        <f>IFERROR(__xludf.DUMMYFUNCTION("""COMPUTED_VALUE"""),100.0)</f>
        <v>100</v>
      </c>
      <c r="E170" s="12" t="str">
        <f>IFERROR(__xludf.DUMMYFUNCTION("""COMPUTED_VALUE"""),"Albany B")</f>
        <v>Albany B</v>
      </c>
      <c r="F170" s="12">
        <f>IFERROR(__xludf.DUMMYFUNCTION("""COMPUTED_VALUE"""),26.0)</f>
        <v>26</v>
      </c>
      <c r="G170" s="20" t="str">
        <f>IFERROR(__xludf.DUMMYFUNCTION("if(regexmatch($B170,""RR""),concat(C170,E170),"""")"),"Saint FrancisAlbany B")</f>
        <v>Saint FrancisAlbany B</v>
      </c>
      <c r="H170" s="20">
        <f>IFERROR(__xludf.DUMMYFUNCTION("if(regexmatch($B170,""RR""),D170,"""")"),100.0)</f>
        <v>100</v>
      </c>
      <c r="I170" s="20" t="str">
        <f>IFERROR(__xludf.DUMMYFUNCTION("if(regexmatch($B170,""RR""),concat(E170,C170),"""")"),"Albany BSaint Francis")</f>
        <v>Albany BSaint Francis</v>
      </c>
      <c r="J170" s="20">
        <f>IFERROR(__xludf.DUMMYFUNCTION("if(regexmatch($B170,""RR""),F170,"""")"),26.0)</f>
        <v>26</v>
      </c>
      <c r="K170" s="20" t="str">
        <f>IFERROR(__xludf.DUMMYFUNCTION("if(regexmatch($B170,""DE""),concat(C170,E170),"""")"),"")</f>
        <v/>
      </c>
      <c r="L170" s="20" t="str">
        <f>IFERROR(__xludf.DUMMYFUNCTION("if(regexmatch($B170,""DE""),D170,"""")"),"")</f>
        <v/>
      </c>
      <c r="M170" s="20" t="str">
        <f>IFERROR(__xludf.DUMMYFUNCTION("if(regexmatch($B170,""DE""),concat(E170,C170),"""")"),"")</f>
        <v/>
      </c>
      <c r="N170" s="20" t="str">
        <f>IFERROR(__xludf.DUMMYFUNCTION("if(regexmatch($B170,""DE""),F170,"""")"),"")</f>
        <v/>
      </c>
    </row>
    <row r="171">
      <c r="A171" s="12"/>
      <c r="B171" s="12" t="str">
        <f>IFERROR(__xludf.DUMMYFUNCTION("""COMPUTED_VALUE"""),"RR3")</f>
        <v>RR3</v>
      </c>
      <c r="C171" s="12" t="str">
        <f>IFERROR(__xludf.DUMMYFUNCTION("""COMPUTED_VALUE"""),"California B")</f>
        <v>California B</v>
      </c>
      <c r="D171" s="12">
        <f>IFERROR(__xludf.DUMMYFUNCTION("""COMPUTED_VALUE"""),12.0)</f>
        <v>12</v>
      </c>
      <c r="E171" s="12" t="str">
        <f>IFERROR(__xludf.DUMMYFUNCTION("""COMPUTED_VALUE"""),"Cupertino A")</f>
        <v>Cupertino A</v>
      </c>
      <c r="F171" s="12">
        <f>IFERROR(__xludf.DUMMYFUNCTION("""COMPUTED_VALUE"""),144.0)</f>
        <v>144</v>
      </c>
      <c r="G171" s="20" t="str">
        <f>IFERROR(__xludf.DUMMYFUNCTION("if(regexmatch($B171,""RR""),concat(C171,E171),"""")"),"California BCupertino A")</f>
        <v>California BCupertino A</v>
      </c>
      <c r="H171" s="20">
        <f>IFERROR(__xludf.DUMMYFUNCTION("if(regexmatch($B171,""RR""),D171,"""")"),12.0)</f>
        <v>12</v>
      </c>
      <c r="I171" s="20" t="str">
        <f>IFERROR(__xludf.DUMMYFUNCTION("if(regexmatch($B171,""RR""),concat(E171,C171),"""")"),"Cupertino ACalifornia B")</f>
        <v>Cupertino ACalifornia B</v>
      </c>
      <c r="J171" s="20">
        <f>IFERROR(__xludf.DUMMYFUNCTION("if(regexmatch($B171,""RR""),F171,"""")"),144.0)</f>
        <v>144</v>
      </c>
      <c r="K171" s="20" t="str">
        <f>IFERROR(__xludf.DUMMYFUNCTION("if(regexmatch($B171,""DE""),concat(C171,E171),"""")"),"")</f>
        <v/>
      </c>
      <c r="L171" s="20" t="str">
        <f>IFERROR(__xludf.DUMMYFUNCTION("if(regexmatch($B171,""DE""),D171,"""")"),"")</f>
        <v/>
      </c>
      <c r="M171" s="20" t="str">
        <f>IFERROR(__xludf.DUMMYFUNCTION("if(regexmatch($B171,""DE""),concat(E171,C171),"""")"),"")</f>
        <v/>
      </c>
      <c r="N171" s="20" t="str">
        <f>IFERROR(__xludf.DUMMYFUNCTION("if(regexmatch($B171,""DE""),F171,"""")"),"")</f>
        <v/>
      </c>
    </row>
    <row r="172">
      <c r="A172" s="12"/>
      <c r="B172" s="12" t="str">
        <f>IFERROR(__xludf.DUMMYFUNCTION("""COMPUTED_VALUE"""),"RR4")</f>
        <v>RR4</v>
      </c>
      <c r="C172" s="12" t="str">
        <f>IFERROR(__xludf.DUMMYFUNCTION("""COMPUTED_VALUE"""),"Davidson A")</f>
        <v>Davidson A</v>
      </c>
      <c r="D172" s="12">
        <f>IFERROR(__xludf.DUMMYFUNCTION("""COMPUTED_VALUE"""),226.0)</f>
        <v>226</v>
      </c>
      <c r="E172" s="12" t="str">
        <f>IFERROR(__xludf.DUMMYFUNCTION("""COMPUTED_VALUE"""),"San Mateo")</f>
        <v>San Mateo</v>
      </c>
      <c r="F172" s="12">
        <f>IFERROR(__xludf.DUMMYFUNCTION("""COMPUTED_VALUE"""),12.0)</f>
        <v>12</v>
      </c>
      <c r="G172" s="20" t="str">
        <f>IFERROR(__xludf.DUMMYFUNCTION("if(regexmatch($B172,""RR""),concat(C172,E172),"""")"),"Davidson ASan Mateo")</f>
        <v>Davidson ASan Mateo</v>
      </c>
      <c r="H172" s="20">
        <f>IFERROR(__xludf.DUMMYFUNCTION("if(regexmatch($B172,""RR""),D172,"""")"),226.0)</f>
        <v>226</v>
      </c>
      <c r="I172" s="20" t="str">
        <f>IFERROR(__xludf.DUMMYFUNCTION("if(regexmatch($B172,""RR""),concat(E172,C172),"""")"),"San MateoDavidson A")</f>
        <v>San MateoDavidson A</v>
      </c>
      <c r="J172" s="20">
        <f>IFERROR(__xludf.DUMMYFUNCTION("if(regexmatch($B172,""RR""),F172,"""")"),12.0)</f>
        <v>12</v>
      </c>
      <c r="K172" s="20" t="str">
        <f>IFERROR(__xludf.DUMMYFUNCTION("if(regexmatch($B172,""DE""),concat(C172,E172),"""")"),"")</f>
        <v/>
      </c>
      <c r="L172" s="20" t="str">
        <f>IFERROR(__xludf.DUMMYFUNCTION("if(regexmatch($B172,""DE""),D172,"""")"),"")</f>
        <v/>
      </c>
      <c r="M172" s="20" t="str">
        <f>IFERROR(__xludf.DUMMYFUNCTION("if(regexmatch($B172,""DE""),concat(E172,C172),"""")"),"")</f>
        <v/>
      </c>
      <c r="N172" s="20" t="str">
        <f>IFERROR(__xludf.DUMMYFUNCTION("if(regexmatch($B172,""DE""),F172,"""")"),"")</f>
        <v/>
      </c>
    </row>
    <row r="173">
      <c r="A173" s="12"/>
      <c r="B173" s="12" t="str">
        <f>IFERROR(__xludf.DUMMYFUNCTION("""COMPUTED_VALUE"""),"RR5")</f>
        <v>RR5</v>
      </c>
      <c r="C173" s="12" t="str">
        <f>IFERROR(__xludf.DUMMYFUNCTION("""COMPUTED_VALUE"""),"Harker")</f>
        <v>Harker</v>
      </c>
      <c r="D173" s="12">
        <f>IFERROR(__xludf.DUMMYFUNCTION("""COMPUTED_VALUE"""),80.0)</f>
        <v>80</v>
      </c>
      <c r="E173" s="12" t="str">
        <f>IFERROR(__xludf.DUMMYFUNCTION("""COMPUTED_VALUE"""),"California A")</f>
        <v>California A</v>
      </c>
      <c r="F173" s="12">
        <f>IFERROR(__xludf.DUMMYFUNCTION("""COMPUTED_VALUE"""),66.0)</f>
        <v>66</v>
      </c>
      <c r="G173" s="20" t="str">
        <f>IFERROR(__xludf.DUMMYFUNCTION("if(regexmatch($B173,""RR""),concat(C173,E173),"""")"),"HarkerCalifornia A")</f>
        <v>HarkerCalifornia A</v>
      </c>
      <c r="H173" s="20">
        <f>IFERROR(__xludf.DUMMYFUNCTION("if(regexmatch($B173,""RR""),D173,"""")"),80.0)</f>
        <v>80</v>
      </c>
      <c r="I173" s="20" t="str">
        <f>IFERROR(__xludf.DUMMYFUNCTION("if(regexmatch($B173,""RR""),concat(E173,C173),"""")"),"California AHarker")</f>
        <v>California AHarker</v>
      </c>
      <c r="J173" s="20">
        <f>IFERROR(__xludf.DUMMYFUNCTION("if(regexmatch($B173,""RR""),F173,"""")"),66.0)</f>
        <v>66</v>
      </c>
      <c r="K173" s="20" t="str">
        <f>IFERROR(__xludf.DUMMYFUNCTION("if(regexmatch($B173,""DE""),concat(C173,E173),"""")"),"")</f>
        <v/>
      </c>
      <c r="L173" s="20" t="str">
        <f>IFERROR(__xludf.DUMMYFUNCTION("if(regexmatch($B173,""DE""),D173,"""")"),"")</f>
        <v/>
      </c>
      <c r="M173" s="20" t="str">
        <f>IFERROR(__xludf.DUMMYFUNCTION("if(regexmatch($B173,""DE""),concat(E173,C173),"""")"),"")</f>
        <v/>
      </c>
      <c r="N173" s="20" t="str">
        <f>IFERROR(__xludf.DUMMYFUNCTION("if(regexmatch($B173,""DE""),F173,"""")"),"")</f>
        <v/>
      </c>
    </row>
    <row r="174">
      <c r="A174" s="12"/>
      <c r="B174" s="12" t="str">
        <f>IFERROR(__xludf.DUMMYFUNCTION("""COMPUTED_VALUE"""),"DE1")</f>
        <v>DE1</v>
      </c>
      <c r="C174" s="12" t="str">
        <f>IFERROR(__xludf.DUMMYFUNCTION("""COMPUTED_VALUE"""),"Logan")</f>
        <v>Logan</v>
      </c>
      <c r="D174" s="12">
        <f>IFERROR(__xludf.DUMMYFUNCTION("""COMPUTED_VALUE"""),52.0)</f>
        <v>52</v>
      </c>
      <c r="E174" s="12" t="str">
        <f>IFERROR(__xludf.DUMMYFUNCTION("""COMPUTED_VALUE"""),"Quarry Lane B")</f>
        <v>Quarry Lane B</v>
      </c>
      <c r="F174" s="12">
        <f>IFERROR(__xludf.DUMMYFUNCTION("""COMPUTED_VALUE"""),22.0)</f>
        <v>22</v>
      </c>
      <c r="G174" s="20" t="str">
        <f>IFERROR(__xludf.DUMMYFUNCTION("if(regexmatch($B174,""RR""),concat(C174,E174),"""")"),"")</f>
        <v/>
      </c>
      <c r="H174" s="20" t="str">
        <f>IFERROR(__xludf.DUMMYFUNCTION("if(regexmatch($B174,""RR""),D174,"""")"),"")</f>
        <v/>
      </c>
      <c r="I174" s="20" t="str">
        <f>IFERROR(__xludf.DUMMYFUNCTION("if(regexmatch($B174,""RR""),concat(E174,C174),"""")"),"")</f>
        <v/>
      </c>
      <c r="J174" s="20" t="str">
        <f>IFERROR(__xludf.DUMMYFUNCTION("if(regexmatch($B174,""RR""),F174,"""")"),"")</f>
        <v/>
      </c>
      <c r="K174" s="20" t="str">
        <f>IFERROR(__xludf.DUMMYFUNCTION("if(regexmatch($B174,""DE""),concat(C174,E174),"""")"),"LoganQuarry Lane B")</f>
        <v>LoganQuarry Lane B</v>
      </c>
      <c r="L174" s="20">
        <f>IFERROR(__xludf.DUMMYFUNCTION("if(regexmatch($B174,""DE""),D174,"""")"),52.0)</f>
        <v>52</v>
      </c>
      <c r="M174" s="20" t="str">
        <f>IFERROR(__xludf.DUMMYFUNCTION("if(regexmatch($B174,""DE""),concat(E174,C174),"""")"),"Quarry Lane BLogan")</f>
        <v>Quarry Lane BLogan</v>
      </c>
      <c r="N174" s="20">
        <f>IFERROR(__xludf.DUMMYFUNCTION("if(regexmatch($B174,""DE""),F174,"""")"),22.0)</f>
        <v>22</v>
      </c>
    </row>
    <row r="175">
      <c r="A175" s="12"/>
      <c r="B175" s="12" t="str">
        <f>IFERROR(__xludf.DUMMYFUNCTION("""COMPUTED_VALUE"""),"DE2")</f>
        <v>DE2</v>
      </c>
      <c r="C175" s="12" t="str">
        <f>IFERROR(__xludf.DUMMYFUNCTION("""COMPUTED_VALUE"""),"Los Gatos")</f>
        <v>Los Gatos</v>
      </c>
      <c r="D175" s="12">
        <f>IFERROR(__xludf.DUMMYFUNCTION("""COMPUTED_VALUE"""),40.0)</f>
        <v>40</v>
      </c>
      <c r="E175" s="12" t="str">
        <f>IFERROR(__xludf.DUMMYFUNCTION("""COMPUTED_VALUE"""),"San Mateo")</f>
        <v>San Mateo</v>
      </c>
      <c r="F175" s="12">
        <f>IFERROR(__xludf.DUMMYFUNCTION("""COMPUTED_VALUE"""),48.0)</f>
        <v>48</v>
      </c>
      <c r="G175" s="20" t="str">
        <f>IFERROR(__xludf.DUMMYFUNCTION("if(regexmatch($B175,""RR""),concat(C175,E175),"""")"),"")</f>
        <v/>
      </c>
      <c r="H175" s="20" t="str">
        <f>IFERROR(__xludf.DUMMYFUNCTION("if(regexmatch($B175,""RR""),D175,"""")"),"")</f>
        <v/>
      </c>
      <c r="I175" s="20" t="str">
        <f>IFERROR(__xludf.DUMMYFUNCTION("if(regexmatch($B175,""RR""),concat(E175,C175),"""")"),"")</f>
        <v/>
      </c>
      <c r="J175" s="20" t="str">
        <f>IFERROR(__xludf.DUMMYFUNCTION("if(regexmatch($B175,""RR""),F175,"""")"),"")</f>
        <v/>
      </c>
      <c r="K175" s="20" t="str">
        <f>IFERROR(__xludf.DUMMYFUNCTION("if(regexmatch($B175,""DE""),concat(C175,E175),"""")"),"Los GatosSan Mateo")</f>
        <v>Los GatosSan Mateo</v>
      </c>
      <c r="L175" s="20">
        <f>IFERROR(__xludf.DUMMYFUNCTION("if(regexmatch($B175,""DE""),D175,"""")"),40.0)</f>
        <v>40</v>
      </c>
      <c r="M175" s="20" t="str">
        <f>IFERROR(__xludf.DUMMYFUNCTION("if(regexmatch($B175,""DE""),concat(E175,C175),"""")"),"San MateoLos Gatos")</f>
        <v>San MateoLos Gatos</v>
      </c>
      <c r="N175" s="20">
        <f>IFERROR(__xludf.DUMMYFUNCTION("if(regexmatch($B175,""DE""),F175,"""")"),48.0)</f>
        <v>48</v>
      </c>
    </row>
    <row r="176">
      <c r="A176" s="12"/>
      <c r="B176" s="12" t="str">
        <f>IFERROR(__xludf.DUMMYFUNCTION("""COMPUTED_VALUE"""),"DE3")</f>
        <v>DE3</v>
      </c>
      <c r="C176" s="12" t="str">
        <f>IFERROR(__xludf.DUMMYFUNCTION("""COMPUTED_VALUE"""),"Homestead")</f>
        <v>Homestead</v>
      </c>
      <c r="D176" s="12">
        <f>IFERROR(__xludf.DUMMYFUNCTION("""COMPUTED_VALUE"""),24.0)</f>
        <v>24</v>
      </c>
      <c r="E176" s="12" t="str">
        <f>IFERROR(__xludf.DUMMYFUNCTION("""COMPUTED_VALUE"""),"Homestead")</f>
        <v>Homestead</v>
      </c>
      <c r="F176" s="12">
        <f>IFERROR(__xludf.DUMMYFUNCTION("""COMPUTED_VALUE"""),12.0)</f>
        <v>12</v>
      </c>
      <c r="G176" s="20" t="str">
        <f>IFERROR(__xludf.DUMMYFUNCTION("if(regexmatch($B176,""RR""),concat(C176,E176),"""")"),"")</f>
        <v/>
      </c>
      <c r="H176" s="20" t="str">
        <f>IFERROR(__xludf.DUMMYFUNCTION("if(regexmatch($B176,""RR""),D176,"""")"),"")</f>
        <v/>
      </c>
      <c r="I176" s="20" t="str">
        <f>IFERROR(__xludf.DUMMYFUNCTION("if(regexmatch($B176,""RR""),concat(E176,C176),"""")"),"")</f>
        <v/>
      </c>
      <c r="J176" s="20" t="str">
        <f>IFERROR(__xludf.DUMMYFUNCTION("if(regexmatch($B176,""RR""),F176,"""")"),"")</f>
        <v/>
      </c>
      <c r="K176" s="20" t="str">
        <f>IFERROR(__xludf.DUMMYFUNCTION("if(regexmatch($B176,""DE""),concat(C176,E176),"""")"),"HomesteadHomestead")</f>
        <v>HomesteadHomestead</v>
      </c>
      <c r="L176" s="20">
        <f>IFERROR(__xludf.DUMMYFUNCTION("if(regexmatch($B176,""DE""),D176,"""")"),24.0)</f>
        <v>24</v>
      </c>
      <c r="M176" s="20" t="str">
        <f>IFERROR(__xludf.DUMMYFUNCTION("if(regexmatch($B176,""DE""),concat(E176,C176),"""")"),"HomesteadHomestead")</f>
        <v>HomesteadHomestead</v>
      </c>
      <c r="N176" s="20">
        <f>IFERROR(__xludf.DUMMYFUNCTION("if(regexmatch($B176,""DE""),F176,"""")"),12.0)</f>
        <v>12</v>
      </c>
    </row>
    <row r="177">
      <c r="A177" s="12"/>
      <c r="B177" s="12" t="str">
        <f>IFERROR(__xludf.DUMMYFUNCTION("""COMPUTED_VALUE"""),"DE4")</f>
        <v>DE4</v>
      </c>
      <c r="C177" s="12" t="str">
        <f>IFERROR(__xludf.DUMMYFUNCTION("""COMPUTED_VALUE"""),"[Select Team Name]")</f>
        <v>[Select Team Name]</v>
      </c>
      <c r="D177" s="12">
        <f>IFERROR(__xludf.DUMMYFUNCTION("""COMPUTED_VALUE"""),0.0)</f>
        <v>0</v>
      </c>
      <c r="E177" s="12" t="str">
        <f>IFERROR(__xludf.DUMMYFUNCTION("""COMPUTED_VALUE"""),"[Select Team Name]")</f>
        <v>[Select Team Name]</v>
      </c>
      <c r="F177" s="12">
        <f>IFERROR(__xludf.DUMMYFUNCTION("""COMPUTED_VALUE"""),0.0)</f>
        <v>0</v>
      </c>
      <c r="G177" s="20" t="str">
        <f>IFERROR(__xludf.DUMMYFUNCTION("if(regexmatch($B177,""RR""),concat(C177,E177),"""")"),"")</f>
        <v/>
      </c>
      <c r="H177" s="20" t="str">
        <f>IFERROR(__xludf.DUMMYFUNCTION("if(regexmatch($B177,""RR""),D177,"""")"),"")</f>
        <v/>
      </c>
      <c r="I177" s="20" t="str">
        <f>IFERROR(__xludf.DUMMYFUNCTION("if(regexmatch($B177,""RR""),concat(E177,C177),"""")"),"")</f>
        <v/>
      </c>
      <c r="J177" s="20" t="str">
        <f>IFERROR(__xludf.DUMMYFUNCTION("if(regexmatch($B177,""RR""),F177,"""")"),"")</f>
        <v/>
      </c>
      <c r="K177" s="20" t="str">
        <f>IFERROR(__xludf.DUMMYFUNCTION("if(regexmatch($B177,""DE""),concat(C177,E177),"""")"),"[Select Team Name][Select Team Name]")</f>
        <v>[Select Team Name][Select Team Name]</v>
      </c>
      <c r="L177" s="20">
        <f>IFERROR(__xludf.DUMMYFUNCTION("if(regexmatch($B177,""DE""),D177,"""")"),0.0)</f>
        <v>0</v>
      </c>
      <c r="M177" s="20" t="str">
        <f>IFERROR(__xludf.DUMMYFUNCTION("if(regexmatch($B177,""DE""),concat(E177,C177),"""")"),"[Select Team Name][Select Team Name]")</f>
        <v>[Select Team Name][Select Team Name]</v>
      </c>
      <c r="N177" s="20">
        <f>IFERROR(__xludf.DUMMYFUNCTION("if(regexmatch($B177,""DE""),F177,"""")"),0.0)</f>
        <v>0</v>
      </c>
    </row>
    <row r="178">
      <c r="A178" s="12"/>
      <c r="B178" s="12" t="str">
        <f>IFERROR(__xludf.DUMMYFUNCTION("""COMPUTED_VALUE"""),"DE5")</f>
        <v>DE5</v>
      </c>
      <c r="C178" s="12" t="str">
        <f>IFERROR(__xludf.DUMMYFUNCTION("""COMPUTED_VALUE"""),"[Select Team Name]")</f>
        <v>[Select Team Name]</v>
      </c>
      <c r="D178" s="12">
        <f>IFERROR(__xludf.DUMMYFUNCTION("""COMPUTED_VALUE"""),0.0)</f>
        <v>0</v>
      </c>
      <c r="E178" s="12" t="str">
        <f>IFERROR(__xludf.DUMMYFUNCTION("""COMPUTED_VALUE"""),"[Select Team Name]")</f>
        <v>[Select Team Name]</v>
      </c>
      <c r="F178" s="12">
        <f>IFERROR(__xludf.DUMMYFUNCTION("""COMPUTED_VALUE"""),0.0)</f>
        <v>0</v>
      </c>
      <c r="G178" s="20" t="str">
        <f>IFERROR(__xludf.DUMMYFUNCTION("if(regexmatch($B178,""RR""),concat(C178,E178),"""")"),"")</f>
        <v/>
      </c>
      <c r="H178" s="20" t="str">
        <f>IFERROR(__xludf.DUMMYFUNCTION("if(regexmatch($B178,""RR""),D178,"""")"),"")</f>
        <v/>
      </c>
      <c r="I178" s="20" t="str">
        <f>IFERROR(__xludf.DUMMYFUNCTION("if(regexmatch($B178,""RR""),concat(E178,C178),"""")"),"")</f>
        <v/>
      </c>
      <c r="J178" s="20" t="str">
        <f>IFERROR(__xludf.DUMMYFUNCTION("if(regexmatch($B178,""RR""),F178,"""")"),"")</f>
        <v/>
      </c>
      <c r="K178" s="20" t="str">
        <f>IFERROR(__xludf.DUMMYFUNCTION("if(regexmatch($B178,""DE""),concat(C178,E178),"""")"),"[Select Team Name][Select Team Name]")</f>
        <v>[Select Team Name][Select Team Name]</v>
      </c>
      <c r="L178" s="20">
        <f>IFERROR(__xludf.DUMMYFUNCTION("if(regexmatch($B178,""DE""),D178,"""")"),0.0)</f>
        <v>0</v>
      </c>
      <c r="M178" s="20" t="str">
        <f>IFERROR(__xludf.DUMMYFUNCTION("if(regexmatch($B178,""DE""),concat(E178,C178),"""")"),"[Select Team Name][Select Team Name]")</f>
        <v>[Select Team Name][Select Team Name]</v>
      </c>
      <c r="N178" s="20">
        <f>IFERROR(__xludf.DUMMYFUNCTION("if(regexmatch($B178,""DE""),F178,"""")"),0.0)</f>
        <v>0</v>
      </c>
    </row>
    <row r="179">
      <c r="A179" s="12"/>
      <c r="B179" s="12" t="str">
        <f>IFERROR(__xludf.DUMMYFUNCTION("""COMPUTED_VALUE"""),"DE6")</f>
        <v>DE6</v>
      </c>
      <c r="C179" s="12" t="str">
        <f>IFERROR(__xludf.DUMMYFUNCTION("""COMPUTED_VALUE"""),"[Select Team Name]")</f>
        <v>[Select Team Name]</v>
      </c>
      <c r="D179" s="12">
        <f>IFERROR(__xludf.DUMMYFUNCTION("""COMPUTED_VALUE"""),0.0)</f>
        <v>0</v>
      </c>
      <c r="E179" s="12" t="str">
        <f>IFERROR(__xludf.DUMMYFUNCTION("""COMPUTED_VALUE"""),"[Select Team Name]")</f>
        <v>[Select Team Name]</v>
      </c>
      <c r="F179" s="12">
        <f>IFERROR(__xludf.DUMMYFUNCTION("""COMPUTED_VALUE"""),0.0)</f>
        <v>0</v>
      </c>
      <c r="G179" s="20" t="str">
        <f>IFERROR(__xludf.DUMMYFUNCTION("if(regexmatch($B179,""RR""),concat(C179,E179),"""")"),"")</f>
        <v/>
      </c>
      <c r="H179" s="20" t="str">
        <f>IFERROR(__xludf.DUMMYFUNCTION("if(regexmatch($B179,""RR""),D179,"""")"),"")</f>
        <v/>
      </c>
      <c r="I179" s="20" t="str">
        <f>IFERROR(__xludf.DUMMYFUNCTION("if(regexmatch($B179,""RR""),concat(E179,C179),"""")"),"")</f>
        <v/>
      </c>
      <c r="J179" s="20" t="str">
        <f>IFERROR(__xludf.DUMMYFUNCTION("if(regexmatch($B179,""RR""),F179,"""")"),"")</f>
        <v/>
      </c>
      <c r="K179" s="20" t="str">
        <f>IFERROR(__xludf.DUMMYFUNCTION("if(regexmatch($B179,""DE""),concat(C179,E179),"""")"),"[Select Team Name][Select Team Name]")</f>
        <v>[Select Team Name][Select Team Name]</v>
      </c>
      <c r="L179" s="20">
        <f>IFERROR(__xludf.DUMMYFUNCTION("if(regexmatch($B179,""DE""),D179,"""")"),0.0)</f>
        <v>0</v>
      </c>
      <c r="M179" s="20" t="str">
        <f>IFERROR(__xludf.DUMMYFUNCTION("if(regexmatch($B179,""DE""),concat(E179,C179),"""")"),"[Select Team Name][Select Team Name]")</f>
        <v>[Select Team Name][Select Team Name]</v>
      </c>
      <c r="N179" s="20">
        <f>IFERROR(__xludf.DUMMYFUNCTION("if(regexmatch($B179,""DE""),F179,"""")"),0.0)</f>
        <v>0</v>
      </c>
    </row>
    <row r="180">
      <c r="A180" s="12"/>
      <c r="B180" s="12" t="str">
        <f>IFERROR(__xludf.DUMMYFUNCTION("""COMPUTED_VALUE"""),"DE7")</f>
        <v>DE7</v>
      </c>
      <c r="C180" s="12" t="str">
        <f>IFERROR(__xludf.DUMMYFUNCTION("""COMPUTED_VALUE"""),"[Select Team Name]")</f>
        <v>[Select Team Name]</v>
      </c>
      <c r="D180" s="12">
        <f>IFERROR(__xludf.DUMMYFUNCTION("""COMPUTED_VALUE"""),0.0)</f>
        <v>0</v>
      </c>
      <c r="E180" s="12" t="str">
        <f>IFERROR(__xludf.DUMMYFUNCTION("""COMPUTED_VALUE"""),"[Select Team Name]")</f>
        <v>[Select Team Name]</v>
      </c>
      <c r="F180" s="12">
        <f>IFERROR(__xludf.DUMMYFUNCTION("""COMPUTED_VALUE"""),0.0)</f>
        <v>0</v>
      </c>
      <c r="G180" s="20" t="str">
        <f>IFERROR(__xludf.DUMMYFUNCTION("if(regexmatch($B180,""RR""),concat(C180,E180),"""")"),"")</f>
        <v/>
      </c>
      <c r="H180" s="20" t="str">
        <f>IFERROR(__xludf.DUMMYFUNCTION("if(regexmatch($B180,""RR""),D180,"""")"),"")</f>
        <v/>
      </c>
      <c r="I180" s="20" t="str">
        <f>IFERROR(__xludf.DUMMYFUNCTION("if(regexmatch($B180,""RR""),concat(E180,C180),"""")"),"")</f>
        <v/>
      </c>
      <c r="J180" s="20" t="str">
        <f>IFERROR(__xludf.DUMMYFUNCTION("if(regexmatch($B180,""RR""),F180,"""")"),"")</f>
        <v/>
      </c>
      <c r="K180" s="20" t="str">
        <f>IFERROR(__xludf.DUMMYFUNCTION("if(regexmatch($B180,""DE""),concat(C180,E180),"""")"),"[Select Team Name][Select Team Name]")</f>
        <v>[Select Team Name][Select Team Name]</v>
      </c>
      <c r="L180" s="20">
        <f>IFERROR(__xludf.DUMMYFUNCTION("if(regexmatch($B180,""DE""),D180,"""")"),0.0)</f>
        <v>0</v>
      </c>
      <c r="M180" s="20" t="str">
        <f>IFERROR(__xludf.DUMMYFUNCTION("if(regexmatch($B180,""DE""),concat(E180,C180),"""")"),"[Select Team Name][Select Team Name]")</f>
        <v>[Select Team Name][Select Team Name]</v>
      </c>
      <c r="N180" s="20">
        <f>IFERROR(__xludf.DUMMYFUNCTION("if(regexmatch($B180,""DE""),F180,"""")"),0.0)</f>
        <v>0</v>
      </c>
    </row>
    <row r="181">
      <c r="A181" s="12"/>
      <c r="B181" s="12" t="str">
        <f>IFERROR(__xludf.DUMMYFUNCTION("""COMPUTED_VALUE"""),"DE8")</f>
        <v>DE8</v>
      </c>
      <c r="C181" s="12" t="str">
        <f>IFERROR(__xludf.DUMMYFUNCTION("""COMPUTED_VALUE"""),"[Select Team Name]")</f>
        <v>[Select Team Name]</v>
      </c>
      <c r="D181" s="12">
        <f>IFERROR(__xludf.DUMMYFUNCTION("""COMPUTED_VALUE"""),0.0)</f>
        <v>0</v>
      </c>
      <c r="E181" s="12" t="str">
        <f>IFERROR(__xludf.DUMMYFUNCTION("""COMPUTED_VALUE"""),"[Select Team Name]")</f>
        <v>[Select Team Name]</v>
      </c>
      <c r="F181" s="12">
        <f>IFERROR(__xludf.DUMMYFUNCTION("""COMPUTED_VALUE"""),0.0)</f>
        <v>0</v>
      </c>
      <c r="G181" s="20" t="str">
        <f>IFERROR(__xludf.DUMMYFUNCTION("if(regexmatch($B181,""RR""),concat(C181,E181),"""")"),"")</f>
        <v/>
      </c>
      <c r="H181" s="20" t="str">
        <f>IFERROR(__xludf.DUMMYFUNCTION("if(regexmatch($B181,""RR""),D181,"""")"),"")</f>
        <v/>
      </c>
      <c r="I181" s="20" t="str">
        <f>IFERROR(__xludf.DUMMYFUNCTION("if(regexmatch($B181,""RR""),concat(E181,C181),"""")"),"")</f>
        <v/>
      </c>
      <c r="J181" s="20" t="str">
        <f>IFERROR(__xludf.DUMMYFUNCTION("if(regexmatch($B181,""RR""),F181,"""")"),"")</f>
        <v/>
      </c>
      <c r="K181" s="20" t="str">
        <f>IFERROR(__xludf.DUMMYFUNCTION("if(regexmatch($B181,""DE""),concat(C181,E181),"""")"),"[Select Team Name][Select Team Name]")</f>
        <v>[Select Team Name][Select Team Name]</v>
      </c>
      <c r="L181" s="20">
        <f>IFERROR(__xludf.DUMMYFUNCTION("if(regexmatch($B181,""DE""),D181,"""")"),0.0)</f>
        <v>0</v>
      </c>
      <c r="M181" s="20" t="str">
        <f>IFERROR(__xludf.DUMMYFUNCTION("if(regexmatch($B181,""DE""),concat(E181,C181),"""")"),"[Select Team Name][Select Team Name]")</f>
        <v>[Select Team Name][Select Team Name]</v>
      </c>
      <c r="N181" s="20">
        <f>IFERROR(__xludf.DUMMYFUNCTION("if(regexmatch($B181,""DE""),F181,"""")"),0.0)</f>
        <v>0</v>
      </c>
    </row>
    <row r="182">
      <c r="A182" s="12"/>
      <c r="B182" s="12" t="str">
        <f>IFERROR(__xludf.DUMMYFUNCTION("""COMPUTED_VALUE"""),"DE9")</f>
        <v>DE9</v>
      </c>
      <c r="C182" s="12" t="str">
        <f>IFERROR(__xludf.DUMMYFUNCTION("""COMPUTED_VALUE"""),"[Select Team Name]")</f>
        <v>[Select Team Name]</v>
      </c>
      <c r="D182" s="12">
        <f>IFERROR(__xludf.DUMMYFUNCTION("""COMPUTED_VALUE"""),0.0)</f>
        <v>0</v>
      </c>
      <c r="E182" s="12" t="str">
        <f>IFERROR(__xludf.DUMMYFUNCTION("""COMPUTED_VALUE"""),"[Select Team Name]")</f>
        <v>[Select Team Name]</v>
      </c>
      <c r="F182" s="12">
        <f>IFERROR(__xludf.DUMMYFUNCTION("""COMPUTED_VALUE"""),0.0)</f>
        <v>0</v>
      </c>
      <c r="G182" s="20" t="str">
        <f>IFERROR(__xludf.DUMMYFUNCTION("if(regexmatch($B182,""RR""),concat(C182,E182),"""")"),"")</f>
        <v/>
      </c>
      <c r="H182" s="20" t="str">
        <f>IFERROR(__xludf.DUMMYFUNCTION("if(regexmatch($B182,""RR""),D182,"""")"),"")</f>
        <v/>
      </c>
      <c r="I182" s="20" t="str">
        <f>IFERROR(__xludf.DUMMYFUNCTION("if(regexmatch($B182,""RR""),concat(E182,C182),"""")"),"")</f>
        <v/>
      </c>
      <c r="J182" s="20" t="str">
        <f>IFERROR(__xludf.DUMMYFUNCTION("if(regexmatch($B182,""RR""),F182,"""")"),"")</f>
        <v/>
      </c>
      <c r="K182" s="20" t="str">
        <f>IFERROR(__xludf.DUMMYFUNCTION("if(regexmatch($B182,""DE""),concat(C182,E182),"""")"),"[Select Team Name][Select Team Name]")</f>
        <v>[Select Team Name][Select Team Name]</v>
      </c>
      <c r="L182" s="20">
        <f>IFERROR(__xludf.DUMMYFUNCTION("if(regexmatch($B182,""DE""),D182,"""")"),0.0)</f>
        <v>0</v>
      </c>
      <c r="M182" s="20" t="str">
        <f>IFERROR(__xludf.DUMMYFUNCTION("if(regexmatch($B182,""DE""),concat(E182,C182),"""")"),"[Select Team Name][Select Team Name]")</f>
        <v>[Select Team Name][Select Team Name]</v>
      </c>
      <c r="N182" s="20">
        <f>IFERROR(__xludf.DUMMYFUNCTION("if(regexmatch($B182,""DE""),F182,"""")"),0.0)</f>
        <v>0</v>
      </c>
    </row>
    <row r="183">
      <c r="A183" s="1"/>
      <c r="B183" s="12" t="str">
        <f>IFERROR(__xludf.DUMMYFUNCTION("importrange(""https://docs.google.com/spreadsheets/d/1Q23jz-yAc5a93DlwwAo2T0_kNgoaMDXhdLWX4NQhcOw/edit?usp=drive_link"",""Scores!A2:E15"")"),"RR1")</f>
        <v>RR1</v>
      </c>
      <c r="C183" s="12" t="str">
        <f>IFERROR(__xludf.DUMMYFUNCTION("""COMPUTED_VALUE"""),"Albany A")</f>
        <v>Albany A</v>
      </c>
      <c r="D183" s="12">
        <f>IFERROR(__xludf.DUMMYFUNCTION("""COMPUTED_VALUE"""),8.0)</f>
        <v>8</v>
      </c>
      <c r="E183" s="12" t="str">
        <f>IFERROR(__xludf.DUMMYFUNCTION("""COMPUTED_VALUE"""),"BASIS Silicon Valley")</f>
        <v>BASIS Silicon Valley</v>
      </c>
      <c r="F183" s="12">
        <f>IFERROR(__xludf.DUMMYFUNCTION("""COMPUTED_VALUE"""),142.0)</f>
        <v>142</v>
      </c>
      <c r="G183" s="20" t="str">
        <f>IFERROR(__xludf.DUMMYFUNCTION("if(regexmatch($B183,""RR""),concat(C183,E183),"""")"),"Albany ABASIS Silicon Valley")</f>
        <v>Albany ABASIS Silicon Valley</v>
      </c>
      <c r="H183" s="20">
        <f>IFERROR(__xludf.DUMMYFUNCTION("if(regexmatch($B183,""RR""),D183,"""")"),8.0)</f>
        <v>8</v>
      </c>
      <c r="I183" s="20" t="str">
        <f>IFERROR(__xludf.DUMMYFUNCTION("if(regexmatch($B183,""RR""),concat(E183,C183),"""")"),"BASIS Silicon ValleyAlbany A")</f>
        <v>BASIS Silicon ValleyAlbany A</v>
      </c>
      <c r="J183" s="20">
        <f>IFERROR(__xludf.DUMMYFUNCTION("if(regexmatch($B183,""RR""),F183,"""")"),142.0)</f>
        <v>142</v>
      </c>
      <c r="K183" s="20" t="str">
        <f>IFERROR(__xludf.DUMMYFUNCTION("if(regexmatch($B183,""DE""),concat(C183,E183),"""")"),"")</f>
        <v/>
      </c>
      <c r="L183" s="20" t="str">
        <f>IFERROR(__xludf.DUMMYFUNCTION("if(regexmatch($B183,""DE""),D183,"""")"),"")</f>
        <v/>
      </c>
      <c r="M183" s="20" t="str">
        <f>IFERROR(__xludf.DUMMYFUNCTION("if(regexmatch($B183,""DE""),concat(E183,C183),"""")"),"")</f>
        <v/>
      </c>
      <c r="N183" s="20" t="str">
        <f>IFERROR(__xludf.DUMMYFUNCTION("if(regexmatch($B183,""DE""),F183,"""")"),"")</f>
        <v/>
      </c>
    </row>
    <row r="184">
      <c r="A184" s="12"/>
      <c r="B184" s="12" t="str">
        <f>IFERROR(__xludf.DUMMYFUNCTION("""COMPUTED_VALUE"""),"RR2")</f>
        <v>RR2</v>
      </c>
      <c r="C184" s="12" t="str">
        <f>IFERROR(__xludf.DUMMYFUNCTION("""COMPUTED_VALUE"""),"Clovis North")</f>
        <v>Clovis North</v>
      </c>
      <c r="D184" s="12">
        <f>IFERROR(__xludf.DUMMYFUNCTION("""COMPUTED_VALUE"""),146.0)</f>
        <v>146</v>
      </c>
      <c r="E184" s="12" t="str">
        <f>IFERROR(__xludf.DUMMYFUNCTION("""COMPUTED_VALUE"""),"Palo Alto")</f>
        <v>Palo Alto</v>
      </c>
      <c r="F184" s="12">
        <f>IFERROR(__xludf.DUMMYFUNCTION("""COMPUTED_VALUE"""),100.0)</f>
        <v>100</v>
      </c>
      <c r="G184" s="20" t="str">
        <f>IFERROR(__xludf.DUMMYFUNCTION("if(regexmatch($B184,""RR""),concat(C184,E184),"""")"),"Clovis NorthPalo Alto")</f>
        <v>Clovis NorthPalo Alto</v>
      </c>
      <c r="H184" s="20">
        <f>IFERROR(__xludf.DUMMYFUNCTION("if(regexmatch($B184,""RR""),D184,"""")"),146.0)</f>
        <v>146</v>
      </c>
      <c r="I184" s="20" t="str">
        <f>IFERROR(__xludf.DUMMYFUNCTION("if(regexmatch($B184,""RR""),concat(E184,C184),"""")"),"Palo AltoClovis North")</f>
        <v>Palo AltoClovis North</v>
      </c>
      <c r="J184" s="20">
        <f>IFERROR(__xludf.DUMMYFUNCTION("if(regexmatch($B184,""RR""),F184,"""")"),100.0)</f>
        <v>100</v>
      </c>
      <c r="K184" s="20" t="str">
        <f>IFERROR(__xludf.DUMMYFUNCTION("if(regexmatch($B184,""DE""),concat(C184,E184),"""")"),"")</f>
        <v/>
      </c>
      <c r="L184" s="20" t="str">
        <f>IFERROR(__xludf.DUMMYFUNCTION("if(regexmatch($B184,""DE""),D184,"""")"),"")</f>
        <v/>
      </c>
      <c r="M184" s="20" t="str">
        <f>IFERROR(__xludf.DUMMYFUNCTION("if(regexmatch($B184,""DE""),concat(E184,C184),"""")"),"")</f>
        <v/>
      </c>
      <c r="N184" s="20" t="str">
        <f>IFERROR(__xludf.DUMMYFUNCTION("if(regexmatch($B184,""DE""),F184,"""")"),"")</f>
        <v/>
      </c>
    </row>
    <row r="185">
      <c r="A185" s="12"/>
      <c r="B185" s="12" t="str">
        <f>IFERROR(__xludf.DUMMYFUNCTION("""COMPUTED_VALUE"""),"RR3")</f>
        <v>RR3</v>
      </c>
      <c r="C185" s="12" t="str">
        <f>IFERROR(__xludf.DUMMYFUNCTION("""COMPUTED_VALUE"""),"Gunn")</f>
        <v>Gunn</v>
      </c>
      <c r="D185" s="12">
        <f>IFERROR(__xludf.DUMMYFUNCTION("""COMPUTED_VALUE"""),40.0)</f>
        <v>40</v>
      </c>
      <c r="E185" s="12" t="str">
        <f>IFERROR(__xludf.DUMMYFUNCTION("""COMPUTED_VALUE"""),"Quarry Lane A")</f>
        <v>Quarry Lane A</v>
      </c>
      <c r="F185" s="12">
        <f>IFERROR(__xludf.DUMMYFUNCTION("""COMPUTED_VALUE"""),32.0)</f>
        <v>32</v>
      </c>
      <c r="G185" s="20" t="str">
        <f>IFERROR(__xludf.DUMMYFUNCTION("if(regexmatch($B185,""RR""),concat(C185,E185),"""")"),"GunnQuarry Lane A")</f>
        <v>GunnQuarry Lane A</v>
      </c>
      <c r="H185" s="20">
        <f>IFERROR(__xludf.DUMMYFUNCTION("if(regexmatch($B185,""RR""),D185,"""")"),40.0)</f>
        <v>40</v>
      </c>
      <c r="I185" s="20" t="str">
        <f>IFERROR(__xludf.DUMMYFUNCTION("if(regexmatch($B185,""RR""),concat(E185,C185),"""")"),"Quarry Lane AGunn")</f>
        <v>Quarry Lane AGunn</v>
      </c>
      <c r="J185" s="20">
        <f>IFERROR(__xludf.DUMMYFUNCTION("if(regexmatch($B185,""RR""),F185,"""")"),32.0)</f>
        <v>32</v>
      </c>
      <c r="K185" s="20" t="str">
        <f>IFERROR(__xludf.DUMMYFUNCTION("if(regexmatch($B185,""DE""),concat(C185,E185),"""")"),"")</f>
        <v/>
      </c>
      <c r="L185" s="20" t="str">
        <f>IFERROR(__xludf.DUMMYFUNCTION("if(regexmatch($B185,""DE""),D185,"""")"),"")</f>
        <v/>
      </c>
      <c r="M185" s="20" t="str">
        <f>IFERROR(__xludf.DUMMYFUNCTION("if(regexmatch($B185,""DE""),concat(E185,C185),"""")"),"")</f>
        <v/>
      </c>
      <c r="N185" s="20" t="str">
        <f>IFERROR(__xludf.DUMMYFUNCTION("if(regexmatch($B185,""DE""),F185,"""")"),"")</f>
        <v/>
      </c>
    </row>
    <row r="186">
      <c r="A186" s="12"/>
      <c r="B186" s="12" t="str">
        <f>IFERROR(__xludf.DUMMYFUNCTION("""COMPUTED_VALUE"""),"RR4")</f>
        <v>RR4</v>
      </c>
      <c r="C186" s="12" t="str">
        <f>IFERROR(__xludf.DUMMYFUNCTION("""COMPUTED_VALUE"""),"Cupertino A")</f>
        <v>Cupertino A</v>
      </c>
      <c r="D186" s="12">
        <f>IFERROR(__xludf.DUMMYFUNCTION("""COMPUTED_VALUE"""),86.0)</f>
        <v>86</v>
      </c>
      <c r="E186" s="12" t="str">
        <f>IFERROR(__xludf.DUMMYFUNCTION("""COMPUTED_VALUE"""),"Middleton")</f>
        <v>Middleton</v>
      </c>
      <c r="F186" s="12">
        <f>IFERROR(__xludf.DUMMYFUNCTION("""COMPUTED_VALUE"""),154.0)</f>
        <v>154</v>
      </c>
      <c r="G186" s="20" t="str">
        <f>IFERROR(__xludf.DUMMYFUNCTION("if(regexmatch($B186,""RR""),concat(C186,E186),"""")"),"Cupertino AMiddleton")</f>
        <v>Cupertino AMiddleton</v>
      </c>
      <c r="H186" s="20">
        <f>IFERROR(__xludf.DUMMYFUNCTION("if(regexmatch($B186,""RR""),D186,"""")"),86.0)</f>
        <v>86</v>
      </c>
      <c r="I186" s="20" t="str">
        <f>IFERROR(__xludf.DUMMYFUNCTION("if(regexmatch($B186,""RR""),concat(E186,C186),"""")"),"MiddletonCupertino A")</f>
        <v>MiddletonCupertino A</v>
      </c>
      <c r="J186" s="20">
        <f>IFERROR(__xludf.DUMMYFUNCTION("if(regexmatch($B186,""RR""),F186,"""")"),154.0)</f>
        <v>154</v>
      </c>
      <c r="K186" s="20" t="str">
        <f>IFERROR(__xludf.DUMMYFUNCTION("if(regexmatch($B186,""DE""),concat(C186,E186),"""")"),"")</f>
        <v/>
      </c>
      <c r="L186" s="20" t="str">
        <f>IFERROR(__xludf.DUMMYFUNCTION("if(regexmatch($B186,""DE""),D186,"""")"),"")</f>
        <v/>
      </c>
      <c r="M186" s="20" t="str">
        <f>IFERROR(__xludf.DUMMYFUNCTION("if(regexmatch($B186,""DE""),concat(E186,C186),"""")"),"")</f>
        <v/>
      </c>
      <c r="N186" s="20" t="str">
        <f>IFERROR(__xludf.DUMMYFUNCTION("if(regexmatch($B186,""DE""),F186,"""")"),"")</f>
        <v/>
      </c>
    </row>
    <row r="187">
      <c r="A187" s="12"/>
      <c r="B187" s="12" t="str">
        <f>IFERROR(__xludf.DUMMYFUNCTION("""COMPUTED_VALUE"""),"RR5")</f>
        <v>RR5</v>
      </c>
      <c r="C187" s="12" t="str">
        <f>IFERROR(__xludf.DUMMYFUNCTION("""COMPUTED_VALUE"""),"Davidson A")</f>
        <v>Davidson A</v>
      </c>
      <c r="D187" s="12">
        <f>IFERROR(__xludf.DUMMYFUNCTION("""COMPUTED_VALUE"""),174.0)</f>
        <v>174</v>
      </c>
      <c r="E187" s="12" t="str">
        <f>IFERROR(__xludf.DUMMYFUNCTION("""COMPUTED_VALUE"""),"Homestead")</f>
        <v>Homestead</v>
      </c>
      <c r="F187" s="12">
        <f>IFERROR(__xludf.DUMMYFUNCTION("""COMPUTED_VALUE"""),20.0)</f>
        <v>20</v>
      </c>
      <c r="G187" s="20" t="str">
        <f>IFERROR(__xludf.DUMMYFUNCTION("if(regexmatch($B187,""RR""),concat(C187,E187),"""")"),"Davidson AHomestead")</f>
        <v>Davidson AHomestead</v>
      </c>
      <c r="H187" s="20">
        <f>IFERROR(__xludf.DUMMYFUNCTION("if(regexmatch($B187,""RR""),D187,"""")"),174.0)</f>
        <v>174</v>
      </c>
      <c r="I187" s="20" t="str">
        <f>IFERROR(__xludf.DUMMYFUNCTION("if(regexmatch($B187,""RR""),concat(E187,C187),"""")"),"HomesteadDavidson A")</f>
        <v>HomesteadDavidson A</v>
      </c>
      <c r="J187" s="20">
        <f>IFERROR(__xludf.DUMMYFUNCTION("if(regexmatch($B187,""RR""),F187,"""")"),20.0)</f>
        <v>20</v>
      </c>
      <c r="K187" s="20" t="str">
        <f>IFERROR(__xludf.DUMMYFUNCTION("if(regexmatch($B187,""DE""),concat(C187,E187),"""")"),"")</f>
        <v/>
      </c>
      <c r="L187" s="20" t="str">
        <f>IFERROR(__xludf.DUMMYFUNCTION("if(regexmatch($B187,""DE""),D187,"""")"),"")</f>
        <v/>
      </c>
      <c r="M187" s="20" t="str">
        <f>IFERROR(__xludf.DUMMYFUNCTION("if(regexmatch($B187,""DE""),concat(E187,C187),"""")"),"")</f>
        <v/>
      </c>
      <c r="N187" s="20" t="str">
        <f>IFERROR(__xludf.DUMMYFUNCTION("if(regexmatch($B187,""DE""),F187,"""")"),"")</f>
        <v/>
      </c>
    </row>
    <row r="188">
      <c r="A188" s="12"/>
      <c r="B188" s="12" t="str">
        <f>IFERROR(__xludf.DUMMYFUNCTION("""COMPUTED_VALUE"""),"DE1")</f>
        <v>DE1</v>
      </c>
      <c r="C188" s="12" t="str">
        <f>IFERROR(__xludf.DUMMYFUNCTION("""COMPUTED_VALUE"""),"Lynbrook B")</f>
        <v>Lynbrook B</v>
      </c>
      <c r="D188" s="12">
        <f>IFERROR(__xludf.DUMMYFUNCTION("""COMPUTED_VALUE"""),110.0)</f>
        <v>110</v>
      </c>
      <c r="E188" s="12" t="str">
        <f>IFERROR(__xludf.DUMMYFUNCTION("""COMPUTED_VALUE"""),"Saratoga")</f>
        <v>Saratoga</v>
      </c>
      <c r="F188" s="12">
        <f>IFERROR(__xludf.DUMMYFUNCTION("""COMPUTED_VALUE"""),72.0)</f>
        <v>72</v>
      </c>
      <c r="G188" s="20" t="str">
        <f>IFERROR(__xludf.DUMMYFUNCTION("if(regexmatch($B188,""RR""),concat(C188,E188),"""")"),"")</f>
        <v/>
      </c>
      <c r="H188" s="20" t="str">
        <f>IFERROR(__xludf.DUMMYFUNCTION("if(regexmatch($B188,""RR""),D188,"""")"),"")</f>
        <v/>
      </c>
      <c r="I188" s="20" t="str">
        <f>IFERROR(__xludf.DUMMYFUNCTION("if(regexmatch($B188,""RR""),concat(E188,C188),"""")"),"")</f>
        <v/>
      </c>
      <c r="J188" s="20" t="str">
        <f>IFERROR(__xludf.DUMMYFUNCTION("if(regexmatch($B188,""RR""),F188,"""")"),"")</f>
        <v/>
      </c>
      <c r="K188" s="20" t="str">
        <f>IFERROR(__xludf.DUMMYFUNCTION("if(regexmatch($B188,""DE""),concat(C188,E188),"""")"),"Lynbrook BSaratoga")</f>
        <v>Lynbrook BSaratoga</v>
      </c>
      <c r="L188" s="20">
        <f>IFERROR(__xludf.DUMMYFUNCTION("if(regexmatch($B188,""DE""),D188,"""")"),110.0)</f>
        <v>110</v>
      </c>
      <c r="M188" s="20" t="str">
        <f>IFERROR(__xludf.DUMMYFUNCTION("if(regexmatch($B188,""DE""),concat(E188,C188),"""")"),"SaratogaLynbrook B")</f>
        <v>SaratogaLynbrook B</v>
      </c>
      <c r="N188" s="20">
        <f>IFERROR(__xludf.DUMMYFUNCTION("if(regexmatch($B188,""DE""),F188,"""")"),72.0)</f>
        <v>72</v>
      </c>
    </row>
    <row r="189">
      <c r="A189" s="12"/>
      <c r="B189" s="12" t="str">
        <f>IFERROR(__xludf.DUMMYFUNCTION("""COMPUTED_VALUE"""),"DE2")</f>
        <v>DE2</v>
      </c>
      <c r="C189" s="12" t="str">
        <f>IFERROR(__xludf.DUMMYFUNCTION("""COMPUTED_VALUE"""),"Clovis North")</f>
        <v>Clovis North</v>
      </c>
      <c r="D189" s="12">
        <f>IFERROR(__xludf.DUMMYFUNCTION("""COMPUTED_VALUE"""),80.0)</f>
        <v>80</v>
      </c>
      <c r="E189" s="12" t="str">
        <f>IFERROR(__xludf.DUMMYFUNCTION("""COMPUTED_VALUE"""),"American")</f>
        <v>American</v>
      </c>
      <c r="F189" s="12">
        <f>IFERROR(__xludf.DUMMYFUNCTION("""COMPUTED_VALUE"""),62.0)</f>
        <v>62</v>
      </c>
      <c r="G189" s="20" t="str">
        <f>IFERROR(__xludf.DUMMYFUNCTION("if(regexmatch($B189,""RR""),concat(C189,E189),"""")"),"")</f>
        <v/>
      </c>
      <c r="H189" s="20" t="str">
        <f>IFERROR(__xludf.DUMMYFUNCTION("if(regexmatch($B189,""RR""),D189,"""")"),"")</f>
        <v/>
      </c>
      <c r="I189" s="20" t="str">
        <f>IFERROR(__xludf.DUMMYFUNCTION("if(regexmatch($B189,""RR""),concat(E189,C189),"""")"),"")</f>
        <v/>
      </c>
      <c r="J189" s="20" t="str">
        <f>IFERROR(__xludf.DUMMYFUNCTION("if(regexmatch($B189,""RR""),F189,"""")"),"")</f>
        <v/>
      </c>
      <c r="K189" s="20" t="str">
        <f>IFERROR(__xludf.DUMMYFUNCTION("if(regexmatch($B189,""DE""),concat(C189,E189),"""")"),"Clovis NorthAmerican")</f>
        <v>Clovis NorthAmerican</v>
      </c>
      <c r="L189" s="20">
        <f>IFERROR(__xludf.DUMMYFUNCTION("if(regexmatch($B189,""DE""),D189,"""")"),80.0)</f>
        <v>80</v>
      </c>
      <c r="M189" s="20" t="str">
        <f>IFERROR(__xludf.DUMMYFUNCTION("if(regexmatch($B189,""DE""),concat(E189,C189),"""")"),"AmericanClovis North")</f>
        <v>AmericanClovis North</v>
      </c>
      <c r="N189" s="20">
        <f>IFERROR(__xludf.DUMMYFUNCTION("if(regexmatch($B189,""DE""),F189,"""")"),62.0)</f>
        <v>62</v>
      </c>
    </row>
    <row r="190">
      <c r="A190" s="12"/>
      <c r="B190" s="12" t="str">
        <f>IFERROR(__xludf.DUMMYFUNCTION("""COMPUTED_VALUE"""),"DE3")</f>
        <v>DE3</v>
      </c>
      <c r="C190" s="12" t="str">
        <f>IFERROR(__xludf.DUMMYFUNCTION("""COMPUTED_VALUE"""),"Lynbrook B")</f>
        <v>Lynbrook B</v>
      </c>
      <c r="D190" s="12">
        <f>IFERROR(__xludf.DUMMYFUNCTION("""COMPUTED_VALUE"""),80.0)</f>
        <v>80</v>
      </c>
      <c r="E190" s="12" t="str">
        <f>IFERROR(__xludf.DUMMYFUNCTION("""COMPUTED_VALUE"""),"Irvington")</f>
        <v>Irvington</v>
      </c>
      <c r="F190" s="12">
        <f>IFERROR(__xludf.DUMMYFUNCTION("""COMPUTED_VALUE"""),44.0)</f>
        <v>44</v>
      </c>
      <c r="G190" s="20" t="str">
        <f>IFERROR(__xludf.DUMMYFUNCTION("if(regexmatch($B190,""RR""),concat(C190,E190),"""")"),"")</f>
        <v/>
      </c>
      <c r="H190" s="20" t="str">
        <f>IFERROR(__xludf.DUMMYFUNCTION("if(regexmatch($B190,""RR""),D190,"""")"),"")</f>
        <v/>
      </c>
      <c r="I190" s="20" t="str">
        <f>IFERROR(__xludf.DUMMYFUNCTION("if(regexmatch($B190,""RR""),concat(E190,C190),"""")"),"")</f>
        <v/>
      </c>
      <c r="J190" s="20" t="str">
        <f>IFERROR(__xludf.DUMMYFUNCTION("if(regexmatch($B190,""RR""),F190,"""")"),"")</f>
        <v/>
      </c>
      <c r="K190" s="20" t="str">
        <f>IFERROR(__xludf.DUMMYFUNCTION("if(regexmatch($B190,""DE""),concat(C190,E190),"""")"),"Lynbrook BIrvington")</f>
        <v>Lynbrook BIrvington</v>
      </c>
      <c r="L190" s="20">
        <f>IFERROR(__xludf.DUMMYFUNCTION("if(regexmatch($B190,""DE""),D190,"""")"),80.0)</f>
        <v>80</v>
      </c>
      <c r="M190" s="20" t="str">
        <f>IFERROR(__xludf.DUMMYFUNCTION("if(regexmatch($B190,""DE""),concat(E190,C190),"""")"),"IrvingtonLynbrook B")</f>
        <v>IrvingtonLynbrook B</v>
      </c>
      <c r="N190" s="20">
        <f>IFERROR(__xludf.DUMMYFUNCTION("if(regexmatch($B190,""DE""),F190,"""")"),44.0)</f>
        <v>44</v>
      </c>
    </row>
    <row r="191">
      <c r="A191" s="12"/>
      <c r="B191" s="12" t="str">
        <f>IFERROR(__xludf.DUMMYFUNCTION("""COMPUTED_VALUE"""),"DE4")</f>
        <v>DE4</v>
      </c>
      <c r="C191" s="12" t="str">
        <f>IFERROR(__xludf.DUMMYFUNCTION("""COMPUTED_VALUE"""),"Clovis North")</f>
        <v>Clovis North</v>
      </c>
      <c r="D191" s="12">
        <f>IFERROR(__xludf.DUMMYFUNCTION("""COMPUTED_VALUE"""),30.0)</f>
        <v>30</v>
      </c>
      <c r="E191" s="12" t="str">
        <f>IFERROR(__xludf.DUMMYFUNCTION("""COMPUTED_VALUE"""),"Palo Alto")</f>
        <v>Palo Alto</v>
      </c>
      <c r="F191" s="12">
        <f>IFERROR(__xludf.DUMMYFUNCTION("""COMPUTED_VALUE"""),78.0)</f>
        <v>78</v>
      </c>
      <c r="G191" s="20" t="str">
        <f>IFERROR(__xludf.DUMMYFUNCTION("if(regexmatch($B191,""RR""),concat(C191,E191),"""")"),"")</f>
        <v/>
      </c>
      <c r="H191" s="20" t="str">
        <f>IFERROR(__xludf.DUMMYFUNCTION("if(regexmatch($B191,""RR""),D191,"""")"),"")</f>
        <v/>
      </c>
      <c r="I191" s="20" t="str">
        <f>IFERROR(__xludf.DUMMYFUNCTION("if(regexmatch($B191,""RR""),concat(E191,C191),"""")"),"")</f>
        <v/>
      </c>
      <c r="J191" s="20" t="str">
        <f>IFERROR(__xludf.DUMMYFUNCTION("if(regexmatch($B191,""RR""),F191,"""")"),"")</f>
        <v/>
      </c>
      <c r="K191" s="20" t="str">
        <f>IFERROR(__xludf.DUMMYFUNCTION("if(regexmatch($B191,""DE""),concat(C191,E191),"""")"),"Clovis NorthPalo Alto")</f>
        <v>Clovis NorthPalo Alto</v>
      </c>
      <c r="L191" s="20">
        <f>IFERROR(__xludf.DUMMYFUNCTION("if(regexmatch($B191,""DE""),D191,"""")"),30.0)</f>
        <v>30</v>
      </c>
      <c r="M191" s="20" t="str">
        <f>IFERROR(__xludf.DUMMYFUNCTION("if(regexmatch($B191,""DE""),concat(E191,C191),"""")"),"Palo AltoClovis North")</f>
        <v>Palo AltoClovis North</v>
      </c>
      <c r="N191" s="20">
        <f>IFERROR(__xludf.DUMMYFUNCTION("if(regexmatch($B191,""DE""),F191,"""")"),78.0)</f>
        <v>78</v>
      </c>
    </row>
    <row r="192">
      <c r="A192" s="12"/>
      <c r="B192" s="12" t="str">
        <f>IFERROR(__xludf.DUMMYFUNCTION("""COMPUTED_VALUE"""),"DE5")</f>
        <v>DE5</v>
      </c>
      <c r="C192" s="12" t="str">
        <f>IFERROR(__xludf.DUMMYFUNCTION("""COMPUTED_VALUE"""),"Davidson A")</f>
        <v>Davidson A</v>
      </c>
      <c r="D192" s="12">
        <f>IFERROR(__xludf.DUMMYFUNCTION("""COMPUTED_VALUE"""),52.0)</f>
        <v>52</v>
      </c>
      <c r="E192" s="12" t="str">
        <f>IFERROR(__xludf.DUMMYFUNCTION("""COMPUTED_VALUE"""),"Mission San Jose A")</f>
        <v>Mission San Jose A</v>
      </c>
      <c r="F192" s="12">
        <f>IFERROR(__xludf.DUMMYFUNCTION("""COMPUTED_VALUE"""),158.0)</f>
        <v>158</v>
      </c>
      <c r="G192" s="20" t="str">
        <f>IFERROR(__xludf.DUMMYFUNCTION("if(regexmatch($B192,""RR""),concat(C192,E192),"""")"),"")</f>
        <v/>
      </c>
      <c r="H192" s="20" t="str">
        <f>IFERROR(__xludf.DUMMYFUNCTION("if(regexmatch($B192,""RR""),D192,"""")"),"")</f>
        <v/>
      </c>
      <c r="I192" s="20" t="str">
        <f>IFERROR(__xludf.DUMMYFUNCTION("if(regexmatch($B192,""RR""),concat(E192,C192),"""")"),"")</f>
        <v/>
      </c>
      <c r="J192" s="20" t="str">
        <f>IFERROR(__xludf.DUMMYFUNCTION("if(regexmatch($B192,""RR""),F192,"""")"),"")</f>
        <v/>
      </c>
      <c r="K192" s="20" t="str">
        <f>IFERROR(__xludf.DUMMYFUNCTION("if(regexmatch($B192,""DE""),concat(C192,E192),"""")"),"Davidson AMission San Jose A")</f>
        <v>Davidson AMission San Jose A</v>
      </c>
      <c r="L192" s="20">
        <f>IFERROR(__xludf.DUMMYFUNCTION("if(regexmatch($B192,""DE""),D192,"""")"),52.0)</f>
        <v>52</v>
      </c>
      <c r="M192" s="20" t="str">
        <f>IFERROR(__xludf.DUMMYFUNCTION("if(regexmatch($B192,""DE""),concat(E192,C192),"""")"),"Mission San Jose ADavidson A")</f>
        <v>Mission San Jose ADavidson A</v>
      </c>
      <c r="N192" s="20">
        <f>IFERROR(__xludf.DUMMYFUNCTION("if(regexmatch($B192,""DE""),F192,"""")"),158.0)</f>
        <v>158</v>
      </c>
    </row>
    <row r="193">
      <c r="A193" s="12"/>
      <c r="B193" s="12" t="str">
        <f>IFERROR(__xludf.DUMMYFUNCTION("""COMPUTED_VALUE"""),"DE6")</f>
        <v>DE6</v>
      </c>
      <c r="C193" s="12" t="str">
        <f>IFERROR(__xludf.DUMMYFUNCTION("""COMPUTED_VALUE"""),"[Select Team Name]")</f>
        <v>[Select Team Name]</v>
      </c>
      <c r="D193" s="12">
        <f>IFERROR(__xludf.DUMMYFUNCTION("""COMPUTED_VALUE"""),0.0)</f>
        <v>0</v>
      </c>
      <c r="E193" s="12" t="str">
        <f>IFERROR(__xludf.DUMMYFUNCTION("""COMPUTED_VALUE"""),"[Select Team Name]")</f>
        <v>[Select Team Name]</v>
      </c>
      <c r="F193" s="12">
        <f>IFERROR(__xludf.DUMMYFUNCTION("""COMPUTED_VALUE"""),0.0)</f>
        <v>0</v>
      </c>
      <c r="G193" s="20" t="str">
        <f>IFERROR(__xludf.DUMMYFUNCTION("if(regexmatch($B193,""RR""),concat(C193,E193),"""")"),"")</f>
        <v/>
      </c>
      <c r="H193" s="20" t="str">
        <f>IFERROR(__xludf.DUMMYFUNCTION("if(regexmatch($B193,""RR""),D193,"""")"),"")</f>
        <v/>
      </c>
      <c r="I193" s="20" t="str">
        <f>IFERROR(__xludf.DUMMYFUNCTION("if(regexmatch($B193,""RR""),concat(E193,C193),"""")"),"")</f>
        <v/>
      </c>
      <c r="J193" s="20" t="str">
        <f>IFERROR(__xludf.DUMMYFUNCTION("if(regexmatch($B193,""RR""),F193,"""")"),"")</f>
        <v/>
      </c>
      <c r="K193" s="20" t="str">
        <f>IFERROR(__xludf.DUMMYFUNCTION("if(regexmatch($B193,""DE""),concat(C193,E193),"""")"),"[Select Team Name][Select Team Name]")</f>
        <v>[Select Team Name][Select Team Name]</v>
      </c>
      <c r="L193" s="20">
        <f>IFERROR(__xludf.DUMMYFUNCTION("if(regexmatch($B193,""DE""),D193,"""")"),0.0)</f>
        <v>0</v>
      </c>
      <c r="M193" s="20" t="str">
        <f>IFERROR(__xludf.DUMMYFUNCTION("if(regexmatch($B193,""DE""),concat(E193,C193),"""")"),"[Select Team Name][Select Team Name]")</f>
        <v>[Select Team Name][Select Team Name]</v>
      </c>
      <c r="N193" s="20">
        <f>IFERROR(__xludf.DUMMYFUNCTION("if(regexmatch($B193,""DE""),F193,"""")"),0.0)</f>
        <v>0</v>
      </c>
    </row>
    <row r="194">
      <c r="A194" s="12"/>
      <c r="B194" s="12" t="str">
        <f>IFERROR(__xludf.DUMMYFUNCTION("""COMPUTED_VALUE"""),"DE7")</f>
        <v>DE7</v>
      </c>
      <c r="C194" s="12" t="str">
        <f>IFERROR(__xludf.DUMMYFUNCTION("""COMPUTED_VALUE"""),"[Select Team Name]")</f>
        <v>[Select Team Name]</v>
      </c>
      <c r="D194" s="12">
        <f>IFERROR(__xludf.DUMMYFUNCTION("""COMPUTED_VALUE"""),0.0)</f>
        <v>0</v>
      </c>
      <c r="E194" s="12" t="str">
        <f>IFERROR(__xludf.DUMMYFUNCTION("""COMPUTED_VALUE"""),"[Select Team Name]")</f>
        <v>[Select Team Name]</v>
      </c>
      <c r="F194" s="12">
        <f>IFERROR(__xludf.DUMMYFUNCTION("""COMPUTED_VALUE"""),0.0)</f>
        <v>0</v>
      </c>
      <c r="G194" s="20" t="str">
        <f>IFERROR(__xludf.DUMMYFUNCTION("if(regexmatch($B194,""RR""),concat(C194,E194),"""")"),"")</f>
        <v/>
      </c>
      <c r="H194" s="20" t="str">
        <f>IFERROR(__xludf.DUMMYFUNCTION("if(regexmatch($B194,""RR""),D194,"""")"),"")</f>
        <v/>
      </c>
      <c r="I194" s="20" t="str">
        <f>IFERROR(__xludf.DUMMYFUNCTION("if(regexmatch($B194,""RR""),concat(E194,C194),"""")"),"")</f>
        <v/>
      </c>
      <c r="J194" s="20" t="str">
        <f>IFERROR(__xludf.DUMMYFUNCTION("if(regexmatch($B194,""RR""),F194,"""")"),"")</f>
        <v/>
      </c>
      <c r="K194" s="20" t="str">
        <f>IFERROR(__xludf.DUMMYFUNCTION("if(regexmatch($B194,""DE""),concat(C194,E194),"""")"),"[Select Team Name][Select Team Name]")</f>
        <v>[Select Team Name][Select Team Name]</v>
      </c>
      <c r="L194" s="20">
        <f>IFERROR(__xludf.DUMMYFUNCTION("if(regexmatch($B194,""DE""),D194,"""")"),0.0)</f>
        <v>0</v>
      </c>
      <c r="M194" s="20" t="str">
        <f>IFERROR(__xludf.DUMMYFUNCTION("if(regexmatch($B194,""DE""),concat(E194,C194),"""")"),"[Select Team Name][Select Team Name]")</f>
        <v>[Select Team Name][Select Team Name]</v>
      </c>
      <c r="N194" s="20">
        <f>IFERROR(__xludf.DUMMYFUNCTION("if(regexmatch($B194,""DE""),F194,"""")"),0.0)</f>
        <v>0</v>
      </c>
    </row>
    <row r="195">
      <c r="A195" s="12"/>
      <c r="B195" s="12" t="str">
        <f>IFERROR(__xludf.DUMMYFUNCTION("""COMPUTED_VALUE"""),"DE8")</f>
        <v>DE8</v>
      </c>
      <c r="C195" s="12" t="str">
        <f>IFERROR(__xludf.DUMMYFUNCTION("""COMPUTED_VALUE"""),"[Select Team Name]")</f>
        <v>[Select Team Name]</v>
      </c>
      <c r="D195" s="12">
        <f>IFERROR(__xludf.DUMMYFUNCTION("""COMPUTED_VALUE"""),0.0)</f>
        <v>0</v>
      </c>
      <c r="E195" s="12" t="str">
        <f>IFERROR(__xludf.DUMMYFUNCTION("""COMPUTED_VALUE"""),"[Select Team Name]")</f>
        <v>[Select Team Name]</v>
      </c>
      <c r="F195" s="12">
        <f>IFERROR(__xludf.DUMMYFUNCTION("""COMPUTED_VALUE"""),0.0)</f>
        <v>0</v>
      </c>
      <c r="G195" s="20" t="str">
        <f>IFERROR(__xludf.DUMMYFUNCTION("if(regexmatch($B195,""RR""),concat(C195,E195),"""")"),"")</f>
        <v/>
      </c>
      <c r="H195" s="20" t="str">
        <f>IFERROR(__xludf.DUMMYFUNCTION("if(regexmatch($B195,""RR""),D195,"""")"),"")</f>
        <v/>
      </c>
      <c r="I195" s="20" t="str">
        <f>IFERROR(__xludf.DUMMYFUNCTION("if(regexmatch($B195,""RR""),concat(E195,C195),"""")"),"")</f>
        <v/>
      </c>
      <c r="J195" s="20" t="str">
        <f>IFERROR(__xludf.DUMMYFUNCTION("if(regexmatch($B195,""RR""),F195,"""")"),"")</f>
        <v/>
      </c>
      <c r="K195" s="20" t="str">
        <f>IFERROR(__xludf.DUMMYFUNCTION("if(regexmatch($B195,""DE""),concat(C195,E195),"""")"),"[Select Team Name][Select Team Name]")</f>
        <v>[Select Team Name][Select Team Name]</v>
      </c>
      <c r="L195" s="20">
        <f>IFERROR(__xludf.DUMMYFUNCTION("if(regexmatch($B195,""DE""),D195,"""")"),0.0)</f>
        <v>0</v>
      </c>
      <c r="M195" s="20" t="str">
        <f>IFERROR(__xludf.DUMMYFUNCTION("if(regexmatch($B195,""DE""),concat(E195,C195),"""")"),"[Select Team Name][Select Team Name]")</f>
        <v>[Select Team Name][Select Team Name]</v>
      </c>
      <c r="N195" s="20">
        <f>IFERROR(__xludf.DUMMYFUNCTION("if(regexmatch($B195,""DE""),F195,"""")"),0.0)</f>
        <v>0</v>
      </c>
    </row>
    <row r="196">
      <c r="A196" s="12"/>
      <c r="B196" s="12" t="str">
        <f>IFERROR(__xludf.DUMMYFUNCTION("""COMPUTED_VALUE"""),"DE9")</f>
        <v>DE9</v>
      </c>
      <c r="C196" s="12" t="str">
        <f>IFERROR(__xludf.DUMMYFUNCTION("""COMPUTED_VALUE"""),"[Select Team Name]")</f>
        <v>[Select Team Name]</v>
      </c>
      <c r="D196" s="12">
        <f>IFERROR(__xludf.DUMMYFUNCTION("""COMPUTED_VALUE"""),0.0)</f>
        <v>0</v>
      </c>
      <c r="E196" s="12" t="str">
        <f>IFERROR(__xludf.DUMMYFUNCTION("""COMPUTED_VALUE"""),"[Select Team Name]")</f>
        <v>[Select Team Name]</v>
      </c>
      <c r="F196" s="12">
        <f>IFERROR(__xludf.DUMMYFUNCTION("""COMPUTED_VALUE"""),0.0)</f>
        <v>0</v>
      </c>
      <c r="G196" s="20" t="str">
        <f>IFERROR(__xludf.DUMMYFUNCTION("if(regexmatch($B196,""RR""),concat(C196,E196),"""")"),"")</f>
        <v/>
      </c>
      <c r="H196" s="20" t="str">
        <f>IFERROR(__xludf.DUMMYFUNCTION("if(regexmatch($B196,""RR""),D196,"""")"),"")</f>
        <v/>
      </c>
      <c r="I196" s="20" t="str">
        <f>IFERROR(__xludf.DUMMYFUNCTION("if(regexmatch($B196,""RR""),concat(E196,C196),"""")"),"")</f>
        <v/>
      </c>
      <c r="J196" s="20" t="str">
        <f>IFERROR(__xludf.DUMMYFUNCTION("if(regexmatch($B196,""RR""),F196,"""")"),"")</f>
        <v/>
      </c>
      <c r="K196" s="20" t="str">
        <f>IFERROR(__xludf.DUMMYFUNCTION("if(regexmatch($B196,""DE""),concat(C196,E196),"""")"),"[Select Team Name][Select Team Name]")</f>
        <v>[Select Team Name][Select Team Name]</v>
      </c>
      <c r="L196" s="20">
        <f>IFERROR(__xludf.DUMMYFUNCTION("if(regexmatch($B196,""DE""),D196,"""")"),0.0)</f>
        <v>0</v>
      </c>
      <c r="M196" s="20" t="str">
        <f>IFERROR(__xludf.DUMMYFUNCTION("if(regexmatch($B196,""DE""),concat(E196,C196),"""")"),"[Select Team Name][Select Team Name]")</f>
        <v>[Select Team Name][Select Team Name]</v>
      </c>
      <c r="N196" s="20">
        <f>IFERROR(__xludf.DUMMYFUNCTION("if(regexmatch($B196,""DE""),F196,"""")"),0.0)</f>
        <v>0</v>
      </c>
    </row>
    <row r="197">
      <c r="A197" s="1"/>
      <c r="B197" s="12" t="str">
        <f>IFERROR(__xludf.DUMMYFUNCTION("importrange(""https://docs.google.com/spreadsheets/d/1CaGK5XS9TSJGa0qmd3XuHWDNlPydDBWgjeQb2xr6cTE/edit?usp=drive_link"",""Scores!A2:E15"")"),"RR1")</f>
        <v>RR1</v>
      </c>
      <c r="C197" s="12" t="str">
        <f>IFERROR(__xludf.DUMMYFUNCTION("""COMPUTED_VALUE"""),"Mission San Jose A")</f>
        <v>Mission San Jose A</v>
      </c>
      <c r="D197" s="12">
        <f>IFERROR(__xludf.DUMMYFUNCTION("""COMPUTED_VALUE"""),144.0)</f>
        <v>144</v>
      </c>
      <c r="E197" s="12" t="str">
        <f>IFERROR(__xludf.DUMMYFUNCTION("""COMPUTED_VALUE"""),"Cupertino B")</f>
        <v>Cupertino B</v>
      </c>
      <c r="F197" s="12">
        <f>IFERROR(__xludf.DUMMYFUNCTION("""COMPUTED_VALUE"""),86.0)</f>
        <v>86</v>
      </c>
      <c r="G197" s="20" t="str">
        <f>IFERROR(__xludf.DUMMYFUNCTION("if(regexmatch($B197,""RR""),concat(C197,E197),"""")"),"Mission San Jose ACupertino B")</f>
        <v>Mission San Jose ACupertino B</v>
      </c>
      <c r="H197" s="20">
        <f>IFERROR(__xludf.DUMMYFUNCTION("if(regexmatch($B197,""RR""),D197,"""")"),144.0)</f>
        <v>144</v>
      </c>
      <c r="I197" s="20" t="str">
        <f>IFERROR(__xludf.DUMMYFUNCTION("if(regexmatch($B197,""RR""),concat(E197,C197),"""")"),"Cupertino BMission San Jose A")</f>
        <v>Cupertino BMission San Jose A</v>
      </c>
      <c r="J197" s="20">
        <f>IFERROR(__xludf.DUMMYFUNCTION("if(regexmatch($B197,""RR""),F197,"""")"),86.0)</f>
        <v>86</v>
      </c>
      <c r="K197" s="20" t="str">
        <f>IFERROR(__xludf.DUMMYFUNCTION("if(regexmatch($B197,""DE""),concat(C197,E197),"""")"),"")</f>
        <v/>
      </c>
      <c r="L197" s="20" t="str">
        <f>IFERROR(__xludf.DUMMYFUNCTION("if(regexmatch($B197,""DE""),D197,"""")"),"")</f>
        <v/>
      </c>
      <c r="M197" s="20" t="str">
        <f>IFERROR(__xludf.DUMMYFUNCTION("if(regexmatch($B197,""DE""),concat(E197,C197),"""")"),"")</f>
        <v/>
      </c>
      <c r="N197" s="20" t="str">
        <f>IFERROR(__xludf.DUMMYFUNCTION("if(regexmatch($B197,""DE""),F197,"""")"),"")</f>
        <v/>
      </c>
    </row>
    <row r="198">
      <c r="A198" s="12"/>
      <c r="B198" s="12" t="str">
        <f>IFERROR(__xludf.DUMMYFUNCTION("""COMPUTED_VALUE"""),"RR2")</f>
        <v>RR2</v>
      </c>
      <c r="C198" s="12" t="str">
        <f>IFERROR(__xludf.DUMMYFUNCTION("""COMPUTED_VALUE"""),"Dougherty Valley B")</f>
        <v>Dougherty Valley B</v>
      </c>
      <c r="D198" s="12">
        <f>IFERROR(__xludf.DUMMYFUNCTION("""COMPUTED_VALUE"""),64.0)</f>
        <v>64</v>
      </c>
      <c r="E198" s="12" t="str">
        <f>IFERROR(__xludf.DUMMYFUNCTION("""COMPUTED_VALUE"""),"Foothill A")</f>
        <v>Foothill A</v>
      </c>
      <c r="F198" s="12">
        <f>IFERROR(__xludf.DUMMYFUNCTION("""COMPUTED_VALUE"""),160.0)</f>
        <v>160</v>
      </c>
      <c r="G198" s="20" t="str">
        <f>IFERROR(__xludf.DUMMYFUNCTION("if(regexmatch($B198,""RR""),concat(C198,E198),"""")"),"Dougherty Valley BFoothill A")</f>
        <v>Dougherty Valley BFoothill A</v>
      </c>
      <c r="H198" s="20">
        <f>IFERROR(__xludf.DUMMYFUNCTION("if(regexmatch($B198,""RR""),D198,"""")"),64.0)</f>
        <v>64</v>
      </c>
      <c r="I198" s="20" t="str">
        <f>IFERROR(__xludf.DUMMYFUNCTION("if(regexmatch($B198,""RR""),concat(E198,C198),"""")"),"Foothill ADougherty Valley B")</f>
        <v>Foothill ADougherty Valley B</v>
      </c>
      <c r="J198" s="20">
        <f>IFERROR(__xludf.DUMMYFUNCTION("if(regexmatch($B198,""RR""),F198,"""")"),160.0)</f>
        <v>160</v>
      </c>
      <c r="K198" s="20" t="str">
        <f>IFERROR(__xludf.DUMMYFUNCTION("if(regexmatch($B198,""DE""),concat(C198,E198),"""")"),"")</f>
        <v/>
      </c>
      <c r="L198" s="20" t="str">
        <f>IFERROR(__xludf.DUMMYFUNCTION("if(regexmatch($B198,""DE""),D198,"""")"),"")</f>
        <v/>
      </c>
      <c r="M198" s="20" t="str">
        <f>IFERROR(__xludf.DUMMYFUNCTION("if(regexmatch($B198,""DE""),concat(E198,C198),"""")"),"")</f>
        <v/>
      </c>
      <c r="N198" s="20" t="str">
        <f>IFERROR(__xludf.DUMMYFUNCTION("if(regexmatch($B198,""DE""),F198,"""")"),"")</f>
        <v/>
      </c>
    </row>
    <row r="199">
      <c r="A199" s="12"/>
      <c r="B199" s="12" t="str">
        <f>IFERROR(__xludf.DUMMYFUNCTION("""COMPUTED_VALUE"""),"RR3")</f>
        <v>RR3</v>
      </c>
      <c r="C199" s="12" t="str">
        <f>IFERROR(__xludf.DUMMYFUNCTION("""COMPUTED_VALUE"""),"Albany B")</f>
        <v>Albany B</v>
      </c>
      <c r="D199" s="12">
        <f>IFERROR(__xludf.DUMMYFUNCTION("""COMPUTED_VALUE"""),22.0)</f>
        <v>22</v>
      </c>
      <c r="E199" s="12" t="str">
        <f>IFERROR(__xludf.DUMMYFUNCTION("""COMPUTED_VALUE"""),"Palo Alto")</f>
        <v>Palo Alto</v>
      </c>
      <c r="F199" s="12">
        <f>IFERROR(__xludf.DUMMYFUNCTION("""COMPUTED_VALUE"""),198.0)</f>
        <v>198</v>
      </c>
      <c r="G199" s="20" t="str">
        <f>IFERROR(__xludf.DUMMYFUNCTION("if(regexmatch($B199,""RR""),concat(C199,E199),"""")"),"Albany BPalo Alto")</f>
        <v>Albany BPalo Alto</v>
      </c>
      <c r="H199" s="20">
        <f>IFERROR(__xludf.DUMMYFUNCTION("if(regexmatch($B199,""RR""),D199,"""")"),22.0)</f>
        <v>22</v>
      </c>
      <c r="I199" s="20" t="str">
        <f>IFERROR(__xludf.DUMMYFUNCTION("if(regexmatch($B199,""RR""),concat(E199,C199),"""")"),"Palo AltoAlbany B")</f>
        <v>Palo AltoAlbany B</v>
      </c>
      <c r="J199" s="20">
        <f>IFERROR(__xludf.DUMMYFUNCTION("if(regexmatch($B199,""RR""),F199,"""")"),198.0)</f>
        <v>198</v>
      </c>
      <c r="K199" s="20" t="str">
        <f>IFERROR(__xludf.DUMMYFUNCTION("if(regexmatch($B199,""DE""),concat(C199,E199),"""")"),"")</f>
        <v/>
      </c>
      <c r="L199" s="20" t="str">
        <f>IFERROR(__xludf.DUMMYFUNCTION("if(regexmatch($B199,""DE""),D199,"""")"),"")</f>
        <v/>
      </c>
      <c r="M199" s="20" t="str">
        <f>IFERROR(__xludf.DUMMYFUNCTION("if(regexmatch($B199,""DE""),concat(E199,C199),"""")"),"")</f>
        <v/>
      </c>
      <c r="N199" s="20" t="str">
        <f>IFERROR(__xludf.DUMMYFUNCTION("if(regexmatch($B199,""DE""),F199,"""")"),"")</f>
        <v/>
      </c>
    </row>
    <row r="200">
      <c r="A200" s="12"/>
      <c r="B200" s="12" t="str">
        <f>IFERROR(__xludf.DUMMYFUNCTION("""COMPUTED_VALUE"""),"RR4")</f>
        <v>RR4</v>
      </c>
      <c r="C200" s="12" t="str">
        <f>IFERROR(__xludf.DUMMYFUNCTION("""COMPUTED_VALUE"""),"American")</f>
        <v>American</v>
      </c>
      <c r="D200" s="12">
        <f>IFERROR(__xludf.DUMMYFUNCTION("""COMPUTED_VALUE"""),140.0)</f>
        <v>140</v>
      </c>
      <c r="E200" s="12" t="str">
        <f>IFERROR(__xludf.DUMMYFUNCTION("""COMPUTED_VALUE"""),"Gunn")</f>
        <v>Gunn</v>
      </c>
      <c r="F200" s="12">
        <f>IFERROR(__xludf.DUMMYFUNCTION("""COMPUTED_VALUE"""),58.0)</f>
        <v>58</v>
      </c>
      <c r="G200" s="20" t="str">
        <f>IFERROR(__xludf.DUMMYFUNCTION("if(regexmatch($B200,""RR""),concat(C200,E200),"""")"),"AmericanGunn")</f>
        <v>AmericanGunn</v>
      </c>
      <c r="H200" s="20">
        <f>IFERROR(__xludf.DUMMYFUNCTION("if(regexmatch($B200,""RR""),D200,"""")"),140.0)</f>
        <v>140</v>
      </c>
      <c r="I200" s="20" t="str">
        <f>IFERROR(__xludf.DUMMYFUNCTION("if(regexmatch($B200,""RR""),concat(E200,C200),"""")"),"GunnAmerican")</f>
        <v>GunnAmerican</v>
      </c>
      <c r="J200" s="20">
        <f>IFERROR(__xludf.DUMMYFUNCTION("if(regexmatch($B200,""RR""),F200,"""")"),58.0)</f>
        <v>58</v>
      </c>
      <c r="K200" s="20" t="str">
        <f>IFERROR(__xludf.DUMMYFUNCTION("if(regexmatch($B200,""DE""),concat(C200,E200),"""")"),"")</f>
        <v/>
      </c>
      <c r="L200" s="20" t="str">
        <f>IFERROR(__xludf.DUMMYFUNCTION("if(regexmatch($B200,""DE""),D200,"""")"),"")</f>
        <v/>
      </c>
      <c r="M200" s="20" t="str">
        <f>IFERROR(__xludf.DUMMYFUNCTION("if(regexmatch($B200,""DE""),concat(E200,C200),"""")"),"")</f>
        <v/>
      </c>
      <c r="N200" s="20" t="str">
        <f>IFERROR(__xludf.DUMMYFUNCTION("if(regexmatch($B200,""DE""),F200,"""")"),"")</f>
        <v/>
      </c>
    </row>
    <row r="201">
      <c r="A201" s="12"/>
      <c r="B201" s="12" t="str">
        <f>IFERROR(__xludf.DUMMYFUNCTION("""COMPUTED_VALUE"""),"RR5")</f>
        <v>RR5</v>
      </c>
      <c r="C201" s="12" t="str">
        <f>IFERROR(__xludf.DUMMYFUNCTION("""COMPUTED_VALUE"""),"Mission San Jose B")</f>
        <v>Mission San Jose B</v>
      </c>
      <c r="D201" s="12">
        <f>IFERROR(__xludf.DUMMYFUNCTION("""COMPUTED_VALUE"""),184.0)</f>
        <v>184</v>
      </c>
      <c r="E201" s="12" t="str">
        <f>IFERROR(__xludf.DUMMYFUNCTION("""COMPUTED_VALUE"""),"San Mateo")</f>
        <v>San Mateo</v>
      </c>
      <c r="F201" s="12">
        <f>IFERROR(__xludf.DUMMYFUNCTION("""COMPUTED_VALUE"""),22.0)</f>
        <v>22</v>
      </c>
      <c r="G201" s="20" t="str">
        <f>IFERROR(__xludf.DUMMYFUNCTION("if(regexmatch($B201,""RR""),concat(C201,E201),"""")"),"Mission San Jose BSan Mateo")</f>
        <v>Mission San Jose BSan Mateo</v>
      </c>
      <c r="H201" s="20">
        <f>IFERROR(__xludf.DUMMYFUNCTION("if(regexmatch($B201,""RR""),D201,"""")"),184.0)</f>
        <v>184</v>
      </c>
      <c r="I201" s="20" t="str">
        <f>IFERROR(__xludf.DUMMYFUNCTION("if(regexmatch($B201,""RR""),concat(E201,C201),"""")"),"San MateoMission San Jose B")</f>
        <v>San MateoMission San Jose B</v>
      </c>
      <c r="J201" s="20">
        <f>IFERROR(__xludf.DUMMYFUNCTION("if(regexmatch($B201,""RR""),F201,"""")"),22.0)</f>
        <v>22</v>
      </c>
      <c r="K201" s="20" t="str">
        <f>IFERROR(__xludf.DUMMYFUNCTION("if(regexmatch($B201,""DE""),concat(C201,E201),"""")"),"")</f>
        <v/>
      </c>
      <c r="L201" s="20" t="str">
        <f>IFERROR(__xludf.DUMMYFUNCTION("if(regexmatch($B201,""DE""),D201,"""")"),"")</f>
        <v/>
      </c>
      <c r="M201" s="20" t="str">
        <f>IFERROR(__xludf.DUMMYFUNCTION("if(regexmatch($B201,""DE""),concat(E201,C201),"""")"),"")</f>
        <v/>
      </c>
      <c r="N201" s="20" t="str">
        <f>IFERROR(__xludf.DUMMYFUNCTION("if(regexmatch($B201,""DE""),F201,"""")"),"")</f>
        <v/>
      </c>
    </row>
    <row r="202">
      <c r="A202" s="12"/>
      <c r="B202" s="12" t="str">
        <f>IFERROR(__xludf.DUMMYFUNCTION("""COMPUTED_VALUE"""),"DE1")</f>
        <v>DE1</v>
      </c>
      <c r="C202" s="12" t="str">
        <f>IFERROR(__xludf.DUMMYFUNCTION("""COMPUTED_VALUE"""),"American")</f>
        <v>American</v>
      </c>
      <c r="D202" s="12">
        <f>IFERROR(__xludf.DUMMYFUNCTION("""COMPUTED_VALUE"""),78.0)</f>
        <v>78</v>
      </c>
      <c r="E202" s="12" t="str">
        <f>IFERROR(__xludf.DUMMYFUNCTION("""COMPUTED_VALUE"""),"AVHS")</f>
        <v>AVHS</v>
      </c>
      <c r="F202" s="12">
        <f>IFERROR(__xludf.DUMMYFUNCTION("""COMPUTED_VALUE"""),150.0)</f>
        <v>150</v>
      </c>
      <c r="G202" s="20" t="str">
        <f>IFERROR(__xludf.DUMMYFUNCTION("if(regexmatch($B202,""RR""),concat(C202,E202),"""")"),"")</f>
        <v/>
      </c>
      <c r="H202" s="20" t="str">
        <f>IFERROR(__xludf.DUMMYFUNCTION("if(regexmatch($B202,""RR""),D202,"""")"),"")</f>
        <v/>
      </c>
      <c r="I202" s="20" t="str">
        <f>IFERROR(__xludf.DUMMYFUNCTION("if(regexmatch($B202,""RR""),concat(E202,C202),"""")"),"")</f>
        <v/>
      </c>
      <c r="J202" s="20" t="str">
        <f>IFERROR(__xludf.DUMMYFUNCTION("if(regexmatch($B202,""RR""),F202,"""")"),"")</f>
        <v/>
      </c>
      <c r="K202" s="20" t="str">
        <f>IFERROR(__xludf.DUMMYFUNCTION("if(regexmatch($B202,""DE""),concat(C202,E202),"""")"),"AmericanAVHS")</f>
        <v>AmericanAVHS</v>
      </c>
      <c r="L202" s="20">
        <f>IFERROR(__xludf.DUMMYFUNCTION("if(regexmatch($B202,""DE""),D202,"""")"),78.0)</f>
        <v>78</v>
      </c>
      <c r="M202" s="20" t="str">
        <f>IFERROR(__xludf.DUMMYFUNCTION("if(regexmatch($B202,""DE""),concat(E202,C202),"""")"),"AVHSAmerican")</f>
        <v>AVHSAmerican</v>
      </c>
      <c r="N202" s="20">
        <f>IFERROR(__xludf.DUMMYFUNCTION("if(regexmatch($B202,""DE""),F202,"""")"),150.0)</f>
        <v>150</v>
      </c>
    </row>
    <row r="203">
      <c r="A203" s="12"/>
      <c r="B203" s="12" t="str">
        <f>IFERROR(__xludf.DUMMYFUNCTION("""COMPUTED_VALUE"""),"DE2")</f>
        <v>DE2</v>
      </c>
      <c r="C203" s="12" t="str">
        <f>IFERROR(__xludf.DUMMYFUNCTION("""COMPUTED_VALUE"""),"Davidson B")</f>
        <v>Davidson B</v>
      </c>
      <c r="D203" s="12">
        <f>IFERROR(__xludf.DUMMYFUNCTION("""COMPUTED_VALUE"""),96.0)</f>
        <v>96</v>
      </c>
      <c r="E203" s="12" t="str">
        <f>IFERROR(__xludf.DUMMYFUNCTION("""COMPUTED_VALUE"""),"Saratoga")</f>
        <v>Saratoga</v>
      </c>
      <c r="F203" s="12">
        <f>IFERROR(__xludf.DUMMYFUNCTION("""COMPUTED_VALUE"""),110.0)</f>
        <v>110</v>
      </c>
      <c r="G203" s="20" t="str">
        <f>IFERROR(__xludf.DUMMYFUNCTION("if(regexmatch($B203,""RR""),concat(C203,E203),"""")"),"")</f>
        <v/>
      </c>
      <c r="H203" s="20" t="str">
        <f>IFERROR(__xludf.DUMMYFUNCTION("if(regexmatch($B203,""RR""),D203,"""")"),"")</f>
        <v/>
      </c>
      <c r="I203" s="20" t="str">
        <f>IFERROR(__xludf.DUMMYFUNCTION("if(regexmatch($B203,""RR""),concat(E203,C203),"""")"),"")</f>
        <v/>
      </c>
      <c r="J203" s="20" t="str">
        <f>IFERROR(__xludf.DUMMYFUNCTION("if(regexmatch($B203,""RR""),F203,"""")"),"")</f>
        <v/>
      </c>
      <c r="K203" s="20" t="str">
        <f>IFERROR(__xludf.DUMMYFUNCTION("if(regexmatch($B203,""DE""),concat(C203,E203),"""")"),"Davidson BSaratoga")</f>
        <v>Davidson BSaratoga</v>
      </c>
      <c r="L203" s="20">
        <f>IFERROR(__xludf.DUMMYFUNCTION("if(regexmatch($B203,""DE""),D203,"""")"),96.0)</f>
        <v>96</v>
      </c>
      <c r="M203" s="20" t="str">
        <f>IFERROR(__xludf.DUMMYFUNCTION("if(regexmatch($B203,""DE""),concat(E203,C203),"""")"),"SaratogaDavidson B")</f>
        <v>SaratogaDavidson B</v>
      </c>
      <c r="N203" s="20">
        <f>IFERROR(__xludf.DUMMYFUNCTION("if(regexmatch($B203,""DE""),F203,"""")"),110.0)</f>
        <v>110</v>
      </c>
    </row>
    <row r="204">
      <c r="A204" s="12"/>
      <c r="B204" s="12" t="str">
        <f>IFERROR(__xludf.DUMMYFUNCTION("""COMPUTED_VALUE"""),"DE3")</f>
        <v>DE3</v>
      </c>
      <c r="C204" s="12" t="str">
        <f>IFERROR(__xludf.DUMMYFUNCTION("""COMPUTED_VALUE"""),"Foothill A")</f>
        <v>Foothill A</v>
      </c>
      <c r="D204" s="12">
        <f>IFERROR(__xludf.DUMMYFUNCTION("""COMPUTED_VALUE"""),46.0)</f>
        <v>46</v>
      </c>
      <c r="E204" s="12" t="str">
        <f>IFERROR(__xludf.DUMMYFUNCTION("""COMPUTED_VALUE"""),"Davidson A")</f>
        <v>Davidson A</v>
      </c>
      <c r="F204" s="12">
        <f>IFERROR(__xludf.DUMMYFUNCTION("""COMPUTED_VALUE"""),94.0)</f>
        <v>94</v>
      </c>
      <c r="G204" s="20" t="str">
        <f>IFERROR(__xludf.DUMMYFUNCTION("if(regexmatch($B204,""RR""),concat(C204,E204),"""")"),"")</f>
        <v/>
      </c>
      <c r="H204" s="20" t="str">
        <f>IFERROR(__xludf.DUMMYFUNCTION("if(regexmatch($B204,""RR""),D204,"""")"),"")</f>
        <v/>
      </c>
      <c r="I204" s="20" t="str">
        <f>IFERROR(__xludf.DUMMYFUNCTION("if(regexmatch($B204,""RR""),concat(E204,C204),"""")"),"")</f>
        <v/>
      </c>
      <c r="J204" s="20" t="str">
        <f>IFERROR(__xludf.DUMMYFUNCTION("if(regexmatch($B204,""RR""),F204,"""")"),"")</f>
        <v/>
      </c>
      <c r="K204" s="20" t="str">
        <f>IFERROR(__xludf.DUMMYFUNCTION("if(regexmatch($B204,""DE""),concat(C204,E204),"""")"),"Foothill ADavidson A")</f>
        <v>Foothill ADavidson A</v>
      </c>
      <c r="L204" s="20">
        <f>IFERROR(__xludf.DUMMYFUNCTION("if(regexmatch($B204,""DE""),D204,"""")"),46.0)</f>
        <v>46</v>
      </c>
      <c r="M204" s="20" t="str">
        <f>IFERROR(__xludf.DUMMYFUNCTION("if(regexmatch($B204,""DE""),concat(E204,C204),"""")"),"Davidson AFoothill A")</f>
        <v>Davidson AFoothill A</v>
      </c>
      <c r="N204" s="20">
        <f>IFERROR(__xludf.DUMMYFUNCTION("if(regexmatch($B204,""DE""),F204,"""")"),94.0)</f>
        <v>94</v>
      </c>
    </row>
    <row r="205">
      <c r="A205" s="12"/>
      <c r="B205" s="12" t="str">
        <f>IFERROR(__xludf.DUMMYFUNCTION("""COMPUTED_VALUE"""),"DE4")</f>
        <v>DE4</v>
      </c>
      <c r="C205" s="12" t="str">
        <f>IFERROR(__xludf.DUMMYFUNCTION("""COMPUTED_VALUE"""),"Lynbrook A")</f>
        <v>Lynbrook A</v>
      </c>
      <c r="D205" s="12">
        <f>IFERROR(__xludf.DUMMYFUNCTION("""COMPUTED_VALUE"""),106.0)</f>
        <v>106</v>
      </c>
      <c r="E205" s="12" t="str">
        <f>IFERROR(__xludf.DUMMYFUNCTION("""COMPUTED_VALUE"""),"AVHS")</f>
        <v>AVHS</v>
      </c>
      <c r="F205" s="12">
        <f>IFERROR(__xludf.DUMMYFUNCTION("""COMPUTED_VALUE"""),98.0)</f>
        <v>98</v>
      </c>
      <c r="G205" s="20" t="str">
        <f>IFERROR(__xludf.DUMMYFUNCTION("if(regexmatch($B205,""RR""),concat(C205,E205),"""")"),"")</f>
        <v/>
      </c>
      <c r="H205" s="20" t="str">
        <f>IFERROR(__xludf.DUMMYFUNCTION("if(regexmatch($B205,""RR""),D205,"""")"),"")</f>
        <v/>
      </c>
      <c r="I205" s="20" t="str">
        <f>IFERROR(__xludf.DUMMYFUNCTION("if(regexmatch($B205,""RR""),concat(E205,C205),"""")"),"")</f>
        <v/>
      </c>
      <c r="J205" s="20" t="str">
        <f>IFERROR(__xludf.DUMMYFUNCTION("if(regexmatch($B205,""RR""),F205,"""")"),"")</f>
        <v/>
      </c>
      <c r="K205" s="20" t="str">
        <f>IFERROR(__xludf.DUMMYFUNCTION("if(regexmatch($B205,""DE""),concat(C205,E205),"""")"),"Lynbrook AAVHS")</f>
        <v>Lynbrook AAVHS</v>
      </c>
      <c r="L205" s="20">
        <f>IFERROR(__xludf.DUMMYFUNCTION("if(regexmatch($B205,""DE""),D205,"""")"),106.0)</f>
        <v>106</v>
      </c>
      <c r="M205" s="20" t="str">
        <f>IFERROR(__xludf.DUMMYFUNCTION("if(regexmatch($B205,""DE""),concat(E205,C205),"""")"),"AVHSLynbrook A")</f>
        <v>AVHSLynbrook A</v>
      </c>
      <c r="N205" s="20">
        <f>IFERROR(__xludf.DUMMYFUNCTION("if(regexmatch($B205,""DE""),F205,"""")"),98.0)</f>
        <v>98</v>
      </c>
    </row>
    <row r="206">
      <c r="A206" s="12"/>
      <c r="B206" s="12" t="str">
        <f>IFERROR(__xludf.DUMMYFUNCTION("""COMPUTED_VALUE"""),"DE5")</f>
        <v>DE5</v>
      </c>
      <c r="C206" s="12" t="str">
        <f>IFERROR(__xludf.DUMMYFUNCTION("""COMPUTED_VALUE"""),"[Select Team Name]")</f>
        <v>[Select Team Name]</v>
      </c>
      <c r="D206" s="12">
        <f>IFERROR(__xludf.DUMMYFUNCTION("""COMPUTED_VALUE"""),0.0)</f>
        <v>0</v>
      </c>
      <c r="E206" s="12" t="str">
        <f>IFERROR(__xludf.DUMMYFUNCTION("""COMPUTED_VALUE"""),"[Select Team Name]")</f>
        <v>[Select Team Name]</v>
      </c>
      <c r="F206" s="12">
        <f>IFERROR(__xludf.DUMMYFUNCTION("""COMPUTED_VALUE"""),0.0)</f>
        <v>0</v>
      </c>
      <c r="G206" s="20" t="str">
        <f>IFERROR(__xludf.DUMMYFUNCTION("if(regexmatch($B206,""RR""),concat(C206,E206),"""")"),"")</f>
        <v/>
      </c>
      <c r="H206" s="20" t="str">
        <f>IFERROR(__xludf.DUMMYFUNCTION("if(regexmatch($B206,""RR""),D206,"""")"),"")</f>
        <v/>
      </c>
      <c r="I206" s="20" t="str">
        <f>IFERROR(__xludf.DUMMYFUNCTION("if(regexmatch($B206,""RR""),concat(E206,C206),"""")"),"")</f>
        <v/>
      </c>
      <c r="J206" s="20" t="str">
        <f>IFERROR(__xludf.DUMMYFUNCTION("if(regexmatch($B206,""RR""),F206,"""")"),"")</f>
        <v/>
      </c>
      <c r="K206" s="20" t="str">
        <f>IFERROR(__xludf.DUMMYFUNCTION("if(regexmatch($B206,""DE""),concat(C206,E206),"""")"),"[Select Team Name][Select Team Name]")</f>
        <v>[Select Team Name][Select Team Name]</v>
      </c>
      <c r="L206" s="20">
        <f>IFERROR(__xludf.DUMMYFUNCTION("if(regexmatch($B206,""DE""),D206,"""")"),0.0)</f>
        <v>0</v>
      </c>
      <c r="M206" s="20" t="str">
        <f>IFERROR(__xludf.DUMMYFUNCTION("if(regexmatch($B206,""DE""),concat(E206,C206),"""")"),"[Select Team Name][Select Team Name]")</f>
        <v>[Select Team Name][Select Team Name]</v>
      </c>
      <c r="N206" s="20">
        <f>IFERROR(__xludf.DUMMYFUNCTION("if(regexmatch($B206,""DE""),F206,"""")"),0.0)</f>
        <v>0</v>
      </c>
    </row>
    <row r="207">
      <c r="A207" s="12"/>
      <c r="B207" s="12" t="str">
        <f>IFERROR(__xludf.DUMMYFUNCTION("""COMPUTED_VALUE"""),"DE6")</f>
        <v>DE6</v>
      </c>
      <c r="C207" s="12" t="str">
        <f>IFERROR(__xludf.DUMMYFUNCTION("""COMPUTED_VALUE"""),"[Select Team Name]")</f>
        <v>[Select Team Name]</v>
      </c>
      <c r="D207" s="12">
        <f>IFERROR(__xludf.DUMMYFUNCTION("""COMPUTED_VALUE"""),0.0)</f>
        <v>0</v>
      </c>
      <c r="E207" s="12" t="str">
        <f>IFERROR(__xludf.DUMMYFUNCTION("""COMPUTED_VALUE"""),"[Select Team Name]")</f>
        <v>[Select Team Name]</v>
      </c>
      <c r="F207" s="12">
        <f>IFERROR(__xludf.DUMMYFUNCTION("""COMPUTED_VALUE"""),0.0)</f>
        <v>0</v>
      </c>
      <c r="G207" s="20" t="str">
        <f>IFERROR(__xludf.DUMMYFUNCTION("if(regexmatch($B207,""RR""),concat(C207,E207),"""")"),"")</f>
        <v/>
      </c>
      <c r="H207" s="20" t="str">
        <f>IFERROR(__xludf.DUMMYFUNCTION("if(regexmatch($B207,""RR""),D207,"""")"),"")</f>
        <v/>
      </c>
      <c r="I207" s="20" t="str">
        <f>IFERROR(__xludf.DUMMYFUNCTION("if(regexmatch($B207,""RR""),concat(E207,C207),"""")"),"")</f>
        <v/>
      </c>
      <c r="J207" s="20" t="str">
        <f>IFERROR(__xludf.DUMMYFUNCTION("if(regexmatch($B207,""RR""),F207,"""")"),"")</f>
        <v/>
      </c>
      <c r="K207" s="20" t="str">
        <f>IFERROR(__xludf.DUMMYFUNCTION("if(regexmatch($B207,""DE""),concat(C207,E207),"""")"),"[Select Team Name][Select Team Name]")</f>
        <v>[Select Team Name][Select Team Name]</v>
      </c>
      <c r="L207" s="20">
        <f>IFERROR(__xludf.DUMMYFUNCTION("if(regexmatch($B207,""DE""),D207,"""")"),0.0)</f>
        <v>0</v>
      </c>
      <c r="M207" s="20" t="str">
        <f>IFERROR(__xludf.DUMMYFUNCTION("if(regexmatch($B207,""DE""),concat(E207,C207),"""")"),"[Select Team Name][Select Team Name]")</f>
        <v>[Select Team Name][Select Team Name]</v>
      </c>
      <c r="N207" s="20">
        <f>IFERROR(__xludf.DUMMYFUNCTION("if(regexmatch($B207,""DE""),F207,"""")"),0.0)</f>
        <v>0</v>
      </c>
    </row>
    <row r="208">
      <c r="A208" s="12"/>
      <c r="B208" s="12" t="str">
        <f>IFERROR(__xludf.DUMMYFUNCTION("""COMPUTED_VALUE"""),"DE7")</f>
        <v>DE7</v>
      </c>
      <c r="C208" s="12" t="str">
        <f>IFERROR(__xludf.DUMMYFUNCTION("""COMPUTED_VALUE"""),"[Select Team Name]")</f>
        <v>[Select Team Name]</v>
      </c>
      <c r="D208" s="12">
        <f>IFERROR(__xludf.DUMMYFUNCTION("""COMPUTED_VALUE"""),0.0)</f>
        <v>0</v>
      </c>
      <c r="E208" s="12" t="str">
        <f>IFERROR(__xludf.DUMMYFUNCTION("""COMPUTED_VALUE"""),"[Select Team Name]")</f>
        <v>[Select Team Name]</v>
      </c>
      <c r="F208" s="12">
        <f>IFERROR(__xludf.DUMMYFUNCTION("""COMPUTED_VALUE"""),0.0)</f>
        <v>0</v>
      </c>
      <c r="G208" s="20" t="str">
        <f>IFERROR(__xludf.DUMMYFUNCTION("if(regexmatch($B208,""RR""),concat(C208,E208),"""")"),"")</f>
        <v/>
      </c>
      <c r="H208" s="20" t="str">
        <f>IFERROR(__xludf.DUMMYFUNCTION("if(regexmatch($B208,""RR""),D208,"""")"),"")</f>
        <v/>
      </c>
      <c r="I208" s="20" t="str">
        <f>IFERROR(__xludf.DUMMYFUNCTION("if(regexmatch($B208,""RR""),concat(E208,C208),"""")"),"")</f>
        <v/>
      </c>
      <c r="J208" s="20" t="str">
        <f>IFERROR(__xludf.DUMMYFUNCTION("if(regexmatch($B208,""RR""),F208,"""")"),"")</f>
        <v/>
      </c>
      <c r="K208" s="20" t="str">
        <f>IFERROR(__xludf.DUMMYFUNCTION("if(regexmatch($B208,""DE""),concat(C208,E208),"""")"),"[Select Team Name][Select Team Name]")</f>
        <v>[Select Team Name][Select Team Name]</v>
      </c>
      <c r="L208" s="20">
        <f>IFERROR(__xludf.DUMMYFUNCTION("if(regexmatch($B208,""DE""),D208,"""")"),0.0)</f>
        <v>0</v>
      </c>
      <c r="M208" s="20" t="str">
        <f>IFERROR(__xludf.DUMMYFUNCTION("if(regexmatch($B208,""DE""),concat(E208,C208),"""")"),"[Select Team Name][Select Team Name]")</f>
        <v>[Select Team Name][Select Team Name]</v>
      </c>
      <c r="N208" s="20">
        <f>IFERROR(__xludf.DUMMYFUNCTION("if(regexmatch($B208,""DE""),F208,"""")"),0.0)</f>
        <v>0</v>
      </c>
    </row>
    <row r="209">
      <c r="A209" s="12"/>
      <c r="B209" s="12" t="str">
        <f>IFERROR(__xludf.DUMMYFUNCTION("""COMPUTED_VALUE"""),"DE8")</f>
        <v>DE8</v>
      </c>
      <c r="C209" s="12" t="str">
        <f>IFERROR(__xludf.DUMMYFUNCTION("""COMPUTED_VALUE"""),"[Select Team Name]")</f>
        <v>[Select Team Name]</v>
      </c>
      <c r="D209" s="12">
        <f>IFERROR(__xludf.DUMMYFUNCTION("""COMPUTED_VALUE"""),0.0)</f>
        <v>0</v>
      </c>
      <c r="E209" s="12" t="str">
        <f>IFERROR(__xludf.DUMMYFUNCTION("""COMPUTED_VALUE"""),"[Select Team Name]")</f>
        <v>[Select Team Name]</v>
      </c>
      <c r="F209" s="12">
        <f>IFERROR(__xludf.DUMMYFUNCTION("""COMPUTED_VALUE"""),0.0)</f>
        <v>0</v>
      </c>
      <c r="G209" s="20" t="str">
        <f>IFERROR(__xludf.DUMMYFUNCTION("if(regexmatch($B209,""RR""),concat(C209,E209),"""")"),"")</f>
        <v/>
      </c>
      <c r="H209" s="20" t="str">
        <f>IFERROR(__xludf.DUMMYFUNCTION("if(regexmatch($B209,""RR""),D209,"""")"),"")</f>
        <v/>
      </c>
      <c r="I209" s="20" t="str">
        <f>IFERROR(__xludf.DUMMYFUNCTION("if(regexmatch($B209,""RR""),concat(E209,C209),"""")"),"")</f>
        <v/>
      </c>
      <c r="J209" s="20" t="str">
        <f>IFERROR(__xludf.DUMMYFUNCTION("if(regexmatch($B209,""RR""),F209,"""")"),"")</f>
        <v/>
      </c>
      <c r="K209" s="20" t="str">
        <f>IFERROR(__xludf.DUMMYFUNCTION("if(regexmatch($B209,""DE""),concat(C209,E209),"""")"),"[Select Team Name][Select Team Name]")</f>
        <v>[Select Team Name][Select Team Name]</v>
      </c>
      <c r="L209" s="20">
        <f>IFERROR(__xludf.DUMMYFUNCTION("if(regexmatch($B209,""DE""),D209,"""")"),0.0)</f>
        <v>0</v>
      </c>
      <c r="M209" s="20" t="str">
        <f>IFERROR(__xludf.DUMMYFUNCTION("if(regexmatch($B209,""DE""),concat(E209,C209),"""")"),"[Select Team Name][Select Team Name]")</f>
        <v>[Select Team Name][Select Team Name]</v>
      </c>
      <c r="N209" s="20">
        <f>IFERROR(__xludf.DUMMYFUNCTION("if(regexmatch($B209,""DE""),F209,"""")"),0.0)</f>
        <v>0</v>
      </c>
    </row>
    <row r="210">
      <c r="A210" s="12"/>
      <c r="B210" s="12" t="str">
        <f>IFERROR(__xludf.DUMMYFUNCTION("""COMPUTED_VALUE"""),"DE9")</f>
        <v>DE9</v>
      </c>
      <c r="C210" s="12" t="str">
        <f>IFERROR(__xludf.DUMMYFUNCTION("""COMPUTED_VALUE"""),"[Select Team Name]")</f>
        <v>[Select Team Name]</v>
      </c>
      <c r="D210" s="12">
        <f>IFERROR(__xludf.DUMMYFUNCTION("""COMPUTED_VALUE"""),0.0)</f>
        <v>0</v>
      </c>
      <c r="E210" s="12" t="str">
        <f>IFERROR(__xludf.DUMMYFUNCTION("""COMPUTED_VALUE"""),"[Select Team Name]")</f>
        <v>[Select Team Name]</v>
      </c>
      <c r="F210" s="12">
        <f>IFERROR(__xludf.DUMMYFUNCTION("""COMPUTED_VALUE"""),0.0)</f>
        <v>0</v>
      </c>
      <c r="G210" s="20" t="str">
        <f>IFERROR(__xludf.DUMMYFUNCTION("if(regexmatch($B210,""RR""),concat(C210,E210),"""")"),"")</f>
        <v/>
      </c>
      <c r="H210" s="20" t="str">
        <f>IFERROR(__xludf.DUMMYFUNCTION("if(regexmatch($B210,""RR""),D210,"""")"),"")</f>
        <v/>
      </c>
      <c r="I210" s="20" t="str">
        <f>IFERROR(__xludf.DUMMYFUNCTION("if(regexmatch($B210,""RR""),concat(E210,C210),"""")"),"")</f>
        <v/>
      </c>
      <c r="J210" s="20" t="str">
        <f>IFERROR(__xludf.DUMMYFUNCTION("if(regexmatch($B210,""RR""),F210,"""")"),"")</f>
        <v/>
      </c>
      <c r="K210" s="20" t="str">
        <f>IFERROR(__xludf.DUMMYFUNCTION("if(regexmatch($B210,""DE""),concat(C210,E210),"""")"),"[Select Team Name][Select Team Name]")</f>
        <v>[Select Team Name][Select Team Name]</v>
      </c>
      <c r="L210" s="20">
        <f>IFERROR(__xludf.DUMMYFUNCTION("if(regexmatch($B210,""DE""),D210,"""")"),0.0)</f>
        <v>0</v>
      </c>
      <c r="M210" s="20" t="str">
        <f>IFERROR(__xludf.DUMMYFUNCTION("if(regexmatch($B210,""DE""),concat(E210,C210),"""")"),"[Select Team Name][Select Team Name]")</f>
        <v>[Select Team Name][Select Team Name]</v>
      </c>
      <c r="N210" s="20">
        <f>IFERROR(__xludf.DUMMYFUNCTION("if(regexmatch($B210,""DE""),F210,"""")"),0.0)</f>
        <v>0</v>
      </c>
    </row>
    <row r="211">
      <c r="A211" s="1"/>
      <c r="B211" s="12" t="str">
        <f>IFERROR(__xludf.DUMMYFUNCTION("importrange(""https://docs.google.com/spreadsheets/d/1pkjYisvqduw9sNOFOAOtfUHq52NyJGXyoclMer2tHjk/edit?usp=drive_link"",""Scores!A2:E15"")"),"RR1")</f>
        <v>RR1</v>
      </c>
      <c r="C211" s="12" t="str">
        <f>IFERROR(__xludf.DUMMYFUNCTION("""COMPUTED_VALUE"""),"Davidson B")</f>
        <v>Davidson B</v>
      </c>
      <c r="D211" s="12">
        <f>IFERROR(__xludf.DUMMYFUNCTION("""COMPUTED_VALUE"""),156.0)</f>
        <v>156</v>
      </c>
      <c r="E211" s="12" t="str">
        <f>IFERROR(__xludf.DUMMYFUNCTION("""COMPUTED_VALUE"""),"Logan")</f>
        <v>Logan</v>
      </c>
      <c r="F211" s="12">
        <f>IFERROR(__xludf.DUMMYFUNCTION("""COMPUTED_VALUE"""),30.0)</f>
        <v>30</v>
      </c>
      <c r="G211" s="20" t="str">
        <f>IFERROR(__xludf.DUMMYFUNCTION("if(regexmatch($B211,""RR""),concat(C211,E211),"""")"),"Davidson BLogan")</f>
        <v>Davidson BLogan</v>
      </c>
      <c r="H211" s="20">
        <f>IFERROR(__xludf.DUMMYFUNCTION("if(regexmatch($B211,""RR""),D211,"""")"),156.0)</f>
        <v>156</v>
      </c>
      <c r="I211" s="20" t="str">
        <f>IFERROR(__xludf.DUMMYFUNCTION("if(regexmatch($B211,""RR""),concat(E211,C211),"""")"),"LoganDavidson B")</f>
        <v>LoganDavidson B</v>
      </c>
      <c r="J211" s="20">
        <f>IFERROR(__xludf.DUMMYFUNCTION("if(regexmatch($B211,""RR""),F211,"""")"),30.0)</f>
        <v>30</v>
      </c>
      <c r="K211" s="20" t="str">
        <f>IFERROR(__xludf.DUMMYFUNCTION("if(regexmatch($B211,""DE""),concat(C211,E211),"""")"),"")</f>
        <v/>
      </c>
      <c r="L211" s="20" t="str">
        <f>IFERROR(__xludf.DUMMYFUNCTION("if(regexmatch($B211,""DE""),D211,"""")"),"")</f>
        <v/>
      </c>
      <c r="M211" s="20" t="str">
        <f>IFERROR(__xludf.DUMMYFUNCTION("if(regexmatch($B211,""DE""),concat(E211,C211),"""")"),"")</f>
        <v/>
      </c>
      <c r="N211" s="20" t="str">
        <f>IFERROR(__xludf.DUMMYFUNCTION("if(regexmatch($B211,""DE""),F211,"""")"),"")</f>
        <v/>
      </c>
    </row>
    <row r="212">
      <c r="A212" s="12"/>
      <c r="B212" s="12" t="str">
        <f>IFERROR(__xludf.DUMMYFUNCTION("""COMPUTED_VALUE"""),"RR2")</f>
        <v>RR2</v>
      </c>
      <c r="C212" s="12" t="str">
        <f>IFERROR(__xludf.DUMMYFUNCTION("""COMPUTED_VALUE"""),"Albany A")</f>
        <v>Albany A</v>
      </c>
      <c r="D212" s="12">
        <f>IFERROR(__xludf.DUMMYFUNCTION("""COMPUTED_VALUE"""),28.0)</f>
        <v>28</v>
      </c>
      <c r="E212" s="12" t="str">
        <f>IFERROR(__xludf.DUMMYFUNCTION("""COMPUTED_VALUE"""),"Mission San Jose A")</f>
        <v>Mission San Jose A</v>
      </c>
      <c r="F212" s="12">
        <f>IFERROR(__xludf.DUMMYFUNCTION("""COMPUTED_VALUE"""),238.0)</f>
        <v>238</v>
      </c>
      <c r="G212" s="20" t="str">
        <f>IFERROR(__xludf.DUMMYFUNCTION("if(regexmatch($B212,""RR""),concat(C212,E212),"""")"),"Albany AMission San Jose A")</f>
        <v>Albany AMission San Jose A</v>
      </c>
      <c r="H212" s="20">
        <f>IFERROR(__xludf.DUMMYFUNCTION("if(regexmatch($B212,""RR""),D212,"""")"),28.0)</f>
        <v>28</v>
      </c>
      <c r="I212" s="20" t="str">
        <f>IFERROR(__xludf.DUMMYFUNCTION("if(regexmatch($B212,""RR""),concat(E212,C212),"""")"),"Mission San Jose AAlbany A")</f>
        <v>Mission San Jose AAlbany A</v>
      </c>
      <c r="J212" s="20">
        <f>IFERROR(__xludf.DUMMYFUNCTION("if(regexmatch($B212,""RR""),F212,"""")"),238.0)</f>
        <v>238</v>
      </c>
      <c r="K212" s="20" t="str">
        <f>IFERROR(__xludf.DUMMYFUNCTION("if(regexmatch($B212,""DE""),concat(C212,E212),"""")"),"")</f>
        <v/>
      </c>
      <c r="L212" s="20" t="str">
        <f>IFERROR(__xludf.DUMMYFUNCTION("if(regexmatch($B212,""DE""),D212,"""")"),"")</f>
        <v/>
      </c>
      <c r="M212" s="20" t="str">
        <f>IFERROR(__xludf.DUMMYFUNCTION("if(regexmatch($B212,""DE""),concat(E212,C212),"""")"),"")</f>
        <v/>
      </c>
      <c r="N212" s="20" t="str">
        <f>IFERROR(__xludf.DUMMYFUNCTION("if(regexmatch($B212,""DE""),F212,"""")"),"")</f>
        <v/>
      </c>
    </row>
    <row r="213">
      <c r="A213" s="12"/>
      <c r="B213" s="12" t="str">
        <f>IFERROR(__xludf.DUMMYFUNCTION("""COMPUTED_VALUE"""),"RR3")</f>
        <v>RR3</v>
      </c>
      <c r="C213" s="12" t="str">
        <f>IFERROR(__xludf.DUMMYFUNCTION("""COMPUTED_VALUE"""),"Dougherty Valley B")</f>
        <v>Dougherty Valley B</v>
      </c>
      <c r="D213" s="12">
        <f>IFERROR(__xludf.DUMMYFUNCTION("""COMPUTED_VALUE"""),34.0)</f>
        <v>34</v>
      </c>
      <c r="E213" s="12" t="str">
        <f>IFERROR(__xludf.DUMMYFUNCTION("""COMPUTED_VALUE"""),"Clovis North")</f>
        <v>Clovis North</v>
      </c>
      <c r="F213" s="12">
        <f>IFERROR(__xludf.DUMMYFUNCTION("""COMPUTED_VALUE"""),120.0)</f>
        <v>120</v>
      </c>
      <c r="G213" s="20" t="str">
        <f>IFERROR(__xludf.DUMMYFUNCTION("if(regexmatch($B213,""RR""),concat(C213,E213),"""")"),"Dougherty Valley BClovis North")</f>
        <v>Dougherty Valley BClovis North</v>
      </c>
      <c r="H213" s="20">
        <f>IFERROR(__xludf.DUMMYFUNCTION("if(regexmatch($B213,""RR""),D213,"""")"),34.0)</f>
        <v>34</v>
      </c>
      <c r="I213" s="20" t="str">
        <f>IFERROR(__xludf.DUMMYFUNCTION("if(regexmatch($B213,""RR""),concat(E213,C213),"""")"),"Clovis NorthDougherty Valley B")</f>
        <v>Clovis NorthDougherty Valley B</v>
      </c>
      <c r="J213" s="20">
        <f>IFERROR(__xludf.DUMMYFUNCTION("if(regexmatch($B213,""RR""),F213,"""")"),120.0)</f>
        <v>120</v>
      </c>
      <c r="K213" s="20" t="str">
        <f>IFERROR(__xludf.DUMMYFUNCTION("if(regexmatch($B213,""DE""),concat(C213,E213),"""")"),"")</f>
        <v/>
      </c>
      <c r="L213" s="20" t="str">
        <f>IFERROR(__xludf.DUMMYFUNCTION("if(regexmatch($B213,""DE""),D213,"""")"),"")</f>
        <v/>
      </c>
      <c r="M213" s="20" t="str">
        <f>IFERROR(__xludf.DUMMYFUNCTION("if(regexmatch($B213,""DE""),concat(E213,C213),"""")"),"")</f>
        <v/>
      </c>
      <c r="N213" s="20" t="str">
        <f>IFERROR(__xludf.DUMMYFUNCTION("if(regexmatch($B213,""DE""),F213,"""")"),"")</f>
        <v/>
      </c>
    </row>
    <row r="214">
      <c r="A214" s="12"/>
      <c r="B214" s="12" t="str">
        <f>IFERROR(__xludf.DUMMYFUNCTION("""COMPUTED_VALUE"""),"RR4")</f>
        <v>RR4</v>
      </c>
      <c r="C214" s="12" t="str">
        <f>IFERROR(__xludf.DUMMYFUNCTION("""COMPUTED_VALUE"""),"Quarry Lane A")</f>
        <v>Quarry Lane A</v>
      </c>
      <c r="D214" s="12">
        <f>IFERROR(__xludf.DUMMYFUNCTION("""COMPUTED_VALUE"""),40.0)</f>
        <v>40</v>
      </c>
      <c r="E214" s="12" t="str">
        <f>IFERROR(__xludf.DUMMYFUNCTION("""COMPUTED_VALUE"""),"California B")</f>
        <v>California B</v>
      </c>
      <c r="F214" s="12">
        <f>IFERROR(__xludf.DUMMYFUNCTION("""COMPUTED_VALUE"""),22.0)</f>
        <v>22</v>
      </c>
      <c r="G214" s="20" t="str">
        <f>IFERROR(__xludf.DUMMYFUNCTION("if(regexmatch($B214,""RR""),concat(C214,E214),"""")"),"Quarry Lane ACalifornia B")</f>
        <v>Quarry Lane ACalifornia B</v>
      </c>
      <c r="H214" s="20">
        <f>IFERROR(__xludf.DUMMYFUNCTION("if(regexmatch($B214,""RR""),D214,"""")"),40.0)</f>
        <v>40</v>
      </c>
      <c r="I214" s="20" t="str">
        <f>IFERROR(__xludf.DUMMYFUNCTION("if(regexmatch($B214,""RR""),concat(E214,C214),"""")"),"California BQuarry Lane A")</f>
        <v>California BQuarry Lane A</v>
      </c>
      <c r="J214" s="20">
        <f>IFERROR(__xludf.DUMMYFUNCTION("if(regexmatch($B214,""RR""),F214,"""")"),22.0)</f>
        <v>22</v>
      </c>
      <c r="K214" s="20" t="str">
        <f>IFERROR(__xludf.DUMMYFUNCTION("if(regexmatch($B214,""DE""),concat(C214,E214),"""")"),"")</f>
        <v/>
      </c>
      <c r="L214" s="20" t="str">
        <f>IFERROR(__xludf.DUMMYFUNCTION("if(regexmatch($B214,""DE""),D214,"""")"),"")</f>
        <v/>
      </c>
      <c r="M214" s="20" t="str">
        <f>IFERROR(__xludf.DUMMYFUNCTION("if(regexmatch($B214,""DE""),concat(E214,C214),"""")"),"")</f>
        <v/>
      </c>
      <c r="N214" s="20" t="str">
        <f>IFERROR(__xludf.DUMMYFUNCTION("if(regexmatch($B214,""DE""),F214,"""")"),"")</f>
        <v/>
      </c>
    </row>
    <row r="215">
      <c r="A215" s="12"/>
      <c r="B215" s="12" t="str">
        <f>IFERROR(__xludf.DUMMYFUNCTION("""COMPUTED_VALUE"""),"RR5")</f>
        <v>RR5</v>
      </c>
      <c r="C215" s="12" t="str">
        <f>IFERROR(__xludf.DUMMYFUNCTION("""COMPUTED_VALUE"""),"American")</f>
        <v>American</v>
      </c>
      <c r="D215" s="12">
        <f>IFERROR(__xludf.DUMMYFUNCTION("""COMPUTED_VALUE"""),128.0)</f>
        <v>128</v>
      </c>
      <c r="E215" s="12" t="str">
        <f>IFERROR(__xludf.DUMMYFUNCTION("""COMPUTED_VALUE"""),"Cupertino A")</f>
        <v>Cupertino A</v>
      </c>
      <c r="F215" s="12">
        <f>IFERROR(__xludf.DUMMYFUNCTION("""COMPUTED_VALUE"""),76.0)</f>
        <v>76</v>
      </c>
      <c r="G215" s="20" t="str">
        <f>IFERROR(__xludf.DUMMYFUNCTION("if(regexmatch($B215,""RR""),concat(C215,E215),"""")"),"AmericanCupertino A")</f>
        <v>AmericanCupertino A</v>
      </c>
      <c r="H215" s="20">
        <f>IFERROR(__xludf.DUMMYFUNCTION("if(regexmatch($B215,""RR""),D215,"""")"),128.0)</f>
        <v>128</v>
      </c>
      <c r="I215" s="20" t="str">
        <f>IFERROR(__xludf.DUMMYFUNCTION("if(regexmatch($B215,""RR""),concat(E215,C215),"""")"),"Cupertino AAmerican")</f>
        <v>Cupertino AAmerican</v>
      </c>
      <c r="J215" s="20">
        <f>IFERROR(__xludf.DUMMYFUNCTION("if(regexmatch($B215,""RR""),F215,"""")"),76.0)</f>
        <v>76</v>
      </c>
      <c r="K215" s="20" t="str">
        <f>IFERROR(__xludf.DUMMYFUNCTION("if(regexmatch($B215,""DE""),concat(C215,E215),"""")"),"")</f>
        <v/>
      </c>
      <c r="L215" s="20" t="str">
        <f>IFERROR(__xludf.DUMMYFUNCTION("if(regexmatch($B215,""DE""),D215,"""")"),"")</f>
        <v/>
      </c>
      <c r="M215" s="20" t="str">
        <f>IFERROR(__xludf.DUMMYFUNCTION("if(regexmatch($B215,""DE""),concat(E215,C215),"""")"),"")</f>
        <v/>
      </c>
      <c r="N215" s="20" t="str">
        <f>IFERROR(__xludf.DUMMYFUNCTION("if(regexmatch($B215,""DE""),F215,"""")"),"")</f>
        <v/>
      </c>
    </row>
    <row r="216">
      <c r="A216" s="12"/>
      <c r="B216" s="12" t="str">
        <f>IFERROR(__xludf.DUMMYFUNCTION("""COMPUTED_VALUE"""),"DE1")</f>
        <v>DE1</v>
      </c>
      <c r="C216" s="12" t="str">
        <f>IFERROR(__xludf.DUMMYFUNCTION("""COMPUTED_VALUE"""),"Clovis North")</f>
        <v>Clovis North</v>
      </c>
      <c r="D216" s="12">
        <f>IFERROR(__xludf.DUMMYFUNCTION("""COMPUTED_VALUE"""),82.0)</f>
        <v>82</v>
      </c>
      <c r="E216" s="12" t="str">
        <f>IFERROR(__xludf.DUMMYFUNCTION("""COMPUTED_VALUE"""),"Davidson A")</f>
        <v>Davidson A</v>
      </c>
      <c r="F216" s="12">
        <f>IFERROR(__xludf.DUMMYFUNCTION("""COMPUTED_VALUE"""),152.0)</f>
        <v>152</v>
      </c>
      <c r="G216" s="20" t="str">
        <f>IFERROR(__xludf.DUMMYFUNCTION("if(regexmatch($B216,""RR""),concat(C216,E216),"""")"),"")</f>
        <v/>
      </c>
      <c r="H216" s="20" t="str">
        <f>IFERROR(__xludf.DUMMYFUNCTION("if(regexmatch($B216,""RR""),D216,"""")"),"")</f>
        <v/>
      </c>
      <c r="I216" s="20" t="str">
        <f>IFERROR(__xludf.DUMMYFUNCTION("if(regexmatch($B216,""RR""),concat(E216,C216),"""")"),"")</f>
        <v/>
      </c>
      <c r="J216" s="20" t="str">
        <f>IFERROR(__xludf.DUMMYFUNCTION("if(regexmatch($B216,""RR""),F216,"""")"),"")</f>
        <v/>
      </c>
      <c r="K216" s="20" t="str">
        <f>IFERROR(__xludf.DUMMYFUNCTION("if(regexmatch($B216,""DE""),concat(C216,E216),"""")"),"Clovis NorthDavidson A")</f>
        <v>Clovis NorthDavidson A</v>
      </c>
      <c r="L216" s="20">
        <f>IFERROR(__xludf.DUMMYFUNCTION("if(regexmatch($B216,""DE""),D216,"""")"),82.0)</f>
        <v>82</v>
      </c>
      <c r="M216" s="20" t="str">
        <f>IFERROR(__xludf.DUMMYFUNCTION("if(regexmatch($B216,""DE""),concat(E216,C216),"""")"),"Davidson AClovis North")</f>
        <v>Davidson AClovis North</v>
      </c>
      <c r="N216" s="20">
        <f>IFERROR(__xludf.DUMMYFUNCTION("if(regexmatch($B216,""DE""),F216,"""")"),152.0)</f>
        <v>152</v>
      </c>
    </row>
    <row r="217">
      <c r="A217" s="12"/>
      <c r="B217" s="12" t="str">
        <f>IFERROR(__xludf.DUMMYFUNCTION("""COMPUTED_VALUE"""),"DE2")</f>
        <v>DE2</v>
      </c>
      <c r="C217" s="12" t="str">
        <f>IFERROR(__xludf.DUMMYFUNCTION("""COMPUTED_VALUE"""),"AVHS")</f>
        <v>AVHS</v>
      </c>
      <c r="D217" s="12">
        <f>IFERROR(__xludf.DUMMYFUNCTION("""COMPUTED_VALUE"""),152.0)</f>
        <v>152</v>
      </c>
      <c r="E217" s="12" t="str">
        <f>IFERROR(__xludf.DUMMYFUNCTION("""COMPUTED_VALUE"""),"Davidson A")</f>
        <v>Davidson A</v>
      </c>
      <c r="F217" s="12">
        <f>IFERROR(__xludf.DUMMYFUNCTION("""COMPUTED_VALUE"""),48.0)</f>
        <v>48</v>
      </c>
      <c r="G217" s="20" t="str">
        <f>IFERROR(__xludf.DUMMYFUNCTION("if(regexmatch($B217,""RR""),concat(C217,E217),"""")"),"")</f>
        <v/>
      </c>
      <c r="H217" s="20" t="str">
        <f>IFERROR(__xludf.DUMMYFUNCTION("if(regexmatch($B217,""RR""),D217,"""")"),"")</f>
        <v/>
      </c>
      <c r="I217" s="20" t="str">
        <f>IFERROR(__xludf.DUMMYFUNCTION("if(regexmatch($B217,""RR""),concat(E217,C217),"""")"),"")</f>
        <v/>
      </c>
      <c r="J217" s="20" t="str">
        <f>IFERROR(__xludf.DUMMYFUNCTION("if(regexmatch($B217,""RR""),F217,"""")"),"")</f>
        <v/>
      </c>
      <c r="K217" s="20" t="str">
        <f>IFERROR(__xludf.DUMMYFUNCTION("if(regexmatch($B217,""DE""),concat(C217,E217),"""")"),"AVHSDavidson A")</f>
        <v>AVHSDavidson A</v>
      </c>
      <c r="L217" s="20">
        <f>IFERROR(__xludf.DUMMYFUNCTION("if(regexmatch($B217,""DE""),D217,"""")"),152.0)</f>
        <v>152</v>
      </c>
      <c r="M217" s="20" t="str">
        <f>IFERROR(__xludf.DUMMYFUNCTION("if(regexmatch($B217,""DE""),concat(E217,C217),"""")"),"Davidson AAVHS")</f>
        <v>Davidson AAVHS</v>
      </c>
      <c r="N217" s="20">
        <f>IFERROR(__xludf.DUMMYFUNCTION("if(regexmatch($B217,""DE""),F217,"""")"),48.0)</f>
        <v>48</v>
      </c>
    </row>
    <row r="218">
      <c r="A218" s="12"/>
      <c r="B218" s="12" t="str">
        <f>IFERROR(__xludf.DUMMYFUNCTION("""COMPUTED_VALUE"""),"DE3")</f>
        <v>DE3</v>
      </c>
      <c r="C218" s="12" t="str">
        <f>IFERROR(__xludf.DUMMYFUNCTION("""COMPUTED_VALUE"""),"Saratoga")</f>
        <v>Saratoga</v>
      </c>
      <c r="D218" s="12">
        <f>IFERROR(__xludf.DUMMYFUNCTION("""COMPUTED_VALUE"""),54.0)</f>
        <v>54</v>
      </c>
      <c r="E218" s="12" t="str">
        <f>IFERROR(__xludf.DUMMYFUNCTION("""COMPUTED_VALUE"""),"Palo Alto")</f>
        <v>Palo Alto</v>
      </c>
      <c r="F218" s="12">
        <f>IFERROR(__xludf.DUMMYFUNCTION("""COMPUTED_VALUE"""),62.0)</f>
        <v>62</v>
      </c>
      <c r="G218" s="20" t="str">
        <f>IFERROR(__xludf.DUMMYFUNCTION("if(regexmatch($B218,""RR""),concat(C218,E218),"""")"),"")</f>
        <v/>
      </c>
      <c r="H218" s="20" t="str">
        <f>IFERROR(__xludf.DUMMYFUNCTION("if(regexmatch($B218,""RR""),D218,"""")"),"")</f>
        <v/>
      </c>
      <c r="I218" s="20" t="str">
        <f>IFERROR(__xludf.DUMMYFUNCTION("if(regexmatch($B218,""RR""),concat(E218,C218),"""")"),"")</f>
        <v/>
      </c>
      <c r="J218" s="20" t="str">
        <f>IFERROR(__xludf.DUMMYFUNCTION("if(regexmatch($B218,""RR""),F218,"""")"),"")</f>
        <v/>
      </c>
      <c r="K218" s="20" t="str">
        <f>IFERROR(__xludf.DUMMYFUNCTION("if(regexmatch($B218,""DE""),concat(C218,E218),"""")"),"SaratogaPalo Alto")</f>
        <v>SaratogaPalo Alto</v>
      </c>
      <c r="L218" s="20">
        <f>IFERROR(__xludf.DUMMYFUNCTION("if(regexmatch($B218,""DE""),D218,"""")"),54.0)</f>
        <v>54</v>
      </c>
      <c r="M218" s="20" t="str">
        <f>IFERROR(__xludf.DUMMYFUNCTION("if(regexmatch($B218,""DE""),concat(E218,C218),"""")"),"Palo AltoSaratoga")</f>
        <v>Palo AltoSaratoga</v>
      </c>
      <c r="N218" s="20">
        <f>IFERROR(__xludf.DUMMYFUNCTION("if(regexmatch($B218,""DE""),F218,"""")"),62.0)</f>
        <v>62</v>
      </c>
    </row>
    <row r="219">
      <c r="A219" s="12"/>
      <c r="B219" s="12" t="str">
        <f>IFERROR(__xludf.DUMMYFUNCTION("""COMPUTED_VALUE"""),"DE4")</f>
        <v>DE4</v>
      </c>
      <c r="C219" s="12" t="str">
        <f>IFERROR(__xludf.DUMMYFUNCTION("""COMPUTED_VALUE"""),"Lynbrook B")</f>
        <v>Lynbrook B</v>
      </c>
      <c r="D219" s="12">
        <f>IFERROR(__xludf.DUMMYFUNCTION("""COMPUTED_VALUE"""),34.0)</f>
        <v>34</v>
      </c>
      <c r="E219" s="12" t="str">
        <f>IFERROR(__xludf.DUMMYFUNCTION("""COMPUTED_VALUE"""),"Davidson A")</f>
        <v>Davidson A</v>
      </c>
      <c r="F219" s="12">
        <f>IFERROR(__xludf.DUMMYFUNCTION("""COMPUTED_VALUE"""),96.0)</f>
        <v>96</v>
      </c>
      <c r="G219" s="20" t="str">
        <f>IFERROR(__xludf.DUMMYFUNCTION("if(regexmatch($B219,""RR""),concat(C219,E219),"""")"),"")</f>
        <v/>
      </c>
      <c r="H219" s="20" t="str">
        <f>IFERROR(__xludf.DUMMYFUNCTION("if(regexmatch($B219,""RR""),D219,"""")"),"")</f>
        <v/>
      </c>
      <c r="I219" s="20" t="str">
        <f>IFERROR(__xludf.DUMMYFUNCTION("if(regexmatch($B219,""RR""),concat(E219,C219),"""")"),"")</f>
        <v/>
      </c>
      <c r="J219" s="20" t="str">
        <f>IFERROR(__xludf.DUMMYFUNCTION("if(regexmatch($B219,""RR""),F219,"""")"),"")</f>
        <v/>
      </c>
      <c r="K219" s="20" t="str">
        <f>IFERROR(__xludf.DUMMYFUNCTION("if(regexmatch($B219,""DE""),concat(C219,E219),"""")"),"Lynbrook BDavidson A")</f>
        <v>Lynbrook BDavidson A</v>
      </c>
      <c r="L219" s="20">
        <f>IFERROR(__xludf.DUMMYFUNCTION("if(regexmatch($B219,""DE""),D219,"""")"),34.0)</f>
        <v>34</v>
      </c>
      <c r="M219" s="20" t="str">
        <f>IFERROR(__xludf.DUMMYFUNCTION("if(regexmatch($B219,""DE""),concat(E219,C219),"""")"),"Davidson ALynbrook B")</f>
        <v>Davidson ALynbrook B</v>
      </c>
      <c r="N219" s="20">
        <f>IFERROR(__xludf.DUMMYFUNCTION("if(regexmatch($B219,""DE""),F219,"""")"),96.0)</f>
        <v>96</v>
      </c>
    </row>
    <row r="220">
      <c r="A220" s="12"/>
      <c r="B220" s="12" t="str">
        <f>IFERROR(__xludf.DUMMYFUNCTION("""COMPUTED_VALUE"""),"DE5")</f>
        <v>DE5</v>
      </c>
      <c r="C220" s="12" t="str">
        <f>IFERROR(__xludf.DUMMYFUNCTION("""COMPUTED_VALUE"""),"AVHS")</f>
        <v>AVHS</v>
      </c>
      <c r="D220" s="12">
        <f>IFERROR(__xludf.DUMMYFUNCTION("""COMPUTED_VALUE"""),64.0)</f>
        <v>64</v>
      </c>
      <c r="E220" s="12" t="str">
        <f>IFERROR(__xludf.DUMMYFUNCTION("""COMPUTED_VALUE"""),"Palo Alto")</f>
        <v>Palo Alto</v>
      </c>
      <c r="F220" s="12">
        <f>IFERROR(__xludf.DUMMYFUNCTION("""COMPUTED_VALUE"""),72.0)</f>
        <v>72</v>
      </c>
      <c r="G220" s="20" t="str">
        <f>IFERROR(__xludf.DUMMYFUNCTION("if(regexmatch($B220,""RR""),concat(C220,E220),"""")"),"")</f>
        <v/>
      </c>
      <c r="H220" s="20" t="str">
        <f>IFERROR(__xludf.DUMMYFUNCTION("if(regexmatch($B220,""RR""),D220,"""")"),"")</f>
        <v/>
      </c>
      <c r="I220" s="20" t="str">
        <f>IFERROR(__xludf.DUMMYFUNCTION("if(regexmatch($B220,""RR""),concat(E220,C220),"""")"),"")</f>
        <v/>
      </c>
      <c r="J220" s="20" t="str">
        <f>IFERROR(__xludf.DUMMYFUNCTION("if(regexmatch($B220,""RR""),F220,"""")"),"")</f>
        <v/>
      </c>
      <c r="K220" s="20" t="str">
        <f>IFERROR(__xludf.DUMMYFUNCTION("if(regexmatch($B220,""DE""),concat(C220,E220),"""")"),"AVHSPalo Alto")</f>
        <v>AVHSPalo Alto</v>
      </c>
      <c r="L220" s="20">
        <f>IFERROR(__xludf.DUMMYFUNCTION("if(regexmatch($B220,""DE""),D220,"""")"),64.0)</f>
        <v>64</v>
      </c>
      <c r="M220" s="20" t="str">
        <f>IFERROR(__xludf.DUMMYFUNCTION("if(regexmatch($B220,""DE""),concat(E220,C220),"""")"),"Palo AltoAVHS")</f>
        <v>Palo AltoAVHS</v>
      </c>
      <c r="N220" s="20">
        <f>IFERROR(__xludf.DUMMYFUNCTION("if(regexmatch($B220,""DE""),F220,"""")"),72.0)</f>
        <v>72</v>
      </c>
    </row>
    <row r="221">
      <c r="A221" s="12"/>
      <c r="B221" s="12" t="str">
        <f>IFERROR(__xludf.DUMMYFUNCTION("""COMPUTED_VALUE"""),"DE6")</f>
        <v>DE6</v>
      </c>
      <c r="C221" s="12" t="str">
        <f>IFERROR(__xludf.DUMMYFUNCTION("""COMPUTED_VALUE"""),"Mission San Jose A")</f>
        <v>Mission San Jose A</v>
      </c>
      <c r="D221" s="12">
        <f>IFERROR(__xludf.DUMMYFUNCTION("""COMPUTED_VALUE"""),102.0)</f>
        <v>102</v>
      </c>
      <c r="E221" s="12" t="str">
        <f>IFERROR(__xludf.DUMMYFUNCTION("""COMPUTED_VALUE"""),"Palo Alto")</f>
        <v>Palo Alto</v>
      </c>
      <c r="F221" s="12">
        <f>IFERROR(__xludf.DUMMYFUNCTION("""COMPUTED_VALUE"""),74.0)</f>
        <v>74</v>
      </c>
      <c r="G221" s="20" t="str">
        <f>IFERROR(__xludf.DUMMYFUNCTION("if(regexmatch($B221,""RR""),concat(C221,E221),"""")"),"")</f>
        <v/>
      </c>
      <c r="H221" s="20" t="str">
        <f>IFERROR(__xludf.DUMMYFUNCTION("if(regexmatch($B221,""RR""),D221,"""")"),"")</f>
        <v/>
      </c>
      <c r="I221" s="20" t="str">
        <f>IFERROR(__xludf.DUMMYFUNCTION("if(regexmatch($B221,""RR""),concat(E221,C221),"""")"),"")</f>
        <v/>
      </c>
      <c r="J221" s="20" t="str">
        <f>IFERROR(__xludf.DUMMYFUNCTION("if(regexmatch($B221,""RR""),F221,"""")"),"")</f>
        <v/>
      </c>
      <c r="K221" s="20" t="str">
        <f>IFERROR(__xludf.DUMMYFUNCTION("if(regexmatch($B221,""DE""),concat(C221,E221),"""")"),"Mission San Jose APalo Alto")</f>
        <v>Mission San Jose APalo Alto</v>
      </c>
      <c r="L221" s="20">
        <f>IFERROR(__xludf.DUMMYFUNCTION("if(regexmatch($B221,""DE""),D221,"""")"),102.0)</f>
        <v>102</v>
      </c>
      <c r="M221" s="20" t="str">
        <f>IFERROR(__xludf.DUMMYFUNCTION("if(regexmatch($B221,""DE""),concat(E221,C221),"""")"),"Palo AltoMission San Jose A")</f>
        <v>Palo AltoMission San Jose A</v>
      </c>
      <c r="N221" s="20">
        <f>IFERROR(__xludf.DUMMYFUNCTION("if(regexmatch($B221,""DE""),F221,"""")"),74.0)</f>
        <v>74</v>
      </c>
    </row>
    <row r="222">
      <c r="A222" s="12"/>
      <c r="B222" s="12" t="str">
        <f>IFERROR(__xludf.DUMMYFUNCTION("""COMPUTED_VALUE"""),"DE7")</f>
        <v>DE7</v>
      </c>
      <c r="C222" s="12" t="str">
        <f>IFERROR(__xludf.DUMMYFUNCTION("""COMPUTED_VALUE"""),"[Select Team Name]")</f>
        <v>[Select Team Name]</v>
      </c>
      <c r="D222" s="12">
        <f>IFERROR(__xludf.DUMMYFUNCTION("""COMPUTED_VALUE"""),0.0)</f>
        <v>0</v>
      </c>
      <c r="E222" s="12" t="str">
        <f>IFERROR(__xludf.DUMMYFUNCTION("""COMPUTED_VALUE"""),"[Select Team Name]")</f>
        <v>[Select Team Name]</v>
      </c>
      <c r="F222" s="12">
        <f>IFERROR(__xludf.DUMMYFUNCTION("""COMPUTED_VALUE"""),0.0)</f>
        <v>0</v>
      </c>
      <c r="G222" s="20" t="str">
        <f>IFERROR(__xludf.DUMMYFUNCTION("if(regexmatch($B222,""RR""),concat(C222,E222),"""")"),"")</f>
        <v/>
      </c>
      <c r="H222" s="20" t="str">
        <f>IFERROR(__xludf.DUMMYFUNCTION("if(regexmatch($B222,""RR""),D222,"""")"),"")</f>
        <v/>
      </c>
      <c r="I222" s="20" t="str">
        <f>IFERROR(__xludf.DUMMYFUNCTION("if(regexmatch($B222,""RR""),concat(E222,C222),"""")"),"")</f>
        <v/>
      </c>
      <c r="J222" s="20" t="str">
        <f>IFERROR(__xludf.DUMMYFUNCTION("if(regexmatch($B222,""RR""),F222,"""")"),"")</f>
        <v/>
      </c>
      <c r="K222" s="20" t="str">
        <f>IFERROR(__xludf.DUMMYFUNCTION("if(regexmatch($B222,""DE""),concat(C222,E222),"""")"),"[Select Team Name][Select Team Name]")</f>
        <v>[Select Team Name][Select Team Name]</v>
      </c>
      <c r="L222" s="20">
        <f>IFERROR(__xludf.DUMMYFUNCTION("if(regexmatch($B222,""DE""),D222,"""")"),0.0)</f>
        <v>0</v>
      </c>
      <c r="M222" s="20" t="str">
        <f>IFERROR(__xludf.DUMMYFUNCTION("if(regexmatch($B222,""DE""),concat(E222,C222),"""")"),"[Select Team Name][Select Team Name]")</f>
        <v>[Select Team Name][Select Team Name]</v>
      </c>
      <c r="N222" s="20">
        <f>IFERROR(__xludf.DUMMYFUNCTION("if(regexmatch($B222,""DE""),F222,"""")"),0.0)</f>
        <v>0</v>
      </c>
    </row>
    <row r="223">
      <c r="A223" s="12"/>
      <c r="B223" s="12" t="str">
        <f>IFERROR(__xludf.DUMMYFUNCTION("""COMPUTED_VALUE"""),"DE8")</f>
        <v>DE8</v>
      </c>
      <c r="C223" s="12" t="str">
        <f>IFERROR(__xludf.DUMMYFUNCTION("""COMPUTED_VALUE"""),"[Select Team Name]")</f>
        <v>[Select Team Name]</v>
      </c>
      <c r="D223" s="12">
        <f>IFERROR(__xludf.DUMMYFUNCTION("""COMPUTED_VALUE"""),0.0)</f>
        <v>0</v>
      </c>
      <c r="E223" s="12" t="str">
        <f>IFERROR(__xludf.DUMMYFUNCTION("""COMPUTED_VALUE"""),"[Select Team Name]")</f>
        <v>[Select Team Name]</v>
      </c>
      <c r="F223" s="12">
        <f>IFERROR(__xludf.DUMMYFUNCTION("""COMPUTED_VALUE"""),0.0)</f>
        <v>0</v>
      </c>
      <c r="G223" s="20" t="str">
        <f>IFERROR(__xludf.DUMMYFUNCTION("if(regexmatch($B223,""RR""),concat(C223,E223),"""")"),"")</f>
        <v/>
      </c>
      <c r="H223" s="20" t="str">
        <f>IFERROR(__xludf.DUMMYFUNCTION("if(regexmatch($B223,""RR""),D223,"""")"),"")</f>
        <v/>
      </c>
      <c r="I223" s="20" t="str">
        <f>IFERROR(__xludf.DUMMYFUNCTION("if(regexmatch($B223,""RR""),concat(E223,C223),"""")"),"")</f>
        <v/>
      </c>
      <c r="J223" s="20" t="str">
        <f>IFERROR(__xludf.DUMMYFUNCTION("if(regexmatch($B223,""RR""),F223,"""")"),"")</f>
        <v/>
      </c>
      <c r="K223" s="20" t="str">
        <f>IFERROR(__xludf.DUMMYFUNCTION("if(regexmatch($B223,""DE""),concat(C223,E223),"""")"),"[Select Team Name][Select Team Name]")</f>
        <v>[Select Team Name][Select Team Name]</v>
      </c>
      <c r="L223" s="20">
        <f>IFERROR(__xludf.DUMMYFUNCTION("if(regexmatch($B223,""DE""),D223,"""")"),0.0)</f>
        <v>0</v>
      </c>
      <c r="M223" s="20" t="str">
        <f>IFERROR(__xludf.DUMMYFUNCTION("if(regexmatch($B223,""DE""),concat(E223,C223),"""")"),"[Select Team Name][Select Team Name]")</f>
        <v>[Select Team Name][Select Team Name]</v>
      </c>
      <c r="N223" s="20">
        <f>IFERROR(__xludf.DUMMYFUNCTION("if(regexmatch($B223,""DE""),F223,"""")"),0.0)</f>
        <v>0</v>
      </c>
    </row>
    <row r="224">
      <c r="A224" s="12"/>
      <c r="B224" s="12" t="str">
        <f>IFERROR(__xludf.DUMMYFUNCTION("""COMPUTED_VALUE"""),"DE9")</f>
        <v>DE9</v>
      </c>
      <c r="C224" s="12" t="str">
        <f>IFERROR(__xludf.DUMMYFUNCTION("""COMPUTED_VALUE"""),"[Select Team Name]")</f>
        <v>[Select Team Name]</v>
      </c>
      <c r="D224" s="12">
        <f>IFERROR(__xludf.DUMMYFUNCTION("""COMPUTED_VALUE"""),0.0)</f>
        <v>0</v>
      </c>
      <c r="E224" s="12" t="str">
        <f>IFERROR(__xludf.DUMMYFUNCTION("""COMPUTED_VALUE"""),"[Select Team Name]")</f>
        <v>[Select Team Name]</v>
      </c>
      <c r="F224" s="12">
        <f>IFERROR(__xludf.DUMMYFUNCTION("""COMPUTED_VALUE"""),0.0)</f>
        <v>0</v>
      </c>
      <c r="G224" s="20" t="str">
        <f>IFERROR(__xludf.DUMMYFUNCTION("if(regexmatch($B224,""RR""),concat(C224,E224),"""")"),"")</f>
        <v/>
      </c>
      <c r="H224" s="20" t="str">
        <f>IFERROR(__xludf.DUMMYFUNCTION("if(regexmatch($B224,""RR""),D224,"""")"),"")</f>
        <v/>
      </c>
      <c r="I224" s="20" t="str">
        <f>IFERROR(__xludf.DUMMYFUNCTION("if(regexmatch($B224,""RR""),concat(E224,C224),"""")"),"")</f>
        <v/>
      </c>
      <c r="J224" s="20" t="str">
        <f>IFERROR(__xludf.DUMMYFUNCTION("if(regexmatch($B224,""RR""),F224,"""")"),"")</f>
        <v/>
      </c>
      <c r="K224" s="20" t="str">
        <f>IFERROR(__xludf.DUMMYFUNCTION("if(regexmatch($B224,""DE""),concat(C224,E224),"""")"),"[Select Team Name][Select Team Name]")</f>
        <v>[Select Team Name][Select Team Name]</v>
      </c>
      <c r="L224" s="20">
        <f>IFERROR(__xludf.DUMMYFUNCTION("if(regexmatch($B224,""DE""),D224,"""")"),0.0)</f>
        <v>0</v>
      </c>
      <c r="M224" s="20" t="str">
        <f>IFERROR(__xludf.DUMMYFUNCTION("if(regexmatch($B224,""DE""),concat(E224,C224),"""")"),"[Select Team Name][Select Team Name]")</f>
        <v>[Select Team Name][Select Team Name]</v>
      </c>
      <c r="N224" s="20">
        <f>IFERROR(__xludf.DUMMYFUNCTION("if(regexmatch($B224,""DE""),F224,"""")"),0.0)</f>
        <v>0</v>
      </c>
    </row>
    <row r="225">
      <c r="A225" s="1"/>
      <c r="B225" s="12" t="str">
        <f>IFERROR(__xludf.DUMMYFUNCTION("importrange(""https://docs.google.com/spreadsheets/d/1HwSEy4Vg2trAPdKFNenyDFVVZUmxDuFwruYeaBPC6ZU/edit?usp=drive_link"",""Scores!A2:E15"")"),"RR1")</f>
        <v>RR1</v>
      </c>
      <c r="C225" s="12" t="str">
        <f>IFERROR(__xludf.DUMMYFUNCTION("""COMPUTED_VALUE"""),"Dougherty Valley A")</f>
        <v>Dougherty Valley A</v>
      </c>
      <c r="D225" s="12">
        <f>IFERROR(__xludf.DUMMYFUNCTION("""COMPUTED_VALUE"""),134.0)</f>
        <v>134</v>
      </c>
      <c r="E225" s="12" t="str">
        <f>IFERROR(__xludf.DUMMYFUNCTION("""COMPUTED_VALUE"""),"A-Tech B")</f>
        <v>A-Tech B</v>
      </c>
      <c r="F225" s="12">
        <f>IFERROR(__xludf.DUMMYFUNCTION("""COMPUTED_VALUE"""),40.0)</f>
        <v>40</v>
      </c>
      <c r="G225" s="20" t="str">
        <f>IFERROR(__xludf.DUMMYFUNCTION("if(regexmatch($B225,""RR""),concat(C225,E225),"""")"),"Dougherty Valley AA-Tech B")</f>
        <v>Dougherty Valley AA-Tech B</v>
      </c>
      <c r="H225" s="20">
        <f>IFERROR(__xludf.DUMMYFUNCTION("if(regexmatch($B225,""RR""),D225,"""")"),134.0)</f>
        <v>134</v>
      </c>
      <c r="I225" s="20" t="str">
        <f>IFERROR(__xludf.DUMMYFUNCTION("if(regexmatch($B225,""RR""),concat(E225,C225),"""")"),"A-Tech BDougherty Valley A")</f>
        <v>A-Tech BDougherty Valley A</v>
      </c>
      <c r="J225" s="20">
        <f>IFERROR(__xludf.DUMMYFUNCTION("if(regexmatch($B225,""RR""),F225,"""")"),40.0)</f>
        <v>40</v>
      </c>
      <c r="K225" s="20" t="str">
        <f>IFERROR(__xludf.DUMMYFUNCTION("if(regexmatch($B225,""DE""),concat(C225,E225),"""")"),"")</f>
        <v/>
      </c>
      <c r="L225" s="20" t="str">
        <f>IFERROR(__xludf.DUMMYFUNCTION("if(regexmatch($B225,""DE""),D225,"""")"),"")</f>
        <v/>
      </c>
      <c r="M225" s="20" t="str">
        <f>IFERROR(__xludf.DUMMYFUNCTION("if(regexmatch($B225,""DE""),concat(E225,C225),"""")"),"")</f>
        <v/>
      </c>
      <c r="N225" s="20" t="str">
        <f>IFERROR(__xludf.DUMMYFUNCTION("if(regexmatch($B225,""DE""),F225,"""")"),"")</f>
        <v/>
      </c>
    </row>
    <row r="226">
      <c r="A226" s="12"/>
      <c r="B226" s="12" t="str">
        <f>IFERROR(__xludf.DUMMYFUNCTION("""COMPUTED_VALUE"""),"RR2")</f>
        <v>RR2</v>
      </c>
      <c r="C226" s="12" t="str">
        <f>IFERROR(__xludf.DUMMYFUNCTION("""COMPUTED_VALUE"""),"Logan")</f>
        <v>Logan</v>
      </c>
      <c r="D226" s="12">
        <f>IFERROR(__xludf.DUMMYFUNCTION("""COMPUTED_VALUE"""),8.0)</f>
        <v>8</v>
      </c>
      <c r="E226" s="12" t="str">
        <f>IFERROR(__xludf.DUMMYFUNCTION("""COMPUTED_VALUE"""),"BASIS Silicon Valley")</f>
        <v>BASIS Silicon Valley</v>
      </c>
      <c r="F226" s="12">
        <f>IFERROR(__xludf.DUMMYFUNCTION("""COMPUTED_VALUE"""),164.0)</f>
        <v>164</v>
      </c>
      <c r="G226" s="20" t="str">
        <f>IFERROR(__xludf.DUMMYFUNCTION("if(regexmatch($B226,""RR""),concat(C226,E226),"""")"),"LoganBASIS Silicon Valley")</f>
        <v>LoganBASIS Silicon Valley</v>
      </c>
      <c r="H226" s="20">
        <f>IFERROR(__xludf.DUMMYFUNCTION("if(regexmatch($B226,""RR""),D226,"""")"),8.0)</f>
        <v>8</v>
      </c>
      <c r="I226" s="20" t="str">
        <f>IFERROR(__xludf.DUMMYFUNCTION("if(regexmatch($B226,""RR""),concat(E226,C226),"""")"),"BASIS Silicon ValleyLogan")</f>
        <v>BASIS Silicon ValleyLogan</v>
      </c>
      <c r="J226" s="20">
        <f>IFERROR(__xludf.DUMMYFUNCTION("if(regexmatch($B226,""RR""),F226,"""")"),164.0)</f>
        <v>164</v>
      </c>
      <c r="K226" s="20" t="str">
        <f>IFERROR(__xludf.DUMMYFUNCTION("if(regexmatch($B226,""DE""),concat(C226,E226),"""")"),"")</f>
        <v/>
      </c>
      <c r="L226" s="20" t="str">
        <f>IFERROR(__xludf.DUMMYFUNCTION("if(regexmatch($B226,""DE""),D226,"""")"),"")</f>
        <v/>
      </c>
      <c r="M226" s="20" t="str">
        <f>IFERROR(__xludf.DUMMYFUNCTION("if(regexmatch($B226,""DE""),concat(E226,C226),"""")"),"")</f>
        <v/>
      </c>
      <c r="N226" s="20" t="str">
        <f>IFERROR(__xludf.DUMMYFUNCTION("if(regexmatch($B226,""DE""),F226,"""")"),"")</f>
        <v/>
      </c>
    </row>
    <row r="227">
      <c r="A227" s="12"/>
      <c r="B227" s="12" t="str">
        <f>IFERROR(__xludf.DUMMYFUNCTION("""COMPUTED_VALUE"""),"RR3")</f>
        <v>RR3</v>
      </c>
      <c r="C227" s="12" t="str">
        <f>IFERROR(__xludf.DUMMYFUNCTION("""COMPUTED_VALUE"""),"Foothill A")</f>
        <v>Foothill A</v>
      </c>
      <c r="D227" s="12">
        <f>IFERROR(__xludf.DUMMYFUNCTION("""COMPUTED_VALUE"""),132.0)</f>
        <v>132</v>
      </c>
      <c r="E227" s="12" t="str">
        <f>IFERROR(__xludf.DUMMYFUNCTION("""COMPUTED_VALUE"""),"Saint Francis")</f>
        <v>Saint Francis</v>
      </c>
      <c r="F227" s="12">
        <f>IFERROR(__xludf.DUMMYFUNCTION("""COMPUTED_VALUE"""),18.0)</f>
        <v>18</v>
      </c>
      <c r="G227" s="20" t="str">
        <f>IFERROR(__xludf.DUMMYFUNCTION("if(regexmatch($B227,""RR""),concat(C227,E227),"""")"),"Foothill ASaint Francis")</f>
        <v>Foothill ASaint Francis</v>
      </c>
      <c r="H227" s="20">
        <f>IFERROR(__xludf.DUMMYFUNCTION("if(regexmatch($B227,""RR""),D227,"""")"),132.0)</f>
        <v>132</v>
      </c>
      <c r="I227" s="20" t="str">
        <f>IFERROR(__xludf.DUMMYFUNCTION("if(regexmatch($B227,""RR""),concat(E227,C227),"""")"),"Saint FrancisFoothill A")</f>
        <v>Saint FrancisFoothill A</v>
      </c>
      <c r="J227" s="20">
        <f>IFERROR(__xludf.DUMMYFUNCTION("if(regexmatch($B227,""RR""),F227,"""")"),18.0)</f>
        <v>18</v>
      </c>
      <c r="K227" s="20" t="str">
        <f>IFERROR(__xludf.DUMMYFUNCTION("if(regexmatch($B227,""DE""),concat(C227,E227),"""")"),"")</f>
        <v/>
      </c>
      <c r="L227" s="20" t="str">
        <f>IFERROR(__xludf.DUMMYFUNCTION("if(regexmatch($B227,""DE""),D227,"""")"),"")</f>
        <v/>
      </c>
      <c r="M227" s="20" t="str">
        <f>IFERROR(__xludf.DUMMYFUNCTION("if(regexmatch($B227,""DE""),concat(E227,C227),"""")"),"")</f>
        <v/>
      </c>
      <c r="N227" s="20" t="str">
        <f>IFERROR(__xludf.DUMMYFUNCTION("if(regexmatch($B227,""DE""),F227,"""")"),"")</f>
        <v/>
      </c>
    </row>
    <row r="228">
      <c r="A228" s="12"/>
      <c r="B228" s="12" t="str">
        <f>IFERROR(__xludf.DUMMYFUNCTION("""COMPUTED_VALUE"""),"RR4")</f>
        <v>RR4</v>
      </c>
      <c r="C228" s="12" t="str">
        <f>IFERROR(__xludf.DUMMYFUNCTION("""COMPUTED_VALUE"""),"Dougherty Valley B")</f>
        <v>Dougherty Valley B</v>
      </c>
      <c r="D228" s="12">
        <f>IFERROR(__xludf.DUMMYFUNCTION("""COMPUTED_VALUE"""),48.0)</f>
        <v>48</v>
      </c>
      <c r="E228" s="12" t="str">
        <f>IFERROR(__xludf.DUMMYFUNCTION("""COMPUTED_VALUE"""),"Palo Alto")</f>
        <v>Palo Alto</v>
      </c>
      <c r="F228" s="12">
        <f>IFERROR(__xludf.DUMMYFUNCTION("""COMPUTED_VALUE"""),128.0)</f>
        <v>128</v>
      </c>
      <c r="G228" s="20" t="str">
        <f>IFERROR(__xludf.DUMMYFUNCTION("if(regexmatch($B228,""RR""),concat(C228,E228),"""")"),"Dougherty Valley BPalo Alto")</f>
        <v>Dougherty Valley BPalo Alto</v>
      </c>
      <c r="H228" s="20">
        <f>IFERROR(__xludf.DUMMYFUNCTION("if(regexmatch($B228,""RR""),D228,"""")"),48.0)</f>
        <v>48</v>
      </c>
      <c r="I228" s="20" t="str">
        <f>IFERROR(__xludf.DUMMYFUNCTION("if(regexmatch($B228,""RR""),concat(E228,C228),"""")"),"Palo AltoDougherty Valley B")</f>
        <v>Palo AltoDougherty Valley B</v>
      </c>
      <c r="J228" s="20">
        <f>IFERROR(__xludf.DUMMYFUNCTION("if(regexmatch($B228,""RR""),F228,"""")"),128.0)</f>
        <v>128</v>
      </c>
      <c r="K228" s="20" t="str">
        <f>IFERROR(__xludf.DUMMYFUNCTION("if(regexmatch($B228,""DE""),concat(C228,E228),"""")"),"")</f>
        <v/>
      </c>
      <c r="L228" s="20" t="str">
        <f>IFERROR(__xludf.DUMMYFUNCTION("if(regexmatch($B228,""DE""),D228,"""")"),"")</f>
        <v/>
      </c>
      <c r="M228" s="20" t="str">
        <f>IFERROR(__xludf.DUMMYFUNCTION("if(regexmatch($B228,""DE""),concat(E228,C228),"""")"),"")</f>
        <v/>
      </c>
      <c r="N228" s="20" t="str">
        <f>IFERROR(__xludf.DUMMYFUNCTION("if(regexmatch($B228,""DE""),F228,"""")"),"")</f>
        <v/>
      </c>
    </row>
    <row r="229">
      <c r="A229" s="12"/>
      <c r="B229" s="12" t="str">
        <f>IFERROR(__xludf.DUMMYFUNCTION("""COMPUTED_VALUE"""),"RR5")</f>
        <v>RR5</v>
      </c>
      <c r="C229" s="12" t="str">
        <f>IFERROR(__xludf.DUMMYFUNCTION("""COMPUTED_VALUE"""),"Gunn")</f>
        <v>Gunn</v>
      </c>
      <c r="D229" s="12">
        <f>IFERROR(__xludf.DUMMYFUNCTION("""COMPUTED_VALUE"""),118.0)</f>
        <v>118</v>
      </c>
      <c r="E229" s="12" t="str">
        <f>IFERROR(__xludf.DUMMYFUNCTION("""COMPUTED_VALUE"""),"California B")</f>
        <v>California B</v>
      </c>
      <c r="F229" s="12">
        <f>IFERROR(__xludf.DUMMYFUNCTION("""COMPUTED_VALUE"""),4.0)</f>
        <v>4</v>
      </c>
      <c r="G229" s="20" t="str">
        <f>IFERROR(__xludf.DUMMYFUNCTION("if(regexmatch($B229,""RR""),concat(C229,E229),"""")"),"GunnCalifornia B")</f>
        <v>GunnCalifornia B</v>
      </c>
      <c r="H229" s="20">
        <f>IFERROR(__xludf.DUMMYFUNCTION("if(regexmatch($B229,""RR""),D229,"""")"),118.0)</f>
        <v>118</v>
      </c>
      <c r="I229" s="20" t="str">
        <f>IFERROR(__xludf.DUMMYFUNCTION("if(regexmatch($B229,""RR""),concat(E229,C229),"""")"),"California BGunn")</f>
        <v>California BGunn</v>
      </c>
      <c r="J229" s="20">
        <f>IFERROR(__xludf.DUMMYFUNCTION("if(regexmatch($B229,""RR""),F229,"""")"),4.0)</f>
        <v>4</v>
      </c>
      <c r="K229" s="20" t="str">
        <f>IFERROR(__xludf.DUMMYFUNCTION("if(regexmatch($B229,""DE""),concat(C229,E229),"""")"),"")</f>
        <v/>
      </c>
      <c r="L229" s="20" t="str">
        <f>IFERROR(__xludf.DUMMYFUNCTION("if(regexmatch($B229,""DE""),D229,"""")"),"")</f>
        <v/>
      </c>
      <c r="M229" s="20" t="str">
        <f>IFERROR(__xludf.DUMMYFUNCTION("if(regexmatch($B229,""DE""),concat(E229,C229),"""")"),"")</f>
        <v/>
      </c>
      <c r="N229" s="20" t="str">
        <f>IFERROR(__xludf.DUMMYFUNCTION("if(regexmatch($B229,""DE""),F229,"""")"),"")</f>
        <v/>
      </c>
    </row>
    <row r="230">
      <c r="A230" s="12"/>
      <c r="B230" s="12" t="str">
        <f>IFERROR(__xludf.DUMMYFUNCTION("""COMPUTED_VALUE"""),"DE1")</f>
        <v>DE1</v>
      </c>
      <c r="C230" s="12" t="str">
        <f>IFERROR(__xludf.DUMMYFUNCTION("""COMPUTED_VALUE"""),"Dougherty Valley A")</f>
        <v>Dougherty Valley A</v>
      </c>
      <c r="D230" s="12">
        <f>IFERROR(__xludf.DUMMYFUNCTION("""COMPUTED_VALUE"""),100.0)</f>
        <v>100</v>
      </c>
      <c r="E230" s="12" t="str">
        <f>IFERROR(__xludf.DUMMYFUNCTION("""COMPUTED_VALUE"""),"Foothill B")</f>
        <v>Foothill B</v>
      </c>
      <c r="F230" s="12">
        <f>IFERROR(__xludf.DUMMYFUNCTION("""COMPUTED_VALUE"""),22.0)</f>
        <v>22</v>
      </c>
      <c r="G230" s="20" t="str">
        <f>IFERROR(__xludf.DUMMYFUNCTION("if(regexmatch($B230,""RR""),concat(C230,E230),"""")"),"")</f>
        <v/>
      </c>
      <c r="H230" s="20" t="str">
        <f>IFERROR(__xludf.DUMMYFUNCTION("if(regexmatch($B230,""RR""),D230,"""")"),"")</f>
        <v/>
      </c>
      <c r="I230" s="20" t="str">
        <f>IFERROR(__xludf.DUMMYFUNCTION("if(regexmatch($B230,""RR""),concat(E230,C230),"""")"),"")</f>
        <v/>
      </c>
      <c r="J230" s="20" t="str">
        <f>IFERROR(__xludf.DUMMYFUNCTION("if(regexmatch($B230,""RR""),F230,"""")"),"")</f>
        <v/>
      </c>
      <c r="K230" s="20" t="str">
        <f>IFERROR(__xludf.DUMMYFUNCTION("if(regexmatch($B230,""DE""),concat(C230,E230),"""")"),"Dougherty Valley AFoothill B")</f>
        <v>Dougherty Valley AFoothill B</v>
      </c>
      <c r="L230" s="20">
        <f>IFERROR(__xludf.DUMMYFUNCTION("if(regexmatch($B230,""DE""),D230,"""")"),100.0)</f>
        <v>100</v>
      </c>
      <c r="M230" s="20" t="str">
        <f>IFERROR(__xludf.DUMMYFUNCTION("if(regexmatch($B230,""DE""),concat(E230,C230),"""")"),"Foothill BDougherty Valley A")</f>
        <v>Foothill BDougherty Valley A</v>
      </c>
      <c r="N230" s="20">
        <f>IFERROR(__xludf.DUMMYFUNCTION("if(regexmatch($B230,""DE""),F230,"""")"),22.0)</f>
        <v>22</v>
      </c>
    </row>
    <row r="231">
      <c r="A231" s="12"/>
      <c r="B231" s="12" t="str">
        <f>IFERROR(__xludf.DUMMYFUNCTION("""COMPUTED_VALUE"""),"DE2")</f>
        <v>DE2</v>
      </c>
      <c r="C231" s="12" t="str">
        <f>IFERROR(__xludf.DUMMYFUNCTION("""COMPUTED_VALUE"""),"Dougherty Valley A")</f>
        <v>Dougherty Valley A</v>
      </c>
      <c r="D231" s="12">
        <f>IFERROR(__xludf.DUMMYFUNCTION("""COMPUTED_VALUE"""),48.0)</f>
        <v>48</v>
      </c>
      <c r="E231" s="12" t="str">
        <f>IFERROR(__xludf.DUMMYFUNCTION("""COMPUTED_VALUE"""),"Gunn")</f>
        <v>Gunn</v>
      </c>
      <c r="F231" s="12">
        <f>IFERROR(__xludf.DUMMYFUNCTION("""COMPUTED_VALUE"""),8.0)</f>
        <v>8</v>
      </c>
      <c r="G231" s="20" t="str">
        <f>IFERROR(__xludf.DUMMYFUNCTION("if(regexmatch($B231,""RR""),concat(C231,E231),"""")"),"")</f>
        <v/>
      </c>
      <c r="H231" s="20" t="str">
        <f>IFERROR(__xludf.DUMMYFUNCTION("if(regexmatch($B231,""RR""),D231,"""")"),"")</f>
        <v/>
      </c>
      <c r="I231" s="20" t="str">
        <f>IFERROR(__xludf.DUMMYFUNCTION("if(regexmatch($B231,""RR""),concat(E231,C231),"""")"),"")</f>
        <v/>
      </c>
      <c r="J231" s="20" t="str">
        <f>IFERROR(__xludf.DUMMYFUNCTION("if(regexmatch($B231,""RR""),F231,"""")"),"")</f>
        <v/>
      </c>
      <c r="K231" s="20" t="str">
        <f>IFERROR(__xludf.DUMMYFUNCTION("if(regexmatch($B231,""DE""),concat(C231,E231),"""")"),"Dougherty Valley AGunn")</f>
        <v>Dougherty Valley AGunn</v>
      </c>
      <c r="L231" s="20">
        <f>IFERROR(__xludf.DUMMYFUNCTION("if(regexmatch($B231,""DE""),D231,"""")"),48.0)</f>
        <v>48</v>
      </c>
      <c r="M231" s="20" t="str">
        <f>IFERROR(__xludf.DUMMYFUNCTION("if(regexmatch($B231,""DE""),concat(E231,C231),"""")"),"GunnDougherty Valley A")</f>
        <v>GunnDougherty Valley A</v>
      </c>
      <c r="N231" s="20">
        <f>IFERROR(__xludf.DUMMYFUNCTION("if(regexmatch($B231,""DE""),F231,"""")"),8.0)</f>
        <v>8</v>
      </c>
    </row>
    <row r="232">
      <c r="A232" s="12"/>
      <c r="B232" s="12" t="str">
        <f>IFERROR(__xludf.DUMMYFUNCTION("""COMPUTED_VALUE"""),"DE3")</f>
        <v>DE3</v>
      </c>
      <c r="C232" s="12" t="str">
        <f>IFERROR(__xludf.DUMMYFUNCTION("""COMPUTED_VALUE"""),"Foothill B")</f>
        <v>Foothill B</v>
      </c>
      <c r="D232" s="12">
        <f>IFERROR(__xludf.DUMMYFUNCTION("""COMPUTED_VALUE"""),12.0)</f>
        <v>12</v>
      </c>
      <c r="E232" s="12" t="str">
        <f>IFERROR(__xludf.DUMMYFUNCTION("""COMPUTED_VALUE"""),"Gunn")</f>
        <v>Gunn</v>
      </c>
      <c r="F232" s="12">
        <f>IFERROR(__xludf.DUMMYFUNCTION("""COMPUTED_VALUE"""),8.0)</f>
        <v>8</v>
      </c>
      <c r="G232" s="20" t="str">
        <f>IFERROR(__xludf.DUMMYFUNCTION("if(regexmatch($B232,""RR""),concat(C232,E232),"""")"),"")</f>
        <v/>
      </c>
      <c r="H232" s="20" t="str">
        <f>IFERROR(__xludf.DUMMYFUNCTION("if(regexmatch($B232,""RR""),D232,"""")"),"")</f>
        <v/>
      </c>
      <c r="I232" s="20" t="str">
        <f>IFERROR(__xludf.DUMMYFUNCTION("if(regexmatch($B232,""RR""),concat(E232,C232),"""")"),"")</f>
        <v/>
      </c>
      <c r="J232" s="20" t="str">
        <f>IFERROR(__xludf.DUMMYFUNCTION("if(regexmatch($B232,""RR""),F232,"""")"),"")</f>
        <v/>
      </c>
      <c r="K232" s="20" t="str">
        <f>IFERROR(__xludf.DUMMYFUNCTION("if(regexmatch($B232,""DE""),concat(C232,E232),"""")"),"Foothill BGunn")</f>
        <v>Foothill BGunn</v>
      </c>
      <c r="L232" s="20">
        <f>IFERROR(__xludf.DUMMYFUNCTION("if(regexmatch($B232,""DE""),D232,"""")"),12.0)</f>
        <v>12</v>
      </c>
      <c r="M232" s="20" t="str">
        <f>IFERROR(__xludf.DUMMYFUNCTION("if(regexmatch($B232,""DE""),concat(E232,C232),"""")"),"GunnFoothill B")</f>
        <v>GunnFoothill B</v>
      </c>
      <c r="N232" s="20">
        <f>IFERROR(__xludf.DUMMYFUNCTION("if(regexmatch($B232,""DE""),F232,"""")"),8.0)</f>
        <v>8</v>
      </c>
    </row>
    <row r="233">
      <c r="A233" s="12"/>
      <c r="B233" s="12" t="str">
        <f>IFERROR(__xludf.DUMMYFUNCTION("""COMPUTED_VALUE"""),"DE4")</f>
        <v>DE4</v>
      </c>
      <c r="C233" s="12" t="str">
        <f>IFERROR(__xludf.DUMMYFUNCTION("""COMPUTED_VALUE"""),"[Select Team Name]")</f>
        <v>[Select Team Name]</v>
      </c>
      <c r="D233" s="12">
        <f>IFERROR(__xludf.DUMMYFUNCTION("""COMPUTED_VALUE"""),0.0)</f>
        <v>0</v>
      </c>
      <c r="E233" s="12" t="str">
        <f>IFERROR(__xludf.DUMMYFUNCTION("""COMPUTED_VALUE"""),"[Select Team Name]")</f>
        <v>[Select Team Name]</v>
      </c>
      <c r="F233" s="12">
        <f>IFERROR(__xludf.DUMMYFUNCTION("""COMPUTED_VALUE"""),0.0)</f>
        <v>0</v>
      </c>
      <c r="G233" s="20" t="str">
        <f>IFERROR(__xludf.DUMMYFUNCTION("if(regexmatch($B233,""RR""),concat(C233,E233),"""")"),"")</f>
        <v/>
      </c>
      <c r="H233" s="20" t="str">
        <f>IFERROR(__xludf.DUMMYFUNCTION("if(regexmatch($B233,""RR""),D233,"""")"),"")</f>
        <v/>
      </c>
      <c r="I233" s="20" t="str">
        <f>IFERROR(__xludf.DUMMYFUNCTION("if(regexmatch($B233,""RR""),concat(E233,C233),"""")"),"")</f>
        <v/>
      </c>
      <c r="J233" s="20" t="str">
        <f>IFERROR(__xludf.DUMMYFUNCTION("if(regexmatch($B233,""RR""),F233,"""")"),"")</f>
        <v/>
      </c>
      <c r="K233" s="20" t="str">
        <f>IFERROR(__xludf.DUMMYFUNCTION("if(regexmatch($B233,""DE""),concat(C233,E233),"""")"),"[Select Team Name][Select Team Name]")</f>
        <v>[Select Team Name][Select Team Name]</v>
      </c>
      <c r="L233" s="20">
        <f>IFERROR(__xludf.DUMMYFUNCTION("if(regexmatch($B233,""DE""),D233,"""")"),0.0)</f>
        <v>0</v>
      </c>
      <c r="M233" s="20" t="str">
        <f>IFERROR(__xludf.DUMMYFUNCTION("if(regexmatch($B233,""DE""),concat(E233,C233),"""")"),"[Select Team Name][Select Team Name]")</f>
        <v>[Select Team Name][Select Team Name]</v>
      </c>
      <c r="N233" s="20">
        <f>IFERROR(__xludf.DUMMYFUNCTION("if(regexmatch($B233,""DE""),F233,"""")"),0.0)</f>
        <v>0</v>
      </c>
    </row>
    <row r="234">
      <c r="A234" s="12"/>
      <c r="B234" s="12" t="str">
        <f>IFERROR(__xludf.DUMMYFUNCTION("""COMPUTED_VALUE"""),"DE5")</f>
        <v>DE5</v>
      </c>
      <c r="C234" s="12" t="str">
        <f>IFERROR(__xludf.DUMMYFUNCTION("""COMPUTED_VALUE"""),"[Select Team Name]")</f>
        <v>[Select Team Name]</v>
      </c>
      <c r="D234" s="12">
        <f>IFERROR(__xludf.DUMMYFUNCTION("""COMPUTED_VALUE"""),0.0)</f>
        <v>0</v>
      </c>
      <c r="E234" s="12" t="str">
        <f>IFERROR(__xludf.DUMMYFUNCTION("""COMPUTED_VALUE"""),"[Select Team Name]")</f>
        <v>[Select Team Name]</v>
      </c>
      <c r="F234" s="12">
        <f>IFERROR(__xludf.DUMMYFUNCTION("""COMPUTED_VALUE"""),0.0)</f>
        <v>0</v>
      </c>
      <c r="G234" s="20" t="str">
        <f>IFERROR(__xludf.DUMMYFUNCTION("if(regexmatch($B234,""RR""),concat(C234,E234),"""")"),"")</f>
        <v/>
      </c>
      <c r="H234" s="20" t="str">
        <f>IFERROR(__xludf.DUMMYFUNCTION("if(regexmatch($B234,""RR""),D234,"""")"),"")</f>
        <v/>
      </c>
      <c r="I234" s="20" t="str">
        <f>IFERROR(__xludf.DUMMYFUNCTION("if(regexmatch($B234,""RR""),concat(E234,C234),"""")"),"")</f>
        <v/>
      </c>
      <c r="J234" s="20" t="str">
        <f>IFERROR(__xludf.DUMMYFUNCTION("if(regexmatch($B234,""RR""),F234,"""")"),"")</f>
        <v/>
      </c>
      <c r="K234" s="20" t="str">
        <f>IFERROR(__xludf.DUMMYFUNCTION("if(regexmatch($B234,""DE""),concat(C234,E234),"""")"),"[Select Team Name][Select Team Name]")</f>
        <v>[Select Team Name][Select Team Name]</v>
      </c>
      <c r="L234" s="20">
        <f>IFERROR(__xludf.DUMMYFUNCTION("if(regexmatch($B234,""DE""),D234,"""")"),0.0)</f>
        <v>0</v>
      </c>
      <c r="M234" s="20" t="str">
        <f>IFERROR(__xludf.DUMMYFUNCTION("if(regexmatch($B234,""DE""),concat(E234,C234),"""")"),"[Select Team Name][Select Team Name]")</f>
        <v>[Select Team Name][Select Team Name]</v>
      </c>
      <c r="N234" s="20">
        <f>IFERROR(__xludf.DUMMYFUNCTION("if(regexmatch($B234,""DE""),F234,"""")"),0.0)</f>
        <v>0</v>
      </c>
    </row>
    <row r="235">
      <c r="A235" s="12"/>
      <c r="B235" s="12" t="str">
        <f>IFERROR(__xludf.DUMMYFUNCTION("""COMPUTED_VALUE"""),"DE6")</f>
        <v>DE6</v>
      </c>
      <c r="C235" s="12" t="str">
        <f>IFERROR(__xludf.DUMMYFUNCTION("""COMPUTED_VALUE"""),"[Select Team Name]")</f>
        <v>[Select Team Name]</v>
      </c>
      <c r="D235" s="12">
        <f>IFERROR(__xludf.DUMMYFUNCTION("""COMPUTED_VALUE"""),0.0)</f>
        <v>0</v>
      </c>
      <c r="E235" s="12" t="str">
        <f>IFERROR(__xludf.DUMMYFUNCTION("""COMPUTED_VALUE"""),"[Select Team Name]")</f>
        <v>[Select Team Name]</v>
      </c>
      <c r="F235" s="12">
        <f>IFERROR(__xludf.DUMMYFUNCTION("""COMPUTED_VALUE"""),0.0)</f>
        <v>0</v>
      </c>
      <c r="G235" s="20" t="str">
        <f>IFERROR(__xludf.DUMMYFUNCTION("if(regexmatch($B235,""RR""),concat(C235,E235),"""")"),"")</f>
        <v/>
      </c>
      <c r="H235" s="20" t="str">
        <f>IFERROR(__xludf.DUMMYFUNCTION("if(regexmatch($B235,""RR""),D235,"""")"),"")</f>
        <v/>
      </c>
      <c r="I235" s="20" t="str">
        <f>IFERROR(__xludf.DUMMYFUNCTION("if(regexmatch($B235,""RR""),concat(E235,C235),"""")"),"")</f>
        <v/>
      </c>
      <c r="J235" s="20" t="str">
        <f>IFERROR(__xludf.DUMMYFUNCTION("if(regexmatch($B235,""RR""),F235,"""")"),"")</f>
        <v/>
      </c>
      <c r="K235" s="20" t="str">
        <f>IFERROR(__xludf.DUMMYFUNCTION("if(regexmatch($B235,""DE""),concat(C235,E235),"""")"),"[Select Team Name][Select Team Name]")</f>
        <v>[Select Team Name][Select Team Name]</v>
      </c>
      <c r="L235" s="20">
        <f>IFERROR(__xludf.DUMMYFUNCTION("if(regexmatch($B235,""DE""),D235,"""")"),0.0)</f>
        <v>0</v>
      </c>
      <c r="M235" s="20" t="str">
        <f>IFERROR(__xludf.DUMMYFUNCTION("if(regexmatch($B235,""DE""),concat(E235,C235),"""")"),"[Select Team Name][Select Team Name]")</f>
        <v>[Select Team Name][Select Team Name]</v>
      </c>
      <c r="N235" s="20">
        <f>IFERROR(__xludf.DUMMYFUNCTION("if(regexmatch($B235,""DE""),F235,"""")"),0.0)</f>
        <v>0</v>
      </c>
    </row>
    <row r="236">
      <c r="A236" s="12"/>
      <c r="B236" s="12" t="str">
        <f>IFERROR(__xludf.DUMMYFUNCTION("""COMPUTED_VALUE"""),"DE7")</f>
        <v>DE7</v>
      </c>
      <c r="C236" s="12" t="str">
        <f>IFERROR(__xludf.DUMMYFUNCTION("""COMPUTED_VALUE"""),"[Select Team Name]")</f>
        <v>[Select Team Name]</v>
      </c>
      <c r="D236" s="12">
        <f>IFERROR(__xludf.DUMMYFUNCTION("""COMPUTED_VALUE"""),0.0)</f>
        <v>0</v>
      </c>
      <c r="E236" s="12" t="str">
        <f>IFERROR(__xludf.DUMMYFUNCTION("""COMPUTED_VALUE"""),"[Select Team Name]")</f>
        <v>[Select Team Name]</v>
      </c>
      <c r="F236" s="12">
        <f>IFERROR(__xludf.DUMMYFUNCTION("""COMPUTED_VALUE"""),0.0)</f>
        <v>0</v>
      </c>
      <c r="G236" s="20" t="str">
        <f>IFERROR(__xludf.DUMMYFUNCTION("if(regexmatch($B236,""RR""),concat(C236,E236),"""")"),"")</f>
        <v/>
      </c>
      <c r="H236" s="20" t="str">
        <f>IFERROR(__xludf.DUMMYFUNCTION("if(regexmatch($B236,""RR""),D236,"""")"),"")</f>
        <v/>
      </c>
      <c r="I236" s="20" t="str">
        <f>IFERROR(__xludf.DUMMYFUNCTION("if(regexmatch($B236,""RR""),concat(E236,C236),"""")"),"")</f>
        <v/>
      </c>
      <c r="J236" s="20" t="str">
        <f>IFERROR(__xludf.DUMMYFUNCTION("if(regexmatch($B236,""RR""),F236,"""")"),"")</f>
        <v/>
      </c>
      <c r="K236" s="20" t="str">
        <f>IFERROR(__xludf.DUMMYFUNCTION("if(regexmatch($B236,""DE""),concat(C236,E236),"""")"),"[Select Team Name][Select Team Name]")</f>
        <v>[Select Team Name][Select Team Name]</v>
      </c>
      <c r="L236" s="20">
        <f>IFERROR(__xludf.DUMMYFUNCTION("if(regexmatch($B236,""DE""),D236,"""")"),0.0)</f>
        <v>0</v>
      </c>
      <c r="M236" s="20" t="str">
        <f>IFERROR(__xludf.DUMMYFUNCTION("if(regexmatch($B236,""DE""),concat(E236,C236),"""")"),"[Select Team Name][Select Team Name]")</f>
        <v>[Select Team Name][Select Team Name]</v>
      </c>
      <c r="N236" s="20">
        <f>IFERROR(__xludf.DUMMYFUNCTION("if(regexmatch($B236,""DE""),F236,"""")"),0.0)</f>
        <v>0</v>
      </c>
    </row>
    <row r="237">
      <c r="A237" s="12"/>
      <c r="B237" s="12" t="str">
        <f>IFERROR(__xludf.DUMMYFUNCTION("""COMPUTED_VALUE"""),"DE8")</f>
        <v>DE8</v>
      </c>
      <c r="C237" s="12" t="str">
        <f>IFERROR(__xludf.DUMMYFUNCTION("""COMPUTED_VALUE"""),"[Select Team Name]")</f>
        <v>[Select Team Name]</v>
      </c>
      <c r="D237" s="12">
        <f>IFERROR(__xludf.DUMMYFUNCTION("""COMPUTED_VALUE"""),0.0)</f>
        <v>0</v>
      </c>
      <c r="E237" s="12" t="str">
        <f>IFERROR(__xludf.DUMMYFUNCTION("""COMPUTED_VALUE"""),"[Select Team Name]")</f>
        <v>[Select Team Name]</v>
      </c>
      <c r="F237" s="12">
        <f>IFERROR(__xludf.DUMMYFUNCTION("""COMPUTED_VALUE"""),0.0)</f>
        <v>0</v>
      </c>
      <c r="G237" s="20" t="str">
        <f>IFERROR(__xludf.DUMMYFUNCTION("if(regexmatch($B237,""RR""),concat(C237,E237),"""")"),"")</f>
        <v/>
      </c>
      <c r="H237" s="20" t="str">
        <f>IFERROR(__xludf.DUMMYFUNCTION("if(regexmatch($B237,""RR""),D237,"""")"),"")</f>
        <v/>
      </c>
      <c r="I237" s="20" t="str">
        <f>IFERROR(__xludf.DUMMYFUNCTION("if(regexmatch($B237,""RR""),concat(E237,C237),"""")"),"")</f>
        <v/>
      </c>
      <c r="J237" s="20" t="str">
        <f>IFERROR(__xludf.DUMMYFUNCTION("if(regexmatch($B237,""RR""),F237,"""")"),"")</f>
        <v/>
      </c>
      <c r="K237" s="20" t="str">
        <f>IFERROR(__xludf.DUMMYFUNCTION("if(regexmatch($B237,""DE""),concat(C237,E237),"""")"),"[Select Team Name][Select Team Name]")</f>
        <v>[Select Team Name][Select Team Name]</v>
      </c>
      <c r="L237" s="20">
        <f>IFERROR(__xludf.DUMMYFUNCTION("if(regexmatch($B237,""DE""),D237,"""")"),0.0)</f>
        <v>0</v>
      </c>
      <c r="M237" s="20" t="str">
        <f>IFERROR(__xludf.DUMMYFUNCTION("if(regexmatch($B237,""DE""),concat(E237,C237),"""")"),"[Select Team Name][Select Team Name]")</f>
        <v>[Select Team Name][Select Team Name]</v>
      </c>
      <c r="N237" s="20">
        <f>IFERROR(__xludf.DUMMYFUNCTION("if(regexmatch($B237,""DE""),F237,"""")"),0.0)</f>
        <v>0</v>
      </c>
    </row>
    <row r="238">
      <c r="A238" s="12"/>
      <c r="B238" s="12" t="str">
        <f>IFERROR(__xludf.DUMMYFUNCTION("""COMPUTED_VALUE"""),"DE9")</f>
        <v>DE9</v>
      </c>
      <c r="C238" s="12" t="str">
        <f>IFERROR(__xludf.DUMMYFUNCTION("""COMPUTED_VALUE"""),"[Select Team Name]")</f>
        <v>[Select Team Name]</v>
      </c>
      <c r="D238" s="12">
        <f>IFERROR(__xludf.DUMMYFUNCTION("""COMPUTED_VALUE"""),0.0)</f>
        <v>0</v>
      </c>
      <c r="E238" s="12" t="str">
        <f>IFERROR(__xludf.DUMMYFUNCTION("""COMPUTED_VALUE"""),"[Select Team Name]")</f>
        <v>[Select Team Name]</v>
      </c>
      <c r="F238" s="12">
        <f>IFERROR(__xludf.DUMMYFUNCTION("""COMPUTED_VALUE"""),0.0)</f>
        <v>0</v>
      </c>
      <c r="G238" s="20" t="str">
        <f>IFERROR(__xludf.DUMMYFUNCTION("if(regexmatch($B238,""RR""),concat(C238,E238),"""")"),"")</f>
        <v/>
      </c>
      <c r="H238" s="20" t="str">
        <f>IFERROR(__xludf.DUMMYFUNCTION("if(regexmatch($B238,""RR""),D238,"""")"),"")</f>
        <v/>
      </c>
      <c r="I238" s="20" t="str">
        <f>IFERROR(__xludf.DUMMYFUNCTION("if(regexmatch($B238,""RR""),concat(E238,C238),"""")"),"")</f>
        <v/>
      </c>
      <c r="J238" s="20" t="str">
        <f>IFERROR(__xludf.DUMMYFUNCTION("if(regexmatch($B238,""RR""),F238,"""")"),"")</f>
        <v/>
      </c>
      <c r="K238" s="20" t="str">
        <f>IFERROR(__xludf.DUMMYFUNCTION("if(regexmatch($B238,""DE""),concat(C238,E238),"""")"),"[Select Team Name][Select Team Name]")</f>
        <v>[Select Team Name][Select Team Name]</v>
      </c>
      <c r="L238" s="20">
        <f>IFERROR(__xludf.DUMMYFUNCTION("if(regexmatch($B238,""DE""),D238,"""")"),0.0)</f>
        <v>0</v>
      </c>
      <c r="M238" s="20" t="str">
        <f>IFERROR(__xludf.DUMMYFUNCTION("if(regexmatch($B238,""DE""),concat(E238,C238),"""")"),"[Select Team Name][Select Team Name]")</f>
        <v>[Select Team Name][Select Team Name]</v>
      </c>
      <c r="N238" s="20">
        <f>IFERROR(__xludf.DUMMYFUNCTION("if(regexmatch($B238,""DE""),F238,"""")"),0.0)</f>
        <v>0</v>
      </c>
    </row>
    <row r="239">
      <c r="A239" s="1"/>
      <c r="B239" s="12" t="str">
        <f>IFERROR(__xludf.DUMMYFUNCTION("importrange(""https://docs.google.com/spreadsheets/d/1GekeJSceFYOFC8VqjZjDzlhbkfKkXZ8Eo9gl3fnjuZI/edit?usp=drive_link"",""Scores!A2:E15"")"),"RR1")</f>
        <v>RR1</v>
      </c>
      <c r="C239" s="12" t="str">
        <f>IFERROR(__xludf.DUMMYFUNCTION("""COMPUTED_VALUE"""),"Irvington")</f>
        <v>Irvington</v>
      </c>
      <c r="D239" s="12">
        <f>IFERROR(__xludf.DUMMYFUNCTION("""COMPUTED_VALUE"""),112.0)</f>
        <v>112</v>
      </c>
      <c r="E239" s="12" t="str">
        <f>IFERROR(__xludf.DUMMYFUNCTION("""COMPUTED_VALUE"""),"Saratoga")</f>
        <v>Saratoga</v>
      </c>
      <c r="F239" s="12">
        <f>IFERROR(__xludf.DUMMYFUNCTION("""COMPUTED_VALUE"""),138.0)</f>
        <v>138</v>
      </c>
      <c r="G239" s="20" t="str">
        <f>IFERROR(__xludf.DUMMYFUNCTION("if(regexmatch($B239,""RR""),concat(C239,E239),"""")"),"IrvingtonSaratoga")</f>
        <v>IrvingtonSaratoga</v>
      </c>
      <c r="H239" s="20">
        <f>IFERROR(__xludf.DUMMYFUNCTION("if(regexmatch($B239,""RR""),D239,"""")"),112.0)</f>
        <v>112</v>
      </c>
      <c r="I239" s="20" t="str">
        <f>IFERROR(__xludf.DUMMYFUNCTION("if(regexmatch($B239,""RR""),concat(E239,C239),"""")"),"SaratogaIrvington")</f>
        <v>SaratogaIrvington</v>
      </c>
      <c r="J239" s="20">
        <f>IFERROR(__xludf.DUMMYFUNCTION("if(regexmatch($B239,""RR""),F239,"""")"),138.0)</f>
        <v>138</v>
      </c>
      <c r="K239" s="20" t="str">
        <f>IFERROR(__xludf.DUMMYFUNCTION("if(regexmatch($B239,""DE""),concat(C239,E239),"""")"),"")</f>
        <v/>
      </c>
      <c r="L239" s="20" t="str">
        <f>IFERROR(__xludf.DUMMYFUNCTION("if(regexmatch($B239,""DE""),D239,"""")"),"")</f>
        <v/>
      </c>
      <c r="M239" s="20" t="str">
        <f>IFERROR(__xludf.DUMMYFUNCTION("if(regexmatch($B239,""DE""),concat(E239,C239),"""")"),"")</f>
        <v/>
      </c>
      <c r="N239" s="20" t="str">
        <f>IFERROR(__xludf.DUMMYFUNCTION("if(regexmatch($B239,""DE""),F239,"""")"),"")</f>
        <v/>
      </c>
    </row>
    <row r="240">
      <c r="A240" s="12"/>
      <c r="B240" s="12" t="str">
        <f>IFERROR(__xludf.DUMMYFUNCTION("""COMPUTED_VALUE"""),"RR2")</f>
        <v>RR2</v>
      </c>
      <c r="C240" s="12" t="str">
        <f>IFERROR(__xludf.DUMMYFUNCTION("""COMPUTED_VALUE"""),"Davidson B")</f>
        <v>Davidson B</v>
      </c>
      <c r="D240" s="12">
        <f>IFERROR(__xludf.DUMMYFUNCTION("""COMPUTED_VALUE"""),114.0)</f>
        <v>114</v>
      </c>
      <c r="E240" s="12" t="str">
        <f>IFERROR(__xludf.DUMMYFUNCTION("""COMPUTED_VALUE"""),"Cupertino B")</f>
        <v>Cupertino B</v>
      </c>
      <c r="F240" s="12">
        <f>IFERROR(__xludf.DUMMYFUNCTION("""COMPUTED_VALUE"""),56.0)</f>
        <v>56</v>
      </c>
      <c r="G240" s="20" t="str">
        <f>IFERROR(__xludf.DUMMYFUNCTION("if(regexmatch($B240,""RR""),concat(C240,E240),"""")"),"Davidson BCupertino B")</f>
        <v>Davidson BCupertino B</v>
      </c>
      <c r="H240" s="20">
        <f>IFERROR(__xludf.DUMMYFUNCTION("if(regexmatch($B240,""RR""),D240,"""")"),114.0)</f>
        <v>114</v>
      </c>
      <c r="I240" s="20" t="str">
        <f>IFERROR(__xludf.DUMMYFUNCTION("if(regexmatch($B240,""RR""),concat(E240,C240),"""")"),"Cupertino BDavidson B")</f>
        <v>Cupertino BDavidson B</v>
      </c>
      <c r="J240" s="20">
        <f>IFERROR(__xludf.DUMMYFUNCTION("if(regexmatch($B240,""RR""),F240,"""")"),56.0)</f>
        <v>56</v>
      </c>
      <c r="K240" s="20" t="str">
        <f>IFERROR(__xludf.DUMMYFUNCTION("if(regexmatch($B240,""DE""),concat(C240,E240),"""")"),"")</f>
        <v/>
      </c>
      <c r="L240" s="20" t="str">
        <f>IFERROR(__xludf.DUMMYFUNCTION("if(regexmatch($B240,""DE""),D240,"""")"),"")</f>
        <v/>
      </c>
      <c r="M240" s="20" t="str">
        <f>IFERROR(__xludf.DUMMYFUNCTION("if(regexmatch($B240,""DE""),concat(E240,C240),"""")"),"")</f>
        <v/>
      </c>
      <c r="N240" s="20" t="str">
        <f>IFERROR(__xludf.DUMMYFUNCTION("if(regexmatch($B240,""DE""),F240,"""")"),"")</f>
        <v/>
      </c>
    </row>
    <row r="241">
      <c r="A241" s="12"/>
      <c r="B241" s="12" t="str">
        <f>IFERROR(__xludf.DUMMYFUNCTION("""COMPUTED_VALUE"""),"RR3")</f>
        <v>RR3</v>
      </c>
      <c r="C241" s="12" t="str">
        <f>IFERROR(__xludf.DUMMYFUNCTION("""COMPUTED_VALUE"""),"Albany A")</f>
        <v>Albany A</v>
      </c>
      <c r="D241" s="12">
        <f>IFERROR(__xludf.DUMMYFUNCTION("""COMPUTED_VALUE"""),66.0)</f>
        <v>66</v>
      </c>
      <c r="E241" s="12" t="str">
        <f>IFERROR(__xludf.DUMMYFUNCTION("""COMPUTED_VALUE"""),"Logan")</f>
        <v>Logan</v>
      </c>
      <c r="F241" s="12">
        <f>IFERROR(__xludf.DUMMYFUNCTION("""COMPUTED_VALUE"""),52.0)</f>
        <v>52</v>
      </c>
      <c r="G241" s="20" t="str">
        <f>IFERROR(__xludf.DUMMYFUNCTION("if(regexmatch($B241,""RR""),concat(C241,E241),"""")"),"Albany ALogan")</f>
        <v>Albany ALogan</v>
      </c>
      <c r="H241" s="20">
        <f>IFERROR(__xludf.DUMMYFUNCTION("if(regexmatch($B241,""RR""),D241,"""")"),66.0)</f>
        <v>66</v>
      </c>
      <c r="I241" s="20" t="str">
        <f>IFERROR(__xludf.DUMMYFUNCTION("if(regexmatch($B241,""RR""),concat(E241,C241),"""")"),"LoganAlbany A")</f>
        <v>LoganAlbany A</v>
      </c>
      <c r="J241" s="20">
        <f>IFERROR(__xludf.DUMMYFUNCTION("if(regexmatch($B241,""RR""),F241,"""")"),52.0)</f>
        <v>52</v>
      </c>
      <c r="K241" s="20" t="str">
        <f>IFERROR(__xludf.DUMMYFUNCTION("if(regexmatch($B241,""DE""),concat(C241,E241),"""")"),"")</f>
        <v/>
      </c>
      <c r="L241" s="20" t="str">
        <f>IFERROR(__xludf.DUMMYFUNCTION("if(regexmatch($B241,""DE""),D241,"""")"),"")</f>
        <v/>
      </c>
      <c r="M241" s="20" t="str">
        <f>IFERROR(__xludf.DUMMYFUNCTION("if(regexmatch($B241,""DE""),concat(E241,C241),"""")"),"")</f>
        <v/>
      </c>
      <c r="N241" s="20" t="str">
        <f>IFERROR(__xludf.DUMMYFUNCTION("if(regexmatch($B241,""DE""),F241,"""")"),"")</f>
        <v/>
      </c>
    </row>
    <row r="242">
      <c r="A242" s="12"/>
      <c r="B242" s="12" t="str">
        <f>IFERROR(__xludf.DUMMYFUNCTION("""COMPUTED_VALUE"""),"RR4")</f>
        <v>RR4</v>
      </c>
      <c r="C242" s="12" t="str">
        <f>IFERROR(__xludf.DUMMYFUNCTION("""COMPUTED_VALUE"""),"Albany B")</f>
        <v>Albany B</v>
      </c>
      <c r="D242" s="12">
        <f>IFERROR(__xludf.DUMMYFUNCTION("""COMPUTED_VALUE"""),50.0)</f>
        <v>50</v>
      </c>
      <c r="E242" s="12" t="str">
        <f>IFERROR(__xludf.DUMMYFUNCTION("""COMPUTED_VALUE"""),"Foothill A")</f>
        <v>Foothill A</v>
      </c>
      <c r="F242" s="12">
        <f>IFERROR(__xludf.DUMMYFUNCTION("""COMPUTED_VALUE"""),136.0)</f>
        <v>136</v>
      </c>
      <c r="G242" s="20" t="str">
        <f>IFERROR(__xludf.DUMMYFUNCTION("if(regexmatch($B242,""RR""),concat(C242,E242),"""")"),"Albany BFoothill A")</f>
        <v>Albany BFoothill A</v>
      </c>
      <c r="H242" s="20">
        <f>IFERROR(__xludf.DUMMYFUNCTION("if(regexmatch($B242,""RR""),D242,"""")"),50.0)</f>
        <v>50</v>
      </c>
      <c r="I242" s="20" t="str">
        <f>IFERROR(__xludf.DUMMYFUNCTION("if(regexmatch($B242,""RR""),concat(E242,C242),"""")"),"Foothill AAlbany B")</f>
        <v>Foothill AAlbany B</v>
      </c>
      <c r="J242" s="20">
        <f>IFERROR(__xludf.DUMMYFUNCTION("if(regexmatch($B242,""RR""),F242,"""")"),136.0)</f>
        <v>136</v>
      </c>
      <c r="K242" s="20" t="str">
        <f>IFERROR(__xludf.DUMMYFUNCTION("if(regexmatch($B242,""DE""),concat(C242,E242),"""")"),"")</f>
        <v/>
      </c>
      <c r="L242" s="20" t="str">
        <f>IFERROR(__xludf.DUMMYFUNCTION("if(regexmatch($B242,""DE""),D242,"""")"),"")</f>
        <v/>
      </c>
      <c r="M242" s="20" t="str">
        <f>IFERROR(__xludf.DUMMYFUNCTION("if(regexmatch($B242,""DE""),concat(E242,C242),"""")"),"")</f>
        <v/>
      </c>
      <c r="N242" s="20" t="str">
        <f>IFERROR(__xludf.DUMMYFUNCTION("if(regexmatch($B242,""DE""),F242,"""")"),"")</f>
        <v/>
      </c>
    </row>
    <row r="243">
      <c r="A243" s="12"/>
      <c r="B243" s="12" t="str">
        <f>IFERROR(__xludf.DUMMYFUNCTION("""COMPUTED_VALUE"""),"RR5")</f>
        <v>RR5</v>
      </c>
      <c r="C243" s="12" t="str">
        <f>IFERROR(__xludf.DUMMYFUNCTION("""COMPUTED_VALUE"""),"Quarry Lane A")</f>
        <v>Quarry Lane A</v>
      </c>
      <c r="D243" s="12">
        <f>IFERROR(__xludf.DUMMYFUNCTION("""COMPUTED_VALUE"""),12.0)</f>
        <v>12</v>
      </c>
      <c r="E243" s="12" t="str">
        <f>IFERROR(__xludf.DUMMYFUNCTION("""COMPUTED_VALUE"""),"Middleton")</f>
        <v>Middleton</v>
      </c>
      <c r="F243" s="12">
        <f>IFERROR(__xludf.DUMMYFUNCTION("""COMPUTED_VALUE"""),228.0)</f>
        <v>228</v>
      </c>
      <c r="G243" s="20" t="str">
        <f>IFERROR(__xludf.DUMMYFUNCTION("if(regexmatch($B243,""RR""),concat(C243,E243),"""")"),"Quarry Lane AMiddleton")</f>
        <v>Quarry Lane AMiddleton</v>
      </c>
      <c r="H243" s="20">
        <f>IFERROR(__xludf.DUMMYFUNCTION("if(regexmatch($B243,""RR""),D243,"""")"),12.0)</f>
        <v>12</v>
      </c>
      <c r="I243" s="20" t="str">
        <f>IFERROR(__xludf.DUMMYFUNCTION("if(regexmatch($B243,""RR""),concat(E243,C243),"""")"),"MiddletonQuarry Lane A")</f>
        <v>MiddletonQuarry Lane A</v>
      </c>
      <c r="J243" s="20">
        <f>IFERROR(__xludf.DUMMYFUNCTION("if(regexmatch($B243,""RR""),F243,"""")"),228.0)</f>
        <v>228</v>
      </c>
      <c r="K243" s="20" t="str">
        <f>IFERROR(__xludf.DUMMYFUNCTION("if(regexmatch($B243,""DE""),concat(C243,E243),"""")"),"")</f>
        <v/>
      </c>
      <c r="L243" s="20" t="str">
        <f>IFERROR(__xludf.DUMMYFUNCTION("if(regexmatch($B243,""DE""),D243,"""")"),"")</f>
        <v/>
      </c>
      <c r="M243" s="20" t="str">
        <f>IFERROR(__xludf.DUMMYFUNCTION("if(regexmatch($B243,""DE""),concat(E243,C243),"""")"),"")</f>
        <v/>
      </c>
      <c r="N243" s="20" t="str">
        <f>IFERROR(__xludf.DUMMYFUNCTION("if(regexmatch($B243,""DE""),F243,"""")"),"")</f>
        <v/>
      </c>
    </row>
    <row r="244">
      <c r="A244" s="12"/>
      <c r="B244" s="12" t="str">
        <f>IFERROR(__xludf.DUMMYFUNCTION("""COMPUTED_VALUE"""),"DE1")</f>
        <v>DE1</v>
      </c>
      <c r="C244" s="12" t="str">
        <f>IFERROR(__xludf.DUMMYFUNCTION("""COMPUTED_VALUE"""),"Davidson B")</f>
        <v>Davidson B</v>
      </c>
      <c r="D244" s="12">
        <f>IFERROR(__xludf.DUMMYFUNCTION("""COMPUTED_VALUE"""),52.0)</f>
        <v>52</v>
      </c>
      <c r="E244" s="12" t="str">
        <f>IFERROR(__xludf.DUMMYFUNCTION("""COMPUTED_VALUE"""),"Lynbrook A")</f>
        <v>Lynbrook A</v>
      </c>
      <c r="F244" s="12">
        <f>IFERROR(__xludf.DUMMYFUNCTION("""COMPUTED_VALUE"""),192.0)</f>
        <v>192</v>
      </c>
      <c r="G244" s="20" t="str">
        <f>IFERROR(__xludf.DUMMYFUNCTION("if(regexmatch($B244,""RR""),concat(C244,E244),"""")"),"")</f>
        <v/>
      </c>
      <c r="H244" s="20" t="str">
        <f>IFERROR(__xludf.DUMMYFUNCTION("if(regexmatch($B244,""RR""),D244,"""")"),"")</f>
        <v/>
      </c>
      <c r="I244" s="20" t="str">
        <f>IFERROR(__xludf.DUMMYFUNCTION("if(regexmatch($B244,""RR""),concat(E244,C244),"""")"),"")</f>
        <v/>
      </c>
      <c r="J244" s="20" t="str">
        <f>IFERROR(__xludf.DUMMYFUNCTION("if(regexmatch($B244,""RR""),F244,"""")"),"")</f>
        <v/>
      </c>
      <c r="K244" s="20" t="str">
        <f>IFERROR(__xludf.DUMMYFUNCTION("if(regexmatch($B244,""DE""),concat(C244,E244),"""")"),"Davidson BLynbrook A")</f>
        <v>Davidson BLynbrook A</v>
      </c>
      <c r="L244" s="20">
        <f>IFERROR(__xludf.DUMMYFUNCTION("if(regexmatch($B244,""DE""),D244,"""")"),52.0)</f>
        <v>52</v>
      </c>
      <c r="M244" s="20" t="str">
        <f>IFERROR(__xludf.DUMMYFUNCTION("if(regexmatch($B244,""DE""),concat(E244,C244),"""")"),"Lynbrook ADavidson B")</f>
        <v>Lynbrook ADavidson B</v>
      </c>
      <c r="N244" s="20">
        <f>IFERROR(__xludf.DUMMYFUNCTION("if(regexmatch($B244,""DE""),F244,"""")"),192.0)</f>
        <v>192</v>
      </c>
    </row>
    <row r="245">
      <c r="A245" s="12"/>
      <c r="B245" s="12" t="str">
        <f>IFERROR(__xludf.DUMMYFUNCTION("""COMPUTED_VALUE"""),"DE2")</f>
        <v>DE2</v>
      </c>
      <c r="C245" s="12" t="str">
        <f>IFERROR(__xludf.DUMMYFUNCTION("""COMPUTED_VALUE"""),"Lynbrook B")</f>
        <v>Lynbrook B</v>
      </c>
      <c r="D245" s="12">
        <f>IFERROR(__xludf.DUMMYFUNCTION("""COMPUTED_VALUE"""),54.0)</f>
        <v>54</v>
      </c>
      <c r="E245" s="12" t="str">
        <f>IFERROR(__xludf.DUMMYFUNCTION("""COMPUTED_VALUE"""),"Lynbrook A")</f>
        <v>Lynbrook A</v>
      </c>
      <c r="F245" s="12">
        <f>IFERROR(__xludf.DUMMYFUNCTION("""COMPUTED_VALUE"""),206.0)</f>
        <v>206</v>
      </c>
      <c r="G245" s="20" t="str">
        <f>IFERROR(__xludf.DUMMYFUNCTION("if(regexmatch($B245,""RR""),concat(C245,E245),"""")"),"")</f>
        <v/>
      </c>
      <c r="H245" s="20" t="str">
        <f>IFERROR(__xludf.DUMMYFUNCTION("if(regexmatch($B245,""RR""),D245,"""")"),"")</f>
        <v/>
      </c>
      <c r="I245" s="20" t="str">
        <f>IFERROR(__xludf.DUMMYFUNCTION("if(regexmatch($B245,""RR""),concat(E245,C245),"""")"),"")</f>
        <v/>
      </c>
      <c r="J245" s="20" t="str">
        <f>IFERROR(__xludf.DUMMYFUNCTION("if(regexmatch($B245,""RR""),F245,"""")"),"")</f>
        <v/>
      </c>
      <c r="K245" s="20" t="str">
        <f>IFERROR(__xludf.DUMMYFUNCTION("if(regexmatch($B245,""DE""),concat(C245,E245),"""")"),"Lynbrook BLynbrook A")</f>
        <v>Lynbrook BLynbrook A</v>
      </c>
      <c r="L245" s="20">
        <f>IFERROR(__xludf.DUMMYFUNCTION("if(regexmatch($B245,""DE""),D245,"""")"),54.0)</f>
        <v>54</v>
      </c>
      <c r="M245" s="20" t="str">
        <f>IFERROR(__xludf.DUMMYFUNCTION("if(regexmatch($B245,""DE""),concat(E245,C245),"""")"),"Lynbrook ALynbrook B")</f>
        <v>Lynbrook ALynbrook B</v>
      </c>
      <c r="N245" s="20">
        <f>IFERROR(__xludf.DUMMYFUNCTION("if(regexmatch($B245,""DE""),F245,"""")"),206.0)</f>
        <v>206</v>
      </c>
    </row>
    <row r="246">
      <c r="A246" s="12"/>
      <c r="B246" s="12" t="str">
        <f>IFERROR(__xludf.DUMMYFUNCTION("""COMPUTED_VALUE"""),"DE3")</f>
        <v>DE3</v>
      </c>
      <c r="C246" s="12" t="str">
        <f>IFERROR(__xludf.DUMMYFUNCTION("""COMPUTED_VALUE"""),"Clovis North")</f>
        <v>Clovis North</v>
      </c>
      <c r="D246" s="12">
        <f>IFERROR(__xludf.DUMMYFUNCTION("""COMPUTED_VALUE"""),60.0)</f>
        <v>60</v>
      </c>
      <c r="E246" s="12" t="str">
        <f>IFERROR(__xludf.DUMMYFUNCTION("""COMPUTED_VALUE"""),"BASIS Silicon Valley")</f>
        <v>BASIS Silicon Valley</v>
      </c>
      <c r="F246" s="12">
        <f>IFERROR(__xludf.DUMMYFUNCTION("""COMPUTED_VALUE"""),56.0)</f>
        <v>56</v>
      </c>
      <c r="G246" s="20" t="str">
        <f>IFERROR(__xludf.DUMMYFUNCTION("if(regexmatch($B246,""RR""),concat(C246,E246),"""")"),"")</f>
        <v/>
      </c>
      <c r="H246" s="20" t="str">
        <f>IFERROR(__xludf.DUMMYFUNCTION("if(regexmatch($B246,""RR""),D246,"""")"),"")</f>
        <v/>
      </c>
      <c r="I246" s="20" t="str">
        <f>IFERROR(__xludf.DUMMYFUNCTION("if(regexmatch($B246,""RR""),concat(E246,C246),"""")"),"")</f>
        <v/>
      </c>
      <c r="J246" s="20" t="str">
        <f>IFERROR(__xludf.DUMMYFUNCTION("if(regexmatch($B246,""RR""),F246,"""")"),"")</f>
        <v/>
      </c>
      <c r="K246" s="20" t="str">
        <f>IFERROR(__xludf.DUMMYFUNCTION("if(regexmatch($B246,""DE""),concat(C246,E246),"""")"),"Clovis NorthBASIS Silicon Valley")</f>
        <v>Clovis NorthBASIS Silicon Valley</v>
      </c>
      <c r="L246" s="20">
        <f>IFERROR(__xludf.DUMMYFUNCTION("if(regexmatch($B246,""DE""),D246,"""")"),60.0)</f>
        <v>60</v>
      </c>
      <c r="M246" s="20" t="str">
        <f>IFERROR(__xludf.DUMMYFUNCTION("if(regexmatch($B246,""DE""),concat(E246,C246),"""")"),"BASIS Silicon ValleyClovis North")</f>
        <v>BASIS Silicon ValleyClovis North</v>
      </c>
      <c r="N246" s="20">
        <f>IFERROR(__xludf.DUMMYFUNCTION("if(regexmatch($B246,""DE""),F246,"""")"),56.0)</f>
        <v>56</v>
      </c>
    </row>
    <row r="247">
      <c r="A247" s="12"/>
      <c r="B247" s="12" t="str">
        <f>IFERROR(__xludf.DUMMYFUNCTION("""COMPUTED_VALUE"""),"DE4")</f>
        <v>DE4</v>
      </c>
      <c r="C247" s="12" t="str">
        <f>IFERROR(__xludf.DUMMYFUNCTION("""COMPUTED_VALUE"""),"Mission San Jose A")</f>
        <v>Mission San Jose A</v>
      </c>
      <c r="D247" s="12">
        <f>IFERROR(__xludf.DUMMYFUNCTION("""COMPUTED_VALUE"""),94.0)</f>
        <v>94</v>
      </c>
      <c r="E247" s="12" t="str">
        <f>IFERROR(__xludf.DUMMYFUNCTION("""COMPUTED_VALUE"""),"Middleton")</f>
        <v>Middleton</v>
      </c>
      <c r="F247" s="12">
        <f>IFERROR(__xludf.DUMMYFUNCTION("""COMPUTED_VALUE"""),128.0)</f>
        <v>128</v>
      </c>
      <c r="G247" s="20" t="str">
        <f>IFERROR(__xludf.DUMMYFUNCTION("if(regexmatch($B247,""RR""),concat(C247,E247),"""")"),"")</f>
        <v/>
      </c>
      <c r="H247" s="20" t="str">
        <f>IFERROR(__xludf.DUMMYFUNCTION("if(regexmatch($B247,""RR""),D247,"""")"),"")</f>
        <v/>
      </c>
      <c r="I247" s="20" t="str">
        <f>IFERROR(__xludf.DUMMYFUNCTION("if(regexmatch($B247,""RR""),concat(E247,C247),"""")"),"")</f>
        <v/>
      </c>
      <c r="J247" s="20" t="str">
        <f>IFERROR(__xludf.DUMMYFUNCTION("if(regexmatch($B247,""RR""),F247,"""")"),"")</f>
        <v/>
      </c>
      <c r="K247" s="20" t="str">
        <f>IFERROR(__xludf.DUMMYFUNCTION("if(regexmatch($B247,""DE""),concat(C247,E247),"""")"),"Mission San Jose AMiddleton")</f>
        <v>Mission San Jose AMiddleton</v>
      </c>
      <c r="L247" s="20">
        <f>IFERROR(__xludf.DUMMYFUNCTION("if(regexmatch($B247,""DE""),D247,"""")"),94.0)</f>
        <v>94</v>
      </c>
      <c r="M247" s="20" t="str">
        <f>IFERROR(__xludf.DUMMYFUNCTION("if(regexmatch($B247,""DE""),concat(E247,C247),"""")"),"MiddletonMission San Jose A")</f>
        <v>MiddletonMission San Jose A</v>
      </c>
      <c r="N247" s="20">
        <f>IFERROR(__xludf.DUMMYFUNCTION("if(regexmatch($B247,""DE""),F247,"""")"),128.0)</f>
        <v>128</v>
      </c>
    </row>
    <row r="248">
      <c r="A248" s="12"/>
      <c r="B248" s="12" t="str">
        <f>IFERROR(__xludf.DUMMYFUNCTION("""COMPUTED_VALUE"""),"DE5")</f>
        <v>DE5</v>
      </c>
      <c r="C248" s="12" t="str">
        <f>IFERROR(__xludf.DUMMYFUNCTION("""COMPUTED_VALUE"""),"[Select Team Name]")</f>
        <v>[Select Team Name]</v>
      </c>
      <c r="D248" s="12">
        <f>IFERROR(__xludf.DUMMYFUNCTION("""COMPUTED_VALUE"""),0.0)</f>
        <v>0</v>
      </c>
      <c r="E248" s="12" t="str">
        <f>IFERROR(__xludf.DUMMYFUNCTION("""COMPUTED_VALUE"""),"[Select Team Name]")</f>
        <v>[Select Team Name]</v>
      </c>
      <c r="F248" s="12">
        <f>IFERROR(__xludf.DUMMYFUNCTION("""COMPUTED_VALUE"""),0.0)</f>
        <v>0</v>
      </c>
      <c r="G248" s="20" t="str">
        <f>IFERROR(__xludf.DUMMYFUNCTION("if(regexmatch($B248,""RR""),concat(C248,E248),"""")"),"")</f>
        <v/>
      </c>
      <c r="H248" s="20" t="str">
        <f>IFERROR(__xludf.DUMMYFUNCTION("if(regexmatch($B248,""RR""),D248,"""")"),"")</f>
        <v/>
      </c>
      <c r="I248" s="20" t="str">
        <f>IFERROR(__xludf.DUMMYFUNCTION("if(regexmatch($B248,""RR""),concat(E248,C248),"""")"),"")</f>
        <v/>
      </c>
      <c r="J248" s="20" t="str">
        <f>IFERROR(__xludf.DUMMYFUNCTION("if(regexmatch($B248,""RR""),F248,"""")"),"")</f>
        <v/>
      </c>
      <c r="K248" s="20" t="str">
        <f>IFERROR(__xludf.DUMMYFUNCTION("if(regexmatch($B248,""DE""),concat(C248,E248),"""")"),"[Select Team Name][Select Team Name]")</f>
        <v>[Select Team Name][Select Team Name]</v>
      </c>
      <c r="L248" s="20">
        <f>IFERROR(__xludf.DUMMYFUNCTION("if(regexmatch($B248,""DE""),D248,"""")"),0.0)</f>
        <v>0</v>
      </c>
      <c r="M248" s="20" t="str">
        <f>IFERROR(__xludf.DUMMYFUNCTION("if(regexmatch($B248,""DE""),concat(E248,C248),"""")"),"[Select Team Name][Select Team Name]")</f>
        <v>[Select Team Name][Select Team Name]</v>
      </c>
      <c r="N248" s="20">
        <f>IFERROR(__xludf.DUMMYFUNCTION("if(regexmatch($B248,""DE""),F248,"""")"),0.0)</f>
        <v>0</v>
      </c>
    </row>
    <row r="249">
      <c r="A249" s="12"/>
      <c r="B249" s="12" t="str">
        <f>IFERROR(__xludf.DUMMYFUNCTION("""COMPUTED_VALUE"""),"DE6")</f>
        <v>DE6</v>
      </c>
      <c r="C249" s="12" t="str">
        <f>IFERROR(__xludf.DUMMYFUNCTION("""COMPUTED_VALUE"""),"[Select Team Name]")</f>
        <v>[Select Team Name]</v>
      </c>
      <c r="D249" s="12">
        <f>IFERROR(__xludf.DUMMYFUNCTION("""COMPUTED_VALUE"""),0.0)</f>
        <v>0</v>
      </c>
      <c r="E249" s="12" t="str">
        <f>IFERROR(__xludf.DUMMYFUNCTION("""COMPUTED_VALUE"""),"[Select Team Name]")</f>
        <v>[Select Team Name]</v>
      </c>
      <c r="F249" s="12">
        <f>IFERROR(__xludf.DUMMYFUNCTION("""COMPUTED_VALUE"""),0.0)</f>
        <v>0</v>
      </c>
      <c r="G249" s="20" t="str">
        <f>IFERROR(__xludf.DUMMYFUNCTION("if(regexmatch($B249,""RR""),concat(C249,E249),"""")"),"")</f>
        <v/>
      </c>
      <c r="H249" s="20" t="str">
        <f>IFERROR(__xludf.DUMMYFUNCTION("if(regexmatch($B249,""RR""),D249,"""")"),"")</f>
        <v/>
      </c>
      <c r="I249" s="20" t="str">
        <f>IFERROR(__xludf.DUMMYFUNCTION("if(regexmatch($B249,""RR""),concat(E249,C249),"""")"),"")</f>
        <v/>
      </c>
      <c r="J249" s="20" t="str">
        <f>IFERROR(__xludf.DUMMYFUNCTION("if(regexmatch($B249,""RR""),F249,"""")"),"")</f>
        <v/>
      </c>
      <c r="K249" s="20" t="str">
        <f>IFERROR(__xludf.DUMMYFUNCTION("if(regexmatch($B249,""DE""),concat(C249,E249),"""")"),"[Select Team Name][Select Team Name]")</f>
        <v>[Select Team Name][Select Team Name]</v>
      </c>
      <c r="L249" s="20">
        <f>IFERROR(__xludf.DUMMYFUNCTION("if(regexmatch($B249,""DE""),D249,"""")"),0.0)</f>
        <v>0</v>
      </c>
      <c r="M249" s="20" t="str">
        <f>IFERROR(__xludf.DUMMYFUNCTION("if(regexmatch($B249,""DE""),concat(E249,C249),"""")"),"[Select Team Name][Select Team Name]")</f>
        <v>[Select Team Name][Select Team Name]</v>
      </c>
      <c r="N249" s="20">
        <f>IFERROR(__xludf.DUMMYFUNCTION("if(regexmatch($B249,""DE""),F249,"""")"),0.0)</f>
        <v>0</v>
      </c>
    </row>
    <row r="250">
      <c r="A250" s="12"/>
      <c r="B250" s="12" t="str">
        <f>IFERROR(__xludf.DUMMYFUNCTION("""COMPUTED_VALUE"""),"DE7")</f>
        <v>DE7</v>
      </c>
      <c r="C250" s="12" t="str">
        <f>IFERROR(__xludf.DUMMYFUNCTION("""COMPUTED_VALUE"""),"[Select Team Name]")</f>
        <v>[Select Team Name]</v>
      </c>
      <c r="D250" s="12">
        <f>IFERROR(__xludf.DUMMYFUNCTION("""COMPUTED_VALUE"""),0.0)</f>
        <v>0</v>
      </c>
      <c r="E250" s="12" t="str">
        <f>IFERROR(__xludf.DUMMYFUNCTION("""COMPUTED_VALUE"""),"[Select Team Name]")</f>
        <v>[Select Team Name]</v>
      </c>
      <c r="F250" s="12">
        <f>IFERROR(__xludf.DUMMYFUNCTION("""COMPUTED_VALUE"""),0.0)</f>
        <v>0</v>
      </c>
      <c r="G250" s="20" t="str">
        <f>IFERROR(__xludf.DUMMYFUNCTION("if(regexmatch($B250,""RR""),concat(C250,E250),"""")"),"")</f>
        <v/>
      </c>
      <c r="H250" s="20" t="str">
        <f>IFERROR(__xludf.DUMMYFUNCTION("if(regexmatch($B250,""RR""),D250,"""")"),"")</f>
        <v/>
      </c>
      <c r="I250" s="20" t="str">
        <f>IFERROR(__xludf.DUMMYFUNCTION("if(regexmatch($B250,""RR""),concat(E250,C250),"""")"),"")</f>
        <v/>
      </c>
      <c r="J250" s="20" t="str">
        <f>IFERROR(__xludf.DUMMYFUNCTION("if(regexmatch($B250,""RR""),F250,"""")"),"")</f>
        <v/>
      </c>
      <c r="K250" s="20" t="str">
        <f>IFERROR(__xludf.DUMMYFUNCTION("if(regexmatch($B250,""DE""),concat(C250,E250),"""")"),"[Select Team Name][Select Team Name]")</f>
        <v>[Select Team Name][Select Team Name]</v>
      </c>
      <c r="L250" s="20">
        <f>IFERROR(__xludf.DUMMYFUNCTION("if(regexmatch($B250,""DE""),D250,"""")"),0.0)</f>
        <v>0</v>
      </c>
      <c r="M250" s="20" t="str">
        <f>IFERROR(__xludf.DUMMYFUNCTION("if(regexmatch($B250,""DE""),concat(E250,C250),"""")"),"[Select Team Name][Select Team Name]")</f>
        <v>[Select Team Name][Select Team Name]</v>
      </c>
      <c r="N250" s="20">
        <f>IFERROR(__xludf.DUMMYFUNCTION("if(regexmatch($B250,""DE""),F250,"""")"),0.0)</f>
        <v>0</v>
      </c>
    </row>
    <row r="251">
      <c r="A251" s="12"/>
      <c r="B251" s="12" t="str">
        <f>IFERROR(__xludf.DUMMYFUNCTION("""COMPUTED_VALUE"""),"DE8")</f>
        <v>DE8</v>
      </c>
      <c r="C251" s="12" t="str">
        <f>IFERROR(__xludf.DUMMYFUNCTION("""COMPUTED_VALUE"""),"[Select Team Name]")</f>
        <v>[Select Team Name]</v>
      </c>
      <c r="D251" s="12">
        <f>IFERROR(__xludf.DUMMYFUNCTION("""COMPUTED_VALUE"""),0.0)</f>
        <v>0</v>
      </c>
      <c r="E251" s="12" t="str">
        <f>IFERROR(__xludf.DUMMYFUNCTION("""COMPUTED_VALUE"""),"[Select Team Name]")</f>
        <v>[Select Team Name]</v>
      </c>
      <c r="F251" s="12">
        <f>IFERROR(__xludf.DUMMYFUNCTION("""COMPUTED_VALUE"""),0.0)</f>
        <v>0</v>
      </c>
      <c r="G251" s="20" t="str">
        <f>IFERROR(__xludf.DUMMYFUNCTION("if(regexmatch($B251,""RR""),concat(C251,E251),"""")"),"")</f>
        <v/>
      </c>
      <c r="H251" s="20" t="str">
        <f>IFERROR(__xludf.DUMMYFUNCTION("if(regexmatch($B251,""RR""),D251,"""")"),"")</f>
        <v/>
      </c>
      <c r="I251" s="20" t="str">
        <f>IFERROR(__xludf.DUMMYFUNCTION("if(regexmatch($B251,""RR""),concat(E251,C251),"""")"),"")</f>
        <v/>
      </c>
      <c r="J251" s="20" t="str">
        <f>IFERROR(__xludf.DUMMYFUNCTION("if(regexmatch($B251,""RR""),F251,"""")"),"")</f>
        <v/>
      </c>
      <c r="K251" s="20" t="str">
        <f>IFERROR(__xludf.DUMMYFUNCTION("if(regexmatch($B251,""DE""),concat(C251,E251),"""")"),"[Select Team Name][Select Team Name]")</f>
        <v>[Select Team Name][Select Team Name]</v>
      </c>
      <c r="L251" s="20">
        <f>IFERROR(__xludf.DUMMYFUNCTION("if(regexmatch($B251,""DE""),D251,"""")"),0.0)</f>
        <v>0</v>
      </c>
      <c r="M251" s="20" t="str">
        <f>IFERROR(__xludf.DUMMYFUNCTION("if(regexmatch($B251,""DE""),concat(E251,C251),"""")"),"[Select Team Name][Select Team Name]")</f>
        <v>[Select Team Name][Select Team Name]</v>
      </c>
      <c r="N251" s="20">
        <f>IFERROR(__xludf.DUMMYFUNCTION("if(regexmatch($B251,""DE""),F251,"""")"),0.0)</f>
        <v>0</v>
      </c>
    </row>
    <row r="252">
      <c r="A252" s="12"/>
      <c r="B252" s="12" t="str">
        <f>IFERROR(__xludf.DUMMYFUNCTION("""COMPUTED_VALUE"""),"DE9")</f>
        <v>DE9</v>
      </c>
      <c r="C252" s="12" t="str">
        <f>IFERROR(__xludf.DUMMYFUNCTION("""COMPUTED_VALUE"""),"[Select Team Name]")</f>
        <v>[Select Team Name]</v>
      </c>
      <c r="D252" s="12">
        <f>IFERROR(__xludf.DUMMYFUNCTION("""COMPUTED_VALUE"""),0.0)</f>
        <v>0</v>
      </c>
      <c r="E252" s="12" t="str">
        <f>IFERROR(__xludf.DUMMYFUNCTION("""COMPUTED_VALUE"""),"[Select Team Name]")</f>
        <v>[Select Team Name]</v>
      </c>
      <c r="F252" s="12">
        <f>IFERROR(__xludf.DUMMYFUNCTION("""COMPUTED_VALUE"""),0.0)</f>
        <v>0</v>
      </c>
      <c r="G252" s="20" t="str">
        <f>IFERROR(__xludf.DUMMYFUNCTION("if(regexmatch($B252,""RR""),concat(C252,E252),"""")"),"")</f>
        <v/>
      </c>
      <c r="H252" s="20" t="str">
        <f>IFERROR(__xludf.DUMMYFUNCTION("if(regexmatch($B252,""RR""),D252,"""")"),"")</f>
        <v/>
      </c>
      <c r="I252" s="20" t="str">
        <f>IFERROR(__xludf.DUMMYFUNCTION("if(regexmatch($B252,""RR""),concat(E252,C252),"""")"),"")</f>
        <v/>
      </c>
      <c r="J252" s="20" t="str">
        <f>IFERROR(__xludf.DUMMYFUNCTION("if(regexmatch($B252,""RR""),F252,"""")"),"")</f>
        <v/>
      </c>
      <c r="K252" s="20" t="str">
        <f>IFERROR(__xludf.DUMMYFUNCTION("if(regexmatch($B252,""DE""),concat(C252,E252),"""")"),"[Select Team Name][Select Team Name]")</f>
        <v>[Select Team Name][Select Team Name]</v>
      </c>
      <c r="L252" s="20">
        <f>IFERROR(__xludf.DUMMYFUNCTION("if(regexmatch($B252,""DE""),D252,"""")"),0.0)</f>
        <v>0</v>
      </c>
      <c r="M252" s="20" t="str">
        <f>IFERROR(__xludf.DUMMYFUNCTION("if(regexmatch($B252,""DE""),concat(E252,C252),"""")"),"[Select Team Name][Select Team Name]")</f>
        <v>[Select Team Name][Select Team Name]</v>
      </c>
      <c r="N252" s="20">
        <f>IFERROR(__xludf.DUMMYFUNCTION("if(regexmatch($B252,""DE""),F252,"""")"),0.0)</f>
        <v>0</v>
      </c>
    </row>
    <row r="253">
      <c r="A253" s="1"/>
      <c r="B253" s="12" t="str">
        <f>IFERROR(__xludf.DUMMYFUNCTION("importrange(""https://docs.google.com/spreadsheets/d/1nffnrpYuZcVDez581KM0FwRTpRKYVlzVV4RM-B9R-fo/edit?usp=drive_link"",""Scores!A2:E15"")"),"RR1")</f>
        <v>RR1</v>
      </c>
      <c r="C253" s="1" t="str">
        <f>IFERROR(__xludf.DUMMYFUNCTION("""COMPUTED_VALUE"""),"[Select Team Name]")</f>
        <v>[Select Team Name]</v>
      </c>
      <c r="D253" s="1">
        <f>IFERROR(__xludf.DUMMYFUNCTION("""COMPUTED_VALUE"""),0.0)</f>
        <v>0</v>
      </c>
      <c r="E253" s="1" t="str">
        <f>IFERROR(__xludf.DUMMYFUNCTION("""COMPUTED_VALUE"""),"[Select Team Name]")</f>
        <v>[Select Team Name]</v>
      </c>
      <c r="F253" s="1">
        <f>IFERROR(__xludf.DUMMYFUNCTION("""COMPUTED_VALUE"""),0.0)</f>
        <v>0</v>
      </c>
      <c r="G253" s="20" t="str">
        <f>IFERROR(__xludf.DUMMYFUNCTION("if(regexmatch($B253,""RR""),concat(C253,E253),"""")"),"[Select Team Name][Select Team Name]")</f>
        <v>[Select Team Name][Select Team Name]</v>
      </c>
      <c r="H253" s="20">
        <f>IFERROR(__xludf.DUMMYFUNCTION("if(regexmatch($B253,""RR""),D253,"""")"),0.0)</f>
        <v>0</v>
      </c>
      <c r="I253" s="20" t="str">
        <f>IFERROR(__xludf.DUMMYFUNCTION("if(regexmatch($B253,""RR""),concat(E253,C253),"""")"),"[Select Team Name][Select Team Name]")</f>
        <v>[Select Team Name][Select Team Name]</v>
      </c>
      <c r="J253" s="20">
        <f>IFERROR(__xludf.DUMMYFUNCTION("if(regexmatch($B253,""RR""),F253,"""")"),0.0)</f>
        <v>0</v>
      </c>
      <c r="K253" s="20" t="str">
        <f>IFERROR(__xludf.DUMMYFUNCTION("if(regexmatch($B253,""DE""),concat(C253,E253),"""")"),"")</f>
        <v/>
      </c>
      <c r="L253" s="20" t="str">
        <f>IFERROR(__xludf.DUMMYFUNCTION("if(regexmatch($B253,""DE""),D253,"""")"),"")</f>
        <v/>
      </c>
      <c r="M253" s="20" t="str">
        <f>IFERROR(__xludf.DUMMYFUNCTION("if(regexmatch($B253,""DE""),concat(E253,C253),"""")"),"")</f>
        <v/>
      </c>
      <c r="N253" s="20" t="str">
        <f>IFERROR(__xludf.DUMMYFUNCTION("if(regexmatch($B253,""DE""),F253,"""")"),"")</f>
        <v/>
      </c>
    </row>
    <row r="254">
      <c r="A254" s="12"/>
      <c r="B254" s="12" t="str">
        <f>IFERROR(__xludf.DUMMYFUNCTION("""COMPUTED_VALUE"""),"RR2")</f>
        <v>RR2</v>
      </c>
      <c r="C254" s="1" t="str">
        <f>IFERROR(__xludf.DUMMYFUNCTION("""COMPUTED_VALUE"""),"[Select Team Name]")</f>
        <v>[Select Team Name]</v>
      </c>
      <c r="D254" s="1">
        <f>IFERROR(__xludf.DUMMYFUNCTION("""COMPUTED_VALUE"""),0.0)</f>
        <v>0</v>
      </c>
      <c r="E254" s="1" t="str">
        <f>IFERROR(__xludf.DUMMYFUNCTION("""COMPUTED_VALUE"""),"[Select Team Name]")</f>
        <v>[Select Team Name]</v>
      </c>
      <c r="F254" s="1">
        <f>IFERROR(__xludf.DUMMYFUNCTION("""COMPUTED_VALUE"""),0.0)</f>
        <v>0</v>
      </c>
      <c r="G254" s="20" t="str">
        <f>IFERROR(__xludf.DUMMYFUNCTION("if(regexmatch($B254,""RR""),concat(C254,E254),"""")"),"[Select Team Name][Select Team Name]")</f>
        <v>[Select Team Name][Select Team Name]</v>
      </c>
      <c r="H254" s="20">
        <f>IFERROR(__xludf.DUMMYFUNCTION("if(regexmatch($B254,""RR""),D254,"""")"),0.0)</f>
        <v>0</v>
      </c>
      <c r="I254" s="20" t="str">
        <f>IFERROR(__xludf.DUMMYFUNCTION("if(regexmatch($B254,""RR""),concat(E254,C254),"""")"),"[Select Team Name][Select Team Name]")</f>
        <v>[Select Team Name][Select Team Name]</v>
      </c>
      <c r="J254" s="20">
        <f>IFERROR(__xludf.DUMMYFUNCTION("if(regexmatch($B254,""RR""),F254,"""")"),0.0)</f>
        <v>0</v>
      </c>
      <c r="K254" s="20" t="str">
        <f>IFERROR(__xludf.DUMMYFUNCTION("if(regexmatch($B254,""DE""),concat(C254,E254),"""")"),"")</f>
        <v/>
      </c>
      <c r="L254" s="20" t="str">
        <f>IFERROR(__xludf.DUMMYFUNCTION("if(regexmatch($B254,""DE""),D254,"""")"),"")</f>
        <v/>
      </c>
      <c r="M254" s="20" t="str">
        <f>IFERROR(__xludf.DUMMYFUNCTION("if(regexmatch($B254,""DE""),concat(E254,C254),"""")"),"")</f>
        <v/>
      </c>
      <c r="N254" s="20" t="str">
        <f>IFERROR(__xludf.DUMMYFUNCTION("if(regexmatch($B254,""DE""),F254,"""")"),"")</f>
        <v/>
      </c>
    </row>
    <row r="255">
      <c r="A255" s="12"/>
      <c r="B255" s="12" t="str">
        <f>IFERROR(__xludf.DUMMYFUNCTION("""COMPUTED_VALUE"""),"RR3")</f>
        <v>RR3</v>
      </c>
      <c r="C255" s="12" t="str">
        <f>IFERROR(__xludf.DUMMYFUNCTION("""COMPUTED_VALUE"""),"[Select Team Name]")</f>
        <v>[Select Team Name]</v>
      </c>
      <c r="D255" s="12">
        <f>IFERROR(__xludf.DUMMYFUNCTION("""COMPUTED_VALUE"""),0.0)</f>
        <v>0</v>
      </c>
      <c r="E255" s="12" t="str">
        <f>IFERROR(__xludf.DUMMYFUNCTION("""COMPUTED_VALUE"""),"[Select Team Name]")</f>
        <v>[Select Team Name]</v>
      </c>
      <c r="F255" s="12">
        <f>IFERROR(__xludf.DUMMYFUNCTION("""COMPUTED_VALUE"""),0.0)</f>
        <v>0</v>
      </c>
      <c r="G255" s="20" t="str">
        <f>IFERROR(__xludf.DUMMYFUNCTION("if(regexmatch($B255,""RR""),concat(C255,E255),"""")"),"[Select Team Name][Select Team Name]")</f>
        <v>[Select Team Name][Select Team Name]</v>
      </c>
      <c r="H255" s="20">
        <f>IFERROR(__xludf.DUMMYFUNCTION("if(regexmatch($B255,""RR""),D255,"""")"),0.0)</f>
        <v>0</v>
      </c>
      <c r="I255" s="20" t="str">
        <f>IFERROR(__xludf.DUMMYFUNCTION("if(regexmatch($B255,""RR""),concat(E255,C255),"""")"),"[Select Team Name][Select Team Name]")</f>
        <v>[Select Team Name][Select Team Name]</v>
      </c>
      <c r="J255" s="20">
        <f>IFERROR(__xludf.DUMMYFUNCTION("if(regexmatch($B255,""RR""),F255,"""")"),0.0)</f>
        <v>0</v>
      </c>
      <c r="K255" s="20" t="str">
        <f>IFERROR(__xludf.DUMMYFUNCTION("if(regexmatch($B255,""DE""),concat(C255,E255),"""")"),"")</f>
        <v/>
      </c>
      <c r="L255" s="20" t="str">
        <f>IFERROR(__xludf.DUMMYFUNCTION("if(regexmatch($B255,""DE""),D255,"""")"),"")</f>
        <v/>
      </c>
      <c r="M255" s="20" t="str">
        <f>IFERROR(__xludf.DUMMYFUNCTION("if(regexmatch($B255,""DE""),concat(E255,C255),"""")"),"")</f>
        <v/>
      </c>
      <c r="N255" s="20" t="str">
        <f>IFERROR(__xludf.DUMMYFUNCTION("if(regexmatch($B255,""DE""),F255,"""")"),"")</f>
        <v/>
      </c>
    </row>
    <row r="256">
      <c r="A256" s="12"/>
      <c r="B256" s="12" t="str">
        <f>IFERROR(__xludf.DUMMYFUNCTION("""COMPUTED_VALUE"""),"RR4")</f>
        <v>RR4</v>
      </c>
      <c r="C256" s="12" t="str">
        <f>IFERROR(__xludf.DUMMYFUNCTION("""COMPUTED_VALUE"""),"[Select Team Name]")</f>
        <v>[Select Team Name]</v>
      </c>
      <c r="D256" s="12">
        <f>IFERROR(__xludf.DUMMYFUNCTION("""COMPUTED_VALUE"""),0.0)</f>
        <v>0</v>
      </c>
      <c r="E256" s="12" t="str">
        <f>IFERROR(__xludf.DUMMYFUNCTION("""COMPUTED_VALUE"""),"[Select Team Name]")</f>
        <v>[Select Team Name]</v>
      </c>
      <c r="F256" s="12">
        <f>IFERROR(__xludf.DUMMYFUNCTION("""COMPUTED_VALUE"""),0.0)</f>
        <v>0</v>
      </c>
      <c r="G256" s="20" t="str">
        <f>IFERROR(__xludf.DUMMYFUNCTION("if(regexmatch($B256,""RR""),concat(C256,E256),"""")"),"[Select Team Name][Select Team Name]")</f>
        <v>[Select Team Name][Select Team Name]</v>
      </c>
      <c r="H256" s="20">
        <f>IFERROR(__xludf.DUMMYFUNCTION("if(regexmatch($B256,""RR""),D256,"""")"),0.0)</f>
        <v>0</v>
      </c>
      <c r="I256" s="20" t="str">
        <f>IFERROR(__xludf.DUMMYFUNCTION("if(regexmatch($B256,""RR""),concat(E256,C256),"""")"),"[Select Team Name][Select Team Name]")</f>
        <v>[Select Team Name][Select Team Name]</v>
      </c>
      <c r="J256" s="20">
        <f>IFERROR(__xludf.DUMMYFUNCTION("if(regexmatch($B256,""RR""),F256,"""")"),0.0)</f>
        <v>0</v>
      </c>
      <c r="K256" s="20" t="str">
        <f>IFERROR(__xludf.DUMMYFUNCTION("if(regexmatch($B256,""DE""),concat(C256,E256),"""")"),"")</f>
        <v/>
      </c>
      <c r="L256" s="20" t="str">
        <f>IFERROR(__xludf.DUMMYFUNCTION("if(regexmatch($B256,""DE""),D256,"""")"),"")</f>
        <v/>
      </c>
      <c r="M256" s="20" t="str">
        <f>IFERROR(__xludf.DUMMYFUNCTION("if(regexmatch($B256,""DE""),concat(E256,C256),"""")"),"")</f>
        <v/>
      </c>
      <c r="N256" s="20" t="str">
        <f>IFERROR(__xludf.DUMMYFUNCTION("if(regexmatch($B256,""DE""),F256,"""")"),"")</f>
        <v/>
      </c>
    </row>
    <row r="257">
      <c r="A257" s="12"/>
      <c r="B257" s="12" t="str">
        <f>IFERROR(__xludf.DUMMYFUNCTION("""COMPUTED_VALUE"""),"RR5")</f>
        <v>RR5</v>
      </c>
      <c r="C257" s="12" t="str">
        <f>IFERROR(__xludf.DUMMYFUNCTION("""COMPUTED_VALUE"""),"[Select Team Name]")</f>
        <v>[Select Team Name]</v>
      </c>
      <c r="D257" s="12">
        <f>IFERROR(__xludf.DUMMYFUNCTION("""COMPUTED_VALUE"""),0.0)</f>
        <v>0</v>
      </c>
      <c r="E257" s="12" t="str">
        <f>IFERROR(__xludf.DUMMYFUNCTION("""COMPUTED_VALUE"""),"[Select Team Name]")</f>
        <v>[Select Team Name]</v>
      </c>
      <c r="F257" s="12">
        <f>IFERROR(__xludf.DUMMYFUNCTION("""COMPUTED_VALUE"""),0.0)</f>
        <v>0</v>
      </c>
      <c r="G257" s="20" t="str">
        <f>IFERROR(__xludf.DUMMYFUNCTION("if(regexmatch($B257,""RR""),concat(C257,E257),"""")"),"[Select Team Name][Select Team Name]")</f>
        <v>[Select Team Name][Select Team Name]</v>
      </c>
      <c r="H257" s="20">
        <f>IFERROR(__xludf.DUMMYFUNCTION("if(regexmatch($B257,""RR""),D257,"""")"),0.0)</f>
        <v>0</v>
      </c>
      <c r="I257" s="20" t="str">
        <f>IFERROR(__xludf.DUMMYFUNCTION("if(regexmatch($B257,""RR""),concat(E257,C257),"""")"),"[Select Team Name][Select Team Name]")</f>
        <v>[Select Team Name][Select Team Name]</v>
      </c>
      <c r="J257" s="20">
        <f>IFERROR(__xludf.DUMMYFUNCTION("if(regexmatch($B257,""RR""),F257,"""")"),0.0)</f>
        <v>0</v>
      </c>
      <c r="K257" s="20" t="str">
        <f>IFERROR(__xludf.DUMMYFUNCTION("if(regexmatch($B257,""DE""),concat(C257,E257),"""")"),"")</f>
        <v/>
      </c>
      <c r="L257" s="20" t="str">
        <f>IFERROR(__xludf.DUMMYFUNCTION("if(regexmatch($B257,""DE""),D257,"""")"),"")</f>
        <v/>
      </c>
      <c r="M257" s="20" t="str">
        <f>IFERROR(__xludf.DUMMYFUNCTION("if(regexmatch($B257,""DE""),concat(E257,C257),"""")"),"")</f>
        <v/>
      </c>
      <c r="N257" s="20" t="str">
        <f>IFERROR(__xludf.DUMMYFUNCTION("if(regexmatch($B257,""DE""),F257,"""")"),"")</f>
        <v/>
      </c>
    </row>
    <row r="258">
      <c r="A258" s="12"/>
      <c r="B258" s="12" t="str">
        <f>IFERROR(__xludf.DUMMYFUNCTION("""COMPUTED_VALUE"""),"DE1")</f>
        <v>DE1</v>
      </c>
      <c r="C258" s="12" t="str">
        <f>IFERROR(__xludf.DUMMYFUNCTION("""COMPUTED_VALUE"""),"[Select Team Name]")</f>
        <v>[Select Team Name]</v>
      </c>
      <c r="D258" s="12">
        <f>IFERROR(__xludf.DUMMYFUNCTION("""COMPUTED_VALUE"""),0.0)</f>
        <v>0</v>
      </c>
      <c r="E258" s="12" t="str">
        <f>IFERROR(__xludf.DUMMYFUNCTION("""COMPUTED_VALUE"""),"[Select Team Name]")</f>
        <v>[Select Team Name]</v>
      </c>
      <c r="F258" s="12">
        <f>IFERROR(__xludf.DUMMYFUNCTION("""COMPUTED_VALUE"""),0.0)</f>
        <v>0</v>
      </c>
      <c r="G258" s="20" t="str">
        <f>IFERROR(__xludf.DUMMYFUNCTION("if(regexmatch($B258,""RR""),concat(C258,E258),"""")"),"")</f>
        <v/>
      </c>
      <c r="H258" s="20" t="str">
        <f>IFERROR(__xludf.DUMMYFUNCTION("if(regexmatch($B258,""RR""),D258,"""")"),"")</f>
        <v/>
      </c>
      <c r="I258" s="20" t="str">
        <f>IFERROR(__xludf.DUMMYFUNCTION("if(regexmatch($B258,""RR""),concat(E258,C258),"""")"),"")</f>
        <v/>
      </c>
      <c r="J258" s="20" t="str">
        <f>IFERROR(__xludf.DUMMYFUNCTION("if(regexmatch($B258,""RR""),F258,"""")"),"")</f>
        <v/>
      </c>
      <c r="K258" s="20" t="str">
        <f>IFERROR(__xludf.DUMMYFUNCTION("if(regexmatch($B258,""DE""),concat(C258,E258),"""")"),"[Select Team Name][Select Team Name]")</f>
        <v>[Select Team Name][Select Team Name]</v>
      </c>
      <c r="L258" s="20">
        <f>IFERROR(__xludf.DUMMYFUNCTION("if(regexmatch($B258,""DE""),D258,"""")"),0.0)</f>
        <v>0</v>
      </c>
      <c r="M258" s="20" t="str">
        <f>IFERROR(__xludf.DUMMYFUNCTION("if(regexmatch($B258,""DE""),concat(E258,C258),"""")"),"[Select Team Name][Select Team Name]")</f>
        <v>[Select Team Name][Select Team Name]</v>
      </c>
      <c r="N258" s="20">
        <f>IFERROR(__xludf.DUMMYFUNCTION("if(regexmatch($B258,""DE""),F258,"""")"),0.0)</f>
        <v>0</v>
      </c>
    </row>
    <row r="259">
      <c r="A259" s="12"/>
      <c r="B259" s="12" t="str">
        <f>IFERROR(__xludf.DUMMYFUNCTION("""COMPUTED_VALUE"""),"DE2")</f>
        <v>DE2</v>
      </c>
      <c r="C259" s="12" t="str">
        <f>IFERROR(__xludf.DUMMYFUNCTION("""COMPUTED_VALUE"""),"[Select Team Name]")</f>
        <v>[Select Team Name]</v>
      </c>
      <c r="D259" s="12">
        <f>IFERROR(__xludf.DUMMYFUNCTION("""COMPUTED_VALUE"""),0.0)</f>
        <v>0</v>
      </c>
      <c r="E259" s="12" t="str">
        <f>IFERROR(__xludf.DUMMYFUNCTION("""COMPUTED_VALUE"""),"[Select Team Name]")</f>
        <v>[Select Team Name]</v>
      </c>
      <c r="F259" s="12">
        <f>IFERROR(__xludf.DUMMYFUNCTION("""COMPUTED_VALUE"""),0.0)</f>
        <v>0</v>
      </c>
      <c r="G259" s="20" t="str">
        <f>IFERROR(__xludf.DUMMYFUNCTION("if(regexmatch($B259,""RR""),concat(C259,E259),"""")"),"")</f>
        <v/>
      </c>
      <c r="H259" s="20" t="str">
        <f>IFERROR(__xludf.DUMMYFUNCTION("if(regexmatch($B259,""RR""),D259,"""")"),"")</f>
        <v/>
      </c>
      <c r="I259" s="20" t="str">
        <f>IFERROR(__xludf.DUMMYFUNCTION("if(regexmatch($B259,""RR""),concat(E259,C259),"""")"),"")</f>
        <v/>
      </c>
      <c r="J259" s="20" t="str">
        <f>IFERROR(__xludf.DUMMYFUNCTION("if(regexmatch($B259,""RR""),F259,"""")"),"")</f>
        <v/>
      </c>
      <c r="K259" s="20" t="str">
        <f>IFERROR(__xludf.DUMMYFUNCTION("if(regexmatch($B259,""DE""),concat(C259,E259),"""")"),"[Select Team Name][Select Team Name]")</f>
        <v>[Select Team Name][Select Team Name]</v>
      </c>
      <c r="L259" s="20">
        <f>IFERROR(__xludf.DUMMYFUNCTION("if(regexmatch($B259,""DE""),D259,"""")"),0.0)</f>
        <v>0</v>
      </c>
      <c r="M259" s="20" t="str">
        <f>IFERROR(__xludf.DUMMYFUNCTION("if(regexmatch($B259,""DE""),concat(E259,C259),"""")"),"[Select Team Name][Select Team Name]")</f>
        <v>[Select Team Name][Select Team Name]</v>
      </c>
      <c r="N259" s="20">
        <f>IFERROR(__xludf.DUMMYFUNCTION("if(regexmatch($B259,""DE""),F259,"""")"),0.0)</f>
        <v>0</v>
      </c>
    </row>
    <row r="260">
      <c r="A260" s="12"/>
      <c r="B260" s="12" t="str">
        <f>IFERROR(__xludf.DUMMYFUNCTION("""COMPUTED_VALUE"""),"DE3")</f>
        <v>DE3</v>
      </c>
      <c r="C260" s="12" t="str">
        <f>IFERROR(__xludf.DUMMYFUNCTION("""COMPUTED_VALUE"""),"[Select Team Name]")</f>
        <v>[Select Team Name]</v>
      </c>
      <c r="D260" s="12">
        <f>IFERROR(__xludf.DUMMYFUNCTION("""COMPUTED_VALUE"""),0.0)</f>
        <v>0</v>
      </c>
      <c r="E260" s="12" t="str">
        <f>IFERROR(__xludf.DUMMYFUNCTION("""COMPUTED_VALUE"""),"[Select Team Name]")</f>
        <v>[Select Team Name]</v>
      </c>
      <c r="F260" s="12">
        <f>IFERROR(__xludf.DUMMYFUNCTION("""COMPUTED_VALUE"""),0.0)</f>
        <v>0</v>
      </c>
      <c r="G260" s="20" t="str">
        <f>IFERROR(__xludf.DUMMYFUNCTION("if(regexmatch($B260,""RR""),concat(C260,E260),"""")"),"")</f>
        <v/>
      </c>
      <c r="H260" s="20" t="str">
        <f>IFERROR(__xludf.DUMMYFUNCTION("if(regexmatch($B260,""RR""),D260,"""")"),"")</f>
        <v/>
      </c>
      <c r="I260" s="20" t="str">
        <f>IFERROR(__xludf.DUMMYFUNCTION("if(regexmatch($B260,""RR""),concat(E260,C260),"""")"),"")</f>
        <v/>
      </c>
      <c r="J260" s="20" t="str">
        <f>IFERROR(__xludf.DUMMYFUNCTION("if(regexmatch($B260,""RR""),F260,"""")"),"")</f>
        <v/>
      </c>
      <c r="K260" s="20" t="str">
        <f>IFERROR(__xludf.DUMMYFUNCTION("if(regexmatch($B260,""DE""),concat(C260,E260),"""")"),"[Select Team Name][Select Team Name]")</f>
        <v>[Select Team Name][Select Team Name]</v>
      </c>
      <c r="L260" s="20">
        <f>IFERROR(__xludf.DUMMYFUNCTION("if(regexmatch($B260,""DE""),D260,"""")"),0.0)</f>
        <v>0</v>
      </c>
      <c r="M260" s="20" t="str">
        <f>IFERROR(__xludf.DUMMYFUNCTION("if(regexmatch($B260,""DE""),concat(E260,C260),"""")"),"[Select Team Name][Select Team Name]")</f>
        <v>[Select Team Name][Select Team Name]</v>
      </c>
      <c r="N260" s="20">
        <f>IFERROR(__xludf.DUMMYFUNCTION("if(regexmatch($B260,""DE""),F260,"""")"),0.0)</f>
        <v>0</v>
      </c>
    </row>
    <row r="261">
      <c r="A261" s="12"/>
      <c r="B261" s="12" t="str">
        <f>IFERROR(__xludf.DUMMYFUNCTION("""COMPUTED_VALUE"""),"DE4")</f>
        <v>DE4</v>
      </c>
      <c r="C261" s="12" t="str">
        <f>IFERROR(__xludf.DUMMYFUNCTION("""COMPUTED_VALUE"""),"[Select Team Name]")</f>
        <v>[Select Team Name]</v>
      </c>
      <c r="D261" s="12">
        <f>IFERROR(__xludf.DUMMYFUNCTION("""COMPUTED_VALUE"""),0.0)</f>
        <v>0</v>
      </c>
      <c r="E261" s="12" t="str">
        <f>IFERROR(__xludf.DUMMYFUNCTION("""COMPUTED_VALUE"""),"[Select Team Name]")</f>
        <v>[Select Team Name]</v>
      </c>
      <c r="F261" s="12">
        <f>IFERROR(__xludf.DUMMYFUNCTION("""COMPUTED_VALUE"""),0.0)</f>
        <v>0</v>
      </c>
      <c r="G261" s="20" t="str">
        <f>IFERROR(__xludf.DUMMYFUNCTION("if(regexmatch($B261,""RR""),concat(C261,E261),"""")"),"")</f>
        <v/>
      </c>
      <c r="H261" s="20" t="str">
        <f>IFERROR(__xludf.DUMMYFUNCTION("if(regexmatch($B261,""RR""),D261,"""")"),"")</f>
        <v/>
      </c>
      <c r="I261" s="20" t="str">
        <f>IFERROR(__xludf.DUMMYFUNCTION("if(regexmatch($B261,""RR""),concat(E261,C261),"""")"),"")</f>
        <v/>
      </c>
      <c r="J261" s="20" t="str">
        <f>IFERROR(__xludf.DUMMYFUNCTION("if(regexmatch($B261,""RR""),F261,"""")"),"")</f>
        <v/>
      </c>
      <c r="K261" s="20" t="str">
        <f>IFERROR(__xludf.DUMMYFUNCTION("if(regexmatch($B261,""DE""),concat(C261,E261),"""")"),"[Select Team Name][Select Team Name]")</f>
        <v>[Select Team Name][Select Team Name]</v>
      </c>
      <c r="L261" s="20">
        <f>IFERROR(__xludf.DUMMYFUNCTION("if(regexmatch($B261,""DE""),D261,"""")"),0.0)</f>
        <v>0</v>
      </c>
      <c r="M261" s="20" t="str">
        <f>IFERROR(__xludf.DUMMYFUNCTION("if(regexmatch($B261,""DE""),concat(E261,C261),"""")"),"[Select Team Name][Select Team Name]")</f>
        <v>[Select Team Name][Select Team Name]</v>
      </c>
      <c r="N261" s="20">
        <f>IFERROR(__xludf.DUMMYFUNCTION("if(regexmatch($B261,""DE""),F261,"""")"),0.0)</f>
        <v>0</v>
      </c>
    </row>
    <row r="262">
      <c r="A262" s="12"/>
      <c r="B262" s="12" t="str">
        <f>IFERROR(__xludf.DUMMYFUNCTION("""COMPUTED_VALUE"""),"DE5")</f>
        <v>DE5</v>
      </c>
      <c r="C262" s="12" t="str">
        <f>IFERROR(__xludf.DUMMYFUNCTION("""COMPUTED_VALUE"""),"[Select Team Name]")</f>
        <v>[Select Team Name]</v>
      </c>
      <c r="D262" s="12">
        <f>IFERROR(__xludf.DUMMYFUNCTION("""COMPUTED_VALUE"""),0.0)</f>
        <v>0</v>
      </c>
      <c r="E262" s="12" t="str">
        <f>IFERROR(__xludf.DUMMYFUNCTION("""COMPUTED_VALUE"""),"[Select Team Name]")</f>
        <v>[Select Team Name]</v>
      </c>
      <c r="F262" s="12">
        <f>IFERROR(__xludf.DUMMYFUNCTION("""COMPUTED_VALUE"""),0.0)</f>
        <v>0</v>
      </c>
      <c r="G262" s="20" t="str">
        <f>IFERROR(__xludf.DUMMYFUNCTION("if(regexmatch($B262,""RR""),concat(C262,E262),"""")"),"")</f>
        <v/>
      </c>
      <c r="H262" s="20" t="str">
        <f>IFERROR(__xludf.DUMMYFUNCTION("if(regexmatch($B262,""RR""),D262,"""")"),"")</f>
        <v/>
      </c>
      <c r="I262" s="20" t="str">
        <f>IFERROR(__xludf.DUMMYFUNCTION("if(regexmatch($B262,""RR""),concat(E262,C262),"""")"),"")</f>
        <v/>
      </c>
      <c r="J262" s="20" t="str">
        <f>IFERROR(__xludf.DUMMYFUNCTION("if(regexmatch($B262,""RR""),F262,"""")"),"")</f>
        <v/>
      </c>
      <c r="K262" s="20" t="str">
        <f>IFERROR(__xludf.DUMMYFUNCTION("if(regexmatch($B262,""DE""),concat(C262,E262),"""")"),"[Select Team Name][Select Team Name]")</f>
        <v>[Select Team Name][Select Team Name]</v>
      </c>
      <c r="L262" s="20">
        <f>IFERROR(__xludf.DUMMYFUNCTION("if(regexmatch($B262,""DE""),D262,"""")"),0.0)</f>
        <v>0</v>
      </c>
      <c r="M262" s="20" t="str">
        <f>IFERROR(__xludf.DUMMYFUNCTION("if(regexmatch($B262,""DE""),concat(E262,C262),"""")"),"[Select Team Name][Select Team Name]")</f>
        <v>[Select Team Name][Select Team Name]</v>
      </c>
      <c r="N262" s="20">
        <f>IFERROR(__xludf.DUMMYFUNCTION("if(regexmatch($B262,""DE""),F262,"""")"),0.0)</f>
        <v>0</v>
      </c>
    </row>
    <row r="263">
      <c r="A263" s="12"/>
      <c r="B263" s="12" t="str">
        <f>IFERROR(__xludf.DUMMYFUNCTION("""COMPUTED_VALUE"""),"DE6")</f>
        <v>DE6</v>
      </c>
      <c r="C263" s="12" t="str">
        <f>IFERROR(__xludf.DUMMYFUNCTION("""COMPUTED_VALUE"""),"Lynbrook A")</f>
        <v>Lynbrook A</v>
      </c>
      <c r="D263" s="12">
        <f>IFERROR(__xludf.DUMMYFUNCTION("""COMPUTED_VALUE"""),70.0)</f>
        <v>70</v>
      </c>
      <c r="E263" s="12" t="str">
        <f>IFERROR(__xludf.DUMMYFUNCTION("""COMPUTED_VALUE"""),"Middleton")</f>
        <v>Middleton</v>
      </c>
      <c r="F263" s="12">
        <f>IFERROR(__xludf.DUMMYFUNCTION("""COMPUTED_VALUE"""),84.0)</f>
        <v>84</v>
      </c>
      <c r="G263" s="20" t="str">
        <f>IFERROR(__xludf.DUMMYFUNCTION("if(regexmatch($B263,""RR""),concat(C263,E263),"""")"),"")</f>
        <v/>
      </c>
      <c r="H263" s="20" t="str">
        <f>IFERROR(__xludf.DUMMYFUNCTION("if(regexmatch($B263,""RR""),D263,"""")"),"")</f>
        <v/>
      </c>
      <c r="I263" s="20" t="str">
        <f>IFERROR(__xludf.DUMMYFUNCTION("if(regexmatch($B263,""RR""),concat(E263,C263),"""")"),"")</f>
        <v/>
      </c>
      <c r="J263" s="20" t="str">
        <f>IFERROR(__xludf.DUMMYFUNCTION("if(regexmatch($B263,""RR""),F263,"""")"),"")</f>
        <v/>
      </c>
      <c r="K263" s="20" t="str">
        <f>IFERROR(__xludf.DUMMYFUNCTION("if(regexmatch($B263,""DE""),concat(C263,E263),"""")"),"Lynbrook AMiddleton")</f>
        <v>Lynbrook AMiddleton</v>
      </c>
      <c r="L263" s="20">
        <f>IFERROR(__xludf.DUMMYFUNCTION("if(regexmatch($B263,""DE""),D263,"""")"),70.0)</f>
        <v>70</v>
      </c>
      <c r="M263" s="20" t="str">
        <f>IFERROR(__xludf.DUMMYFUNCTION("if(regexmatch($B263,""DE""),concat(E263,C263),"""")"),"MiddletonLynbrook A")</f>
        <v>MiddletonLynbrook A</v>
      </c>
      <c r="N263" s="20">
        <f>IFERROR(__xludf.DUMMYFUNCTION("if(regexmatch($B263,""DE""),F263,"""")"),84.0)</f>
        <v>84</v>
      </c>
    </row>
    <row r="264">
      <c r="A264" s="12"/>
      <c r="B264" s="12" t="str">
        <f>IFERROR(__xludf.DUMMYFUNCTION("""COMPUTED_VALUE"""),"DE7")</f>
        <v>DE7</v>
      </c>
      <c r="C264" s="12" t="str">
        <f>IFERROR(__xludf.DUMMYFUNCTION("""COMPUTED_VALUE"""),"Lynbrook A")</f>
        <v>Lynbrook A</v>
      </c>
      <c r="D264" s="12">
        <f>IFERROR(__xludf.DUMMYFUNCTION("""COMPUTED_VALUE"""),56.0)</f>
        <v>56</v>
      </c>
      <c r="E264" s="12" t="str">
        <f>IFERROR(__xludf.DUMMYFUNCTION("""COMPUTED_VALUE"""),"Mission San Jose A")</f>
        <v>Mission San Jose A</v>
      </c>
      <c r="F264" s="12">
        <f>IFERROR(__xludf.DUMMYFUNCTION("""COMPUTED_VALUE"""),76.0)</f>
        <v>76</v>
      </c>
      <c r="G264" s="20" t="str">
        <f>IFERROR(__xludf.DUMMYFUNCTION("if(regexmatch($B264,""RR""),concat(C264,E264),"""")"),"")</f>
        <v/>
      </c>
      <c r="H264" s="20" t="str">
        <f>IFERROR(__xludf.DUMMYFUNCTION("if(regexmatch($B264,""RR""),D264,"""")"),"")</f>
        <v/>
      </c>
      <c r="I264" s="20" t="str">
        <f>IFERROR(__xludf.DUMMYFUNCTION("if(regexmatch($B264,""RR""),concat(E264,C264),"""")"),"")</f>
        <v/>
      </c>
      <c r="J264" s="20" t="str">
        <f>IFERROR(__xludf.DUMMYFUNCTION("if(regexmatch($B264,""RR""),F264,"""")"),"")</f>
        <v/>
      </c>
      <c r="K264" s="20" t="str">
        <f>IFERROR(__xludf.DUMMYFUNCTION("if(regexmatch($B264,""DE""),concat(C264,E264),"""")"),"Lynbrook AMission San Jose A")</f>
        <v>Lynbrook AMission San Jose A</v>
      </c>
      <c r="L264" s="20">
        <f>IFERROR(__xludf.DUMMYFUNCTION("if(regexmatch($B264,""DE""),D264,"""")"),56.0)</f>
        <v>56</v>
      </c>
      <c r="M264" s="20" t="str">
        <f>IFERROR(__xludf.DUMMYFUNCTION("if(regexmatch($B264,""DE""),concat(E264,C264),"""")"),"Mission San Jose ALynbrook A")</f>
        <v>Mission San Jose ALynbrook A</v>
      </c>
      <c r="N264" s="20">
        <f>IFERROR(__xludf.DUMMYFUNCTION("if(regexmatch($B264,""DE""),F264,"""")"),76.0)</f>
        <v>76</v>
      </c>
    </row>
    <row r="265">
      <c r="A265" s="12"/>
      <c r="B265" s="12" t="str">
        <f>IFERROR(__xludf.DUMMYFUNCTION("""COMPUTED_VALUE"""),"DE8")</f>
        <v>DE8</v>
      </c>
      <c r="C265" s="12" t="str">
        <f>IFERROR(__xludf.DUMMYFUNCTION("""COMPUTED_VALUE"""),"Middleton")</f>
        <v>Middleton</v>
      </c>
      <c r="D265" s="12">
        <f>IFERROR(__xludf.DUMMYFUNCTION("""COMPUTED_VALUE"""),58.0)</f>
        <v>58</v>
      </c>
      <c r="E265" s="12" t="str">
        <f>IFERROR(__xludf.DUMMYFUNCTION("""COMPUTED_VALUE"""),"Mission San Jose A")</f>
        <v>Mission San Jose A</v>
      </c>
      <c r="F265" s="12">
        <f>IFERROR(__xludf.DUMMYFUNCTION("""COMPUTED_VALUE"""),116.0)</f>
        <v>116</v>
      </c>
      <c r="G265" s="20" t="str">
        <f>IFERROR(__xludf.DUMMYFUNCTION("if(regexmatch($B265,""RR""),concat(C265,E265),"""")"),"")</f>
        <v/>
      </c>
      <c r="H265" s="20" t="str">
        <f>IFERROR(__xludf.DUMMYFUNCTION("if(regexmatch($B265,""RR""),D265,"""")"),"")</f>
        <v/>
      </c>
      <c r="I265" s="20" t="str">
        <f>IFERROR(__xludf.DUMMYFUNCTION("if(regexmatch($B265,""RR""),concat(E265,C265),"""")"),"")</f>
        <v/>
      </c>
      <c r="J265" s="20" t="str">
        <f>IFERROR(__xludf.DUMMYFUNCTION("if(regexmatch($B265,""RR""),F265,"""")"),"")</f>
        <v/>
      </c>
      <c r="K265" s="20" t="str">
        <f>IFERROR(__xludf.DUMMYFUNCTION("if(regexmatch($B265,""DE""),concat(C265,E265),"""")"),"MiddletonMission San Jose A")</f>
        <v>MiddletonMission San Jose A</v>
      </c>
      <c r="L265" s="20">
        <f>IFERROR(__xludf.DUMMYFUNCTION("if(regexmatch($B265,""DE""),D265,"""")"),58.0)</f>
        <v>58</v>
      </c>
      <c r="M265" s="20" t="str">
        <f>IFERROR(__xludf.DUMMYFUNCTION("if(regexmatch($B265,""DE""),concat(E265,C265),"""")"),"Mission San Jose AMiddleton")</f>
        <v>Mission San Jose AMiddleton</v>
      </c>
      <c r="N265" s="20">
        <f>IFERROR(__xludf.DUMMYFUNCTION("if(regexmatch($B265,""DE""),F265,"""")"),116.0)</f>
        <v>116</v>
      </c>
    </row>
    <row r="266">
      <c r="A266" s="12"/>
      <c r="B266" s="12" t="str">
        <f>IFERROR(__xludf.DUMMYFUNCTION("""COMPUTED_VALUE"""),"DE9")</f>
        <v>DE9</v>
      </c>
      <c r="C266" s="12" t="str">
        <f>IFERROR(__xludf.DUMMYFUNCTION("""COMPUTED_VALUE"""),"Mission San Jose A")</f>
        <v>Mission San Jose A</v>
      </c>
      <c r="D266" s="12">
        <f>IFERROR(__xludf.DUMMYFUNCTION("""COMPUTED_VALUE"""),94.0)</f>
        <v>94</v>
      </c>
      <c r="E266" s="12" t="str">
        <f>IFERROR(__xludf.DUMMYFUNCTION("""COMPUTED_VALUE"""),"Middleton")</f>
        <v>Middleton</v>
      </c>
      <c r="F266" s="12">
        <f>IFERROR(__xludf.DUMMYFUNCTION("""COMPUTED_VALUE"""),52.0)</f>
        <v>52</v>
      </c>
      <c r="G266" s="20" t="str">
        <f>IFERROR(__xludf.DUMMYFUNCTION("if(regexmatch($B266,""RR""),concat(C266,E266),"""")"),"")</f>
        <v/>
      </c>
      <c r="H266" s="20" t="str">
        <f>IFERROR(__xludf.DUMMYFUNCTION("if(regexmatch($B266,""RR""),D266,"""")"),"")</f>
        <v/>
      </c>
      <c r="I266" s="20" t="str">
        <f>IFERROR(__xludf.DUMMYFUNCTION("if(regexmatch($B266,""RR""),concat(E266,C266),"""")"),"")</f>
        <v/>
      </c>
      <c r="J266" s="20" t="str">
        <f>IFERROR(__xludf.DUMMYFUNCTION("if(regexmatch($B266,""RR""),F266,"""")"),"")</f>
        <v/>
      </c>
      <c r="K266" s="20" t="str">
        <f>IFERROR(__xludf.DUMMYFUNCTION("if(regexmatch($B266,""DE""),concat(C266,E266),"""")"),"Mission San Jose AMiddleton")</f>
        <v>Mission San Jose AMiddleton</v>
      </c>
      <c r="L266" s="20">
        <f>IFERROR(__xludf.DUMMYFUNCTION("if(regexmatch($B266,""DE""),D266,"""")"),94.0)</f>
        <v>94</v>
      </c>
      <c r="M266" s="20" t="str">
        <f>IFERROR(__xludf.DUMMYFUNCTION("if(regexmatch($B266,""DE""),concat(E266,C266),"""")"),"MiddletonMission San Jose A")</f>
        <v>MiddletonMission San Jose A</v>
      </c>
      <c r="N266" s="20">
        <f>IFERROR(__xludf.DUMMYFUNCTION("if(regexmatch($B266,""DE""),F266,"""")"),52.0)</f>
        <v>52</v>
      </c>
    </row>
    <row r="267">
      <c r="A267" s="12"/>
      <c r="B267" s="12"/>
      <c r="C267" s="12"/>
      <c r="D267" s="12"/>
      <c r="E267" s="12"/>
      <c r="F267" s="12"/>
    </row>
    <row r="268">
      <c r="A268" s="12"/>
      <c r="B268" s="12"/>
      <c r="C268" s="12"/>
      <c r="D268" s="12"/>
      <c r="E268" s="12"/>
      <c r="F268" s="12"/>
    </row>
    <row r="269">
      <c r="A269" s="12"/>
      <c r="B269" s="12"/>
      <c r="C269" s="12"/>
      <c r="D269" s="12"/>
      <c r="E269" s="12"/>
      <c r="F269" s="12"/>
    </row>
    <row r="270">
      <c r="A270" s="12"/>
      <c r="B270" s="12"/>
      <c r="C270" s="12"/>
      <c r="D270" s="12"/>
      <c r="E270" s="12"/>
      <c r="F270" s="12"/>
    </row>
    <row r="271">
      <c r="A271" s="12"/>
      <c r="B271" s="12"/>
      <c r="C271" s="12"/>
      <c r="D271" s="12"/>
      <c r="E271" s="12"/>
      <c r="F271" s="12"/>
    </row>
    <row r="272">
      <c r="A272" s="12"/>
      <c r="B272" s="12"/>
      <c r="C272" s="12"/>
      <c r="D272" s="12"/>
      <c r="E272" s="12"/>
      <c r="F272" s="12"/>
    </row>
    <row r="273">
      <c r="A273" s="12"/>
      <c r="B273" s="12"/>
      <c r="C273" s="12"/>
      <c r="D273" s="12"/>
      <c r="E273" s="12"/>
      <c r="F273" s="12"/>
    </row>
    <row r="274">
      <c r="A274" s="12"/>
      <c r="B274" s="12"/>
      <c r="C274" s="12"/>
      <c r="D274" s="12"/>
      <c r="E274" s="12"/>
      <c r="F274" s="12"/>
    </row>
    <row r="275">
      <c r="A275" s="12"/>
      <c r="B275" s="12"/>
      <c r="C275" s="12"/>
      <c r="D275" s="12"/>
      <c r="E275" s="12"/>
      <c r="F275" s="12"/>
    </row>
    <row r="276">
      <c r="A276" s="12"/>
      <c r="B276" s="12"/>
      <c r="C276" s="12"/>
      <c r="D276" s="12"/>
      <c r="E276" s="12"/>
      <c r="F276" s="12"/>
    </row>
    <row r="277">
      <c r="A277" s="12"/>
      <c r="B277" s="12"/>
      <c r="C277" s="12"/>
      <c r="D277" s="12"/>
      <c r="E277" s="12"/>
      <c r="F277" s="12"/>
    </row>
    <row r="278">
      <c r="A278" s="12"/>
      <c r="B278" s="12"/>
      <c r="C278" s="12"/>
      <c r="D278" s="12"/>
      <c r="E278" s="12"/>
      <c r="F278" s="12"/>
    </row>
    <row r="279">
      <c r="A279" s="12"/>
      <c r="B279" s="12"/>
      <c r="C279" s="12"/>
      <c r="D279" s="12"/>
      <c r="E279" s="12"/>
      <c r="F279" s="12"/>
    </row>
    <row r="280">
      <c r="A280" s="12"/>
      <c r="B280" s="12"/>
      <c r="C280" s="12"/>
      <c r="D280" s="12"/>
      <c r="E280" s="12"/>
      <c r="F280" s="12"/>
    </row>
    <row r="281">
      <c r="A281" s="12"/>
      <c r="B281" s="12"/>
      <c r="C281" s="12"/>
      <c r="D281" s="12"/>
      <c r="E281" s="12"/>
      <c r="F281" s="12"/>
    </row>
    <row r="282">
      <c r="A282" s="12"/>
      <c r="B282" s="12"/>
      <c r="C282" s="12"/>
      <c r="D282" s="12"/>
      <c r="E282" s="12"/>
      <c r="F282" s="12"/>
    </row>
    <row r="283">
      <c r="A283" s="12"/>
      <c r="B283" s="12"/>
      <c r="C283" s="12"/>
      <c r="D283" s="12"/>
      <c r="E283" s="12"/>
      <c r="F283" s="12"/>
    </row>
    <row r="284">
      <c r="A284" s="12"/>
      <c r="B284" s="12"/>
      <c r="C284" s="12"/>
      <c r="D284" s="12"/>
      <c r="E284" s="12"/>
      <c r="F284" s="12"/>
    </row>
    <row r="285">
      <c r="A285" s="12"/>
      <c r="B285" s="12"/>
      <c r="C285" s="12"/>
      <c r="D285" s="12"/>
      <c r="E285" s="12"/>
      <c r="F285" s="12"/>
    </row>
    <row r="286">
      <c r="A286" s="12"/>
      <c r="B286" s="12"/>
      <c r="C286" s="12"/>
      <c r="D286" s="12"/>
      <c r="E286" s="12"/>
      <c r="F286" s="12"/>
    </row>
    <row r="287">
      <c r="A287" s="12"/>
      <c r="B287" s="12"/>
      <c r="C287" s="12"/>
      <c r="D287" s="12"/>
      <c r="E287" s="12"/>
      <c r="F287" s="12"/>
    </row>
    <row r="288">
      <c r="A288" s="12"/>
      <c r="B288" s="12"/>
      <c r="C288" s="12"/>
      <c r="D288" s="12"/>
      <c r="E288" s="12"/>
      <c r="F288" s="12"/>
    </row>
    <row r="289">
      <c r="A289" s="12"/>
      <c r="B289" s="12"/>
      <c r="C289" s="12"/>
      <c r="D289" s="12"/>
      <c r="E289" s="12"/>
      <c r="F289" s="12"/>
    </row>
    <row r="290">
      <c r="A290" s="12"/>
      <c r="B290" s="12"/>
      <c r="C290" s="12"/>
      <c r="D290" s="12"/>
      <c r="E290" s="12"/>
      <c r="F290" s="12"/>
    </row>
    <row r="291">
      <c r="A291" s="12"/>
      <c r="B291" s="12"/>
      <c r="C291" s="12"/>
      <c r="D291" s="12"/>
      <c r="E291" s="12"/>
      <c r="F291" s="12"/>
    </row>
    <row r="292">
      <c r="A292" s="12"/>
      <c r="B292" s="12"/>
      <c r="C292" s="12"/>
      <c r="D292" s="12"/>
      <c r="E292" s="12"/>
      <c r="F292" s="12"/>
    </row>
    <row r="293">
      <c r="A293" s="12"/>
      <c r="B293" s="12"/>
      <c r="C293" s="12"/>
      <c r="D293" s="12"/>
      <c r="E293" s="12"/>
      <c r="F293" s="12"/>
    </row>
    <row r="294">
      <c r="A294" s="12"/>
      <c r="B294" s="12"/>
      <c r="C294" s="12"/>
      <c r="D294" s="12"/>
      <c r="E294" s="12"/>
      <c r="F294" s="12"/>
    </row>
    <row r="295">
      <c r="A295" s="12"/>
      <c r="B295" s="12"/>
      <c r="C295" s="12"/>
      <c r="D295" s="12"/>
      <c r="E295" s="12"/>
      <c r="F295" s="12"/>
    </row>
    <row r="296">
      <c r="A296" s="12"/>
      <c r="B296" s="12"/>
      <c r="C296" s="12"/>
      <c r="D296" s="12"/>
      <c r="E296" s="12"/>
      <c r="F296" s="12"/>
    </row>
    <row r="297">
      <c r="A297" s="12"/>
      <c r="B297" s="12"/>
      <c r="C297" s="12"/>
      <c r="D297" s="12"/>
      <c r="E297" s="12"/>
      <c r="F297" s="12"/>
    </row>
    <row r="298">
      <c r="A298" s="12"/>
      <c r="B298" s="12"/>
      <c r="C298" s="12"/>
      <c r="D298" s="12"/>
      <c r="E298" s="12"/>
      <c r="F298" s="12"/>
    </row>
    <row r="299">
      <c r="A299" s="12"/>
      <c r="B299" s="12"/>
      <c r="C299" s="12"/>
      <c r="D299" s="12"/>
      <c r="E299" s="12"/>
      <c r="F299" s="12"/>
    </row>
    <row r="300">
      <c r="A300" s="12"/>
      <c r="B300" s="12"/>
      <c r="C300" s="12"/>
      <c r="D300" s="12"/>
      <c r="E300" s="12"/>
      <c r="F300" s="12"/>
    </row>
    <row r="301">
      <c r="A301" s="12"/>
      <c r="B301" s="12"/>
      <c r="C301" s="12"/>
      <c r="D301" s="12"/>
      <c r="E301" s="12"/>
      <c r="F301" s="12"/>
    </row>
    <row r="302">
      <c r="A302" s="12"/>
      <c r="B302" s="12"/>
      <c r="C302" s="12"/>
      <c r="D302" s="12"/>
      <c r="E302" s="12"/>
      <c r="F302" s="12"/>
    </row>
    <row r="303">
      <c r="A303" s="12"/>
      <c r="B303" s="12"/>
      <c r="C303" s="12"/>
      <c r="D303" s="12"/>
      <c r="E303" s="12"/>
      <c r="F303" s="12"/>
    </row>
    <row r="304">
      <c r="A304" s="12"/>
      <c r="B304" s="12"/>
      <c r="C304" s="12"/>
      <c r="D304" s="12"/>
      <c r="E304" s="12"/>
      <c r="F304" s="12"/>
    </row>
    <row r="305">
      <c r="A305" s="12"/>
      <c r="B305" s="12"/>
      <c r="C305" s="12"/>
      <c r="D305" s="12"/>
      <c r="E305" s="12"/>
      <c r="F305" s="12"/>
    </row>
    <row r="306">
      <c r="A306" s="12"/>
      <c r="B306" s="12"/>
      <c r="C306" s="12"/>
      <c r="D306" s="12"/>
      <c r="E306" s="12"/>
      <c r="F306" s="12"/>
    </row>
    <row r="307">
      <c r="A307" s="12"/>
      <c r="B307" s="12"/>
      <c r="C307" s="12"/>
      <c r="D307" s="12"/>
      <c r="E307" s="12"/>
      <c r="F307" s="12"/>
    </row>
    <row r="308">
      <c r="A308" s="12"/>
      <c r="B308" s="12"/>
      <c r="C308" s="12"/>
      <c r="D308" s="12"/>
      <c r="E308" s="12"/>
      <c r="F308" s="12"/>
    </row>
    <row r="309">
      <c r="A309" s="12"/>
      <c r="B309" s="12"/>
      <c r="C309" s="12"/>
      <c r="D309" s="12"/>
      <c r="E309" s="12"/>
      <c r="F309" s="12"/>
    </row>
    <row r="310">
      <c r="A310" s="12"/>
      <c r="B310" s="12"/>
      <c r="C310" s="12"/>
      <c r="D310" s="12"/>
      <c r="E310" s="12"/>
      <c r="F310" s="12"/>
    </row>
    <row r="311">
      <c r="A311" s="12"/>
      <c r="B311" s="12"/>
      <c r="C311" s="12"/>
      <c r="D311" s="12"/>
      <c r="E311" s="12"/>
      <c r="F311" s="12"/>
    </row>
    <row r="312">
      <c r="A312" s="12"/>
      <c r="B312" s="12"/>
      <c r="C312" s="12"/>
      <c r="D312" s="12"/>
      <c r="E312" s="12"/>
      <c r="F312" s="12"/>
    </row>
    <row r="313">
      <c r="A313" s="12"/>
      <c r="B313" s="12"/>
      <c r="C313" s="12"/>
      <c r="D313" s="12"/>
      <c r="E313" s="12"/>
      <c r="F313" s="12"/>
    </row>
    <row r="314">
      <c r="A314" s="12"/>
      <c r="B314" s="12"/>
      <c r="C314" s="12"/>
      <c r="D314" s="12"/>
      <c r="E314" s="12"/>
      <c r="F314" s="12"/>
    </row>
    <row r="315">
      <c r="A315" s="12"/>
      <c r="B315" s="12"/>
      <c r="C315" s="12"/>
      <c r="D315" s="12"/>
      <c r="E315" s="12"/>
      <c r="F315" s="12"/>
    </row>
    <row r="316">
      <c r="A316" s="12"/>
      <c r="B316" s="12"/>
      <c r="C316" s="12"/>
      <c r="D316" s="12"/>
      <c r="E316" s="12"/>
      <c r="F316" s="12"/>
    </row>
    <row r="317">
      <c r="A317" s="12"/>
      <c r="B317" s="12"/>
      <c r="C317" s="12"/>
      <c r="D317" s="12"/>
      <c r="E317" s="12"/>
      <c r="F317" s="12"/>
    </row>
    <row r="318">
      <c r="A318" s="12"/>
      <c r="B318" s="12"/>
      <c r="C318" s="12"/>
      <c r="D318" s="12"/>
      <c r="E318" s="12"/>
      <c r="F318" s="12"/>
    </row>
    <row r="319">
      <c r="A319" s="12"/>
      <c r="B319" s="12"/>
      <c r="C319" s="12"/>
      <c r="D319" s="12"/>
      <c r="E319" s="12"/>
      <c r="F319" s="12"/>
    </row>
    <row r="320">
      <c r="A320" s="12"/>
      <c r="B320" s="12"/>
      <c r="C320" s="12"/>
      <c r="D320" s="12"/>
      <c r="E320" s="12"/>
      <c r="F320" s="12"/>
    </row>
    <row r="321">
      <c r="A321" s="12"/>
      <c r="B321" s="12"/>
      <c r="C321" s="12"/>
      <c r="D321" s="12"/>
      <c r="E321" s="12"/>
      <c r="F321" s="12"/>
    </row>
    <row r="322">
      <c r="A322" s="12"/>
      <c r="B322" s="12"/>
      <c r="C322" s="12"/>
      <c r="D322" s="12"/>
      <c r="E322" s="12"/>
      <c r="F322" s="12"/>
    </row>
    <row r="323">
      <c r="A323" s="12"/>
      <c r="B323" s="12"/>
      <c r="C323" s="12"/>
      <c r="D323" s="12"/>
      <c r="E323" s="12"/>
      <c r="F323" s="12"/>
    </row>
    <row r="324">
      <c r="A324" s="12"/>
      <c r="B324" s="12"/>
      <c r="C324" s="12"/>
      <c r="D324" s="12"/>
      <c r="E324" s="12"/>
      <c r="F324" s="12"/>
    </row>
    <row r="325">
      <c r="A325" s="12"/>
      <c r="B325" s="12"/>
      <c r="C325" s="12"/>
      <c r="D325" s="12"/>
      <c r="E325" s="12"/>
      <c r="F325" s="12"/>
    </row>
    <row r="326">
      <c r="A326" s="12"/>
      <c r="B326" s="12"/>
      <c r="C326" s="12"/>
      <c r="D326" s="12"/>
      <c r="E326" s="12"/>
      <c r="F326" s="12"/>
    </row>
    <row r="327">
      <c r="A327" s="12"/>
      <c r="B327" s="12"/>
      <c r="C327" s="12"/>
      <c r="D327" s="12"/>
      <c r="E327" s="12"/>
      <c r="F327" s="12"/>
    </row>
    <row r="328">
      <c r="A328" s="12"/>
      <c r="B328" s="12"/>
      <c r="C328" s="12"/>
      <c r="D328" s="12"/>
      <c r="E328" s="12"/>
      <c r="F328" s="12"/>
    </row>
    <row r="329">
      <c r="A329" s="12"/>
      <c r="B329" s="12"/>
      <c r="C329" s="12"/>
      <c r="D329" s="12"/>
      <c r="E329" s="12"/>
      <c r="F329" s="12"/>
    </row>
    <row r="330">
      <c r="A330" s="12"/>
      <c r="B330" s="12"/>
      <c r="C330" s="12"/>
      <c r="D330" s="12"/>
      <c r="E330" s="12"/>
      <c r="F330" s="12"/>
    </row>
    <row r="331">
      <c r="A331" s="12"/>
      <c r="B331" s="12"/>
      <c r="C331" s="12"/>
      <c r="D331" s="12"/>
      <c r="E331" s="12"/>
      <c r="F331" s="12"/>
    </row>
    <row r="332">
      <c r="A332" s="12"/>
      <c r="B332" s="12"/>
      <c r="C332" s="12"/>
      <c r="D332" s="12"/>
      <c r="E332" s="12"/>
      <c r="F332" s="12"/>
    </row>
    <row r="333">
      <c r="A333" s="12"/>
      <c r="B333" s="12"/>
      <c r="C333" s="12"/>
      <c r="D333" s="12"/>
      <c r="E333" s="12"/>
      <c r="F333" s="12"/>
    </row>
    <row r="334">
      <c r="A334" s="12"/>
      <c r="B334" s="12"/>
      <c r="C334" s="12"/>
      <c r="D334" s="12"/>
      <c r="E334" s="12"/>
      <c r="F334" s="12"/>
    </row>
    <row r="335">
      <c r="A335" s="12"/>
      <c r="B335" s="12"/>
      <c r="C335" s="12"/>
      <c r="D335" s="12"/>
      <c r="E335" s="12"/>
      <c r="F335" s="12"/>
    </row>
    <row r="336">
      <c r="A336" s="12"/>
      <c r="B336" s="12"/>
      <c r="C336" s="12"/>
      <c r="D336" s="12"/>
      <c r="E336" s="12"/>
      <c r="F336" s="12"/>
    </row>
    <row r="337">
      <c r="A337" s="12"/>
      <c r="B337" s="12"/>
      <c r="C337" s="12"/>
      <c r="D337" s="12"/>
      <c r="E337" s="12"/>
      <c r="F337" s="12"/>
    </row>
    <row r="338">
      <c r="A338" s="12"/>
      <c r="B338" s="12"/>
      <c r="C338" s="12"/>
      <c r="D338" s="12"/>
      <c r="E338" s="12"/>
      <c r="F338" s="12"/>
    </row>
    <row r="339">
      <c r="A339" s="12"/>
      <c r="B339" s="12"/>
      <c r="C339" s="12"/>
      <c r="D339" s="12"/>
      <c r="E339" s="12"/>
      <c r="F339" s="12"/>
    </row>
    <row r="340">
      <c r="A340" s="12"/>
      <c r="B340" s="12"/>
      <c r="C340" s="12"/>
      <c r="D340" s="12"/>
      <c r="E340" s="12"/>
      <c r="F340" s="12"/>
    </row>
    <row r="341">
      <c r="A341" s="12"/>
      <c r="B341" s="12"/>
      <c r="C341" s="12"/>
      <c r="D341" s="12"/>
      <c r="E341" s="12"/>
      <c r="F341" s="12"/>
    </row>
    <row r="342">
      <c r="A342" s="12"/>
      <c r="B342" s="12"/>
      <c r="C342" s="12"/>
      <c r="D342" s="12"/>
      <c r="E342" s="12"/>
      <c r="F342" s="12"/>
    </row>
    <row r="343">
      <c r="A343" s="12"/>
      <c r="B343" s="12"/>
      <c r="C343" s="12"/>
      <c r="D343" s="12"/>
      <c r="E343" s="12"/>
      <c r="F343" s="12"/>
    </row>
    <row r="344">
      <c r="A344" s="12"/>
      <c r="B344" s="12"/>
      <c r="C344" s="12"/>
      <c r="D344" s="12"/>
      <c r="E344" s="12"/>
      <c r="F344" s="12"/>
    </row>
    <row r="345">
      <c r="A345" s="12"/>
      <c r="B345" s="12"/>
      <c r="C345" s="12"/>
      <c r="D345" s="12"/>
      <c r="E345" s="12"/>
      <c r="F345" s="12"/>
    </row>
    <row r="346">
      <c r="A346" s="12"/>
      <c r="B346" s="12"/>
      <c r="C346" s="12"/>
      <c r="D346" s="12"/>
      <c r="E346" s="12"/>
      <c r="F346" s="12"/>
    </row>
    <row r="347">
      <c r="A347" s="12"/>
      <c r="B347" s="12"/>
      <c r="C347" s="12"/>
      <c r="D347" s="12"/>
      <c r="E347" s="12"/>
      <c r="F347" s="12"/>
    </row>
    <row r="348">
      <c r="A348" s="12"/>
      <c r="B348" s="12"/>
      <c r="C348" s="12"/>
      <c r="D348" s="12"/>
      <c r="E348" s="12"/>
      <c r="F348" s="12"/>
    </row>
    <row r="349">
      <c r="A349" s="12"/>
      <c r="B349" s="12"/>
      <c r="C349" s="12"/>
      <c r="D349" s="12"/>
      <c r="E349" s="12"/>
      <c r="F349" s="12"/>
    </row>
    <row r="350">
      <c r="A350" s="12"/>
      <c r="B350" s="12"/>
      <c r="C350" s="12"/>
      <c r="D350" s="12"/>
      <c r="E350" s="12"/>
      <c r="F350" s="12"/>
    </row>
    <row r="351">
      <c r="A351" s="12"/>
      <c r="B351" s="12"/>
      <c r="C351" s="12"/>
      <c r="D351" s="12"/>
      <c r="E351" s="12"/>
      <c r="F351" s="12"/>
    </row>
    <row r="352">
      <c r="A352" s="12"/>
      <c r="B352" s="12"/>
      <c r="C352" s="12"/>
      <c r="D352" s="12"/>
      <c r="E352" s="12"/>
      <c r="F352" s="12"/>
    </row>
    <row r="353">
      <c r="A353" s="12"/>
      <c r="B353" s="12"/>
      <c r="C353" s="12"/>
      <c r="D353" s="12"/>
      <c r="E353" s="12"/>
      <c r="F353" s="12"/>
    </row>
    <row r="354">
      <c r="A354" s="12"/>
      <c r="B354" s="12"/>
      <c r="C354" s="12"/>
      <c r="D354" s="12"/>
      <c r="E354" s="12"/>
      <c r="F354" s="12"/>
    </row>
    <row r="355">
      <c r="A355" s="12"/>
      <c r="B355" s="12"/>
      <c r="C355" s="12"/>
      <c r="D355" s="12"/>
      <c r="E355" s="12"/>
      <c r="F355" s="12"/>
    </row>
    <row r="356">
      <c r="A356" s="12"/>
      <c r="B356" s="12"/>
      <c r="C356" s="12"/>
      <c r="D356" s="12"/>
      <c r="E356" s="12"/>
      <c r="F356" s="12"/>
    </row>
    <row r="357">
      <c r="A357" s="12"/>
      <c r="B357" s="12"/>
      <c r="C357" s="12"/>
      <c r="D357" s="12"/>
      <c r="E357" s="12"/>
      <c r="F357" s="12"/>
    </row>
    <row r="358">
      <c r="A358" s="12"/>
      <c r="B358" s="12"/>
      <c r="C358" s="12"/>
      <c r="D358" s="12"/>
      <c r="E358" s="12"/>
      <c r="F358" s="12"/>
    </row>
    <row r="359">
      <c r="A359" s="12"/>
      <c r="B359" s="12"/>
      <c r="C359" s="12"/>
      <c r="D359" s="12"/>
      <c r="E359" s="12"/>
      <c r="F359" s="12"/>
    </row>
    <row r="360">
      <c r="A360" s="12"/>
      <c r="B360" s="12"/>
      <c r="C360" s="12"/>
      <c r="D360" s="12"/>
      <c r="E360" s="12"/>
      <c r="F360" s="12"/>
    </row>
    <row r="361">
      <c r="A361" s="12"/>
      <c r="B361" s="12"/>
      <c r="C361" s="12"/>
      <c r="D361" s="12"/>
      <c r="E361" s="12"/>
      <c r="F361" s="12"/>
    </row>
    <row r="362">
      <c r="A362" s="12"/>
      <c r="B362" s="12"/>
      <c r="C362" s="12"/>
      <c r="D362" s="12"/>
      <c r="E362" s="12"/>
      <c r="F362" s="12"/>
    </row>
    <row r="363">
      <c r="A363" s="12"/>
      <c r="B363" s="12"/>
      <c r="C363" s="12"/>
      <c r="D363" s="12"/>
      <c r="E363" s="12"/>
      <c r="F363" s="12"/>
    </row>
    <row r="364">
      <c r="A364" s="12"/>
      <c r="B364" s="12"/>
      <c r="C364" s="12"/>
      <c r="D364" s="12"/>
      <c r="E364" s="12"/>
      <c r="F364" s="12"/>
    </row>
    <row r="365">
      <c r="A365" s="12"/>
      <c r="B365" s="12"/>
      <c r="C365" s="12"/>
      <c r="D365" s="12"/>
      <c r="E365" s="12"/>
      <c r="F365" s="12"/>
    </row>
    <row r="366">
      <c r="A366" s="12"/>
      <c r="B366" s="12"/>
      <c r="C366" s="12"/>
      <c r="D366" s="12"/>
      <c r="E366" s="12"/>
      <c r="F366" s="12"/>
    </row>
    <row r="367">
      <c r="A367" s="12"/>
      <c r="B367" s="12"/>
      <c r="C367" s="12"/>
      <c r="D367" s="12"/>
      <c r="E367" s="12"/>
      <c r="F367" s="12"/>
    </row>
    <row r="368">
      <c r="A368" s="12"/>
      <c r="B368" s="12"/>
      <c r="C368" s="12"/>
      <c r="D368" s="12"/>
      <c r="E368" s="12"/>
      <c r="F368" s="12"/>
    </row>
    <row r="369">
      <c r="A369" s="12"/>
      <c r="B369" s="12"/>
      <c r="C369" s="12"/>
      <c r="D369" s="12"/>
      <c r="E369" s="12"/>
      <c r="F369" s="12"/>
    </row>
    <row r="370">
      <c r="A370" s="12"/>
      <c r="B370" s="12"/>
      <c r="C370" s="12"/>
      <c r="D370" s="12"/>
      <c r="E370" s="12"/>
      <c r="F370" s="12"/>
    </row>
    <row r="371">
      <c r="A371" s="12"/>
      <c r="B371" s="12"/>
      <c r="C371" s="12"/>
      <c r="D371" s="12"/>
      <c r="E371" s="12"/>
      <c r="F371" s="12"/>
    </row>
    <row r="372">
      <c r="A372" s="12"/>
      <c r="B372" s="12"/>
      <c r="C372" s="12"/>
      <c r="D372" s="12"/>
      <c r="E372" s="12"/>
      <c r="F372" s="12"/>
    </row>
    <row r="373">
      <c r="A373" s="12"/>
      <c r="B373" s="12"/>
      <c r="C373" s="12"/>
      <c r="D373" s="12"/>
      <c r="E373" s="12"/>
      <c r="F373" s="12"/>
    </row>
    <row r="374">
      <c r="A374" s="12"/>
      <c r="B374" s="12"/>
      <c r="C374" s="12"/>
      <c r="D374" s="12"/>
      <c r="E374" s="12"/>
      <c r="F374" s="12"/>
    </row>
    <row r="375">
      <c r="A375" s="12"/>
      <c r="B375" s="12"/>
      <c r="C375" s="12"/>
      <c r="D375" s="12"/>
      <c r="E375" s="12"/>
      <c r="F375" s="12"/>
    </row>
    <row r="376">
      <c r="A376" s="12"/>
      <c r="B376" s="12"/>
      <c r="C376" s="12"/>
      <c r="D376" s="12"/>
      <c r="E376" s="12"/>
      <c r="F376" s="12"/>
    </row>
    <row r="377">
      <c r="A377" s="12"/>
      <c r="B377" s="12"/>
      <c r="C377" s="12"/>
      <c r="D377" s="12"/>
      <c r="E377" s="12"/>
      <c r="F377" s="12"/>
    </row>
    <row r="378">
      <c r="A378" s="12"/>
      <c r="B378" s="12"/>
      <c r="C378" s="12"/>
      <c r="D378" s="12"/>
      <c r="E378" s="12"/>
      <c r="F378" s="12"/>
    </row>
    <row r="379">
      <c r="A379" s="12"/>
      <c r="B379" s="12"/>
      <c r="C379" s="12"/>
      <c r="D379" s="12"/>
      <c r="E379" s="12"/>
      <c r="F379" s="12"/>
    </row>
    <row r="380">
      <c r="A380" s="12"/>
      <c r="B380" s="12"/>
      <c r="C380" s="12"/>
      <c r="D380" s="12"/>
      <c r="E380" s="12"/>
      <c r="F380" s="12"/>
    </row>
    <row r="381">
      <c r="A381" s="12"/>
      <c r="B381" s="12"/>
      <c r="C381" s="12"/>
      <c r="D381" s="12"/>
      <c r="E381" s="12"/>
      <c r="F381" s="12"/>
    </row>
    <row r="382">
      <c r="A382" s="12"/>
      <c r="B382" s="12"/>
      <c r="C382" s="12"/>
      <c r="D382" s="12"/>
      <c r="E382" s="12"/>
      <c r="F382" s="12"/>
    </row>
    <row r="383">
      <c r="A383" s="12"/>
      <c r="B383" s="12"/>
      <c r="C383" s="12"/>
      <c r="D383" s="12"/>
      <c r="E383" s="12"/>
      <c r="F383" s="12"/>
    </row>
    <row r="384">
      <c r="A384" s="12"/>
      <c r="B384" s="12"/>
      <c r="C384" s="12"/>
      <c r="D384" s="12"/>
      <c r="E384" s="12"/>
      <c r="F384" s="12"/>
    </row>
    <row r="385">
      <c r="A385" s="12"/>
      <c r="B385" s="12"/>
      <c r="C385" s="12"/>
      <c r="D385" s="12"/>
      <c r="E385" s="12"/>
      <c r="F385" s="12"/>
    </row>
    <row r="386">
      <c r="A386" s="12"/>
      <c r="B386" s="12"/>
      <c r="C386" s="12"/>
      <c r="D386" s="12"/>
      <c r="E386" s="12"/>
      <c r="F386" s="12"/>
    </row>
    <row r="387">
      <c r="A387" s="12"/>
      <c r="B387" s="12"/>
      <c r="C387" s="12"/>
      <c r="D387" s="12"/>
      <c r="E387" s="12"/>
      <c r="F387" s="12"/>
    </row>
    <row r="388">
      <c r="A388" s="12"/>
      <c r="B388" s="12"/>
      <c r="C388" s="12"/>
      <c r="D388" s="12"/>
      <c r="E388" s="12"/>
      <c r="F388" s="12"/>
    </row>
    <row r="389">
      <c r="A389" s="12"/>
      <c r="B389" s="12"/>
      <c r="C389" s="12"/>
      <c r="D389" s="12"/>
      <c r="E389" s="12"/>
      <c r="F389" s="12"/>
    </row>
    <row r="390">
      <c r="A390" s="12"/>
      <c r="B390" s="12"/>
      <c r="C390" s="12"/>
      <c r="D390" s="12"/>
      <c r="E390" s="12"/>
      <c r="F390" s="12"/>
    </row>
    <row r="391">
      <c r="A391" s="12"/>
      <c r="B391" s="12"/>
      <c r="C391" s="12"/>
      <c r="D391" s="12"/>
      <c r="E391" s="12"/>
      <c r="F391" s="12"/>
    </row>
    <row r="392">
      <c r="A392" s="12"/>
      <c r="B392" s="12"/>
      <c r="C392" s="12"/>
      <c r="D392" s="12"/>
      <c r="E392" s="12"/>
      <c r="F392" s="12"/>
    </row>
    <row r="393">
      <c r="A393" s="12"/>
      <c r="B393" s="12"/>
      <c r="C393" s="12"/>
      <c r="D393" s="12"/>
      <c r="E393" s="12"/>
      <c r="F393" s="12"/>
    </row>
    <row r="394">
      <c r="A394" s="12"/>
      <c r="B394" s="12"/>
      <c r="C394" s="12"/>
      <c r="D394" s="12"/>
      <c r="E394" s="12"/>
      <c r="F394" s="12"/>
    </row>
    <row r="395">
      <c r="A395" s="12"/>
      <c r="B395" s="12"/>
      <c r="C395" s="12"/>
      <c r="D395" s="12"/>
      <c r="E395" s="12"/>
      <c r="F395" s="12"/>
    </row>
    <row r="396">
      <c r="A396" s="12"/>
      <c r="B396" s="12"/>
      <c r="C396" s="12"/>
      <c r="D396" s="12"/>
      <c r="E396" s="12"/>
      <c r="F396" s="12"/>
    </row>
    <row r="397">
      <c r="A397" s="12"/>
      <c r="B397" s="12"/>
      <c r="C397" s="12"/>
      <c r="D397" s="12"/>
      <c r="E397" s="12"/>
      <c r="F397" s="12"/>
    </row>
    <row r="398">
      <c r="A398" s="12"/>
      <c r="B398" s="12"/>
      <c r="C398" s="12"/>
      <c r="D398" s="12"/>
      <c r="E398" s="12"/>
      <c r="F398" s="12"/>
    </row>
    <row r="399">
      <c r="A399" s="12"/>
      <c r="B399" s="12"/>
      <c r="C399" s="12"/>
      <c r="D399" s="12"/>
      <c r="E399" s="12"/>
      <c r="F399" s="12"/>
    </row>
    <row r="400">
      <c r="A400" s="12"/>
      <c r="B400" s="12"/>
      <c r="C400" s="12"/>
      <c r="D400" s="12"/>
      <c r="E400" s="12"/>
      <c r="F400" s="12"/>
    </row>
    <row r="401">
      <c r="A401" s="12"/>
      <c r="B401" s="12"/>
      <c r="C401" s="12"/>
      <c r="D401" s="12"/>
      <c r="E401" s="12"/>
      <c r="F401" s="12"/>
    </row>
    <row r="402">
      <c r="A402" s="12"/>
      <c r="B402" s="12"/>
      <c r="C402" s="12"/>
      <c r="D402" s="12"/>
      <c r="E402" s="12"/>
      <c r="F402" s="12"/>
    </row>
    <row r="403">
      <c r="A403" s="12"/>
      <c r="B403" s="12"/>
      <c r="C403" s="12"/>
      <c r="D403" s="12"/>
      <c r="E403" s="12"/>
      <c r="F403" s="12"/>
    </row>
    <row r="404">
      <c r="A404" s="12"/>
      <c r="B404" s="12"/>
      <c r="C404" s="12"/>
      <c r="D404" s="12"/>
      <c r="E404" s="12"/>
      <c r="F404" s="12"/>
    </row>
    <row r="405">
      <c r="A405" s="12"/>
      <c r="B405" s="12"/>
      <c r="C405" s="12"/>
      <c r="D405" s="12"/>
      <c r="E405" s="12"/>
      <c r="F405" s="12"/>
    </row>
    <row r="406">
      <c r="A406" s="12"/>
      <c r="B406" s="12"/>
      <c r="C406" s="12"/>
      <c r="D406" s="12"/>
      <c r="E406" s="12"/>
      <c r="F406" s="12"/>
    </row>
    <row r="407">
      <c r="A407" s="12"/>
      <c r="B407" s="12"/>
      <c r="C407" s="12"/>
      <c r="D407" s="12"/>
      <c r="E407" s="12"/>
      <c r="F407" s="12"/>
    </row>
    <row r="408">
      <c r="A408" s="12"/>
      <c r="B408" s="12"/>
      <c r="C408" s="12"/>
      <c r="D408" s="12"/>
      <c r="E408" s="12"/>
      <c r="F408" s="12"/>
    </row>
    <row r="409">
      <c r="A409" s="12"/>
      <c r="B409" s="12"/>
      <c r="C409" s="12"/>
      <c r="D409" s="12"/>
      <c r="E409" s="12"/>
      <c r="F409" s="12"/>
    </row>
    <row r="410">
      <c r="A410" s="12"/>
      <c r="B410" s="12"/>
      <c r="C410" s="12"/>
      <c r="D410" s="12"/>
      <c r="E410" s="12"/>
      <c r="F410" s="12"/>
    </row>
    <row r="411">
      <c r="A411" s="12"/>
      <c r="B411" s="12"/>
      <c r="C411" s="12"/>
      <c r="D411" s="12"/>
      <c r="E411" s="12"/>
      <c r="F411" s="12"/>
    </row>
    <row r="412">
      <c r="A412" s="12"/>
      <c r="B412" s="12"/>
      <c r="C412" s="12"/>
      <c r="D412" s="12"/>
      <c r="E412" s="12"/>
      <c r="F412" s="12"/>
    </row>
    <row r="413">
      <c r="A413" s="12"/>
      <c r="B413" s="12"/>
      <c r="C413" s="12"/>
      <c r="D413" s="12"/>
      <c r="E413" s="12"/>
      <c r="F413" s="12"/>
    </row>
    <row r="414">
      <c r="A414" s="12"/>
      <c r="B414" s="12"/>
      <c r="C414" s="12"/>
      <c r="D414" s="12"/>
      <c r="E414" s="12"/>
      <c r="F414" s="12"/>
    </row>
    <row r="415">
      <c r="A415" s="12"/>
      <c r="B415" s="12"/>
      <c r="C415" s="12"/>
      <c r="D415" s="12"/>
      <c r="E415" s="12"/>
      <c r="F415" s="12"/>
    </row>
    <row r="416">
      <c r="A416" s="12"/>
      <c r="B416" s="12"/>
      <c r="C416" s="12"/>
      <c r="D416" s="12"/>
      <c r="E416" s="12"/>
      <c r="F416" s="12"/>
    </row>
    <row r="417">
      <c r="A417" s="12"/>
      <c r="B417" s="12"/>
      <c r="C417" s="12"/>
      <c r="D417" s="12"/>
      <c r="E417" s="12"/>
      <c r="F417" s="12"/>
    </row>
    <row r="418">
      <c r="A418" s="12"/>
      <c r="B418" s="12"/>
      <c r="C418" s="12"/>
      <c r="D418" s="12"/>
      <c r="E418" s="12"/>
      <c r="F418" s="12"/>
    </row>
    <row r="419">
      <c r="A419" s="12"/>
      <c r="B419" s="12"/>
      <c r="C419" s="12"/>
      <c r="D419" s="12"/>
      <c r="E419" s="12"/>
      <c r="F419" s="12"/>
    </row>
    <row r="420">
      <c r="A420" s="12"/>
      <c r="B420" s="12"/>
      <c r="C420" s="12"/>
      <c r="D420" s="12"/>
      <c r="E420" s="12"/>
      <c r="F420" s="12"/>
    </row>
    <row r="421">
      <c r="A421" s="12"/>
      <c r="B421" s="12"/>
      <c r="C421" s="12"/>
      <c r="D421" s="12"/>
      <c r="E421" s="12"/>
      <c r="F421" s="12"/>
    </row>
    <row r="422">
      <c r="A422" s="12"/>
      <c r="B422" s="12"/>
      <c r="C422" s="12"/>
      <c r="D422" s="12"/>
      <c r="E422" s="12"/>
      <c r="F422" s="12"/>
    </row>
    <row r="423">
      <c r="A423" s="12"/>
      <c r="B423" s="12"/>
      <c r="C423" s="12"/>
      <c r="D423" s="12"/>
      <c r="E423" s="12"/>
      <c r="F423" s="12"/>
    </row>
    <row r="424">
      <c r="A424" s="12"/>
      <c r="B424" s="12"/>
      <c r="C424" s="12"/>
      <c r="D424" s="12"/>
      <c r="E424" s="12"/>
      <c r="F424" s="12"/>
    </row>
    <row r="425">
      <c r="A425" s="12"/>
      <c r="B425" s="12"/>
      <c r="C425" s="12"/>
      <c r="D425" s="12"/>
      <c r="E425" s="12"/>
      <c r="F425" s="12"/>
    </row>
    <row r="426">
      <c r="A426" s="12"/>
      <c r="B426" s="12"/>
      <c r="C426" s="12"/>
      <c r="D426" s="12"/>
      <c r="E426" s="12"/>
      <c r="F426" s="12"/>
    </row>
    <row r="427">
      <c r="A427" s="12"/>
      <c r="B427" s="12"/>
      <c r="C427" s="12"/>
      <c r="D427" s="12"/>
      <c r="E427" s="12"/>
      <c r="F427" s="12"/>
    </row>
    <row r="428">
      <c r="A428" s="12"/>
      <c r="B428" s="12"/>
      <c r="C428" s="12"/>
      <c r="D428" s="12"/>
      <c r="E428" s="12"/>
      <c r="F428" s="12"/>
    </row>
    <row r="429">
      <c r="A429" s="12"/>
      <c r="B429" s="12"/>
      <c r="C429" s="12"/>
      <c r="D429" s="12"/>
      <c r="E429" s="12"/>
      <c r="F429" s="12"/>
    </row>
    <row r="430">
      <c r="A430" s="12"/>
      <c r="B430" s="12"/>
      <c r="C430" s="12"/>
      <c r="D430" s="12"/>
      <c r="E430" s="12"/>
      <c r="F430" s="12"/>
    </row>
    <row r="431">
      <c r="A431" s="12"/>
      <c r="B431" s="12"/>
      <c r="C431" s="12"/>
      <c r="D431" s="12"/>
      <c r="E431" s="12"/>
      <c r="F431" s="12"/>
    </row>
    <row r="432">
      <c r="A432" s="12"/>
      <c r="B432" s="12"/>
      <c r="C432" s="12"/>
      <c r="D432" s="12"/>
      <c r="E432" s="12"/>
      <c r="F432" s="12"/>
    </row>
    <row r="433">
      <c r="A433" s="12"/>
      <c r="B433" s="12"/>
      <c r="C433" s="12"/>
      <c r="D433" s="12"/>
      <c r="E433" s="12"/>
      <c r="F433" s="12"/>
    </row>
    <row r="434">
      <c r="A434" s="12"/>
      <c r="B434" s="12"/>
      <c r="C434" s="12"/>
      <c r="D434" s="12"/>
      <c r="E434" s="12"/>
      <c r="F434" s="12"/>
    </row>
    <row r="435">
      <c r="A435" s="12"/>
      <c r="B435" s="12"/>
      <c r="C435" s="12"/>
      <c r="D435" s="12"/>
      <c r="E435" s="12"/>
      <c r="F435" s="12"/>
    </row>
    <row r="436">
      <c r="A436" s="12"/>
      <c r="B436" s="12"/>
      <c r="C436" s="12"/>
      <c r="D436" s="12"/>
      <c r="E436" s="12"/>
      <c r="F436" s="12"/>
    </row>
    <row r="437">
      <c r="A437" s="12"/>
      <c r="B437" s="12"/>
      <c r="C437" s="12"/>
      <c r="D437" s="12"/>
      <c r="E437" s="12"/>
      <c r="F437" s="12"/>
    </row>
    <row r="438">
      <c r="A438" s="12"/>
      <c r="B438" s="12"/>
      <c r="C438" s="12"/>
      <c r="D438" s="12"/>
      <c r="E438" s="12"/>
      <c r="F438" s="12"/>
    </row>
    <row r="439">
      <c r="A439" s="12"/>
      <c r="B439" s="12"/>
      <c r="C439" s="12"/>
      <c r="D439" s="12"/>
      <c r="E439" s="12"/>
      <c r="F439" s="12"/>
    </row>
    <row r="440">
      <c r="A440" s="12"/>
      <c r="B440" s="12"/>
      <c r="C440" s="12"/>
      <c r="D440" s="12"/>
      <c r="E440" s="12"/>
      <c r="F440" s="12"/>
    </row>
    <row r="441">
      <c r="A441" s="12"/>
      <c r="B441" s="12"/>
      <c r="C441" s="12"/>
      <c r="D441" s="12"/>
      <c r="E441" s="12"/>
      <c r="F441" s="12"/>
    </row>
    <row r="442">
      <c r="A442" s="12"/>
      <c r="B442" s="12"/>
      <c r="C442" s="12"/>
      <c r="D442" s="12"/>
      <c r="E442" s="12"/>
      <c r="F442" s="12"/>
    </row>
    <row r="443">
      <c r="A443" s="12"/>
      <c r="B443" s="12"/>
      <c r="C443" s="12"/>
      <c r="D443" s="12"/>
      <c r="E443" s="12"/>
      <c r="F443" s="12"/>
    </row>
    <row r="444">
      <c r="A444" s="12"/>
      <c r="B444" s="12"/>
      <c r="C444" s="12"/>
      <c r="D444" s="12"/>
      <c r="E444" s="12"/>
      <c r="F444" s="12"/>
    </row>
    <row r="445">
      <c r="A445" s="12"/>
      <c r="B445" s="12"/>
      <c r="C445" s="12"/>
      <c r="D445" s="12"/>
      <c r="E445" s="12"/>
      <c r="F445" s="12"/>
    </row>
    <row r="446">
      <c r="A446" s="12"/>
      <c r="B446" s="12"/>
      <c r="C446" s="12"/>
      <c r="D446" s="12"/>
      <c r="E446" s="12"/>
      <c r="F446" s="12"/>
    </row>
    <row r="447">
      <c r="A447" s="12"/>
      <c r="B447" s="12"/>
      <c r="C447" s="12"/>
      <c r="D447" s="12"/>
      <c r="E447" s="12"/>
      <c r="F447" s="12"/>
    </row>
    <row r="448">
      <c r="A448" s="12"/>
      <c r="B448" s="12"/>
      <c r="C448" s="12"/>
      <c r="D448" s="12"/>
      <c r="E448" s="12"/>
      <c r="F448" s="12"/>
    </row>
    <row r="449">
      <c r="A449" s="12"/>
      <c r="B449" s="12"/>
      <c r="C449" s="12"/>
      <c r="D449" s="12"/>
      <c r="E449" s="12"/>
      <c r="F449" s="12"/>
    </row>
    <row r="450">
      <c r="A450" s="12"/>
      <c r="B450" s="12"/>
      <c r="C450" s="12"/>
      <c r="D450" s="12"/>
      <c r="E450" s="12"/>
      <c r="F450" s="12"/>
    </row>
    <row r="451">
      <c r="A451" s="12"/>
      <c r="B451" s="12"/>
      <c r="C451" s="12"/>
      <c r="D451" s="12"/>
      <c r="E451" s="12"/>
      <c r="F451" s="12"/>
    </row>
    <row r="452">
      <c r="A452" s="12"/>
      <c r="B452" s="12"/>
      <c r="C452" s="12"/>
      <c r="D452" s="12"/>
      <c r="E452" s="12"/>
      <c r="F452" s="12"/>
    </row>
    <row r="453">
      <c r="A453" s="12"/>
      <c r="B453" s="12"/>
      <c r="C453" s="12"/>
      <c r="D453" s="12"/>
      <c r="E453" s="12"/>
      <c r="F453" s="12"/>
    </row>
    <row r="454">
      <c r="A454" s="12"/>
      <c r="B454" s="12"/>
      <c r="C454" s="12"/>
      <c r="D454" s="12"/>
      <c r="E454" s="12"/>
      <c r="F454" s="12"/>
    </row>
    <row r="455">
      <c r="A455" s="12"/>
      <c r="B455" s="12"/>
      <c r="C455" s="12"/>
      <c r="D455" s="12"/>
      <c r="E455" s="12"/>
      <c r="F455" s="12"/>
    </row>
    <row r="456">
      <c r="A456" s="12"/>
      <c r="B456" s="12"/>
      <c r="C456" s="12"/>
      <c r="D456" s="12"/>
      <c r="E456" s="12"/>
      <c r="F456" s="12"/>
    </row>
    <row r="457">
      <c r="A457" s="12"/>
      <c r="B457" s="12"/>
      <c r="C457" s="12"/>
      <c r="D457" s="12"/>
      <c r="E457" s="12"/>
      <c r="F457" s="12"/>
    </row>
    <row r="458">
      <c r="A458" s="12"/>
      <c r="B458" s="12"/>
      <c r="C458" s="12"/>
      <c r="D458" s="12"/>
      <c r="E458" s="12"/>
      <c r="F458" s="12"/>
    </row>
    <row r="459">
      <c r="A459" s="12"/>
      <c r="B459" s="12"/>
      <c r="C459" s="12"/>
      <c r="D459" s="12"/>
      <c r="E459" s="12"/>
      <c r="F459" s="12"/>
    </row>
    <row r="460">
      <c r="A460" s="12"/>
      <c r="B460" s="12"/>
      <c r="C460" s="12"/>
      <c r="D460" s="12"/>
      <c r="E460" s="12"/>
      <c r="F460" s="12"/>
    </row>
    <row r="461">
      <c r="A461" s="12"/>
      <c r="B461" s="12"/>
      <c r="C461" s="12"/>
      <c r="D461" s="12"/>
      <c r="E461" s="12"/>
      <c r="F461" s="12"/>
    </row>
    <row r="462">
      <c r="A462" s="12"/>
      <c r="B462" s="12"/>
      <c r="C462" s="12"/>
      <c r="D462" s="12"/>
      <c r="E462" s="12"/>
      <c r="F462" s="12"/>
    </row>
    <row r="463">
      <c r="A463" s="12"/>
      <c r="B463" s="12"/>
      <c r="C463" s="12"/>
      <c r="D463" s="12"/>
      <c r="E463" s="12"/>
      <c r="F463" s="12"/>
    </row>
    <row r="464">
      <c r="A464" s="12"/>
      <c r="B464" s="12"/>
      <c r="C464" s="12"/>
      <c r="D464" s="12"/>
      <c r="E464" s="12"/>
      <c r="F464" s="12"/>
    </row>
    <row r="465">
      <c r="A465" s="12"/>
      <c r="B465" s="12"/>
      <c r="C465" s="12"/>
      <c r="D465" s="12"/>
      <c r="E465" s="12"/>
      <c r="F465" s="12"/>
    </row>
    <row r="466">
      <c r="A466" s="12"/>
      <c r="B466" s="12"/>
      <c r="C466" s="12"/>
      <c r="D466" s="12"/>
      <c r="E466" s="12"/>
      <c r="F466" s="12"/>
    </row>
    <row r="467">
      <c r="A467" s="12"/>
      <c r="B467" s="12"/>
      <c r="C467" s="12"/>
      <c r="D467" s="12"/>
      <c r="E467" s="12"/>
      <c r="F467" s="12"/>
    </row>
    <row r="468">
      <c r="A468" s="12"/>
      <c r="B468" s="12"/>
      <c r="C468" s="12"/>
      <c r="D468" s="12"/>
      <c r="E468" s="12"/>
      <c r="F468" s="12"/>
    </row>
    <row r="469">
      <c r="A469" s="12"/>
      <c r="B469" s="12"/>
      <c r="C469" s="12"/>
      <c r="D469" s="12"/>
      <c r="E469" s="12"/>
      <c r="F469" s="12"/>
    </row>
    <row r="470">
      <c r="A470" s="12"/>
      <c r="B470" s="12"/>
      <c r="C470" s="12"/>
      <c r="D470" s="12"/>
      <c r="E470" s="12"/>
      <c r="F470" s="12"/>
    </row>
    <row r="471">
      <c r="A471" s="12"/>
      <c r="B471" s="12"/>
      <c r="C471" s="12"/>
      <c r="D471" s="12"/>
      <c r="E471" s="12"/>
      <c r="F471" s="12"/>
    </row>
    <row r="472">
      <c r="A472" s="12"/>
      <c r="B472" s="12"/>
      <c r="C472" s="12"/>
      <c r="D472" s="12"/>
      <c r="E472" s="12"/>
      <c r="F472" s="12"/>
    </row>
    <row r="473">
      <c r="A473" s="12"/>
      <c r="B473" s="12"/>
      <c r="C473" s="12"/>
      <c r="D473" s="12"/>
      <c r="E473" s="12"/>
      <c r="F473" s="12"/>
    </row>
    <row r="474">
      <c r="A474" s="12"/>
      <c r="B474" s="12"/>
      <c r="C474" s="12"/>
      <c r="D474" s="12"/>
      <c r="E474" s="12"/>
      <c r="F474" s="12"/>
    </row>
    <row r="475">
      <c r="A475" s="12"/>
      <c r="B475" s="12"/>
      <c r="C475" s="12"/>
      <c r="D475" s="12"/>
      <c r="E475" s="12"/>
      <c r="F475" s="12"/>
    </row>
    <row r="476">
      <c r="A476" s="12"/>
      <c r="B476" s="12"/>
      <c r="C476" s="12"/>
      <c r="D476" s="12"/>
      <c r="E476" s="12"/>
      <c r="F476" s="12"/>
    </row>
    <row r="477">
      <c r="A477" s="12"/>
      <c r="B477" s="12"/>
      <c r="C477" s="12"/>
      <c r="D477" s="12"/>
      <c r="E477" s="12"/>
      <c r="F477" s="12"/>
    </row>
    <row r="478">
      <c r="A478" s="12"/>
      <c r="B478" s="12"/>
      <c r="C478" s="12"/>
      <c r="D478" s="12"/>
      <c r="E478" s="12"/>
      <c r="F478" s="12"/>
    </row>
    <row r="479">
      <c r="A479" s="12"/>
      <c r="B479" s="12"/>
      <c r="C479" s="12"/>
      <c r="D479" s="12"/>
      <c r="E479" s="12"/>
      <c r="F479" s="12"/>
    </row>
    <row r="480">
      <c r="A480" s="12"/>
      <c r="B480" s="12"/>
      <c r="C480" s="12"/>
      <c r="D480" s="12"/>
      <c r="E480" s="12"/>
      <c r="F480" s="12"/>
    </row>
    <row r="481">
      <c r="A481" s="12"/>
      <c r="B481" s="12"/>
      <c r="C481" s="12"/>
      <c r="D481" s="12"/>
      <c r="E481" s="12"/>
      <c r="F481" s="12"/>
    </row>
    <row r="482">
      <c r="A482" s="12"/>
      <c r="B482" s="12"/>
      <c r="C482" s="12"/>
      <c r="D482" s="12"/>
      <c r="E482" s="12"/>
      <c r="F482" s="12"/>
    </row>
    <row r="483">
      <c r="A483" s="12"/>
      <c r="B483" s="12"/>
      <c r="C483" s="12"/>
      <c r="D483" s="12"/>
      <c r="E483" s="12"/>
      <c r="F483" s="12"/>
    </row>
    <row r="484">
      <c r="A484" s="12"/>
      <c r="B484" s="12"/>
      <c r="C484" s="12"/>
      <c r="D484" s="12"/>
      <c r="E484" s="12"/>
      <c r="F484" s="12"/>
    </row>
    <row r="485">
      <c r="A485" s="12"/>
      <c r="B485" s="12"/>
      <c r="C485" s="12"/>
      <c r="D485" s="12"/>
      <c r="E485" s="12"/>
      <c r="F485" s="12"/>
    </row>
    <row r="486">
      <c r="A486" s="12"/>
      <c r="B486" s="12"/>
      <c r="C486" s="12"/>
      <c r="D486" s="12"/>
      <c r="E486" s="12"/>
      <c r="F486" s="12"/>
    </row>
    <row r="487">
      <c r="A487" s="12"/>
      <c r="B487" s="12"/>
      <c r="C487" s="12"/>
      <c r="D487" s="12"/>
      <c r="E487" s="12"/>
      <c r="F487" s="12"/>
    </row>
    <row r="488">
      <c r="A488" s="12"/>
      <c r="B488" s="12"/>
      <c r="C488" s="12"/>
      <c r="D488" s="12"/>
      <c r="E488" s="12"/>
      <c r="F488" s="12"/>
    </row>
    <row r="489">
      <c r="A489" s="12"/>
      <c r="B489" s="12"/>
      <c r="C489" s="12"/>
      <c r="D489" s="12"/>
      <c r="E489" s="12"/>
      <c r="F489" s="12"/>
    </row>
    <row r="490">
      <c r="A490" s="12"/>
      <c r="B490" s="12"/>
      <c r="C490" s="12"/>
      <c r="D490" s="12"/>
      <c r="E490" s="12"/>
      <c r="F490" s="12"/>
    </row>
    <row r="491">
      <c r="A491" s="12"/>
      <c r="B491" s="12"/>
      <c r="C491" s="12"/>
      <c r="D491" s="12"/>
      <c r="E491" s="12"/>
      <c r="F491" s="12"/>
    </row>
    <row r="492">
      <c r="A492" s="12"/>
      <c r="B492" s="12"/>
      <c r="C492" s="12"/>
      <c r="D492" s="12"/>
      <c r="E492" s="12"/>
      <c r="F492" s="12"/>
    </row>
    <row r="493">
      <c r="A493" s="12"/>
      <c r="B493" s="12"/>
      <c r="C493" s="12"/>
      <c r="D493" s="12"/>
      <c r="E493" s="12"/>
      <c r="F493" s="12"/>
    </row>
    <row r="494">
      <c r="A494" s="12"/>
      <c r="B494" s="12"/>
      <c r="C494" s="12"/>
      <c r="D494" s="12"/>
      <c r="E494" s="12"/>
      <c r="F494" s="12"/>
    </row>
    <row r="495">
      <c r="A495" s="12"/>
      <c r="B495" s="12"/>
      <c r="C495" s="12"/>
      <c r="D495" s="12"/>
      <c r="E495" s="12"/>
      <c r="F495" s="12"/>
    </row>
    <row r="496">
      <c r="A496" s="12"/>
      <c r="B496" s="12"/>
      <c r="C496" s="12"/>
      <c r="D496" s="12"/>
      <c r="E496" s="12"/>
      <c r="F496" s="12"/>
    </row>
    <row r="497">
      <c r="A497" s="12"/>
      <c r="B497" s="12"/>
      <c r="C497" s="12"/>
      <c r="D497" s="12"/>
      <c r="E497" s="12"/>
      <c r="F497" s="12"/>
    </row>
    <row r="498">
      <c r="A498" s="12"/>
      <c r="B498" s="12"/>
      <c r="C498" s="12"/>
      <c r="D498" s="12"/>
      <c r="E498" s="12"/>
      <c r="F498" s="12"/>
    </row>
    <row r="499">
      <c r="A499" s="12"/>
      <c r="B499" s="12"/>
      <c r="C499" s="12"/>
      <c r="D499" s="12"/>
      <c r="E499" s="12"/>
      <c r="F499" s="12"/>
    </row>
    <row r="500">
      <c r="A500" s="12"/>
      <c r="B500" s="12"/>
      <c r="C500" s="12"/>
      <c r="D500" s="12"/>
      <c r="E500" s="12"/>
      <c r="F500" s="12"/>
    </row>
    <row r="501">
      <c r="A501" s="12"/>
      <c r="B501" s="12"/>
      <c r="C501" s="12"/>
      <c r="D501" s="12"/>
      <c r="E501" s="12"/>
      <c r="F501" s="12"/>
    </row>
    <row r="502">
      <c r="A502" s="12"/>
      <c r="B502" s="12"/>
      <c r="C502" s="12"/>
      <c r="D502" s="12"/>
      <c r="E502" s="12"/>
      <c r="F502" s="12"/>
    </row>
    <row r="503">
      <c r="A503" s="12"/>
      <c r="B503" s="12"/>
      <c r="C503" s="12"/>
      <c r="D503" s="12"/>
      <c r="E503" s="12"/>
      <c r="F503" s="12"/>
    </row>
    <row r="504">
      <c r="A504" s="12"/>
      <c r="B504" s="12"/>
      <c r="C504" s="12"/>
      <c r="D504" s="12"/>
      <c r="E504" s="12"/>
      <c r="F504" s="12"/>
    </row>
    <row r="505">
      <c r="A505" s="12"/>
      <c r="B505" s="12"/>
      <c r="C505" s="12"/>
      <c r="D505" s="12"/>
      <c r="E505" s="12"/>
      <c r="F505" s="12"/>
    </row>
    <row r="506">
      <c r="A506" s="12"/>
      <c r="B506" s="12"/>
      <c r="C506" s="12"/>
      <c r="D506" s="12"/>
      <c r="E506" s="12"/>
      <c r="F506" s="12"/>
    </row>
    <row r="507">
      <c r="A507" s="12"/>
      <c r="B507" s="12"/>
      <c r="C507" s="12"/>
      <c r="D507" s="12"/>
      <c r="E507" s="12"/>
      <c r="F507" s="12"/>
    </row>
    <row r="508">
      <c r="A508" s="12"/>
      <c r="B508" s="12"/>
      <c r="C508" s="12"/>
      <c r="D508" s="12"/>
      <c r="E508" s="12"/>
      <c r="F508" s="12"/>
    </row>
    <row r="509">
      <c r="A509" s="12"/>
      <c r="B509" s="12"/>
      <c r="C509" s="12"/>
      <c r="D509" s="12"/>
      <c r="E509" s="12"/>
      <c r="F509" s="12"/>
    </row>
    <row r="510">
      <c r="A510" s="12"/>
      <c r="B510" s="12"/>
      <c r="C510" s="12"/>
      <c r="D510" s="12"/>
      <c r="E510" s="12"/>
      <c r="F510" s="12"/>
    </row>
    <row r="511">
      <c r="A511" s="12"/>
      <c r="B511" s="12"/>
      <c r="C511" s="12"/>
      <c r="D511" s="12"/>
      <c r="E511" s="12"/>
      <c r="F511" s="12"/>
    </row>
    <row r="512">
      <c r="A512" s="12"/>
      <c r="B512" s="12"/>
      <c r="C512" s="12"/>
      <c r="D512" s="12"/>
      <c r="E512" s="12"/>
      <c r="F512" s="12"/>
    </row>
    <row r="513">
      <c r="A513" s="12"/>
      <c r="B513" s="12"/>
      <c r="C513" s="12"/>
      <c r="D513" s="12"/>
      <c r="E513" s="12"/>
      <c r="F513" s="12"/>
    </row>
    <row r="514">
      <c r="A514" s="12"/>
      <c r="B514" s="12"/>
      <c r="C514" s="12"/>
      <c r="D514" s="12"/>
      <c r="E514" s="12"/>
      <c r="F514" s="12"/>
    </row>
    <row r="515">
      <c r="A515" s="12"/>
      <c r="B515" s="12"/>
      <c r="C515" s="12"/>
      <c r="D515" s="12"/>
      <c r="E515" s="12"/>
      <c r="F515" s="12"/>
    </row>
    <row r="516">
      <c r="A516" s="12"/>
      <c r="B516" s="12"/>
      <c r="C516" s="12"/>
      <c r="D516" s="12"/>
      <c r="E516" s="12"/>
      <c r="F516" s="12"/>
    </row>
    <row r="517">
      <c r="A517" s="12"/>
      <c r="B517" s="12"/>
      <c r="C517" s="12"/>
      <c r="D517" s="12"/>
      <c r="E517" s="12"/>
      <c r="F517" s="12"/>
    </row>
    <row r="518">
      <c r="A518" s="12"/>
      <c r="B518" s="12"/>
      <c r="C518" s="12"/>
      <c r="D518" s="12"/>
      <c r="E518" s="12"/>
      <c r="F518" s="12"/>
    </row>
    <row r="519">
      <c r="A519" s="12"/>
      <c r="B519" s="12"/>
      <c r="C519" s="12"/>
      <c r="D519" s="12"/>
      <c r="E519" s="12"/>
      <c r="F519" s="12"/>
    </row>
    <row r="520">
      <c r="A520" s="12"/>
      <c r="B520" s="12"/>
      <c r="C520" s="12"/>
      <c r="D520" s="12"/>
      <c r="E520" s="12"/>
      <c r="F520" s="12"/>
    </row>
    <row r="521">
      <c r="A521" s="12"/>
      <c r="B521" s="12"/>
      <c r="C521" s="12"/>
      <c r="D521" s="12"/>
      <c r="E521" s="12"/>
      <c r="F521" s="12"/>
    </row>
    <row r="522">
      <c r="A522" s="12"/>
      <c r="B522" s="12"/>
      <c r="C522" s="12"/>
      <c r="D522" s="12"/>
      <c r="E522" s="12"/>
      <c r="F522" s="12"/>
    </row>
    <row r="523">
      <c r="A523" s="12"/>
      <c r="B523" s="12"/>
      <c r="C523" s="12"/>
      <c r="D523" s="12"/>
      <c r="E523" s="12"/>
      <c r="F523" s="12"/>
    </row>
    <row r="524">
      <c r="A524" s="12"/>
      <c r="B524" s="12"/>
      <c r="C524" s="12"/>
      <c r="D524" s="12"/>
      <c r="E524" s="12"/>
      <c r="F524" s="12"/>
    </row>
    <row r="525">
      <c r="A525" s="12"/>
      <c r="B525" s="12"/>
      <c r="C525" s="12"/>
      <c r="D525" s="12"/>
      <c r="E525" s="12"/>
      <c r="F525" s="12"/>
    </row>
    <row r="526">
      <c r="A526" s="12"/>
      <c r="B526" s="12"/>
      <c r="C526" s="12"/>
      <c r="D526" s="12"/>
      <c r="E526" s="12"/>
      <c r="F526" s="12"/>
    </row>
    <row r="527">
      <c r="A527" s="12"/>
      <c r="B527" s="12"/>
      <c r="C527" s="12"/>
      <c r="D527" s="12"/>
      <c r="E527" s="12"/>
      <c r="F527" s="12"/>
    </row>
    <row r="528">
      <c r="A528" s="12"/>
      <c r="B528" s="12"/>
      <c r="C528" s="12"/>
      <c r="D528" s="12"/>
      <c r="E528" s="12"/>
      <c r="F528" s="12"/>
    </row>
    <row r="529">
      <c r="A529" s="12"/>
      <c r="B529" s="12"/>
      <c r="C529" s="12"/>
      <c r="D529" s="12"/>
      <c r="E529" s="12"/>
      <c r="F529" s="12"/>
    </row>
    <row r="530">
      <c r="A530" s="12"/>
      <c r="B530" s="12"/>
      <c r="C530" s="12"/>
      <c r="D530" s="12"/>
      <c r="E530" s="12"/>
      <c r="F530" s="12"/>
    </row>
    <row r="531">
      <c r="A531" s="12"/>
      <c r="B531" s="12"/>
      <c r="C531" s="12"/>
      <c r="D531" s="12"/>
      <c r="E531" s="12"/>
      <c r="F531" s="12"/>
    </row>
    <row r="532">
      <c r="A532" s="12"/>
      <c r="B532" s="12"/>
      <c r="C532" s="12"/>
      <c r="D532" s="12"/>
      <c r="E532" s="12"/>
      <c r="F532" s="12"/>
    </row>
    <row r="533">
      <c r="A533" s="12"/>
      <c r="B533" s="12"/>
      <c r="C533" s="12"/>
      <c r="D533" s="12"/>
      <c r="E533" s="12"/>
      <c r="F533" s="12"/>
    </row>
    <row r="534">
      <c r="A534" s="12"/>
      <c r="B534" s="12"/>
      <c r="C534" s="12"/>
      <c r="D534" s="12"/>
      <c r="E534" s="12"/>
      <c r="F534" s="12"/>
    </row>
    <row r="535">
      <c r="A535" s="12"/>
      <c r="B535" s="12"/>
      <c r="C535" s="12"/>
      <c r="D535" s="12"/>
      <c r="E535" s="12"/>
      <c r="F535" s="12"/>
    </row>
    <row r="536">
      <c r="A536" s="12"/>
      <c r="B536" s="12"/>
      <c r="C536" s="12"/>
      <c r="D536" s="12"/>
      <c r="E536" s="12"/>
      <c r="F536" s="12"/>
    </row>
    <row r="537">
      <c r="A537" s="12"/>
      <c r="B537" s="12"/>
      <c r="C537" s="12"/>
      <c r="D537" s="12"/>
      <c r="E537" s="12"/>
      <c r="F537" s="12"/>
    </row>
    <row r="538">
      <c r="A538" s="12"/>
      <c r="B538" s="12"/>
      <c r="C538" s="12"/>
      <c r="D538" s="12"/>
      <c r="E538" s="12"/>
      <c r="F538" s="12"/>
    </row>
    <row r="539">
      <c r="A539" s="12"/>
      <c r="B539" s="12"/>
      <c r="C539" s="12"/>
      <c r="D539" s="12"/>
      <c r="E539" s="12"/>
      <c r="F539" s="12"/>
    </row>
    <row r="540">
      <c r="A540" s="12"/>
      <c r="B540" s="12"/>
      <c r="C540" s="12"/>
      <c r="D540" s="12"/>
      <c r="E540" s="12"/>
      <c r="F540" s="12"/>
    </row>
    <row r="541">
      <c r="A541" s="12"/>
      <c r="B541" s="12"/>
      <c r="C541" s="12"/>
      <c r="D541" s="12"/>
      <c r="E541" s="12"/>
      <c r="F541" s="12"/>
    </row>
    <row r="542">
      <c r="A542" s="12"/>
      <c r="B542" s="12"/>
      <c r="C542" s="12"/>
      <c r="D542" s="12"/>
      <c r="E542" s="12"/>
      <c r="F542" s="12"/>
    </row>
    <row r="543">
      <c r="A543" s="12"/>
      <c r="B543" s="12"/>
      <c r="C543" s="12"/>
      <c r="D543" s="12"/>
      <c r="E543" s="12"/>
      <c r="F543" s="12"/>
    </row>
    <row r="544">
      <c r="A544" s="12"/>
      <c r="B544" s="12"/>
      <c r="C544" s="12"/>
      <c r="D544" s="12"/>
      <c r="E544" s="12"/>
      <c r="F544" s="12"/>
    </row>
    <row r="545">
      <c r="A545" s="12"/>
      <c r="B545" s="12"/>
      <c r="C545" s="12"/>
      <c r="D545" s="12"/>
      <c r="E545" s="12"/>
      <c r="F545" s="12"/>
    </row>
    <row r="546">
      <c r="A546" s="12"/>
      <c r="B546" s="12"/>
      <c r="C546" s="12"/>
      <c r="D546" s="12"/>
      <c r="E546" s="12"/>
      <c r="F546" s="12"/>
    </row>
    <row r="547">
      <c r="A547" s="12"/>
      <c r="B547" s="12"/>
      <c r="C547" s="12"/>
      <c r="D547" s="12"/>
      <c r="E547" s="12"/>
      <c r="F547" s="12"/>
    </row>
    <row r="548">
      <c r="A548" s="12"/>
      <c r="B548" s="12"/>
      <c r="C548" s="12"/>
      <c r="D548" s="12"/>
      <c r="E548" s="12"/>
      <c r="F548" s="12"/>
    </row>
    <row r="549">
      <c r="A549" s="12"/>
      <c r="B549" s="12"/>
      <c r="C549" s="12"/>
      <c r="D549" s="12"/>
      <c r="E549" s="12"/>
      <c r="F549" s="12"/>
    </row>
    <row r="550">
      <c r="A550" s="12"/>
      <c r="B550" s="12"/>
      <c r="C550" s="12"/>
      <c r="D550" s="12"/>
      <c r="E550" s="12"/>
      <c r="F550" s="12"/>
    </row>
    <row r="551">
      <c r="A551" s="12"/>
      <c r="B551" s="12"/>
      <c r="C551" s="12"/>
      <c r="D551" s="12"/>
      <c r="E551" s="12"/>
      <c r="F551" s="12"/>
    </row>
    <row r="552">
      <c r="A552" s="12"/>
      <c r="B552" s="12"/>
      <c r="C552" s="12"/>
      <c r="D552" s="12"/>
      <c r="E552" s="12"/>
      <c r="F552" s="12"/>
    </row>
    <row r="553">
      <c r="A553" s="12"/>
      <c r="B553" s="12"/>
      <c r="C553" s="12"/>
      <c r="D553" s="12"/>
      <c r="E553" s="12"/>
      <c r="F553" s="12"/>
    </row>
    <row r="554">
      <c r="A554" s="12"/>
      <c r="B554" s="12"/>
      <c r="C554" s="12"/>
      <c r="D554" s="12"/>
      <c r="E554" s="12"/>
      <c r="F554" s="12"/>
    </row>
    <row r="555">
      <c r="A555" s="12"/>
      <c r="B555" s="12"/>
      <c r="C555" s="12"/>
      <c r="D555" s="12"/>
      <c r="E555" s="12"/>
      <c r="F555" s="12"/>
    </row>
    <row r="556">
      <c r="A556" s="12"/>
      <c r="B556" s="12"/>
      <c r="C556" s="12"/>
      <c r="D556" s="12"/>
      <c r="E556" s="12"/>
      <c r="F556" s="12"/>
    </row>
    <row r="557">
      <c r="A557" s="12"/>
      <c r="B557" s="12"/>
      <c r="C557" s="12"/>
      <c r="D557" s="12"/>
      <c r="E557" s="12"/>
      <c r="F557" s="12"/>
    </row>
    <row r="558">
      <c r="A558" s="12"/>
      <c r="B558" s="12"/>
      <c r="C558" s="12"/>
      <c r="D558" s="12"/>
      <c r="E558" s="12"/>
      <c r="F558" s="12"/>
    </row>
    <row r="559">
      <c r="A559" s="12"/>
      <c r="B559" s="12"/>
      <c r="C559" s="12"/>
      <c r="D559" s="12"/>
      <c r="E559" s="12"/>
      <c r="F559" s="12"/>
    </row>
    <row r="560">
      <c r="A560" s="12"/>
      <c r="B560" s="12"/>
      <c r="C560" s="12"/>
      <c r="D560" s="12"/>
      <c r="E560" s="12"/>
      <c r="F560" s="12"/>
    </row>
    <row r="561">
      <c r="A561" s="12"/>
      <c r="B561" s="12"/>
      <c r="C561" s="12"/>
      <c r="D561" s="12"/>
      <c r="E561" s="12"/>
      <c r="F561" s="12"/>
    </row>
    <row r="562">
      <c r="A562" s="12"/>
      <c r="B562" s="12"/>
      <c r="C562" s="12"/>
      <c r="D562" s="12"/>
      <c r="E562" s="12"/>
      <c r="F562" s="12"/>
    </row>
    <row r="563">
      <c r="A563" s="12"/>
      <c r="B563" s="12"/>
      <c r="C563" s="12"/>
      <c r="D563" s="12"/>
      <c r="E563" s="12"/>
      <c r="F563" s="12"/>
    </row>
    <row r="564">
      <c r="A564" s="12"/>
      <c r="B564" s="12"/>
      <c r="C564" s="12"/>
      <c r="D564" s="12"/>
      <c r="E564" s="12"/>
      <c r="F564" s="12"/>
    </row>
    <row r="565">
      <c r="A565" s="12"/>
      <c r="B565" s="12"/>
      <c r="C565" s="12"/>
      <c r="D565" s="12"/>
      <c r="E565" s="12"/>
      <c r="F565" s="12"/>
    </row>
    <row r="566">
      <c r="A566" s="12"/>
      <c r="B566" s="12"/>
      <c r="C566" s="12"/>
      <c r="D566" s="12"/>
      <c r="E566" s="12"/>
      <c r="F566" s="12"/>
    </row>
    <row r="567">
      <c r="A567" s="12"/>
      <c r="B567" s="12"/>
      <c r="C567" s="12"/>
      <c r="D567" s="12"/>
      <c r="E567" s="12"/>
      <c r="F567" s="12"/>
    </row>
    <row r="568">
      <c r="A568" s="12"/>
      <c r="B568" s="12"/>
      <c r="C568" s="12"/>
      <c r="D568" s="12"/>
      <c r="E568" s="12"/>
      <c r="F568" s="12"/>
    </row>
    <row r="569">
      <c r="A569" s="12"/>
      <c r="B569" s="12"/>
      <c r="C569" s="12"/>
      <c r="D569" s="12"/>
      <c r="E569" s="12"/>
      <c r="F569" s="12"/>
    </row>
    <row r="570">
      <c r="A570" s="12"/>
      <c r="B570" s="12"/>
      <c r="C570" s="12"/>
      <c r="D570" s="12"/>
      <c r="E570" s="12"/>
      <c r="F570" s="12"/>
    </row>
    <row r="571">
      <c r="A571" s="12"/>
      <c r="B571" s="12"/>
      <c r="C571" s="12"/>
      <c r="D571" s="12"/>
      <c r="E571" s="12"/>
      <c r="F571" s="12"/>
    </row>
    <row r="572">
      <c r="A572" s="12"/>
      <c r="B572" s="12"/>
      <c r="C572" s="12"/>
      <c r="D572" s="12"/>
      <c r="E572" s="12"/>
      <c r="F572" s="12"/>
    </row>
    <row r="573">
      <c r="A573" s="12"/>
      <c r="B573" s="12"/>
      <c r="C573" s="12"/>
      <c r="D573" s="12"/>
      <c r="E573" s="12"/>
      <c r="F573" s="12"/>
    </row>
    <row r="574">
      <c r="A574" s="12"/>
      <c r="B574" s="12"/>
      <c r="C574" s="12"/>
      <c r="D574" s="12"/>
      <c r="E574" s="12"/>
      <c r="F574" s="12"/>
    </row>
    <row r="575">
      <c r="A575" s="12"/>
      <c r="B575" s="12"/>
      <c r="C575" s="12"/>
      <c r="D575" s="12"/>
      <c r="E575" s="12"/>
      <c r="F575" s="12"/>
    </row>
    <row r="576">
      <c r="A576" s="12"/>
      <c r="B576" s="12"/>
      <c r="C576" s="12"/>
      <c r="D576" s="12"/>
      <c r="E576" s="12"/>
      <c r="F576" s="12"/>
    </row>
    <row r="577">
      <c r="A577" s="12"/>
      <c r="B577" s="12"/>
      <c r="C577" s="12"/>
      <c r="D577" s="12"/>
      <c r="E577" s="12"/>
      <c r="F577" s="12"/>
    </row>
    <row r="578">
      <c r="A578" s="12"/>
      <c r="B578" s="12"/>
      <c r="C578" s="12"/>
      <c r="D578" s="12"/>
      <c r="E578" s="12"/>
      <c r="F578" s="12"/>
    </row>
    <row r="579">
      <c r="A579" s="12"/>
      <c r="B579" s="12"/>
      <c r="C579" s="12"/>
      <c r="D579" s="12"/>
      <c r="E579" s="12"/>
      <c r="F579" s="12"/>
    </row>
    <row r="580">
      <c r="A580" s="12"/>
      <c r="B580" s="12"/>
      <c r="C580" s="12"/>
      <c r="D580" s="12"/>
      <c r="E580" s="12"/>
      <c r="F580" s="12"/>
    </row>
    <row r="581">
      <c r="A581" s="12"/>
      <c r="B581" s="12"/>
      <c r="C581" s="12"/>
      <c r="D581" s="12"/>
      <c r="E581" s="12"/>
      <c r="F581" s="12"/>
    </row>
    <row r="582">
      <c r="A582" s="12"/>
      <c r="B582" s="12"/>
      <c r="C582" s="12"/>
      <c r="D582" s="12"/>
      <c r="E582" s="12"/>
      <c r="F582" s="12"/>
    </row>
    <row r="583">
      <c r="A583" s="12"/>
      <c r="B583" s="12"/>
      <c r="C583" s="12"/>
      <c r="D583" s="12"/>
      <c r="E583" s="12"/>
      <c r="F583" s="12"/>
    </row>
    <row r="584">
      <c r="A584" s="12"/>
      <c r="B584" s="12"/>
      <c r="C584" s="12"/>
      <c r="D584" s="12"/>
      <c r="E584" s="12"/>
      <c r="F584" s="12"/>
    </row>
    <row r="585">
      <c r="A585" s="12"/>
      <c r="B585" s="12"/>
      <c r="C585" s="12"/>
      <c r="D585" s="12"/>
      <c r="E585" s="12"/>
      <c r="F585" s="12"/>
    </row>
    <row r="586">
      <c r="A586" s="12"/>
      <c r="B586" s="12"/>
      <c r="C586" s="12"/>
      <c r="D586" s="12"/>
      <c r="E586" s="12"/>
      <c r="F586" s="12"/>
    </row>
    <row r="587">
      <c r="A587" s="12"/>
      <c r="B587" s="12"/>
      <c r="C587" s="12"/>
      <c r="D587" s="12"/>
      <c r="E587" s="12"/>
      <c r="F587" s="12"/>
    </row>
    <row r="588">
      <c r="A588" s="12"/>
      <c r="B588" s="12"/>
      <c r="C588" s="12"/>
      <c r="D588" s="12"/>
      <c r="E588" s="12"/>
      <c r="F588" s="12"/>
    </row>
    <row r="589">
      <c r="A589" s="12"/>
      <c r="B589" s="12"/>
      <c r="C589" s="12"/>
      <c r="D589" s="12"/>
      <c r="E589" s="12"/>
      <c r="F589" s="12"/>
    </row>
    <row r="590">
      <c r="A590" s="12"/>
      <c r="B590" s="12"/>
      <c r="C590" s="12"/>
      <c r="D590" s="12"/>
      <c r="E590" s="12"/>
      <c r="F590" s="12"/>
    </row>
    <row r="591">
      <c r="A591" s="12"/>
      <c r="B591" s="12"/>
      <c r="C591" s="12"/>
      <c r="D591" s="12"/>
      <c r="E591" s="12"/>
      <c r="F591" s="12"/>
    </row>
    <row r="592">
      <c r="A592" s="12"/>
      <c r="B592" s="12"/>
      <c r="C592" s="12"/>
      <c r="D592" s="12"/>
      <c r="E592" s="12"/>
      <c r="F592" s="12"/>
    </row>
    <row r="593">
      <c r="A593" s="12"/>
      <c r="B593" s="12"/>
      <c r="C593" s="12"/>
      <c r="D593" s="12"/>
      <c r="E593" s="12"/>
      <c r="F593" s="12"/>
    </row>
    <row r="594">
      <c r="A594" s="12"/>
      <c r="B594" s="12"/>
      <c r="C594" s="12"/>
      <c r="D594" s="12"/>
      <c r="E594" s="12"/>
      <c r="F594" s="12"/>
    </row>
    <row r="595">
      <c r="A595" s="12"/>
      <c r="B595" s="12"/>
      <c r="C595" s="12"/>
      <c r="D595" s="12"/>
      <c r="E595" s="12"/>
      <c r="F595" s="12"/>
    </row>
    <row r="596">
      <c r="A596" s="12"/>
      <c r="B596" s="12"/>
      <c r="C596" s="12"/>
      <c r="D596" s="12"/>
      <c r="E596" s="12"/>
      <c r="F596" s="12"/>
    </row>
    <row r="597">
      <c r="A597" s="12"/>
      <c r="B597" s="12"/>
      <c r="C597" s="12"/>
      <c r="D597" s="12"/>
      <c r="E597" s="12"/>
      <c r="F597" s="12"/>
    </row>
    <row r="598">
      <c r="A598" s="12"/>
      <c r="B598" s="12"/>
      <c r="C598" s="12"/>
      <c r="D598" s="12"/>
      <c r="E598" s="12"/>
      <c r="F598" s="12"/>
    </row>
    <row r="599">
      <c r="A599" s="12"/>
      <c r="B599" s="12"/>
      <c r="C599" s="12"/>
      <c r="D599" s="12"/>
      <c r="E599" s="12"/>
      <c r="F599" s="12"/>
    </row>
    <row r="600">
      <c r="A600" s="12"/>
      <c r="B600" s="12"/>
      <c r="C600" s="12"/>
      <c r="D600" s="12"/>
      <c r="E600" s="12"/>
      <c r="F600" s="12"/>
    </row>
    <row r="601">
      <c r="A601" s="12"/>
      <c r="B601" s="12"/>
      <c r="C601" s="12"/>
      <c r="D601" s="12"/>
      <c r="E601" s="12"/>
      <c r="F601" s="12"/>
    </row>
    <row r="602">
      <c r="A602" s="12"/>
      <c r="B602" s="12"/>
      <c r="C602" s="12"/>
      <c r="D602" s="12"/>
      <c r="E602" s="12"/>
      <c r="F602" s="12"/>
    </row>
    <row r="603">
      <c r="A603" s="12"/>
      <c r="B603" s="12"/>
      <c r="C603" s="12"/>
      <c r="D603" s="12"/>
      <c r="E603" s="12"/>
      <c r="F603" s="12"/>
    </row>
    <row r="604">
      <c r="A604" s="12"/>
      <c r="B604" s="12"/>
      <c r="C604" s="12"/>
      <c r="D604" s="12"/>
      <c r="E604" s="12"/>
      <c r="F604" s="12"/>
    </row>
    <row r="605">
      <c r="A605" s="12"/>
      <c r="B605" s="12"/>
      <c r="C605" s="12"/>
      <c r="D605" s="12"/>
      <c r="E605" s="12"/>
      <c r="F605" s="12"/>
    </row>
    <row r="606">
      <c r="A606" s="12"/>
      <c r="B606" s="12"/>
      <c r="C606" s="12"/>
      <c r="D606" s="12"/>
      <c r="E606" s="12"/>
      <c r="F606" s="12"/>
    </row>
    <row r="607">
      <c r="A607" s="12"/>
      <c r="B607" s="12"/>
      <c r="C607" s="12"/>
      <c r="D607" s="12"/>
      <c r="E607" s="12"/>
      <c r="F607" s="12"/>
    </row>
    <row r="608">
      <c r="A608" s="12"/>
      <c r="B608" s="12"/>
      <c r="C608" s="12"/>
      <c r="D608" s="12"/>
      <c r="E608" s="12"/>
      <c r="F608" s="12"/>
    </row>
    <row r="609">
      <c r="A609" s="12"/>
      <c r="B609" s="12"/>
      <c r="C609" s="12"/>
      <c r="D609" s="12"/>
      <c r="E609" s="12"/>
      <c r="F609" s="12"/>
    </row>
    <row r="610">
      <c r="A610" s="12"/>
      <c r="B610" s="12"/>
      <c r="C610" s="12"/>
      <c r="D610" s="12"/>
      <c r="E610" s="12"/>
      <c r="F610" s="12"/>
    </row>
    <row r="611">
      <c r="A611" s="12"/>
      <c r="B611" s="12"/>
      <c r="C611" s="12"/>
      <c r="D611" s="12"/>
      <c r="E611" s="12"/>
      <c r="F611" s="12"/>
    </row>
    <row r="612">
      <c r="A612" s="12"/>
      <c r="B612" s="12"/>
      <c r="C612" s="12"/>
      <c r="D612" s="12"/>
      <c r="E612" s="12"/>
      <c r="F612" s="12"/>
    </row>
    <row r="613">
      <c r="A613" s="12"/>
      <c r="B613" s="12"/>
      <c r="C613" s="12"/>
      <c r="D613" s="12"/>
      <c r="E613" s="12"/>
      <c r="F613" s="12"/>
    </row>
    <row r="614">
      <c r="A614" s="12"/>
      <c r="B614" s="12"/>
      <c r="C614" s="12"/>
      <c r="D614" s="12"/>
      <c r="E614" s="12"/>
      <c r="F614" s="12"/>
    </row>
    <row r="615">
      <c r="A615" s="12"/>
      <c r="B615" s="12"/>
      <c r="C615" s="12"/>
      <c r="D615" s="12"/>
      <c r="E615" s="12"/>
      <c r="F615" s="12"/>
    </row>
    <row r="616">
      <c r="A616" s="12"/>
      <c r="B616" s="12"/>
      <c r="C616" s="12"/>
      <c r="D616" s="12"/>
      <c r="E616" s="12"/>
      <c r="F616" s="12"/>
    </row>
    <row r="617">
      <c r="A617" s="12"/>
      <c r="B617" s="12"/>
      <c r="C617" s="12"/>
      <c r="D617" s="12"/>
      <c r="E617" s="12"/>
      <c r="F617" s="12"/>
    </row>
    <row r="618">
      <c r="A618" s="12"/>
      <c r="B618" s="12"/>
      <c r="C618" s="12"/>
      <c r="D618" s="12"/>
      <c r="E618" s="12"/>
      <c r="F618" s="12"/>
    </row>
    <row r="619">
      <c r="A619" s="12"/>
      <c r="B619" s="12"/>
      <c r="C619" s="12"/>
      <c r="D619" s="12"/>
      <c r="E619" s="12"/>
      <c r="F619" s="12"/>
    </row>
    <row r="620">
      <c r="A620" s="12"/>
      <c r="B620" s="12"/>
      <c r="C620" s="12"/>
      <c r="D620" s="12"/>
      <c r="E620" s="12"/>
      <c r="F620" s="12"/>
    </row>
    <row r="621">
      <c r="A621" s="12"/>
      <c r="B621" s="12"/>
      <c r="C621" s="12"/>
      <c r="D621" s="12"/>
      <c r="E621" s="12"/>
      <c r="F621" s="12"/>
    </row>
    <row r="622">
      <c r="A622" s="12"/>
      <c r="B622" s="12"/>
      <c r="C622" s="12"/>
      <c r="D622" s="12"/>
      <c r="E622" s="12"/>
      <c r="F622" s="12"/>
    </row>
    <row r="623">
      <c r="A623" s="12"/>
      <c r="B623" s="12"/>
      <c r="C623" s="12"/>
      <c r="D623" s="12"/>
      <c r="E623" s="12"/>
      <c r="F623" s="12"/>
    </row>
    <row r="624">
      <c r="A624" s="12"/>
      <c r="B624" s="12"/>
      <c r="C624" s="12"/>
      <c r="D624" s="12"/>
      <c r="E624" s="12"/>
      <c r="F624" s="12"/>
    </row>
    <row r="625">
      <c r="A625" s="12"/>
      <c r="B625" s="12"/>
      <c r="C625" s="12"/>
      <c r="D625" s="12"/>
      <c r="E625" s="12"/>
      <c r="F625" s="12"/>
    </row>
    <row r="626">
      <c r="A626" s="12"/>
      <c r="B626" s="12"/>
      <c r="C626" s="12"/>
      <c r="D626" s="12"/>
      <c r="E626" s="12"/>
      <c r="F626" s="12"/>
    </row>
    <row r="627">
      <c r="A627" s="12"/>
      <c r="B627" s="12"/>
      <c r="C627" s="12"/>
      <c r="D627" s="12"/>
      <c r="E627" s="12"/>
      <c r="F627" s="12"/>
    </row>
    <row r="628">
      <c r="A628" s="12"/>
      <c r="B628" s="12"/>
      <c r="C628" s="12"/>
      <c r="D628" s="12"/>
      <c r="E628" s="12"/>
      <c r="F628" s="12"/>
    </row>
    <row r="629">
      <c r="A629" s="12"/>
      <c r="B629" s="12"/>
      <c r="C629" s="12"/>
      <c r="D629" s="12"/>
      <c r="E629" s="12"/>
      <c r="F629" s="12"/>
    </row>
    <row r="630">
      <c r="A630" s="12"/>
      <c r="B630" s="12"/>
      <c r="C630" s="12"/>
      <c r="D630" s="12"/>
      <c r="E630" s="12"/>
      <c r="F630" s="12"/>
    </row>
    <row r="631">
      <c r="A631" s="12"/>
      <c r="B631" s="12"/>
      <c r="C631" s="12"/>
      <c r="D631" s="12"/>
      <c r="E631" s="12"/>
      <c r="F631" s="12"/>
    </row>
    <row r="632">
      <c r="A632" s="12"/>
      <c r="B632" s="12"/>
      <c r="C632" s="12"/>
      <c r="D632" s="12"/>
      <c r="E632" s="12"/>
      <c r="F632" s="12"/>
    </row>
    <row r="633">
      <c r="A633" s="12"/>
      <c r="B633" s="12"/>
      <c r="C633" s="12"/>
      <c r="D633" s="12"/>
      <c r="E633" s="12"/>
      <c r="F633" s="12"/>
    </row>
    <row r="634">
      <c r="A634" s="12"/>
      <c r="B634" s="12"/>
      <c r="C634" s="12"/>
      <c r="D634" s="12"/>
      <c r="E634" s="12"/>
      <c r="F634" s="12"/>
    </row>
    <row r="635">
      <c r="A635" s="12"/>
      <c r="B635" s="12"/>
      <c r="C635" s="12"/>
      <c r="D635" s="12"/>
      <c r="E635" s="12"/>
      <c r="F635" s="12"/>
    </row>
    <row r="636">
      <c r="A636" s="12"/>
      <c r="B636" s="12"/>
      <c r="C636" s="12"/>
      <c r="D636" s="12"/>
      <c r="E636" s="12"/>
      <c r="F636" s="12"/>
    </row>
    <row r="637">
      <c r="A637" s="12"/>
      <c r="B637" s="12"/>
      <c r="C637" s="12"/>
      <c r="D637" s="12"/>
      <c r="E637" s="12"/>
      <c r="F637" s="12"/>
    </row>
    <row r="638">
      <c r="A638" s="12"/>
      <c r="B638" s="12"/>
      <c r="C638" s="12"/>
      <c r="D638" s="12"/>
      <c r="E638" s="12"/>
      <c r="F638" s="12"/>
    </row>
    <row r="639">
      <c r="A639" s="12"/>
      <c r="B639" s="12"/>
      <c r="C639" s="12"/>
      <c r="D639" s="12"/>
      <c r="E639" s="12"/>
      <c r="F639" s="12"/>
    </row>
    <row r="640">
      <c r="A640" s="12"/>
      <c r="B640" s="12"/>
      <c r="C640" s="12"/>
      <c r="D640" s="12"/>
      <c r="E640" s="12"/>
      <c r="F640" s="12"/>
    </row>
    <row r="641">
      <c r="A641" s="12"/>
      <c r="B641" s="12"/>
      <c r="C641" s="12"/>
      <c r="D641" s="12"/>
      <c r="E641" s="12"/>
      <c r="F641" s="12"/>
    </row>
    <row r="642">
      <c r="A642" s="12"/>
      <c r="B642" s="12"/>
      <c r="C642" s="12"/>
      <c r="D642" s="12"/>
      <c r="E642" s="12"/>
      <c r="F642" s="12"/>
    </row>
    <row r="643">
      <c r="A643" s="12"/>
      <c r="B643" s="12"/>
      <c r="C643" s="12"/>
      <c r="D643" s="12"/>
      <c r="E643" s="12"/>
      <c r="F643" s="12"/>
    </row>
    <row r="644">
      <c r="A644" s="12"/>
      <c r="B644" s="12"/>
      <c r="C644" s="12"/>
      <c r="D644" s="12"/>
      <c r="E644" s="12"/>
      <c r="F644" s="12"/>
    </row>
    <row r="645">
      <c r="A645" s="12"/>
      <c r="B645" s="12"/>
      <c r="C645" s="12"/>
      <c r="D645" s="12"/>
      <c r="E645" s="12"/>
      <c r="F645" s="12"/>
    </row>
    <row r="646">
      <c r="A646" s="12"/>
      <c r="B646" s="12"/>
      <c r="C646" s="12"/>
      <c r="D646" s="12"/>
      <c r="E646" s="12"/>
      <c r="F646" s="12"/>
    </row>
    <row r="647">
      <c r="A647" s="12"/>
      <c r="B647" s="12"/>
      <c r="C647" s="12"/>
      <c r="D647" s="12"/>
      <c r="E647" s="12"/>
      <c r="F647" s="12"/>
    </row>
    <row r="648">
      <c r="A648" s="12"/>
      <c r="B648" s="12"/>
      <c r="C648" s="12"/>
      <c r="D648" s="12"/>
      <c r="E648" s="12"/>
      <c r="F648" s="12"/>
    </row>
    <row r="649">
      <c r="A649" s="12"/>
      <c r="B649" s="12"/>
      <c r="C649" s="12"/>
      <c r="D649" s="12"/>
      <c r="E649" s="12"/>
      <c r="F649" s="12"/>
    </row>
    <row r="650">
      <c r="A650" s="12"/>
      <c r="B650" s="12"/>
      <c r="C650" s="12"/>
      <c r="D650" s="12"/>
      <c r="E650" s="12"/>
      <c r="F650" s="12"/>
    </row>
    <row r="651">
      <c r="A651" s="12"/>
      <c r="B651" s="12"/>
      <c r="C651" s="12"/>
      <c r="D651" s="12"/>
      <c r="E651" s="12"/>
      <c r="F651" s="12"/>
    </row>
    <row r="652">
      <c r="A652" s="12"/>
      <c r="B652" s="12"/>
      <c r="C652" s="12"/>
      <c r="D652" s="12"/>
      <c r="E652" s="12"/>
      <c r="F652" s="12"/>
    </row>
    <row r="653">
      <c r="A653" s="12"/>
      <c r="B653" s="12"/>
      <c r="C653" s="12"/>
      <c r="D653" s="12"/>
      <c r="E653" s="12"/>
      <c r="F653" s="12"/>
    </row>
    <row r="654">
      <c r="A654" s="12"/>
      <c r="B654" s="12"/>
      <c r="C654" s="12"/>
      <c r="D654" s="12"/>
      <c r="E654" s="12"/>
      <c r="F654" s="12"/>
    </row>
    <row r="655">
      <c r="A655" s="12"/>
      <c r="B655" s="12"/>
      <c r="C655" s="12"/>
      <c r="D655" s="12"/>
      <c r="E655" s="12"/>
      <c r="F655" s="12"/>
    </row>
    <row r="656">
      <c r="A656" s="12"/>
      <c r="B656" s="12"/>
      <c r="C656" s="12"/>
      <c r="D656" s="12"/>
      <c r="E656" s="12"/>
      <c r="F656" s="12"/>
    </row>
    <row r="657">
      <c r="A657" s="12"/>
      <c r="B657" s="12"/>
      <c r="C657" s="12"/>
      <c r="D657" s="12"/>
      <c r="E657" s="12"/>
      <c r="F657" s="12"/>
    </row>
    <row r="658">
      <c r="A658" s="12"/>
      <c r="B658" s="12"/>
      <c r="C658" s="12"/>
      <c r="D658" s="12"/>
      <c r="E658" s="12"/>
      <c r="F658" s="12"/>
    </row>
    <row r="659">
      <c r="A659" s="12"/>
      <c r="B659" s="12"/>
      <c r="C659" s="12"/>
      <c r="D659" s="12"/>
      <c r="E659" s="12"/>
      <c r="F659" s="12"/>
    </row>
    <row r="660">
      <c r="A660" s="12"/>
      <c r="B660" s="12"/>
      <c r="C660" s="12"/>
      <c r="D660" s="12"/>
      <c r="E660" s="12"/>
      <c r="F660" s="12"/>
    </row>
    <row r="661">
      <c r="A661" s="12"/>
      <c r="B661" s="12"/>
      <c r="C661" s="12"/>
      <c r="D661" s="12"/>
      <c r="E661" s="12"/>
      <c r="F661" s="12"/>
    </row>
    <row r="662">
      <c r="A662" s="12"/>
      <c r="B662" s="12"/>
      <c r="C662" s="12"/>
      <c r="D662" s="12"/>
      <c r="E662" s="12"/>
      <c r="F662" s="12"/>
    </row>
    <row r="663">
      <c r="A663" s="12"/>
      <c r="B663" s="12"/>
      <c r="C663" s="12"/>
      <c r="D663" s="12"/>
      <c r="E663" s="12"/>
      <c r="F663" s="12"/>
    </row>
    <row r="664">
      <c r="A664" s="12"/>
      <c r="B664" s="12"/>
      <c r="C664" s="12"/>
      <c r="D664" s="12"/>
      <c r="E664" s="12"/>
      <c r="F664" s="12"/>
    </row>
    <row r="665">
      <c r="A665" s="12"/>
      <c r="B665" s="12"/>
      <c r="C665" s="12"/>
      <c r="D665" s="12"/>
      <c r="E665" s="12"/>
      <c r="F665" s="12"/>
    </row>
    <row r="666">
      <c r="A666" s="12"/>
      <c r="B666" s="12"/>
      <c r="C666" s="12"/>
      <c r="D666" s="12"/>
      <c r="E666" s="12"/>
      <c r="F666" s="12"/>
    </row>
    <row r="667">
      <c r="A667" s="12"/>
      <c r="B667" s="12"/>
      <c r="C667" s="12"/>
      <c r="D667" s="12"/>
      <c r="E667" s="12"/>
      <c r="F667" s="12"/>
    </row>
    <row r="668">
      <c r="A668" s="12"/>
      <c r="B668" s="12"/>
      <c r="C668" s="12"/>
      <c r="D668" s="12"/>
      <c r="E668" s="12"/>
      <c r="F668" s="12"/>
    </row>
    <row r="669">
      <c r="A669" s="12"/>
      <c r="B669" s="12"/>
      <c r="C669" s="12"/>
      <c r="D669" s="12"/>
      <c r="E669" s="12"/>
      <c r="F669" s="12"/>
    </row>
    <row r="670">
      <c r="A670" s="12"/>
      <c r="B670" s="12"/>
      <c r="C670" s="12"/>
      <c r="D670" s="12"/>
      <c r="E670" s="12"/>
      <c r="F670" s="12"/>
    </row>
    <row r="671">
      <c r="A671" s="12"/>
      <c r="B671" s="12"/>
      <c r="C671" s="12"/>
      <c r="D671" s="12"/>
      <c r="E671" s="12"/>
      <c r="F671" s="12"/>
    </row>
    <row r="672">
      <c r="A672" s="12"/>
      <c r="B672" s="12"/>
      <c r="C672" s="12"/>
      <c r="D672" s="12"/>
      <c r="E672" s="12"/>
      <c r="F672" s="12"/>
    </row>
    <row r="673">
      <c r="A673" s="12"/>
      <c r="B673" s="12"/>
      <c r="C673" s="12"/>
      <c r="D673" s="12"/>
      <c r="E673" s="12"/>
      <c r="F673" s="12"/>
    </row>
    <row r="674">
      <c r="A674" s="12"/>
      <c r="B674" s="12"/>
      <c r="C674" s="12"/>
      <c r="D674" s="12"/>
      <c r="E674" s="12"/>
      <c r="F674" s="12"/>
    </row>
    <row r="675">
      <c r="A675" s="12"/>
      <c r="B675" s="12"/>
      <c r="C675" s="12"/>
      <c r="D675" s="12"/>
      <c r="E675" s="12"/>
      <c r="F675" s="12"/>
    </row>
    <row r="676">
      <c r="A676" s="12"/>
      <c r="B676" s="12"/>
      <c r="C676" s="12"/>
      <c r="D676" s="12"/>
      <c r="E676" s="12"/>
      <c r="F676" s="12"/>
    </row>
    <row r="677">
      <c r="A677" s="12"/>
      <c r="B677" s="12"/>
      <c r="C677" s="12"/>
      <c r="D677" s="12"/>
      <c r="E677" s="12"/>
      <c r="F677" s="12"/>
    </row>
    <row r="678">
      <c r="A678" s="12"/>
      <c r="B678" s="12"/>
      <c r="C678" s="12"/>
      <c r="D678" s="12"/>
      <c r="E678" s="12"/>
      <c r="F678" s="12"/>
    </row>
    <row r="679">
      <c r="A679" s="12"/>
      <c r="B679" s="12"/>
      <c r="C679" s="12"/>
      <c r="D679" s="12"/>
      <c r="E679" s="12"/>
      <c r="F679" s="12"/>
    </row>
    <row r="680">
      <c r="A680" s="12"/>
      <c r="B680" s="12"/>
      <c r="C680" s="12"/>
      <c r="D680" s="12"/>
      <c r="E680" s="12"/>
      <c r="F680" s="12"/>
    </row>
    <row r="681">
      <c r="A681" s="12"/>
      <c r="B681" s="12"/>
      <c r="C681" s="12"/>
      <c r="D681" s="12"/>
      <c r="E681" s="12"/>
      <c r="F681" s="12"/>
    </row>
    <row r="682">
      <c r="A682" s="12"/>
      <c r="B682" s="12"/>
      <c r="C682" s="12"/>
      <c r="D682" s="12"/>
      <c r="E682" s="12"/>
      <c r="F682" s="12"/>
    </row>
    <row r="683">
      <c r="A683" s="12"/>
      <c r="B683" s="12"/>
      <c r="C683" s="12"/>
      <c r="D683" s="12"/>
      <c r="E683" s="12"/>
      <c r="F683" s="12"/>
    </row>
    <row r="684">
      <c r="A684" s="12"/>
      <c r="B684" s="12"/>
      <c r="C684" s="12"/>
      <c r="D684" s="12"/>
      <c r="E684" s="12"/>
      <c r="F684" s="12"/>
    </row>
    <row r="685">
      <c r="A685" s="12"/>
      <c r="B685" s="12"/>
      <c r="C685" s="12"/>
      <c r="D685" s="12"/>
      <c r="E685" s="12"/>
      <c r="F685" s="12"/>
    </row>
    <row r="686">
      <c r="A686" s="12"/>
      <c r="B686" s="12"/>
      <c r="C686" s="12"/>
      <c r="D686" s="12"/>
      <c r="E686" s="12"/>
      <c r="F686" s="12"/>
    </row>
    <row r="687">
      <c r="A687" s="12"/>
      <c r="B687" s="12"/>
      <c r="C687" s="12"/>
      <c r="D687" s="12"/>
      <c r="E687" s="12"/>
      <c r="F687" s="12"/>
    </row>
    <row r="688">
      <c r="A688" s="12"/>
      <c r="B688" s="12"/>
      <c r="C688" s="12"/>
      <c r="D688" s="12"/>
      <c r="E688" s="12"/>
      <c r="F688" s="12"/>
    </row>
    <row r="689">
      <c r="A689" s="12"/>
      <c r="B689" s="12"/>
      <c r="C689" s="12"/>
      <c r="D689" s="12"/>
      <c r="E689" s="12"/>
      <c r="F689" s="12"/>
    </row>
    <row r="690">
      <c r="A690" s="12"/>
      <c r="B690" s="12"/>
      <c r="C690" s="12"/>
      <c r="D690" s="12"/>
      <c r="E690" s="12"/>
      <c r="F690" s="12"/>
    </row>
    <row r="691">
      <c r="A691" s="12"/>
      <c r="B691" s="12"/>
      <c r="C691" s="12"/>
      <c r="D691" s="12"/>
      <c r="E691" s="12"/>
      <c r="F691" s="12"/>
    </row>
    <row r="692">
      <c r="A692" s="12"/>
      <c r="B692" s="12"/>
      <c r="C692" s="12"/>
      <c r="D692" s="12"/>
      <c r="E692" s="12"/>
      <c r="F692" s="12"/>
    </row>
    <row r="693">
      <c r="A693" s="12"/>
      <c r="B693" s="12"/>
      <c r="C693" s="12"/>
      <c r="D693" s="12"/>
      <c r="E693" s="12"/>
      <c r="F693" s="12"/>
    </row>
    <row r="694">
      <c r="A694" s="12"/>
      <c r="B694" s="12"/>
      <c r="C694" s="12"/>
      <c r="D694" s="12"/>
      <c r="E694" s="12"/>
      <c r="F694" s="12"/>
    </row>
    <row r="695">
      <c r="A695" s="12"/>
      <c r="B695" s="12"/>
      <c r="C695" s="12"/>
      <c r="D695" s="12"/>
      <c r="E695" s="12"/>
      <c r="F695" s="12"/>
    </row>
    <row r="696">
      <c r="A696" s="12"/>
      <c r="B696" s="12"/>
      <c r="C696" s="12"/>
      <c r="D696" s="12"/>
      <c r="E696" s="12"/>
      <c r="F696" s="12"/>
    </row>
    <row r="697">
      <c r="A697" s="12"/>
      <c r="B697" s="12"/>
      <c r="C697" s="12"/>
      <c r="D697" s="12"/>
      <c r="E697" s="12"/>
      <c r="F697" s="12"/>
    </row>
    <row r="698">
      <c r="A698" s="12"/>
      <c r="B698" s="12"/>
      <c r="C698" s="12"/>
      <c r="D698" s="12"/>
      <c r="E698" s="12"/>
      <c r="F698" s="12"/>
    </row>
    <row r="699">
      <c r="A699" s="12"/>
      <c r="B699" s="12"/>
      <c r="C699" s="12"/>
      <c r="D699" s="12"/>
      <c r="E699" s="12"/>
      <c r="F699" s="12"/>
    </row>
    <row r="700">
      <c r="A700" s="12"/>
      <c r="B700" s="12"/>
      <c r="C700" s="12"/>
      <c r="D700" s="12"/>
      <c r="E700" s="12"/>
      <c r="F700" s="12"/>
    </row>
    <row r="701">
      <c r="A701" s="12"/>
      <c r="B701" s="12"/>
      <c r="C701" s="12"/>
      <c r="D701" s="12"/>
      <c r="E701" s="12"/>
      <c r="F701" s="12"/>
    </row>
    <row r="702">
      <c r="A702" s="12"/>
      <c r="B702" s="12"/>
      <c r="C702" s="12"/>
      <c r="D702" s="12"/>
      <c r="E702" s="12"/>
      <c r="F702" s="12"/>
    </row>
    <row r="703">
      <c r="A703" s="12"/>
      <c r="B703" s="12"/>
      <c r="C703" s="12"/>
      <c r="D703" s="12"/>
      <c r="E703" s="12"/>
      <c r="F703" s="12"/>
    </row>
    <row r="704">
      <c r="A704" s="12"/>
      <c r="B704" s="12"/>
      <c r="C704" s="12"/>
      <c r="D704" s="12"/>
      <c r="E704" s="12"/>
      <c r="F704" s="12"/>
    </row>
    <row r="705">
      <c r="A705" s="12"/>
      <c r="B705" s="12"/>
      <c r="C705" s="12"/>
      <c r="D705" s="12"/>
      <c r="E705" s="12"/>
      <c r="F705" s="12"/>
    </row>
    <row r="706">
      <c r="A706" s="12"/>
      <c r="B706" s="12"/>
      <c r="C706" s="12"/>
      <c r="D706" s="12"/>
      <c r="E706" s="12"/>
      <c r="F706" s="12"/>
    </row>
    <row r="707">
      <c r="A707" s="12"/>
      <c r="B707" s="12"/>
      <c r="C707" s="12"/>
      <c r="D707" s="12"/>
      <c r="E707" s="12"/>
      <c r="F707" s="12"/>
    </row>
    <row r="708">
      <c r="A708" s="12"/>
      <c r="B708" s="12"/>
      <c r="C708" s="12"/>
      <c r="D708" s="12"/>
      <c r="E708" s="12"/>
      <c r="F708" s="12"/>
    </row>
    <row r="709">
      <c r="A709" s="12"/>
      <c r="B709" s="12"/>
      <c r="C709" s="12"/>
      <c r="D709" s="12"/>
      <c r="E709" s="12"/>
      <c r="F709" s="12"/>
    </row>
    <row r="710">
      <c r="A710" s="12"/>
      <c r="B710" s="12"/>
      <c r="C710" s="12"/>
      <c r="D710" s="12"/>
      <c r="E710" s="12"/>
      <c r="F710" s="12"/>
    </row>
    <row r="711">
      <c r="A711" s="12"/>
      <c r="B711" s="12"/>
      <c r="C711" s="12"/>
      <c r="D711" s="12"/>
      <c r="E711" s="12"/>
      <c r="F711" s="12"/>
    </row>
    <row r="712">
      <c r="A712" s="12"/>
      <c r="B712" s="12"/>
      <c r="C712" s="12"/>
      <c r="D712" s="12"/>
      <c r="E712" s="12"/>
      <c r="F712" s="12"/>
    </row>
    <row r="713">
      <c r="A713" s="12"/>
      <c r="B713" s="12"/>
      <c r="C713" s="12"/>
      <c r="D713" s="12"/>
      <c r="E713" s="12"/>
      <c r="F713" s="12"/>
    </row>
    <row r="714">
      <c r="A714" s="12"/>
      <c r="B714" s="12"/>
      <c r="C714" s="12"/>
      <c r="D714" s="12"/>
      <c r="E714" s="12"/>
      <c r="F714" s="12"/>
    </row>
    <row r="715">
      <c r="A715" s="12"/>
      <c r="B715" s="12"/>
      <c r="C715" s="12"/>
      <c r="D715" s="12"/>
      <c r="E715" s="12"/>
      <c r="F715" s="12"/>
    </row>
    <row r="716">
      <c r="A716" s="12"/>
      <c r="B716" s="12"/>
      <c r="C716" s="12"/>
      <c r="D716" s="12"/>
      <c r="E716" s="12"/>
      <c r="F716" s="12"/>
    </row>
    <row r="717">
      <c r="A717" s="12"/>
      <c r="B717" s="12"/>
      <c r="C717" s="12"/>
      <c r="D717" s="12"/>
      <c r="E717" s="12"/>
      <c r="F717" s="12"/>
    </row>
    <row r="718">
      <c r="A718" s="12"/>
      <c r="B718" s="12"/>
      <c r="C718" s="12"/>
      <c r="D718" s="12"/>
      <c r="E718" s="12"/>
      <c r="F718" s="12"/>
    </row>
    <row r="719">
      <c r="A719" s="12"/>
      <c r="B719" s="12"/>
      <c r="C719" s="12"/>
      <c r="D719" s="12"/>
      <c r="E719" s="12"/>
      <c r="F719" s="12"/>
    </row>
    <row r="720">
      <c r="A720" s="12"/>
      <c r="B720" s="12"/>
      <c r="C720" s="12"/>
      <c r="D720" s="12"/>
      <c r="E720" s="12"/>
      <c r="F720" s="12"/>
    </row>
    <row r="721">
      <c r="A721" s="12"/>
      <c r="B721" s="12"/>
      <c r="C721" s="12"/>
      <c r="D721" s="12"/>
      <c r="E721" s="12"/>
      <c r="F721" s="12"/>
    </row>
    <row r="722">
      <c r="A722" s="12"/>
      <c r="B722" s="12"/>
      <c r="C722" s="12"/>
      <c r="D722" s="12"/>
      <c r="E722" s="12"/>
      <c r="F722" s="12"/>
    </row>
    <row r="723">
      <c r="A723" s="12"/>
      <c r="B723" s="12"/>
      <c r="C723" s="12"/>
      <c r="D723" s="12"/>
      <c r="E723" s="12"/>
      <c r="F723" s="12"/>
    </row>
    <row r="724">
      <c r="A724" s="12"/>
      <c r="B724" s="12"/>
      <c r="C724" s="12"/>
      <c r="D724" s="12"/>
      <c r="E724" s="12"/>
      <c r="F724" s="12"/>
    </row>
    <row r="725">
      <c r="A725" s="12"/>
      <c r="B725" s="12"/>
      <c r="C725" s="12"/>
      <c r="D725" s="12"/>
      <c r="E725" s="12"/>
      <c r="F725" s="12"/>
    </row>
    <row r="726">
      <c r="A726" s="12"/>
      <c r="B726" s="12"/>
      <c r="C726" s="12"/>
      <c r="D726" s="12"/>
      <c r="E726" s="12"/>
      <c r="F726" s="12"/>
    </row>
    <row r="727">
      <c r="A727" s="12"/>
      <c r="B727" s="12"/>
      <c r="C727" s="12"/>
      <c r="D727" s="12"/>
      <c r="E727" s="12"/>
      <c r="F727" s="12"/>
    </row>
    <row r="728">
      <c r="A728" s="12"/>
      <c r="B728" s="12"/>
      <c r="C728" s="12"/>
      <c r="D728" s="12"/>
      <c r="E728" s="12"/>
      <c r="F728" s="12"/>
    </row>
    <row r="729">
      <c r="A729" s="12"/>
      <c r="B729" s="12"/>
      <c r="C729" s="12"/>
      <c r="D729" s="12"/>
      <c r="E729" s="12"/>
      <c r="F729" s="12"/>
    </row>
    <row r="730">
      <c r="A730" s="12"/>
      <c r="B730" s="12"/>
      <c r="C730" s="12"/>
      <c r="D730" s="12"/>
      <c r="E730" s="12"/>
      <c r="F730" s="12"/>
    </row>
    <row r="731">
      <c r="A731" s="12"/>
      <c r="B731" s="12"/>
      <c r="C731" s="12"/>
      <c r="D731" s="12"/>
      <c r="E731" s="12"/>
      <c r="F731" s="12"/>
    </row>
    <row r="732">
      <c r="A732" s="12"/>
      <c r="B732" s="12"/>
      <c r="C732" s="12"/>
      <c r="D732" s="12"/>
      <c r="E732" s="12"/>
      <c r="F732" s="12"/>
    </row>
    <row r="733">
      <c r="A733" s="12"/>
      <c r="B733" s="12"/>
      <c r="C733" s="12"/>
      <c r="D733" s="12"/>
      <c r="E733" s="12"/>
      <c r="F733" s="12"/>
    </row>
    <row r="734">
      <c r="A734" s="12"/>
      <c r="B734" s="12"/>
      <c r="C734" s="12"/>
      <c r="D734" s="12"/>
      <c r="E734" s="12"/>
      <c r="F734" s="12"/>
    </row>
    <row r="735">
      <c r="A735" s="12"/>
      <c r="B735" s="12"/>
      <c r="C735" s="12"/>
      <c r="D735" s="12"/>
      <c r="E735" s="12"/>
      <c r="F735" s="12"/>
    </row>
    <row r="736">
      <c r="A736" s="12"/>
      <c r="B736" s="12"/>
      <c r="C736" s="12"/>
      <c r="D736" s="12"/>
      <c r="E736" s="12"/>
      <c r="F736" s="12"/>
    </row>
    <row r="737">
      <c r="A737" s="12"/>
      <c r="B737" s="12"/>
      <c r="C737" s="12"/>
      <c r="D737" s="12"/>
      <c r="E737" s="12"/>
      <c r="F737" s="12"/>
    </row>
    <row r="738">
      <c r="A738" s="12"/>
      <c r="B738" s="12"/>
      <c r="C738" s="12"/>
      <c r="D738" s="12"/>
      <c r="E738" s="12"/>
      <c r="F738" s="12"/>
    </row>
    <row r="739">
      <c r="A739" s="12"/>
      <c r="B739" s="12"/>
      <c r="C739" s="12"/>
      <c r="D739" s="12"/>
      <c r="E739" s="12"/>
      <c r="F739" s="12"/>
    </row>
    <row r="740">
      <c r="A740" s="12"/>
      <c r="B740" s="12"/>
      <c r="C740" s="12"/>
      <c r="D740" s="12"/>
      <c r="E740" s="12"/>
      <c r="F740" s="12"/>
    </row>
    <row r="741">
      <c r="A741" s="12"/>
      <c r="B741" s="12"/>
      <c r="C741" s="12"/>
      <c r="D741" s="12"/>
      <c r="E741" s="12"/>
      <c r="F741" s="12"/>
    </row>
    <row r="742">
      <c r="A742" s="12"/>
      <c r="B742" s="12"/>
      <c r="C742" s="12"/>
      <c r="D742" s="12"/>
      <c r="E742" s="12"/>
      <c r="F742" s="12"/>
    </row>
    <row r="743">
      <c r="A743" s="12"/>
      <c r="B743" s="12"/>
      <c r="C743" s="12"/>
      <c r="D743" s="12"/>
      <c r="E743" s="12"/>
      <c r="F743" s="12"/>
    </row>
    <row r="744">
      <c r="A744" s="12"/>
      <c r="B744" s="12"/>
      <c r="C744" s="12"/>
      <c r="D744" s="12"/>
      <c r="E744" s="12"/>
      <c r="F744" s="12"/>
    </row>
    <row r="745">
      <c r="A745" s="12"/>
      <c r="B745" s="12"/>
      <c r="C745" s="12"/>
      <c r="D745" s="12"/>
      <c r="E745" s="12"/>
      <c r="F745" s="12"/>
    </row>
    <row r="746">
      <c r="A746" s="12"/>
      <c r="B746" s="12"/>
      <c r="C746" s="12"/>
      <c r="D746" s="12"/>
      <c r="E746" s="12"/>
      <c r="F746" s="12"/>
    </row>
    <row r="747">
      <c r="A747" s="12"/>
      <c r="B747" s="12"/>
      <c r="C747" s="12"/>
      <c r="D747" s="12"/>
      <c r="E747" s="12"/>
      <c r="F747" s="12"/>
    </row>
    <row r="748">
      <c r="A748" s="12"/>
      <c r="B748" s="12"/>
      <c r="C748" s="12"/>
      <c r="D748" s="12"/>
      <c r="E748" s="12"/>
      <c r="F748" s="12"/>
    </row>
    <row r="749">
      <c r="A749" s="12"/>
      <c r="B749" s="12"/>
      <c r="C749" s="12"/>
      <c r="D749" s="12"/>
      <c r="E749" s="12"/>
      <c r="F749" s="12"/>
    </row>
    <row r="750">
      <c r="A750" s="12"/>
      <c r="B750" s="12"/>
      <c r="C750" s="12"/>
      <c r="D750" s="12"/>
      <c r="E750" s="12"/>
      <c r="F750" s="12"/>
    </row>
    <row r="751">
      <c r="A751" s="12"/>
      <c r="B751" s="12"/>
      <c r="C751" s="12"/>
      <c r="D751" s="12"/>
      <c r="E751" s="12"/>
      <c r="F751" s="12"/>
    </row>
    <row r="752">
      <c r="A752" s="12"/>
      <c r="B752" s="12"/>
      <c r="C752" s="12"/>
      <c r="D752" s="12"/>
      <c r="E752" s="12"/>
      <c r="F752" s="12"/>
    </row>
    <row r="753">
      <c r="A753" s="12"/>
      <c r="B753" s="12"/>
      <c r="C753" s="12"/>
      <c r="D753" s="12"/>
      <c r="E753" s="12"/>
      <c r="F753" s="12"/>
    </row>
    <row r="754">
      <c r="A754" s="12"/>
      <c r="B754" s="12"/>
      <c r="C754" s="12"/>
      <c r="D754" s="12"/>
      <c r="E754" s="12"/>
      <c r="F754" s="12"/>
    </row>
    <row r="755">
      <c r="A755" s="12"/>
      <c r="B755" s="12"/>
      <c r="C755" s="12"/>
      <c r="D755" s="12"/>
      <c r="E755" s="12"/>
      <c r="F755" s="12"/>
    </row>
    <row r="756">
      <c r="A756" s="12"/>
      <c r="B756" s="12"/>
      <c r="C756" s="12"/>
      <c r="D756" s="12"/>
      <c r="E756" s="12"/>
      <c r="F756" s="12"/>
    </row>
    <row r="757">
      <c r="A757" s="12"/>
      <c r="B757" s="12"/>
      <c r="C757" s="12"/>
      <c r="D757" s="12"/>
      <c r="E757" s="12"/>
      <c r="F757" s="12"/>
    </row>
    <row r="758">
      <c r="A758" s="12"/>
      <c r="B758" s="12"/>
      <c r="C758" s="12"/>
      <c r="D758" s="12"/>
      <c r="E758" s="12"/>
      <c r="F758" s="12"/>
    </row>
    <row r="759">
      <c r="A759" s="12"/>
      <c r="B759" s="12"/>
      <c r="C759" s="12"/>
      <c r="D759" s="12"/>
      <c r="E759" s="12"/>
      <c r="F759" s="12"/>
    </row>
    <row r="760">
      <c r="A760" s="12"/>
      <c r="B760" s="12"/>
      <c r="C760" s="12"/>
      <c r="D760" s="12"/>
      <c r="E760" s="12"/>
      <c r="F760" s="12"/>
    </row>
    <row r="761">
      <c r="A761" s="12"/>
      <c r="B761" s="12"/>
      <c r="C761" s="12"/>
      <c r="D761" s="12"/>
      <c r="E761" s="12"/>
      <c r="F761" s="12"/>
    </row>
    <row r="762">
      <c r="A762" s="12"/>
      <c r="B762" s="12"/>
      <c r="C762" s="12"/>
      <c r="D762" s="12"/>
      <c r="E762" s="12"/>
      <c r="F762" s="12"/>
    </row>
    <row r="763">
      <c r="A763" s="12"/>
      <c r="B763" s="12"/>
      <c r="C763" s="12"/>
      <c r="D763" s="12"/>
      <c r="E763" s="12"/>
      <c r="F763" s="12"/>
    </row>
    <row r="764">
      <c r="A764" s="12"/>
      <c r="B764" s="12"/>
      <c r="C764" s="12"/>
      <c r="D764" s="12"/>
      <c r="E764" s="12"/>
      <c r="F764" s="12"/>
    </row>
    <row r="765">
      <c r="A765" s="12"/>
      <c r="B765" s="12"/>
      <c r="C765" s="12"/>
      <c r="D765" s="12"/>
      <c r="E765" s="12"/>
      <c r="F765" s="12"/>
    </row>
    <row r="766">
      <c r="A766" s="12"/>
      <c r="B766" s="12"/>
      <c r="C766" s="12"/>
      <c r="D766" s="12"/>
      <c r="E766" s="12"/>
      <c r="F766" s="12"/>
    </row>
    <row r="767">
      <c r="A767" s="12"/>
      <c r="B767" s="12"/>
      <c r="C767" s="12"/>
      <c r="D767" s="12"/>
      <c r="E767" s="12"/>
      <c r="F767" s="12"/>
    </row>
    <row r="768">
      <c r="A768" s="12"/>
      <c r="B768" s="12"/>
      <c r="C768" s="12"/>
      <c r="D768" s="12"/>
      <c r="E768" s="12"/>
      <c r="F768" s="12"/>
    </row>
    <row r="769">
      <c r="A769" s="12"/>
      <c r="B769" s="12"/>
      <c r="C769" s="12"/>
      <c r="D769" s="12"/>
      <c r="E769" s="12"/>
      <c r="F769" s="12"/>
    </row>
    <row r="770">
      <c r="A770" s="12"/>
      <c r="B770" s="12"/>
      <c r="C770" s="12"/>
      <c r="D770" s="12"/>
      <c r="E770" s="12"/>
      <c r="F770" s="12"/>
    </row>
    <row r="771">
      <c r="A771" s="12"/>
      <c r="B771" s="12"/>
      <c r="C771" s="12"/>
      <c r="D771" s="12"/>
      <c r="E771" s="12"/>
      <c r="F771" s="12"/>
    </row>
    <row r="772">
      <c r="A772" s="12"/>
      <c r="B772" s="12"/>
      <c r="C772" s="12"/>
      <c r="D772" s="12"/>
      <c r="E772" s="12"/>
      <c r="F772" s="12"/>
    </row>
    <row r="773">
      <c r="A773" s="12"/>
      <c r="B773" s="12"/>
      <c r="C773" s="12"/>
      <c r="D773" s="12"/>
      <c r="E773" s="12"/>
      <c r="F773" s="12"/>
    </row>
    <row r="774">
      <c r="A774" s="12"/>
      <c r="B774" s="12"/>
      <c r="C774" s="12"/>
      <c r="D774" s="12"/>
      <c r="E774" s="12"/>
      <c r="F774" s="12"/>
    </row>
    <row r="775">
      <c r="A775" s="12"/>
      <c r="B775" s="12"/>
      <c r="C775" s="12"/>
      <c r="D775" s="12"/>
      <c r="E775" s="12"/>
      <c r="F775" s="12"/>
    </row>
    <row r="776">
      <c r="A776" s="12"/>
      <c r="B776" s="12"/>
      <c r="C776" s="12"/>
      <c r="D776" s="12"/>
      <c r="E776" s="12"/>
      <c r="F776" s="12"/>
    </row>
    <row r="777">
      <c r="A777" s="12"/>
      <c r="B777" s="12"/>
      <c r="C777" s="12"/>
      <c r="D777" s="12"/>
      <c r="E777" s="12"/>
      <c r="F777" s="12"/>
    </row>
    <row r="778">
      <c r="A778" s="12"/>
      <c r="B778" s="12"/>
      <c r="C778" s="12"/>
      <c r="D778" s="12"/>
      <c r="E778" s="12"/>
      <c r="F778" s="12"/>
    </row>
    <row r="779">
      <c r="A779" s="12"/>
      <c r="B779" s="12"/>
      <c r="C779" s="12"/>
      <c r="D779" s="12"/>
      <c r="E779" s="12"/>
      <c r="F779" s="12"/>
    </row>
    <row r="780">
      <c r="A780" s="12"/>
      <c r="B780" s="12"/>
      <c r="C780" s="12"/>
      <c r="D780" s="12"/>
      <c r="E780" s="12"/>
      <c r="F780" s="12"/>
    </row>
    <row r="781">
      <c r="A781" s="12"/>
      <c r="B781" s="12"/>
      <c r="C781" s="12"/>
      <c r="D781" s="12"/>
      <c r="E781" s="12"/>
      <c r="F781" s="12"/>
    </row>
    <row r="782">
      <c r="A782" s="12"/>
      <c r="B782" s="12"/>
      <c r="C782" s="12"/>
      <c r="D782" s="12"/>
      <c r="E782" s="12"/>
      <c r="F782" s="12"/>
    </row>
    <row r="783">
      <c r="A783" s="12"/>
      <c r="B783" s="12"/>
      <c r="C783" s="12"/>
      <c r="D783" s="12"/>
      <c r="E783" s="12"/>
      <c r="F783" s="12"/>
    </row>
    <row r="784">
      <c r="A784" s="12"/>
      <c r="B784" s="12"/>
      <c r="C784" s="12"/>
      <c r="D784" s="12"/>
      <c r="E784" s="12"/>
      <c r="F784" s="12"/>
    </row>
    <row r="785">
      <c r="A785" s="12"/>
      <c r="B785" s="12"/>
      <c r="C785" s="12"/>
      <c r="D785" s="12"/>
      <c r="E785" s="12"/>
      <c r="F785" s="12"/>
    </row>
    <row r="786">
      <c r="A786" s="12"/>
      <c r="B786" s="12"/>
      <c r="C786" s="12"/>
      <c r="D786" s="12"/>
      <c r="E786" s="12"/>
      <c r="F786" s="12"/>
    </row>
    <row r="787">
      <c r="A787" s="12"/>
      <c r="B787" s="12"/>
      <c r="C787" s="12"/>
      <c r="D787" s="12"/>
      <c r="E787" s="12"/>
      <c r="F787" s="12"/>
    </row>
    <row r="788">
      <c r="A788" s="12"/>
      <c r="B788" s="12"/>
      <c r="C788" s="12"/>
      <c r="D788" s="12"/>
      <c r="E788" s="12"/>
      <c r="F788" s="12"/>
    </row>
    <row r="789">
      <c r="A789" s="12"/>
      <c r="B789" s="12"/>
      <c r="C789" s="12"/>
      <c r="D789" s="12"/>
      <c r="E789" s="12"/>
      <c r="F789" s="12"/>
    </row>
    <row r="790">
      <c r="A790" s="12"/>
      <c r="B790" s="12"/>
      <c r="C790" s="12"/>
      <c r="D790" s="12"/>
      <c r="E790" s="12"/>
      <c r="F790" s="12"/>
    </row>
    <row r="791">
      <c r="A791" s="12"/>
      <c r="B791" s="12"/>
      <c r="C791" s="12"/>
      <c r="D791" s="12"/>
      <c r="E791" s="12"/>
      <c r="F791" s="12"/>
    </row>
    <row r="792">
      <c r="A792" s="12"/>
      <c r="B792" s="12"/>
      <c r="C792" s="12"/>
      <c r="D792" s="12"/>
      <c r="E792" s="12"/>
      <c r="F792" s="12"/>
    </row>
    <row r="793">
      <c r="A793" s="12"/>
      <c r="B793" s="12"/>
      <c r="C793" s="12"/>
      <c r="D793" s="12"/>
      <c r="E793" s="12"/>
      <c r="F793" s="12"/>
    </row>
    <row r="794">
      <c r="A794" s="12"/>
      <c r="B794" s="12"/>
      <c r="C794" s="12"/>
      <c r="D794" s="12"/>
      <c r="E794" s="12"/>
      <c r="F794" s="12"/>
    </row>
    <row r="795">
      <c r="A795" s="12"/>
      <c r="B795" s="12"/>
      <c r="C795" s="12"/>
      <c r="D795" s="12"/>
      <c r="E795" s="12"/>
      <c r="F795" s="12"/>
    </row>
    <row r="796">
      <c r="A796" s="12"/>
      <c r="B796" s="12"/>
      <c r="C796" s="12"/>
      <c r="D796" s="12"/>
      <c r="E796" s="12"/>
      <c r="F796" s="12"/>
    </row>
    <row r="797">
      <c r="A797" s="12"/>
      <c r="B797" s="12"/>
      <c r="C797" s="12"/>
      <c r="D797" s="12"/>
      <c r="E797" s="12"/>
      <c r="F797" s="12"/>
    </row>
    <row r="798">
      <c r="A798" s="12"/>
      <c r="B798" s="12"/>
      <c r="C798" s="12"/>
      <c r="D798" s="12"/>
      <c r="E798" s="12"/>
      <c r="F798" s="12"/>
    </row>
    <row r="799">
      <c r="A799" s="12"/>
      <c r="B799" s="12"/>
      <c r="C799" s="12"/>
      <c r="D799" s="12"/>
      <c r="E799" s="12"/>
      <c r="F799" s="12"/>
    </row>
    <row r="800">
      <c r="A800" s="12"/>
      <c r="B800" s="12"/>
      <c r="C800" s="12"/>
      <c r="D800" s="12"/>
      <c r="E800" s="12"/>
      <c r="F800" s="12"/>
    </row>
    <row r="801">
      <c r="A801" s="12"/>
      <c r="B801" s="12"/>
      <c r="C801" s="12"/>
      <c r="D801" s="12"/>
      <c r="E801" s="12"/>
      <c r="F801" s="12"/>
    </row>
    <row r="802">
      <c r="A802" s="12"/>
      <c r="B802" s="12"/>
      <c r="C802" s="12"/>
      <c r="D802" s="12"/>
      <c r="E802" s="12"/>
      <c r="F802" s="12"/>
    </row>
    <row r="803">
      <c r="A803" s="12"/>
      <c r="B803" s="12"/>
      <c r="C803" s="12"/>
      <c r="D803" s="12"/>
      <c r="E803" s="12"/>
      <c r="F803" s="12"/>
    </row>
    <row r="804">
      <c r="A804" s="12"/>
      <c r="B804" s="12"/>
      <c r="C804" s="12"/>
      <c r="D804" s="12"/>
      <c r="E804" s="12"/>
      <c r="F804" s="12"/>
    </row>
    <row r="805">
      <c r="A805" s="12"/>
      <c r="B805" s="12"/>
      <c r="C805" s="12"/>
      <c r="D805" s="12"/>
      <c r="E805" s="12"/>
      <c r="F805" s="12"/>
    </row>
    <row r="806">
      <c r="A806" s="12"/>
      <c r="B806" s="12"/>
      <c r="C806" s="12"/>
      <c r="D806" s="12"/>
      <c r="E806" s="12"/>
      <c r="F806" s="12"/>
    </row>
    <row r="807">
      <c r="A807" s="12"/>
      <c r="B807" s="12"/>
      <c r="C807" s="12"/>
      <c r="D807" s="12"/>
      <c r="E807" s="12"/>
      <c r="F807" s="12"/>
    </row>
    <row r="808">
      <c r="A808" s="12"/>
      <c r="B808" s="12"/>
      <c r="C808" s="12"/>
      <c r="D808" s="12"/>
      <c r="E808" s="12"/>
      <c r="F808" s="12"/>
    </row>
    <row r="809">
      <c r="A809" s="12"/>
      <c r="B809" s="12"/>
      <c r="C809" s="12"/>
      <c r="D809" s="12"/>
      <c r="E809" s="12"/>
      <c r="F809" s="12"/>
    </row>
    <row r="810">
      <c r="A810" s="12"/>
      <c r="B810" s="12"/>
      <c r="C810" s="12"/>
      <c r="D810" s="12"/>
      <c r="E810" s="12"/>
      <c r="F810" s="12"/>
    </row>
    <row r="811">
      <c r="A811" s="12"/>
      <c r="B811" s="12"/>
      <c r="C811" s="12"/>
      <c r="D811" s="12"/>
      <c r="E811" s="12"/>
      <c r="F811" s="12"/>
    </row>
    <row r="812">
      <c r="A812" s="12"/>
      <c r="B812" s="12"/>
      <c r="C812" s="12"/>
      <c r="D812" s="12"/>
      <c r="E812" s="12"/>
      <c r="F812" s="12"/>
    </row>
    <row r="813">
      <c r="A813" s="12"/>
      <c r="B813" s="12"/>
      <c r="C813" s="12"/>
      <c r="D813" s="12"/>
      <c r="E813" s="12"/>
      <c r="F813" s="12"/>
    </row>
    <row r="814">
      <c r="A814" s="12"/>
      <c r="B814" s="12"/>
      <c r="C814" s="12"/>
      <c r="D814" s="12"/>
      <c r="E814" s="12"/>
      <c r="F814" s="12"/>
    </row>
    <row r="815">
      <c r="A815" s="12"/>
      <c r="B815" s="12"/>
      <c r="C815" s="12"/>
      <c r="D815" s="12"/>
      <c r="E815" s="12"/>
      <c r="F815" s="12"/>
    </row>
    <row r="816">
      <c r="A816" s="12"/>
      <c r="B816" s="12"/>
      <c r="C816" s="12"/>
      <c r="D816" s="12"/>
      <c r="E816" s="12"/>
      <c r="F816" s="12"/>
    </row>
    <row r="817">
      <c r="A817" s="12"/>
      <c r="B817" s="12"/>
      <c r="C817" s="12"/>
      <c r="D817" s="12"/>
      <c r="E817" s="12"/>
      <c r="F817" s="12"/>
    </row>
    <row r="818">
      <c r="A818" s="12"/>
      <c r="B818" s="12"/>
      <c r="C818" s="12"/>
      <c r="D818" s="12"/>
      <c r="E818" s="12"/>
      <c r="F818" s="12"/>
    </row>
    <row r="819">
      <c r="A819" s="12"/>
      <c r="B819" s="12"/>
      <c r="C819" s="12"/>
      <c r="D819" s="12"/>
      <c r="E819" s="12"/>
      <c r="F819" s="12"/>
    </row>
    <row r="820">
      <c r="A820" s="12"/>
      <c r="B820" s="12"/>
      <c r="C820" s="12"/>
      <c r="D820" s="12"/>
      <c r="E820" s="12"/>
      <c r="F820" s="12"/>
    </row>
    <row r="821">
      <c r="A821" s="12"/>
      <c r="B821" s="12"/>
      <c r="C821" s="12"/>
      <c r="D821" s="12"/>
      <c r="E821" s="12"/>
      <c r="F821" s="12"/>
    </row>
    <row r="822">
      <c r="A822" s="12"/>
      <c r="B822" s="12"/>
      <c r="C822" s="12"/>
      <c r="D822" s="12"/>
      <c r="E822" s="12"/>
      <c r="F822" s="12"/>
    </row>
    <row r="823">
      <c r="A823" s="12"/>
      <c r="B823" s="12"/>
      <c r="C823" s="12"/>
      <c r="D823" s="12"/>
      <c r="E823" s="12"/>
      <c r="F823" s="12"/>
    </row>
    <row r="824">
      <c r="A824" s="12"/>
      <c r="B824" s="12"/>
      <c r="C824" s="12"/>
      <c r="D824" s="12"/>
      <c r="E824" s="12"/>
      <c r="F824" s="12"/>
    </row>
    <row r="825">
      <c r="A825" s="12"/>
      <c r="B825" s="12"/>
      <c r="C825" s="12"/>
      <c r="D825" s="12"/>
      <c r="E825" s="12"/>
      <c r="F825" s="12"/>
    </row>
    <row r="826">
      <c r="A826" s="12"/>
      <c r="B826" s="12"/>
      <c r="C826" s="12"/>
      <c r="D826" s="12"/>
      <c r="E826" s="12"/>
      <c r="F826" s="12"/>
    </row>
    <row r="827">
      <c r="A827" s="12"/>
      <c r="B827" s="12"/>
      <c r="C827" s="12"/>
      <c r="D827" s="12"/>
      <c r="E827" s="12"/>
      <c r="F827" s="12"/>
    </row>
    <row r="828">
      <c r="A828" s="12"/>
      <c r="B828" s="12"/>
      <c r="C828" s="12"/>
      <c r="D828" s="12"/>
      <c r="E828" s="12"/>
      <c r="F828" s="12"/>
    </row>
    <row r="829">
      <c r="A829" s="12"/>
      <c r="B829" s="12"/>
      <c r="C829" s="12"/>
      <c r="D829" s="12"/>
      <c r="E829" s="12"/>
      <c r="F829" s="12"/>
    </row>
    <row r="830">
      <c r="A830" s="12"/>
      <c r="B830" s="12"/>
      <c r="C830" s="12"/>
      <c r="D830" s="12"/>
      <c r="E830" s="12"/>
      <c r="F830" s="12"/>
    </row>
    <row r="831">
      <c r="A831" s="12"/>
      <c r="B831" s="12"/>
      <c r="C831" s="12"/>
      <c r="D831" s="12"/>
      <c r="E831" s="12"/>
      <c r="F831" s="12"/>
    </row>
    <row r="832">
      <c r="A832" s="12"/>
      <c r="B832" s="12"/>
      <c r="C832" s="12"/>
      <c r="D832" s="12"/>
      <c r="E832" s="12"/>
      <c r="F832" s="12"/>
    </row>
    <row r="833">
      <c r="A833" s="12"/>
      <c r="B833" s="12"/>
      <c r="C833" s="12"/>
      <c r="D833" s="12"/>
      <c r="E833" s="12"/>
      <c r="F833" s="12"/>
    </row>
    <row r="834">
      <c r="A834" s="12"/>
      <c r="B834" s="12"/>
      <c r="C834" s="12"/>
      <c r="D834" s="12"/>
      <c r="E834" s="12"/>
      <c r="F834" s="12"/>
    </row>
    <row r="835">
      <c r="A835" s="12"/>
      <c r="B835" s="12"/>
      <c r="C835" s="12"/>
      <c r="D835" s="12"/>
      <c r="E835" s="12"/>
      <c r="F835" s="12"/>
    </row>
    <row r="836">
      <c r="A836" s="12"/>
      <c r="B836" s="12"/>
      <c r="C836" s="12"/>
      <c r="D836" s="12"/>
      <c r="E836" s="12"/>
      <c r="F836" s="12"/>
    </row>
    <row r="837">
      <c r="A837" s="12"/>
      <c r="B837" s="12"/>
      <c r="C837" s="12"/>
      <c r="D837" s="12"/>
      <c r="E837" s="12"/>
      <c r="F837" s="12"/>
    </row>
    <row r="838">
      <c r="A838" s="12"/>
      <c r="B838" s="12"/>
      <c r="C838" s="12"/>
      <c r="D838" s="12"/>
      <c r="E838" s="12"/>
      <c r="F838" s="12"/>
    </row>
    <row r="839">
      <c r="A839" s="12"/>
      <c r="B839" s="12"/>
      <c r="C839" s="12"/>
      <c r="D839" s="12"/>
      <c r="E839" s="12"/>
      <c r="F839" s="12"/>
    </row>
    <row r="840">
      <c r="A840" s="12"/>
      <c r="B840" s="12"/>
      <c r="C840" s="12"/>
      <c r="D840" s="12"/>
      <c r="E840" s="12"/>
      <c r="F840" s="12"/>
    </row>
    <row r="841">
      <c r="A841" s="12"/>
      <c r="B841" s="12"/>
      <c r="C841" s="12"/>
      <c r="D841" s="12"/>
      <c r="E841" s="12"/>
      <c r="F841" s="12"/>
    </row>
    <row r="842">
      <c r="A842" s="12"/>
      <c r="B842" s="12"/>
      <c r="C842" s="12"/>
      <c r="D842" s="12"/>
      <c r="E842" s="12"/>
      <c r="F842" s="12"/>
    </row>
    <row r="843">
      <c r="A843" s="12"/>
      <c r="B843" s="12"/>
      <c r="C843" s="12"/>
      <c r="D843" s="12"/>
      <c r="E843" s="12"/>
      <c r="F843" s="12"/>
    </row>
    <row r="844">
      <c r="A844" s="12"/>
      <c r="B844" s="12"/>
      <c r="C844" s="12"/>
      <c r="D844" s="12"/>
      <c r="E844" s="12"/>
      <c r="F844" s="12"/>
    </row>
    <row r="845">
      <c r="A845" s="12"/>
      <c r="B845" s="12"/>
      <c r="C845" s="12"/>
      <c r="D845" s="12"/>
      <c r="E845" s="12"/>
      <c r="F845" s="12"/>
    </row>
    <row r="846">
      <c r="A846" s="12"/>
      <c r="B846" s="12"/>
      <c r="C846" s="12"/>
      <c r="D846" s="12"/>
      <c r="E846" s="12"/>
      <c r="F846" s="12"/>
    </row>
    <row r="847">
      <c r="A847" s="12"/>
      <c r="B847" s="12"/>
      <c r="C847" s="12"/>
      <c r="D847" s="12"/>
      <c r="E847" s="12"/>
      <c r="F847" s="12"/>
    </row>
    <row r="848">
      <c r="A848" s="12"/>
      <c r="B848" s="12"/>
      <c r="C848" s="12"/>
      <c r="D848" s="12"/>
      <c r="E848" s="12"/>
      <c r="F848" s="12"/>
    </row>
    <row r="849">
      <c r="A849" s="12"/>
      <c r="B849" s="12"/>
      <c r="C849" s="12"/>
      <c r="D849" s="12"/>
      <c r="E849" s="12"/>
      <c r="F849" s="12"/>
    </row>
    <row r="850">
      <c r="A850" s="12"/>
      <c r="B850" s="12"/>
      <c r="C850" s="12"/>
      <c r="D850" s="12"/>
      <c r="E850" s="12"/>
      <c r="F850" s="12"/>
    </row>
    <row r="851">
      <c r="A851" s="12"/>
      <c r="B851" s="12"/>
      <c r="C851" s="12"/>
      <c r="D851" s="12"/>
      <c r="E851" s="12"/>
      <c r="F851" s="12"/>
    </row>
    <row r="852">
      <c r="A852" s="12"/>
      <c r="B852" s="12"/>
      <c r="C852" s="12"/>
      <c r="D852" s="12"/>
      <c r="E852" s="12"/>
      <c r="F852" s="12"/>
    </row>
    <row r="853">
      <c r="A853" s="12"/>
      <c r="B853" s="12"/>
      <c r="C853" s="12"/>
      <c r="D853" s="12"/>
      <c r="E853" s="12"/>
      <c r="F853" s="12"/>
    </row>
    <row r="854">
      <c r="A854" s="12"/>
      <c r="B854" s="12"/>
      <c r="C854" s="12"/>
      <c r="D854" s="12"/>
      <c r="E854" s="12"/>
      <c r="F854" s="12"/>
    </row>
    <row r="855">
      <c r="A855" s="12"/>
      <c r="B855" s="12"/>
      <c r="C855" s="12"/>
      <c r="D855" s="12"/>
      <c r="E855" s="12"/>
      <c r="F855" s="12"/>
    </row>
    <row r="856">
      <c r="A856" s="12"/>
      <c r="B856" s="12"/>
      <c r="C856" s="12"/>
      <c r="D856" s="12"/>
      <c r="E856" s="12"/>
      <c r="F856" s="12"/>
    </row>
    <row r="857">
      <c r="A857" s="12"/>
      <c r="B857" s="12"/>
      <c r="C857" s="12"/>
      <c r="D857" s="12"/>
      <c r="E857" s="12"/>
      <c r="F857" s="12"/>
    </row>
    <row r="858">
      <c r="A858" s="12"/>
      <c r="B858" s="12"/>
      <c r="C858" s="12"/>
      <c r="D858" s="12"/>
      <c r="E858" s="12"/>
      <c r="F858" s="12"/>
    </row>
    <row r="859">
      <c r="A859" s="12"/>
      <c r="B859" s="12"/>
      <c r="C859" s="12"/>
      <c r="D859" s="12"/>
      <c r="E859" s="12"/>
      <c r="F859" s="12"/>
    </row>
    <row r="860">
      <c r="A860" s="12"/>
      <c r="B860" s="12"/>
      <c r="C860" s="12"/>
      <c r="D860" s="12"/>
      <c r="E860" s="12"/>
      <c r="F860" s="12"/>
    </row>
    <row r="861">
      <c r="A861" s="12"/>
      <c r="B861" s="12"/>
      <c r="C861" s="12"/>
      <c r="D861" s="12"/>
      <c r="E861" s="12"/>
      <c r="F861" s="12"/>
    </row>
    <row r="862">
      <c r="A862" s="12"/>
      <c r="B862" s="12"/>
      <c r="C862" s="12"/>
      <c r="D862" s="12"/>
      <c r="E862" s="12"/>
      <c r="F862" s="12"/>
    </row>
    <row r="863">
      <c r="A863" s="12"/>
      <c r="B863" s="12"/>
      <c r="C863" s="12"/>
      <c r="D863" s="12"/>
      <c r="E863" s="12"/>
      <c r="F863" s="12"/>
    </row>
    <row r="864">
      <c r="A864" s="12"/>
      <c r="B864" s="12"/>
      <c r="C864" s="12"/>
      <c r="D864" s="12"/>
      <c r="E864" s="12"/>
      <c r="F864" s="12"/>
    </row>
    <row r="865">
      <c r="A865" s="12"/>
      <c r="B865" s="12"/>
      <c r="C865" s="12"/>
      <c r="D865" s="12"/>
      <c r="E865" s="12"/>
      <c r="F865" s="12"/>
    </row>
    <row r="866">
      <c r="A866" s="12"/>
      <c r="B866" s="12"/>
      <c r="C866" s="12"/>
      <c r="D866" s="12"/>
      <c r="E866" s="12"/>
      <c r="F866" s="12"/>
    </row>
    <row r="867">
      <c r="A867" s="12"/>
      <c r="B867" s="12"/>
      <c r="C867" s="12"/>
      <c r="D867" s="12"/>
      <c r="E867" s="12"/>
      <c r="F867" s="12"/>
    </row>
    <row r="868">
      <c r="A868" s="12"/>
      <c r="B868" s="12"/>
      <c r="C868" s="12"/>
      <c r="D868" s="12"/>
      <c r="E868" s="12"/>
      <c r="F868" s="12"/>
    </row>
    <row r="869">
      <c r="A869" s="12"/>
      <c r="B869" s="12"/>
      <c r="C869" s="12"/>
      <c r="D869" s="12"/>
      <c r="E869" s="12"/>
      <c r="F869" s="12"/>
    </row>
    <row r="870">
      <c r="A870" s="12"/>
      <c r="B870" s="12"/>
      <c r="C870" s="12"/>
      <c r="D870" s="12"/>
      <c r="E870" s="12"/>
      <c r="F870" s="12"/>
    </row>
    <row r="871">
      <c r="A871" s="12"/>
      <c r="B871" s="12"/>
      <c r="C871" s="12"/>
      <c r="D871" s="12"/>
      <c r="E871" s="12"/>
      <c r="F871" s="12"/>
    </row>
    <row r="872">
      <c r="A872" s="12"/>
      <c r="B872" s="12"/>
      <c r="C872" s="12"/>
      <c r="D872" s="12"/>
      <c r="E872" s="12"/>
      <c r="F872" s="12"/>
    </row>
    <row r="873">
      <c r="A873" s="12"/>
      <c r="B873" s="12"/>
      <c r="C873" s="12"/>
      <c r="D873" s="12"/>
      <c r="E873" s="12"/>
      <c r="F873" s="12"/>
    </row>
    <row r="874">
      <c r="A874" s="12"/>
      <c r="B874" s="12"/>
      <c r="C874" s="12"/>
      <c r="D874" s="12"/>
      <c r="E874" s="12"/>
      <c r="F874" s="12"/>
    </row>
    <row r="875">
      <c r="A875" s="12"/>
      <c r="B875" s="12"/>
      <c r="C875" s="12"/>
      <c r="D875" s="12"/>
      <c r="E875" s="12"/>
      <c r="F875" s="12"/>
    </row>
    <row r="876">
      <c r="A876" s="12"/>
      <c r="B876" s="12"/>
      <c r="C876" s="12"/>
      <c r="D876" s="12"/>
      <c r="E876" s="12"/>
      <c r="F876" s="12"/>
    </row>
    <row r="877">
      <c r="A877" s="12"/>
      <c r="B877" s="12"/>
      <c r="C877" s="12"/>
      <c r="D877" s="12"/>
      <c r="E877" s="12"/>
      <c r="F877" s="12"/>
    </row>
    <row r="878">
      <c r="A878" s="12"/>
      <c r="B878" s="12"/>
      <c r="C878" s="12"/>
      <c r="D878" s="12"/>
      <c r="E878" s="12"/>
      <c r="F878" s="12"/>
    </row>
    <row r="879">
      <c r="A879" s="12"/>
      <c r="B879" s="12"/>
      <c r="C879" s="12"/>
      <c r="D879" s="12"/>
      <c r="E879" s="12"/>
      <c r="F879" s="12"/>
    </row>
    <row r="880">
      <c r="A880" s="12"/>
      <c r="B880" s="12"/>
      <c r="C880" s="12"/>
      <c r="D880" s="12"/>
      <c r="E880" s="12"/>
      <c r="F880" s="12"/>
    </row>
    <row r="881">
      <c r="A881" s="12"/>
      <c r="B881" s="12"/>
      <c r="C881" s="12"/>
      <c r="D881" s="12"/>
      <c r="E881" s="12"/>
      <c r="F881" s="12"/>
    </row>
    <row r="882">
      <c r="A882" s="12"/>
      <c r="B882" s="12"/>
      <c r="C882" s="12"/>
      <c r="D882" s="12"/>
      <c r="E882" s="12"/>
      <c r="F882" s="12"/>
    </row>
    <row r="883">
      <c r="A883" s="12"/>
      <c r="B883" s="12"/>
      <c r="C883" s="12"/>
      <c r="D883" s="12"/>
      <c r="E883" s="12"/>
      <c r="F883" s="12"/>
    </row>
    <row r="884">
      <c r="A884" s="12"/>
      <c r="B884" s="12"/>
      <c r="C884" s="12"/>
      <c r="D884" s="12"/>
      <c r="E884" s="12"/>
      <c r="F884" s="12"/>
    </row>
    <row r="885">
      <c r="A885" s="12"/>
      <c r="B885" s="12"/>
      <c r="C885" s="12"/>
      <c r="D885" s="12"/>
      <c r="E885" s="12"/>
      <c r="F885" s="12"/>
    </row>
    <row r="886">
      <c r="A886" s="12"/>
      <c r="B886" s="12"/>
      <c r="C886" s="12"/>
      <c r="D886" s="12"/>
      <c r="E886" s="12"/>
      <c r="F886" s="12"/>
    </row>
    <row r="887">
      <c r="A887" s="12"/>
      <c r="B887" s="12"/>
      <c r="C887" s="12"/>
      <c r="D887" s="12"/>
      <c r="E887" s="12"/>
      <c r="F887" s="12"/>
    </row>
    <row r="888">
      <c r="A888" s="12"/>
      <c r="B888" s="12"/>
      <c r="C888" s="12"/>
      <c r="D888" s="12"/>
      <c r="E888" s="12"/>
      <c r="F888" s="12"/>
    </row>
    <row r="889">
      <c r="A889" s="12"/>
      <c r="B889" s="12"/>
      <c r="C889" s="12"/>
      <c r="D889" s="12"/>
      <c r="E889" s="12"/>
      <c r="F889" s="12"/>
    </row>
    <row r="890">
      <c r="A890" s="12"/>
      <c r="B890" s="12"/>
      <c r="C890" s="12"/>
      <c r="D890" s="12"/>
      <c r="E890" s="12"/>
      <c r="F890" s="12"/>
    </row>
    <row r="891">
      <c r="A891" s="12"/>
      <c r="B891" s="12"/>
      <c r="C891" s="12"/>
      <c r="D891" s="12"/>
      <c r="E891" s="12"/>
      <c r="F891" s="12"/>
    </row>
    <row r="892">
      <c r="A892" s="12"/>
      <c r="B892" s="12"/>
      <c r="C892" s="12"/>
      <c r="D892" s="12"/>
      <c r="E892" s="12"/>
      <c r="F892" s="12"/>
    </row>
    <row r="893">
      <c r="A893" s="12"/>
      <c r="B893" s="12"/>
      <c r="C893" s="12"/>
      <c r="D893" s="12"/>
      <c r="E893" s="12"/>
      <c r="F893" s="12"/>
    </row>
    <row r="894">
      <c r="A894" s="12"/>
      <c r="B894" s="12"/>
      <c r="C894" s="12"/>
      <c r="D894" s="12"/>
      <c r="E894" s="12"/>
      <c r="F894" s="12"/>
    </row>
    <row r="895">
      <c r="A895" s="12"/>
      <c r="B895" s="12"/>
      <c r="C895" s="12"/>
      <c r="D895" s="12"/>
      <c r="E895" s="12"/>
      <c r="F895" s="12"/>
    </row>
    <row r="896">
      <c r="A896" s="12"/>
      <c r="B896" s="12"/>
      <c r="C896" s="12"/>
      <c r="D896" s="12"/>
      <c r="E896" s="12"/>
      <c r="F896" s="12"/>
    </row>
    <row r="897">
      <c r="A897" s="12"/>
      <c r="B897" s="12"/>
      <c r="C897" s="12"/>
      <c r="D897" s="12"/>
      <c r="E897" s="12"/>
      <c r="F897" s="12"/>
    </row>
    <row r="898">
      <c r="A898" s="12"/>
      <c r="B898" s="12"/>
      <c r="C898" s="12"/>
      <c r="D898" s="12"/>
      <c r="E898" s="12"/>
      <c r="F898" s="12"/>
    </row>
    <row r="899">
      <c r="A899" s="12"/>
      <c r="B899" s="12"/>
      <c r="C899" s="12"/>
      <c r="D899" s="12"/>
      <c r="E899" s="12"/>
      <c r="F899" s="12"/>
    </row>
    <row r="900">
      <c r="A900" s="12"/>
      <c r="B900" s="12"/>
      <c r="C900" s="12"/>
      <c r="D900" s="12"/>
      <c r="E900" s="12"/>
      <c r="F900" s="12"/>
    </row>
    <row r="901">
      <c r="A901" s="12"/>
      <c r="B901" s="12"/>
      <c r="C901" s="12"/>
      <c r="D901" s="12"/>
      <c r="E901" s="12"/>
      <c r="F901" s="12"/>
    </row>
    <row r="902">
      <c r="A902" s="12"/>
      <c r="B902" s="12"/>
      <c r="C902" s="12"/>
      <c r="D902" s="12"/>
      <c r="E902" s="12"/>
      <c r="F902" s="12"/>
    </row>
    <row r="903">
      <c r="A903" s="12"/>
      <c r="B903" s="12"/>
      <c r="C903" s="12"/>
      <c r="D903" s="12"/>
      <c r="E903" s="12"/>
      <c r="F903" s="12"/>
    </row>
    <row r="904">
      <c r="A904" s="12"/>
      <c r="B904" s="12"/>
      <c r="C904" s="12"/>
      <c r="D904" s="12"/>
      <c r="E904" s="12"/>
      <c r="F904" s="12"/>
    </row>
    <row r="905">
      <c r="A905" s="12"/>
      <c r="B905" s="12"/>
      <c r="C905" s="12"/>
      <c r="D905" s="12"/>
      <c r="E905" s="12"/>
      <c r="F905" s="12"/>
    </row>
    <row r="906">
      <c r="A906" s="12"/>
      <c r="B906" s="12"/>
      <c r="C906" s="12"/>
      <c r="D906" s="12"/>
      <c r="E906" s="12"/>
      <c r="F906" s="12"/>
    </row>
    <row r="907">
      <c r="A907" s="12"/>
      <c r="B907" s="12"/>
      <c r="C907" s="12"/>
      <c r="D907" s="12"/>
      <c r="E907" s="12"/>
      <c r="F907" s="12"/>
    </row>
    <row r="908">
      <c r="A908" s="12"/>
      <c r="B908" s="12"/>
      <c r="C908" s="12"/>
      <c r="D908" s="12"/>
      <c r="E908" s="12"/>
      <c r="F908" s="12"/>
    </row>
    <row r="909">
      <c r="A909" s="12"/>
      <c r="B909" s="12"/>
      <c r="C909" s="12"/>
      <c r="D909" s="12"/>
      <c r="E909" s="12"/>
      <c r="F909" s="12"/>
    </row>
    <row r="910">
      <c r="A910" s="12"/>
      <c r="B910" s="12"/>
      <c r="C910" s="12"/>
      <c r="D910" s="12"/>
      <c r="E910" s="12"/>
      <c r="F910" s="12"/>
    </row>
    <row r="911">
      <c r="A911" s="12"/>
      <c r="B911" s="12"/>
      <c r="C911" s="12"/>
      <c r="D911" s="12"/>
      <c r="E911" s="12"/>
      <c r="F911" s="12"/>
    </row>
    <row r="912">
      <c r="A912" s="12"/>
      <c r="B912" s="12"/>
      <c r="C912" s="12"/>
      <c r="D912" s="12"/>
      <c r="E912" s="12"/>
      <c r="F912" s="12"/>
    </row>
    <row r="913">
      <c r="A913" s="12"/>
      <c r="B913" s="12"/>
      <c r="C913" s="12"/>
      <c r="D913" s="12"/>
      <c r="E913" s="12"/>
      <c r="F913" s="12"/>
    </row>
    <row r="914">
      <c r="A914" s="12"/>
      <c r="B914" s="12"/>
      <c r="C914" s="12"/>
      <c r="D914" s="12"/>
      <c r="E914" s="12"/>
      <c r="F914" s="12"/>
    </row>
    <row r="915">
      <c r="A915" s="12"/>
      <c r="B915" s="12"/>
      <c r="C915" s="12"/>
      <c r="D915" s="12"/>
      <c r="E915" s="12"/>
      <c r="F915" s="12"/>
    </row>
    <row r="916">
      <c r="A916" s="12"/>
      <c r="B916" s="12"/>
      <c r="C916" s="12"/>
      <c r="D916" s="12"/>
      <c r="E916" s="12"/>
      <c r="F916" s="12"/>
    </row>
    <row r="917">
      <c r="A917" s="12"/>
      <c r="B917" s="12"/>
      <c r="C917" s="12"/>
      <c r="D917" s="12"/>
      <c r="E917" s="12"/>
      <c r="F917" s="12"/>
    </row>
    <row r="918">
      <c r="A918" s="12"/>
      <c r="B918" s="12"/>
      <c r="C918" s="12"/>
      <c r="D918" s="12"/>
      <c r="E918" s="12"/>
      <c r="F918" s="12"/>
    </row>
    <row r="919">
      <c r="A919" s="12"/>
      <c r="B919" s="12"/>
      <c r="C919" s="12"/>
      <c r="D919" s="12"/>
      <c r="E919" s="12"/>
      <c r="F919" s="12"/>
    </row>
    <row r="920">
      <c r="A920" s="12"/>
      <c r="B920" s="12"/>
      <c r="C920" s="12"/>
      <c r="D920" s="12"/>
      <c r="E920" s="12"/>
      <c r="F920" s="12"/>
    </row>
    <row r="921">
      <c r="A921" s="12"/>
      <c r="B921" s="12"/>
      <c r="C921" s="12"/>
      <c r="D921" s="12"/>
      <c r="E921" s="12"/>
      <c r="F921" s="12"/>
    </row>
    <row r="922">
      <c r="A922" s="12"/>
      <c r="B922" s="12"/>
      <c r="C922" s="12"/>
      <c r="D922" s="12"/>
      <c r="E922" s="12"/>
      <c r="F922" s="12"/>
    </row>
    <row r="923">
      <c r="A923" s="12"/>
      <c r="B923" s="12"/>
      <c r="C923" s="12"/>
      <c r="D923" s="12"/>
      <c r="E923" s="12"/>
      <c r="F923" s="12"/>
    </row>
    <row r="924">
      <c r="A924" s="12"/>
      <c r="B924" s="12"/>
      <c r="C924" s="12"/>
      <c r="D924" s="12"/>
      <c r="E924" s="12"/>
      <c r="F924" s="12"/>
    </row>
    <row r="925">
      <c r="A925" s="12"/>
      <c r="B925" s="12"/>
      <c r="C925" s="12"/>
      <c r="D925" s="12"/>
      <c r="E925" s="12"/>
      <c r="F925" s="12"/>
    </row>
    <row r="926">
      <c r="A926" s="12"/>
      <c r="B926" s="12"/>
      <c r="C926" s="12"/>
      <c r="D926" s="12"/>
      <c r="E926" s="12"/>
      <c r="F926" s="12"/>
    </row>
    <row r="927">
      <c r="A927" s="12"/>
      <c r="B927" s="12"/>
      <c r="C927" s="12"/>
      <c r="D927" s="12"/>
      <c r="E927" s="12"/>
      <c r="F927" s="12"/>
    </row>
    <row r="928">
      <c r="A928" s="12"/>
      <c r="B928" s="12"/>
      <c r="C928" s="12"/>
      <c r="D928" s="12"/>
      <c r="E928" s="12"/>
      <c r="F928" s="12"/>
    </row>
    <row r="929">
      <c r="A929" s="12"/>
      <c r="B929" s="12"/>
      <c r="C929" s="12"/>
      <c r="D929" s="12"/>
      <c r="E929" s="12"/>
      <c r="F929" s="12"/>
    </row>
    <row r="930">
      <c r="A930" s="12"/>
      <c r="B930" s="12"/>
      <c r="C930" s="12"/>
      <c r="D930" s="12"/>
      <c r="E930" s="12"/>
      <c r="F930" s="12"/>
    </row>
    <row r="931">
      <c r="A931" s="12"/>
      <c r="B931" s="12"/>
      <c r="C931" s="12"/>
      <c r="D931" s="12"/>
      <c r="E931" s="12"/>
      <c r="F931" s="12"/>
    </row>
    <row r="932">
      <c r="A932" s="12"/>
      <c r="B932" s="12"/>
      <c r="C932" s="12"/>
      <c r="D932" s="12"/>
      <c r="E932" s="12"/>
      <c r="F932" s="12"/>
    </row>
    <row r="933">
      <c r="A933" s="12"/>
      <c r="B933" s="12"/>
      <c r="C933" s="12"/>
      <c r="D933" s="12"/>
      <c r="E933" s="12"/>
      <c r="F933" s="12"/>
    </row>
    <row r="934">
      <c r="A934" s="12"/>
      <c r="B934" s="12"/>
      <c r="C934" s="12"/>
      <c r="D934" s="12"/>
      <c r="E934" s="12"/>
      <c r="F934" s="12"/>
    </row>
    <row r="935">
      <c r="A935" s="12"/>
      <c r="B935" s="12"/>
      <c r="C935" s="12"/>
      <c r="D935" s="12"/>
      <c r="E935" s="12"/>
      <c r="F935" s="12"/>
    </row>
    <row r="936">
      <c r="A936" s="12"/>
      <c r="B936" s="12"/>
      <c r="C936" s="12"/>
      <c r="D936" s="12"/>
      <c r="E936" s="12"/>
      <c r="F936" s="12"/>
    </row>
    <row r="937">
      <c r="A937" s="12"/>
      <c r="B937" s="12"/>
      <c r="C937" s="12"/>
      <c r="D937" s="12"/>
      <c r="E937" s="12"/>
      <c r="F937" s="12"/>
    </row>
    <row r="938">
      <c r="A938" s="12"/>
      <c r="B938" s="12"/>
      <c r="C938" s="12"/>
      <c r="D938" s="12"/>
      <c r="E938" s="12"/>
      <c r="F938" s="12"/>
    </row>
    <row r="939">
      <c r="A939" s="12"/>
      <c r="B939" s="12"/>
      <c r="C939" s="12"/>
      <c r="D939" s="12"/>
      <c r="E939" s="12"/>
      <c r="F939" s="12"/>
    </row>
    <row r="940">
      <c r="A940" s="12"/>
      <c r="B940" s="12"/>
      <c r="C940" s="12"/>
      <c r="D940" s="12"/>
      <c r="E940" s="12"/>
      <c r="F940" s="12"/>
    </row>
    <row r="941">
      <c r="A941" s="12"/>
      <c r="B941" s="12"/>
      <c r="C941" s="12"/>
      <c r="D941" s="12"/>
      <c r="E941" s="12"/>
      <c r="F941" s="12"/>
    </row>
    <row r="942">
      <c r="A942" s="12"/>
      <c r="B942" s="12"/>
      <c r="C942" s="12"/>
      <c r="D942" s="12"/>
      <c r="E942" s="12"/>
      <c r="F942" s="12"/>
    </row>
    <row r="943">
      <c r="A943" s="12"/>
      <c r="B943" s="12"/>
      <c r="C943" s="12"/>
      <c r="D943" s="12"/>
      <c r="E943" s="12"/>
      <c r="F943" s="12"/>
    </row>
    <row r="944">
      <c r="A944" s="12"/>
      <c r="B944" s="12"/>
      <c r="C944" s="12"/>
      <c r="D944" s="12"/>
      <c r="E944" s="12"/>
      <c r="F944" s="12"/>
    </row>
    <row r="945">
      <c r="A945" s="12"/>
      <c r="B945" s="12"/>
      <c r="C945" s="12"/>
      <c r="D945" s="12"/>
      <c r="E945" s="12"/>
      <c r="F945" s="12"/>
    </row>
    <row r="946">
      <c r="A946" s="12"/>
      <c r="B946" s="12"/>
      <c r="C946" s="12"/>
      <c r="D946" s="12"/>
      <c r="E946" s="12"/>
      <c r="F946" s="12"/>
    </row>
    <row r="947">
      <c r="A947" s="12"/>
      <c r="B947" s="12"/>
      <c r="C947" s="12"/>
      <c r="D947" s="12"/>
      <c r="E947" s="12"/>
      <c r="F947" s="12"/>
    </row>
    <row r="948">
      <c r="A948" s="12"/>
      <c r="B948" s="12"/>
      <c r="C948" s="12"/>
      <c r="D948" s="12"/>
      <c r="E948" s="12"/>
      <c r="F948" s="12"/>
    </row>
    <row r="949">
      <c r="A949" s="12"/>
      <c r="B949" s="12"/>
      <c r="C949" s="12"/>
      <c r="D949" s="12"/>
      <c r="E949" s="12"/>
      <c r="F949" s="12"/>
    </row>
    <row r="950">
      <c r="A950" s="12"/>
      <c r="B950" s="12"/>
      <c r="C950" s="12"/>
      <c r="D950" s="12"/>
      <c r="E950" s="12"/>
      <c r="F950" s="12"/>
    </row>
    <row r="951">
      <c r="A951" s="12"/>
      <c r="B951" s="12"/>
      <c r="C951" s="12"/>
      <c r="D951" s="12"/>
      <c r="E951" s="12"/>
      <c r="F951" s="12"/>
    </row>
    <row r="952">
      <c r="A952" s="12"/>
      <c r="B952" s="12"/>
      <c r="C952" s="12"/>
      <c r="D952" s="12"/>
      <c r="E952" s="12"/>
      <c r="F952" s="12"/>
    </row>
    <row r="953">
      <c r="A953" s="12"/>
      <c r="B953" s="12"/>
      <c r="C953" s="12"/>
      <c r="D953" s="12"/>
      <c r="E953" s="12"/>
      <c r="F953" s="12"/>
    </row>
    <row r="954">
      <c r="A954" s="12"/>
      <c r="B954" s="12"/>
      <c r="C954" s="12"/>
      <c r="D954" s="12"/>
      <c r="E954" s="12"/>
      <c r="F954" s="12"/>
    </row>
    <row r="955">
      <c r="A955" s="12"/>
      <c r="B955" s="12"/>
      <c r="C955" s="12"/>
      <c r="D955" s="12"/>
      <c r="E955" s="12"/>
      <c r="F955" s="12"/>
    </row>
    <row r="956">
      <c r="A956" s="12"/>
      <c r="B956" s="12"/>
      <c r="C956" s="12"/>
      <c r="D956" s="12"/>
      <c r="E956" s="12"/>
      <c r="F956" s="12"/>
    </row>
    <row r="957">
      <c r="A957" s="12"/>
      <c r="B957" s="12"/>
      <c r="C957" s="12"/>
      <c r="D957" s="12"/>
      <c r="E957" s="12"/>
      <c r="F957" s="12"/>
    </row>
    <row r="958">
      <c r="A958" s="12"/>
      <c r="B958" s="12"/>
      <c r="C958" s="12"/>
      <c r="D958" s="12"/>
      <c r="E958" s="12"/>
      <c r="F958" s="12"/>
    </row>
    <row r="959">
      <c r="A959" s="12"/>
      <c r="B959" s="12"/>
      <c r="C959" s="12"/>
      <c r="D959" s="12"/>
      <c r="E959" s="12"/>
      <c r="F959" s="12"/>
    </row>
    <row r="960">
      <c r="A960" s="12"/>
      <c r="B960" s="12"/>
      <c r="C960" s="12"/>
      <c r="D960" s="12"/>
      <c r="E960" s="12"/>
      <c r="F960" s="12"/>
    </row>
    <row r="961">
      <c r="A961" s="12"/>
      <c r="B961" s="12"/>
      <c r="C961" s="12"/>
      <c r="D961" s="12"/>
      <c r="E961" s="12"/>
      <c r="F961" s="12"/>
    </row>
    <row r="962">
      <c r="A962" s="12"/>
      <c r="B962" s="12"/>
      <c r="C962" s="12"/>
      <c r="D962" s="12"/>
      <c r="E962" s="12"/>
      <c r="F962" s="12"/>
    </row>
    <row r="963">
      <c r="A963" s="12"/>
      <c r="B963" s="12"/>
      <c r="C963" s="12"/>
      <c r="D963" s="12"/>
      <c r="E963" s="12"/>
      <c r="F963" s="12"/>
    </row>
    <row r="964">
      <c r="A964" s="12"/>
      <c r="B964" s="12"/>
      <c r="C964" s="12"/>
      <c r="D964" s="12"/>
      <c r="E964" s="12"/>
      <c r="F964" s="12"/>
    </row>
    <row r="965">
      <c r="A965" s="12"/>
      <c r="B965" s="12"/>
      <c r="C965" s="12"/>
      <c r="D965" s="12"/>
      <c r="E965" s="12"/>
      <c r="F965" s="12"/>
    </row>
    <row r="966">
      <c r="A966" s="12"/>
      <c r="B966" s="12"/>
      <c r="C966" s="12"/>
      <c r="D966" s="12"/>
      <c r="E966" s="12"/>
      <c r="F966" s="12"/>
    </row>
    <row r="967">
      <c r="A967" s="12"/>
      <c r="B967" s="12"/>
      <c r="C967" s="12"/>
      <c r="D967" s="12"/>
      <c r="E967" s="12"/>
      <c r="F967" s="12"/>
    </row>
    <row r="968">
      <c r="A968" s="12"/>
      <c r="B968" s="12"/>
      <c r="C968" s="12"/>
      <c r="D968" s="12"/>
      <c r="E968" s="12"/>
      <c r="F968" s="12"/>
    </row>
    <row r="969">
      <c r="A969" s="12"/>
      <c r="B969" s="12"/>
      <c r="C969" s="12"/>
      <c r="D969" s="12"/>
      <c r="E969" s="12"/>
      <c r="F969" s="12"/>
    </row>
    <row r="970">
      <c r="A970" s="12"/>
      <c r="B970" s="12"/>
      <c r="C970" s="12"/>
      <c r="D970" s="12"/>
      <c r="E970" s="12"/>
      <c r="F970" s="12"/>
    </row>
    <row r="971">
      <c r="A971" s="12"/>
      <c r="B971" s="12"/>
      <c r="C971" s="12"/>
      <c r="D971" s="12"/>
      <c r="E971" s="12"/>
      <c r="F971" s="12"/>
    </row>
    <row r="972">
      <c r="A972" s="12"/>
      <c r="B972" s="12"/>
      <c r="C972" s="12"/>
      <c r="D972" s="12"/>
      <c r="E972" s="12"/>
      <c r="F972" s="12"/>
    </row>
    <row r="973">
      <c r="A973" s="12"/>
      <c r="B973" s="12"/>
      <c r="C973" s="12"/>
      <c r="D973" s="12"/>
      <c r="E973" s="12"/>
      <c r="F973" s="12"/>
    </row>
    <row r="974">
      <c r="A974" s="12"/>
      <c r="B974" s="12"/>
      <c r="C974" s="12"/>
      <c r="D974" s="12"/>
      <c r="E974" s="12"/>
      <c r="F974" s="12"/>
    </row>
    <row r="975">
      <c r="A975" s="12"/>
      <c r="B975" s="12"/>
      <c r="C975" s="12"/>
      <c r="D975" s="12"/>
      <c r="E975" s="12"/>
      <c r="F975" s="12"/>
    </row>
    <row r="976">
      <c r="A976" s="12"/>
      <c r="B976" s="12"/>
      <c r="C976" s="12"/>
      <c r="D976" s="12"/>
      <c r="E976" s="12"/>
      <c r="F976" s="12"/>
    </row>
    <row r="977">
      <c r="A977" s="12"/>
      <c r="B977" s="12"/>
      <c r="C977" s="12"/>
      <c r="D977" s="12"/>
      <c r="E977" s="12"/>
      <c r="F977" s="12"/>
    </row>
    <row r="978">
      <c r="A978" s="12"/>
      <c r="B978" s="12"/>
      <c r="C978" s="12"/>
      <c r="D978" s="12"/>
      <c r="E978" s="12"/>
      <c r="F978" s="12"/>
    </row>
    <row r="979">
      <c r="A979" s="12"/>
      <c r="B979" s="12"/>
      <c r="C979" s="12"/>
      <c r="D979" s="12"/>
      <c r="E979" s="12"/>
      <c r="F979" s="12"/>
    </row>
    <row r="980">
      <c r="A980" s="12"/>
      <c r="B980" s="12"/>
      <c r="C980" s="12"/>
      <c r="D980" s="12"/>
      <c r="E980" s="12"/>
      <c r="F980" s="12"/>
    </row>
    <row r="981">
      <c r="A981" s="12"/>
      <c r="B981" s="12"/>
      <c r="C981" s="12"/>
      <c r="D981" s="12"/>
      <c r="E981" s="12"/>
      <c r="F981" s="12"/>
    </row>
    <row r="982">
      <c r="A982" s="12"/>
      <c r="B982" s="12"/>
      <c r="C982" s="12"/>
      <c r="D982" s="12"/>
      <c r="E982" s="12"/>
      <c r="F982" s="12"/>
    </row>
    <row r="983">
      <c r="A983" s="12"/>
      <c r="B983" s="12"/>
      <c r="C983" s="12"/>
      <c r="D983" s="12"/>
      <c r="E983" s="12"/>
      <c r="F983" s="12"/>
    </row>
    <row r="984">
      <c r="A984" s="12"/>
      <c r="B984" s="12"/>
      <c r="C984" s="12"/>
      <c r="D984" s="12"/>
      <c r="E984" s="12"/>
      <c r="F984" s="12"/>
    </row>
    <row r="985">
      <c r="A985" s="12"/>
      <c r="B985" s="12"/>
      <c r="C985" s="12"/>
      <c r="D985" s="12"/>
      <c r="E985" s="12"/>
      <c r="F985" s="12"/>
    </row>
    <row r="986">
      <c r="A986" s="12"/>
      <c r="B986" s="12"/>
      <c r="C986" s="12"/>
      <c r="D986" s="12"/>
      <c r="E986" s="12"/>
      <c r="F986" s="12"/>
    </row>
    <row r="987">
      <c r="A987" s="12"/>
      <c r="B987" s="12"/>
      <c r="C987" s="12"/>
      <c r="D987" s="12"/>
      <c r="E987" s="12"/>
      <c r="F987" s="12"/>
    </row>
    <row r="988">
      <c r="A988" s="12"/>
      <c r="B988" s="12"/>
      <c r="C988" s="12"/>
      <c r="D988" s="12"/>
      <c r="E988" s="12"/>
      <c r="F988" s="12"/>
    </row>
    <row r="989">
      <c r="A989" s="12"/>
      <c r="B989" s="12"/>
      <c r="C989" s="12"/>
      <c r="D989" s="12"/>
      <c r="E989" s="12"/>
      <c r="F989" s="12"/>
    </row>
    <row r="990">
      <c r="A990" s="12"/>
      <c r="B990" s="12"/>
      <c r="C990" s="12"/>
      <c r="D990" s="12"/>
      <c r="E990" s="12"/>
      <c r="F990" s="12"/>
    </row>
    <row r="991">
      <c r="A991" s="12"/>
      <c r="B991" s="12"/>
      <c r="C991" s="12"/>
      <c r="D991" s="12"/>
      <c r="E991" s="12"/>
      <c r="F991" s="12"/>
    </row>
    <row r="992">
      <c r="A992" s="12"/>
      <c r="B992" s="12"/>
      <c r="C992" s="12"/>
      <c r="D992" s="12"/>
      <c r="E992" s="12"/>
      <c r="F992" s="12"/>
    </row>
    <row r="993">
      <c r="A993" s="12"/>
      <c r="B993" s="12"/>
      <c r="C993" s="12"/>
      <c r="D993" s="12"/>
      <c r="E993" s="12"/>
      <c r="F993" s="12"/>
    </row>
    <row r="994">
      <c r="A994" s="12"/>
      <c r="B994" s="12"/>
      <c r="C994" s="12"/>
      <c r="D994" s="12"/>
      <c r="E994" s="12"/>
      <c r="F994" s="12"/>
    </row>
    <row r="995">
      <c r="A995" s="12"/>
      <c r="B995" s="12"/>
      <c r="C995" s="12"/>
      <c r="D995" s="12"/>
      <c r="E995" s="12"/>
      <c r="F995" s="12"/>
    </row>
    <row r="996">
      <c r="A996" s="12"/>
      <c r="B996" s="12"/>
      <c r="C996" s="12"/>
      <c r="D996" s="12"/>
      <c r="E996" s="12"/>
      <c r="F996" s="12"/>
    </row>
    <row r="997">
      <c r="A997" s="12"/>
      <c r="B997" s="12"/>
      <c r="C997" s="12"/>
      <c r="D997" s="12"/>
      <c r="E997" s="12"/>
      <c r="F997" s="12"/>
    </row>
    <row r="998">
      <c r="A998" s="12"/>
      <c r="B998" s="12"/>
      <c r="C998" s="12"/>
      <c r="D998" s="12"/>
      <c r="E998" s="12"/>
      <c r="F998" s="12"/>
    </row>
    <row r="999">
      <c r="A999" s="12"/>
      <c r="B999" s="12"/>
      <c r="C999" s="12"/>
      <c r="D999" s="12"/>
      <c r="E999" s="12"/>
      <c r="F999" s="12"/>
    </row>
    <row r="1000">
      <c r="A1000" s="12"/>
      <c r="B1000" s="12"/>
      <c r="C1000" s="12"/>
      <c r="D1000" s="12"/>
      <c r="E1000" s="12"/>
      <c r="F1000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5.13"/>
    <col customWidth="1" min="4" max="4" width="7.63"/>
    <col customWidth="1" min="5" max="7" width="15.13"/>
    <col customWidth="1" hidden="1" min="9" max="11" width="15.13"/>
  </cols>
  <sheetData>
    <row r="1">
      <c r="A1" s="25" t="s">
        <v>97</v>
      </c>
      <c r="C1" s="191"/>
      <c r="D1" s="17"/>
      <c r="E1" s="192" t="s">
        <v>98</v>
      </c>
      <c r="G1" s="191"/>
      <c r="H1" s="17"/>
      <c r="I1" s="193" t="s">
        <v>99</v>
      </c>
      <c r="K1" s="191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94" t="s">
        <v>100</v>
      </c>
      <c r="B2" s="194" t="s">
        <v>101</v>
      </c>
      <c r="C2" s="195" t="s">
        <v>22</v>
      </c>
      <c r="D2" s="17"/>
      <c r="E2" s="196" t="s">
        <v>100</v>
      </c>
      <c r="F2" s="194" t="s">
        <v>101</v>
      </c>
      <c r="G2" s="195" t="s">
        <v>22</v>
      </c>
      <c r="H2" s="17"/>
      <c r="I2" s="197" t="s">
        <v>100</v>
      </c>
      <c r="J2" s="194" t="s">
        <v>101</v>
      </c>
      <c r="K2" s="195" t="s">
        <v>22</v>
      </c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98" t="s">
        <v>102</v>
      </c>
      <c r="B3" s="198">
        <v>5.0</v>
      </c>
      <c r="C3" s="199">
        <v>1052.0</v>
      </c>
      <c r="D3" s="17"/>
      <c r="E3" s="200" t="s">
        <v>102</v>
      </c>
      <c r="F3" s="45">
        <v>5.0</v>
      </c>
      <c r="G3" s="201">
        <v>1052.0</v>
      </c>
      <c r="H3" s="17"/>
      <c r="I3" s="202" t="str">
        <f t="array" ref="I3:K38">sort(E3:G38,G3:G38,false)</f>
        <v>Lynbrook A</v>
      </c>
      <c r="J3" s="17">
        <v>5.0</v>
      </c>
      <c r="K3" s="203">
        <v>1052.0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98" t="s">
        <v>103</v>
      </c>
      <c r="B4" s="198">
        <v>5.0</v>
      </c>
      <c r="C4" s="199">
        <v>1018.0</v>
      </c>
      <c r="D4" s="17"/>
      <c r="E4" s="200" t="s">
        <v>103</v>
      </c>
      <c r="F4" s="45">
        <v>5.0</v>
      </c>
      <c r="G4" s="201">
        <v>1018.0</v>
      </c>
      <c r="H4" s="17"/>
      <c r="I4" s="202" t="s">
        <v>103</v>
      </c>
      <c r="J4" s="17">
        <v>5.0</v>
      </c>
      <c r="K4" s="203">
        <v>1018.0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98" t="s">
        <v>104</v>
      </c>
      <c r="B5" s="198">
        <v>5.0</v>
      </c>
      <c r="C5" s="199">
        <v>852.0</v>
      </c>
      <c r="D5" s="17"/>
      <c r="E5" s="200" t="s">
        <v>104</v>
      </c>
      <c r="F5" s="45">
        <v>5.0</v>
      </c>
      <c r="G5" s="201">
        <v>852.0</v>
      </c>
      <c r="H5" s="17"/>
      <c r="I5" s="202" t="s">
        <v>105</v>
      </c>
      <c r="J5" s="17">
        <v>4.5</v>
      </c>
      <c r="K5" s="203">
        <v>898.0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98" t="s">
        <v>105</v>
      </c>
      <c r="B6" s="198">
        <v>4.5</v>
      </c>
      <c r="C6" s="199">
        <v>898.0</v>
      </c>
      <c r="D6" s="17"/>
      <c r="E6" s="200" t="s">
        <v>106</v>
      </c>
      <c r="F6" s="45">
        <v>5.0</v>
      </c>
      <c r="G6" s="201">
        <v>796.0</v>
      </c>
      <c r="H6" s="17"/>
      <c r="I6" s="202" t="s">
        <v>104</v>
      </c>
      <c r="J6" s="17">
        <v>5.0</v>
      </c>
      <c r="K6" s="203">
        <v>852.0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98" t="s">
        <v>106</v>
      </c>
      <c r="B7" s="198">
        <v>5.0</v>
      </c>
      <c r="C7" s="199">
        <v>796.0</v>
      </c>
      <c r="D7" s="17"/>
      <c r="E7" s="200" t="s">
        <v>105</v>
      </c>
      <c r="F7" s="45">
        <v>4.5</v>
      </c>
      <c r="G7" s="201">
        <v>898.0</v>
      </c>
      <c r="H7" s="17"/>
      <c r="I7" s="202" t="s">
        <v>106</v>
      </c>
      <c r="J7" s="17">
        <v>5.0</v>
      </c>
      <c r="K7" s="203">
        <v>796.0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98" t="s">
        <v>107</v>
      </c>
      <c r="B8" s="198">
        <v>4.0</v>
      </c>
      <c r="C8" s="199">
        <v>758.0</v>
      </c>
      <c r="D8" s="17"/>
      <c r="E8" s="200" t="s">
        <v>108</v>
      </c>
      <c r="F8" s="45">
        <v>4.5</v>
      </c>
      <c r="G8" s="201">
        <v>762.0</v>
      </c>
      <c r="H8" s="17"/>
      <c r="I8" s="202" t="s">
        <v>108</v>
      </c>
      <c r="J8" s="17">
        <v>4.5</v>
      </c>
      <c r="K8" s="203">
        <v>762.0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204" t="s">
        <v>108</v>
      </c>
      <c r="B9" s="205">
        <v>4.5</v>
      </c>
      <c r="C9" s="206">
        <v>762.0</v>
      </c>
      <c r="D9" s="17"/>
      <c r="E9" s="200" t="s">
        <v>107</v>
      </c>
      <c r="F9" s="45">
        <v>4.0</v>
      </c>
      <c r="G9" s="201">
        <v>758.0</v>
      </c>
      <c r="H9" s="17"/>
      <c r="I9" s="202" t="s">
        <v>107</v>
      </c>
      <c r="J9" s="17">
        <v>4.0</v>
      </c>
      <c r="K9" s="203">
        <v>758.0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98" t="s">
        <v>109</v>
      </c>
      <c r="B10" s="198">
        <v>4.0</v>
      </c>
      <c r="C10" s="199">
        <v>716.0</v>
      </c>
      <c r="D10" s="17"/>
      <c r="E10" s="200" t="s">
        <v>109</v>
      </c>
      <c r="F10" s="45">
        <v>4.0</v>
      </c>
      <c r="G10" s="201">
        <v>716.0</v>
      </c>
      <c r="H10" s="17"/>
      <c r="I10" s="202" t="s">
        <v>109</v>
      </c>
      <c r="J10" s="17">
        <v>4.0</v>
      </c>
      <c r="K10" s="203">
        <v>716.0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98" t="s">
        <v>110</v>
      </c>
      <c r="B11" s="198">
        <v>4.0</v>
      </c>
      <c r="C11" s="199">
        <v>704.0</v>
      </c>
      <c r="D11" s="17"/>
      <c r="E11" s="200" t="s">
        <v>110</v>
      </c>
      <c r="F11" s="45">
        <v>4.0</v>
      </c>
      <c r="G11" s="201">
        <v>704.0</v>
      </c>
      <c r="H11" s="17"/>
      <c r="I11" s="202" t="s">
        <v>110</v>
      </c>
      <c r="J11" s="17">
        <v>4.0</v>
      </c>
      <c r="K11" s="203">
        <v>704.0</v>
      </c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98" t="s">
        <v>111</v>
      </c>
      <c r="B12" s="198">
        <v>4.0</v>
      </c>
      <c r="C12" s="199">
        <v>696.0</v>
      </c>
      <c r="D12" s="17"/>
      <c r="E12" s="200" t="s">
        <v>111</v>
      </c>
      <c r="F12" s="45">
        <v>4.0</v>
      </c>
      <c r="G12" s="201">
        <v>696.0</v>
      </c>
      <c r="H12" s="17"/>
      <c r="I12" s="202" t="s">
        <v>111</v>
      </c>
      <c r="J12" s="17">
        <v>4.0</v>
      </c>
      <c r="K12" s="203">
        <v>696.0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98" t="s">
        <v>112</v>
      </c>
      <c r="B13" s="198">
        <v>4.0</v>
      </c>
      <c r="C13" s="199">
        <v>632.0</v>
      </c>
      <c r="D13" s="17"/>
      <c r="E13" s="200" t="s">
        <v>112</v>
      </c>
      <c r="F13" s="45">
        <v>4.0</v>
      </c>
      <c r="G13" s="201">
        <v>632.0</v>
      </c>
      <c r="H13" s="17"/>
      <c r="I13" s="202" t="s">
        <v>112</v>
      </c>
      <c r="J13" s="17">
        <v>4.0</v>
      </c>
      <c r="K13" s="203">
        <v>632.0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98" t="s">
        <v>113</v>
      </c>
      <c r="B14" s="198">
        <v>4.0</v>
      </c>
      <c r="C14" s="199">
        <v>576.0</v>
      </c>
      <c r="D14" s="17"/>
      <c r="E14" s="200" t="s">
        <v>114</v>
      </c>
      <c r="F14" s="45">
        <v>4.0</v>
      </c>
      <c r="G14" s="201">
        <v>624.0</v>
      </c>
      <c r="H14" s="17"/>
      <c r="I14" s="202" t="s">
        <v>114</v>
      </c>
      <c r="J14" s="17">
        <v>4.0</v>
      </c>
      <c r="K14" s="203">
        <v>624.0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204" t="s">
        <v>114</v>
      </c>
      <c r="B15" s="205">
        <v>4.0</v>
      </c>
      <c r="C15" s="206">
        <v>624.0</v>
      </c>
      <c r="D15" s="17"/>
      <c r="E15" s="200" t="s">
        <v>113</v>
      </c>
      <c r="F15" s="45">
        <v>4.0</v>
      </c>
      <c r="G15" s="201">
        <v>576.0</v>
      </c>
      <c r="H15" s="17"/>
      <c r="I15" s="202" t="s">
        <v>113</v>
      </c>
      <c r="J15" s="17">
        <v>4.0</v>
      </c>
      <c r="K15" s="203">
        <v>576.0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98" t="s">
        <v>115</v>
      </c>
      <c r="B16" s="198">
        <v>3.0</v>
      </c>
      <c r="C16" s="199">
        <v>570.0</v>
      </c>
      <c r="D16" s="17"/>
      <c r="E16" s="200" t="s">
        <v>115</v>
      </c>
      <c r="F16" s="45">
        <v>3.0</v>
      </c>
      <c r="G16" s="201">
        <v>570.0</v>
      </c>
      <c r="H16" s="17"/>
      <c r="I16" s="202" t="s">
        <v>115</v>
      </c>
      <c r="J16" s="17">
        <v>3.0</v>
      </c>
      <c r="K16" s="203">
        <v>570.0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98" t="s">
        <v>116</v>
      </c>
      <c r="B17" s="198">
        <v>3.0</v>
      </c>
      <c r="C17" s="199">
        <v>560.0</v>
      </c>
      <c r="D17" s="17"/>
      <c r="E17" s="200" t="s">
        <v>116</v>
      </c>
      <c r="F17" s="45">
        <v>3.0</v>
      </c>
      <c r="G17" s="201">
        <v>560.0</v>
      </c>
      <c r="H17" s="17"/>
      <c r="I17" s="202" t="s">
        <v>116</v>
      </c>
      <c r="J17" s="17">
        <v>3.0</v>
      </c>
      <c r="K17" s="203">
        <v>560.0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98" t="s">
        <v>117</v>
      </c>
      <c r="B18" s="198">
        <v>3.0</v>
      </c>
      <c r="C18" s="199">
        <v>544.0</v>
      </c>
      <c r="D18" s="17"/>
      <c r="E18" s="200" t="s">
        <v>117</v>
      </c>
      <c r="F18" s="45">
        <v>3.0</v>
      </c>
      <c r="G18" s="201">
        <v>544.0</v>
      </c>
      <c r="H18" s="17"/>
      <c r="I18" s="202" t="s">
        <v>117</v>
      </c>
      <c r="J18" s="17">
        <v>3.0</v>
      </c>
      <c r="K18" s="203">
        <v>544.0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207" t="s">
        <v>118</v>
      </c>
      <c r="B19" s="207">
        <v>3.0</v>
      </c>
      <c r="C19" s="208">
        <v>404.0</v>
      </c>
      <c r="D19" s="209" t="s">
        <v>119</v>
      </c>
      <c r="E19" s="200" t="s">
        <v>118</v>
      </c>
      <c r="F19" s="45">
        <v>3.0</v>
      </c>
      <c r="G19" s="201">
        <v>404.0</v>
      </c>
      <c r="H19" s="17"/>
      <c r="I19" s="202" t="s">
        <v>120</v>
      </c>
      <c r="J19" s="17">
        <v>2.0</v>
      </c>
      <c r="K19" s="203">
        <v>412.0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207" t="s">
        <v>120</v>
      </c>
      <c r="B20" s="207">
        <v>2.0</v>
      </c>
      <c r="C20" s="208">
        <v>412.0</v>
      </c>
      <c r="D20" s="209" t="s">
        <v>121</v>
      </c>
      <c r="E20" s="200" t="s">
        <v>120</v>
      </c>
      <c r="F20" s="45">
        <v>2.0</v>
      </c>
      <c r="G20" s="201">
        <v>412.0</v>
      </c>
      <c r="H20" s="17"/>
      <c r="I20" s="202" t="s">
        <v>118</v>
      </c>
      <c r="J20" s="17">
        <v>3.0</v>
      </c>
      <c r="K20" s="203">
        <v>404.0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210" t="s">
        <v>122</v>
      </c>
      <c r="B21" s="210">
        <v>2.0</v>
      </c>
      <c r="C21" s="211">
        <v>380.0</v>
      </c>
      <c r="D21" s="212" t="s">
        <v>123</v>
      </c>
      <c r="E21" s="200" t="s">
        <v>122</v>
      </c>
      <c r="F21" s="45">
        <v>2.0</v>
      </c>
      <c r="G21" s="201">
        <v>380.0</v>
      </c>
      <c r="H21" s="17"/>
      <c r="I21" s="202" t="s">
        <v>122</v>
      </c>
      <c r="J21" s="17">
        <v>2.0</v>
      </c>
      <c r="K21" s="203">
        <v>380.0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207" t="s">
        <v>124</v>
      </c>
      <c r="B22" s="207">
        <v>2.0</v>
      </c>
      <c r="C22" s="208">
        <v>304.0</v>
      </c>
      <c r="D22" s="209" t="s">
        <v>125</v>
      </c>
      <c r="E22" s="200" t="s">
        <v>124</v>
      </c>
      <c r="F22" s="45">
        <v>2.0</v>
      </c>
      <c r="G22" s="201">
        <v>304.0</v>
      </c>
      <c r="H22" s="17"/>
      <c r="I22" s="202" t="s">
        <v>126</v>
      </c>
      <c r="J22" s="17">
        <v>1.5</v>
      </c>
      <c r="K22" s="203">
        <v>320.0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210" t="s">
        <v>127</v>
      </c>
      <c r="B23" s="210">
        <v>2.0</v>
      </c>
      <c r="C23" s="211">
        <v>260.0</v>
      </c>
      <c r="D23" s="212" t="s">
        <v>128</v>
      </c>
      <c r="E23" s="200" t="s">
        <v>127</v>
      </c>
      <c r="F23" s="45">
        <v>2.0</v>
      </c>
      <c r="G23" s="201">
        <v>260.0</v>
      </c>
      <c r="H23" s="17"/>
      <c r="I23" s="202" t="s">
        <v>124</v>
      </c>
      <c r="J23" s="17">
        <v>2.0</v>
      </c>
      <c r="K23" s="203">
        <v>304.0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207" t="s">
        <v>129</v>
      </c>
      <c r="B24" s="207">
        <v>2.0</v>
      </c>
      <c r="C24" s="208">
        <v>220.0</v>
      </c>
      <c r="D24" s="209" t="s">
        <v>130</v>
      </c>
      <c r="E24" s="200" t="s">
        <v>129</v>
      </c>
      <c r="F24" s="45">
        <v>2.0</v>
      </c>
      <c r="G24" s="201">
        <v>220.0</v>
      </c>
      <c r="H24" s="17"/>
      <c r="I24" s="202" t="s">
        <v>131</v>
      </c>
      <c r="J24" s="17">
        <v>1.0</v>
      </c>
      <c r="K24" s="203">
        <v>302.0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210" t="s">
        <v>126</v>
      </c>
      <c r="B25" s="210">
        <v>1.5</v>
      </c>
      <c r="C25" s="211">
        <v>320.0</v>
      </c>
      <c r="D25" s="212" t="s">
        <v>130</v>
      </c>
      <c r="E25" s="200" t="s">
        <v>126</v>
      </c>
      <c r="F25" s="45">
        <v>1.5</v>
      </c>
      <c r="G25" s="201">
        <v>320.0</v>
      </c>
      <c r="H25" s="17"/>
      <c r="I25" s="202" t="s">
        <v>132</v>
      </c>
      <c r="J25" s="17">
        <v>1.0</v>
      </c>
      <c r="K25" s="203">
        <v>300.0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213" t="s">
        <v>133</v>
      </c>
      <c r="B26" s="213">
        <v>1.5</v>
      </c>
      <c r="C26" s="214">
        <v>288.0</v>
      </c>
      <c r="D26" s="215" t="s">
        <v>130</v>
      </c>
      <c r="E26" s="200" t="s">
        <v>133</v>
      </c>
      <c r="F26" s="45">
        <v>1.5</v>
      </c>
      <c r="G26" s="201">
        <v>288.0</v>
      </c>
      <c r="H26" s="17"/>
      <c r="I26" s="202" t="s">
        <v>133</v>
      </c>
      <c r="J26" s="17">
        <v>1.5</v>
      </c>
      <c r="K26" s="203">
        <v>288.0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210" t="s">
        <v>131</v>
      </c>
      <c r="B27" s="210">
        <v>1.0</v>
      </c>
      <c r="C27" s="211">
        <v>302.0</v>
      </c>
      <c r="D27" s="212" t="s">
        <v>119</v>
      </c>
      <c r="E27" s="200" t="s">
        <v>131</v>
      </c>
      <c r="F27" s="45">
        <v>1.0</v>
      </c>
      <c r="G27" s="201">
        <v>302.0</v>
      </c>
      <c r="H27" s="17"/>
      <c r="I27" s="202" t="s">
        <v>127</v>
      </c>
      <c r="J27" s="17">
        <v>2.0</v>
      </c>
      <c r="K27" s="203">
        <v>260.0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213" t="s">
        <v>132</v>
      </c>
      <c r="B28" s="213">
        <v>1.0</v>
      </c>
      <c r="C28" s="214">
        <v>300.0</v>
      </c>
      <c r="D28" s="215" t="s">
        <v>123</v>
      </c>
      <c r="E28" s="200" t="s">
        <v>132</v>
      </c>
      <c r="F28" s="45">
        <v>1.0</v>
      </c>
      <c r="G28" s="201">
        <v>300.0</v>
      </c>
      <c r="H28" s="17"/>
      <c r="I28" s="202" t="s">
        <v>134</v>
      </c>
      <c r="J28" s="17">
        <v>1.0</v>
      </c>
      <c r="K28" s="203">
        <v>256.0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216" t="s">
        <v>134</v>
      </c>
      <c r="B29" s="216">
        <v>1.0</v>
      </c>
      <c r="C29" s="217">
        <v>256.0</v>
      </c>
      <c r="D29" s="218" t="s">
        <v>130</v>
      </c>
      <c r="E29" s="200" t="s">
        <v>134</v>
      </c>
      <c r="F29" s="45">
        <v>1.0</v>
      </c>
      <c r="G29" s="201">
        <v>256.0</v>
      </c>
      <c r="H29" s="17"/>
      <c r="I29" s="202" t="s">
        <v>135</v>
      </c>
      <c r="J29" s="17">
        <v>1.0</v>
      </c>
      <c r="K29" s="203">
        <v>230.0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213" t="s">
        <v>135</v>
      </c>
      <c r="B30" s="213">
        <v>1.0</v>
      </c>
      <c r="C30" s="214">
        <v>230.0</v>
      </c>
      <c r="D30" s="215" t="s">
        <v>119</v>
      </c>
      <c r="E30" s="200" t="s">
        <v>135</v>
      </c>
      <c r="F30" s="45">
        <v>1.0</v>
      </c>
      <c r="G30" s="201">
        <v>230.0</v>
      </c>
      <c r="H30" s="17"/>
      <c r="I30" s="202" t="s">
        <v>129</v>
      </c>
      <c r="J30" s="17">
        <v>2.0</v>
      </c>
      <c r="K30" s="203">
        <v>220.0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213" t="s">
        <v>136</v>
      </c>
      <c r="B31" s="213">
        <v>1.0</v>
      </c>
      <c r="C31" s="214">
        <v>172.0</v>
      </c>
      <c r="D31" s="215" t="s">
        <v>128</v>
      </c>
      <c r="E31" s="200" t="s">
        <v>136</v>
      </c>
      <c r="F31" s="45">
        <v>1.0</v>
      </c>
      <c r="G31" s="201">
        <v>172.0</v>
      </c>
      <c r="H31" s="17"/>
      <c r="I31" s="202" t="s">
        <v>136</v>
      </c>
      <c r="J31" s="17">
        <v>1.0</v>
      </c>
      <c r="K31" s="203">
        <v>172.0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216" t="s">
        <v>137</v>
      </c>
      <c r="B32" s="216">
        <v>1.0</v>
      </c>
      <c r="C32" s="217">
        <v>138.0</v>
      </c>
      <c r="D32" s="218" t="s">
        <v>125</v>
      </c>
      <c r="E32" s="200" t="s">
        <v>137</v>
      </c>
      <c r="F32" s="45">
        <v>1.0</v>
      </c>
      <c r="G32" s="201">
        <v>138.0</v>
      </c>
      <c r="H32" s="17"/>
      <c r="I32" s="202" t="s">
        <v>138</v>
      </c>
      <c r="J32" s="17">
        <v>0.0</v>
      </c>
      <c r="K32" s="203">
        <v>148.0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216" t="s">
        <v>139</v>
      </c>
      <c r="B33" s="216">
        <v>1.0</v>
      </c>
      <c r="C33" s="217">
        <v>124.0</v>
      </c>
      <c r="D33" s="218" t="s">
        <v>121</v>
      </c>
      <c r="E33" s="200" t="s">
        <v>139</v>
      </c>
      <c r="F33" s="45">
        <v>1.0</v>
      </c>
      <c r="G33" s="201">
        <v>124.0</v>
      </c>
      <c r="H33" s="17"/>
      <c r="I33" s="202" t="s">
        <v>137</v>
      </c>
      <c r="J33" s="17">
        <v>1.0</v>
      </c>
      <c r="K33" s="203">
        <v>138.0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216" t="s">
        <v>140</v>
      </c>
      <c r="B34" s="216">
        <v>1.0</v>
      </c>
      <c r="C34" s="217">
        <v>122.0</v>
      </c>
      <c r="D34" s="218" t="s">
        <v>119</v>
      </c>
      <c r="E34" s="200" t="s">
        <v>140</v>
      </c>
      <c r="F34" s="45">
        <v>1.0</v>
      </c>
      <c r="G34" s="201">
        <v>122.0</v>
      </c>
      <c r="H34" s="17"/>
      <c r="I34" s="202" t="s">
        <v>139</v>
      </c>
      <c r="J34" s="17">
        <v>1.0</v>
      </c>
      <c r="K34" s="203">
        <v>124.0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219" t="s">
        <v>138</v>
      </c>
      <c r="B35" s="219">
        <v>0.0</v>
      </c>
      <c r="C35" s="220">
        <v>148.0</v>
      </c>
      <c r="D35" s="221" t="s">
        <v>128</v>
      </c>
      <c r="E35" s="200" t="s">
        <v>138</v>
      </c>
      <c r="F35" s="45">
        <v>0.0</v>
      </c>
      <c r="G35" s="201">
        <v>148.0</v>
      </c>
      <c r="H35" s="17"/>
      <c r="I35" s="202" t="s">
        <v>141</v>
      </c>
      <c r="J35" s="17">
        <v>0.0</v>
      </c>
      <c r="K35" s="203">
        <v>124.0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219" t="s">
        <v>141</v>
      </c>
      <c r="B36" s="219">
        <v>0.0</v>
      </c>
      <c r="C36" s="220">
        <v>124.0</v>
      </c>
      <c r="D36" s="221" t="s">
        <v>123</v>
      </c>
      <c r="E36" s="200" t="s">
        <v>141</v>
      </c>
      <c r="F36" s="45">
        <v>0.0</v>
      </c>
      <c r="G36" s="201">
        <v>124.0</v>
      </c>
      <c r="H36" s="17"/>
      <c r="I36" s="202" t="s">
        <v>140</v>
      </c>
      <c r="J36" s="17">
        <v>1.0</v>
      </c>
      <c r="K36" s="203">
        <v>122.0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219" t="s">
        <v>142</v>
      </c>
      <c r="B37" s="219">
        <v>0.0</v>
      </c>
      <c r="C37" s="220">
        <v>108.0</v>
      </c>
      <c r="D37" s="221" t="s">
        <v>121</v>
      </c>
      <c r="E37" s="200" t="s">
        <v>142</v>
      </c>
      <c r="F37" s="45">
        <v>0.0</v>
      </c>
      <c r="G37" s="201">
        <v>108.0</v>
      </c>
      <c r="H37" s="17"/>
      <c r="I37" s="202" t="s">
        <v>142</v>
      </c>
      <c r="J37" s="17">
        <v>0.0</v>
      </c>
      <c r="K37" s="203">
        <v>108.0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219" t="s">
        <v>143</v>
      </c>
      <c r="B38" s="219">
        <v>0.0</v>
      </c>
      <c r="C38" s="220">
        <v>50.0</v>
      </c>
      <c r="D38" s="221" t="s">
        <v>125</v>
      </c>
      <c r="E38" s="200" t="s">
        <v>143</v>
      </c>
      <c r="F38" s="45">
        <v>0.0</v>
      </c>
      <c r="G38" s="201">
        <v>50.0</v>
      </c>
      <c r="H38" s="17"/>
      <c r="I38" s="202" t="s">
        <v>143</v>
      </c>
      <c r="J38" s="17">
        <v>0.0</v>
      </c>
      <c r="K38" s="203">
        <v>50.0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222"/>
      <c r="B39" s="222"/>
      <c r="C39" s="223"/>
      <c r="D39" s="222"/>
      <c r="E39" s="224"/>
      <c r="F39" s="225"/>
      <c r="G39" s="226"/>
      <c r="H39" s="222"/>
      <c r="I39" s="227"/>
      <c r="J39" s="222"/>
      <c r="K39" s="223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Y39" s="222"/>
      <c r="Z39" s="222"/>
    </row>
    <row r="40">
      <c r="A40" s="222"/>
      <c r="B40" s="222"/>
      <c r="C40" s="223"/>
      <c r="D40" s="222"/>
      <c r="E40" s="224"/>
      <c r="F40" s="225"/>
      <c r="G40" s="226"/>
      <c r="H40" s="222"/>
      <c r="I40" s="227"/>
      <c r="J40" s="222"/>
      <c r="K40" s="223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Y40" s="222"/>
      <c r="Z40" s="222"/>
    </row>
    <row r="41">
      <c r="A41" s="222"/>
      <c r="B41" s="222"/>
      <c r="C41" s="223"/>
      <c r="D41" s="222"/>
      <c r="E41" s="228"/>
      <c r="F41" s="222"/>
      <c r="G41" s="223"/>
      <c r="H41" s="222"/>
      <c r="I41" s="227"/>
      <c r="J41" s="222"/>
      <c r="K41" s="223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Y41" s="222"/>
      <c r="Z41" s="222"/>
    </row>
    <row r="42">
      <c r="A42" s="222"/>
      <c r="B42" s="222"/>
      <c r="C42" s="223"/>
      <c r="D42" s="222"/>
      <c r="E42" s="228"/>
      <c r="F42" s="222"/>
      <c r="G42" s="223"/>
      <c r="H42" s="222"/>
      <c r="I42" s="227"/>
      <c r="J42" s="222"/>
      <c r="K42" s="223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Y42" s="222"/>
      <c r="Z42" s="222"/>
    </row>
    <row r="43">
      <c r="A43" s="222"/>
      <c r="B43" s="222"/>
      <c r="C43" s="223"/>
      <c r="D43" s="222"/>
      <c r="E43" s="228"/>
      <c r="F43" s="222"/>
      <c r="G43" s="223"/>
      <c r="H43" s="222"/>
      <c r="I43" s="227"/>
      <c r="J43" s="222"/>
      <c r="K43" s="223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Y43" s="222"/>
      <c r="Z43" s="222"/>
    </row>
    <row r="44">
      <c r="A44" s="222"/>
      <c r="B44" s="222"/>
      <c r="C44" s="223"/>
      <c r="D44" s="222"/>
      <c r="E44" s="228"/>
      <c r="F44" s="222"/>
      <c r="G44" s="223"/>
      <c r="H44" s="222"/>
      <c r="I44" s="227"/>
      <c r="J44" s="222"/>
      <c r="K44" s="223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Y44" s="222"/>
      <c r="Z44" s="222"/>
    </row>
    <row r="45">
      <c r="A45" s="222"/>
      <c r="B45" s="222"/>
      <c r="C45" s="223"/>
      <c r="D45" s="222"/>
      <c r="E45" s="228"/>
      <c r="F45" s="222"/>
      <c r="G45" s="223"/>
      <c r="H45" s="222"/>
      <c r="I45" s="227"/>
      <c r="J45" s="222"/>
      <c r="K45" s="223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Y45" s="222"/>
      <c r="Z45" s="222"/>
    </row>
    <row r="46">
      <c r="A46" s="222"/>
      <c r="B46" s="222"/>
      <c r="C46" s="223"/>
      <c r="D46" s="222"/>
      <c r="E46" s="228"/>
      <c r="F46" s="222"/>
      <c r="G46" s="223"/>
      <c r="H46" s="222"/>
      <c r="I46" s="227"/>
      <c r="J46" s="222"/>
      <c r="K46" s="223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Y46" s="222"/>
      <c r="Z46" s="222"/>
    </row>
    <row r="47">
      <c r="A47" s="222"/>
      <c r="B47" s="222"/>
      <c r="C47" s="223"/>
      <c r="D47" s="222"/>
      <c r="E47" s="228"/>
      <c r="F47" s="222"/>
      <c r="G47" s="223"/>
      <c r="H47" s="222"/>
      <c r="I47" s="227"/>
      <c r="J47" s="222"/>
      <c r="K47" s="223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Y47" s="222"/>
      <c r="Z47" s="222"/>
    </row>
    <row r="48">
      <c r="A48" s="222"/>
      <c r="B48" s="222"/>
      <c r="C48" s="223"/>
      <c r="D48" s="222"/>
      <c r="E48" s="228"/>
      <c r="F48" s="222"/>
      <c r="G48" s="223"/>
      <c r="H48" s="222"/>
      <c r="I48" s="227"/>
      <c r="J48" s="222"/>
      <c r="K48" s="223"/>
      <c r="L48" s="222"/>
      <c r="M48" s="222"/>
      <c r="N48" s="222"/>
      <c r="O48" s="222"/>
      <c r="P48" s="222"/>
      <c r="Q48" s="222"/>
      <c r="R48" s="222"/>
      <c r="S48" s="222"/>
      <c r="T48" s="222"/>
      <c r="U48" s="222"/>
      <c r="V48" s="222"/>
      <c r="W48" s="222"/>
      <c r="X48" s="222"/>
      <c r="Y48" s="222"/>
      <c r="Z48" s="222"/>
    </row>
    <row r="49">
      <c r="A49" s="222"/>
      <c r="B49" s="222"/>
      <c r="C49" s="223"/>
      <c r="D49" s="222"/>
      <c r="E49" s="228"/>
      <c r="F49" s="222"/>
      <c r="G49" s="223"/>
      <c r="H49" s="222"/>
      <c r="I49" s="227"/>
      <c r="J49" s="222"/>
      <c r="K49" s="223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Y49" s="222"/>
      <c r="Z49" s="222"/>
    </row>
    <row r="50">
      <c r="A50" s="222"/>
      <c r="B50" s="222"/>
      <c r="C50" s="223"/>
      <c r="D50" s="222"/>
      <c r="E50" s="228"/>
      <c r="F50" s="222"/>
      <c r="G50" s="223"/>
      <c r="H50" s="222"/>
      <c r="I50" s="227"/>
      <c r="J50" s="222"/>
      <c r="K50" s="223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Y50" s="222"/>
      <c r="Z50" s="222"/>
    </row>
    <row r="51">
      <c r="A51" s="222"/>
      <c r="B51" s="222"/>
      <c r="C51" s="223"/>
      <c r="D51" s="222"/>
      <c r="E51" s="228"/>
      <c r="F51" s="222"/>
      <c r="G51" s="223"/>
      <c r="H51" s="222"/>
      <c r="I51" s="227"/>
      <c r="J51" s="222"/>
      <c r="K51" s="223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</row>
    <row r="52">
      <c r="A52" s="222"/>
      <c r="B52" s="222"/>
      <c r="C52" s="223"/>
      <c r="D52" s="222"/>
      <c r="E52" s="228"/>
      <c r="F52" s="222"/>
      <c r="G52" s="223"/>
      <c r="H52" s="222"/>
      <c r="I52" s="227"/>
      <c r="J52" s="222"/>
      <c r="K52" s="223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Y52" s="222"/>
      <c r="Z52" s="222"/>
    </row>
    <row r="53">
      <c r="A53" s="222"/>
      <c r="B53" s="222"/>
      <c r="C53" s="223"/>
      <c r="D53" s="222"/>
      <c r="E53" s="228"/>
      <c r="F53" s="222"/>
      <c r="G53" s="223"/>
      <c r="H53" s="222"/>
      <c r="I53" s="227"/>
      <c r="J53" s="222"/>
      <c r="K53" s="223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Y53" s="222"/>
      <c r="Z53" s="222"/>
    </row>
    <row r="54">
      <c r="A54" s="222"/>
      <c r="B54" s="222"/>
      <c r="C54" s="223"/>
      <c r="D54" s="222"/>
      <c r="E54" s="228"/>
      <c r="F54" s="222"/>
      <c r="G54" s="223"/>
      <c r="H54" s="222"/>
      <c r="I54" s="227"/>
      <c r="J54" s="222"/>
      <c r="K54" s="223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Y54" s="222"/>
      <c r="Z54" s="222"/>
    </row>
    <row r="55">
      <c r="A55" s="222"/>
      <c r="B55" s="222"/>
      <c r="C55" s="223"/>
      <c r="D55" s="222"/>
      <c r="E55" s="228"/>
      <c r="F55" s="222"/>
      <c r="G55" s="223"/>
      <c r="H55" s="222"/>
      <c r="I55" s="227"/>
      <c r="J55" s="222"/>
      <c r="K55" s="223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Y55" s="222"/>
      <c r="Z55" s="222"/>
    </row>
    <row r="56">
      <c r="A56" s="222"/>
      <c r="B56" s="222"/>
      <c r="C56" s="223"/>
      <c r="D56" s="222"/>
      <c r="E56" s="228"/>
      <c r="F56" s="222"/>
      <c r="G56" s="223"/>
      <c r="H56" s="222"/>
      <c r="I56" s="227"/>
      <c r="J56" s="222"/>
      <c r="K56" s="223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Y56" s="222"/>
      <c r="Z56" s="222"/>
    </row>
    <row r="57">
      <c r="A57" s="222"/>
      <c r="B57" s="222"/>
      <c r="C57" s="223"/>
      <c r="D57" s="222"/>
      <c r="E57" s="228"/>
      <c r="F57" s="222"/>
      <c r="G57" s="223"/>
      <c r="H57" s="222"/>
      <c r="I57" s="227"/>
      <c r="J57" s="222"/>
      <c r="K57" s="223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Y57" s="222"/>
      <c r="Z57" s="222"/>
    </row>
    <row r="58">
      <c r="A58" s="222"/>
      <c r="B58" s="222"/>
      <c r="C58" s="223"/>
      <c r="D58" s="222"/>
      <c r="E58" s="228"/>
      <c r="F58" s="222"/>
      <c r="G58" s="223"/>
      <c r="H58" s="222"/>
      <c r="I58" s="227"/>
      <c r="J58" s="222"/>
      <c r="K58" s="223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Y58" s="222"/>
      <c r="Z58" s="222"/>
    </row>
    <row r="59">
      <c r="A59" s="222"/>
      <c r="B59" s="222"/>
      <c r="C59" s="223"/>
      <c r="D59" s="222"/>
      <c r="E59" s="228"/>
      <c r="F59" s="222"/>
      <c r="G59" s="223"/>
      <c r="H59" s="222"/>
      <c r="I59" s="227"/>
      <c r="J59" s="222"/>
      <c r="K59" s="223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Y59" s="222"/>
      <c r="Z59" s="222"/>
    </row>
    <row r="60">
      <c r="A60" s="222"/>
      <c r="B60" s="222"/>
      <c r="C60" s="223"/>
      <c r="D60" s="222"/>
      <c r="E60" s="228"/>
      <c r="F60" s="222"/>
      <c r="G60" s="223"/>
      <c r="H60" s="222"/>
      <c r="I60" s="227"/>
      <c r="J60" s="222"/>
      <c r="K60" s="223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Y60" s="222"/>
      <c r="Z60" s="222"/>
    </row>
    <row r="61">
      <c r="A61" s="17"/>
      <c r="B61" s="17"/>
      <c r="C61" s="203"/>
      <c r="D61" s="17"/>
      <c r="E61" s="229"/>
      <c r="F61" s="17"/>
      <c r="G61" s="203"/>
      <c r="H61" s="17"/>
      <c r="I61" s="202"/>
      <c r="J61" s="17"/>
      <c r="K61" s="203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203"/>
      <c r="D62" s="17"/>
      <c r="E62" s="229"/>
      <c r="F62" s="17"/>
      <c r="G62" s="203"/>
      <c r="H62" s="17"/>
      <c r="I62" s="202"/>
      <c r="J62" s="17"/>
      <c r="K62" s="203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203"/>
      <c r="D63" s="17"/>
      <c r="E63" s="229"/>
      <c r="F63" s="17"/>
      <c r="G63" s="203"/>
      <c r="H63" s="17"/>
      <c r="I63" s="202"/>
      <c r="J63" s="17"/>
      <c r="K63" s="203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203"/>
      <c r="D64" s="17"/>
      <c r="E64" s="229"/>
      <c r="F64" s="17"/>
      <c r="G64" s="203"/>
      <c r="H64" s="17"/>
      <c r="I64" s="202"/>
      <c r="J64" s="17"/>
      <c r="K64" s="203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203"/>
      <c r="D65" s="17"/>
      <c r="E65" s="229"/>
      <c r="F65" s="17"/>
      <c r="G65" s="203"/>
      <c r="H65" s="17"/>
      <c r="I65" s="202"/>
      <c r="J65" s="17"/>
      <c r="K65" s="203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203"/>
      <c r="D66" s="17"/>
      <c r="E66" s="229"/>
      <c r="F66" s="17"/>
      <c r="G66" s="203"/>
      <c r="H66" s="17"/>
      <c r="I66" s="202"/>
      <c r="J66" s="17"/>
      <c r="K66" s="203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203"/>
      <c r="D67" s="17"/>
      <c r="E67" s="229"/>
      <c r="F67" s="17"/>
      <c r="G67" s="203"/>
      <c r="H67" s="17"/>
      <c r="I67" s="202"/>
      <c r="J67" s="17"/>
      <c r="K67" s="203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203"/>
      <c r="D68" s="17"/>
      <c r="E68" s="229"/>
      <c r="F68" s="17"/>
      <c r="G68" s="203"/>
      <c r="H68" s="17"/>
      <c r="I68" s="202"/>
      <c r="J68" s="17"/>
      <c r="K68" s="203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203"/>
      <c r="D69" s="17"/>
      <c r="E69" s="229"/>
      <c r="F69" s="17"/>
      <c r="G69" s="203"/>
      <c r="H69" s="17"/>
      <c r="I69" s="202"/>
      <c r="J69" s="17"/>
      <c r="K69" s="203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203"/>
      <c r="D70" s="17"/>
      <c r="E70" s="229"/>
      <c r="F70" s="17"/>
      <c r="G70" s="203"/>
      <c r="H70" s="17"/>
      <c r="I70" s="202"/>
      <c r="J70" s="17"/>
      <c r="K70" s="203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203"/>
      <c r="D71" s="17"/>
      <c r="E71" s="229"/>
      <c r="F71" s="17"/>
      <c r="G71" s="203"/>
      <c r="H71" s="17"/>
      <c r="I71" s="202"/>
      <c r="J71" s="17"/>
      <c r="K71" s="203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203"/>
      <c r="D72" s="17"/>
      <c r="E72" s="229"/>
      <c r="F72" s="17"/>
      <c r="G72" s="203"/>
      <c r="H72" s="17"/>
      <c r="I72" s="202"/>
      <c r="J72" s="17"/>
      <c r="K72" s="203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203"/>
      <c r="D73" s="17"/>
      <c r="E73" s="229"/>
      <c r="F73" s="17"/>
      <c r="G73" s="203"/>
      <c r="H73" s="17"/>
      <c r="I73" s="202"/>
      <c r="J73" s="17"/>
      <c r="K73" s="203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203"/>
      <c r="D74" s="17"/>
      <c r="E74" s="229"/>
      <c r="F74" s="17"/>
      <c r="G74" s="203"/>
      <c r="H74" s="17"/>
      <c r="I74" s="202"/>
      <c r="J74" s="17"/>
      <c r="K74" s="203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203"/>
      <c r="D75" s="17"/>
      <c r="E75" s="229"/>
      <c r="F75" s="17"/>
      <c r="G75" s="203"/>
      <c r="H75" s="17"/>
      <c r="I75" s="202"/>
      <c r="J75" s="17"/>
      <c r="K75" s="203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203"/>
      <c r="D76" s="17"/>
      <c r="E76" s="229"/>
      <c r="F76" s="17"/>
      <c r="G76" s="203"/>
      <c r="H76" s="17"/>
      <c r="I76" s="202"/>
      <c r="J76" s="17"/>
      <c r="K76" s="203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203"/>
      <c r="D77" s="17"/>
      <c r="E77" s="229"/>
      <c r="F77" s="17"/>
      <c r="G77" s="203"/>
      <c r="H77" s="17"/>
      <c r="I77" s="202"/>
      <c r="J77" s="17"/>
      <c r="K77" s="203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203"/>
      <c r="D78" s="17"/>
      <c r="E78" s="229"/>
      <c r="F78" s="17"/>
      <c r="G78" s="203"/>
      <c r="H78" s="17"/>
      <c r="I78" s="202"/>
      <c r="J78" s="17"/>
      <c r="K78" s="203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203"/>
      <c r="D79" s="17"/>
      <c r="E79" s="229"/>
      <c r="F79" s="17"/>
      <c r="G79" s="203"/>
      <c r="H79" s="17"/>
      <c r="I79" s="202"/>
      <c r="J79" s="17"/>
      <c r="K79" s="203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203"/>
      <c r="D80" s="17"/>
      <c r="E80" s="229"/>
      <c r="F80" s="17"/>
      <c r="G80" s="203"/>
      <c r="H80" s="17"/>
      <c r="I80" s="202"/>
      <c r="J80" s="17"/>
      <c r="K80" s="203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203"/>
      <c r="D81" s="17"/>
      <c r="E81" s="229"/>
      <c r="F81" s="17"/>
      <c r="G81" s="203"/>
      <c r="H81" s="17"/>
      <c r="I81" s="202"/>
      <c r="J81" s="17"/>
      <c r="K81" s="203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203"/>
      <c r="D82" s="17"/>
      <c r="E82" s="229"/>
      <c r="F82" s="17"/>
      <c r="G82" s="203"/>
      <c r="H82" s="17"/>
      <c r="I82" s="202"/>
      <c r="J82" s="17"/>
      <c r="K82" s="203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203"/>
      <c r="D83" s="17"/>
      <c r="E83" s="229"/>
      <c r="F83" s="17"/>
      <c r="G83" s="203"/>
      <c r="H83" s="17"/>
      <c r="I83" s="202"/>
      <c r="J83" s="17"/>
      <c r="K83" s="203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203"/>
      <c r="D84" s="17"/>
      <c r="E84" s="229"/>
      <c r="F84" s="17"/>
      <c r="G84" s="203"/>
      <c r="H84" s="17"/>
      <c r="I84" s="202"/>
      <c r="J84" s="17"/>
      <c r="K84" s="203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203"/>
      <c r="D85" s="17"/>
      <c r="E85" s="229"/>
      <c r="F85" s="17"/>
      <c r="G85" s="203"/>
      <c r="H85" s="17"/>
      <c r="I85" s="202"/>
      <c r="J85" s="17"/>
      <c r="K85" s="203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203"/>
      <c r="D86" s="17"/>
      <c r="E86" s="229"/>
      <c r="F86" s="17"/>
      <c r="G86" s="203"/>
      <c r="H86" s="17"/>
      <c r="I86" s="202"/>
      <c r="J86" s="17"/>
      <c r="K86" s="203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203"/>
      <c r="D87" s="17"/>
      <c r="E87" s="229"/>
      <c r="F87" s="17"/>
      <c r="G87" s="203"/>
      <c r="H87" s="17"/>
      <c r="I87" s="202"/>
      <c r="J87" s="17"/>
      <c r="K87" s="203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203"/>
      <c r="D88" s="17"/>
      <c r="E88" s="229"/>
      <c r="F88" s="17"/>
      <c r="G88" s="203"/>
      <c r="H88" s="17"/>
      <c r="I88" s="202"/>
      <c r="J88" s="17"/>
      <c r="K88" s="203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203"/>
      <c r="D89" s="17"/>
      <c r="E89" s="229"/>
      <c r="F89" s="17"/>
      <c r="G89" s="203"/>
      <c r="H89" s="17"/>
      <c r="I89" s="202"/>
      <c r="J89" s="17"/>
      <c r="K89" s="203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203"/>
      <c r="D90" s="17"/>
      <c r="E90" s="229"/>
      <c r="F90" s="17"/>
      <c r="G90" s="203"/>
      <c r="H90" s="17"/>
      <c r="I90" s="202"/>
      <c r="J90" s="17"/>
      <c r="K90" s="203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203"/>
      <c r="D91" s="17"/>
      <c r="E91" s="229"/>
      <c r="F91" s="17"/>
      <c r="G91" s="203"/>
      <c r="H91" s="17"/>
      <c r="I91" s="202"/>
      <c r="J91" s="17"/>
      <c r="K91" s="203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203"/>
      <c r="D92" s="17"/>
      <c r="E92" s="229"/>
      <c r="F92" s="17"/>
      <c r="G92" s="203"/>
      <c r="H92" s="17"/>
      <c r="I92" s="202"/>
      <c r="J92" s="17"/>
      <c r="K92" s="203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203"/>
      <c r="D93" s="17"/>
      <c r="E93" s="229"/>
      <c r="F93" s="17"/>
      <c r="G93" s="203"/>
      <c r="H93" s="17"/>
      <c r="I93" s="202"/>
      <c r="J93" s="17"/>
      <c r="K93" s="203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203"/>
      <c r="D94" s="17"/>
      <c r="E94" s="229"/>
      <c r="F94" s="17"/>
      <c r="G94" s="203"/>
      <c r="H94" s="17"/>
      <c r="I94" s="202"/>
      <c r="J94" s="17"/>
      <c r="K94" s="203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203"/>
      <c r="D95" s="17"/>
      <c r="E95" s="229"/>
      <c r="F95" s="17"/>
      <c r="G95" s="203"/>
      <c r="H95" s="17"/>
      <c r="I95" s="202"/>
      <c r="J95" s="17"/>
      <c r="K95" s="203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203"/>
      <c r="D96" s="17"/>
      <c r="E96" s="229"/>
      <c r="F96" s="17"/>
      <c r="G96" s="203"/>
      <c r="H96" s="17"/>
      <c r="I96" s="202"/>
      <c r="J96" s="17"/>
      <c r="K96" s="203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203"/>
      <c r="D97" s="17"/>
      <c r="E97" s="229"/>
      <c r="F97" s="17"/>
      <c r="G97" s="203"/>
      <c r="H97" s="17"/>
      <c r="I97" s="202"/>
      <c r="J97" s="17"/>
      <c r="K97" s="203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203"/>
      <c r="D98" s="17"/>
      <c r="E98" s="229"/>
      <c r="F98" s="17"/>
      <c r="G98" s="203"/>
      <c r="H98" s="17"/>
      <c r="I98" s="202"/>
      <c r="J98" s="17"/>
      <c r="K98" s="203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203"/>
      <c r="D99" s="17"/>
      <c r="E99" s="229"/>
      <c r="F99" s="17"/>
      <c r="G99" s="203"/>
      <c r="H99" s="17"/>
      <c r="I99" s="202"/>
      <c r="J99" s="17"/>
      <c r="K99" s="203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203"/>
      <c r="D100" s="17"/>
      <c r="E100" s="229"/>
      <c r="F100" s="17"/>
      <c r="G100" s="203"/>
      <c r="H100" s="17"/>
      <c r="I100" s="202"/>
      <c r="J100" s="17"/>
      <c r="K100" s="203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203"/>
      <c r="D101" s="17"/>
      <c r="E101" s="229"/>
      <c r="F101" s="17"/>
      <c r="G101" s="203"/>
      <c r="H101" s="17"/>
      <c r="I101" s="202"/>
      <c r="J101" s="17"/>
      <c r="K101" s="203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203"/>
      <c r="D102" s="17"/>
      <c r="E102" s="229"/>
      <c r="F102" s="17"/>
      <c r="G102" s="203"/>
      <c r="H102" s="17"/>
      <c r="I102" s="202"/>
      <c r="J102" s="17"/>
      <c r="K102" s="203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203"/>
      <c r="D103" s="17"/>
      <c r="E103" s="229"/>
      <c r="F103" s="17"/>
      <c r="G103" s="203"/>
      <c r="H103" s="17"/>
      <c r="I103" s="202"/>
      <c r="J103" s="17"/>
      <c r="K103" s="203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203"/>
      <c r="D104" s="17"/>
      <c r="E104" s="229"/>
      <c r="F104" s="17"/>
      <c r="G104" s="203"/>
      <c r="H104" s="17"/>
      <c r="I104" s="202"/>
      <c r="J104" s="17"/>
      <c r="K104" s="203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203"/>
      <c r="D105" s="17"/>
      <c r="E105" s="229"/>
      <c r="F105" s="17"/>
      <c r="G105" s="203"/>
      <c r="H105" s="17"/>
      <c r="I105" s="202"/>
      <c r="J105" s="17"/>
      <c r="K105" s="203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203"/>
      <c r="D106" s="17"/>
      <c r="E106" s="229"/>
      <c r="F106" s="17"/>
      <c r="G106" s="203"/>
      <c r="H106" s="17"/>
      <c r="I106" s="202"/>
      <c r="J106" s="17"/>
      <c r="K106" s="203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203"/>
      <c r="D107" s="17"/>
      <c r="E107" s="229"/>
      <c r="F107" s="17"/>
      <c r="G107" s="203"/>
      <c r="H107" s="17"/>
      <c r="I107" s="202"/>
      <c r="J107" s="17"/>
      <c r="K107" s="203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203"/>
      <c r="D108" s="17"/>
      <c r="E108" s="229"/>
      <c r="F108" s="17"/>
      <c r="G108" s="203"/>
      <c r="H108" s="17"/>
      <c r="I108" s="202"/>
      <c r="J108" s="17"/>
      <c r="K108" s="203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203"/>
      <c r="D109" s="17"/>
      <c r="E109" s="229"/>
      <c r="F109" s="17"/>
      <c r="G109" s="203"/>
      <c r="H109" s="17"/>
      <c r="I109" s="202"/>
      <c r="J109" s="17"/>
      <c r="K109" s="203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203"/>
      <c r="D110" s="17"/>
      <c r="E110" s="229"/>
      <c r="F110" s="17"/>
      <c r="G110" s="203"/>
      <c r="H110" s="17"/>
      <c r="I110" s="202"/>
      <c r="J110" s="17"/>
      <c r="K110" s="203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203"/>
      <c r="D111" s="17"/>
      <c r="E111" s="229"/>
      <c r="F111" s="17"/>
      <c r="G111" s="203"/>
      <c r="H111" s="17"/>
      <c r="I111" s="202"/>
      <c r="J111" s="17"/>
      <c r="K111" s="203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203"/>
      <c r="D112" s="17"/>
      <c r="E112" s="229"/>
      <c r="F112" s="17"/>
      <c r="G112" s="203"/>
      <c r="H112" s="17"/>
      <c r="I112" s="202"/>
      <c r="J112" s="17"/>
      <c r="K112" s="203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203"/>
      <c r="D113" s="17"/>
      <c r="E113" s="229"/>
      <c r="F113" s="17"/>
      <c r="G113" s="203"/>
      <c r="H113" s="17"/>
      <c r="I113" s="202"/>
      <c r="J113" s="17"/>
      <c r="K113" s="203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203"/>
      <c r="D114" s="17"/>
      <c r="E114" s="229"/>
      <c r="F114" s="17"/>
      <c r="G114" s="203"/>
      <c r="H114" s="17"/>
      <c r="I114" s="202"/>
      <c r="J114" s="17"/>
      <c r="K114" s="203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203"/>
      <c r="D115" s="17"/>
      <c r="E115" s="229"/>
      <c r="F115" s="17"/>
      <c r="G115" s="203"/>
      <c r="H115" s="17"/>
      <c r="I115" s="202"/>
      <c r="J115" s="17"/>
      <c r="K115" s="203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203"/>
      <c r="D116" s="17"/>
      <c r="E116" s="229"/>
      <c r="F116" s="17"/>
      <c r="G116" s="203"/>
      <c r="H116" s="17"/>
      <c r="I116" s="202"/>
      <c r="J116" s="17"/>
      <c r="K116" s="203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203"/>
      <c r="D117" s="17"/>
      <c r="E117" s="229"/>
      <c r="F117" s="17"/>
      <c r="G117" s="203"/>
      <c r="H117" s="17"/>
      <c r="I117" s="202"/>
      <c r="J117" s="17"/>
      <c r="K117" s="203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203"/>
      <c r="D118" s="17"/>
      <c r="E118" s="229"/>
      <c r="F118" s="17"/>
      <c r="G118" s="203"/>
      <c r="H118" s="17"/>
      <c r="I118" s="202"/>
      <c r="J118" s="17"/>
      <c r="K118" s="203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203"/>
      <c r="D119" s="17"/>
      <c r="E119" s="229"/>
      <c r="F119" s="17"/>
      <c r="G119" s="203"/>
      <c r="H119" s="17"/>
      <c r="I119" s="202"/>
      <c r="J119" s="17"/>
      <c r="K119" s="203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203"/>
      <c r="D120" s="17"/>
      <c r="E120" s="229"/>
      <c r="F120" s="17"/>
      <c r="G120" s="203"/>
      <c r="H120" s="17"/>
      <c r="I120" s="202"/>
      <c r="J120" s="17"/>
      <c r="K120" s="203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203"/>
      <c r="D121" s="17"/>
      <c r="E121" s="229"/>
      <c r="F121" s="17"/>
      <c r="G121" s="203"/>
      <c r="H121" s="17"/>
      <c r="I121" s="202"/>
      <c r="J121" s="17"/>
      <c r="K121" s="203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203"/>
      <c r="D122" s="17"/>
      <c r="E122" s="229"/>
      <c r="F122" s="17"/>
      <c r="G122" s="203"/>
      <c r="H122" s="17"/>
      <c r="I122" s="202"/>
      <c r="J122" s="17"/>
      <c r="K122" s="203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203"/>
      <c r="D123" s="17"/>
      <c r="E123" s="229"/>
      <c r="F123" s="17"/>
      <c r="G123" s="203"/>
      <c r="H123" s="17"/>
      <c r="I123" s="202"/>
      <c r="J123" s="17"/>
      <c r="K123" s="203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203"/>
      <c r="D124" s="17"/>
      <c r="E124" s="229"/>
      <c r="F124" s="17"/>
      <c r="G124" s="203"/>
      <c r="H124" s="17"/>
      <c r="I124" s="202"/>
      <c r="J124" s="17"/>
      <c r="K124" s="203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203"/>
      <c r="D125" s="17"/>
      <c r="E125" s="229"/>
      <c r="F125" s="17"/>
      <c r="G125" s="203"/>
      <c r="H125" s="17"/>
      <c r="I125" s="202"/>
      <c r="J125" s="17"/>
      <c r="K125" s="203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203"/>
      <c r="D126" s="17"/>
      <c r="E126" s="229"/>
      <c r="F126" s="17"/>
      <c r="G126" s="203"/>
      <c r="H126" s="17"/>
      <c r="I126" s="202"/>
      <c r="J126" s="17"/>
      <c r="K126" s="203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203"/>
      <c r="D127" s="17"/>
      <c r="E127" s="229"/>
      <c r="F127" s="17"/>
      <c r="G127" s="203"/>
      <c r="H127" s="17"/>
      <c r="I127" s="202"/>
      <c r="J127" s="17"/>
      <c r="K127" s="203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203"/>
      <c r="D128" s="17"/>
      <c r="E128" s="229"/>
      <c r="F128" s="17"/>
      <c r="G128" s="203"/>
      <c r="H128" s="17"/>
      <c r="I128" s="202"/>
      <c r="J128" s="17"/>
      <c r="K128" s="203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203"/>
      <c r="D129" s="17"/>
      <c r="E129" s="229"/>
      <c r="F129" s="17"/>
      <c r="G129" s="203"/>
      <c r="H129" s="17"/>
      <c r="I129" s="202"/>
      <c r="J129" s="17"/>
      <c r="K129" s="203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203"/>
      <c r="D130" s="17"/>
      <c r="E130" s="229"/>
      <c r="F130" s="17"/>
      <c r="G130" s="203"/>
      <c r="H130" s="17"/>
      <c r="I130" s="202"/>
      <c r="J130" s="17"/>
      <c r="K130" s="203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203"/>
      <c r="D131" s="17"/>
      <c r="E131" s="229"/>
      <c r="F131" s="17"/>
      <c r="G131" s="203"/>
      <c r="H131" s="17"/>
      <c r="I131" s="202"/>
      <c r="J131" s="17"/>
      <c r="K131" s="203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203"/>
      <c r="D132" s="17"/>
      <c r="E132" s="229"/>
      <c r="F132" s="17"/>
      <c r="G132" s="203"/>
      <c r="H132" s="17"/>
      <c r="I132" s="202"/>
      <c r="J132" s="17"/>
      <c r="K132" s="203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203"/>
      <c r="D133" s="17"/>
      <c r="E133" s="229"/>
      <c r="F133" s="17"/>
      <c r="G133" s="203"/>
      <c r="H133" s="17"/>
      <c r="I133" s="202"/>
      <c r="J133" s="17"/>
      <c r="K133" s="203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203"/>
      <c r="D134" s="17"/>
      <c r="E134" s="229"/>
      <c r="F134" s="17"/>
      <c r="G134" s="203"/>
      <c r="H134" s="17"/>
      <c r="I134" s="202"/>
      <c r="J134" s="17"/>
      <c r="K134" s="203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203"/>
      <c r="D135" s="17"/>
      <c r="E135" s="229"/>
      <c r="F135" s="17"/>
      <c r="G135" s="203"/>
      <c r="H135" s="17"/>
      <c r="I135" s="202"/>
      <c r="J135" s="17"/>
      <c r="K135" s="203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203"/>
      <c r="D136" s="17"/>
      <c r="E136" s="229"/>
      <c r="F136" s="17"/>
      <c r="G136" s="203"/>
      <c r="H136" s="17"/>
      <c r="I136" s="202"/>
      <c r="J136" s="17"/>
      <c r="K136" s="203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203"/>
      <c r="D137" s="17"/>
      <c r="E137" s="229"/>
      <c r="F137" s="17"/>
      <c r="G137" s="203"/>
      <c r="H137" s="17"/>
      <c r="I137" s="202"/>
      <c r="J137" s="17"/>
      <c r="K137" s="203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203"/>
      <c r="D138" s="17"/>
      <c r="E138" s="229"/>
      <c r="F138" s="17"/>
      <c r="G138" s="203"/>
      <c r="H138" s="17"/>
      <c r="I138" s="202"/>
      <c r="J138" s="17"/>
      <c r="K138" s="203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203"/>
      <c r="D139" s="17"/>
      <c r="E139" s="229"/>
      <c r="F139" s="17"/>
      <c r="G139" s="203"/>
      <c r="H139" s="17"/>
      <c r="I139" s="202"/>
      <c r="J139" s="17"/>
      <c r="K139" s="203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203"/>
      <c r="D140" s="17"/>
      <c r="E140" s="229"/>
      <c r="F140" s="17"/>
      <c r="G140" s="203"/>
      <c r="H140" s="17"/>
      <c r="I140" s="202"/>
      <c r="J140" s="17"/>
      <c r="K140" s="203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203"/>
      <c r="D141" s="17"/>
      <c r="E141" s="229"/>
      <c r="F141" s="17"/>
      <c r="G141" s="203"/>
      <c r="H141" s="17"/>
      <c r="I141" s="202"/>
      <c r="J141" s="17"/>
      <c r="K141" s="203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203"/>
      <c r="D142" s="17"/>
      <c r="E142" s="229"/>
      <c r="F142" s="17"/>
      <c r="G142" s="203"/>
      <c r="H142" s="17"/>
      <c r="I142" s="202"/>
      <c r="J142" s="17"/>
      <c r="K142" s="203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203"/>
      <c r="D143" s="17"/>
      <c r="E143" s="229"/>
      <c r="F143" s="17"/>
      <c r="G143" s="203"/>
      <c r="H143" s="17"/>
      <c r="I143" s="202"/>
      <c r="J143" s="17"/>
      <c r="K143" s="203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203"/>
      <c r="D144" s="17"/>
      <c r="E144" s="229"/>
      <c r="F144" s="17"/>
      <c r="G144" s="203"/>
      <c r="H144" s="17"/>
      <c r="I144" s="202"/>
      <c r="J144" s="17"/>
      <c r="K144" s="203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203"/>
      <c r="D145" s="17"/>
      <c r="E145" s="229"/>
      <c r="F145" s="17"/>
      <c r="G145" s="203"/>
      <c r="H145" s="17"/>
      <c r="I145" s="202"/>
      <c r="J145" s="17"/>
      <c r="K145" s="203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203"/>
      <c r="D146" s="17"/>
      <c r="E146" s="229"/>
      <c r="F146" s="17"/>
      <c r="G146" s="203"/>
      <c r="H146" s="17"/>
      <c r="I146" s="202"/>
      <c r="J146" s="17"/>
      <c r="K146" s="203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203"/>
      <c r="D147" s="17"/>
      <c r="E147" s="229"/>
      <c r="F147" s="17"/>
      <c r="G147" s="203"/>
      <c r="H147" s="17"/>
      <c r="I147" s="202"/>
      <c r="J147" s="17"/>
      <c r="K147" s="203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203"/>
      <c r="D148" s="17"/>
      <c r="E148" s="229"/>
      <c r="F148" s="17"/>
      <c r="G148" s="203"/>
      <c r="H148" s="17"/>
      <c r="I148" s="202"/>
      <c r="J148" s="17"/>
      <c r="K148" s="203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203"/>
      <c r="D149" s="17"/>
      <c r="E149" s="229"/>
      <c r="F149" s="17"/>
      <c r="G149" s="203"/>
      <c r="H149" s="17"/>
      <c r="I149" s="202"/>
      <c r="J149" s="17"/>
      <c r="K149" s="203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203"/>
      <c r="D150" s="17"/>
      <c r="E150" s="229"/>
      <c r="F150" s="17"/>
      <c r="G150" s="203"/>
      <c r="H150" s="17"/>
      <c r="I150" s="202"/>
      <c r="J150" s="17"/>
      <c r="K150" s="203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203"/>
      <c r="D151" s="17"/>
      <c r="E151" s="229"/>
      <c r="F151" s="17"/>
      <c r="G151" s="203"/>
      <c r="H151" s="17"/>
      <c r="I151" s="202"/>
      <c r="J151" s="17"/>
      <c r="K151" s="203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203"/>
      <c r="D152" s="17"/>
      <c r="E152" s="229"/>
      <c r="F152" s="17"/>
      <c r="G152" s="203"/>
      <c r="H152" s="17"/>
      <c r="I152" s="202"/>
      <c r="J152" s="17"/>
      <c r="K152" s="203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203"/>
      <c r="D153" s="17"/>
      <c r="E153" s="229"/>
      <c r="F153" s="17"/>
      <c r="G153" s="203"/>
      <c r="H153" s="17"/>
      <c r="I153" s="202"/>
      <c r="J153" s="17"/>
      <c r="K153" s="203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203"/>
      <c r="D154" s="17"/>
      <c r="E154" s="229"/>
      <c r="F154" s="17"/>
      <c r="G154" s="203"/>
      <c r="H154" s="17"/>
      <c r="I154" s="202"/>
      <c r="J154" s="17"/>
      <c r="K154" s="203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203"/>
      <c r="D155" s="17"/>
      <c r="E155" s="229"/>
      <c r="F155" s="17"/>
      <c r="G155" s="203"/>
      <c r="H155" s="17"/>
      <c r="I155" s="202"/>
      <c r="J155" s="17"/>
      <c r="K155" s="203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203"/>
      <c r="D156" s="17"/>
      <c r="E156" s="229"/>
      <c r="F156" s="17"/>
      <c r="G156" s="203"/>
      <c r="H156" s="17"/>
      <c r="I156" s="202"/>
      <c r="J156" s="17"/>
      <c r="K156" s="203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203"/>
      <c r="D157" s="17"/>
      <c r="E157" s="229"/>
      <c r="F157" s="17"/>
      <c r="G157" s="203"/>
      <c r="H157" s="17"/>
      <c r="I157" s="202"/>
      <c r="J157" s="17"/>
      <c r="K157" s="203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203"/>
      <c r="D158" s="17"/>
      <c r="E158" s="229"/>
      <c r="F158" s="17"/>
      <c r="G158" s="203"/>
      <c r="H158" s="17"/>
      <c r="I158" s="202"/>
      <c r="J158" s="17"/>
      <c r="K158" s="203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203"/>
      <c r="D159" s="17"/>
      <c r="E159" s="229"/>
      <c r="F159" s="17"/>
      <c r="G159" s="203"/>
      <c r="H159" s="17"/>
      <c r="I159" s="202"/>
      <c r="J159" s="17"/>
      <c r="K159" s="203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203"/>
      <c r="D160" s="17"/>
      <c r="E160" s="229"/>
      <c r="F160" s="17"/>
      <c r="G160" s="203"/>
      <c r="H160" s="17"/>
      <c r="I160" s="202"/>
      <c r="J160" s="17"/>
      <c r="K160" s="203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203"/>
      <c r="D161" s="17"/>
      <c r="E161" s="229"/>
      <c r="F161" s="17"/>
      <c r="G161" s="203"/>
      <c r="H161" s="17"/>
      <c r="I161" s="202"/>
      <c r="J161" s="17"/>
      <c r="K161" s="203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203"/>
      <c r="D162" s="17"/>
      <c r="E162" s="229"/>
      <c r="F162" s="17"/>
      <c r="G162" s="203"/>
      <c r="H162" s="17"/>
      <c r="I162" s="202"/>
      <c r="J162" s="17"/>
      <c r="K162" s="203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203"/>
      <c r="D163" s="17"/>
      <c r="E163" s="229"/>
      <c r="F163" s="17"/>
      <c r="G163" s="203"/>
      <c r="H163" s="17"/>
      <c r="I163" s="202"/>
      <c r="J163" s="17"/>
      <c r="K163" s="203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203"/>
      <c r="D164" s="17"/>
      <c r="E164" s="229"/>
      <c r="F164" s="17"/>
      <c r="G164" s="203"/>
      <c r="H164" s="17"/>
      <c r="I164" s="202"/>
      <c r="J164" s="17"/>
      <c r="K164" s="203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203"/>
      <c r="D165" s="17"/>
      <c r="E165" s="229"/>
      <c r="F165" s="17"/>
      <c r="G165" s="203"/>
      <c r="H165" s="17"/>
      <c r="I165" s="202"/>
      <c r="J165" s="17"/>
      <c r="K165" s="203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203"/>
      <c r="D166" s="17"/>
      <c r="E166" s="229"/>
      <c r="F166" s="17"/>
      <c r="G166" s="203"/>
      <c r="H166" s="17"/>
      <c r="I166" s="202"/>
      <c r="J166" s="17"/>
      <c r="K166" s="203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203"/>
      <c r="D167" s="17"/>
      <c r="E167" s="229"/>
      <c r="F167" s="17"/>
      <c r="G167" s="203"/>
      <c r="H167" s="17"/>
      <c r="I167" s="202"/>
      <c r="J167" s="17"/>
      <c r="K167" s="203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203"/>
      <c r="D168" s="17"/>
      <c r="E168" s="229"/>
      <c r="F168" s="17"/>
      <c r="G168" s="203"/>
      <c r="H168" s="17"/>
      <c r="I168" s="202"/>
      <c r="J168" s="17"/>
      <c r="K168" s="203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203"/>
      <c r="D169" s="17"/>
      <c r="E169" s="229"/>
      <c r="F169" s="17"/>
      <c r="G169" s="203"/>
      <c r="H169" s="17"/>
      <c r="I169" s="202"/>
      <c r="J169" s="17"/>
      <c r="K169" s="203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203"/>
      <c r="D170" s="17"/>
      <c r="E170" s="229"/>
      <c r="F170" s="17"/>
      <c r="G170" s="203"/>
      <c r="H170" s="17"/>
      <c r="I170" s="202"/>
      <c r="J170" s="17"/>
      <c r="K170" s="203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203"/>
      <c r="D171" s="17"/>
      <c r="E171" s="229"/>
      <c r="F171" s="17"/>
      <c r="G171" s="203"/>
      <c r="H171" s="17"/>
      <c r="I171" s="202"/>
      <c r="J171" s="17"/>
      <c r="K171" s="203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203"/>
      <c r="D172" s="17"/>
      <c r="E172" s="229"/>
      <c r="F172" s="17"/>
      <c r="G172" s="203"/>
      <c r="H172" s="17"/>
      <c r="I172" s="202"/>
      <c r="J172" s="17"/>
      <c r="K172" s="203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203"/>
      <c r="D173" s="17"/>
      <c r="E173" s="229"/>
      <c r="F173" s="17"/>
      <c r="G173" s="203"/>
      <c r="H173" s="17"/>
      <c r="I173" s="202"/>
      <c r="J173" s="17"/>
      <c r="K173" s="203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203"/>
      <c r="D174" s="17"/>
      <c r="E174" s="229"/>
      <c r="F174" s="17"/>
      <c r="G174" s="203"/>
      <c r="H174" s="17"/>
      <c r="I174" s="202"/>
      <c r="J174" s="17"/>
      <c r="K174" s="203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203"/>
      <c r="D175" s="17"/>
      <c r="E175" s="229"/>
      <c r="F175" s="17"/>
      <c r="G175" s="203"/>
      <c r="H175" s="17"/>
      <c r="I175" s="202"/>
      <c r="J175" s="17"/>
      <c r="K175" s="203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203"/>
      <c r="D176" s="17"/>
      <c r="E176" s="229"/>
      <c r="F176" s="17"/>
      <c r="G176" s="203"/>
      <c r="H176" s="17"/>
      <c r="I176" s="202"/>
      <c r="J176" s="17"/>
      <c r="K176" s="203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203"/>
      <c r="D177" s="17"/>
      <c r="E177" s="229"/>
      <c r="F177" s="17"/>
      <c r="G177" s="203"/>
      <c r="H177" s="17"/>
      <c r="I177" s="202"/>
      <c r="J177" s="17"/>
      <c r="K177" s="203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203"/>
      <c r="D178" s="17"/>
      <c r="E178" s="229"/>
      <c r="F178" s="17"/>
      <c r="G178" s="203"/>
      <c r="H178" s="17"/>
      <c r="I178" s="202"/>
      <c r="J178" s="17"/>
      <c r="K178" s="203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203"/>
      <c r="D179" s="17"/>
      <c r="E179" s="229"/>
      <c r="F179" s="17"/>
      <c r="G179" s="203"/>
      <c r="H179" s="17"/>
      <c r="I179" s="202"/>
      <c r="J179" s="17"/>
      <c r="K179" s="203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203"/>
      <c r="D180" s="17"/>
      <c r="E180" s="229"/>
      <c r="F180" s="17"/>
      <c r="G180" s="203"/>
      <c r="H180" s="17"/>
      <c r="I180" s="202"/>
      <c r="J180" s="17"/>
      <c r="K180" s="203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203"/>
      <c r="D181" s="17"/>
      <c r="E181" s="229"/>
      <c r="F181" s="17"/>
      <c r="G181" s="203"/>
      <c r="H181" s="17"/>
      <c r="I181" s="202"/>
      <c r="J181" s="17"/>
      <c r="K181" s="203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203"/>
      <c r="D182" s="17"/>
      <c r="E182" s="229"/>
      <c r="F182" s="17"/>
      <c r="G182" s="203"/>
      <c r="H182" s="17"/>
      <c r="I182" s="202"/>
      <c r="J182" s="17"/>
      <c r="K182" s="203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203"/>
      <c r="D183" s="17"/>
      <c r="E183" s="229"/>
      <c r="F183" s="17"/>
      <c r="G183" s="203"/>
      <c r="H183" s="17"/>
      <c r="I183" s="202"/>
      <c r="J183" s="17"/>
      <c r="K183" s="203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203"/>
      <c r="D184" s="17"/>
      <c r="E184" s="229"/>
      <c r="F184" s="17"/>
      <c r="G184" s="203"/>
      <c r="H184" s="17"/>
      <c r="I184" s="202"/>
      <c r="J184" s="17"/>
      <c r="K184" s="203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203"/>
      <c r="D185" s="17"/>
      <c r="E185" s="229"/>
      <c r="F185" s="17"/>
      <c r="G185" s="203"/>
      <c r="H185" s="17"/>
      <c r="I185" s="202"/>
      <c r="J185" s="17"/>
      <c r="K185" s="203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203"/>
      <c r="D186" s="17"/>
      <c r="E186" s="229"/>
      <c r="F186" s="17"/>
      <c r="G186" s="203"/>
      <c r="H186" s="17"/>
      <c r="I186" s="202"/>
      <c r="J186" s="17"/>
      <c r="K186" s="203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203"/>
      <c r="D187" s="17"/>
      <c r="E187" s="229"/>
      <c r="F187" s="17"/>
      <c r="G187" s="203"/>
      <c r="H187" s="17"/>
      <c r="I187" s="202"/>
      <c r="J187" s="17"/>
      <c r="K187" s="203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203"/>
      <c r="D188" s="17"/>
      <c r="E188" s="229"/>
      <c r="F188" s="17"/>
      <c r="G188" s="203"/>
      <c r="H188" s="17"/>
      <c r="I188" s="202"/>
      <c r="J188" s="17"/>
      <c r="K188" s="203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203"/>
      <c r="D189" s="17"/>
      <c r="E189" s="229"/>
      <c r="F189" s="17"/>
      <c r="G189" s="203"/>
      <c r="H189" s="17"/>
      <c r="I189" s="202"/>
      <c r="J189" s="17"/>
      <c r="K189" s="203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203"/>
      <c r="D190" s="17"/>
      <c r="E190" s="229"/>
      <c r="F190" s="17"/>
      <c r="G190" s="203"/>
      <c r="H190" s="17"/>
      <c r="I190" s="202"/>
      <c r="J190" s="17"/>
      <c r="K190" s="203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203"/>
      <c r="D191" s="17"/>
      <c r="E191" s="229"/>
      <c r="F191" s="17"/>
      <c r="G191" s="203"/>
      <c r="H191" s="17"/>
      <c r="I191" s="202"/>
      <c r="J191" s="17"/>
      <c r="K191" s="203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203"/>
      <c r="D192" s="17"/>
      <c r="E192" s="229"/>
      <c r="F192" s="17"/>
      <c r="G192" s="203"/>
      <c r="H192" s="17"/>
      <c r="I192" s="202"/>
      <c r="J192" s="17"/>
      <c r="K192" s="203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203"/>
      <c r="D193" s="17"/>
      <c r="E193" s="229"/>
      <c r="F193" s="17"/>
      <c r="G193" s="203"/>
      <c r="H193" s="17"/>
      <c r="I193" s="202"/>
      <c r="J193" s="17"/>
      <c r="K193" s="203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203"/>
      <c r="D194" s="17"/>
      <c r="E194" s="229"/>
      <c r="F194" s="17"/>
      <c r="G194" s="203"/>
      <c r="H194" s="17"/>
      <c r="I194" s="202"/>
      <c r="J194" s="17"/>
      <c r="K194" s="203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203"/>
      <c r="D195" s="17"/>
      <c r="E195" s="229"/>
      <c r="F195" s="17"/>
      <c r="G195" s="203"/>
      <c r="H195" s="17"/>
      <c r="I195" s="202"/>
      <c r="J195" s="17"/>
      <c r="K195" s="203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203"/>
      <c r="D196" s="17"/>
      <c r="E196" s="229"/>
      <c r="F196" s="17"/>
      <c r="G196" s="203"/>
      <c r="H196" s="17"/>
      <c r="I196" s="202"/>
      <c r="J196" s="17"/>
      <c r="K196" s="203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203"/>
      <c r="D197" s="17"/>
      <c r="E197" s="229"/>
      <c r="F197" s="17"/>
      <c r="G197" s="203"/>
      <c r="H197" s="17"/>
      <c r="I197" s="202"/>
      <c r="J197" s="17"/>
      <c r="K197" s="203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203"/>
      <c r="D198" s="17"/>
      <c r="E198" s="229"/>
      <c r="F198" s="17"/>
      <c r="G198" s="203"/>
      <c r="H198" s="17"/>
      <c r="I198" s="202"/>
      <c r="J198" s="17"/>
      <c r="K198" s="203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203"/>
      <c r="D199" s="17"/>
      <c r="E199" s="229"/>
      <c r="F199" s="17"/>
      <c r="G199" s="203"/>
      <c r="H199" s="17"/>
      <c r="I199" s="202"/>
      <c r="J199" s="17"/>
      <c r="K199" s="203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203"/>
      <c r="D200" s="17"/>
      <c r="E200" s="229"/>
      <c r="F200" s="17"/>
      <c r="G200" s="203"/>
      <c r="H200" s="17"/>
      <c r="I200" s="202"/>
      <c r="J200" s="17"/>
      <c r="K200" s="203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203"/>
      <c r="D201" s="17"/>
      <c r="E201" s="229"/>
      <c r="F201" s="17"/>
      <c r="G201" s="203"/>
      <c r="H201" s="17"/>
      <c r="I201" s="202"/>
      <c r="J201" s="17"/>
      <c r="K201" s="203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203"/>
      <c r="D202" s="17"/>
      <c r="E202" s="229"/>
      <c r="F202" s="17"/>
      <c r="G202" s="203"/>
      <c r="H202" s="17"/>
      <c r="I202" s="202"/>
      <c r="J202" s="17"/>
      <c r="K202" s="203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203"/>
      <c r="D203" s="17"/>
      <c r="E203" s="229"/>
      <c r="F203" s="17"/>
      <c r="G203" s="203"/>
      <c r="H203" s="17"/>
      <c r="I203" s="202"/>
      <c r="J203" s="17"/>
      <c r="K203" s="203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203"/>
      <c r="D204" s="17"/>
      <c r="E204" s="229"/>
      <c r="F204" s="17"/>
      <c r="G204" s="203"/>
      <c r="H204" s="17"/>
      <c r="I204" s="202"/>
      <c r="J204" s="17"/>
      <c r="K204" s="203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203"/>
      <c r="D205" s="17"/>
      <c r="E205" s="229"/>
      <c r="F205" s="17"/>
      <c r="G205" s="203"/>
      <c r="H205" s="17"/>
      <c r="I205" s="202"/>
      <c r="J205" s="17"/>
      <c r="K205" s="203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203"/>
      <c r="D206" s="17"/>
      <c r="E206" s="229"/>
      <c r="F206" s="17"/>
      <c r="G206" s="203"/>
      <c r="H206" s="17"/>
      <c r="I206" s="202"/>
      <c r="J206" s="17"/>
      <c r="K206" s="203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203"/>
      <c r="D207" s="17"/>
      <c r="E207" s="229"/>
      <c r="F207" s="17"/>
      <c r="G207" s="203"/>
      <c r="H207" s="17"/>
      <c r="I207" s="202"/>
      <c r="J207" s="17"/>
      <c r="K207" s="203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203"/>
      <c r="D208" s="17"/>
      <c r="E208" s="229"/>
      <c r="F208" s="17"/>
      <c r="G208" s="203"/>
      <c r="H208" s="17"/>
      <c r="I208" s="202"/>
      <c r="J208" s="17"/>
      <c r="K208" s="203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203"/>
      <c r="D209" s="17"/>
      <c r="E209" s="229"/>
      <c r="F209" s="17"/>
      <c r="G209" s="203"/>
      <c r="H209" s="17"/>
      <c r="I209" s="202"/>
      <c r="J209" s="17"/>
      <c r="K209" s="203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203"/>
      <c r="D210" s="17"/>
      <c r="E210" s="229"/>
      <c r="F210" s="17"/>
      <c r="G210" s="203"/>
      <c r="H210" s="17"/>
      <c r="I210" s="202"/>
      <c r="J210" s="17"/>
      <c r="K210" s="203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203"/>
      <c r="D211" s="17"/>
      <c r="E211" s="229"/>
      <c r="F211" s="17"/>
      <c r="G211" s="203"/>
      <c r="H211" s="17"/>
      <c r="I211" s="202"/>
      <c r="J211" s="17"/>
      <c r="K211" s="203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203"/>
      <c r="D212" s="17"/>
      <c r="E212" s="229"/>
      <c r="F212" s="17"/>
      <c r="G212" s="203"/>
      <c r="H212" s="17"/>
      <c r="I212" s="202"/>
      <c r="J212" s="17"/>
      <c r="K212" s="203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203"/>
      <c r="D213" s="17"/>
      <c r="E213" s="229"/>
      <c r="F213" s="17"/>
      <c r="G213" s="203"/>
      <c r="H213" s="17"/>
      <c r="I213" s="202"/>
      <c r="J213" s="17"/>
      <c r="K213" s="203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203"/>
      <c r="D214" s="17"/>
      <c r="E214" s="229"/>
      <c r="F214" s="17"/>
      <c r="G214" s="203"/>
      <c r="H214" s="17"/>
      <c r="I214" s="202"/>
      <c r="J214" s="17"/>
      <c r="K214" s="203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203"/>
      <c r="D215" s="17"/>
      <c r="E215" s="229"/>
      <c r="F215" s="17"/>
      <c r="G215" s="203"/>
      <c r="H215" s="17"/>
      <c r="I215" s="202"/>
      <c r="J215" s="17"/>
      <c r="K215" s="203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203"/>
      <c r="D216" s="17"/>
      <c r="E216" s="229"/>
      <c r="F216" s="17"/>
      <c r="G216" s="203"/>
      <c r="H216" s="17"/>
      <c r="I216" s="202"/>
      <c r="J216" s="17"/>
      <c r="K216" s="203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203"/>
      <c r="D217" s="17"/>
      <c r="E217" s="229"/>
      <c r="F217" s="17"/>
      <c r="G217" s="203"/>
      <c r="H217" s="17"/>
      <c r="I217" s="202"/>
      <c r="J217" s="17"/>
      <c r="K217" s="203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203"/>
      <c r="D218" s="17"/>
      <c r="E218" s="229"/>
      <c r="F218" s="17"/>
      <c r="G218" s="203"/>
      <c r="H218" s="17"/>
      <c r="I218" s="202"/>
      <c r="J218" s="17"/>
      <c r="K218" s="203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203"/>
      <c r="D219" s="17"/>
      <c r="E219" s="229"/>
      <c r="F219" s="17"/>
      <c r="G219" s="203"/>
      <c r="H219" s="17"/>
      <c r="I219" s="202"/>
      <c r="J219" s="17"/>
      <c r="K219" s="203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203"/>
      <c r="D220" s="17"/>
      <c r="E220" s="229"/>
      <c r="F220" s="17"/>
      <c r="G220" s="203"/>
      <c r="H220" s="17"/>
      <c r="I220" s="202"/>
      <c r="J220" s="17"/>
      <c r="K220" s="203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203"/>
      <c r="D221" s="17"/>
      <c r="E221" s="229"/>
      <c r="F221" s="17"/>
      <c r="G221" s="203"/>
      <c r="H221" s="17"/>
      <c r="I221" s="202"/>
      <c r="J221" s="17"/>
      <c r="K221" s="203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203"/>
      <c r="D222" s="17"/>
      <c r="E222" s="229"/>
      <c r="F222" s="17"/>
      <c r="G222" s="203"/>
      <c r="H222" s="17"/>
      <c r="I222" s="202"/>
      <c r="J222" s="17"/>
      <c r="K222" s="203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203"/>
      <c r="D223" s="17"/>
      <c r="E223" s="229"/>
      <c r="F223" s="17"/>
      <c r="G223" s="203"/>
      <c r="H223" s="17"/>
      <c r="I223" s="202"/>
      <c r="J223" s="17"/>
      <c r="K223" s="203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203"/>
      <c r="D224" s="17"/>
      <c r="E224" s="229"/>
      <c r="F224" s="17"/>
      <c r="G224" s="203"/>
      <c r="H224" s="17"/>
      <c r="I224" s="202"/>
      <c r="J224" s="17"/>
      <c r="K224" s="203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203"/>
      <c r="D225" s="17"/>
      <c r="E225" s="229"/>
      <c r="F225" s="17"/>
      <c r="G225" s="203"/>
      <c r="H225" s="17"/>
      <c r="I225" s="202"/>
      <c r="J225" s="17"/>
      <c r="K225" s="203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203"/>
      <c r="D226" s="17"/>
      <c r="E226" s="229"/>
      <c r="F226" s="17"/>
      <c r="G226" s="203"/>
      <c r="H226" s="17"/>
      <c r="I226" s="202"/>
      <c r="J226" s="17"/>
      <c r="K226" s="203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203"/>
      <c r="D227" s="17"/>
      <c r="E227" s="229"/>
      <c r="F227" s="17"/>
      <c r="G227" s="203"/>
      <c r="H227" s="17"/>
      <c r="I227" s="202"/>
      <c r="J227" s="17"/>
      <c r="K227" s="203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203"/>
      <c r="D228" s="17"/>
      <c r="E228" s="229"/>
      <c r="F228" s="17"/>
      <c r="G228" s="203"/>
      <c r="H228" s="17"/>
      <c r="I228" s="202"/>
      <c r="J228" s="17"/>
      <c r="K228" s="203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203"/>
      <c r="D229" s="17"/>
      <c r="E229" s="229"/>
      <c r="F229" s="17"/>
      <c r="G229" s="203"/>
      <c r="H229" s="17"/>
      <c r="I229" s="202"/>
      <c r="J229" s="17"/>
      <c r="K229" s="203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203"/>
      <c r="D230" s="17"/>
      <c r="E230" s="229"/>
      <c r="F230" s="17"/>
      <c r="G230" s="203"/>
      <c r="H230" s="17"/>
      <c r="I230" s="202"/>
      <c r="J230" s="17"/>
      <c r="K230" s="203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203"/>
      <c r="D231" s="17"/>
      <c r="E231" s="229"/>
      <c r="F231" s="17"/>
      <c r="G231" s="203"/>
      <c r="H231" s="17"/>
      <c r="I231" s="202"/>
      <c r="J231" s="17"/>
      <c r="K231" s="203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203"/>
      <c r="D232" s="17"/>
      <c r="E232" s="229"/>
      <c r="F232" s="17"/>
      <c r="G232" s="203"/>
      <c r="H232" s="17"/>
      <c r="I232" s="202"/>
      <c r="J232" s="17"/>
      <c r="K232" s="203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203"/>
      <c r="D233" s="17"/>
      <c r="E233" s="229"/>
      <c r="F233" s="17"/>
      <c r="G233" s="203"/>
      <c r="H233" s="17"/>
      <c r="I233" s="202"/>
      <c r="J233" s="17"/>
      <c r="K233" s="203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203"/>
      <c r="D234" s="17"/>
      <c r="E234" s="229"/>
      <c r="F234" s="17"/>
      <c r="G234" s="203"/>
      <c r="H234" s="17"/>
      <c r="I234" s="202"/>
      <c r="J234" s="17"/>
      <c r="K234" s="203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203"/>
      <c r="D235" s="17"/>
      <c r="E235" s="229"/>
      <c r="F235" s="17"/>
      <c r="G235" s="203"/>
      <c r="H235" s="17"/>
      <c r="I235" s="202"/>
      <c r="J235" s="17"/>
      <c r="K235" s="203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203"/>
      <c r="D236" s="17"/>
      <c r="E236" s="229"/>
      <c r="F236" s="17"/>
      <c r="G236" s="203"/>
      <c r="H236" s="17"/>
      <c r="I236" s="202"/>
      <c r="J236" s="17"/>
      <c r="K236" s="203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203"/>
      <c r="D237" s="17"/>
      <c r="E237" s="229"/>
      <c r="F237" s="17"/>
      <c r="G237" s="203"/>
      <c r="H237" s="17"/>
      <c r="I237" s="202"/>
      <c r="J237" s="17"/>
      <c r="K237" s="203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203"/>
      <c r="D238" s="17"/>
      <c r="E238" s="229"/>
      <c r="F238" s="17"/>
      <c r="G238" s="203"/>
      <c r="H238" s="17"/>
      <c r="I238" s="202"/>
      <c r="J238" s="17"/>
      <c r="K238" s="203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203"/>
      <c r="D239" s="17"/>
      <c r="E239" s="229"/>
      <c r="F239" s="17"/>
      <c r="G239" s="203"/>
      <c r="H239" s="17"/>
      <c r="I239" s="202"/>
      <c r="J239" s="17"/>
      <c r="K239" s="203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203"/>
      <c r="D240" s="17"/>
      <c r="E240" s="229"/>
      <c r="F240" s="17"/>
      <c r="G240" s="203"/>
      <c r="H240" s="17"/>
      <c r="I240" s="202"/>
      <c r="J240" s="17"/>
      <c r="K240" s="203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203"/>
      <c r="D241" s="17"/>
      <c r="E241" s="229"/>
      <c r="F241" s="17"/>
      <c r="G241" s="203"/>
      <c r="H241" s="17"/>
      <c r="I241" s="202"/>
      <c r="J241" s="17"/>
      <c r="K241" s="203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203"/>
      <c r="D242" s="17"/>
      <c r="E242" s="229"/>
      <c r="F242" s="17"/>
      <c r="G242" s="203"/>
      <c r="H242" s="17"/>
      <c r="I242" s="202"/>
      <c r="J242" s="17"/>
      <c r="K242" s="203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203"/>
      <c r="D243" s="17"/>
      <c r="E243" s="229"/>
      <c r="F243" s="17"/>
      <c r="G243" s="203"/>
      <c r="H243" s="17"/>
      <c r="I243" s="202"/>
      <c r="J243" s="17"/>
      <c r="K243" s="203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203"/>
      <c r="D244" s="17"/>
      <c r="E244" s="229"/>
      <c r="F244" s="17"/>
      <c r="G244" s="203"/>
      <c r="H244" s="17"/>
      <c r="I244" s="202"/>
      <c r="J244" s="17"/>
      <c r="K244" s="203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203"/>
      <c r="D245" s="17"/>
      <c r="E245" s="229"/>
      <c r="F245" s="17"/>
      <c r="G245" s="203"/>
      <c r="H245" s="17"/>
      <c r="I245" s="202"/>
      <c r="J245" s="17"/>
      <c r="K245" s="203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203"/>
      <c r="D246" s="17"/>
      <c r="E246" s="229"/>
      <c r="F246" s="17"/>
      <c r="G246" s="203"/>
      <c r="H246" s="17"/>
      <c r="I246" s="202"/>
      <c r="J246" s="17"/>
      <c r="K246" s="203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203"/>
      <c r="D247" s="17"/>
      <c r="E247" s="229"/>
      <c r="F247" s="17"/>
      <c r="G247" s="203"/>
      <c r="H247" s="17"/>
      <c r="I247" s="202"/>
      <c r="J247" s="17"/>
      <c r="K247" s="203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203"/>
      <c r="D248" s="17"/>
      <c r="E248" s="229"/>
      <c r="F248" s="17"/>
      <c r="G248" s="203"/>
      <c r="H248" s="17"/>
      <c r="I248" s="202"/>
      <c r="J248" s="17"/>
      <c r="K248" s="203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203"/>
      <c r="D249" s="17"/>
      <c r="E249" s="229"/>
      <c r="F249" s="17"/>
      <c r="G249" s="203"/>
      <c r="H249" s="17"/>
      <c r="I249" s="202"/>
      <c r="J249" s="17"/>
      <c r="K249" s="203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203"/>
      <c r="D250" s="17"/>
      <c r="E250" s="229"/>
      <c r="F250" s="17"/>
      <c r="G250" s="203"/>
      <c r="H250" s="17"/>
      <c r="I250" s="202"/>
      <c r="J250" s="17"/>
      <c r="K250" s="203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203"/>
      <c r="D251" s="17"/>
      <c r="E251" s="229"/>
      <c r="F251" s="17"/>
      <c r="G251" s="203"/>
      <c r="H251" s="17"/>
      <c r="I251" s="202"/>
      <c r="J251" s="17"/>
      <c r="K251" s="203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203"/>
      <c r="D252" s="17"/>
      <c r="E252" s="229"/>
      <c r="F252" s="17"/>
      <c r="G252" s="203"/>
      <c r="H252" s="17"/>
      <c r="I252" s="202"/>
      <c r="J252" s="17"/>
      <c r="K252" s="203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203"/>
      <c r="D253" s="17"/>
      <c r="E253" s="229"/>
      <c r="F253" s="17"/>
      <c r="G253" s="203"/>
      <c r="H253" s="17"/>
      <c r="I253" s="202"/>
      <c r="J253" s="17"/>
      <c r="K253" s="203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203"/>
      <c r="D254" s="17"/>
      <c r="E254" s="229"/>
      <c r="F254" s="17"/>
      <c r="G254" s="203"/>
      <c r="H254" s="17"/>
      <c r="I254" s="202"/>
      <c r="J254" s="17"/>
      <c r="K254" s="203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203"/>
      <c r="D255" s="17"/>
      <c r="E255" s="229"/>
      <c r="F255" s="17"/>
      <c r="G255" s="203"/>
      <c r="H255" s="17"/>
      <c r="I255" s="202"/>
      <c r="J255" s="17"/>
      <c r="K255" s="203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203"/>
      <c r="D256" s="17"/>
      <c r="E256" s="229"/>
      <c r="F256" s="17"/>
      <c r="G256" s="203"/>
      <c r="H256" s="17"/>
      <c r="I256" s="202"/>
      <c r="J256" s="17"/>
      <c r="K256" s="203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203"/>
      <c r="D257" s="17"/>
      <c r="E257" s="229"/>
      <c r="F257" s="17"/>
      <c r="G257" s="203"/>
      <c r="H257" s="17"/>
      <c r="I257" s="202"/>
      <c r="J257" s="17"/>
      <c r="K257" s="203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203"/>
      <c r="D258" s="17"/>
      <c r="E258" s="229"/>
      <c r="F258" s="17"/>
      <c r="G258" s="203"/>
      <c r="H258" s="17"/>
      <c r="I258" s="202"/>
      <c r="J258" s="17"/>
      <c r="K258" s="203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203"/>
      <c r="D259" s="17"/>
      <c r="E259" s="229"/>
      <c r="F259" s="17"/>
      <c r="G259" s="203"/>
      <c r="H259" s="17"/>
      <c r="I259" s="202"/>
      <c r="J259" s="17"/>
      <c r="K259" s="203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203"/>
      <c r="D260" s="17"/>
      <c r="E260" s="229"/>
      <c r="F260" s="17"/>
      <c r="G260" s="203"/>
      <c r="H260" s="17"/>
      <c r="I260" s="202"/>
      <c r="J260" s="17"/>
      <c r="K260" s="203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203"/>
      <c r="D261" s="17"/>
      <c r="E261" s="229"/>
      <c r="F261" s="17"/>
      <c r="G261" s="203"/>
      <c r="H261" s="17"/>
      <c r="I261" s="202"/>
      <c r="J261" s="17"/>
      <c r="K261" s="203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203"/>
      <c r="D262" s="17"/>
      <c r="E262" s="229"/>
      <c r="F262" s="17"/>
      <c r="G262" s="203"/>
      <c r="H262" s="17"/>
      <c r="I262" s="202"/>
      <c r="J262" s="17"/>
      <c r="K262" s="203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203"/>
      <c r="D263" s="17"/>
      <c r="E263" s="229"/>
      <c r="F263" s="17"/>
      <c r="G263" s="203"/>
      <c r="H263" s="17"/>
      <c r="I263" s="202"/>
      <c r="J263" s="17"/>
      <c r="K263" s="203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203"/>
      <c r="D264" s="17"/>
      <c r="E264" s="229"/>
      <c r="F264" s="17"/>
      <c r="G264" s="203"/>
      <c r="H264" s="17"/>
      <c r="I264" s="202"/>
      <c r="J264" s="17"/>
      <c r="K264" s="203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203"/>
      <c r="D265" s="17"/>
      <c r="E265" s="229"/>
      <c r="F265" s="17"/>
      <c r="G265" s="203"/>
      <c r="H265" s="17"/>
      <c r="I265" s="202"/>
      <c r="J265" s="17"/>
      <c r="K265" s="203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203"/>
      <c r="D266" s="17"/>
      <c r="E266" s="229"/>
      <c r="F266" s="17"/>
      <c r="G266" s="203"/>
      <c r="H266" s="17"/>
      <c r="I266" s="202"/>
      <c r="J266" s="17"/>
      <c r="K266" s="203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203"/>
      <c r="D267" s="17"/>
      <c r="E267" s="229"/>
      <c r="F267" s="17"/>
      <c r="G267" s="203"/>
      <c r="H267" s="17"/>
      <c r="I267" s="202"/>
      <c r="J267" s="17"/>
      <c r="K267" s="203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203"/>
      <c r="D268" s="17"/>
      <c r="E268" s="229"/>
      <c r="F268" s="17"/>
      <c r="G268" s="203"/>
      <c r="H268" s="17"/>
      <c r="I268" s="202"/>
      <c r="J268" s="17"/>
      <c r="K268" s="203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203"/>
      <c r="D269" s="17"/>
      <c r="E269" s="229"/>
      <c r="F269" s="17"/>
      <c r="G269" s="203"/>
      <c r="H269" s="17"/>
      <c r="I269" s="202"/>
      <c r="J269" s="17"/>
      <c r="K269" s="203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203"/>
      <c r="D270" s="17"/>
      <c r="E270" s="229"/>
      <c r="F270" s="17"/>
      <c r="G270" s="203"/>
      <c r="H270" s="17"/>
      <c r="I270" s="202"/>
      <c r="J270" s="17"/>
      <c r="K270" s="203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203"/>
      <c r="D271" s="17"/>
      <c r="E271" s="229"/>
      <c r="F271" s="17"/>
      <c r="G271" s="203"/>
      <c r="H271" s="17"/>
      <c r="I271" s="202"/>
      <c r="J271" s="17"/>
      <c r="K271" s="203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203"/>
      <c r="D272" s="17"/>
      <c r="E272" s="229"/>
      <c r="F272" s="17"/>
      <c r="G272" s="203"/>
      <c r="H272" s="17"/>
      <c r="I272" s="202"/>
      <c r="J272" s="17"/>
      <c r="K272" s="203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203"/>
      <c r="D273" s="17"/>
      <c r="E273" s="229"/>
      <c r="F273" s="17"/>
      <c r="G273" s="203"/>
      <c r="H273" s="17"/>
      <c r="I273" s="202"/>
      <c r="J273" s="17"/>
      <c r="K273" s="203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203"/>
      <c r="D274" s="17"/>
      <c r="E274" s="229"/>
      <c r="F274" s="17"/>
      <c r="G274" s="203"/>
      <c r="H274" s="17"/>
      <c r="I274" s="202"/>
      <c r="J274" s="17"/>
      <c r="K274" s="203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203"/>
      <c r="D275" s="17"/>
      <c r="E275" s="229"/>
      <c r="F275" s="17"/>
      <c r="G275" s="203"/>
      <c r="H275" s="17"/>
      <c r="I275" s="202"/>
      <c r="J275" s="17"/>
      <c r="K275" s="203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203"/>
      <c r="D276" s="17"/>
      <c r="E276" s="229"/>
      <c r="F276" s="17"/>
      <c r="G276" s="203"/>
      <c r="H276" s="17"/>
      <c r="I276" s="202"/>
      <c r="J276" s="17"/>
      <c r="K276" s="203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203"/>
      <c r="D277" s="17"/>
      <c r="E277" s="229"/>
      <c r="F277" s="17"/>
      <c r="G277" s="203"/>
      <c r="H277" s="17"/>
      <c r="I277" s="202"/>
      <c r="J277" s="17"/>
      <c r="K277" s="203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203"/>
      <c r="D278" s="17"/>
      <c r="E278" s="229"/>
      <c r="F278" s="17"/>
      <c r="G278" s="203"/>
      <c r="H278" s="17"/>
      <c r="I278" s="202"/>
      <c r="J278" s="17"/>
      <c r="K278" s="203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203"/>
      <c r="D279" s="17"/>
      <c r="E279" s="229"/>
      <c r="F279" s="17"/>
      <c r="G279" s="203"/>
      <c r="H279" s="17"/>
      <c r="I279" s="202"/>
      <c r="J279" s="17"/>
      <c r="K279" s="203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203"/>
      <c r="D280" s="17"/>
      <c r="E280" s="229"/>
      <c r="F280" s="17"/>
      <c r="G280" s="203"/>
      <c r="H280" s="17"/>
      <c r="I280" s="202"/>
      <c r="J280" s="17"/>
      <c r="K280" s="203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203"/>
      <c r="D281" s="17"/>
      <c r="E281" s="229"/>
      <c r="F281" s="17"/>
      <c r="G281" s="203"/>
      <c r="H281" s="17"/>
      <c r="I281" s="202"/>
      <c r="J281" s="17"/>
      <c r="K281" s="203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203"/>
      <c r="D282" s="17"/>
      <c r="E282" s="229"/>
      <c r="F282" s="17"/>
      <c r="G282" s="203"/>
      <c r="H282" s="17"/>
      <c r="I282" s="202"/>
      <c r="J282" s="17"/>
      <c r="K282" s="203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203"/>
      <c r="D283" s="17"/>
      <c r="E283" s="229"/>
      <c r="F283" s="17"/>
      <c r="G283" s="203"/>
      <c r="H283" s="17"/>
      <c r="I283" s="202"/>
      <c r="J283" s="17"/>
      <c r="K283" s="203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203"/>
      <c r="D284" s="17"/>
      <c r="E284" s="229"/>
      <c r="F284" s="17"/>
      <c r="G284" s="203"/>
      <c r="H284" s="17"/>
      <c r="I284" s="202"/>
      <c r="J284" s="17"/>
      <c r="K284" s="203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203"/>
      <c r="D285" s="17"/>
      <c r="E285" s="229"/>
      <c r="F285" s="17"/>
      <c r="G285" s="203"/>
      <c r="H285" s="17"/>
      <c r="I285" s="202"/>
      <c r="J285" s="17"/>
      <c r="K285" s="203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203"/>
      <c r="D286" s="17"/>
      <c r="E286" s="229"/>
      <c r="F286" s="17"/>
      <c r="G286" s="203"/>
      <c r="H286" s="17"/>
      <c r="I286" s="202"/>
      <c r="J286" s="17"/>
      <c r="K286" s="203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203"/>
      <c r="D287" s="17"/>
      <c r="E287" s="229"/>
      <c r="F287" s="17"/>
      <c r="G287" s="203"/>
      <c r="H287" s="17"/>
      <c r="I287" s="202"/>
      <c r="J287" s="17"/>
      <c r="K287" s="203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203"/>
      <c r="D288" s="17"/>
      <c r="E288" s="229"/>
      <c r="F288" s="17"/>
      <c r="G288" s="203"/>
      <c r="H288" s="17"/>
      <c r="I288" s="202"/>
      <c r="J288" s="17"/>
      <c r="K288" s="203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203"/>
      <c r="D289" s="17"/>
      <c r="E289" s="229"/>
      <c r="F289" s="17"/>
      <c r="G289" s="203"/>
      <c r="H289" s="17"/>
      <c r="I289" s="202"/>
      <c r="J289" s="17"/>
      <c r="K289" s="203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203"/>
      <c r="D290" s="17"/>
      <c r="E290" s="229"/>
      <c r="F290" s="17"/>
      <c r="G290" s="203"/>
      <c r="H290" s="17"/>
      <c r="I290" s="202"/>
      <c r="J290" s="17"/>
      <c r="K290" s="203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203"/>
      <c r="D291" s="17"/>
      <c r="E291" s="229"/>
      <c r="F291" s="17"/>
      <c r="G291" s="203"/>
      <c r="H291" s="17"/>
      <c r="I291" s="202"/>
      <c r="J291" s="17"/>
      <c r="K291" s="203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203"/>
      <c r="D292" s="17"/>
      <c r="E292" s="229"/>
      <c r="F292" s="17"/>
      <c r="G292" s="203"/>
      <c r="H292" s="17"/>
      <c r="I292" s="202"/>
      <c r="J292" s="17"/>
      <c r="K292" s="203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203"/>
      <c r="D293" s="17"/>
      <c r="E293" s="229"/>
      <c r="F293" s="17"/>
      <c r="G293" s="203"/>
      <c r="H293" s="17"/>
      <c r="I293" s="202"/>
      <c r="J293" s="17"/>
      <c r="K293" s="203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203"/>
      <c r="D294" s="17"/>
      <c r="E294" s="229"/>
      <c r="F294" s="17"/>
      <c r="G294" s="203"/>
      <c r="H294" s="17"/>
      <c r="I294" s="202"/>
      <c r="J294" s="17"/>
      <c r="K294" s="203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203"/>
      <c r="D295" s="17"/>
      <c r="E295" s="229"/>
      <c r="F295" s="17"/>
      <c r="G295" s="203"/>
      <c r="H295" s="17"/>
      <c r="I295" s="202"/>
      <c r="J295" s="17"/>
      <c r="K295" s="203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203"/>
      <c r="D296" s="17"/>
      <c r="E296" s="229"/>
      <c r="F296" s="17"/>
      <c r="G296" s="203"/>
      <c r="H296" s="17"/>
      <c r="I296" s="202"/>
      <c r="J296" s="17"/>
      <c r="K296" s="203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203"/>
      <c r="D297" s="17"/>
      <c r="E297" s="229"/>
      <c r="F297" s="17"/>
      <c r="G297" s="203"/>
      <c r="H297" s="17"/>
      <c r="I297" s="202"/>
      <c r="J297" s="17"/>
      <c r="K297" s="203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203"/>
      <c r="D298" s="17"/>
      <c r="E298" s="229"/>
      <c r="F298" s="17"/>
      <c r="G298" s="203"/>
      <c r="H298" s="17"/>
      <c r="I298" s="202"/>
      <c r="J298" s="17"/>
      <c r="K298" s="203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203"/>
      <c r="D299" s="17"/>
      <c r="E299" s="229"/>
      <c r="F299" s="17"/>
      <c r="G299" s="203"/>
      <c r="H299" s="17"/>
      <c r="I299" s="202"/>
      <c r="J299" s="17"/>
      <c r="K299" s="203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203"/>
      <c r="D300" s="17"/>
      <c r="E300" s="229"/>
      <c r="F300" s="17"/>
      <c r="G300" s="203"/>
      <c r="H300" s="17"/>
      <c r="I300" s="202"/>
      <c r="J300" s="17"/>
      <c r="K300" s="203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203"/>
      <c r="D301" s="17"/>
      <c r="E301" s="229"/>
      <c r="F301" s="17"/>
      <c r="G301" s="203"/>
      <c r="H301" s="17"/>
      <c r="I301" s="202"/>
      <c r="J301" s="17"/>
      <c r="K301" s="203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203"/>
      <c r="D302" s="17"/>
      <c r="E302" s="229"/>
      <c r="F302" s="17"/>
      <c r="G302" s="203"/>
      <c r="H302" s="17"/>
      <c r="I302" s="202"/>
      <c r="J302" s="17"/>
      <c r="K302" s="203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203"/>
      <c r="D303" s="17"/>
      <c r="E303" s="229"/>
      <c r="F303" s="17"/>
      <c r="G303" s="203"/>
      <c r="H303" s="17"/>
      <c r="I303" s="202"/>
      <c r="J303" s="17"/>
      <c r="K303" s="203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203"/>
      <c r="D304" s="17"/>
      <c r="E304" s="229"/>
      <c r="F304" s="17"/>
      <c r="G304" s="203"/>
      <c r="H304" s="17"/>
      <c r="I304" s="202"/>
      <c r="J304" s="17"/>
      <c r="K304" s="203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203"/>
      <c r="D305" s="17"/>
      <c r="E305" s="229"/>
      <c r="F305" s="17"/>
      <c r="G305" s="203"/>
      <c r="H305" s="17"/>
      <c r="I305" s="202"/>
      <c r="J305" s="17"/>
      <c r="K305" s="203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203"/>
      <c r="D306" s="17"/>
      <c r="E306" s="229"/>
      <c r="F306" s="17"/>
      <c r="G306" s="203"/>
      <c r="H306" s="17"/>
      <c r="I306" s="202"/>
      <c r="J306" s="17"/>
      <c r="K306" s="203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203"/>
      <c r="D307" s="17"/>
      <c r="E307" s="229"/>
      <c r="F307" s="17"/>
      <c r="G307" s="203"/>
      <c r="H307" s="17"/>
      <c r="I307" s="202"/>
      <c r="J307" s="17"/>
      <c r="K307" s="203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203"/>
      <c r="D308" s="17"/>
      <c r="E308" s="229"/>
      <c r="F308" s="17"/>
      <c r="G308" s="203"/>
      <c r="H308" s="17"/>
      <c r="I308" s="202"/>
      <c r="J308" s="17"/>
      <c r="K308" s="203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203"/>
      <c r="D309" s="17"/>
      <c r="E309" s="229"/>
      <c r="F309" s="17"/>
      <c r="G309" s="203"/>
      <c r="H309" s="17"/>
      <c r="I309" s="202"/>
      <c r="J309" s="17"/>
      <c r="K309" s="203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203"/>
      <c r="D310" s="17"/>
      <c r="E310" s="229"/>
      <c r="F310" s="17"/>
      <c r="G310" s="203"/>
      <c r="H310" s="17"/>
      <c r="I310" s="202"/>
      <c r="J310" s="17"/>
      <c r="K310" s="203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203"/>
      <c r="D311" s="17"/>
      <c r="E311" s="229"/>
      <c r="F311" s="17"/>
      <c r="G311" s="203"/>
      <c r="H311" s="17"/>
      <c r="I311" s="202"/>
      <c r="J311" s="17"/>
      <c r="K311" s="203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203"/>
      <c r="D312" s="17"/>
      <c r="E312" s="229"/>
      <c r="F312" s="17"/>
      <c r="G312" s="203"/>
      <c r="H312" s="17"/>
      <c r="I312" s="202"/>
      <c r="J312" s="17"/>
      <c r="K312" s="203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203"/>
      <c r="D313" s="17"/>
      <c r="E313" s="229"/>
      <c r="F313" s="17"/>
      <c r="G313" s="203"/>
      <c r="H313" s="17"/>
      <c r="I313" s="202"/>
      <c r="J313" s="17"/>
      <c r="K313" s="203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203"/>
      <c r="D314" s="17"/>
      <c r="E314" s="229"/>
      <c r="F314" s="17"/>
      <c r="G314" s="203"/>
      <c r="H314" s="17"/>
      <c r="I314" s="202"/>
      <c r="J314" s="17"/>
      <c r="K314" s="203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203"/>
      <c r="D315" s="17"/>
      <c r="E315" s="229"/>
      <c r="F315" s="17"/>
      <c r="G315" s="203"/>
      <c r="H315" s="17"/>
      <c r="I315" s="202"/>
      <c r="J315" s="17"/>
      <c r="K315" s="203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203"/>
      <c r="D316" s="17"/>
      <c r="E316" s="229"/>
      <c r="F316" s="17"/>
      <c r="G316" s="203"/>
      <c r="H316" s="17"/>
      <c r="I316" s="202"/>
      <c r="J316" s="17"/>
      <c r="K316" s="203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203"/>
      <c r="D317" s="17"/>
      <c r="E317" s="229"/>
      <c r="F317" s="17"/>
      <c r="G317" s="203"/>
      <c r="H317" s="17"/>
      <c r="I317" s="202"/>
      <c r="J317" s="17"/>
      <c r="K317" s="203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203"/>
      <c r="D318" s="17"/>
      <c r="E318" s="229"/>
      <c r="F318" s="17"/>
      <c r="G318" s="203"/>
      <c r="H318" s="17"/>
      <c r="I318" s="202"/>
      <c r="J318" s="17"/>
      <c r="K318" s="203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203"/>
      <c r="D319" s="17"/>
      <c r="E319" s="229"/>
      <c r="F319" s="17"/>
      <c r="G319" s="203"/>
      <c r="H319" s="17"/>
      <c r="I319" s="202"/>
      <c r="J319" s="17"/>
      <c r="K319" s="203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203"/>
      <c r="D320" s="17"/>
      <c r="E320" s="229"/>
      <c r="F320" s="17"/>
      <c r="G320" s="203"/>
      <c r="H320" s="17"/>
      <c r="I320" s="202"/>
      <c r="J320" s="17"/>
      <c r="K320" s="203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203"/>
      <c r="D321" s="17"/>
      <c r="E321" s="229"/>
      <c r="F321" s="17"/>
      <c r="G321" s="203"/>
      <c r="H321" s="17"/>
      <c r="I321" s="202"/>
      <c r="J321" s="17"/>
      <c r="K321" s="203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203"/>
      <c r="D322" s="17"/>
      <c r="E322" s="229"/>
      <c r="F322" s="17"/>
      <c r="G322" s="203"/>
      <c r="H322" s="17"/>
      <c r="I322" s="202"/>
      <c r="J322" s="17"/>
      <c r="K322" s="203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203"/>
      <c r="D323" s="17"/>
      <c r="E323" s="229"/>
      <c r="F323" s="17"/>
      <c r="G323" s="203"/>
      <c r="H323" s="17"/>
      <c r="I323" s="202"/>
      <c r="J323" s="17"/>
      <c r="K323" s="203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203"/>
      <c r="D324" s="17"/>
      <c r="E324" s="229"/>
      <c r="F324" s="17"/>
      <c r="G324" s="203"/>
      <c r="H324" s="17"/>
      <c r="I324" s="202"/>
      <c r="J324" s="17"/>
      <c r="K324" s="203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203"/>
      <c r="D325" s="17"/>
      <c r="E325" s="229"/>
      <c r="F325" s="17"/>
      <c r="G325" s="203"/>
      <c r="H325" s="17"/>
      <c r="I325" s="202"/>
      <c r="J325" s="17"/>
      <c r="K325" s="203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203"/>
      <c r="D326" s="17"/>
      <c r="E326" s="229"/>
      <c r="F326" s="17"/>
      <c r="G326" s="203"/>
      <c r="H326" s="17"/>
      <c r="I326" s="202"/>
      <c r="J326" s="17"/>
      <c r="K326" s="203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203"/>
      <c r="D327" s="17"/>
      <c r="E327" s="229"/>
      <c r="F327" s="17"/>
      <c r="G327" s="203"/>
      <c r="H327" s="17"/>
      <c r="I327" s="202"/>
      <c r="J327" s="17"/>
      <c r="K327" s="203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203"/>
      <c r="D328" s="17"/>
      <c r="E328" s="229"/>
      <c r="F328" s="17"/>
      <c r="G328" s="203"/>
      <c r="H328" s="17"/>
      <c r="I328" s="202"/>
      <c r="J328" s="17"/>
      <c r="K328" s="203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203"/>
      <c r="D329" s="17"/>
      <c r="E329" s="229"/>
      <c r="F329" s="17"/>
      <c r="G329" s="203"/>
      <c r="H329" s="17"/>
      <c r="I329" s="202"/>
      <c r="J329" s="17"/>
      <c r="K329" s="203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203"/>
      <c r="D330" s="17"/>
      <c r="E330" s="229"/>
      <c r="F330" s="17"/>
      <c r="G330" s="203"/>
      <c r="H330" s="17"/>
      <c r="I330" s="202"/>
      <c r="J330" s="17"/>
      <c r="K330" s="203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203"/>
      <c r="D331" s="17"/>
      <c r="E331" s="229"/>
      <c r="F331" s="17"/>
      <c r="G331" s="203"/>
      <c r="H331" s="17"/>
      <c r="I331" s="202"/>
      <c r="J331" s="17"/>
      <c r="K331" s="203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203"/>
      <c r="D332" s="17"/>
      <c r="E332" s="229"/>
      <c r="F332" s="17"/>
      <c r="G332" s="203"/>
      <c r="H332" s="17"/>
      <c r="I332" s="202"/>
      <c r="J332" s="17"/>
      <c r="K332" s="203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203"/>
      <c r="D333" s="17"/>
      <c r="E333" s="229"/>
      <c r="F333" s="17"/>
      <c r="G333" s="203"/>
      <c r="H333" s="17"/>
      <c r="I333" s="202"/>
      <c r="J333" s="17"/>
      <c r="K333" s="203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203"/>
      <c r="D334" s="17"/>
      <c r="E334" s="229"/>
      <c r="F334" s="17"/>
      <c r="G334" s="203"/>
      <c r="H334" s="17"/>
      <c r="I334" s="202"/>
      <c r="J334" s="17"/>
      <c r="K334" s="203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203"/>
      <c r="D335" s="17"/>
      <c r="E335" s="229"/>
      <c r="F335" s="17"/>
      <c r="G335" s="203"/>
      <c r="H335" s="17"/>
      <c r="I335" s="202"/>
      <c r="J335" s="17"/>
      <c r="K335" s="203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203"/>
      <c r="D336" s="17"/>
      <c r="E336" s="229"/>
      <c r="F336" s="17"/>
      <c r="G336" s="203"/>
      <c r="H336" s="17"/>
      <c r="I336" s="202"/>
      <c r="J336" s="17"/>
      <c r="K336" s="203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203"/>
      <c r="D337" s="17"/>
      <c r="E337" s="229"/>
      <c r="F337" s="17"/>
      <c r="G337" s="203"/>
      <c r="H337" s="17"/>
      <c r="I337" s="202"/>
      <c r="J337" s="17"/>
      <c r="K337" s="203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203"/>
      <c r="D338" s="17"/>
      <c r="E338" s="229"/>
      <c r="F338" s="17"/>
      <c r="G338" s="203"/>
      <c r="H338" s="17"/>
      <c r="I338" s="202"/>
      <c r="J338" s="17"/>
      <c r="K338" s="203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203"/>
      <c r="D339" s="17"/>
      <c r="E339" s="229"/>
      <c r="F339" s="17"/>
      <c r="G339" s="203"/>
      <c r="H339" s="17"/>
      <c r="I339" s="202"/>
      <c r="J339" s="17"/>
      <c r="K339" s="203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203"/>
      <c r="D340" s="17"/>
      <c r="E340" s="229"/>
      <c r="F340" s="17"/>
      <c r="G340" s="203"/>
      <c r="H340" s="17"/>
      <c r="I340" s="202"/>
      <c r="J340" s="17"/>
      <c r="K340" s="203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203"/>
      <c r="D341" s="17"/>
      <c r="E341" s="229"/>
      <c r="F341" s="17"/>
      <c r="G341" s="203"/>
      <c r="H341" s="17"/>
      <c r="I341" s="202"/>
      <c r="J341" s="17"/>
      <c r="K341" s="203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203"/>
      <c r="D342" s="17"/>
      <c r="E342" s="229"/>
      <c r="F342" s="17"/>
      <c r="G342" s="203"/>
      <c r="H342" s="17"/>
      <c r="I342" s="202"/>
      <c r="J342" s="17"/>
      <c r="K342" s="203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203"/>
      <c r="D343" s="17"/>
      <c r="E343" s="229"/>
      <c r="F343" s="17"/>
      <c r="G343" s="203"/>
      <c r="H343" s="17"/>
      <c r="I343" s="202"/>
      <c r="J343" s="17"/>
      <c r="K343" s="203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203"/>
      <c r="D344" s="17"/>
      <c r="E344" s="229"/>
      <c r="F344" s="17"/>
      <c r="G344" s="203"/>
      <c r="H344" s="17"/>
      <c r="I344" s="202"/>
      <c r="J344" s="17"/>
      <c r="K344" s="203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203"/>
      <c r="D345" s="17"/>
      <c r="E345" s="229"/>
      <c r="F345" s="17"/>
      <c r="G345" s="203"/>
      <c r="H345" s="17"/>
      <c r="I345" s="202"/>
      <c r="J345" s="17"/>
      <c r="K345" s="203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203"/>
      <c r="D346" s="17"/>
      <c r="E346" s="229"/>
      <c r="F346" s="17"/>
      <c r="G346" s="203"/>
      <c r="H346" s="17"/>
      <c r="I346" s="202"/>
      <c r="J346" s="17"/>
      <c r="K346" s="203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203"/>
      <c r="D347" s="17"/>
      <c r="E347" s="229"/>
      <c r="F347" s="17"/>
      <c r="G347" s="203"/>
      <c r="H347" s="17"/>
      <c r="I347" s="202"/>
      <c r="J347" s="17"/>
      <c r="K347" s="203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203"/>
      <c r="D348" s="17"/>
      <c r="E348" s="229"/>
      <c r="F348" s="17"/>
      <c r="G348" s="203"/>
      <c r="H348" s="17"/>
      <c r="I348" s="202"/>
      <c r="J348" s="17"/>
      <c r="K348" s="203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203"/>
      <c r="D349" s="17"/>
      <c r="E349" s="229"/>
      <c r="F349" s="17"/>
      <c r="G349" s="203"/>
      <c r="H349" s="17"/>
      <c r="I349" s="202"/>
      <c r="J349" s="17"/>
      <c r="K349" s="203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203"/>
      <c r="D350" s="17"/>
      <c r="E350" s="229"/>
      <c r="F350" s="17"/>
      <c r="G350" s="203"/>
      <c r="H350" s="17"/>
      <c r="I350" s="202"/>
      <c r="J350" s="17"/>
      <c r="K350" s="203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203"/>
      <c r="D351" s="17"/>
      <c r="E351" s="229"/>
      <c r="F351" s="17"/>
      <c r="G351" s="203"/>
      <c r="H351" s="17"/>
      <c r="I351" s="202"/>
      <c r="J351" s="17"/>
      <c r="K351" s="203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203"/>
      <c r="D352" s="17"/>
      <c r="E352" s="229"/>
      <c r="F352" s="17"/>
      <c r="G352" s="203"/>
      <c r="H352" s="17"/>
      <c r="I352" s="202"/>
      <c r="J352" s="17"/>
      <c r="K352" s="203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203"/>
      <c r="D353" s="17"/>
      <c r="E353" s="229"/>
      <c r="F353" s="17"/>
      <c r="G353" s="203"/>
      <c r="H353" s="17"/>
      <c r="I353" s="202"/>
      <c r="J353" s="17"/>
      <c r="K353" s="203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203"/>
      <c r="D354" s="17"/>
      <c r="E354" s="229"/>
      <c r="F354" s="17"/>
      <c r="G354" s="203"/>
      <c r="H354" s="17"/>
      <c r="I354" s="202"/>
      <c r="J354" s="17"/>
      <c r="K354" s="203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203"/>
      <c r="D355" s="17"/>
      <c r="E355" s="229"/>
      <c r="F355" s="17"/>
      <c r="G355" s="203"/>
      <c r="H355" s="17"/>
      <c r="I355" s="202"/>
      <c r="J355" s="17"/>
      <c r="K355" s="203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203"/>
      <c r="D356" s="17"/>
      <c r="E356" s="229"/>
      <c r="F356" s="17"/>
      <c r="G356" s="203"/>
      <c r="H356" s="17"/>
      <c r="I356" s="202"/>
      <c r="J356" s="17"/>
      <c r="K356" s="203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203"/>
      <c r="D357" s="17"/>
      <c r="E357" s="229"/>
      <c r="F357" s="17"/>
      <c r="G357" s="203"/>
      <c r="H357" s="17"/>
      <c r="I357" s="202"/>
      <c r="J357" s="17"/>
      <c r="K357" s="203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203"/>
      <c r="D358" s="17"/>
      <c r="E358" s="229"/>
      <c r="F358" s="17"/>
      <c r="G358" s="203"/>
      <c r="H358" s="17"/>
      <c r="I358" s="202"/>
      <c r="J358" s="17"/>
      <c r="K358" s="203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203"/>
      <c r="D359" s="17"/>
      <c r="E359" s="229"/>
      <c r="F359" s="17"/>
      <c r="G359" s="203"/>
      <c r="H359" s="17"/>
      <c r="I359" s="202"/>
      <c r="J359" s="17"/>
      <c r="K359" s="203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203"/>
      <c r="D360" s="17"/>
      <c r="E360" s="229"/>
      <c r="F360" s="17"/>
      <c r="G360" s="203"/>
      <c r="H360" s="17"/>
      <c r="I360" s="202"/>
      <c r="J360" s="17"/>
      <c r="K360" s="203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203"/>
      <c r="D361" s="17"/>
      <c r="E361" s="229"/>
      <c r="F361" s="17"/>
      <c r="G361" s="203"/>
      <c r="H361" s="17"/>
      <c r="I361" s="202"/>
      <c r="J361" s="17"/>
      <c r="K361" s="203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203"/>
      <c r="D362" s="17"/>
      <c r="E362" s="229"/>
      <c r="F362" s="17"/>
      <c r="G362" s="203"/>
      <c r="H362" s="17"/>
      <c r="I362" s="202"/>
      <c r="J362" s="17"/>
      <c r="K362" s="203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203"/>
      <c r="D363" s="17"/>
      <c r="E363" s="229"/>
      <c r="F363" s="17"/>
      <c r="G363" s="203"/>
      <c r="H363" s="17"/>
      <c r="I363" s="202"/>
      <c r="J363" s="17"/>
      <c r="K363" s="203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203"/>
      <c r="D364" s="17"/>
      <c r="E364" s="229"/>
      <c r="F364" s="17"/>
      <c r="G364" s="203"/>
      <c r="H364" s="17"/>
      <c r="I364" s="202"/>
      <c r="J364" s="17"/>
      <c r="K364" s="203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203"/>
      <c r="D365" s="17"/>
      <c r="E365" s="229"/>
      <c r="F365" s="17"/>
      <c r="G365" s="203"/>
      <c r="H365" s="17"/>
      <c r="I365" s="202"/>
      <c r="J365" s="17"/>
      <c r="K365" s="203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203"/>
      <c r="D366" s="17"/>
      <c r="E366" s="229"/>
      <c r="F366" s="17"/>
      <c r="G366" s="203"/>
      <c r="H366" s="17"/>
      <c r="I366" s="202"/>
      <c r="J366" s="17"/>
      <c r="K366" s="203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203"/>
      <c r="D367" s="17"/>
      <c r="E367" s="229"/>
      <c r="F367" s="17"/>
      <c r="G367" s="203"/>
      <c r="H367" s="17"/>
      <c r="I367" s="202"/>
      <c r="J367" s="17"/>
      <c r="K367" s="203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203"/>
      <c r="D368" s="17"/>
      <c r="E368" s="229"/>
      <c r="F368" s="17"/>
      <c r="G368" s="203"/>
      <c r="H368" s="17"/>
      <c r="I368" s="202"/>
      <c r="J368" s="17"/>
      <c r="K368" s="203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203"/>
      <c r="D369" s="17"/>
      <c r="E369" s="229"/>
      <c r="F369" s="17"/>
      <c r="G369" s="203"/>
      <c r="H369" s="17"/>
      <c r="I369" s="202"/>
      <c r="J369" s="17"/>
      <c r="K369" s="203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203"/>
      <c r="D370" s="17"/>
      <c r="E370" s="229"/>
      <c r="F370" s="17"/>
      <c r="G370" s="203"/>
      <c r="H370" s="17"/>
      <c r="I370" s="202"/>
      <c r="J370" s="17"/>
      <c r="K370" s="203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203"/>
      <c r="D371" s="17"/>
      <c r="E371" s="229"/>
      <c r="F371" s="17"/>
      <c r="G371" s="203"/>
      <c r="H371" s="17"/>
      <c r="I371" s="202"/>
      <c r="J371" s="17"/>
      <c r="K371" s="203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203"/>
      <c r="D372" s="17"/>
      <c r="E372" s="229"/>
      <c r="F372" s="17"/>
      <c r="G372" s="203"/>
      <c r="H372" s="17"/>
      <c r="I372" s="202"/>
      <c r="J372" s="17"/>
      <c r="K372" s="203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203"/>
      <c r="D373" s="17"/>
      <c r="E373" s="229"/>
      <c r="F373" s="17"/>
      <c r="G373" s="203"/>
      <c r="H373" s="17"/>
      <c r="I373" s="202"/>
      <c r="J373" s="17"/>
      <c r="K373" s="203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203"/>
      <c r="D374" s="17"/>
      <c r="E374" s="229"/>
      <c r="F374" s="17"/>
      <c r="G374" s="203"/>
      <c r="H374" s="17"/>
      <c r="I374" s="202"/>
      <c r="J374" s="17"/>
      <c r="K374" s="203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203"/>
      <c r="D375" s="17"/>
      <c r="E375" s="229"/>
      <c r="F375" s="17"/>
      <c r="G375" s="203"/>
      <c r="H375" s="17"/>
      <c r="I375" s="202"/>
      <c r="J375" s="17"/>
      <c r="K375" s="203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203"/>
      <c r="D376" s="17"/>
      <c r="E376" s="229"/>
      <c r="F376" s="17"/>
      <c r="G376" s="203"/>
      <c r="H376" s="17"/>
      <c r="I376" s="202"/>
      <c r="J376" s="17"/>
      <c r="K376" s="203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203"/>
      <c r="D377" s="17"/>
      <c r="E377" s="229"/>
      <c r="F377" s="17"/>
      <c r="G377" s="203"/>
      <c r="H377" s="17"/>
      <c r="I377" s="202"/>
      <c r="J377" s="17"/>
      <c r="K377" s="203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203"/>
      <c r="D378" s="17"/>
      <c r="E378" s="229"/>
      <c r="F378" s="17"/>
      <c r="G378" s="203"/>
      <c r="H378" s="17"/>
      <c r="I378" s="202"/>
      <c r="J378" s="17"/>
      <c r="K378" s="203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203"/>
      <c r="D379" s="17"/>
      <c r="E379" s="229"/>
      <c r="F379" s="17"/>
      <c r="G379" s="203"/>
      <c r="H379" s="17"/>
      <c r="I379" s="202"/>
      <c r="J379" s="17"/>
      <c r="K379" s="203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203"/>
      <c r="D380" s="17"/>
      <c r="E380" s="229"/>
      <c r="F380" s="17"/>
      <c r="G380" s="203"/>
      <c r="H380" s="17"/>
      <c r="I380" s="202"/>
      <c r="J380" s="17"/>
      <c r="K380" s="203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203"/>
      <c r="D381" s="17"/>
      <c r="E381" s="229"/>
      <c r="F381" s="17"/>
      <c r="G381" s="203"/>
      <c r="H381" s="17"/>
      <c r="I381" s="202"/>
      <c r="J381" s="17"/>
      <c r="K381" s="203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203"/>
      <c r="D382" s="17"/>
      <c r="E382" s="229"/>
      <c r="F382" s="17"/>
      <c r="G382" s="203"/>
      <c r="H382" s="17"/>
      <c r="I382" s="202"/>
      <c r="J382" s="17"/>
      <c r="K382" s="203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203"/>
      <c r="D383" s="17"/>
      <c r="E383" s="229"/>
      <c r="F383" s="17"/>
      <c r="G383" s="203"/>
      <c r="H383" s="17"/>
      <c r="I383" s="202"/>
      <c r="J383" s="17"/>
      <c r="K383" s="203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203"/>
      <c r="D384" s="17"/>
      <c r="E384" s="229"/>
      <c r="F384" s="17"/>
      <c r="G384" s="203"/>
      <c r="H384" s="17"/>
      <c r="I384" s="202"/>
      <c r="J384" s="17"/>
      <c r="K384" s="203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203"/>
      <c r="D385" s="17"/>
      <c r="E385" s="229"/>
      <c r="F385" s="17"/>
      <c r="G385" s="203"/>
      <c r="H385" s="17"/>
      <c r="I385" s="202"/>
      <c r="J385" s="17"/>
      <c r="K385" s="203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203"/>
      <c r="D386" s="17"/>
      <c r="E386" s="229"/>
      <c r="F386" s="17"/>
      <c r="G386" s="203"/>
      <c r="H386" s="17"/>
      <c r="I386" s="202"/>
      <c r="J386" s="17"/>
      <c r="K386" s="203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203"/>
      <c r="D387" s="17"/>
      <c r="E387" s="229"/>
      <c r="F387" s="17"/>
      <c r="G387" s="203"/>
      <c r="H387" s="17"/>
      <c r="I387" s="202"/>
      <c r="J387" s="17"/>
      <c r="K387" s="203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203"/>
      <c r="D388" s="17"/>
      <c r="E388" s="229"/>
      <c r="F388" s="17"/>
      <c r="G388" s="203"/>
      <c r="H388" s="17"/>
      <c r="I388" s="202"/>
      <c r="J388" s="17"/>
      <c r="K388" s="203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203"/>
      <c r="D389" s="17"/>
      <c r="E389" s="229"/>
      <c r="F389" s="17"/>
      <c r="G389" s="203"/>
      <c r="H389" s="17"/>
      <c r="I389" s="202"/>
      <c r="J389" s="17"/>
      <c r="K389" s="203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203"/>
      <c r="D390" s="17"/>
      <c r="E390" s="229"/>
      <c r="F390" s="17"/>
      <c r="G390" s="203"/>
      <c r="H390" s="17"/>
      <c r="I390" s="202"/>
      <c r="J390" s="17"/>
      <c r="K390" s="203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203"/>
      <c r="D391" s="17"/>
      <c r="E391" s="229"/>
      <c r="F391" s="17"/>
      <c r="G391" s="203"/>
      <c r="H391" s="17"/>
      <c r="I391" s="202"/>
      <c r="J391" s="17"/>
      <c r="K391" s="203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203"/>
      <c r="D392" s="17"/>
      <c r="E392" s="229"/>
      <c r="F392" s="17"/>
      <c r="G392" s="203"/>
      <c r="H392" s="17"/>
      <c r="I392" s="202"/>
      <c r="J392" s="17"/>
      <c r="K392" s="203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203"/>
      <c r="D393" s="17"/>
      <c r="E393" s="229"/>
      <c r="F393" s="17"/>
      <c r="G393" s="203"/>
      <c r="H393" s="17"/>
      <c r="I393" s="202"/>
      <c r="J393" s="17"/>
      <c r="K393" s="203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203"/>
      <c r="D394" s="17"/>
      <c r="E394" s="229"/>
      <c r="F394" s="17"/>
      <c r="G394" s="203"/>
      <c r="H394" s="17"/>
      <c r="I394" s="202"/>
      <c r="J394" s="17"/>
      <c r="K394" s="203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203"/>
      <c r="D395" s="17"/>
      <c r="E395" s="229"/>
      <c r="F395" s="17"/>
      <c r="G395" s="203"/>
      <c r="H395" s="17"/>
      <c r="I395" s="202"/>
      <c r="J395" s="17"/>
      <c r="K395" s="203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203"/>
      <c r="D396" s="17"/>
      <c r="E396" s="229"/>
      <c r="F396" s="17"/>
      <c r="G396" s="203"/>
      <c r="H396" s="17"/>
      <c r="I396" s="202"/>
      <c r="J396" s="17"/>
      <c r="K396" s="203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203"/>
      <c r="D397" s="17"/>
      <c r="E397" s="229"/>
      <c r="F397" s="17"/>
      <c r="G397" s="203"/>
      <c r="H397" s="17"/>
      <c r="I397" s="202"/>
      <c r="J397" s="17"/>
      <c r="K397" s="203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203"/>
      <c r="D398" s="17"/>
      <c r="E398" s="229"/>
      <c r="F398" s="17"/>
      <c r="G398" s="203"/>
      <c r="H398" s="17"/>
      <c r="I398" s="202"/>
      <c r="J398" s="17"/>
      <c r="K398" s="203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203"/>
      <c r="D399" s="17"/>
      <c r="E399" s="229"/>
      <c r="F399" s="17"/>
      <c r="G399" s="203"/>
      <c r="H399" s="17"/>
      <c r="I399" s="202"/>
      <c r="J399" s="17"/>
      <c r="K399" s="203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203"/>
      <c r="D400" s="17"/>
      <c r="E400" s="229"/>
      <c r="F400" s="17"/>
      <c r="G400" s="203"/>
      <c r="H400" s="17"/>
      <c r="I400" s="202"/>
      <c r="J400" s="17"/>
      <c r="K400" s="203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203"/>
      <c r="D401" s="17"/>
      <c r="E401" s="229"/>
      <c r="F401" s="17"/>
      <c r="G401" s="203"/>
      <c r="H401" s="17"/>
      <c r="I401" s="202"/>
      <c r="J401" s="17"/>
      <c r="K401" s="203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203"/>
      <c r="D402" s="17"/>
      <c r="E402" s="229"/>
      <c r="F402" s="17"/>
      <c r="G402" s="203"/>
      <c r="H402" s="17"/>
      <c r="I402" s="202"/>
      <c r="J402" s="17"/>
      <c r="K402" s="203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203"/>
      <c r="D403" s="17"/>
      <c r="E403" s="229"/>
      <c r="F403" s="17"/>
      <c r="G403" s="203"/>
      <c r="H403" s="17"/>
      <c r="I403" s="202"/>
      <c r="J403" s="17"/>
      <c r="K403" s="203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203"/>
      <c r="D404" s="17"/>
      <c r="E404" s="229"/>
      <c r="F404" s="17"/>
      <c r="G404" s="203"/>
      <c r="H404" s="17"/>
      <c r="I404" s="202"/>
      <c r="J404" s="17"/>
      <c r="K404" s="203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203"/>
      <c r="D405" s="17"/>
      <c r="E405" s="229"/>
      <c r="F405" s="17"/>
      <c r="G405" s="203"/>
      <c r="H405" s="17"/>
      <c r="I405" s="202"/>
      <c r="J405" s="17"/>
      <c r="K405" s="203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203"/>
      <c r="D406" s="17"/>
      <c r="E406" s="229"/>
      <c r="F406" s="17"/>
      <c r="G406" s="203"/>
      <c r="H406" s="17"/>
      <c r="I406" s="202"/>
      <c r="J406" s="17"/>
      <c r="K406" s="203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203"/>
      <c r="D407" s="17"/>
      <c r="E407" s="229"/>
      <c r="F407" s="17"/>
      <c r="G407" s="203"/>
      <c r="H407" s="17"/>
      <c r="I407" s="202"/>
      <c r="J407" s="17"/>
      <c r="K407" s="203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203"/>
      <c r="D408" s="17"/>
      <c r="E408" s="229"/>
      <c r="F408" s="17"/>
      <c r="G408" s="203"/>
      <c r="H408" s="17"/>
      <c r="I408" s="202"/>
      <c r="J408" s="17"/>
      <c r="K408" s="203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203"/>
      <c r="D409" s="17"/>
      <c r="E409" s="229"/>
      <c r="F409" s="17"/>
      <c r="G409" s="203"/>
      <c r="H409" s="17"/>
      <c r="I409" s="202"/>
      <c r="J409" s="17"/>
      <c r="K409" s="203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203"/>
      <c r="D410" s="17"/>
      <c r="E410" s="229"/>
      <c r="F410" s="17"/>
      <c r="G410" s="203"/>
      <c r="H410" s="17"/>
      <c r="I410" s="202"/>
      <c r="J410" s="17"/>
      <c r="K410" s="203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203"/>
      <c r="D411" s="17"/>
      <c r="E411" s="229"/>
      <c r="F411" s="17"/>
      <c r="G411" s="203"/>
      <c r="H411" s="17"/>
      <c r="I411" s="202"/>
      <c r="J411" s="17"/>
      <c r="K411" s="203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203"/>
      <c r="D412" s="17"/>
      <c r="E412" s="229"/>
      <c r="F412" s="17"/>
      <c r="G412" s="203"/>
      <c r="H412" s="17"/>
      <c r="I412" s="202"/>
      <c r="J412" s="17"/>
      <c r="K412" s="203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203"/>
      <c r="D413" s="17"/>
      <c r="E413" s="229"/>
      <c r="F413" s="17"/>
      <c r="G413" s="203"/>
      <c r="H413" s="17"/>
      <c r="I413" s="202"/>
      <c r="J413" s="17"/>
      <c r="K413" s="203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203"/>
      <c r="D414" s="17"/>
      <c r="E414" s="229"/>
      <c r="F414" s="17"/>
      <c r="G414" s="203"/>
      <c r="H414" s="17"/>
      <c r="I414" s="202"/>
      <c r="J414" s="17"/>
      <c r="K414" s="203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203"/>
      <c r="D415" s="17"/>
      <c r="E415" s="229"/>
      <c r="F415" s="17"/>
      <c r="G415" s="203"/>
      <c r="H415" s="17"/>
      <c r="I415" s="202"/>
      <c r="J415" s="17"/>
      <c r="K415" s="203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203"/>
      <c r="D416" s="17"/>
      <c r="E416" s="229"/>
      <c r="F416" s="17"/>
      <c r="G416" s="203"/>
      <c r="H416" s="17"/>
      <c r="I416" s="202"/>
      <c r="J416" s="17"/>
      <c r="K416" s="203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203"/>
      <c r="D417" s="17"/>
      <c r="E417" s="229"/>
      <c r="F417" s="17"/>
      <c r="G417" s="203"/>
      <c r="H417" s="17"/>
      <c r="I417" s="202"/>
      <c r="J417" s="17"/>
      <c r="K417" s="203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203"/>
      <c r="D418" s="17"/>
      <c r="E418" s="229"/>
      <c r="F418" s="17"/>
      <c r="G418" s="203"/>
      <c r="H418" s="17"/>
      <c r="I418" s="202"/>
      <c r="J418" s="17"/>
      <c r="K418" s="203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203"/>
      <c r="D419" s="17"/>
      <c r="E419" s="229"/>
      <c r="F419" s="17"/>
      <c r="G419" s="203"/>
      <c r="H419" s="17"/>
      <c r="I419" s="202"/>
      <c r="J419" s="17"/>
      <c r="K419" s="203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203"/>
      <c r="D420" s="17"/>
      <c r="E420" s="229"/>
      <c r="F420" s="17"/>
      <c r="G420" s="203"/>
      <c r="H420" s="17"/>
      <c r="I420" s="202"/>
      <c r="J420" s="17"/>
      <c r="K420" s="203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203"/>
      <c r="D421" s="17"/>
      <c r="E421" s="229"/>
      <c r="F421" s="17"/>
      <c r="G421" s="203"/>
      <c r="H421" s="17"/>
      <c r="I421" s="202"/>
      <c r="J421" s="17"/>
      <c r="K421" s="203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203"/>
      <c r="D422" s="17"/>
      <c r="E422" s="229"/>
      <c r="F422" s="17"/>
      <c r="G422" s="203"/>
      <c r="H422" s="17"/>
      <c r="I422" s="202"/>
      <c r="J422" s="17"/>
      <c r="K422" s="203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203"/>
      <c r="D423" s="17"/>
      <c r="E423" s="229"/>
      <c r="F423" s="17"/>
      <c r="G423" s="203"/>
      <c r="H423" s="17"/>
      <c r="I423" s="202"/>
      <c r="J423" s="17"/>
      <c r="K423" s="203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203"/>
      <c r="D424" s="17"/>
      <c r="E424" s="229"/>
      <c r="F424" s="17"/>
      <c r="G424" s="203"/>
      <c r="H424" s="17"/>
      <c r="I424" s="202"/>
      <c r="J424" s="17"/>
      <c r="K424" s="203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203"/>
      <c r="D425" s="17"/>
      <c r="E425" s="229"/>
      <c r="F425" s="17"/>
      <c r="G425" s="203"/>
      <c r="H425" s="17"/>
      <c r="I425" s="202"/>
      <c r="J425" s="17"/>
      <c r="K425" s="203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203"/>
      <c r="D426" s="17"/>
      <c r="E426" s="229"/>
      <c r="F426" s="17"/>
      <c r="G426" s="203"/>
      <c r="H426" s="17"/>
      <c r="I426" s="202"/>
      <c r="J426" s="17"/>
      <c r="K426" s="203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203"/>
      <c r="D427" s="17"/>
      <c r="E427" s="229"/>
      <c r="F427" s="17"/>
      <c r="G427" s="203"/>
      <c r="H427" s="17"/>
      <c r="I427" s="202"/>
      <c r="J427" s="17"/>
      <c r="K427" s="203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203"/>
      <c r="D428" s="17"/>
      <c r="E428" s="229"/>
      <c r="F428" s="17"/>
      <c r="G428" s="203"/>
      <c r="H428" s="17"/>
      <c r="I428" s="202"/>
      <c r="J428" s="17"/>
      <c r="K428" s="203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203"/>
      <c r="D429" s="17"/>
      <c r="E429" s="229"/>
      <c r="F429" s="17"/>
      <c r="G429" s="203"/>
      <c r="H429" s="17"/>
      <c r="I429" s="202"/>
      <c r="J429" s="17"/>
      <c r="K429" s="203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203"/>
      <c r="D430" s="17"/>
      <c r="E430" s="229"/>
      <c r="F430" s="17"/>
      <c r="G430" s="203"/>
      <c r="H430" s="17"/>
      <c r="I430" s="202"/>
      <c r="J430" s="17"/>
      <c r="K430" s="203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203"/>
      <c r="D431" s="17"/>
      <c r="E431" s="229"/>
      <c r="F431" s="17"/>
      <c r="G431" s="203"/>
      <c r="H431" s="17"/>
      <c r="I431" s="202"/>
      <c r="J431" s="17"/>
      <c r="K431" s="203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203"/>
      <c r="D432" s="17"/>
      <c r="E432" s="229"/>
      <c r="F432" s="17"/>
      <c r="G432" s="203"/>
      <c r="H432" s="17"/>
      <c r="I432" s="202"/>
      <c r="J432" s="17"/>
      <c r="K432" s="203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203"/>
      <c r="D433" s="17"/>
      <c r="E433" s="229"/>
      <c r="F433" s="17"/>
      <c r="G433" s="203"/>
      <c r="H433" s="17"/>
      <c r="I433" s="202"/>
      <c r="J433" s="17"/>
      <c r="K433" s="203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203"/>
      <c r="D434" s="17"/>
      <c r="E434" s="229"/>
      <c r="F434" s="17"/>
      <c r="G434" s="203"/>
      <c r="H434" s="17"/>
      <c r="I434" s="202"/>
      <c r="J434" s="17"/>
      <c r="K434" s="203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203"/>
      <c r="D435" s="17"/>
      <c r="E435" s="229"/>
      <c r="F435" s="17"/>
      <c r="G435" s="203"/>
      <c r="H435" s="17"/>
      <c r="I435" s="202"/>
      <c r="J435" s="17"/>
      <c r="K435" s="203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203"/>
      <c r="D436" s="17"/>
      <c r="E436" s="229"/>
      <c r="F436" s="17"/>
      <c r="G436" s="203"/>
      <c r="H436" s="17"/>
      <c r="I436" s="202"/>
      <c r="J436" s="17"/>
      <c r="K436" s="203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203"/>
      <c r="D437" s="17"/>
      <c r="E437" s="229"/>
      <c r="F437" s="17"/>
      <c r="G437" s="203"/>
      <c r="H437" s="17"/>
      <c r="I437" s="202"/>
      <c r="J437" s="17"/>
      <c r="K437" s="203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203"/>
      <c r="D438" s="17"/>
      <c r="E438" s="229"/>
      <c r="F438" s="17"/>
      <c r="G438" s="203"/>
      <c r="H438" s="17"/>
      <c r="I438" s="202"/>
      <c r="J438" s="17"/>
      <c r="K438" s="203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203"/>
      <c r="D439" s="17"/>
      <c r="E439" s="229"/>
      <c r="F439" s="17"/>
      <c r="G439" s="203"/>
      <c r="H439" s="17"/>
      <c r="I439" s="202"/>
      <c r="J439" s="17"/>
      <c r="K439" s="203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203"/>
      <c r="D440" s="17"/>
      <c r="E440" s="229"/>
      <c r="F440" s="17"/>
      <c r="G440" s="203"/>
      <c r="H440" s="17"/>
      <c r="I440" s="202"/>
      <c r="J440" s="17"/>
      <c r="K440" s="203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203"/>
      <c r="D441" s="17"/>
      <c r="E441" s="229"/>
      <c r="F441" s="17"/>
      <c r="G441" s="203"/>
      <c r="H441" s="17"/>
      <c r="I441" s="202"/>
      <c r="J441" s="17"/>
      <c r="K441" s="203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203"/>
      <c r="D442" s="17"/>
      <c r="E442" s="229"/>
      <c r="F442" s="17"/>
      <c r="G442" s="203"/>
      <c r="H442" s="17"/>
      <c r="I442" s="202"/>
      <c r="J442" s="17"/>
      <c r="K442" s="203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203"/>
      <c r="D443" s="17"/>
      <c r="E443" s="229"/>
      <c r="F443" s="17"/>
      <c r="G443" s="203"/>
      <c r="H443" s="17"/>
      <c r="I443" s="202"/>
      <c r="J443" s="17"/>
      <c r="K443" s="203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203"/>
      <c r="D444" s="17"/>
      <c r="E444" s="229"/>
      <c r="F444" s="17"/>
      <c r="G444" s="203"/>
      <c r="H444" s="17"/>
      <c r="I444" s="202"/>
      <c r="J444" s="17"/>
      <c r="K444" s="203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203"/>
      <c r="D445" s="17"/>
      <c r="E445" s="229"/>
      <c r="F445" s="17"/>
      <c r="G445" s="203"/>
      <c r="H445" s="17"/>
      <c r="I445" s="202"/>
      <c r="J445" s="17"/>
      <c r="K445" s="203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203"/>
      <c r="D446" s="17"/>
      <c r="E446" s="229"/>
      <c r="F446" s="17"/>
      <c r="G446" s="203"/>
      <c r="H446" s="17"/>
      <c r="I446" s="202"/>
      <c r="J446" s="17"/>
      <c r="K446" s="203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203"/>
      <c r="D447" s="17"/>
      <c r="E447" s="229"/>
      <c r="F447" s="17"/>
      <c r="G447" s="203"/>
      <c r="H447" s="17"/>
      <c r="I447" s="202"/>
      <c r="J447" s="17"/>
      <c r="K447" s="203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203"/>
      <c r="D448" s="17"/>
      <c r="E448" s="229"/>
      <c r="F448" s="17"/>
      <c r="G448" s="203"/>
      <c r="H448" s="17"/>
      <c r="I448" s="202"/>
      <c r="J448" s="17"/>
      <c r="K448" s="203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203"/>
      <c r="D449" s="17"/>
      <c r="E449" s="229"/>
      <c r="F449" s="17"/>
      <c r="G449" s="203"/>
      <c r="H449" s="17"/>
      <c r="I449" s="202"/>
      <c r="J449" s="17"/>
      <c r="K449" s="203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203"/>
      <c r="D450" s="17"/>
      <c r="E450" s="229"/>
      <c r="F450" s="17"/>
      <c r="G450" s="203"/>
      <c r="H450" s="17"/>
      <c r="I450" s="202"/>
      <c r="J450" s="17"/>
      <c r="K450" s="203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203"/>
      <c r="D451" s="17"/>
      <c r="E451" s="229"/>
      <c r="F451" s="17"/>
      <c r="G451" s="203"/>
      <c r="H451" s="17"/>
      <c r="I451" s="202"/>
      <c r="J451" s="17"/>
      <c r="K451" s="203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203"/>
      <c r="D452" s="17"/>
      <c r="E452" s="229"/>
      <c r="F452" s="17"/>
      <c r="G452" s="203"/>
      <c r="H452" s="17"/>
      <c r="I452" s="202"/>
      <c r="J452" s="17"/>
      <c r="K452" s="203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203"/>
      <c r="D453" s="17"/>
      <c r="E453" s="229"/>
      <c r="F453" s="17"/>
      <c r="G453" s="203"/>
      <c r="H453" s="17"/>
      <c r="I453" s="202"/>
      <c r="J453" s="17"/>
      <c r="K453" s="203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203"/>
      <c r="D454" s="17"/>
      <c r="E454" s="229"/>
      <c r="F454" s="17"/>
      <c r="G454" s="203"/>
      <c r="H454" s="17"/>
      <c r="I454" s="202"/>
      <c r="J454" s="17"/>
      <c r="K454" s="203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203"/>
      <c r="D455" s="17"/>
      <c r="E455" s="229"/>
      <c r="F455" s="17"/>
      <c r="G455" s="203"/>
      <c r="H455" s="17"/>
      <c r="I455" s="202"/>
      <c r="J455" s="17"/>
      <c r="K455" s="203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203"/>
      <c r="D456" s="17"/>
      <c r="E456" s="229"/>
      <c r="F456" s="17"/>
      <c r="G456" s="203"/>
      <c r="H456" s="17"/>
      <c r="I456" s="202"/>
      <c r="J456" s="17"/>
      <c r="K456" s="203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203"/>
      <c r="D457" s="17"/>
      <c r="E457" s="229"/>
      <c r="F457" s="17"/>
      <c r="G457" s="203"/>
      <c r="H457" s="17"/>
      <c r="I457" s="202"/>
      <c r="J457" s="17"/>
      <c r="K457" s="203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203"/>
      <c r="D458" s="17"/>
      <c r="E458" s="229"/>
      <c r="F458" s="17"/>
      <c r="G458" s="203"/>
      <c r="H458" s="17"/>
      <c r="I458" s="202"/>
      <c r="J458" s="17"/>
      <c r="K458" s="203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203"/>
      <c r="D459" s="17"/>
      <c r="E459" s="229"/>
      <c r="F459" s="17"/>
      <c r="G459" s="203"/>
      <c r="H459" s="17"/>
      <c r="I459" s="202"/>
      <c r="J459" s="17"/>
      <c r="K459" s="203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203"/>
      <c r="D460" s="17"/>
      <c r="E460" s="229"/>
      <c r="F460" s="17"/>
      <c r="G460" s="203"/>
      <c r="H460" s="17"/>
      <c r="I460" s="202"/>
      <c r="J460" s="17"/>
      <c r="K460" s="203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203"/>
      <c r="D461" s="17"/>
      <c r="E461" s="229"/>
      <c r="F461" s="17"/>
      <c r="G461" s="203"/>
      <c r="H461" s="17"/>
      <c r="I461" s="202"/>
      <c r="J461" s="17"/>
      <c r="K461" s="203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203"/>
      <c r="D462" s="17"/>
      <c r="E462" s="229"/>
      <c r="F462" s="17"/>
      <c r="G462" s="203"/>
      <c r="H462" s="17"/>
      <c r="I462" s="202"/>
      <c r="J462" s="17"/>
      <c r="K462" s="203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203"/>
      <c r="D463" s="17"/>
      <c r="E463" s="229"/>
      <c r="F463" s="17"/>
      <c r="G463" s="203"/>
      <c r="H463" s="17"/>
      <c r="I463" s="202"/>
      <c r="J463" s="17"/>
      <c r="K463" s="203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203"/>
      <c r="D464" s="17"/>
      <c r="E464" s="229"/>
      <c r="F464" s="17"/>
      <c r="G464" s="203"/>
      <c r="H464" s="17"/>
      <c r="I464" s="202"/>
      <c r="J464" s="17"/>
      <c r="K464" s="203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203"/>
      <c r="D465" s="17"/>
      <c r="E465" s="229"/>
      <c r="F465" s="17"/>
      <c r="G465" s="203"/>
      <c r="H465" s="17"/>
      <c r="I465" s="202"/>
      <c r="J465" s="17"/>
      <c r="K465" s="203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203"/>
      <c r="D466" s="17"/>
      <c r="E466" s="229"/>
      <c r="F466" s="17"/>
      <c r="G466" s="203"/>
      <c r="H466" s="17"/>
      <c r="I466" s="202"/>
      <c r="J466" s="17"/>
      <c r="K466" s="203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203"/>
      <c r="D467" s="17"/>
      <c r="E467" s="229"/>
      <c r="F467" s="17"/>
      <c r="G467" s="203"/>
      <c r="H467" s="17"/>
      <c r="I467" s="202"/>
      <c r="J467" s="17"/>
      <c r="K467" s="203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203"/>
      <c r="D468" s="17"/>
      <c r="E468" s="229"/>
      <c r="F468" s="17"/>
      <c r="G468" s="203"/>
      <c r="H468" s="17"/>
      <c r="I468" s="202"/>
      <c r="J468" s="17"/>
      <c r="K468" s="203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203"/>
      <c r="D469" s="17"/>
      <c r="E469" s="229"/>
      <c r="F469" s="17"/>
      <c r="G469" s="203"/>
      <c r="H469" s="17"/>
      <c r="I469" s="202"/>
      <c r="J469" s="17"/>
      <c r="K469" s="203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203"/>
      <c r="D470" s="17"/>
      <c r="E470" s="229"/>
      <c r="F470" s="17"/>
      <c r="G470" s="203"/>
      <c r="H470" s="17"/>
      <c r="I470" s="202"/>
      <c r="J470" s="17"/>
      <c r="K470" s="203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203"/>
      <c r="D471" s="17"/>
      <c r="E471" s="229"/>
      <c r="F471" s="17"/>
      <c r="G471" s="203"/>
      <c r="H471" s="17"/>
      <c r="I471" s="202"/>
      <c r="J471" s="17"/>
      <c r="K471" s="203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203"/>
      <c r="D472" s="17"/>
      <c r="E472" s="229"/>
      <c r="F472" s="17"/>
      <c r="G472" s="203"/>
      <c r="H472" s="17"/>
      <c r="I472" s="202"/>
      <c r="J472" s="17"/>
      <c r="K472" s="203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203"/>
      <c r="D473" s="17"/>
      <c r="E473" s="229"/>
      <c r="F473" s="17"/>
      <c r="G473" s="203"/>
      <c r="H473" s="17"/>
      <c r="I473" s="202"/>
      <c r="J473" s="17"/>
      <c r="K473" s="203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203"/>
      <c r="D474" s="17"/>
      <c r="E474" s="229"/>
      <c r="F474" s="17"/>
      <c r="G474" s="203"/>
      <c r="H474" s="17"/>
      <c r="I474" s="202"/>
      <c r="J474" s="17"/>
      <c r="K474" s="203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203"/>
      <c r="D475" s="17"/>
      <c r="E475" s="229"/>
      <c r="F475" s="17"/>
      <c r="G475" s="203"/>
      <c r="H475" s="17"/>
      <c r="I475" s="202"/>
      <c r="J475" s="17"/>
      <c r="K475" s="203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203"/>
      <c r="D476" s="17"/>
      <c r="E476" s="229"/>
      <c r="F476" s="17"/>
      <c r="G476" s="203"/>
      <c r="H476" s="17"/>
      <c r="I476" s="202"/>
      <c r="J476" s="17"/>
      <c r="K476" s="203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203"/>
      <c r="D477" s="17"/>
      <c r="E477" s="229"/>
      <c r="F477" s="17"/>
      <c r="G477" s="203"/>
      <c r="H477" s="17"/>
      <c r="I477" s="202"/>
      <c r="J477" s="17"/>
      <c r="K477" s="203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203"/>
      <c r="D478" s="17"/>
      <c r="E478" s="229"/>
      <c r="F478" s="17"/>
      <c r="G478" s="203"/>
      <c r="H478" s="17"/>
      <c r="I478" s="202"/>
      <c r="J478" s="17"/>
      <c r="K478" s="203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203"/>
      <c r="D479" s="17"/>
      <c r="E479" s="229"/>
      <c r="F479" s="17"/>
      <c r="G479" s="203"/>
      <c r="H479" s="17"/>
      <c r="I479" s="202"/>
      <c r="J479" s="17"/>
      <c r="K479" s="203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203"/>
      <c r="D480" s="17"/>
      <c r="E480" s="229"/>
      <c r="F480" s="17"/>
      <c r="G480" s="203"/>
      <c r="H480" s="17"/>
      <c r="I480" s="202"/>
      <c r="J480" s="17"/>
      <c r="K480" s="203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203"/>
      <c r="D481" s="17"/>
      <c r="E481" s="229"/>
      <c r="F481" s="17"/>
      <c r="G481" s="203"/>
      <c r="H481" s="17"/>
      <c r="I481" s="202"/>
      <c r="J481" s="17"/>
      <c r="K481" s="203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203"/>
      <c r="D482" s="17"/>
      <c r="E482" s="229"/>
      <c r="F482" s="17"/>
      <c r="G482" s="203"/>
      <c r="H482" s="17"/>
      <c r="I482" s="202"/>
      <c r="J482" s="17"/>
      <c r="K482" s="203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203"/>
      <c r="D483" s="17"/>
      <c r="E483" s="229"/>
      <c r="F483" s="17"/>
      <c r="G483" s="203"/>
      <c r="H483" s="17"/>
      <c r="I483" s="202"/>
      <c r="J483" s="17"/>
      <c r="K483" s="203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203"/>
      <c r="D484" s="17"/>
      <c r="E484" s="229"/>
      <c r="F484" s="17"/>
      <c r="G484" s="203"/>
      <c r="H484" s="17"/>
      <c r="I484" s="202"/>
      <c r="J484" s="17"/>
      <c r="K484" s="203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203"/>
      <c r="D485" s="17"/>
      <c r="E485" s="229"/>
      <c r="F485" s="17"/>
      <c r="G485" s="203"/>
      <c r="H485" s="17"/>
      <c r="I485" s="202"/>
      <c r="J485" s="17"/>
      <c r="K485" s="203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203"/>
      <c r="D486" s="17"/>
      <c r="E486" s="229"/>
      <c r="F486" s="17"/>
      <c r="G486" s="203"/>
      <c r="H486" s="17"/>
      <c r="I486" s="202"/>
      <c r="J486" s="17"/>
      <c r="K486" s="203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203"/>
      <c r="D487" s="17"/>
      <c r="E487" s="229"/>
      <c r="F487" s="17"/>
      <c r="G487" s="203"/>
      <c r="H487" s="17"/>
      <c r="I487" s="202"/>
      <c r="J487" s="17"/>
      <c r="K487" s="203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203"/>
      <c r="D488" s="17"/>
      <c r="E488" s="229"/>
      <c r="F488" s="17"/>
      <c r="G488" s="203"/>
      <c r="H488" s="17"/>
      <c r="I488" s="202"/>
      <c r="J488" s="17"/>
      <c r="K488" s="203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203"/>
      <c r="D489" s="17"/>
      <c r="E489" s="229"/>
      <c r="F489" s="17"/>
      <c r="G489" s="203"/>
      <c r="H489" s="17"/>
      <c r="I489" s="202"/>
      <c r="J489" s="17"/>
      <c r="K489" s="203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203"/>
      <c r="D490" s="17"/>
      <c r="E490" s="229"/>
      <c r="F490" s="17"/>
      <c r="G490" s="203"/>
      <c r="H490" s="17"/>
      <c r="I490" s="202"/>
      <c r="J490" s="17"/>
      <c r="K490" s="203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203"/>
      <c r="D491" s="17"/>
      <c r="E491" s="229"/>
      <c r="F491" s="17"/>
      <c r="G491" s="203"/>
      <c r="H491" s="17"/>
      <c r="I491" s="202"/>
      <c r="J491" s="17"/>
      <c r="K491" s="203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203"/>
      <c r="D492" s="17"/>
      <c r="E492" s="229"/>
      <c r="F492" s="17"/>
      <c r="G492" s="203"/>
      <c r="H492" s="17"/>
      <c r="I492" s="202"/>
      <c r="J492" s="17"/>
      <c r="K492" s="203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203"/>
      <c r="D493" s="17"/>
      <c r="E493" s="229"/>
      <c r="F493" s="17"/>
      <c r="G493" s="203"/>
      <c r="H493" s="17"/>
      <c r="I493" s="202"/>
      <c r="J493" s="17"/>
      <c r="K493" s="203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203"/>
      <c r="D494" s="17"/>
      <c r="E494" s="229"/>
      <c r="F494" s="17"/>
      <c r="G494" s="203"/>
      <c r="H494" s="17"/>
      <c r="I494" s="202"/>
      <c r="J494" s="17"/>
      <c r="K494" s="203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203"/>
      <c r="D495" s="17"/>
      <c r="E495" s="229"/>
      <c r="F495" s="17"/>
      <c r="G495" s="203"/>
      <c r="H495" s="17"/>
      <c r="I495" s="202"/>
      <c r="J495" s="17"/>
      <c r="K495" s="203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203"/>
      <c r="D496" s="17"/>
      <c r="E496" s="229"/>
      <c r="F496" s="17"/>
      <c r="G496" s="203"/>
      <c r="H496" s="17"/>
      <c r="I496" s="202"/>
      <c r="J496" s="17"/>
      <c r="K496" s="203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203"/>
      <c r="D497" s="17"/>
      <c r="E497" s="229"/>
      <c r="F497" s="17"/>
      <c r="G497" s="203"/>
      <c r="H497" s="17"/>
      <c r="I497" s="202"/>
      <c r="J497" s="17"/>
      <c r="K497" s="203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203"/>
      <c r="D498" s="17"/>
      <c r="E498" s="229"/>
      <c r="F498" s="17"/>
      <c r="G498" s="203"/>
      <c r="H498" s="17"/>
      <c r="I498" s="202"/>
      <c r="J498" s="17"/>
      <c r="K498" s="203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203"/>
      <c r="D499" s="17"/>
      <c r="E499" s="229"/>
      <c r="F499" s="17"/>
      <c r="G499" s="203"/>
      <c r="H499" s="17"/>
      <c r="I499" s="202"/>
      <c r="J499" s="17"/>
      <c r="K499" s="203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203"/>
      <c r="D500" s="17"/>
      <c r="E500" s="229"/>
      <c r="F500" s="17"/>
      <c r="G500" s="203"/>
      <c r="H500" s="17"/>
      <c r="I500" s="202"/>
      <c r="J500" s="17"/>
      <c r="K500" s="203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203"/>
      <c r="D501" s="17"/>
      <c r="E501" s="229"/>
      <c r="F501" s="17"/>
      <c r="G501" s="203"/>
      <c r="H501" s="17"/>
      <c r="I501" s="202"/>
      <c r="J501" s="17"/>
      <c r="K501" s="203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203"/>
      <c r="D502" s="17"/>
      <c r="E502" s="229"/>
      <c r="F502" s="17"/>
      <c r="G502" s="203"/>
      <c r="H502" s="17"/>
      <c r="I502" s="202"/>
      <c r="J502" s="17"/>
      <c r="K502" s="203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203"/>
      <c r="D503" s="17"/>
      <c r="E503" s="229"/>
      <c r="F503" s="17"/>
      <c r="G503" s="203"/>
      <c r="H503" s="17"/>
      <c r="I503" s="202"/>
      <c r="J503" s="17"/>
      <c r="K503" s="203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203"/>
      <c r="D504" s="17"/>
      <c r="E504" s="229"/>
      <c r="F504" s="17"/>
      <c r="G504" s="203"/>
      <c r="H504" s="17"/>
      <c r="I504" s="202"/>
      <c r="J504" s="17"/>
      <c r="K504" s="203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203"/>
      <c r="D505" s="17"/>
      <c r="E505" s="229"/>
      <c r="F505" s="17"/>
      <c r="G505" s="203"/>
      <c r="H505" s="17"/>
      <c r="I505" s="202"/>
      <c r="J505" s="17"/>
      <c r="K505" s="203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203"/>
      <c r="D506" s="17"/>
      <c r="E506" s="229"/>
      <c r="F506" s="17"/>
      <c r="G506" s="203"/>
      <c r="H506" s="17"/>
      <c r="I506" s="202"/>
      <c r="J506" s="17"/>
      <c r="K506" s="203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203"/>
      <c r="D507" s="17"/>
      <c r="E507" s="229"/>
      <c r="F507" s="17"/>
      <c r="G507" s="203"/>
      <c r="H507" s="17"/>
      <c r="I507" s="202"/>
      <c r="J507" s="17"/>
      <c r="K507" s="203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203"/>
      <c r="D508" s="17"/>
      <c r="E508" s="229"/>
      <c r="F508" s="17"/>
      <c r="G508" s="203"/>
      <c r="H508" s="17"/>
      <c r="I508" s="202"/>
      <c r="J508" s="17"/>
      <c r="K508" s="203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203"/>
      <c r="D509" s="17"/>
      <c r="E509" s="229"/>
      <c r="F509" s="17"/>
      <c r="G509" s="203"/>
      <c r="H509" s="17"/>
      <c r="I509" s="202"/>
      <c r="J509" s="17"/>
      <c r="K509" s="203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203"/>
      <c r="D510" s="17"/>
      <c r="E510" s="229"/>
      <c r="F510" s="17"/>
      <c r="G510" s="203"/>
      <c r="H510" s="17"/>
      <c r="I510" s="202"/>
      <c r="J510" s="17"/>
      <c r="K510" s="203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203"/>
      <c r="D511" s="17"/>
      <c r="E511" s="229"/>
      <c r="F511" s="17"/>
      <c r="G511" s="203"/>
      <c r="H511" s="17"/>
      <c r="I511" s="202"/>
      <c r="J511" s="17"/>
      <c r="K511" s="203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203"/>
      <c r="D512" s="17"/>
      <c r="E512" s="229"/>
      <c r="F512" s="17"/>
      <c r="G512" s="203"/>
      <c r="H512" s="17"/>
      <c r="I512" s="202"/>
      <c r="J512" s="17"/>
      <c r="K512" s="203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203"/>
      <c r="D513" s="17"/>
      <c r="E513" s="229"/>
      <c r="F513" s="17"/>
      <c r="G513" s="203"/>
      <c r="H513" s="17"/>
      <c r="I513" s="202"/>
      <c r="J513" s="17"/>
      <c r="K513" s="203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203"/>
      <c r="D514" s="17"/>
      <c r="E514" s="229"/>
      <c r="F514" s="17"/>
      <c r="G514" s="203"/>
      <c r="H514" s="17"/>
      <c r="I514" s="202"/>
      <c r="J514" s="17"/>
      <c r="K514" s="203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203"/>
      <c r="D515" s="17"/>
      <c r="E515" s="229"/>
      <c r="F515" s="17"/>
      <c r="G515" s="203"/>
      <c r="H515" s="17"/>
      <c r="I515" s="202"/>
      <c r="J515" s="17"/>
      <c r="K515" s="203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203"/>
      <c r="D516" s="17"/>
      <c r="E516" s="229"/>
      <c r="F516" s="17"/>
      <c r="G516" s="203"/>
      <c r="H516" s="17"/>
      <c r="I516" s="202"/>
      <c r="J516" s="17"/>
      <c r="K516" s="203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203"/>
      <c r="D517" s="17"/>
      <c r="E517" s="229"/>
      <c r="F517" s="17"/>
      <c r="G517" s="203"/>
      <c r="H517" s="17"/>
      <c r="I517" s="202"/>
      <c r="J517" s="17"/>
      <c r="K517" s="203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203"/>
      <c r="D518" s="17"/>
      <c r="E518" s="229"/>
      <c r="F518" s="17"/>
      <c r="G518" s="203"/>
      <c r="H518" s="17"/>
      <c r="I518" s="202"/>
      <c r="J518" s="17"/>
      <c r="K518" s="203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203"/>
      <c r="D519" s="17"/>
      <c r="E519" s="229"/>
      <c r="F519" s="17"/>
      <c r="G519" s="203"/>
      <c r="H519" s="17"/>
      <c r="I519" s="202"/>
      <c r="J519" s="17"/>
      <c r="K519" s="203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203"/>
      <c r="D520" s="17"/>
      <c r="E520" s="229"/>
      <c r="F520" s="17"/>
      <c r="G520" s="203"/>
      <c r="H520" s="17"/>
      <c r="I520" s="202"/>
      <c r="J520" s="17"/>
      <c r="K520" s="203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203"/>
      <c r="D521" s="17"/>
      <c r="E521" s="229"/>
      <c r="F521" s="17"/>
      <c r="G521" s="203"/>
      <c r="H521" s="17"/>
      <c r="I521" s="202"/>
      <c r="J521" s="17"/>
      <c r="K521" s="203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203"/>
      <c r="D522" s="17"/>
      <c r="E522" s="229"/>
      <c r="F522" s="17"/>
      <c r="G522" s="203"/>
      <c r="H522" s="17"/>
      <c r="I522" s="202"/>
      <c r="J522" s="17"/>
      <c r="K522" s="203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203"/>
      <c r="D523" s="17"/>
      <c r="E523" s="229"/>
      <c r="F523" s="17"/>
      <c r="G523" s="203"/>
      <c r="H523" s="17"/>
      <c r="I523" s="202"/>
      <c r="J523" s="17"/>
      <c r="K523" s="203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203"/>
      <c r="D524" s="17"/>
      <c r="E524" s="229"/>
      <c r="F524" s="17"/>
      <c r="G524" s="203"/>
      <c r="H524" s="17"/>
      <c r="I524" s="202"/>
      <c r="J524" s="17"/>
      <c r="K524" s="203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203"/>
      <c r="D525" s="17"/>
      <c r="E525" s="229"/>
      <c r="F525" s="17"/>
      <c r="G525" s="203"/>
      <c r="H525" s="17"/>
      <c r="I525" s="202"/>
      <c r="J525" s="17"/>
      <c r="K525" s="203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203"/>
      <c r="D526" s="17"/>
      <c r="E526" s="229"/>
      <c r="F526" s="17"/>
      <c r="G526" s="203"/>
      <c r="H526" s="17"/>
      <c r="I526" s="202"/>
      <c r="J526" s="17"/>
      <c r="K526" s="203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203"/>
      <c r="D527" s="17"/>
      <c r="E527" s="229"/>
      <c r="F527" s="17"/>
      <c r="G527" s="203"/>
      <c r="H527" s="17"/>
      <c r="I527" s="202"/>
      <c r="J527" s="17"/>
      <c r="K527" s="203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203"/>
      <c r="D528" s="17"/>
      <c r="E528" s="229"/>
      <c r="F528" s="17"/>
      <c r="G528" s="203"/>
      <c r="H528" s="17"/>
      <c r="I528" s="202"/>
      <c r="J528" s="17"/>
      <c r="K528" s="203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203"/>
      <c r="D529" s="17"/>
      <c r="E529" s="229"/>
      <c r="F529" s="17"/>
      <c r="G529" s="203"/>
      <c r="H529" s="17"/>
      <c r="I529" s="202"/>
      <c r="J529" s="17"/>
      <c r="K529" s="203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203"/>
      <c r="D530" s="17"/>
      <c r="E530" s="229"/>
      <c r="F530" s="17"/>
      <c r="G530" s="203"/>
      <c r="H530" s="17"/>
      <c r="I530" s="202"/>
      <c r="J530" s="17"/>
      <c r="K530" s="203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203"/>
      <c r="D531" s="17"/>
      <c r="E531" s="229"/>
      <c r="F531" s="17"/>
      <c r="G531" s="203"/>
      <c r="H531" s="17"/>
      <c r="I531" s="202"/>
      <c r="J531" s="17"/>
      <c r="K531" s="203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203"/>
      <c r="D532" s="17"/>
      <c r="E532" s="229"/>
      <c r="F532" s="17"/>
      <c r="G532" s="203"/>
      <c r="H532" s="17"/>
      <c r="I532" s="202"/>
      <c r="J532" s="17"/>
      <c r="K532" s="203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203"/>
      <c r="D533" s="17"/>
      <c r="E533" s="229"/>
      <c r="F533" s="17"/>
      <c r="G533" s="203"/>
      <c r="H533" s="17"/>
      <c r="I533" s="202"/>
      <c r="J533" s="17"/>
      <c r="K533" s="203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203"/>
      <c r="D534" s="17"/>
      <c r="E534" s="229"/>
      <c r="F534" s="17"/>
      <c r="G534" s="203"/>
      <c r="H534" s="17"/>
      <c r="I534" s="202"/>
      <c r="J534" s="17"/>
      <c r="K534" s="203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203"/>
      <c r="D535" s="17"/>
      <c r="E535" s="229"/>
      <c r="F535" s="17"/>
      <c r="G535" s="203"/>
      <c r="H535" s="17"/>
      <c r="I535" s="202"/>
      <c r="J535" s="17"/>
      <c r="K535" s="203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203"/>
      <c r="D536" s="17"/>
      <c r="E536" s="229"/>
      <c r="F536" s="17"/>
      <c r="G536" s="203"/>
      <c r="H536" s="17"/>
      <c r="I536" s="202"/>
      <c r="J536" s="17"/>
      <c r="K536" s="203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203"/>
      <c r="D537" s="17"/>
      <c r="E537" s="229"/>
      <c r="F537" s="17"/>
      <c r="G537" s="203"/>
      <c r="H537" s="17"/>
      <c r="I537" s="202"/>
      <c r="J537" s="17"/>
      <c r="K537" s="203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203"/>
      <c r="D538" s="17"/>
      <c r="E538" s="229"/>
      <c r="F538" s="17"/>
      <c r="G538" s="203"/>
      <c r="H538" s="17"/>
      <c r="I538" s="202"/>
      <c r="J538" s="17"/>
      <c r="K538" s="203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203"/>
      <c r="D539" s="17"/>
      <c r="E539" s="229"/>
      <c r="F539" s="17"/>
      <c r="G539" s="203"/>
      <c r="H539" s="17"/>
      <c r="I539" s="202"/>
      <c r="J539" s="17"/>
      <c r="K539" s="203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203"/>
      <c r="D540" s="17"/>
      <c r="E540" s="229"/>
      <c r="F540" s="17"/>
      <c r="G540" s="203"/>
      <c r="H540" s="17"/>
      <c r="I540" s="202"/>
      <c r="J540" s="17"/>
      <c r="K540" s="203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203"/>
      <c r="D541" s="17"/>
      <c r="E541" s="229"/>
      <c r="F541" s="17"/>
      <c r="G541" s="203"/>
      <c r="H541" s="17"/>
      <c r="I541" s="202"/>
      <c r="J541" s="17"/>
      <c r="K541" s="203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203"/>
      <c r="D542" s="17"/>
      <c r="E542" s="229"/>
      <c r="F542" s="17"/>
      <c r="G542" s="203"/>
      <c r="H542" s="17"/>
      <c r="I542" s="202"/>
      <c r="J542" s="17"/>
      <c r="K542" s="203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203"/>
      <c r="D543" s="17"/>
      <c r="E543" s="229"/>
      <c r="F543" s="17"/>
      <c r="G543" s="203"/>
      <c r="H543" s="17"/>
      <c r="I543" s="202"/>
      <c r="J543" s="17"/>
      <c r="K543" s="203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203"/>
      <c r="D544" s="17"/>
      <c r="E544" s="229"/>
      <c r="F544" s="17"/>
      <c r="G544" s="203"/>
      <c r="H544" s="17"/>
      <c r="I544" s="202"/>
      <c r="J544" s="17"/>
      <c r="K544" s="203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203"/>
      <c r="D545" s="17"/>
      <c r="E545" s="229"/>
      <c r="F545" s="17"/>
      <c r="G545" s="203"/>
      <c r="H545" s="17"/>
      <c r="I545" s="202"/>
      <c r="J545" s="17"/>
      <c r="K545" s="203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203"/>
      <c r="D546" s="17"/>
      <c r="E546" s="229"/>
      <c r="F546" s="17"/>
      <c r="G546" s="203"/>
      <c r="H546" s="17"/>
      <c r="I546" s="202"/>
      <c r="J546" s="17"/>
      <c r="K546" s="203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203"/>
      <c r="D547" s="17"/>
      <c r="E547" s="229"/>
      <c r="F547" s="17"/>
      <c r="G547" s="203"/>
      <c r="H547" s="17"/>
      <c r="I547" s="202"/>
      <c r="J547" s="17"/>
      <c r="K547" s="203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203"/>
      <c r="D548" s="17"/>
      <c r="E548" s="229"/>
      <c r="F548" s="17"/>
      <c r="G548" s="203"/>
      <c r="H548" s="17"/>
      <c r="I548" s="202"/>
      <c r="J548" s="17"/>
      <c r="K548" s="203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203"/>
      <c r="D549" s="17"/>
      <c r="E549" s="229"/>
      <c r="F549" s="17"/>
      <c r="G549" s="203"/>
      <c r="H549" s="17"/>
      <c r="I549" s="202"/>
      <c r="J549" s="17"/>
      <c r="K549" s="203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203"/>
      <c r="D550" s="17"/>
      <c r="E550" s="229"/>
      <c r="F550" s="17"/>
      <c r="G550" s="203"/>
      <c r="H550" s="17"/>
      <c r="I550" s="202"/>
      <c r="J550" s="17"/>
      <c r="K550" s="203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203"/>
      <c r="D551" s="17"/>
      <c r="E551" s="229"/>
      <c r="F551" s="17"/>
      <c r="G551" s="203"/>
      <c r="H551" s="17"/>
      <c r="I551" s="202"/>
      <c r="J551" s="17"/>
      <c r="K551" s="203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203"/>
      <c r="D552" s="17"/>
      <c r="E552" s="229"/>
      <c r="F552" s="17"/>
      <c r="G552" s="203"/>
      <c r="H552" s="17"/>
      <c r="I552" s="202"/>
      <c r="J552" s="17"/>
      <c r="K552" s="203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203"/>
      <c r="D553" s="17"/>
      <c r="E553" s="229"/>
      <c r="F553" s="17"/>
      <c r="G553" s="203"/>
      <c r="H553" s="17"/>
      <c r="I553" s="202"/>
      <c r="J553" s="17"/>
      <c r="K553" s="203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203"/>
      <c r="D554" s="17"/>
      <c r="E554" s="229"/>
      <c r="F554" s="17"/>
      <c r="G554" s="203"/>
      <c r="H554" s="17"/>
      <c r="I554" s="202"/>
      <c r="J554" s="17"/>
      <c r="K554" s="203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203"/>
      <c r="D555" s="17"/>
      <c r="E555" s="229"/>
      <c r="F555" s="17"/>
      <c r="G555" s="203"/>
      <c r="H555" s="17"/>
      <c r="I555" s="202"/>
      <c r="J555" s="17"/>
      <c r="K555" s="203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203"/>
      <c r="D556" s="17"/>
      <c r="E556" s="229"/>
      <c r="F556" s="17"/>
      <c r="G556" s="203"/>
      <c r="H556" s="17"/>
      <c r="I556" s="202"/>
      <c r="J556" s="17"/>
      <c r="K556" s="203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203"/>
      <c r="D557" s="17"/>
      <c r="E557" s="229"/>
      <c r="F557" s="17"/>
      <c r="G557" s="203"/>
      <c r="H557" s="17"/>
      <c r="I557" s="202"/>
      <c r="J557" s="17"/>
      <c r="K557" s="203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203"/>
      <c r="D558" s="17"/>
      <c r="E558" s="229"/>
      <c r="F558" s="17"/>
      <c r="G558" s="203"/>
      <c r="H558" s="17"/>
      <c r="I558" s="202"/>
      <c r="J558" s="17"/>
      <c r="K558" s="203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203"/>
      <c r="D559" s="17"/>
      <c r="E559" s="229"/>
      <c r="F559" s="17"/>
      <c r="G559" s="203"/>
      <c r="H559" s="17"/>
      <c r="I559" s="202"/>
      <c r="J559" s="17"/>
      <c r="K559" s="203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203"/>
      <c r="D560" s="17"/>
      <c r="E560" s="229"/>
      <c r="F560" s="17"/>
      <c r="G560" s="203"/>
      <c r="H560" s="17"/>
      <c r="I560" s="202"/>
      <c r="J560" s="17"/>
      <c r="K560" s="203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203"/>
      <c r="D561" s="17"/>
      <c r="E561" s="229"/>
      <c r="F561" s="17"/>
      <c r="G561" s="203"/>
      <c r="H561" s="17"/>
      <c r="I561" s="202"/>
      <c r="J561" s="17"/>
      <c r="K561" s="203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203"/>
      <c r="D562" s="17"/>
      <c r="E562" s="229"/>
      <c r="F562" s="17"/>
      <c r="G562" s="203"/>
      <c r="H562" s="17"/>
      <c r="I562" s="202"/>
      <c r="J562" s="17"/>
      <c r="K562" s="203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203"/>
      <c r="D563" s="17"/>
      <c r="E563" s="229"/>
      <c r="F563" s="17"/>
      <c r="G563" s="203"/>
      <c r="H563" s="17"/>
      <c r="I563" s="202"/>
      <c r="J563" s="17"/>
      <c r="K563" s="203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203"/>
      <c r="D564" s="17"/>
      <c r="E564" s="229"/>
      <c r="F564" s="17"/>
      <c r="G564" s="203"/>
      <c r="H564" s="17"/>
      <c r="I564" s="202"/>
      <c r="J564" s="17"/>
      <c r="K564" s="203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203"/>
      <c r="D565" s="17"/>
      <c r="E565" s="229"/>
      <c r="F565" s="17"/>
      <c r="G565" s="203"/>
      <c r="H565" s="17"/>
      <c r="I565" s="202"/>
      <c r="J565" s="17"/>
      <c r="K565" s="203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203"/>
      <c r="D566" s="17"/>
      <c r="E566" s="229"/>
      <c r="F566" s="17"/>
      <c r="G566" s="203"/>
      <c r="H566" s="17"/>
      <c r="I566" s="202"/>
      <c r="J566" s="17"/>
      <c r="K566" s="203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203"/>
      <c r="D567" s="17"/>
      <c r="E567" s="229"/>
      <c r="F567" s="17"/>
      <c r="G567" s="203"/>
      <c r="H567" s="17"/>
      <c r="I567" s="202"/>
      <c r="J567" s="17"/>
      <c r="K567" s="203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203"/>
      <c r="D568" s="17"/>
      <c r="E568" s="229"/>
      <c r="F568" s="17"/>
      <c r="G568" s="203"/>
      <c r="H568" s="17"/>
      <c r="I568" s="202"/>
      <c r="J568" s="17"/>
      <c r="K568" s="203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203"/>
      <c r="D569" s="17"/>
      <c r="E569" s="229"/>
      <c r="F569" s="17"/>
      <c r="G569" s="203"/>
      <c r="H569" s="17"/>
      <c r="I569" s="202"/>
      <c r="J569" s="17"/>
      <c r="K569" s="203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203"/>
      <c r="D570" s="17"/>
      <c r="E570" s="229"/>
      <c r="F570" s="17"/>
      <c r="G570" s="203"/>
      <c r="H570" s="17"/>
      <c r="I570" s="202"/>
      <c r="J570" s="17"/>
      <c r="K570" s="203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203"/>
      <c r="D571" s="17"/>
      <c r="E571" s="229"/>
      <c r="F571" s="17"/>
      <c r="G571" s="203"/>
      <c r="H571" s="17"/>
      <c r="I571" s="202"/>
      <c r="J571" s="17"/>
      <c r="K571" s="203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203"/>
      <c r="D572" s="17"/>
      <c r="E572" s="229"/>
      <c r="F572" s="17"/>
      <c r="G572" s="203"/>
      <c r="H572" s="17"/>
      <c r="I572" s="202"/>
      <c r="J572" s="17"/>
      <c r="K572" s="203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203"/>
      <c r="D573" s="17"/>
      <c r="E573" s="229"/>
      <c r="F573" s="17"/>
      <c r="G573" s="203"/>
      <c r="H573" s="17"/>
      <c r="I573" s="202"/>
      <c r="J573" s="17"/>
      <c r="K573" s="203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203"/>
      <c r="D574" s="17"/>
      <c r="E574" s="229"/>
      <c r="F574" s="17"/>
      <c r="G574" s="203"/>
      <c r="H574" s="17"/>
      <c r="I574" s="202"/>
      <c r="J574" s="17"/>
      <c r="K574" s="203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203"/>
      <c r="D575" s="17"/>
      <c r="E575" s="229"/>
      <c r="F575" s="17"/>
      <c r="G575" s="203"/>
      <c r="H575" s="17"/>
      <c r="I575" s="202"/>
      <c r="J575" s="17"/>
      <c r="K575" s="203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203"/>
      <c r="D576" s="17"/>
      <c r="E576" s="229"/>
      <c r="F576" s="17"/>
      <c r="G576" s="203"/>
      <c r="H576" s="17"/>
      <c r="I576" s="202"/>
      <c r="J576" s="17"/>
      <c r="K576" s="203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203"/>
      <c r="D577" s="17"/>
      <c r="E577" s="229"/>
      <c r="F577" s="17"/>
      <c r="G577" s="203"/>
      <c r="H577" s="17"/>
      <c r="I577" s="202"/>
      <c r="J577" s="17"/>
      <c r="K577" s="203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203"/>
      <c r="D578" s="17"/>
      <c r="E578" s="229"/>
      <c r="F578" s="17"/>
      <c r="G578" s="203"/>
      <c r="H578" s="17"/>
      <c r="I578" s="202"/>
      <c r="J578" s="17"/>
      <c r="K578" s="203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203"/>
      <c r="D579" s="17"/>
      <c r="E579" s="229"/>
      <c r="F579" s="17"/>
      <c r="G579" s="203"/>
      <c r="H579" s="17"/>
      <c r="I579" s="202"/>
      <c r="J579" s="17"/>
      <c r="K579" s="203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203"/>
      <c r="D580" s="17"/>
      <c r="E580" s="229"/>
      <c r="F580" s="17"/>
      <c r="G580" s="203"/>
      <c r="H580" s="17"/>
      <c r="I580" s="202"/>
      <c r="J580" s="17"/>
      <c r="K580" s="203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203"/>
      <c r="D581" s="17"/>
      <c r="E581" s="229"/>
      <c r="F581" s="17"/>
      <c r="G581" s="203"/>
      <c r="H581" s="17"/>
      <c r="I581" s="202"/>
      <c r="J581" s="17"/>
      <c r="K581" s="203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203"/>
      <c r="D582" s="17"/>
      <c r="E582" s="229"/>
      <c r="F582" s="17"/>
      <c r="G582" s="203"/>
      <c r="H582" s="17"/>
      <c r="I582" s="202"/>
      <c r="J582" s="17"/>
      <c r="K582" s="203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203"/>
      <c r="D583" s="17"/>
      <c r="E583" s="229"/>
      <c r="F583" s="17"/>
      <c r="G583" s="203"/>
      <c r="H583" s="17"/>
      <c r="I583" s="202"/>
      <c r="J583" s="17"/>
      <c r="K583" s="203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203"/>
      <c r="D584" s="17"/>
      <c r="E584" s="229"/>
      <c r="F584" s="17"/>
      <c r="G584" s="203"/>
      <c r="H584" s="17"/>
      <c r="I584" s="202"/>
      <c r="J584" s="17"/>
      <c r="K584" s="203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203"/>
      <c r="D585" s="17"/>
      <c r="E585" s="229"/>
      <c r="F585" s="17"/>
      <c r="G585" s="203"/>
      <c r="H585" s="17"/>
      <c r="I585" s="202"/>
      <c r="J585" s="17"/>
      <c r="K585" s="203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203"/>
      <c r="D586" s="17"/>
      <c r="E586" s="229"/>
      <c r="F586" s="17"/>
      <c r="G586" s="203"/>
      <c r="H586" s="17"/>
      <c r="I586" s="202"/>
      <c r="J586" s="17"/>
      <c r="K586" s="203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203"/>
      <c r="D587" s="17"/>
      <c r="E587" s="229"/>
      <c r="F587" s="17"/>
      <c r="G587" s="203"/>
      <c r="H587" s="17"/>
      <c r="I587" s="202"/>
      <c r="J587" s="17"/>
      <c r="K587" s="203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203"/>
      <c r="D588" s="17"/>
      <c r="E588" s="229"/>
      <c r="F588" s="17"/>
      <c r="G588" s="203"/>
      <c r="H588" s="17"/>
      <c r="I588" s="202"/>
      <c r="J588" s="17"/>
      <c r="K588" s="203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203"/>
      <c r="D589" s="17"/>
      <c r="E589" s="229"/>
      <c r="F589" s="17"/>
      <c r="G589" s="203"/>
      <c r="H589" s="17"/>
      <c r="I589" s="202"/>
      <c r="J589" s="17"/>
      <c r="K589" s="203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203"/>
      <c r="D590" s="17"/>
      <c r="E590" s="229"/>
      <c r="F590" s="17"/>
      <c r="G590" s="203"/>
      <c r="H590" s="17"/>
      <c r="I590" s="202"/>
      <c r="J590" s="17"/>
      <c r="K590" s="203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203"/>
      <c r="D591" s="17"/>
      <c r="E591" s="229"/>
      <c r="F591" s="17"/>
      <c r="G591" s="203"/>
      <c r="H591" s="17"/>
      <c r="I591" s="202"/>
      <c r="J591" s="17"/>
      <c r="K591" s="203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203"/>
      <c r="D592" s="17"/>
      <c r="E592" s="229"/>
      <c r="F592" s="17"/>
      <c r="G592" s="203"/>
      <c r="H592" s="17"/>
      <c r="I592" s="202"/>
      <c r="J592" s="17"/>
      <c r="K592" s="203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203"/>
      <c r="D593" s="17"/>
      <c r="E593" s="229"/>
      <c r="F593" s="17"/>
      <c r="G593" s="203"/>
      <c r="H593" s="17"/>
      <c r="I593" s="202"/>
      <c r="J593" s="17"/>
      <c r="K593" s="203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203"/>
      <c r="D594" s="17"/>
      <c r="E594" s="229"/>
      <c r="F594" s="17"/>
      <c r="G594" s="203"/>
      <c r="H594" s="17"/>
      <c r="I594" s="202"/>
      <c r="J594" s="17"/>
      <c r="K594" s="203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203"/>
      <c r="D595" s="17"/>
      <c r="E595" s="229"/>
      <c r="F595" s="17"/>
      <c r="G595" s="203"/>
      <c r="H595" s="17"/>
      <c r="I595" s="202"/>
      <c r="J595" s="17"/>
      <c r="K595" s="203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203"/>
      <c r="D596" s="17"/>
      <c r="E596" s="229"/>
      <c r="F596" s="17"/>
      <c r="G596" s="203"/>
      <c r="H596" s="17"/>
      <c r="I596" s="202"/>
      <c r="J596" s="17"/>
      <c r="K596" s="203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203"/>
      <c r="D597" s="17"/>
      <c r="E597" s="229"/>
      <c r="F597" s="17"/>
      <c r="G597" s="203"/>
      <c r="H597" s="17"/>
      <c r="I597" s="202"/>
      <c r="J597" s="17"/>
      <c r="K597" s="203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203"/>
      <c r="D598" s="17"/>
      <c r="E598" s="229"/>
      <c r="F598" s="17"/>
      <c r="G598" s="203"/>
      <c r="H598" s="17"/>
      <c r="I598" s="202"/>
      <c r="J598" s="17"/>
      <c r="K598" s="203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203"/>
      <c r="D599" s="17"/>
      <c r="E599" s="229"/>
      <c r="F599" s="17"/>
      <c r="G599" s="203"/>
      <c r="H599" s="17"/>
      <c r="I599" s="202"/>
      <c r="J599" s="17"/>
      <c r="K599" s="203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203"/>
      <c r="D600" s="17"/>
      <c r="E600" s="229"/>
      <c r="F600" s="17"/>
      <c r="G600" s="203"/>
      <c r="H600" s="17"/>
      <c r="I600" s="202"/>
      <c r="J600" s="17"/>
      <c r="K600" s="203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203"/>
      <c r="D601" s="17"/>
      <c r="E601" s="229"/>
      <c r="F601" s="17"/>
      <c r="G601" s="203"/>
      <c r="H601" s="17"/>
      <c r="I601" s="202"/>
      <c r="J601" s="17"/>
      <c r="K601" s="203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203"/>
      <c r="D602" s="17"/>
      <c r="E602" s="229"/>
      <c r="F602" s="17"/>
      <c r="G602" s="203"/>
      <c r="H602" s="17"/>
      <c r="I602" s="202"/>
      <c r="J602" s="17"/>
      <c r="K602" s="203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203"/>
      <c r="D603" s="17"/>
      <c r="E603" s="229"/>
      <c r="F603" s="17"/>
      <c r="G603" s="203"/>
      <c r="H603" s="17"/>
      <c r="I603" s="202"/>
      <c r="J603" s="17"/>
      <c r="K603" s="203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203"/>
      <c r="D604" s="17"/>
      <c r="E604" s="229"/>
      <c r="F604" s="17"/>
      <c r="G604" s="203"/>
      <c r="H604" s="17"/>
      <c r="I604" s="202"/>
      <c r="J604" s="17"/>
      <c r="K604" s="203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203"/>
      <c r="D605" s="17"/>
      <c r="E605" s="229"/>
      <c r="F605" s="17"/>
      <c r="G605" s="203"/>
      <c r="H605" s="17"/>
      <c r="I605" s="202"/>
      <c r="J605" s="17"/>
      <c r="K605" s="203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203"/>
      <c r="D606" s="17"/>
      <c r="E606" s="229"/>
      <c r="F606" s="17"/>
      <c r="G606" s="203"/>
      <c r="H606" s="17"/>
      <c r="I606" s="202"/>
      <c r="J606" s="17"/>
      <c r="K606" s="203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203"/>
      <c r="D607" s="17"/>
      <c r="E607" s="229"/>
      <c r="F607" s="17"/>
      <c r="G607" s="203"/>
      <c r="H607" s="17"/>
      <c r="I607" s="202"/>
      <c r="J607" s="17"/>
      <c r="K607" s="203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203"/>
      <c r="D608" s="17"/>
      <c r="E608" s="229"/>
      <c r="F608" s="17"/>
      <c r="G608" s="203"/>
      <c r="H608" s="17"/>
      <c r="I608" s="202"/>
      <c r="J608" s="17"/>
      <c r="K608" s="203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203"/>
      <c r="D609" s="17"/>
      <c r="E609" s="229"/>
      <c r="F609" s="17"/>
      <c r="G609" s="203"/>
      <c r="H609" s="17"/>
      <c r="I609" s="202"/>
      <c r="J609" s="17"/>
      <c r="K609" s="203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203"/>
      <c r="D610" s="17"/>
      <c r="E610" s="229"/>
      <c r="F610" s="17"/>
      <c r="G610" s="203"/>
      <c r="H610" s="17"/>
      <c r="I610" s="202"/>
      <c r="J610" s="17"/>
      <c r="K610" s="203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203"/>
      <c r="D611" s="17"/>
      <c r="E611" s="229"/>
      <c r="F611" s="17"/>
      <c r="G611" s="203"/>
      <c r="H611" s="17"/>
      <c r="I611" s="202"/>
      <c r="J611" s="17"/>
      <c r="K611" s="203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203"/>
      <c r="D612" s="17"/>
      <c r="E612" s="229"/>
      <c r="F612" s="17"/>
      <c r="G612" s="203"/>
      <c r="H612" s="17"/>
      <c r="I612" s="202"/>
      <c r="J612" s="17"/>
      <c r="K612" s="203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203"/>
      <c r="D613" s="17"/>
      <c r="E613" s="229"/>
      <c r="F613" s="17"/>
      <c r="G613" s="203"/>
      <c r="H613" s="17"/>
      <c r="I613" s="202"/>
      <c r="J613" s="17"/>
      <c r="K613" s="203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203"/>
      <c r="D614" s="17"/>
      <c r="E614" s="229"/>
      <c r="F614" s="17"/>
      <c r="G614" s="203"/>
      <c r="H614" s="17"/>
      <c r="I614" s="202"/>
      <c r="J614" s="17"/>
      <c r="K614" s="203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203"/>
      <c r="D615" s="17"/>
      <c r="E615" s="229"/>
      <c r="F615" s="17"/>
      <c r="G615" s="203"/>
      <c r="H615" s="17"/>
      <c r="I615" s="202"/>
      <c r="J615" s="17"/>
      <c r="K615" s="203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203"/>
      <c r="D616" s="17"/>
      <c r="E616" s="229"/>
      <c r="F616" s="17"/>
      <c r="G616" s="203"/>
      <c r="H616" s="17"/>
      <c r="I616" s="202"/>
      <c r="J616" s="17"/>
      <c r="K616" s="203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203"/>
      <c r="D617" s="17"/>
      <c r="E617" s="229"/>
      <c r="F617" s="17"/>
      <c r="G617" s="203"/>
      <c r="H617" s="17"/>
      <c r="I617" s="202"/>
      <c r="J617" s="17"/>
      <c r="K617" s="203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203"/>
      <c r="D618" s="17"/>
      <c r="E618" s="229"/>
      <c r="F618" s="17"/>
      <c r="G618" s="203"/>
      <c r="H618" s="17"/>
      <c r="I618" s="202"/>
      <c r="J618" s="17"/>
      <c r="K618" s="203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203"/>
      <c r="D619" s="17"/>
      <c r="E619" s="229"/>
      <c r="F619" s="17"/>
      <c r="G619" s="203"/>
      <c r="H619" s="17"/>
      <c r="I619" s="202"/>
      <c r="J619" s="17"/>
      <c r="K619" s="203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203"/>
      <c r="D620" s="17"/>
      <c r="E620" s="229"/>
      <c r="F620" s="17"/>
      <c r="G620" s="203"/>
      <c r="H620" s="17"/>
      <c r="I620" s="202"/>
      <c r="J620" s="17"/>
      <c r="K620" s="203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203"/>
      <c r="D621" s="17"/>
      <c r="E621" s="229"/>
      <c r="F621" s="17"/>
      <c r="G621" s="203"/>
      <c r="H621" s="17"/>
      <c r="I621" s="202"/>
      <c r="J621" s="17"/>
      <c r="K621" s="203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203"/>
      <c r="D622" s="17"/>
      <c r="E622" s="229"/>
      <c r="F622" s="17"/>
      <c r="G622" s="203"/>
      <c r="H622" s="17"/>
      <c r="I622" s="202"/>
      <c r="J622" s="17"/>
      <c r="K622" s="203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203"/>
      <c r="D623" s="17"/>
      <c r="E623" s="229"/>
      <c r="F623" s="17"/>
      <c r="G623" s="203"/>
      <c r="H623" s="17"/>
      <c r="I623" s="202"/>
      <c r="J623" s="17"/>
      <c r="K623" s="203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203"/>
      <c r="D624" s="17"/>
      <c r="E624" s="229"/>
      <c r="F624" s="17"/>
      <c r="G624" s="203"/>
      <c r="H624" s="17"/>
      <c r="I624" s="202"/>
      <c r="J624" s="17"/>
      <c r="K624" s="203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203"/>
      <c r="D625" s="17"/>
      <c r="E625" s="229"/>
      <c r="F625" s="17"/>
      <c r="G625" s="203"/>
      <c r="H625" s="17"/>
      <c r="I625" s="202"/>
      <c r="J625" s="17"/>
      <c r="K625" s="203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203"/>
      <c r="D626" s="17"/>
      <c r="E626" s="229"/>
      <c r="F626" s="17"/>
      <c r="G626" s="203"/>
      <c r="H626" s="17"/>
      <c r="I626" s="202"/>
      <c r="J626" s="17"/>
      <c r="K626" s="203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203"/>
      <c r="D627" s="17"/>
      <c r="E627" s="229"/>
      <c r="F627" s="17"/>
      <c r="G627" s="203"/>
      <c r="H627" s="17"/>
      <c r="I627" s="202"/>
      <c r="J627" s="17"/>
      <c r="K627" s="203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203"/>
      <c r="D628" s="17"/>
      <c r="E628" s="229"/>
      <c r="F628" s="17"/>
      <c r="G628" s="203"/>
      <c r="H628" s="17"/>
      <c r="I628" s="202"/>
      <c r="J628" s="17"/>
      <c r="K628" s="203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203"/>
      <c r="D629" s="17"/>
      <c r="E629" s="229"/>
      <c r="F629" s="17"/>
      <c r="G629" s="203"/>
      <c r="H629" s="17"/>
      <c r="I629" s="202"/>
      <c r="J629" s="17"/>
      <c r="K629" s="203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203"/>
      <c r="D630" s="17"/>
      <c r="E630" s="229"/>
      <c r="F630" s="17"/>
      <c r="G630" s="203"/>
      <c r="H630" s="17"/>
      <c r="I630" s="202"/>
      <c r="J630" s="17"/>
      <c r="K630" s="203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203"/>
      <c r="D631" s="17"/>
      <c r="E631" s="229"/>
      <c r="F631" s="17"/>
      <c r="G631" s="203"/>
      <c r="H631" s="17"/>
      <c r="I631" s="202"/>
      <c r="J631" s="17"/>
      <c r="K631" s="203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203"/>
      <c r="D632" s="17"/>
      <c r="E632" s="229"/>
      <c r="F632" s="17"/>
      <c r="G632" s="203"/>
      <c r="H632" s="17"/>
      <c r="I632" s="202"/>
      <c r="J632" s="17"/>
      <c r="K632" s="203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203"/>
      <c r="D633" s="17"/>
      <c r="E633" s="229"/>
      <c r="F633" s="17"/>
      <c r="G633" s="203"/>
      <c r="H633" s="17"/>
      <c r="I633" s="202"/>
      <c r="J633" s="17"/>
      <c r="K633" s="203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203"/>
      <c r="D634" s="17"/>
      <c r="E634" s="229"/>
      <c r="F634" s="17"/>
      <c r="G634" s="203"/>
      <c r="H634" s="17"/>
      <c r="I634" s="202"/>
      <c r="J634" s="17"/>
      <c r="K634" s="203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203"/>
      <c r="D635" s="17"/>
      <c r="E635" s="229"/>
      <c r="F635" s="17"/>
      <c r="G635" s="203"/>
      <c r="H635" s="17"/>
      <c r="I635" s="202"/>
      <c r="J635" s="17"/>
      <c r="K635" s="203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203"/>
      <c r="D636" s="17"/>
      <c r="E636" s="229"/>
      <c r="F636" s="17"/>
      <c r="G636" s="203"/>
      <c r="H636" s="17"/>
      <c r="I636" s="202"/>
      <c r="J636" s="17"/>
      <c r="K636" s="203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203"/>
      <c r="D637" s="17"/>
      <c r="E637" s="229"/>
      <c r="F637" s="17"/>
      <c r="G637" s="203"/>
      <c r="H637" s="17"/>
      <c r="I637" s="202"/>
      <c r="J637" s="17"/>
      <c r="K637" s="203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203"/>
      <c r="D638" s="17"/>
      <c r="E638" s="229"/>
      <c r="F638" s="17"/>
      <c r="G638" s="203"/>
      <c r="H638" s="17"/>
      <c r="I638" s="202"/>
      <c r="J638" s="17"/>
      <c r="K638" s="203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203"/>
      <c r="D639" s="17"/>
      <c r="E639" s="229"/>
      <c r="F639" s="17"/>
      <c r="G639" s="203"/>
      <c r="H639" s="17"/>
      <c r="I639" s="202"/>
      <c r="J639" s="17"/>
      <c r="K639" s="203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203"/>
      <c r="D640" s="17"/>
      <c r="E640" s="229"/>
      <c r="F640" s="17"/>
      <c r="G640" s="203"/>
      <c r="H640" s="17"/>
      <c r="I640" s="202"/>
      <c r="J640" s="17"/>
      <c r="K640" s="203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203"/>
      <c r="D641" s="17"/>
      <c r="E641" s="229"/>
      <c r="F641" s="17"/>
      <c r="G641" s="203"/>
      <c r="H641" s="17"/>
      <c r="I641" s="202"/>
      <c r="J641" s="17"/>
      <c r="K641" s="203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203"/>
      <c r="D642" s="17"/>
      <c r="E642" s="229"/>
      <c r="F642" s="17"/>
      <c r="G642" s="203"/>
      <c r="H642" s="17"/>
      <c r="I642" s="202"/>
      <c r="J642" s="17"/>
      <c r="K642" s="203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203"/>
      <c r="D643" s="17"/>
      <c r="E643" s="229"/>
      <c r="F643" s="17"/>
      <c r="G643" s="203"/>
      <c r="H643" s="17"/>
      <c r="I643" s="202"/>
      <c r="J643" s="17"/>
      <c r="K643" s="203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203"/>
      <c r="D644" s="17"/>
      <c r="E644" s="229"/>
      <c r="F644" s="17"/>
      <c r="G644" s="203"/>
      <c r="H644" s="17"/>
      <c r="I644" s="202"/>
      <c r="J644" s="17"/>
      <c r="K644" s="203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203"/>
      <c r="D645" s="17"/>
      <c r="E645" s="229"/>
      <c r="F645" s="17"/>
      <c r="G645" s="203"/>
      <c r="H645" s="17"/>
      <c r="I645" s="202"/>
      <c r="J645" s="17"/>
      <c r="K645" s="203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203"/>
      <c r="D646" s="17"/>
      <c r="E646" s="229"/>
      <c r="F646" s="17"/>
      <c r="G646" s="203"/>
      <c r="H646" s="17"/>
      <c r="I646" s="202"/>
      <c r="J646" s="17"/>
      <c r="K646" s="203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203"/>
      <c r="D647" s="17"/>
      <c r="E647" s="229"/>
      <c r="F647" s="17"/>
      <c r="G647" s="203"/>
      <c r="H647" s="17"/>
      <c r="I647" s="202"/>
      <c r="J647" s="17"/>
      <c r="K647" s="203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203"/>
      <c r="D648" s="17"/>
      <c r="E648" s="229"/>
      <c r="F648" s="17"/>
      <c r="G648" s="203"/>
      <c r="H648" s="17"/>
      <c r="I648" s="202"/>
      <c r="J648" s="17"/>
      <c r="K648" s="203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203"/>
      <c r="D649" s="17"/>
      <c r="E649" s="229"/>
      <c r="F649" s="17"/>
      <c r="G649" s="203"/>
      <c r="H649" s="17"/>
      <c r="I649" s="202"/>
      <c r="J649" s="17"/>
      <c r="K649" s="203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203"/>
      <c r="D650" s="17"/>
      <c r="E650" s="229"/>
      <c r="F650" s="17"/>
      <c r="G650" s="203"/>
      <c r="H650" s="17"/>
      <c r="I650" s="202"/>
      <c r="J650" s="17"/>
      <c r="K650" s="203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203"/>
      <c r="D651" s="17"/>
      <c r="E651" s="229"/>
      <c r="F651" s="17"/>
      <c r="G651" s="203"/>
      <c r="H651" s="17"/>
      <c r="I651" s="202"/>
      <c r="J651" s="17"/>
      <c r="K651" s="203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203"/>
      <c r="D652" s="17"/>
      <c r="E652" s="229"/>
      <c r="F652" s="17"/>
      <c r="G652" s="203"/>
      <c r="H652" s="17"/>
      <c r="I652" s="202"/>
      <c r="J652" s="17"/>
      <c r="K652" s="203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203"/>
      <c r="D653" s="17"/>
      <c r="E653" s="229"/>
      <c r="F653" s="17"/>
      <c r="G653" s="203"/>
      <c r="H653" s="17"/>
      <c r="I653" s="202"/>
      <c r="J653" s="17"/>
      <c r="K653" s="203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203"/>
      <c r="D654" s="17"/>
      <c r="E654" s="229"/>
      <c r="F654" s="17"/>
      <c r="G654" s="203"/>
      <c r="H654" s="17"/>
      <c r="I654" s="202"/>
      <c r="J654" s="17"/>
      <c r="K654" s="203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203"/>
      <c r="D655" s="17"/>
      <c r="E655" s="229"/>
      <c r="F655" s="17"/>
      <c r="G655" s="203"/>
      <c r="H655" s="17"/>
      <c r="I655" s="202"/>
      <c r="J655" s="17"/>
      <c r="K655" s="203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203"/>
      <c r="D656" s="17"/>
      <c r="E656" s="229"/>
      <c r="F656" s="17"/>
      <c r="G656" s="203"/>
      <c r="H656" s="17"/>
      <c r="I656" s="202"/>
      <c r="J656" s="17"/>
      <c r="K656" s="203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203"/>
      <c r="D657" s="17"/>
      <c r="E657" s="229"/>
      <c r="F657" s="17"/>
      <c r="G657" s="203"/>
      <c r="H657" s="17"/>
      <c r="I657" s="202"/>
      <c r="J657" s="17"/>
      <c r="K657" s="203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203"/>
      <c r="D658" s="17"/>
      <c r="E658" s="229"/>
      <c r="F658" s="17"/>
      <c r="G658" s="203"/>
      <c r="H658" s="17"/>
      <c r="I658" s="202"/>
      <c r="J658" s="17"/>
      <c r="K658" s="203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203"/>
      <c r="D659" s="17"/>
      <c r="E659" s="229"/>
      <c r="F659" s="17"/>
      <c r="G659" s="203"/>
      <c r="H659" s="17"/>
      <c r="I659" s="202"/>
      <c r="J659" s="17"/>
      <c r="K659" s="203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203"/>
      <c r="D660" s="17"/>
      <c r="E660" s="229"/>
      <c r="F660" s="17"/>
      <c r="G660" s="203"/>
      <c r="H660" s="17"/>
      <c r="I660" s="202"/>
      <c r="J660" s="17"/>
      <c r="K660" s="203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203"/>
      <c r="D661" s="17"/>
      <c r="E661" s="229"/>
      <c r="F661" s="17"/>
      <c r="G661" s="203"/>
      <c r="H661" s="17"/>
      <c r="I661" s="202"/>
      <c r="J661" s="17"/>
      <c r="K661" s="203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203"/>
      <c r="D662" s="17"/>
      <c r="E662" s="229"/>
      <c r="F662" s="17"/>
      <c r="G662" s="203"/>
      <c r="H662" s="17"/>
      <c r="I662" s="202"/>
      <c r="J662" s="17"/>
      <c r="K662" s="203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203"/>
      <c r="D663" s="17"/>
      <c r="E663" s="229"/>
      <c r="F663" s="17"/>
      <c r="G663" s="203"/>
      <c r="H663" s="17"/>
      <c r="I663" s="202"/>
      <c r="J663" s="17"/>
      <c r="K663" s="203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203"/>
      <c r="D664" s="17"/>
      <c r="E664" s="229"/>
      <c r="F664" s="17"/>
      <c r="G664" s="203"/>
      <c r="H664" s="17"/>
      <c r="I664" s="202"/>
      <c r="J664" s="17"/>
      <c r="K664" s="203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203"/>
      <c r="D665" s="17"/>
      <c r="E665" s="229"/>
      <c r="F665" s="17"/>
      <c r="G665" s="203"/>
      <c r="H665" s="17"/>
      <c r="I665" s="202"/>
      <c r="J665" s="17"/>
      <c r="K665" s="203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203"/>
      <c r="D666" s="17"/>
      <c r="E666" s="229"/>
      <c r="F666" s="17"/>
      <c r="G666" s="203"/>
      <c r="H666" s="17"/>
      <c r="I666" s="202"/>
      <c r="J666" s="17"/>
      <c r="K666" s="203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203"/>
      <c r="D667" s="17"/>
      <c r="E667" s="229"/>
      <c r="F667" s="17"/>
      <c r="G667" s="203"/>
      <c r="H667" s="17"/>
      <c r="I667" s="202"/>
      <c r="J667" s="17"/>
      <c r="K667" s="203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203"/>
      <c r="D668" s="17"/>
      <c r="E668" s="229"/>
      <c r="F668" s="17"/>
      <c r="G668" s="203"/>
      <c r="H668" s="17"/>
      <c r="I668" s="202"/>
      <c r="J668" s="17"/>
      <c r="K668" s="203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203"/>
      <c r="D669" s="17"/>
      <c r="E669" s="229"/>
      <c r="F669" s="17"/>
      <c r="G669" s="203"/>
      <c r="H669" s="17"/>
      <c r="I669" s="202"/>
      <c r="J669" s="17"/>
      <c r="K669" s="203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203"/>
      <c r="D670" s="17"/>
      <c r="E670" s="229"/>
      <c r="F670" s="17"/>
      <c r="G670" s="203"/>
      <c r="H670" s="17"/>
      <c r="I670" s="202"/>
      <c r="J670" s="17"/>
      <c r="K670" s="203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203"/>
      <c r="D671" s="17"/>
      <c r="E671" s="229"/>
      <c r="F671" s="17"/>
      <c r="G671" s="203"/>
      <c r="H671" s="17"/>
      <c r="I671" s="202"/>
      <c r="J671" s="17"/>
      <c r="K671" s="203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203"/>
      <c r="D672" s="17"/>
      <c r="E672" s="229"/>
      <c r="F672" s="17"/>
      <c r="G672" s="203"/>
      <c r="H672" s="17"/>
      <c r="I672" s="202"/>
      <c r="J672" s="17"/>
      <c r="K672" s="203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203"/>
      <c r="D673" s="17"/>
      <c r="E673" s="229"/>
      <c r="F673" s="17"/>
      <c r="G673" s="203"/>
      <c r="H673" s="17"/>
      <c r="I673" s="202"/>
      <c r="J673" s="17"/>
      <c r="K673" s="203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203"/>
      <c r="D674" s="17"/>
      <c r="E674" s="229"/>
      <c r="F674" s="17"/>
      <c r="G674" s="203"/>
      <c r="H674" s="17"/>
      <c r="I674" s="202"/>
      <c r="J674" s="17"/>
      <c r="K674" s="203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203"/>
      <c r="D675" s="17"/>
      <c r="E675" s="229"/>
      <c r="F675" s="17"/>
      <c r="G675" s="203"/>
      <c r="H675" s="17"/>
      <c r="I675" s="202"/>
      <c r="J675" s="17"/>
      <c r="K675" s="203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203"/>
      <c r="D676" s="17"/>
      <c r="E676" s="229"/>
      <c r="F676" s="17"/>
      <c r="G676" s="203"/>
      <c r="H676" s="17"/>
      <c r="I676" s="202"/>
      <c r="J676" s="17"/>
      <c r="K676" s="203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203"/>
      <c r="D677" s="17"/>
      <c r="E677" s="229"/>
      <c r="F677" s="17"/>
      <c r="G677" s="203"/>
      <c r="H677" s="17"/>
      <c r="I677" s="202"/>
      <c r="J677" s="17"/>
      <c r="K677" s="203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203"/>
      <c r="D678" s="17"/>
      <c r="E678" s="229"/>
      <c r="F678" s="17"/>
      <c r="G678" s="203"/>
      <c r="H678" s="17"/>
      <c r="I678" s="202"/>
      <c r="J678" s="17"/>
      <c r="K678" s="203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203"/>
      <c r="D679" s="17"/>
      <c r="E679" s="229"/>
      <c r="F679" s="17"/>
      <c r="G679" s="203"/>
      <c r="H679" s="17"/>
      <c r="I679" s="202"/>
      <c r="J679" s="17"/>
      <c r="K679" s="203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203"/>
      <c r="D680" s="17"/>
      <c r="E680" s="229"/>
      <c r="F680" s="17"/>
      <c r="G680" s="203"/>
      <c r="H680" s="17"/>
      <c r="I680" s="202"/>
      <c r="J680" s="17"/>
      <c r="K680" s="203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203"/>
      <c r="D681" s="17"/>
      <c r="E681" s="229"/>
      <c r="F681" s="17"/>
      <c r="G681" s="203"/>
      <c r="H681" s="17"/>
      <c r="I681" s="202"/>
      <c r="J681" s="17"/>
      <c r="K681" s="203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203"/>
      <c r="D682" s="17"/>
      <c r="E682" s="229"/>
      <c r="F682" s="17"/>
      <c r="G682" s="203"/>
      <c r="H682" s="17"/>
      <c r="I682" s="202"/>
      <c r="J682" s="17"/>
      <c r="K682" s="203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203"/>
      <c r="D683" s="17"/>
      <c r="E683" s="229"/>
      <c r="F683" s="17"/>
      <c r="G683" s="203"/>
      <c r="H683" s="17"/>
      <c r="I683" s="202"/>
      <c r="J683" s="17"/>
      <c r="K683" s="203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203"/>
      <c r="D684" s="17"/>
      <c r="E684" s="229"/>
      <c r="F684" s="17"/>
      <c r="G684" s="203"/>
      <c r="H684" s="17"/>
      <c r="I684" s="202"/>
      <c r="J684" s="17"/>
      <c r="K684" s="203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203"/>
      <c r="D685" s="17"/>
      <c r="E685" s="229"/>
      <c r="F685" s="17"/>
      <c r="G685" s="203"/>
      <c r="H685" s="17"/>
      <c r="I685" s="202"/>
      <c r="J685" s="17"/>
      <c r="K685" s="203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203"/>
      <c r="D686" s="17"/>
      <c r="E686" s="229"/>
      <c r="F686" s="17"/>
      <c r="G686" s="203"/>
      <c r="H686" s="17"/>
      <c r="I686" s="202"/>
      <c r="J686" s="17"/>
      <c r="K686" s="203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203"/>
      <c r="D687" s="17"/>
      <c r="E687" s="229"/>
      <c r="F687" s="17"/>
      <c r="G687" s="203"/>
      <c r="H687" s="17"/>
      <c r="I687" s="202"/>
      <c r="J687" s="17"/>
      <c r="K687" s="203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203"/>
      <c r="D688" s="17"/>
      <c r="E688" s="229"/>
      <c r="F688" s="17"/>
      <c r="G688" s="203"/>
      <c r="H688" s="17"/>
      <c r="I688" s="202"/>
      <c r="J688" s="17"/>
      <c r="K688" s="203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203"/>
      <c r="D689" s="17"/>
      <c r="E689" s="229"/>
      <c r="F689" s="17"/>
      <c r="G689" s="203"/>
      <c r="H689" s="17"/>
      <c r="I689" s="202"/>
      <c r="J689" s="17"/>
      <c r="K689" s="203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203"/>
      <c r="D690" s="17"/>
      <c r="E690" s="229"/>
      <c r="F690" s="17"/>
      <c r="G690" s="203"/>
      <c r="H690" s="17"/>
      <c r="I690" s="202"/>
      <c r="J690" s="17"/>
      <c r="K690" s="203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203"/>
      <c r="D691" s="17"/>
      <c r="E691" s="229"/>
      <c r="F691" s="17"/>
      <c r="G691" s="203"/>
      <c r="H691" s="17"/>
      <c r="I691" s="202"/>
      <c r="J691" s="17"/>
      <c r="K691" s="203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203"/>
      <c r="D692" s="17"/>
      <c r="E692" s="229"/>
      <c r="F692" s="17"/>
      <c r="G692" s="203"/>
      <c r="H692" s="17"/>
      <c r="I692" s="202"/>
      <c r="J692" s="17"/>
      <c r="K692" s="203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203"/>
      <c r="D693" s="17"/>
      <c r="E693" s="229"/>
      <c r="F693" s="17"/>
      <c r="G693" s="203"/>
      <c r="H693" s="17"/>
      <c r="I693" s="202"/>
      <c r="J693" s="17"/>
      <c r="K693" s="203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203"/>
      <c r="D694" s="17"/>
      <c r="E694" s="229"/>
      <c r="F694" s="17"/>
      <c r="G694" s="203"/>
      <c r="H694" s="17"/>
      <c r="I694" s="202"/>
      <c r="J694" s="17"/>
      <c r="K694" s="203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203"/>
      <c r="D695" s="17"/>
      <c r="E695" s="229"/>
      <c r="F695" s="17"/>
      <c r="G695" s="203"/>
      <c r="H695" s="17"/>
      <c r="I695" s="202"/>
      <c r="J695" s="17"/>
      <c r="K695" s="203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203"/>
      <c r="D696" s="17"/>
      <c r="E696" s="229"/>
      <c r="F696" s="17"/>
      <c r="G696" s="203"/>
      <c r="H696" s="17"/>
      <c r="I696" s="202"/>
      <c r="J696" s="17"/>
      <c r="K696" s="203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203"/>
      <c r="D697" s="17"/>
      <c r="E697" s="229"/>
      <c r="F697" s="17"/>
      <c r="G697" s="203"/>
      <c r="H697" s="17"/>
      <c r="I697" s="202"/>
      <c r="J697" s="17"/>
      <c r="K697" s="203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203"/>
      <c r="D698" s="17"/>
      <c r="E698" s="229"/>
      <c r="F698" s="17"/>
      <c r="G698" s="203"/>
      <c r="H698" s="17"/>
      <c r="I698" s="202"/>
      <c r="J698" s="17"/>
      <c r="K698" s="203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203"/>
      <c r="D699" s="17"/>
      <c r="E699" s="229"/>
      <c r="F699" s="17"/>
      <c r="G699" s="203"/>
      <c r="H699" s="17"/>
      <c r="I699" s="202"/>
      <c r="J699" s="17"/>
      <c r="K699" s="203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203"/>
      <c r="D700" s="17"/>
      <c r="E700" s="229"/>
      <c r="F700" s="17"/>
      <c r="G700" s="203"/>
      <c r="H700" s="17"/>
      <c r="I700" s="202"/>
      <c r="J700" s="17"/>
      <c r="K700" s="203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203"/>
      <c r="D701" s="17"/>
      <c r="E701" s="229"/>
      <c r="F701" s="17"/>
      <c r="G701" s="203"/>
      <c r="H701" s="17"/>
      <c r="I701" s="202"/>
      <c r="J701" s="17"/>
      <c r="K701" s="203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203"/>
      <c r="D702" s="17"/>
      <c r="E702" s="229"/>
      <c r="F702" s="17"/>
      <c r="G702" s="203"/>
      <c r="H702" s="17"/>
      <c r="I702" s="202"/>
      <c r="J702" s="17"/>
      <c r="K702" s="203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203"/>
      <c r="D703" s="17"/>
      <c r="E703" s="229"/>
      <c r="F703" s="17"/>
      <c r="G703" s="203"/>
      <c r="H703" s="17"/>
      <c r="I703" s="202"/>
      <c r="J703" s="17"/>
      <c r="K703" s="203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203"/>
      <c r="D704" s="17"/>
      <c r="E704" s="229"/>
      <c r="F704" s="17"/>
      <c r="G704" s="203"/>
      <c r="H704" s="17"/>
      <c r="I704" s="202"/>
      <c r="J704" s="17"/>
      <c r="K704" s="203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203"/>
      <c r="D705" s="17"/>
      <c r="E705" s="229"/>
      <c r="F705" s="17"/>
      <c r="G705" s="203"/>
      <c r="H705" s="17"/>
      <c r="I705" s="202"/>
      <c r="J705" s="17"/>
      <c r="K705" s="203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203"/>
      <c r="D706" s="17"/>
      <c r="E706" s="229"/>
      <c r="F706" s="17"/>
      <c r="G706" s="203"/>
      <c r="H706" s="17"/>
      <c r="I706" s="202"/>
      <c r="J706" s="17"/>
      <c r="K706" s="203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203"/>
      <c r="D707" s="17"/>
      <c r="E707" s="229"/>
      <c r="F707" s="17"/>
      <c r="G707" s="203"/>
      <c r="H707" s="17"/>
      <c r="I707" s="202"/>
      <c r="J707" s="17"/>
      <c r="K707" s="203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203"/>
      <c r="D708" s="17"/>
      <c r="E708" s="229"/>
      <c r="F708" s="17"/>
      <c r="G708" s="203"/>
      <c r="H708" s="17"/>
      <c r="I708" s="202"/>
      <c r="J708" s="17"/>
      <c r="K708" s="203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203"/>
      <c r="D709" s="17"/>
      <c r="E709" s="229"/>
      <c r="F709" s="17"/>
      <c r="G709" s="203"/>
      <c r="H709" s="17"/>
      <c r="I709" s="202"/>
      <c r="J709" s="17"/>
      <c r="K709" s="203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203"/>
      <c r="D710" s="17"/>
      <c r="E710" s="229"/>
      <c r="F710" s="17"/>
      <c r="G710" s="203"/>
      <c r="H710" s="17"/>
      <c r="I710" s="202"/>
      <c r="J710" s="17"/>
      <c r="K710" s="203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203"/>
      <c r="D711" s="17"/>
      <c r="E711" s="229"/>
      <c r="F711" s="17"/>
      <c r="G711" s="203"/>
      <c r="H711" s="17"/>
      <c r="I711" s="202"/>
      <c r="J711" s="17"/>
      <c r="K711" s="203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203"/>
      <c r="D712" s="17"/>
      <c r="E712" s="229"/>
      <c r="F712" s="17"/>
      <c r="G712" s="203"/>
      <c r="H712" s="17"/>
      <c r="I712" s="202"/>
      <c r="J712" s="17"/>
      <c r="K712" s="203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203"/>
      <c r="D713" s="17"/>
      <c r="E713" s="229"/>
      <c r="F713" s="17"/>
      <c r="G713" s="203"/>
      <c r="H713" s="17"/>
      <c r="I713" s="202"/>
      <c r="J713" s="17"/>
      <c r="K713" s="203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203"/>
      <c r="D714" s="17"/>
      <c r="E714" s="229"/>
      <c r="F714" s="17"/>
      <c r="G714" s="203"/>
      <c r="H714" s="17"/>
      <c r="I714" s="202"/>
      <c r="J714" s="17"/>
      <c r="K714" s="203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203"/>
      <c r="D715" s="17"/>
      <c r="E715" s="229"/>
      <c r="F715" s="17"/>
      <c r="G715" s="203"/>
      <c r="H715" s="17"/>
      <c r="I715" s="202"/>
      <c r="J715" s="17"/>
      <c r="K715" s="203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203"/>
      <c r="D716" s="17"/>
      <c r="E716" s="229"/>
      <c r="F716" s="17"/>
      <c r="G716" s="203"/>
      <c r="H716" s="17"/>
      <c r="I716" s="202"/>
      <c r="J716" s="17"/>
      <c r="K716" s="203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203"/>
      <c r="D717" s="17"/>
      <c r="E717" s="229"/>
      <c r="F717" s="17"/>
      <c r="G717" s="203"/>
      <c r="H717" s="17"/>
      <c r="I717" s="202"/>
      <c r="J717" s="17"/>
      <c r="K717" s="203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203"/>
      <c r="D718" s="17"/>
      <c r="E718" s="229"/>
      <c r="F718" s="17"/>
      <c r="G718" s="203"/>
      <c r="H718" s="17"/>
      <c r="I718" s="202"/>
      <c r="J718" s="17"/>
      <c r="K718" s="203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203"/>
      <c r="D719" s="17"/>
      <c r="E719" s="229"/>
      <c r="F719" s="17"/>
      <c r="G719" s="203"/>
      <c r="H719" s="17"/>
      <c r="I719" s="202"/>
      <c r="J719" s="17"/>
      <c r="K719" s="203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203"/>
      <c r="D720" s="17"/>
      <c r="E720" s="229"/>
      <c r="F720" s="17"/>
      <c r="G720" s="203"/>
      <c r="H720" s="17"/>
      <c r="I720" s="202"/>
      <c r="J720" s="17"/>
      <c r="K720" s="203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203"/>
      <c r="D721" s="17"/>
      <c r="E721" s="229"/>
      <c r="F721" s="17"/>
      <c r="G721" s="203"/>
      <c r="H721" s="17"/>
      <c r="I721" s="202"/>
      <c r="J721" s="17"/>
      <c r="K721" s="203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203"/>
      <c r="D722" s="17"/>
      <c r="E722" s="229"/>
      <c r="F722" s="17"/>
      <c r="G722" s="203"/>
      <c r="H722" s="17"/>
      <c r="I722" s="202"/>
      <c r="J722" s="17"/>
      <c r="K722" s="203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203"/>
      <c r="D723" s="17"/>
      <c r="E723" s="229"/>
      <c r="F723" s="17"/>
      <c r="G723" s="203"/>
      <c r="H723" s="17"/>
      <c r="I723" s="202"/>
      <c r="J723" s="17"/>
      <c r="K723" s="203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203"/>
      <c r="D724" s="17"/>
      <c r="E724" s="229"/>
      <c r="F724" s="17"/>
      <c r="G724" s="203"/>
      <c r="H724" s="17"/>
      <c r="I724" s="202"/>
      <c r="J724" s="17"/>
      <c r="K724" s="203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203"/>
      <c r="D725" s="17"/>
      <c r="E725" s="229"/>
      <c r="F725" s="17"/>
      <c r="G725" s="203"/>
      <c r="H725" s="17"/>
      <c r="I725" s="202"/>
      <c r="J725" s="17"/>
      <c r="K725" s="203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203"/>
      <c r="D726" s="17"/>
      <c r="E726" s="229"/>
      <c r="F726" s="17"/>
      <c r="G726" s="203"/>
      <c r="H726" s="17"/>
      <c r="I726" s="202"/>
      <c r="J726" s="17"/>
      <c r="K726" s="203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203"/>
      <c r="D727" s="17"/>
      <c r="E727" s="229"/>
      <c r="F727" s="17"/>
      <c r="G727" s="203"/>
      <c r="H727" s="17"/>
      <c r="I727" s="202"/>
      <c r="J727" s="17"/>
      <c r="K727" s="203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203"/>
      <c r="D728" s="17"/>
      <c r="E728" s="229"/>
      <c r="F728" s="17"/>
      <c r="G728" s="203"/>
      <c r="H728" s="17"/>
      <c r="I728" s="202"/>
      <c r="J728" s="17"/>
      <c r="K728" s="203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203"/>
      <c r="D729" s="17"/>
      <c r="E729" s="229"/>
      <c r="F729" s="17"/>
      <c r="G729" s="203"/>
      <c r="H729" s="17"/>
      <c r="I729" s="202"/>
      <c r="J729" s="17"/>
      <c r="K729" s="203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203"/>
      <c r="D730" s="17"/>
      <c r="E730" s="229"/>
      <c r="F730" s="17"/>
      <c r="G730" s="203"/>
      <c r="H730" s="17"/>
      <c r="I730" s="202"/>
      <c r="J730" s="17"/>
      <c r="K730" s="203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203"/>
      <c r="D731" s="17"/>
      <c r="E731" s="229"/>
      <c r="F731" s="17"/>
      <c r="G731" s="203"/>
      <c r="H731" s="17"/>
      <c r="I731" s="202"/>
      <c r="J731" s="17"/>
      <c r="K731" s="203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203"/>
      <c r="D732" s="17"/>
      <c r="E732" s="229"/>
      <c r="F732" s="17"/>
      <c r="G732" s="203"/>
      <c r="H732" s="17"/>
      <c r="I732" s="202"/>
      <c r="J732" s="17"/>
      <c r="K732" s="203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203"/>
      <c r="D733" s="17"/>
      <c r="E733" s="229"/>
      <c r="F733" s="17"/>
      <c r="G733" s="203"/>
      <c r="H733" s="17"/>
      <c r="I733" s="202"/>
      <c r="J733" s="17"/>
      <c r="K733" s="203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203"/>
      <c r="D734" s="17"/>
      <c r="E734" s="229"/>
      <c r="F734" s="17"/>
      <c r="G734" s="203"/>
      <c r="H734" s="17"/>
      <c r="I734" s="202"/>
      <c r="J734" s="17"/>
      <c r="K734" s="203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203"/>
      <c r="D735" s="17"/>
      <c r="E735" s="229"/>
      <c r="F735" s="17"/>
      <c r="G735" s="203"/>
      <c r="H735" s="17"/>
      <c r="I735" s="202"/>
      <c r="J735" s="17"/>
      <c r="K735" s="203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203"/>
      <c r="D736" s="17"/>
      <c r="E736" s="229"/>
      <c r="F736" s="17"/>
      <c r="G736" s="203"/>
      <c r="H736" s="17"/>
      <c r="I736" s="202"/>
      <c r="J736" s="17"/>
      <c r="K736" s="203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203"/>
      <c r="D737" s="17"/>
      <c r="E737" s="229"/>
      <c r="F737" s="17"/>
      <c r="G737" s="203"/>
      <c r="H737" s="17"/>
      <c r="I737" s="202"/>
      <c r="J737" s="17"/>
      <c r="K737" s="203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203"/>
      <c r="D738" s="17"/>
      <c r="E738" s="229"/>
      <c r="F738" s="17"/>
      <c r="G738" s="203"/>
      <c r="H738" s="17"/>
      <c r="I738" s="202"/>
      <c r="J738" s="17"/>
      <c r="K738" s="203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203"/>
      <c r="D739" s="17"/>
      <c r="E739" s="229"/>
      <c r="F739" s="17"/>
      <c r="G739" s="203"/>
      <c r="H739" s="17"/>
      <c r="I739" s="202"/>
      <c r="J739" s="17"/>
      <c r="K739" s="203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203"/>
      <c r="D740" s="17"/>
      <c r="E740" s="229"/>
      <c r="F740" s="17"/>
      <c r="G740" s="203"/>
      <c r="H740" s="17"/>
      <c r="I740" s="202"/>
      <c r="J740" s="17"/>
      <c r="K740" s="203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203"/>
      <c r="D741" s="17"/>
      <c r="E741" s="229"/>
      <c r="F741" s="17"/>
      <c r="G741" s="203"/>
      <c r="H741" s="17"/>
      <c r="I741" s="202"/>
      <c r="J741" s="17"/>
      <c r="K741" s="203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203"/>
      <c r="D742" s="17"/>
      <c r="E742" s="229"/>
      <c r="F742" s="17"/>
      <c r="G742" s="203"/>
      <c r="H742" s="17"/>
      <c r="I742" s="202"/>
      <c r="J742" s="17"/>
      <c r="K742" s="203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203"/>
      <c r="D743" s="17"/>
      <c r="E743" s="229"/>
      <c r="F743" s="17"/>
      <c r="G743" s="203"/>
      <c r="H743" s="17"/>
      <c r="I743" s="202"/>
      <c r="J743" s="17"/>
      <c r="K743" s="203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203"/>
      <c r="D744" s="17"/>
      <c r="E744" s="229"/>
      <c r="F744" s="17"/>
      <c r="G744" s="203"/>
      <c r="H744" s="17"/>
      <c r="I744" s="202"/>
      <c r="J744" s="17"/>
      <c r="K744" s="203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203"/>
      <c r="D745" s="17"/>
      <c r="E745" s="229"/>
      <c r="F745" s="17"/>
      <c r="G745" s="203"/>
      <c r="H745" s="17"/>
      <c r="I745" s="202"/>
      <c r="J745" s="17"/>
      <c r="K745" s="203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203"/>
      <c r="D746" s="17"/>
      <c r="E746" s="229"/>
      <c r="F746" s="17"/>
      <c r="G746" s="203"/>
      <c r="H746" s="17"/>
      <c r="I746" s="202"/>
      <c r="J746" s="17"/>
      <c r="K746" s="203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203"/>
      <c r="D747" s="17"/>
      <c r="E747" s="229"/>
      <c r="F747" s="17"/>
      <c r="G747" s="203"/>
      <c r="H747" s="17"/>
      <c r="I747" s="202"/>
      <c r="J747" s="17"/>
      <c r="K747" s="203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203"/>
      <c r="D748" s="17"/>
      <c r="E748" s="229"/>
      <c r="F748" s="17"/>
      <c r="G748" s="203"/>
      <c r="H748" s="17"/>
      <c r="I748" s="202"/>
      <c r="J748" s="17"/>
      <c r="K748" s="203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203"/>
      <c r="D749" s="17"/>
      <c r="E749" s="229"/>
      <c r="F749" s="17"/>
      <c r="G749" s="203"/>
      <c r="H749" s="17"/>
      <c r="I749" s="202"/>
      <c r="J749" s="17"/>
      <c r="K749" s="203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203"/>
      <c r="D750" s="17"/>
      <c r="E750" s="229"/>
      <c r="F750" s="17"/>
      <c r="G750" s="203"/>
      <c r="H750" s="17"/>
      <c r="I750" s="202"/>
      <c r="J750" s="17"/>
      <c r="K750" s="203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203"/>
      <c r="D751" s="17"/>
      <c r="E751" s="229"/>
      <c r="F751" s="17"/>
      <c r="G751" s="203"/>
      <c r="H751" s="17"/>
      <c r="I751" s="202"/>
      <c r="J751" s="17"/>
      <c r="K751" s="203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203"/>
      <c r="D752" s="17"/>
      <c r="E752" s="229"/>
      <c r="F752" s="17"/>
      <c r="G752" s="203"/>
      <c r="H752" s="17"/>
      <c r="I752" s="202"/>
      <c r="J752" s="17"/>
      <c r="K752" s="203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203"/>
      <c r="D753" s="17"/>
      <c r="E753" s="229"/>
      <c r="F753" s="17"/>
      <c r="G753" s="203"/>
      <c r="H753" s="17"/>
      <c r="I753" s="202"/>
      <c r="J753" s="17"/>
      <c r="K753" s="203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203"/>
      <c r="D754" s="17"/>
      <c r="E754" s="229"/>
      <c r="F754" s="17"/>
      <c r="G754" s="203"/>
      <c r="H754" s="17"/>
      <c r="I754" s="202"/>
      <c r="J754" s="17"/>
      <c r="K754" s="203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203"/>
      <c r="D755" s="17"/>
      <c r="E755" s="229"/>
      <c r="F755" s="17"/>
      <c r="G755" s="203"/>
      <c r="H755" s="17"/>
      <c r="I755" s="202"/>
      <c r="J755" s="17"/>
      <c r="K755" s="203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203"/>
      <c r="D756" s="17"/>
      <c r="E756" s="229"/>
      <c r="F756" s="17"/>
      <c r="G756" s="203"/>
      <c r="H756" s="17"/>
      <c r="I756" s="202"/>
      <c r="J756" s="17"/>
      <c r="K756" s="203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203"/>
      <c r="D757" s="17"/>
      <c r="E757" s="229"/>
      <c r="F757" s="17"/>
      <c r="G757" s="203"/>
      <c r="H757" s="17"/>
      <c r="I757" s="202"/>
      <c r="J757" s="17"/>
      <c r="K757" s="203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203"/>
      <c r="D758" s="17"/>
      <c r="E758" s="229"/>
      <c r="F758" s="17"/>
      <c r="G758" s="203"/>
      <c r="H758" s="17"/>
      <c r="I758" s="202"/>
      <c r="J758" s="17"/>
      <c r="K758" s="203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203"/>
      <c r="D759" s="17"/>
      <c r="E759" s="229"/>
      <c r="F759" s="17"/>
      <c r="G759" s="203"/>
      <c r="H759" s="17"/>
      <c r="I759" s="202"/>
      <c r="J759" s="17"/>
      <c r="K759" s="203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203"/>
      <c r="D760" s="17"/>
      <c r="E760" s="229"/>
      <c r="F760" s="17"/>
      <c r="G760" s="203"/>
      <c r="H760" s="17"/>
      <c r="I760" s="202"/>
      <c r="J760" s="17"/>
      <c r="K760" s="203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203"/>
      <c r="D761" s="17"/>
      <c r="E761" s="229"/>
      <c r="F761" s="17"/>
      <c r="G761" s="203"/>
      <c r="H761" s="17"/>
      <c r="I761" s="202"/>
      <c r="J761" s="17"/>
      <c r="K761" s="203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203"/>
      <c r="D762" s="17"/>
      <c r="E762" s="229"/>
      <c r="F762" s="17"/>
      <c r="G762" s="203"/>
      <c r="H762" s="17"/>
      <c r="I762" s="202"/>
      <c r="J762" s="17"/>
      <c r="K762" s="203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203"/>
      <c r="D763" s="17"/>
      <c r="E763" s="229"/>
      <c r="F763" s="17"/>
      <c r="G763" s="203"/>
      <c r="H763" s="17"/>
      <c r="I763" s="202"/>
      <c r="J763" s="17"/>
      <c r="K763" s="203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203"/>
      <c r="D764" s="17"/>
      <c r="E764" s="229"/>
      <c r="F764" s="17"/>
      <c r="G764" s="203"/>
      <c r="H764" s="17"/>
      <c r="I764" s="202"/>
      <c r="J764" s="17"/>
      <c r="K764" s="203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203"/>
      <c r="D765" s="17"/>
      <c r="E765" s="229"/>
      <c r="F765" s="17"/>
      <c r="G765" s="203"/>
      <c r="H765" s="17"/>
      <c r="I765" s="202"/>
      <c r="J765" s="17"/>
      <c r="K765" s="203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203"/>
      <c r="D766" s="17"/>
      <c r="E766" s="229"/>
      <c r="F766" s="17"/>
      <c r="G766" s="203"/>
      <c r="H766" s="17"/>
      <c r="I766" s="202"/>
      <c r="J766" s="17"/>
      <c r="K766" s="203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203"/>
      <c r="D767" s="17"/>
      <c r="E767" s="229"/>
      <c r="F767" s="17"/>
      <c r="G767" s="203"/>
      <c r="H767" s="17"/>
      <c r="I767" s="202"/>
      <c r="J767" s="17"/>
      <c r="K767" s="203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203"/>
      <c r="D768" s="17"/>
      <c r="E768" s="229"/>
      <c r="F768" s="17"/>
      <c r="G768" s="203"/>
      <c r="H768" s="17"/>
      <c r="I768" s="202"/>
      <c r="J768" s="17"/>
      <c r="K768" s="203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203"/>
      <c r="D769" s="17"/>
      <c r="E769" s="229"/>
      <c r="F769" s="17"/>
      <c r="G769" s="203"/>
      <c r="H769" s="17"/>
      <c r="I769" s="202"/>
      <c r="J769" s="17"/>
      <c r="K769" s="203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203"/>
      <c r="D770" s="17"/>
      <c r="E770" s="229"/>
      <c r="F770" s="17"/>
      <c r="G770" s="203"/>
      <c r="H770" s="17"/>
      <c r="I770" s="202"/>
      <c r="J770" s="17"/>
      <c r="K770" s="203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203"/>
      <c r="D771" s="17"/>
      <c r="E771" s="229"/>
      <c r="F771" s="17"/>
      <c r="G771" s="203"/>
      <c r="H771" s="17"/>
      <c r="I771" s="202"/>
      <c r="J771" s="17"/>
      <c r="K771" s="203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203"/>
      <c r="D772" s="17"/>
      <c r="E772" s="229"/>
      <c r="F772" s="17"/>
      <c r="G772" s="203"/>
      <c r="H772" s="17"/>
      <c r="I772" s="202"/>
      <c r="J772" s="17"/>
      <c r="K772" s="203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203"/>
      <c r="D773" s="17"/>
      <c r="E773" s="229"/>
      <c r="F773" s="17"/>
      <c r="G773" s="203"/>
      <c r="H773" s="17"/>
      <c r="I773" s="202"/>
      <c r="J773" s="17"/>
      <c r="K773" s="203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203"/>
      <c r="D774" s="17"/>
      <c r="E774" s="229"/>
      <c r="F774" s="17"/>
      <c r="G774" s="203"/>
      <c r="H774" s="17"/>
      <c r="I774" s="202"/>
      <c r="J774" s="17"/>
      <c r="K774" s="203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203"/>
      <c r="D775" s="17"/>
      <c r="E775" s="229"/>
      <c r="F775" s="17"/>
      <c r="G775" s="203"/>
      <c r="H775" s="17"/>
      <c r="I775" s="202"/>
      <c r="J775" s="17"/>
      <c r="K775" s="203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203"/>
      <c r="D776" s="17"/>
      <c r="E776" s="229"/>
      <c r="F776" s="17"/>
      <c r="G776" s="203"/>
      <c r="H776" s="17"/>
      <c r="I776" s="202"/>
      <c r="J776" s="17"/>
      <c r="K776" s="203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203"/>
      <c r="D777" s="17"/>
      <c r="E777" s="229"/>
      <c r="F777" s="17"/>
      <c r="G777" s="203"/>
      <c r="H777" s="17"/>
      <c r="I777" s="202"/>
      <c r="J777" s="17"/>
      <c r="K777" s="203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203"/>
      <c r="D778" s="17"/>
      <c r="E778" s="229"/>
      <c r="F778" s="17"/>
      <c r="G778" s="203"/>
      <c r="H778" s="17"/>
      <c r="I778" s="202"/>
      <c r="J778" s="17"/>
      <c r="K778" s="203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203"/>
      <c r="D779" s="17"/>
      <c r="E779" s="229"/>
      <c r="F779" s="17"/>
      <c r="G779" s="203"/>
      <c r="H779" s="17"/>
      <c r="I779" s="202"/>
      <c r="J779" s="17"/>
      <c r="K779" s="203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203"/>
      <c r="D780" s="17"/>
      <c r="E780" s="229"/>
      <c r="F780" s="17"/>
      <c r="G780" s="203"/>
      <c r="H780" s="17"/>
      <c r="I780" s="202"/>
      <c r="J780" s="17"/>
      <c r="K780" s="203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203"/>
      <c r="D781" s="17"/>
      <c r="E781" s="229"/>
      <c r="F781" s="17"/>
      <c r="G781" s="203"/>
      <c r="H781" s="17"/>
      <c r="I781" s="202"/>
      <c r="J781" s="17"/>
      <c r="K781" s="203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203"/>
      <c r="D782" s="17"/>
      <c r="E782" s="229"/>
      <c r="F782" s="17"/>
      <c r="G782" s="203"/>
      <c r="H782" s="17"/>
      <c r="I782" s="202"/>
      <c r="J782" s="17"/>
      <c r="K782" s="203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203"/>
      <c r="D783" s="17"/>
      <c r="E783" s="229"/>
      <c r="F783" s="17"/>
      <c r="G783" s="203"/>
      <c r="H783" s="17"/>
      <c r="I783" s="202"/>
      <c r="J783" s="17"/>
      <c r="K783" s="203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203"/>
      <c r="D784" s="17"/>
      <c r="E784" s="229"/>
      <c r="F784" s="17"/>
      <c r="G784" s="203"/>
      <c r="H784" s="17"/>
      <c r="I784" s="202"/>
      <c r="J784" s="17"/>
      <c r="K784" s="203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203"/>
      <c r="D785" s="17"/>
      <c r="E785" s="229"/>
      <c r="F785" s="17"/>
      <c r="G785" s="203"/>
      <c r="H785" s="17"/>
      <c r="I785" s="202"/>
      <c r="J785" s="17"/>
      <c r="K785" s="203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203"/>
      <c r="D786" s="17"/>
      <c r="E786" s="229"/>
      <c r="F786" s="17"/>
      <c r="G786" s="203"/>
      <c r="H786" s="17"/>
      <c r="I786" s="202"/>
      <c r="J786" s="17"/>
      <c r="K786" s="203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203"/>
      <c r="D787" s="17"/>
      <c r="E787" s="229"/>
      <c r="F787" s="17"/>
      <c r="G787" s="203"/>
      <c r="H787" s="17"/>
      <c r="I787" s="202"/>
      <c r="J787" s="17"/>
      <c r="K787" s="203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203"/>
      <c r="D788" s="17"/>
      <c r="E788" s="229"/>
      <c r="F788" s="17"/>
      <c r="G788" s="203"/>
      <c r="H788" s="17"/>
      <c r="I788" s="202"/>
      <c r="J788" s="17"/>
      <c r="K788" s="203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203"/>
      <c r="D789" s="17"/>
      <c r="E789" s="229"/>
      <c r="F789" s="17"/>
      <c r="G789" s="203"/>
      <c r="H789" s="17"/>
      <c r="I789" s="202"/>
      <c r="J789" s="17"/>
      <c r="K789" s="203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203"/>
      <c r="D790" s="17"/>
      <c r="E790" s="229"/>
      <c r="F790" s="17"/>
      <c r="G790" s="203"/>
      <c r="H790" s="17"/>
      <c r="I790" s="202"/>
      <c r="J790" s="17"/>
      <c r="K790" s="203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203"/>
      <c r="D791" s="17"/>
      <c r="E791" s="229"/>
      <c r="F791" s="17"/>
      <c r="G791" s="203"/>
      <c r="H791" s="17"/>
      <c r="I791" s="202"/>
      <c r="J791" s="17"/>
      <c r="K791" s="203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203"/>
      <c r="D792" s="17"/>
      <c r="E792" s="229"/>
      <c r="F792" s="17"/>
      <c r="G792" s="203"/>
      <c r="H792" s="17"/>
      <c r="I792" s="202"/>
      <c r="J792" s="17"/>
      <c r="K792" s="203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203"/>
      <c r="D793" s="17"/>
      <c r="E793" s="229"/>
      <c r="F793" s="17"/>
      <c r="G793" s="203"/>
      <c r="H793" s="17"/>
      <c r="I793" s="202"/>
      <c r="J793" s="17"/>
      <c r="K793" s="203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203"/>
      <c r="D794" s="17"/>
      <c r="E794" s="229"/>
      <c r="F794" s="17"/>
      <c r="G794" s="203"/>
      <c r="H794" s="17"/>
      <c r="I794" s="202"/>
      <c r="J794" s="17"/>
      <c r="K794" s="203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203"/>
      <c r="D795" s="17"/>
      <c r="E795" s="229"/>
      <c r="F795" s="17"/>
      <c r="G795" s="203"/>
      <c r="H795" s="17"/>
      <c r="I795" s="202"/>
      <c r="J795" s="17"/>
      <c r="K795" s="203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203"/>
      <c r="D796" s="17"/>
      <c r="E796" s="229"/>
      <c r="F796" s="17"/>
      <c r="G796" s="203"/>
      <c r="H796" s="17"/>
      <c r="I796" s="202"/>
      <c r="J796" s="17"/>
      <c r="K796" s="203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203"/>
      <c r="D797" s="17"/>
      <c r="E797" s="229"/>
      <c r="F797" s="17"/>
      <c r="G797" s="203"/>
      <c r="H797" s="17"/>
      <c r="I797" s="202"/>
      <c r="J797" s="17"/>
      <c r="K797" s="203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203"/>
      <c r="D798" s="17"/>
      <c r="E798" s="229"/>
      <c r="F798" s="17"/>
      <c r="G798" s="203"/>
      <c r="H798" s="17"/>
      <c r="I798" s="202"/>
      <c r="J798" s="17"/>
      <c r="K798" s="203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203"/>
      <c r="D799" s="17"/>
      <c r="E799" s="229"/>
      <c r="F799" s="17"/>
      <c r="G799" s="203"/>
      <c r="H799" s="17"/>
      <c r="I799" s="202"/>
      <c r="J799" s="17"/>
      <c r="K799" s="203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203"/>
      <c r="D800" s="17"/>
      <c r="E800" s="229"/>
      <c r="F800" s="17"/>
      <c r="G800" s="203"/>
      <c r="H800" s="17"/>
      <c r="I800" s="202"/>
      <c r="J800" s="17"/>
      <c r="K800" s="203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203"/>
      <c r="D801" s="17"/>
      <c r="E801" s="229"/>
      <c r="F801" s="17"/>
      <c r="G801" s="203"/>
      <c r="H801" s="17"/>
      <c r="I801" s="202"/>
      <c r="J801" s="17"/>
      <c r="K801" s="203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203"/>
      <c r="D802" s="17"/>
      <c r="E802" s="229"/>
      <c r="F802" s="17"/>
      <c r="G802" s="203"/>
      <c r="H802" s="17"/>
      <c r="I802" s="202"/>
      <c r="J802" s="17"/>
      <c r="K802" s="203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203"/>
      <c r="D803" s="17"/>
      <c r="E803" s="229"/>
      <c r="F803" s="17"/>
      <c r="G803" s="203"/>
      <c r="H803" s="17"/>
      <c r="I803" s="202"/>
      <c r="J803" s="17"/>
      <c r="K803" s="203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203"/>
      <c r="D804" s="17"/>
      <c r="E804" s="229"/>
      <c r="F804" s="17"/>
      <c r="G804" s="203"/>
      <c r="H804" s="17"/>
      <c r="I804" s="202"/>
      <c r="J804" s="17"/>
      <c r="K804" s="203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203"/>
      <c r="D805" s="17"/>
      <c r="E805" s="229"/>
      <c r="F805" s="17"/>
      <c r="G805" s="203"/>
      <c r="H805" s="17"/>
      <c r="I805" s="202"/>
      <c r="J805" s="17"/>
      <c r="K805" s="203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203"/>
      <c r="D806" s="17"/>
      <c r="E806" s="229"/>
      <c r="F806" s="17"/>
      <c r="G806" s="203"/>
      <c r="H806" s="17"/>
      <c r="I806" s="202"/>
      <c r="J806" s="17"/>
      <c r="K806" s="203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203"/>
      <c r="D807" s="17"/>
      <c r="E807" s="229"/>
      <c r="F807" s="17"/>
      <c r="G807" s="203"/>
      <c r="H807" s="17"/>
      <c r="I807" s="202"/>
      <c r="J807" s="17"/>
      <c r="K807" s="203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203"/>
      <c r="D808" s="17"/>
      <c r="E808" s="229"/>
      <c r="F808" s="17"/>
      <c r="G808" s="203"/>
      <c r="H808" s="17"/>
      <c r="I808" s="202"/>
      <c r="J808" s="17"/>
      <c r="K808" s="203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203"/>
      <c r="D809" s="17"/>
      <c r="E809" s="229"/>
      <c r="F809" s="17"/>
      <c r="G809" s="203"/>
      <c r="H809" s="17"/>
      <c r="I809" s="202"/>
      <c r="J809" s="17"/>
      <c r="K809" s="203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203"/>
      <c r="D810" s="17"/>
      <c r="E810" s="229"/>
      <c r="F810" s="17"/>
      <c r="G810" s="203"/>
      <c r="H810" s="17"/>
      <c r="I810" s="202"/>
      <c r="J810" s="17"/>
      <c r="K810" s="203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203"/>
      <c r="D811" s="17"/>
      <c r="E811" s="229"/>
      <c r="F811" s="17"/>
      <c r="G811" s="203"/>
      <c r="H811" s="17"/>
      <c r="I811" s="202"/>
      <c r="J811" s="17"/>
      <c r="K811" s="203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203"/>
      <c r="D812" s="17"/>
      <c r="E812" s="229"/>
      <c r="F812" s="17"/>
      <c r="G812" s="203"/>
      <c r="H812" s="17"/>
      <c r="I812" s="202"/>
      <c r="J812" s="17"/>
      <c r="K812" s="203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203"/>
      <c r="D813" s="17"/>
      <c r="E813" s="229"/>
      <c r="F813" s="17"/>
      <c r="G813" s="203"/>
      <c r="H813" s="17"/>
      <c r="I813" s="202"/>
      <c r="J813" s="17"/>
      <c r="K813" s="203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203"/>
      <c r="D814" s="17"/>
      <c r="E814" s="229"/>
      <c r="F814" s="17"/>
      <c r="G814" s="203"/>
      <c r="H814" s="17"/>
      <c r="I814" s="202"/>
      <c r="J814" s="17"/>
      <c r="K814" s="203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203"/>
      <c r="D815" s="17"/>
      <c r="E815" s="229"/>
      <c r="F815" s="17"/>
      <c r="G815" s="203"/>
      <c r="H815" s="17"/>
      <c r="I815" s="202"/>
      <c r="J815" s="17"/>
      <c r="K815" s="203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203"/>
      <c r="D816" s="17"/>
      <c r="E816" s="229"/>
      <c r="F816" s="17"/>
      <c r="G816" s="203"/>
      <c r="H816" s="17"/>
      <c r="I816" s="202"/>
      <c r="J816" s="17"/>
      <c r="K816" s="203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203"/>
      <c r="D817" s="17"/>
      <c r="E817" s="229"/>
      <c r="F817" s="17"/>
      <c r="G817" s="203"/>
      <c r="H817" s="17"/>
      <c r="I817" s="202"/>
      <c r="J817" s="17"/>
      <c r="K817" s="203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203"/>
      <c r="D818" s="17"/>
      <c r="E818" s="229"/>
      <c r="F818" s="17"/>
      <c r="G818" s="203"/>
      <c r="H818" s="17"/>
      <c r="I818" s="202"/>
      <c r="J818" s="17"/>
      <c r="K818" s="203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203"/>
      <c r="D819" s="17"/>
      <c r="E819" s="229"/>
      <c r="F819" s="17"/>
      <c r="G819" s="203"/>
      <c r="H819" s="17"/>
      <c r="I819" s="202"/>
      <c r="J819" s="17"/>
      <c r="K819" s="203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203"/>
      <c r="D820" s="17"/>
      <c r="E820" s="229"/>
      <c r="F820" s="17"/>
      <c r="G820" s="203"/>
      <c r="H820" s="17"/>
      <c r="I820" s="202"/>
      <c r="J820" s="17"/>
      <c r="K820" s="203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203"/>
      <c r="D821" s="17"/>
      <c r="E821" s="229"/>
      <c r="F821" s="17"/>
      <c r="G821" s="203"/>
      <c r="H821" s="17"/>
      <c r="I821" s="202"/>
      <c r="J821" s="17"/>
      <c r="K821" s="203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203"/>
      <c r="D822" s="17"/>
      <c r="E822" s="229"/>
      <c r="F822" s="17"/>
      <c r="G822" s="203"/>
      <c r="H822" s="17"/>
      <c r="I822" s="202"/>
      <c r="J822" s="17"/>
      <c r="K822" s="203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203"/>
      <c r="D823" s="17"/>
      <c r="E823" s="229"/>
      <c r="F823" s="17"/>
      <c r="G823" s="203"/>
      <c r="H823" s="17"/>
      <c r="I823" s="202"/>
      <c r="J823" s="17"/>
      <c r="K823" s="203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203"/>
      <c r="D824" s="17"/>
      <c r="E824" s="229"/>
      <c r="F824" s="17"/>
      <c r="G824" s="203"/>
      <c r="H824" s="17"/>
      <c r="I824" s="202"/>
      <c r="J824" s="17"/>
      <c r="K824" s="203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203"/>
      <c r="D825" s="17"/>
      <c r="E825" s="229"/>
      <c r="F825" s="17"/>
      <c r="G825" s="203"/>
      <c r="H825" s="17"/>
      <c r="I825" s="202"/>
      <c r="J825" s="17"/>
      <c r="K825" s="203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203"/>
      <c r="D826" s="17"/>
      <c r="E826" s="229"/>
      <c r="F826" s="17"/>
      <c r="G826" s="203"/>
      <c r="H826" s="17"/>
      <c r="I826" s="202"/>
      <c r="J826" s="17"/>
      <c r="K826" s="203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203"/>
      <c r="D827" s="17"/>
      <c r="E827" s="229"/>
      <c r="F827" s="17"/>
      <c r="G827" s="203"/>
      <c r="H827" s="17"/>
      <c r="I827" s="202"/>
      <c r="J827" s="17"/>
      <c r="K827" s="203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203"/>
      <c r="D828" s="17"/>
      <c r="E828" s="229"/>
      <c r="F828" s="17"/>
      <c r="G828" s="203"/>
      <c r="H828" s="17"/>
      <c r="I828" s="202"/>
      <c r="J828" s="17"/>
      <c r="K828" s="203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203"/>
      <c r="D829" s="17"/>
      <c r="E829" s="229"/>
      <c r="F829" s="17"/>
      <c r="G829" s="203"/>
      <c r="H829" s="17"/>
      <c r="I829" s="202"/>
      <c r="J829" s="17"/>
      <c r="K829" s="203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203"/>
      <c r="D830" s="17"/>
      <c r="E830" s="229"/>
      <c r="F830" s="17"/>
      <c r="G830" s="203"/>
      <c r="H830" s="17"/>
      <c r="I830" s="202"/>
      <c r="J830" s="17"/>
      <c r="K830" s="203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203"/>
      <c r="D831" s="17"/>
      <c r="E831" s="229"/>
      <c r="F831" s="17"/>
      <c r="G831" s="203"/>
      <c r="H831" s="17"/>
      <c r="I831" s="202"/>
      <c r="J831" s="17"/>
      <c r="K831" s="203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203"/>
      <c r="D832" s="17"/>
      <c r="E832" s="229"/>
      <c r="F832" s="17"/>
      <c r="G832" s="203"/>
      <c r="H832" s="17"/>
      <c r="I832" s="202"/>
      <c r="J832" s="17"/>
      <c r="K832" s="203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203"/>
      <c r="D833" s="17"/>
      <c r="E833" s="229"/>
      <c r="F833" s="17"/>
      <c r="G833" s="203"/>
      <c r="H833" s="17"/>
      <c r="I833" s="202"/>
      <c r="J833" s="17"/>
      <c r="K833" s="203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203"/>
      <c r="D834" s="17"/>
      <c r="E834" s="229"/>
      <c r="F834" s="17"/>
      <c r="G834" s="203"/>
      <c r="H834" s="17"/>
      <c r="I834" s="202"/>
      <c r="J834" s="17"/>
      <c r="K834" s="203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203"/>
      <c r="D835" s="17"/>
      <c r="E835" s="229"/>
      <c r="F835" s="17"/>
      <c r="G835" s="203"/>
      <c r="H835" s="17"/>
      <c r="I835" s="202"/>
      <c r="J835" s="17"/>
      <c r="K835" s="203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203"/>
      <c r="D836" s="17"/>
      <c r="E836" s="229"/>
      <c r="F836" s="17"/>
      <c r="G836" s="203"/>
      <c r="H836" s="17"/>
      <c r="I836" s="202"/>
      <c r="J836" s="17"/>
      <c r="K836" s="203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203"/>
      <c r="D837" s="17"/>
      <c r="E837" s="229"/>
      <c r="F837" s="17"/>
      <c r="G837" s="203"/>
      <c r="H837" s="17"/>
      <c r="I837" s="202"/>
      <c r="J837" s="17"/>
      <c r="K837" s="203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203"/>
      <c r="D838" s="17"/>
      <c r="E838" s="229"/>
      <c r="F838" s="17"/>
      <c r="G838" s="203"/>
      <c r="H838" s="17"/>
      <c r="I838" s="202"/>
      <c r="J838" s="17"/>
      <c r="K838" s="203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203"/>
      <c r="D839" s="17"/>
      <c r="E839" s="229"/>
      <c r="F839" s="17"/>
      <c r="G839" s="203"/>
      <c r="H839" s="17"/>
      <c r="I839" s="202"/>
      <c r="J839" s="17"/>
      <c r="K839" s="203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203"/>
      <c r="D840" s="17"/>
      <c r="E840" s="229"/>
      <c r="F840" s="17"/>
      <c r="G840" s="203"/>
      <c r="H840" s="17"/>
      <c r="I840" s="202"/>
      <c r="J840" s="17"/>
      <c r="K840" s="203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203"/>
      <c r="D841" s="17"/>
      <c r="E841" s="229"/>
      <c r="F841" s="17"/>
      <c r="G841" s="203"/>
      <c r="H841" s="17"/>
      <c r="I841" s="202"/>
      <c r="J841" s="17"/>
      <c r="K841" s="203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203"/>
      <c r="D842" s="17"/>
      <c r="E842" s="229"/>
      <c r="F842" s="17"/>
      <c r="G842" s="203"/>
      <c r="H842" s="17"/>
      <c r="I842" s="202"/>
      <c r="J842" s="17"/>
      <c r="K842" s="203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203"/>
      <c r="D843" s="17"/>
      <c r="E843" s="229"/>
      <c r="F843" s="17"/>
      <c r="G843" s="203"/>
      <c r="H843" s="17"/>
      <c r="I843" s="202"/>
      <c r="J843" s="17"/>
      <c r="K843" s="203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203"/>
      <c r="D844" s="17"/>
      <c r="E844" s="229"/>
      <c r="F844" s="17"/>
      <c r="G844" s="203"/>
      <c r="H844" s="17"/>
      <c r="I844" s="202"/>
      <c r="J844" s="17"/>
      <c r="K844" s="203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203"/>
      <c r="D845" s="17"/>
      <c r="E845" s="229"/>
      <c r="F845" s="17"/>
      <c r="G845" s="203"/>
      <c r="H845" s="17"/>
      <c r="I845" s="202"/>
      <c r="J845" s="17"/>
      <c r="K845" s="203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203"/>
      <c r="D846" s="17"/>
      <c r="E846" s="229"/>
      <c r="F846" s="17"/>
      <c r="G846" s="203"/>
      <c r="H846" s="17"/>
      <c r="I846" s="202"/>
      <c r="J846" s="17"/>
      <c r="K846" s="203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203"/>
      <c r="D847" s="17"/>
      <c r="E847" s="229"/>
      <c r="F847" s="17"/>
      <c r="G847" s="203"/>
      <c r="H847" s="17"/>
      <c r="I847" s="202"/>
      <c r="J847" s="17"/>
      <c r="K847" s="203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203"/>
      <c r="D848" s="17"/>
      <c r="E848" s="229"/>
      <c r="F848" s="17"/>
      <c r="G848" s="203"/>
      <c r="H848" s="17"/>
      <c r="I848" s="202"/>
      <c r="J848" s="17"/>
      <c r="K848" s="203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203"/>
      <c r="D849" s="17"/>
      <c r="E849" s="229"/>
      <c r="F849" s="17"/>
      <c r="G849" s="203"/>
      <c r="H849" s="17"/>
      <c r="I849" s="202"/>
      <c r="J849" s="17"/>
      <c r="K849" s="203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203"/>
      <c r="D850" s="17"/>
      <c r="E850" s="229"/>
      <c r="F850" s="17"/>
      <c r="G850" s="203"/>
      <c r="H850" s="17"/>
      <c r="I850" s="202"/>
      <c r="J850" s="17"/>
      <c r="K850" s="203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203"/>
      <c r="D851" s="17"/>
      <c r="E851" s="229"/>
      <c r="F851" s="17"/>
      <c r="G851" s="203"/>
      <c r="H851" s="17"/>
      <c r="I851" s="202"/>
      <c r="J851" s="17"/>
      <c r="K851" s="203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203"/>
      <c r="D852" s="17"/>
      <c r="E852" s="229"/>
      <c r="F852" s="17"/>
      <c r="G852" s="203"/>
      <c r="H852" s="17"/>
      <c r="I852" s="202"/>
      <c r="J852" s="17"/>
      <c r="K852" s="203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203"/>
      <c r="D853" s="17"/>
      <c r="E853" s="229"/>
      <c r="F853" s="17"/>
      <c r="G853" s="203"/>
      <c r="H853" s="17"/>
      <c r="I853" s="202"/>
      <c r="J853" s="17"/>
      <c r="K853" s="203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203"/>
      <c r="D854" s="17"/>
      <c r="E854" s="229"/>
      <c r="F854" s="17"/>
      <c r="G854" s="203"/>
      <c r="H854" s="17"/>
      <c r="I854" s="202"/>
      <c r="J854" s="17"/>
      <c r="K854" s="203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203"/>
      <c r="D855" s="17"/>
      <c r="E855" s="229"/>
      <c r="F855" s="17"/>
      <c r="G855" s="203"/>
      <c r="H855" s="17"/>
      <c r="I855" s="202"/>
      <c r="J855" s="17"/>
      <c r="K855" s="203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203"/>
      <c r="D856" s="17"/>
      <c r="E856" s="229"/>
      <c r="F856" s="17"/>
      <c r="G856" s="203"/>
      <c r="H856" s="17"/>
      <c r="I856" s="202"/>
      <c r="J856" s="17"/>
      <c r="K856" s="203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203"/>
      <c r="D857" s="17"/>
      <c r="E857" s="229"/>
      <c r="F857" s="17"/>
      <c r="G857" s="203"/>
      <c r="H857" s="17"/>
      <c r="I857" s="202"/>
      <c r="J857" s="17"/>
      <c r="K857" s="203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203"/>
      <c r="D858" s="17"/>
      <c r="E858" s="229"/>
      <c r="F858" s="17"/>
      <c r="G858" s="203"/>
      <c r="H858" s="17"/>
      <c r="I858" s="202"/>
      <c r="J858" s="17"/>
      <c r="K858" s="203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203"/>
      <c r="D859" s="17"/>
      <c r="E859" s="229"/>
      <c r="F859" s="17"/>
      <c r="G859" s="203"/>
      <c r="H859" s="17"/>
      <c r="I859" s="202"/>
      <c r="J859" s="17"/>
      <c r="K859" s="203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203"/>
      <c r="D860" s="17"/>
      <c r="E860" s="229"/>
      <c r="F860" s="17"/>
      <c r="G860" s="203"/>
      <c r="H860" s="17"/>
      <c r="I860" s="202"/>
      <c r="J860" s="17"/>
      <c r="K860" s="203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203"/>
      <c r="D861" s="17"/>
      <c r="E861" s="229"/>
      <c r="F861" s="17"/>
      <c r="G861" s="203"/>
      <c r="H861" s="17"/>
      <c r="I861" s="202"/>
      <c r="J861" s="17"/>
      <c r="K861" s="203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203"/>
      <c r="D862" s="17"/>
      <c r="E862" s="229"/>
      <c r="F862" s="17"/>
      <c r="G862" s="203"/>
      <c r="H862" s="17"/>
      <c r="I862" s="202"/>
      <c r="J862" s="17"/>
      <c r="K862" s="203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203"/>
      <c r="D863" s="17"/>
      <c r="E863" s="229"/>
      <c r="F863" s="17"/>
      <c r="G863" s="203"/>
      <c r="H863" s="17"/>
      <c r="I863" s="202"/>
      <c r="J863" s="17"/>
      <c r="K863" s="203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203"/>
      <c r="D864" s="17"/>
      <c r="E864" s="229"/>
      <c r="F864" s="17"/>
      <c r="G864" s="203"/>
      <c r="H864" s="17"/>
      <c r="I864" s="202"/>
      <c r="J864" s="17"/>
      <c r="K864" s="203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203"/>
      <c r="D865" s="17"/>
      <c r="E865" s="229"/>
      <c r="F865" s="17"/>
      <c r="G865" s="203"/>
      <c r="H865" s="17"/>
      <c r="I865" s="202"/>
      <c r="J865" s="17"/>
      <c r="K865" s="203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203"/>
      <c r="D866" s="17"/>
      <c r="E866" s="229"/>
      <c r="F866" s="17"/>
      <c r="G866" s="203"/>
      <c r="H866" s="17"/>
      <c r="I866" s="202"/>
      <c r="J866" s="17"/>
      <c r="K866" s="203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203"/>
      <c r="D867" s="17"/>
      <c r="E867" s="229"/>
      <c r="F867" s="17"/>
      <c r="G867" s="203"/>
      <c r="H867" s="17"/>
      <c r="I867" s="202"/>
      <c r="J867" s="17"/>
      <c r="K867" s="203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203"/>
      <c r="D868" s="17"/>
      <c r="E868" s="229"/>
      <c r="F868" s="17"/>
      <c r="G868" s="203"/>
      <c r="H868" s="17"/>
      <c r="I868" s="202"/>
      <c r="J868" s="17"/>
      <c r="K868" s="203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203"/>
      <c r="D869" s="17"/>
      <c r="E869" s="229"/>
      <c r="F869" s="17"/>
      <c r="G869" s="203"/>
      <c r="H869" s="17"/>
      <c r="I869" s="202"/>
      <c r="J869" s="17"/>
      <c r="K869" s="203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203"/>
      <c r="D870" s="17"/>
      <c r="E870" s="229"/>
      <c r="F870" s="17"/>
      <c r="G870" s="203"/>
      <c r="H870" s="17"/>
      <c r="I870" s="202"/>
      <c r="J870" s="17"/>
      <c r="K870" s="203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203"/>
      <c r="D871" s="17"/>
      <c r="E871" s="229"/>
      <c r="F871" s="17"/>
      <c r="G871" s="203"/>
      <c r="H871" s="17"/>
      <c r="I871" s="202"/>
      <c r="J871" s="17"/>
      <c r="K871" s="203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203"/>
      <c r="D872" s="17"/>
      <c r="E872" s="229"/>
      <c r="F872" s="17"/>
      <c r="G872" s="203"/>
      <c r="H872" s="17"/>
      <c r="I872" s="202"/>
      <c r="J872" s="17"/>
      <c r="K872" s="203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203"/>
      <c r="D873" s="17"/>
      <c r="E873" s="229"/>
      <c r="F873" s="17"/>
      <c r="G873" s="203"/>
      <c r="H873" s="17"/>
      <c r="I873" s="202"/>
      <c r="J873" s="17"/>
      <c r="K873" s="203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203"/>
      <c r="D874" s="17"/>
      <c r="E874" s="229"/>
      <c r="F874" s="17"/>
      <c r="G874" s="203"/>
      <c r="H874" s="17"/>
      <c r="I874" s="202"/>
      <c r="J874" s="17"/>
      <c r="K874" s="203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203"/>
      <c r="D875" s="17"/>
      <c r="E875" s="229"/>
      <c r="F875" s="17"/>
      <c r="G875" s="203"/>
      <c r="H875" s="17"/>
      <c r="I875" s="202"/>
      <c r="J875" s="17"/>
      <c r="K875" s="203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203"/>
      <c r="D876" s="17"/>
      <c r="E876" s="229"/>
      <c r="F876" s="17"/>
      <c r="G876" s="203"/>
      <c r="H876" s="17"/>
      <c r="I876" s="202"/>
      <c r="J876" s="17"/>
      <c r="K876" s="203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203"/>
      <c r="D877" s="17"/>
      <c r="E877" s="229"/>
      <c r="F877" s="17"/>
      <c r="G877" s="203"/>
      <c r="H877" s="17"/>
      <c r="I877" s="202"/>
      <c r="J877" s="17"/>
      <c r="K877" s="203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203"/>
      <c r="D878" s="17"/>
      <c r="E878" s="229"/>
      <c r="F878" s="17"/>
      <c r="G878" s="203"/>
      <c r="H878" s="17"/>
      <c r="I878" s="202"/>
      <c r="J878" s="17"/>
      <c r="K878" s="203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203"/>
      <c r="D879" s="17"/>
      <c r="E879" s="229"/>
      <c r="F879" s="17"/>
      <c r="G879" s="203"/>
      <c r="H879" s="17"/>
      <c r="I879" s="202"/>
      <c r="J879" s="17"/>
      <c r="K879" s="203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203"/>
      <c r="D880" s="17"/>
      <c r="E880" s="229"/>
      <c r="F880" s="17"/>
      <c r="G880" s="203"/>
      <c r="H880" s="17"/>
      <c r="I880" s="202"/>
      <c r="J880" s="17"/>
      <c r="K880" s="203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203"/>
      <c r="D881" s="17"/>
      <c r="E881" s="229"/>
      <c r="F881" s="17"/>
      <c r="G881" s="203"/>
      <c r="H881" s="17"/>
      <c r="I881" s="202"/>
      <c r="J881" s="17"/>
      <c r="K881" s="203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203"/>
      <c r="D882" s="17"/>
      <c r="E882" s="229"/>
      <c r="F882" s="17"/>
      <c r="G882" s="203"/>
      <c r="H882" s="17"/>
      <c r="I882" s="202"/>
      <c r="J882" s="17"/>
      <c r="K882" s="203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203"/>
      <c r="D883" s="17"/>
      <c r="E883" s="229"/>
      <c r="F883" s="17"/>
      <c r="G883" s="203"/>
      <c r="H883" s="17"/>
      <c r="I883" s="202"/>
      <c r="J883" s="17"/>
      <c r="K883" s="203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203"/>
      <c r="D884" s="17"/>
      <c r="E884" s="229"/>
      <c r="F884" s="17"/>
      <c r="G884" s="203"/>
      <c r="H884" s="17"/>
      <c r="I884" s="202"/>
      <c r="J884" s="17"/>
      <c r="K884" s="203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203"/>
      <c r="D885" s="17"/>
      <c r="E885" s="229"/>
      <c r="F885" s="17"/>
      <c r="G885" s="203"/>
      <c r="H885" s="17"/>
      <c r="I885" s="202"/>
      <c r="J885" s="17"/>
      <c r="K885" s="203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203"/>
      <c r="D886" s="17"/>
      <c r="E886" s="229"/>
      <c r="F886" s="17"/>
      <c r="G886" s="203"/>
      <c r="H886" s="17"/>
      <c r="I886" s="202"/>
      <c r="J886" s="17"/>
      <c r="K886" s="203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203"/>
      <c r="D887" s="17"/>
      <c r="E887" s="229"/>
      <c r="F887" s="17"/>
      <c r="G887" s="203"/>
      <c r="H887" s="17"/>
      <c r="I887" s="202"/>
      <c r="J887" s="17"/>
      <c r="K887" s="203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203"/>
      <c r="D888" s="17"/>
      <c r="E888" s="229"/>
      <c r="F888" s="17"/>
      <c r="G888" s="203"/>
      <c r="H888" s="17"/>
      <c r="I888" s="202"/>
      <c r="J888" s="17"/>
      <c r="K888" s="203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203"/>
      <c r="D889" s="17"/>
      <c r="E889" s="229"/>
      <c r="F889" s="17"/>
      <c r="G889" s="203"/>
      <c r="H889" s="17"/>
      <c r="I889" s="202"/>
      <c r="J889" s="17"/>
      <c r="K889" s="203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203"/>
      <c r="D890" s="17"/>
      <c r="E890" s="229"/>
      <c r="F890" s="17"/>
      <c r="G890" s="203"/>
      <c r="H890" s="17"/>
      <c r="I890" s="202"/>
      <c r="J890" s="17"/>
      <c r="K890" s="203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203"/>
      <c r="D891" s="17"/>
      <c r="E891" s="229"/>
      <c r="F891" s="17"/>
      <c r="G891" s="203"/>
      <c r="H891" s="17"/>
      <c r="I891" s="202"/>
      <c r="J891" s="17"/>
      <c r="K891" s="203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203"/>
      <c r="D892" s="17"/>
      <c r="E892" s="229"/>
      <c r="F892" s="17"/>
      <c r="G892" s="203"/>
      <c r="H892" s="17"/>
      <c r="I892" s="202"/>
      <c r="J892" s="17"/>
      <c r="K892" s="203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203"/>
      <c r="D893" s="17"/>
      <c r="E893" s="229"/>
      <c r="F893" s="17"/>
      <c r="G893" s="203"/>
      <c r="H893" s="17"/>
      <c r="I893" s="202"/>
      <c r="J893" s="17"/>
      <c r="K893" s="203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203"/>
      <c r="D894" s="17"/>
      <c r="E894" s="229"/>
      <c r="F894" s="17"/>
      <c r="G894" s="203"/>
      <c r="H894" s="17"/>
      <c r="I894" s="202"/>
      <c r="J894" s="17"/>
      <c r="K894" s="203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203"/>
      <c r="D895" s="17"/>
      <c r="E895" s="229"/>
      <c r="F895" s="17"/>
      <c r="G895" s="203"/>
      <c r="H895" s="17"/>
      <c r="I895" s="202"/>
      <c r="J895" s="17"/>
      <c r="K895" s="203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203"/>
      <c r="D896" s="17"/>
      <c r="E896" s="229"/>
      <c r="F896" s="17"/>
      <c r="G896" s="203"/>
      <c r="H896" s="17"/>
      <c r="I896" s="202"/>
      <c r="J896" s="17"/>
      <c r="K896" s="203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203"/>
      <c r="D897" s="17"/>
      <c r="E897" s="229"/>
      <c r="F897" s="17"/>
      <c r="G897" s="203"/>
      <c r="H897" s="17"/>
      <c r="I897" s="202"/>
      <c r="J897" s="17"/>
      <c r="K897" s="203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203"/>
      <c r="D898" s="17"/>
      <c r="E898" s="229"/>
      <c r="F898" s="17"/>
      <c r="G898" s="203"/>
      <c r="H898" s="17"/>
      <c r="I898" s="202"/>
      <c r="J898" s="17"/>
      <c r="K898" s="203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203"/>
      <c r="D899" s="17"/>
      <c r="E899" s="229"/>
      <c r="F899" s="17"/>
      <c r="G899" s="203"/>
      <c r="H899" s="17"/>
      <c r="I899" s="202"/>
      <c r="J899" s="17"/>
      <c r="K899" s="203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203"/>
      <c r="D900" s="17"/>
      <c r="E900" s="229"/>
      <c r="F900" s="17"/>
      <c r="G900" s="203"/>
      <c r="H900" s="17"/>
      <c r="I900" s="202"/>
      <c r="J900" s="17"/>
      <c r="K900" s="203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203"/>
      <c r="D901" s="17"/>
      <c r="E901" s="229"/>
      <c r="F901" s="17"/>
      <c r="G901" s="203"/>
      <c r="H901" s="17"/>
      <c r="I901" s="202"/>
      <c r="J901" s="17"/>
      <c r="K901" s="203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203"/>
      <c r="D902" s="17"/>
      <c r="E902" s="229"/>
      <c r="F902" s="17"/>
      <c r="G902" s="203"/>
      <c r="H902" s="17"/>
      <c r="I902" s="202"/>
      <c r="J902" s="17"/>
      <c r="K902" s="203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203"/>
      <c r="D903" s="17"/>
      <c r="E903" s="229"/>
      <c r="F903" s="17"/>
      <c r="G903" s="203"/>
      <c r="H903" s="17"/>
      <c r="I903" s="202"/>
      <c r="J903" s="17"/>
      <c r="K903" s="203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203"/>
      <c r="D904" s="17"/>
      <c r="E904" s="229"/>
      <c r="F904" s="17"/>
      <c r="G904" s="203"/>
      <c r="H904" s="17"/>
      <c r="I904" s="202"/>
      <c r="J904" s="17"/>
      <c r="K904" s="203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203"/>
      <c r="D905" s="17"/>
      <c r="E905" s="229"/>
      <c r="F905" s="17"/>
      <c r="G905" s="203"/>
      <c r="H905" s="17"/>
      <c r="I905" s="202"/>
      <c r="J905" s="17"/>
      <c r="K905" s="203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203"/>
      <c r="D906" s="17"/>
      <c r="E906" s="229"/>
      <c r="F906" s="17"/>
      <c r="G906" s="203"/>
      <c r="H906" s="17"/>
      <c r="I906" s="202"/>
      <c r="J906" s="17"/>
      <c r="K906" s="203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203"/>
      <c r="D907" s="17"/>
      <c r="E907" s="229"/>
      <c r="F907" s="17"/>
      <c r="G907" s="203"/>
      <c r="H907" s="17"/>
      <c r="I907" s="202"/>
      <c r="J907" s="17"/>
      <c r="K907" s="203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203"/>
      <c r="D908" s="17"/>
      <c r="E908" s="229"/>
      <c r="F908" s="17"/>
      <c r="G908" s="203"/>
      <c r="H908" s="17"/>
      <c r="I908" s="202"/>
      <c r="J908" s="17"/>
      <c r="K908" s="203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203"/>
      <c r="D909" s="17"/>
      <c r="E909" s="229"/>
      <c r="F909" s="17"/>
      <c r="G909" s="203"/>
      <c r="H909" s="17"/>
      <c r="I909" s="202"/>
      <c r="J909" s="17"/>
      <c r="K909" s="203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203"/>
      <c r="D910" s="17"/>
      <c r="E910" s="229"/>
      <c r="F910" s="17"/>
      <c r="G910" s="203"/>
      <c r="H910" s="17"/>
      <c r="I910" s="202"/>
      <c r="J910" s="17"/>
      <c r="K910" s="203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203"/>
      <c r="D911" s="17"/>
      <c r="E911" s="229"/>
      <c r="F911" s="17"/>
      <c r="G911" s="203"/>
      <c r="H911" s="17"/>
      <c r="I911" s="202"/>
      <c r="J911" s="17"/>
      <c r="K911" s="203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203"/>
      <c r="D912" s="17"/>
      <c r="E912" s="229"/>
      <c r="F912" s="17"/>
      <c r="G912" s="203"/>
      <c r="H912" s="17"/>
      <c r="I912" s="202"/>
      <c r="J912" s="17"/>
      <c r="K912" s="203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203"/>
      <c r="D913" s="17"/>
      <c r="E913" s="229"/>
      <c r="F913" s="17"/>
      <c r="G913" s="203"/>
      <c r="H913" s="17"/>
      <c r="I913" s="202"/>
      <c r="J913" s="17"/>
      <c r="K913" s="203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203"/>
      <c r="D914" s="17"/>
      <c r="E914" s="229"/>
      <c r="F914" s="17"/>
      <c r="G914" s="203"/>
      <c r="H914" s="17"/>
      <c r="I914" s="202"/>
      <c r="J914" s="17"/>
      <c r="K914" s="203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203"/>
      <c r="D915" s="17"/>
      <c r="E915" s="229"/>
      <c r="F915" s="17"/>
      <c r="G915" s="203"/>
      <c r="H915" s="17"/>
      <c r="I915" s="202"/>
      <c r="J915" s="17"/>
      <c r="K915" s="203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203"/>
      <c r="D916" s="17"/>
      <c r="E916" s="229"/>
      <c r="F916" s="17"/>
      <c r="G916" s="203"/>
      <c r="H916" s="17"/>
      <c r="I916" s="202"/>
      <c r="J916" s="17"/>
      <c r="K916" s="203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203"/>
      <c r="D917" s="17"/>
      <c r="E917" s="229"/>
      <c r="F917" s="17"/>
      <c r="G917" s="203"/>
      <c r="H917" s="17"/>
      <c r="I917" s="202"/>
      <c r="J917" s="17"/>
      <c r="K917" s="203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203"/>
      <c r="D918" s="17"/>
      <c r="E918" s="229"/>
      <c r="F918" s="17"/>
      <c r="G918" s="203"/>
      <c r="H918" s="17"/>
      <c r="I918" s="202"/>
      <c r="J918" s="17"/>
      <c r="K918" s="203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203"/>
      <c r="D919" s="17"/>
      <c r="E919" s="229"/>
      <c r="F919" s="17"/>
      <c r="G919" s="203"/>
      <c r="H919" s="17"/>
      <c r="I919" s="202"/>
      <c r="J919" s="17"/>
      <c r="K919" s="203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203"/>
      <c r="D920" s="17"/>
      <c r="E920" s="229"/>
      <c r="F920" s="17"/>
      <c r="G920" s="203"/>
      <c r="H920" s="17"/>
      <c r="I920" s="202"/>
      <c r="J920" s="17"/>
      <c r="K920" s="203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203"/>
      <c r="D921" s="17"/>
      <c r="E921" s="229"/>
      <c r="F921" s="17"/>
      <c r="G921" s="203"/>
      <c r="H921" s="17"/>
      <c r="I921" s="202"/>
      <c r="J921" s="17"/>
      <c r="K921" s="203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203"/>
      <c r="D922" s="17"/>
      <c r="E922" s="229"/>
      <c r="F922" s="17"/>
      <c r="G922" s="203"/>
      <c r="H922" s="17"/>
      <c r="I922" s="202"/>
      <c r="J922" s="17"/>
      <c r="K922" s="203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203"/>
      <c r="D923" s="17"/>
      <c r="E923" s="229"/>
      <c r="F923" s="17"/>
      <c r="G923" s="203"/>
      <c r="H923" s="17"/>
      <c r="I923" s="202"/>
      <c r="J923" s="17"/>
      <c r="K923" s="203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203"/>
      <c r="D924" s="17"/>
      <c r="E924" s="229"/>
      <c r="F924" s="17"/>
      <c r="G924" s="203"/>
      <c r="H924" s="17"/>
      <c r="I924" s="202"/>
      <c r="J924" s="17"/>
      <c r="K924" s="203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203"/>
      <c r="D925" s="17"/>
      <c r="E925" s="229"/>
      <c r="F925" s="17"/>
      <c r="G925" s="203"/>
      <c r="H925" s="17"/>
      <c r="I925" s="202"/>
      <c r="J925" s="17"/>
      <c r="K925" s="203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203"/>
      <c r="D926" s="17"/>
      <c r="E926" s="229"/>
      <c r="F926" s="17"/>
      <c r="G926" s="203"/>
      <c r="H926" s="17"/>
      <c r="I926" s="202"/>
      <c r="J926" s="17"/>
      <c r="K926" s="203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203"/>
      <c r="D927" s="17"/>
      <c r="E927" s="229"/>
      <c r="F927" s="17"/>
      <c r="G927" s="203"/>
      <c r="H927" s="17"/>
      <c r="I927" s="202"/>
      <c r="J927" s="17"/>
      <c r="K927" s="203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203"/>
      <c r="D928" s="17"/>
      <c r="E928" s="229"/>
      <c r="F928" s="17"/>
      <c r="G928" s="203"/>
      <c r="H928" s="17"/>
      <c r="I928" s="202"/>
      <c r="J928" s="17"/>
      <c r="K928" s="203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203"/>
      <c r="D929" s="17"/>
      <c r="E929" s="229"/>
      <c r="F929" s="17"/>
      <c r="G929" s="203"/>
      <c r="H929" s="17"/>
      <c r="I929" s="202"/>
      <c r="J929" s="17"/>
      <c r="K929" s="203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203"/>
      <c r="D930" s="17"/>
      <c r="E930" s="229"/>
      <c r="F930" s="17"/>
      <c r="G930" s="203"/>
      <c r="H930" s="17"/>
      <c r="I930" s="202"/>
      <c r="J930" s="17"/>
      <c r="K930" s="203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203"/>
      <c r="D931" s="17"/>
      <c r="E931" s="229"/>
      <c r="F931" s="17"/>
      <c r="G931" s="203"/>
      <c r="H931" s="17"/>
      <c r="I931" s="202"/>
      <c r="J931" s="17"/>
      <c r="K931" s="203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203"/>
      <c r="D932" s="17"/>
      <c r="E932" s="229"/>
      <c r="F932" s="17"/>
      <c r="G932" s="203"/>
      <c r="H932" s="17"/>
      <c r="I932" s="202"/>
      <c r="J932" s="17"/>
      <c r="K932" s="203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203"/>
      <c r="D933" s="17"/>
      <c r="E933" s="229"/>
      <c r="F933" s="17"/>
      <c r="G933" s="203"/>
      <c r="H933" s="17"/>
      <c r="I933" s="202"/>
      <c r="J933" s="17"/>
      <c r="K933" s="203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203"/>
      <c r="D934" s="17"/>
      <c r="E934" s="229"/>
      <c r="F934" s="17"/>
      <c r="G934" s="203"/>
      <c r="H934" s="17"/>
      <c r="I934" s="202"/>
      <c r="J934" s="17"/>
      <c r="K934" s="203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203"/>
      <c r="D935" s="17"/>
      <c r="E935" s="229"/>
      <c r="F935" s="17"/>
      <c r="G935" s="203"/>
      <c r="H935" s="17"/>
      <c r="I935" s="202"/>
      <c r="J935" s="17"/>
      <c r="K935" s="203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203"/>
      <c r="D936" s="17"/>
      <c r="E936" s="229"/>
      <c r="F936" s="17"/>
      <c r="G936" s="203"/>
      <c r="H936" s="17"/>
      <c r="I936" s="202"/>
      <c r="J936" s="17"/>
      <c r="K936" s="203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203"/>
      <c r="D937" s="17"/>
      <c r="E937" s="229"/>
      <c r="F937" s="17"/>
      <c r="G937" s="203"/>
      <c r="H937" s="17"/>
      <c r="I937" s="202"/>
      <c r="J937" s="17"/>
      <c r="K937" s="203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203"/>
      <c r="D938" s="17"/>
      <c r="E938" s="229"/>
      <c r="F938" s="17"/>
      <c r="G938" s="203"/>
      <c r="H938" s="17"/>
      <c r="I938" s="202"/>
      <c r="J938" s="17"/>
      <c r="K938" s="203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203"/>
      <c r="D939" s="17"/>
      <c r="E939" s="229"/>
      <c r="F939" s="17"/>
      <c r="G939" s="203"/>
      <c r="H939" s="17"/>
      <c r="I939" s="202"/>
      <c r="J939" s="17"/>
      <c r="K939" s="203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203"/>
      <c r="D940" s="17"/>
      <c r="E940" s="229"/>
      <c r="F940" s="17"/>
      <c r="G940" s="203"/>
      <c r="H940" s="17"/>
      <c r="I940" s="202"/>
      <c r="J940" s="17"/>
      <c r="K940" s="203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203"/>
      <c r="D941" s="17"/>
      <c r="E941" s="229"/>
      <c r="F941" s="17"/>
      <c r="G941" s="203"/>
      <c r="H941" s="17"/>
      <c r="I941" s="202"/>
      <c r="J941" s="17"/>
      <c r="K941" s="203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203"/>
      <c r="D942" s="17"/>
      <c r="E942" s="229"/>
      <c r="F942" s="17"/>
      <c r="G942" s="203"/>
      <c r="H942" s="17"/>
      <c r="I942" s="202"/>
      <c r="J942" s="17"/>
      <c r="K942" s="203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203"/>
      <c r="D943" s="17"/>
      <c r="E943" s="229"/>
      <c r="F943" s="17"/>
      <c r="G943" s="203"/>
      <c r="H943" s="17"/>
      <c r="I943" s="202"/>
      <c r="J943" s="17"/>
      <c r="K943" s="203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203"/>
      <c r="D944" s="17"/>
      <c r="E944" s="229"/>
      <c r="F944" s="17"/>
      <c r="G944" s="203"/>
      <c r="H944" s="17"/>
      <c r="I944" s="202"/>
      <c r="J944" s="17"/>
      <c r="K944" s="203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203"/>
      <c r="D945" s="17"/>
      <c r="E945" s="229"/>
      <c r="F945" s="17"/>
      <c r="G945" s="203"/>
      <c r="H945" s="17"/>
      <c r="I945" s="202"/>
      <c r="J945" s="17"/>
      <c r="K945" s="203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203"/>
      <c r="D946" s="17"/>
      <c r="E946" s="229"/>
      <c r="F946" s="17"/>
      <c r="G946" s="203"/>
      <c r="H946" s="17"/>
      <c r="I946" s="202"/>
      <c r="J946" s="17"/>
      <c r="K946" s="203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203"/>
      <c r="D947" s="17"/>
      <c r="E947" s="229"/>
      <c r="F947" s="17"/>
      <c r="G947" s="203"/>
      <c r="H947" s="17"/>
      <c r="I947" s="202"/>
      <c r="J947" s="17"/>
      <c r="K947" s="203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203"/>
      <c r="D948" s="17"/>
      <c r="E948" s="229"/>
      <c r="F948" s="17"/>
      <c r="G948" s="203"/>
      <c r="H948" s="17"/>
      <c r="I948" s="202"/>
      <c r="J948" s="17"/>
      <c r="K948" s="203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203"/>
      <c r="D949" s="17"/>
      <c r="E949" s="229"/>
      <c r="F949" s="17"/>
      <c r="G949" s="203"/>
      <c r="H949" s="17"/>
      <c r="I949" s="202"/>
      <c r="J949" s="17"/>
      <c r="K949" s="203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203"/>
      <c r="D950" s="17"/>
      <c r="E950" s="229"/>
      <c r="F950" s="17"/>
      <c r="G950" s="203"/>
      <c r="H950" s="17"/>
      <c r="I950" s="202"/>
      <c r="J950" s="17"/>
      <c r="K950" s="203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203"/>
      <c r="D951" s="17"/>
      <c r="E951" s="229"/>
      <c r="F951" s="17"/>
      <c r="G951" s="203"/>
      <c r="H951" s="17"/>
      <c r="I951" s="202"/>
      <c r="J951" s="17"/>
      <c r="K951" s="203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203"/>
      <c r="D952" s="17"/>
      <c r="E952" s="229"/>
      <c r="F952" s="17"/>
      <c r="G952" s="203"/>
      <c r="H952" s="17"/>
      <c r="I952" s="202"/>
      <c r="J952" s="17"/>
      <c r="K952" s="203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203"/>
      <c r="D953" s="17"/>
      <c r="E953" s="229"/>
      <c r="F953" s="17"/>
      <c r="G953" s="203"/>
      <c r="H953" s="17"/>
      <c r="I953" s="202"/>
      <c r="J953" s="17"/>
      <c r="K953" s="203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203"/>
      <c r="D954" s="17"/>
      <c r="E954" s="229"/>
      <c r="F954" s="17"/>
      <c r="G954" s="203"/>
      <c r="H954" s="17"/>
      <c r="I954" s="202"/>
      <c r="J954" s="17"/>
      <c r="K954" s="203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203"/>
      <c r="D955" s="17"/>
      <c r="E955" s="229"/>
      <c r="F955" s="17"/>
      <c r="G955" s="203"/>
      <c r="H955" s="17"/>
      <c r="I955" s="202"/>
      <c r="J955" s="17"/>
      <c r="K955" s="203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203"/>
      <c r="D956" s="17"/>
      <c r="E956" s="229"/>
      <c r="F956" s="17"/>
      <c r="G956" s="203"/>
      <c r="H956" s="17"/>
      <c r="I956" s="202"/>
      <c r="J956" s="17"/>
      <c r="K956" s="203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203"/>
      <c r="D957" s="17"/>
      <c r="E957" s="229"/>
      <c r="F957" s="17"/>
      <c r="G957" s="203"/>
      <c r="H957" s="17"/>
      <c r="I957" s="202"/>
      <c r="J957" s="17"/>
      <c r="K957" s="203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203"/>
      <c r="D958" s="17"/>
      <c r="E958" s="229"/>
      <c r="F958" s="17"/>
      <c r="G958" s="203"/>
      <c r="H958" s="17"/>
      <c r="I958" s="202"/>
      <c r="J958" s="17"/>
      <c r="K958" s="203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203"/>
      <c r="D959" s="17"/>
      <c r="E959" s="229"/>
      <c r="F959" s="17"/>
      <c r="G959" s="203"/>
      <c r="H959" s="17"/>
      <c r="I959" s="202"/>
      <c r="J959" s="17"/>
      <c r="K959" s="203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203"/>
      <c r="D960" s="17"/>
      <c r="E960" s="229"/>
      <c r="F960" s="17"/>
      <c r="G960" s="203"/>
      <c r="H960" s="17"/>
      <c r="I960" s="202"/>
      <c r="J960" s="17"/>
      <c r="K960" s="203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203"/>
      <c r="D961" s="17"/>
      <c r="E961" s="229"/>
      <c r="F961" s="17"/>
      <c r="G961" s="203"/>
      <c r="H961" s="17"/>
      <c r="I961" s="202"/>
      <c r="J961" s="17"/>
      <c r="K961" s="203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203"/>
      <c r="D962" s="17"/>
      <c r="E962" s="229"/>
      <c r="F962" s="17"/>
      <c r="G962" s="203"/>
      <c r="H962" s="17"/>
      <c r="I962" s="202"/>
      <c r="J962" s="17"/>
      <c r="K962" s="203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203"/>
      <c r="D963" s="17"/>
      <c r="E963" s="229"/>
      <c r="F963" s="17"/>
      <c r="G963" s="203"/>
      <c r="H963" s="17"/>
      <c r="I963" s="202"/>
      <c r="J963" s="17"/>
      <c r="K963" s="203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203"/>
      <c r="D964" s="17"/>
      <c r="E964" s="229"/>
      <c r="F964" s="17"/>
      <c r="G964" s="203"/>
      <c r="H964" s="17"/>
      <c r="I964" s="202"/>
      <c r="J964" s="17"/>
      <c r="K964" s="203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203"/>
      <c r="D965" s="17"/>
      <c r="E965" s="229"/>
      <c r="F965" s="17"/>
      <c r="G965" s="203"/>
      <c r="H965" s="17"/>
      <c r="I965" s="202"/>
      <c r="J965" s="17"/>
      <c r="K965" s="203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203"/>
      <c r="D966" s="17"/>
      <c r="E966" s="229"/>
      <c r="F966" s="17"/>
      <c r="G966" s="203"/>
      <c r="H966" s="17"/>
      <c r="I966" s="202"/>
      <c r="J966" s="17"/>
      <c r="K966" s="203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203"/>
      <c r="D967" s="17"/>
      <c r="E967" s="229"/>
      <c r="F967" s="17"/>
      <c r="G967" s="203"/>
      <c r="H967" s="17"/>
      <c r="I967" s="202"/>
      <c r="J967" s="17"/>
      <c r="K967" s="203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203"/>
      <c r="D968" s="17"/>
      <c r="E968" s="229"/>
      <c r="F968" s="17"/>
      <c r="G968" s="203"/>
      <c r="H968" s="17"/>
      <c r="I968" s="202"/>
      <c r="J968" s="17"/>
      <c r="K968" s="203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203"/>
      <c r="D969" s="17"/>
      <c r="E969" s="229"/>
      <c r="F969" s="17"/>
      <c r="G969" s="203"/>
      <c r="H969" s="17"/>
      <c r="I969" s="202"/>
      <c r="J969" s="17"/>
      <c r="K969" s="203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203"/>
      <c r="D970" s="17"/>
      <c r="E970" s="229"/>
      <c r="F970" s="17"/>
      <c r="G970" s="203"/>
      <c r="H970" s="17"/>
      <c r="I970" s="202"/>
      <c r="J970" s="17"/>
      <c r="K970" s="203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203"/>
      <c r="D971" s="17"/>
      <c r="E971" s="229"/>
      <c r="F971" s="17"/>
      <c r="G971" s="203"/>
      <c r="H971" s="17"/>
      <c r="I971" s="202"/>
      <c r="J971" s="17"/>
      <c r="K971" s="203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203"/>
      <c r="D972" s="17"/>
      <c r="E972" s="229"/>
      <c r="F972" s="17"/>
      <c r="G972" s="203"/>
      <c r="H972" s="17"/>
      <c r="I972" s="202"/>
      <c r="J972" s="17"/>
      <c r="K972" s="203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203"/>
      <c r="D973" s="17"/>
      <c r="E973" s="229"/>
      <c r="F973" s="17"/>
      <c r="G973" s="203"/>
      <c r="H973" s="17"/>
      <c r="I973" s="202"/>
      <c r="J973" s="17"/>
      <c r="K973" s="203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203"/>
      <c r="D974" s="17"/>
      <c r="E974" s="229"/>
      <c r="F974" s="17"/>
      <c r="G974" s="203"/>
      <c r="H974" s="17"/>
      <c r="I974" s="202"/>
      <c r="J974" s="17"/>
      <c r="K974" s="203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203"/>
      <c r="D975" s="17"/>
      <c r="E975" s="229"/>
      <c r="F975" s="17"/>
      <c r="G975" s="203"/>
      <c r="H975" s="17"/>
      <c r="I975" s="202"/>
      <c r="J975" s="17"/>
      <c r="K975" s="203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203"/>
      <c r="D976" s="17"/>
      <c r="E976" s="229"/>
      <c r="F976" s="17"/>
      <c r="G976" s="203"/>
      <c r="H976" s="17"/>
      <c r="I976" s="202"/>
      <c r="J976" s="17"/>
      <c r="K976" s="203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203"/>
      <c r="D977" s="17"/>
      <c r="E977" s="229"/>
      <c r="F977" s="17"/>
      <c r="G977" s="203"/>
      <c r="H977" s="17"/>
      <c r="I977" s="202"/>
      <c r="J977" s="17"/>
      <c r="K977" s="203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203"/>
      <c r="D978" s="17"/>
      <c r="E978" s="229"/>
      <c r="F978" s="17"/>
      <c r="G978" s="203"/>
      <c r="H978" s="17"/>
      <c r="I978" s="202"/>
      <c r="J978" s="17"/>
      <c r="K978" s="203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203"/>
      <c r="D979" s="17"/>
      <c r="E979" s="229"/>
      <c r="F979" s="17"/>
      <c r="G979" s="203"/>
      <c r="H979" s="17"/>
      <c r="I979" s="202"/>
      <c r="J979" s="17"/>
      <c r="K979" s="203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203"/>
      <c r="D980" s="17"/>
      <c r="E980" s="229"/>
      <c r="F980" s="17"/>
      <c r="G980" s="203"/>
      <c r="H980" s="17"/>
      <c r="I980" s="202"/>
      <c r="J980" s="17"/>
      <c r="K980" s="203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203"/>
      <c r="D981" s="17"/>
      <c r="E981" s="229"/>
      <c r="F981" s="17"/>
      <c r="G981" s="203"/>
      <c r="H981" s="17"/>
      <c r="I981" s="202"/>
      <c r="J981" s="17"/>
      <c r="K981" s="203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203"/>
      <c r="D982" s="17"/>
      <c r="E982" s="229"/>
      <c r="F982" s="17"/>
      <c r="G982" s="203"/>
      <c r="H982" s="17"/>
      <c r="I982" s="202"/>
      <c r="J982" s="17"/>
      <c r="K982" s="203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203"/>
      <c r="D983" s="17"/>
      <c r="E983" s="229"/>
      <c r="F983" s="17"/>
      <c r="G983" s="203"/>
      <c r="H983" s="17"/>
      <c r="I983" s="202"/>
      <c r="J983" s="17"/>
      <c r="K983" s="203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203"/>
      <c r="D984" s="17"/>
      <c r="E984" s="229"/>
      <c r="F984" s="17"/>
      <c r="G984" s="203"/>
      <c r="H984" s="17"/>
      <c r="I984" s="202"/>
      <c r="J984" s="17"/>
      <c r="K984" s="203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203"/>
      <c r="D985" s="17"/>
      <c r="E985" s="229"/>
      <c r="F985" s="17"/>
      <c r="G985" s="203"/>
      <c r="H985" s="17"/>
      <c r="I985" s="202"/>
      <c r="J985" s="17"/>
      <c r="K985" s="203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203"/>
      <c r="D986" s="17"/>
      <c r="E986" s="229"/>
      <c r="F986" s="17"/>
      <c r="G986" s="203"/>
      <c r="H986" s="17"/>
      <c r="I986" s="202"/>
      <c r="J986" s="17"/>
      <c r="K986" s="203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203"/>
      <c r="D987" s="17"/>
      <c r="E987" s="229"/>
      <c r="F987" s="17"/>
      <c r="G987" s="203"/>
      <c r="H987" s="17"/>
      <c r="I987" s="202"/>
      <c r="J987" s="17"/>
      <c r="K987" s="203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203"/>
      <c r="D988" s="17"/>
      <c r="E988" s="229"/>
      <c r="F988" s="17"/>
      <c r="G988" s="203"/>
      <c r="H988" s="17"/>
      <c r="I988" s="202"/>
      <c r="J988" s="17"/>
      <c r="K988" s="203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203"/>
      <c r="D989" s="17"/>
      <c r="E989" s="229"/>
      <c r="F989" s="17"/>
      <c r="G989" s="203"/>
      <c r="H989" s="17"/>
      <c r="I989" s="202"/>
      <c r="J989" s="17"/>
      <c r="K989" s="203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203"/>
      <c r="D990" s="17"/>
      <c r="E990" s="229"/>
      <c r="F990" s="17"/>
      <c r="G990" s="203"/>
      <c r="H990" s="17"/>
      <c r="I990" s="202"/>
      <c r="J990" s="17"/>
      <c r="K990" s="203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203"/>
      <c r="D991" s="17"/>
      <c r="E991" s="229"/>
      <c r="F991" s="17"/>
      <c r="G991" s="203"/>
      <c r="H991" s="17"/>
      <c r="I991" s="202"/>
      <c r="J991" s="17"/>
      <c r="K991" s="203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203"/>
      <c r="D992" s="17"/>
      <c r="E992" s="229"/>
      <c r="F992" s="17"/>
      <c r="G992" s="203"/>
      <c r="H992" s="17"/>
      <c r="I992" s="202"/>
      <c r="J992" s="17"/>
      <c r="K992" s="203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203"/>
      <c r="D993" s="17"/>
      <c r="E993" s="229"/>
      <c r="F993" s="17"/>
      <c r="G993" s="203"/>
      <c r="H993" s="17"/>
      <c r="I993" s="202"/>
      <c r="J993" s="17"/>
      <c r="K993" s="203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203"/>
      <c r="D994" s="17"/>
      <c r="E994" s="229"/>
      <c r="F994" s="17"/>
      <c r="G994" s="203"/>
      <c r="H994" s="17"/>
      <c r="I994" s="202"/>
      <c r="J994" s="17"/>
      <c r="K994" s="203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203"/>
      <c r="D995" s="17"/>
      <c r="E995" s="229"/>
      <c r="F995" s="17"/>
      <c r="G995" s="203"/>
      <c r="H995" s="17"/>
      <c r="I995" s="202"/>
      <c r="J995" s="17"/>
      <c r="K995" s="203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203"/>
      <c r="D996" s="17"/>
      <c r="E996" s="229"/>
      <c r="F996" s="17"/>
      <c r="G996" s="203"/>
      <c r="H996" s="17"/>
      <c r="I996" s="202"/>
      <c r="J996" s="17"/>
      <c r="K996" s="203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203"/>
      <c r="D997" s="17"/>
      <c r="E997" s="229"/>
      <c r="F997" s="17"/>
      <c r="G997" s="203"/>
      <c r="H997" s="17"/>
      <c r="I997" s="202"/>
      <c r="J997" s="17"/>
      <c r="K997" s="203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203"/>
      <c r="D998" s="17"/>
      <c r="E998" s="229"/>
      <c r="F998" s="17"/>
      <c r="G998" s="203"/>
      <c r="H998" s="17"/>
      <c r="I998" s="202"/>
      <c r="J998" s="17"/>
      <c r="K998" s="203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203"/>
      <c r="D999" s="17"/>
      <c r="E999" s="229"/>
      <c r="F999" s="17"/>
      <c r="G999" s="203"/>
      <c r="H999" s="17"/>
      <c r="I999" s="202"/>
      <c r="J999" s="17"/>
      <c r="K999" s="203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203"/>
      <c r="D1000" s="17"/>
      <c r="E1000" s="229"/>
      <c r="F1000" s="17"/>
      <c r="G1000" s="203"/>
      <c r="H1000" s="17"/>
      <c r="I1000" s="202"/>
      <c r="J1000" s="17"/>
      <c r="K1000" s="203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>
      <c r="A1001" s="17"/>
      <c r="B1001" s="17"/>
      <c r="C1001" s="203"/>
      <c r="D1001" s="17"/>
      <c r="E1001" s="229"/>
      <c r="F1001" s="17"/>
      <c r="G1001" s="203"/>
      <c r="H1001" s="17"/>
      <c r="I1001" s="202"/>
      <c r="J1001" s="17"/>
      <c r="K1001" s="203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</sheetData>
  <mergeCells count="3">
    <mergeCell ref="A1:C1"/>
    <mergeCell ref="E1:G1"/>
    <mergeCell ref="I1:K1"/>
  </mergeCells>
  <drawing r:id="rId1"/>
</worksheet>
</file>